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torm\Documents\github\2025-2_andre_rimes\gen_dataset\"/>
    </mc:Choice>
  </mc:AlternateContent>
  <xr:revisionPtr revIDLastSave="0" documentId="13_ncr:1_{B3793608-C5FB-4F8E-875D-2692700BAE9B}" xr6:coauthVersionLast="47" xr6:coauthVersionMax="47" xr10:uidLastSave="{00000000-0000-0000-0000-000000000000}"/>
  <bookViews>
    <workbookView xWindow="38280" yWindow="-120" windowWidth="38640" windowHeight="15720" tabRatio="500" firstSheet="4" activeTab="5" xr2:uid="{00000000-000D-0000-FFFF-FFFF00000000}"/>
  </bookViews>
  <sheets>
    <sheet name="Com TS variável MC2010" sheetId="1" r:id="rId1"/>
    <sheet name="Sem TS MC2010" sheetId="2" r:id="rId2"/>
    <sheet name="Com TS variável MC2020" sheetId="3" r:id="rId3"/>
    <sheet name="Sem TS MC2020" sheetId="4" r:id="rId4"/>
    <sheet name="Modelos normativos" sheetId="5" r:id="rId5"/>
    <sheet name="Dataset_1" sheetId="6" r:id="rId6"/>
    <sheet name="Dataset_2" sheetId="7" r:id="rId7"/>
    <sheet name="Modelo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Y342" i="7" l="1"/>
  <c r="W342" i="7"/>
  <c r="Y341" i="7"/>
  <c r="W341" i="7"/>
  <c r="Y340" i="7"/>
  <c r="W340" i="7"/>
  <c r="Y339" i="7"/>
  <c r="W339" i="7"/>
  <c r="Y338" i="7"/>
  <c r="W338" i="7"/>
  <c r="Y337" i="7"/>
  <c r="W337" i="7"/>
  <c r="Y336" i="7"/>
  <c r="W336" i="7"/>
  <c r="Y335" i="7"/>
  <c r="W335" i="7"/>
  <c r="Y334" i="7"/>
  <c r="W334" i="7"/>
  <c r="Y333" i="7"/>
  <c r="W333" i="7"/>
  <c r="Y332" i="7"/>
  <c r="W332" i="7"/>
  <c r="Y331" i="7"/>
  <c r="W331" i="7"/>
  <c r="Y330" i="7"/>
  <c r="W330" i="7"/>
  <c r="Y329" i="7"/>
  <c r="W329" i="7"/>
  <c r="Y328" i="7"/>
  <c r="W328" i="7"/>
  <c r="Y327" i="7"/>
  <c r="W327" i="7"/>
  <c r="Y326" i="7"/>
  <c r="W326" i="7"/>
  <c r="Y325" i="7"/>
  <c r="W325" i="7"/>
  <c r="Y324" i="7"/>
  <c r="W324" i="7"/>
  <c r="Y323" i="7"/>
  <c r="W323" i="7"/>
  <c r="Y322" i="7"/>
  <c r="W322" i="7"/>
  <c r="Y321" i="7"/>
  <c r="W321" i="7"/>
  <c r="Y320" i="7"/>
  <c r="W320" i="7"/>
  <c r="Y319" i="7"/>
  <c r="W319" i="7"/>
  <c r="Y318" i="7"/>
  <c r="W318" i="7"/>
  <c r="Y317" i="7"/>
  <c r="W317" i="7"/>
  <c r="Y316" i="7"/>
  <c r="W316" i="7"/>
  <c r="Y315" i="7"/>
  <c r="W315" i="7"/>
  <c r="Y314" i="7"/>
  <c r="W314" i="7"/>
  <c r="Y313" i="7"/>
  <c r="W313" i="7"/>
  <c r="Y312" i="7"/>
  <c r="W312" i="7"/>
  <c r="Y311" i="7"/>
  <c r="W311" i="7"/>
  <c r="Y310" i="7"/>
  <c r="W310" i="7"/>
  <c r="Y309" i="7"/>
  <c r="W309" i="7"/>
  <c r="Y308" i="7"/>
  <c r="W308" i="7"/>
  <c r="Y307" i="7"/>
  <c r="W307" i="7"/>
  <c r="Y306" i="7"/>
  <c r="W306" i="7"/>
  <c r="Y305" i="7"/>
  <c r="W305" i="7"/>
  <c r="Y304" i="7"/>
  <c r="W304" i="7"/>
  <c r="Y303" i="7"/>
  <c r="W303" i="7"/>
  <c r="Y302" i="7"/>
  <c r="W302" i="7"/>
  <c r="Y301" i="7"/>
  <c r="W301" i="7"/>
  <c r="Y300" i="7"/>
  <c r="W300" i="7"/>
  <c r="Y299" i="7"/>
  <c r="W299" i="7"/>
  <c r="Y298" i="7"/>
  <c r="W298" i="7"/>
  <c r="Y297" i="7"/>
  <c r="W297" i="7"/>
  <c r="Y296" i="7"/>
  <c r="W296" i="7"/>
  <c r="Y295" i="7"/>
  <c r="W295" i="7"/>
  <c r="Y294" i="7"/>
  <c r="W294" i="7"/>
  <c r="Y293" i="7"/>
  <c r="W293" i="7"/>
  <c r="Y292" i="7"/>
  <c r="W292" i="7"/>
  <c r="Y291" i="7"/>
  <c r="W291" i="7"/>
  <c r="Y290" i="7"/>
  <c r="W290" i="7"/>
  <c r="Y289" i="7"/>
  <c r="W289" i="7"/>
  <c r="Y288" i="7"/>
  <c r="W288" i="7"/>
  <c r="Y287" i="7"/>
  <c r="W287" i="7"/>
  <c r="Y286" i="7"/>
  <c r="W286" i="7"/>
  <c r="Y285" i="7"/>
  <c r="W285" i="7"/>
  <c r="Y284" i="7"/>
  <c r="W284" i="7"/>
  <c r="Y283" i="7"/>
  <c r="W283" i="7"/>
  <c r="Y282" i="7"/>
  <c r="W282" i="7"/>
  <c r="Y281" i="7"/>
  <c r="W281" i="7"/>
  <c r="Y280" i="7"/>
  <c r="W280" i="7"/>
  <c r="Y279" i="7"/>
  <c r="W279" i="7"/>
  <c r="Y278" i="7"/>
  <c r="W278" i="7"/>
  <c r="Y277" i="7"/>
  <c r="W277" i="7"/>
  <c r="Y276" i="7"/>
  <c r="W276" i="7"/>
  <c r="Y275" i="7"/>
  <c r="W275" i="7"/>
  <c r="Y274" i="7"/>
  <c r="W274" i="7"/>
  <c r="Y273" i="7"/>
  <c r="W273" i="7"/>
  <c r="Y272" i="7"/>
  <c r="W272" i="7"/>
  <c r="Y271" i="7"/>
  <c r="W271" i="7"/>
  <c r="Y270" i="7"/>
  <c r="W270" i="7"/>
  <c r="Y269" i="7"/>
  <c r="W269" i="7"/>
  <c r="Y268" i="7"/>
  <c r="W268" i="7"/>
  <c r="Y267" i="7"/>
  <c r="W267" i="7"/>
  <c r="Y266" i="7"/>
  <c r="W266" i="7"/>
  <c r="Y265" i="7"/>
  <c r="W265" i="7"/>
  <c r="Y264" i="7"/>
  <c r="W264" i="7"/>
  <c r="Y263" i="7"/>
  <c r="W263" i="7"/>
  <c r="Y262" i="7"/>
  <c r="W262" i="7"/>
  <c r="Y261" i="7"/>
  <c r="W261" i="7"/>
  <c r="Y260" i="7"/>
  <c r="W260" i="7"/>
  <c r="Y259" i="7"/>
  <c r="W259" i="7"/>
  <c r="Y258" i="7"/>
  <c r="W258" i="7"/>
  <c r="Y257" i="7"/>
  <c r="W257" i="7"/>
  <c r="Y256" i="7"/>
  <c r="W256" i="7"/>
  <c r="Y255" i="7"/>
  <c r="W255" i="7"/>
  <c r="Y254" i="7"/>
  <c r="W254" i="7"/>
  <c r="Y253" i="7"/>
  <c r="W253" i="7"/>
  <c r="Y252" i="7"/>
  <c r="W252" i="7"/>
  <c r="Y251" i="7"/>
  <c r="W251" i="7"/>
  <c r="Y250" i="7"/>
  <c r="W250" i="7"/>
  <c r="Y249" i="7"/>
  <c r="W249" i="7"/>
  <c r="Y248" i="7"/>
  <c r="W248" i="7"/>
  <c r="Y247" i="7"/>
  <c r="W247" i="7"/>
  <c r="Y246" i="7"/>
  <c r="W246" i="7"/>
  <c r="Y245" i="7"/>
  <c r="W245" i="7"/>
  <c r="Y244" i="7"/>
  <c r="W244" i="7"/>
  <c r="Y243" i="7"/>
  <c r="W243" i="7"/>
  <c r="Y242" i="7"/>
  <c r="W242" i="7"/>
  <c r="Y241" i="7"/>
  <c r="W241" i="7"/>
  <c r="Y240" i="7"/>
  <c r="W240" i="7"/>
  <c r="Y239" i="7"/>
  <c r="W239" i="7"/>
  <c r="Y238" i="7"/>
  <c r="W238" i="7"/>
  <c r="Y237" i="7"/>
  <c r="W237" i="7"/>
  <c r="Y236" i="7"/>
  <c r="W236" i="7"/>
  <c r="Y235" i="7"/>
  <c r="W235" i="7"/>
  <c r="Y234" i="7"/>
  <c r="W234" i="7"/>
  <c r="Y233" i="7"/>
  <c r="W233" i="7"/>
  <c r="Y232" i="7"/>
  <c r="W232" i="7"/>
  <c r="Y231" i="7"/>
  <c r="W231" i="7"/>
  <c r="Y230" i="7"/>
  <c r="W230" i="7"/>
  <c r="Y229" i="7"/>
  <c r="W229" i="7"/>
  <c r="Y228" i="7"/>
  <c r="W228" i="7"/>
  <c r="Y227" i="7"/>
  <c r="W227" i="7"/>
  <c r="Y226" i="7"/>
  <c r="W226" i="7"/>
  <c r="Y225" i="7"/>
  <c r="W225" i="7"/>
  <c r="Y224" i="7"/>
  <c r="W224" i="7"/>
  <c r="Y223" i="7"/>
  <c r="W223" i="7"/>
  <c r="Y222" i="7"/>
  <c r="W222" i="7"/>
  <c r="Y221" i="7"/>
  <c r="W221" i="7"/>
  <c r="Y220" i="7"/>
  <c r="W220" i="7"/>
  <c r="Y219" i="7"/>
  <c r="W219" i="7"/>
  <c r="Y218" i="7"/>
  <c r="W218" i="7"/>
  <c r="Y217" i="7"/>
  <c r="W217" i="7"/>
  <c r="Y216" i="7"/>
  <c r="W216" i="7"/>
  <c r="Y215" i="7"/>
  <c r="W215" i="7"/>
  <c r="Y214" i="7"/>
  <c r="W214" i="7"/>
  <c r="Y213" i="7"/>
  <c r="W213" i="7"/>
  <c r="Y212" i="7"/>
  <c r="W212" i="7"/>
  <c r="Y211" i="7"/>
  <c r="W211" i="7"/>
  <c r="Y210" i="7"/>
  <c r="W210" i="7"/>
  <c r="Y209" i="7"/>
  <c r="W209" i="7"/>
  <c r="Y208" i="7"/>
  <c r="W208" i="7"/>
  <c r="Y207" i="7"/>
  <c r="W207" i="7"/>
  <c r="Y206" i="7"/>
  <c r="W206" i="7"/>
  <c r="Y205" i="7"/>
  <c r="W205" i="7"/>
  <c r="Y204" i="7"/>
  <c r="W204" i="7"/>
  <c r="Y203" i="7"/>
  <c r="W203" i="7"/>
  <c r="Y202" i="7"/>
  <c r="W202" i="7"/>
  <c r="Y201" i="7"/>
  <c r="W201" i="7"/>
  <c r="Y200" i="7"/>
  <c r="W200" i="7"/>
  <c r="Y199" i="7"/>
  <c r="W199" i="7"/>
  <c r="Y198" i="7"/>
  <c r="W198" i="7"/>
  <c r="Y197" i="7"/>
  <c r="W197" i="7"/>
  <c r="Y196" i="7"/>
  <c r="W196" i="7"/>
  <c r="Y195" i="7"/>
  <c r="W195" i="7"/>
  <c r="Y194" i="7"/>
  <c r="W194" i="7"/>
  <c r="Y193" i="7"/>
  <c r="W193" i="7"/>
  <c r="Y192" i="7"/>
  <c r="W192" i="7"/>
  <c r="Y191" i="7"/>
  <c r="W191" i="7"/>
  <c r="Y190" i="7"/>
  <c r="W190" i="7"/>
  <c r="Y189" i="7"/>
  <c r="W189" i="7"/>
  <c r="Y188" i="7"/>
  <c r="W188" i="7"/>
  <c r="Y187" i="7"/>
  <c r="W187" i="7"/>
  <c r="Y186" i="7"/>
  <c r="W186" i="7"/>
  <c r="Y185" i="7"/>
  <c r="W185" i="7"/>
  <c r="Y184" i="7"/>
  <c r="W184" i="7"/>
  <c r="Y183" i="7"/>
  <c r="W183" i="7"/>
  <c r="Y182" i="7"/>
  <c r="W182" i="7"/>
  <c r="Y181" i="7"/>
  <c r="W181" i="7"/>
  <c r="Y180" i="7"/>
  <c r="W180" i="7"/>
  <c r="Y179" i="7"/>
  <c r="W179" i="7"/>
  <c r="Y178" i="7"/>
  <c r="W178" i="7"/>
  <c r="Y177" i="7"/>
  <c r="W177" i="7"/>
  <c r="Y176" i="7"/>
  <c r="W176" i="7"/>
  <c r="Y175" i="7"/>
  <c r="W175" i="7"/>
  <c r="Y174" i="7"/>
  <c r="W174" i="7"/>
  <c r="Y173" i="7"/>
  <c r="W173" i="7"/>
  <c r="Y172" i="7"/>
  <c r="W172" i="7"/>
  <c r="Y171" i="7"/>
  <c r="W171" i="7"/>
  <c r="Y170" i="7"/>
  <c r="W170" i="7"/>
  <c r="Y169" i="7"/>
  <c r="W169" i="7"/>
  <c r="Y168" i="7"/>
  <c r="W168" i="7"/>
  <c r="Y167" i="7"/>
  <c r="W167" i="7"/>
  <c r="Y166" i="7"/>
  <c r="W166" i="7"/>
  <c r="Y165" i="7"/>
  <c r="W165" i="7"/>
  <c r="Y164" i="7"/>
  <c r="W164" i="7"/>
  <c r="Y163" i="7"/>
  <c r="W163" i="7"/>
  <c r="Y162" i="7"/>
  <c r="W162" i="7"/>
  <c r="Y161" i="7"/>
  <c r="W161" i="7"/>
  <c r="Y160" i="7"/>
  <c r="W160" i="7"/>
  <c r="Y159" i="7"/>
  <c r="W159" i="7"/>
  <c r="Y158" i="7"/>
  <c r="W158" i="7"/>
  <c r="Y157" i="7"/>
  <c r="W157" i="7"/>
  <c r="Y156" i="7"/>
  <c r="W156" i="7"/>
  <c r="Y155" i="7"/>
  <c r="W155" i="7"/>
  <c r="Y154" i="7"/>
  <c r="W154" i="7"/>
  <c r="Y153" i="7"/>
  <c r="W153" i="7"/>
  <c r="Y152" i="7"/>
  <c r="W152" i="7"/>
  <c r="Y151" i="7"/>
  <c r="W151" i="7"/>
  <c r="Y150" i="7"/>
  <c r="W150" i="7"/>
  <c r="Y149" i="7"/>
  <c r="W149" i="7"/>
  <c r="Y148" i="7"/>
  <c r="W148" i="7"/>
  <c r="Y147" i="7"/>
  <c r="W147" i="7"/>
  <c r="Y146" i="7"/>
  <c r="W146" i="7"/>
  <c r="Y145" i="7"/>
  <c r="W145" i="7"/>
  <c r="Y144" i="7"/>
  <c r="W144" i="7"/>
  <c r="Y143" i="7"/>
  <c r="W143" i="7"/>
  <c r="Y142" i="7"/>
  <c r="W142" i="7"/>
  <c r="Y141" i="7"/>
  <c r="W141" i="7"/>
  <c r="Y140" i="7"/>
  <c r="W140" i="7"/>
  <c r="Y139" i="7"/>
  <c r="W139" i="7"/>
  <c r="Y138" i="7"/>
  <c r="W138" i="7"/>
  <c r="Y137" i="7"/>
  <c r="W137" i="7"/>
  <c r="Y136" i="7"/>
  <c r="W136" i="7"/>
  <c r="Y135" i="7"/>
  <c r="W135" i="7"/>
  <c r="Y134" i="7"/>
  <c r="W134" i="7"/>
  <c r="Y133" i="7"/>
  <c r="W133" i="7"/>
  <c r="Y132" i="7"/>
  <c r="W132" i="7"/>
  <c r="Y131" i="7"/>
  <c r="W131" i="7"/>
  <c r="Y130" i="7"/>
  <c r="W130" i="7"/>
  <c r="Y129" i="7"/>
  <c r="W129" i="7"/>
  <c r="Y128" i="7"/>
  <c r="W128" i="7"/>
  <c r="Y127" i="7"/>
  <c r="W127" i="7"/>
  <c r="Y126" i="7"/>
  <c r="W126" i="7"/>
  <c r="Y125" i="7"/>
  <c r="W125" i="7"/>
  <c r="Y124" i="7"/>
  <c r="W124" i="7"/>
  <c r="Y123" i="7"/>
  <c r="W123" i="7"/>
  <c r="Y122" i="7"/>
  <c r="W122" i="7"/>
  <c r="Y121" i="7"/>
  <c r="W121" i="7"/>
  <c r="Y120" i="7"/>
  <c r="W120" i="7"/>
  <c r="Y119" i="7"/>
  <c r="W119" i="7"/>
  <c r="Y118" i="7"/>
  <c r="W118" i="7"/>
  <c r="Y117" i="7"/>
  <c r="W117" i="7"/>
  <c r="Y116" i="7"/>
  <c r="W116" i="7"/>
  <c r="Y115" i="7"/>
  <c r="W115" i="7"/>
  <c r="Y114" i="7"/>
  <c r="W114" i="7"/>
  <c r="Y113" i="7"/>
  <c r="W113" i="7"/>
  <c r="Y112" i="7"/>
  <c r="W112" i="7"/>
  <c r="Y111" i="7"/>
  <c r="W111" i="7"/>
  <c r="Y110" i="7"/>
  <c r="W110" i="7"/>
  <c r="Y109" i="7"/>
  <c r="W109" i="7"/>
  <c r="Y108" i="7"/>
  <c r="W108" i="7"/>
  <c r="Y107" i="7"/>
  <c r="W107" i="7"/>
  <c r="Y106" i="7"/>
  <c r="W106" i="7"/>
  <c r="Y105" i="7"/>
  <c r="W105" i="7"/>
  <c r="Y104" i="7"/>
  <c r="W104" i="7"/>
  <c r="Y103" i="7"/>
  <c r="W103" i="7"/>
  <c r="Y102" i="7"/>
  <c r="W102" i="7"/>
  <c r="Y101" i="7"/>
  <c r="W101" i="7"/>
  <c r="Y100" i="7"/>
  <c r="W100" i="7"/>
  <c r="Y99" i="7"/>
  <c r="W99" i="7"/>
  <c r="Y98" i="7"/>
  <c r="W98" i="7"/>
  <c r="Y97" i="7"/>
  <c r="W97" i="7"/>
  <c r="Y96" i="7"/>
  <c r="W96" i="7"/>
  <c r="Y95" i="7"/>
  <c r="W95" i="7"/>
  <c r="Y94" i="7"/>
  <c r="W94" i="7"/>
  <c r="Y93" i="7"/>
  <c r="W93" i="7"/>
  <c r="Y92" i="7"/>
  <c r="W92" i="7"/>
  <c r="Y91" i="7"/>
  <c r="W91" i="7"/>
  <c r="Y90" i="7"/>
  <c r="W90" i="7"/>
  <c r="Y89" i="7"/>
  <c r="W89" i="7"/>
  <c r="Y88" i="7"/>
  <c r="W88" i="7"/>
  <c r="Y87" i="7"/>
  <c r="W87" i="7"/>
  <c r="Y86" i="7"/>
  <c r="W86" i="7"/>
  <c r="Y85" i="7"/>
  <c r="W85" i="7"/>
  <c r="Y84" i="7"/>
  <c r="W84" i="7"/>
  <c r="Y83" i="7"/>
  <c r="W83" i="7"/>
  <c r="Y82" i="7"/>
  <c r="W82" i="7"/>
  <c r="Y81" i="7"/>
  <c r="W81" i="7"/>
  <c r="Y80" i="7"/>
  <c r="W80" i="7"/>
  <c r="Y79" i="7"/>
  <c r="W79" i="7"/>
  <c r="Y78" i="7"/>
  <c r="W78" i="7"/>
  <c r="Y77" i="7"/>
  <c r="W77" i="7"/>
  <c r="Y76" i="7"/>
  <c r="W76" i="7"/>
  <c r="Y75" i="7"/>
  <c r="W75" i="7"/>
  <c r="Y74" i="7"/>
  <c r="W74" i="7"/>
  <c r="Y73" i="7"/>
  <c r="W73" i="7"/>
  <c r="Y72" i="7"/>
  <c r="W72" i="7"/>
  <c r="Y71" i="7"/>
  <c r="W71" i="7"/>
  <c r="Y70" i="7"/>
  <c r="W70" i="7"/>
  <c r="Y69" i="7"/>
  <c r="W69" i="7"/>
  <c r="Y68" i="7"/>
  <c r="W68" i="7"/>
  <c r="Y67" i="7"/>
  <c r="W67" i="7"/>
  <c r="Y66" i="7"/>
  <c r="W66" i="7"/>
  <c r="Y65" i="7"/>
  <c r="W65" i="7"/>
  <c r="Y64" i="7"/>
  <c r="W64" i="7"/>
  <c r="Y63" i="7"/>
  <c r="W63" i="7"/>
  <c r="Y62" i="7"/>
  <c r="W62" i="7"/>
  <c r="Y61" i="7"/>
  <c r="W61" i="7"/>
  <c r="Y60" i="7"/>
  <c r="W60" i="7"/>
  <c r="Y59" i="7"/>
  <c r="W59" i="7"/>
  <c r="Y58" i="7"/>
  <c r="W58" i="7"/>
  <c r="Y57" i="7"/>
  <c r="W57" i="7"/>
  <c r="Y56" i="7"/>
  <c r="W56" i="7"/>
  <c r="Y55" i="7"/>
  <c r="W55" i="7"/>
  <c r="Y54" i="7"/>
  <c r="W54" i="7"/>
  <c r="Y53" i="7"/>
  <c r="W53" i="7"/>
  <c r="Y52" i="7"/>
  <c r="W52" i="7"/>
  <c r="Y51" i="7"/>
  <c r="W51" i="7"/>
  <c r="Y50" i="7"/>
  <c r="W50" i="7"/>
  <c r="Y49" i="7"/>
  <c r="W49" i="7"/>
  <c r="Y48" i="7"/>
  <c r="W48" i="7"/>
  <c r="Y47" i="7"/>
  <c r="W47" i="7"/>
  <c r="Y46" i="7"/>
  <c r="W46" i="7"/>
  <c r="Y45" i="7"/>
  <c r="W45" i="7"/>
  <c r="Y44" i="7"/>
  <c r="W44" i="7"/>
  <c r="Y43" i="7"/>
  <c r="W43" i="7"/>
  <c r="Y42" i="7"/>
  <c r="W42" i="7"/>
  <c r="Y41" i="7"/>
  <c r="W41" i="7"/>
  <c r="Y40" i="7"/>
  <c r="W40" i="7"/>
  <c r="Y39" i="7"/>
  <c r="W39" i="7"/>
  <c r="Y38" i="7"/>
  <c r="W38" i="7"/>
  <c r="Y37" i="7"/>
  <c r="W37" i="7"/>
  <c r="Y36" i="7"/>
  <c r="W36" i="7"/>
  <c r="Y35" i="7"/>
  <c r="W35" i="7"/>
  <c r="Y34" i="7"/>
  <c r="W34" i="7"/>
  <c r="Y33" i="7"/>
  <c r="W33" i="7"/>
  <c r="Y32" i="7"/>
  <c r="W32" i="7"/>
  <c r="Y31" i="7"/>
  <c r="W31" i="7"/>
  <c r="Y30" i="7"/>
  <c r="W30" i="7"/>
  <c r="Y29" i="7"/>
  <c r="W29" i="7"/>
  <c r="Y28" i="7"/>
  <c r="W28" i="7"/>
  <c r="Y27" i="7"/>
  <c r="W27" i="7"/>
  <c r="Y26" i="7"/>
  <c r="W26" i="7"/>
  <c r="Y25" i="7"/>
  <c r="W25" i="7"/>
  <c r="Y24" i="7"/>
  <c r="W24" i="7"/>
  <c r="Y23" i="7"/>
  <c r="W23" i="7"/>
  <c r="Y22" i="7"/>
  <c r="W22" i="7"/>
  <c r="Y21" i="7"/>
  <c r="W21" i="7"/>
  <c r="Y20" i="7"/>
  <c r="W20" i="7"/>
  <c r="Y19" i="7"/>
  <c r="W19" i="7"/>
  <c r="Y18" i="7"/>
  <c r="W18" i="7"/>
  <c r="Y17" i="7"/>
  <c r="W17" i="7"/>
  <c r="Y16" i="7"/>
  <c r="W16" i="7"/>
  <c r="Y15" i="7"/>
  <c r="W15" i="7"/>
  <c r="Y14" i="7"/>
  <c r="W14" i="7"/>
  <c r="Y13" i="7"/>
  <c r="W13" i="7"/>
  <c r="Y12" i="7"/>
  <c r="W12" i="7"/>
  <c r="Y11" i="7"/>
  <c r="W11" i="7"/>
  <c r="Y10" i="7"/>
  <c r="W10" i="7"/>
  <c r="Y9" i="7"/>
  <c r="W9" i="7"/>
  <c r="Y8" i="7"/>
  <c r="W8" i="7"/>
  <c r="Y7" i="7"/>
  <c r="W7" i="7"/>
  <c r="Y6" i="7"/>
  <c r="W6" i="7"/>
  <c r="Y5" i="7"/>
  <c r="W5" i="7"/>
  <c r="Y4" i="7"/>
  <c r="W4" i="7"/>
  <c r="Y3" i="7"/>
  <c r="W3" i="7"/>
  <c r="Y2" i="7"/>
  <c r="W2" i="7"/>
  <c r="AD342" i="6"/>
  <c r="AB342" i="6"/>
  <c r="AD341" i="6"/>
  <c r="AB341" i="6"/>
  <c r="AD340" i="6"/>
  <c r="AB340" i="6"/>
  <c r="AD339" i="6"/>
  <c r="AB339" i="6"/>
  <c r="AD338" i="6"/>
  <c r="AB338" i="6"/>
  <c r="AD337" i="6"/>
  <c r="AB337" i="6"/>
  <c r="AD336" i="6"/>
  <c r="AB336" i="6"/>
  <c r="AD335" i="6"/>
  <c r="AB335" i="6"/>
  <c r="AD334" i="6"/>
  <c r="AB334" i="6"/>
  <c r="AD333" i="6"/>
  <c r="AB333" i="6"/>
  <c r="AD332" i="6"/>
  <c r="AB332" i="6"/>
  <c r="AD331" i="6"/>
  <c r="AB331" i="6"/>
  <c r="AD330" i="6"/>
  <c r="AB330" i="6"/>
  <c r="AD329" i="6"/>
  <c r="AB329" i="6"/>
  <c r="AD328" i="6"/>
  <c r="AB328" i="6"/>
  <c r="AD327" i="6"/>
  <c r="AB327" i="6"/>
  <c r="AD326" i="6"/>
  <c r="AB326" i="6"/>
  <c r="AD325" i="6"/>
  <c r="AB325" i="6"/>
  <c r="AD324" i="6"/>
  <c r="AB324" i="6"/>
  <c r="AD323" i="6"/>
  <c r="AB323" i="6"/>
  <c r="AD322" i="6"/>
  <c r="AB322" i="6"/>
  <c r="AD321" i="6"/>
  <c r="AB321" i="6"/>
  <c r="AD320" i="6"/>
  <c r="AB320" i="6"/>
  <c r="AD319" i="6"/>
  <c r="AB319" i="6"/>
  <c r="AD318" i="6"/>
  <c r="AB318" i="6"/>
  <c r="AD317" i="6"/>
  <c r="AB317" i="6"/>
  <c r="AD316" i="6"/>
  <c r="AB316" i="6"/>
  <c r="AD315" i="6"/>
  <c r="AB315" i="6"/>
  <c r="AD314" i="6"/>
  <c r="AB314" i="6"/>
  <c r="AD313" i="6"/>
  <c r="AB313" i="6"/>
  <c r="AD312" i="6"/>
  <c r="AB312" i="6"/>
  <c r="AD311" i="6"/>
  <c r="AB311" i="6"/>
  <c r="AD310" i="6"/>
  <c r="AB310" i="6"/>
  <c r="AD309" i="6"/>
  <c r="AB309" i="6"/>
  <c r="AD308" i="6"/>
  <c r="AB308" i="6"/>
  <c r="AD307" i="6"/>
  <c r="AB307" i="6"/>
  <c r="AD306" i="6"/>
  <c r="AB306" i="6"/>
  <c r="AD305" i="6"/>
  <c r="AB305" i="6"/>
  <c r="AD304" i="6"/>
  <c r="AB304" i="6"/>
  <c r="AD303" i="6"/>
  <c r="AB303" i="6"/>
  <c r="AD302" i="6"/>
  <c r="AB302" i="6"/>
  <c r="AD301" i="6"/>
  <c r="AB301" i="6"/>
  <c r="AD300" i="6"/>
  <c r="AB300" i="6"/>
  <c r="AD299" i="6"/>
  <c r="AB299" i="6"/>
  <c r="AD298" i="6"/>
  <c r="AB298" i="6"/>
  <c r="AD297" i="6"/>
  <c r="AB297" i="6"/>
  <c r="AD296" i="6"/>
  <c r="AB296" i="6"/>
  <c r="AD295" i="6"/>
  <c r="AB295" i="6"/>
  <c r="AD294" i="6"/>
  <c r="AB294" i="6"/>
  <c r="AD293" i="6"/>
  <c r="AB293" i="6"/>
  <c r="AD292" i="6"/>
  <c r="AB292" i="6"/>
  <c r="AD291" i="6"/>
  <c r="AB291" i="6"/>
  <c r="AD290" i="6"/>
  <c r="AB290" i="6"/>
  <c r="AD289" i="6"/>
  <c r="AB289" i="6"/>
  <c r="AD288" i="6"/>
  <c r="AB288" i="6"/>
  <c r="AD287" i="6"/>
  <c r="AB287" i="6"/>
  <c r="AD286" i="6"/>
  <c r="AB286" i="6"/>
  <c r="AD285" i="6"/>
  <c r="AB285" i="6"/>
  <c r="AD284" i="6"/>
  <c r="AB284" i="6"/>
  <c r="AD283" i="6"/>
  <c r="AB283" i="6"/>
  <c r="AD282" i="6"/>
  <c r="AB282" i="6"/>
  <c r="AD281" i="6"/>
  <c r="AB281" i="6"/>
  <c r="AD280" i="6"/>
  <c r="AB280" i="6"/>
  <c r="AD279" i="6"/>
  <c r="AB279" i="6"/>
  <c r="AD278" i="6"/>
  <c r="AB278" i="6"/>
  <c r="AD277" i="6"/>
  <c r="AB277" i="6"/>
  <c r="AD276" i="6"/>
  <c r="AB276" i="6"/>
  <c r="AD275" i="6"/>
  <c r="AB275" i="6"/>
  <c r="AD274" i="6"/>
  <c r="AB274" i="6"/>
  <c r="AD273" i="6"/>
  <c r="AB273" i="6"/>
  <c r="AD272" i="6"/>
  <c r="AB272" i="6"/>
  <c r="AD271" i="6"/>
  <c r="AB271" i="6"/>
  <c r="AD270" i="6"/>
  <c r="AB270" i="6"/>
  <c r="AD269" i="6"/>
  <c r="AB269" i="6"/>
  <c r="AD268" i="6"/>
  <c r="AB268" i="6"/>
  <c r="AD267" i="6"/>
  <c r="AB267" i="6"/>
  <c r="AD266" i="6"/>
  <c r="AB266" i="6"/>
  <c r="AD265" i="6"/>
  <c r="AB265" i="6"/>
  <c r="AD264" i="6"/>
  <c r="AB264" i="6"/>
  <c r="AD263" i="6"/>
  <c r="AB263" i="6"/>
  <c r="AD262" i="6"/>
  <c r="AB262" i="6"/>
  <c r="AD261" i="6"/>
  <c r="AB261" i="6"/>
  <c r="AD260" i="6"/>
  <c r="AB260" i="6"/>
  <c r="AD259" i="6"/>
  <c r="AB259" i="6"/>
  <c r="AD258" i="6"/>
  <c r="AB258" i="6"/>
  <c r="AD257" i="6"/>
  <c r="AB257" i="6"/>
  <c r="AD256" i="6"/>
  <c r="AB256" i="6"/>
  <c r="AD255" i="6"/>
  <c r="AB255" i="6"/>
  <c r="AD254" i="6"/>
  <c r="AB254" i="6"/>
  <c r="AD253" i="6"/>
  <c r="AB253" i="6"/>
  <c r="AD252" i="6"/>
  <c r="AB252" i="6"/>
  <c r="AD251" i="6"/>
  <c r="AB251" i="6"/>
  <c r="AD250" i="6"/>
  <c r="AB250" i="6"/>
  <c r="AD249" i="6"/>
  <c r="AB249" i="6"/>
  <c r="AD248" i="6"/>
  <c r="AB248" i="6"/>
  <c r="AD247" i="6"/>
  <c r="AB247" i="6"/>
  <c r="AD246" i="6"/>
  <c r="AB246" i="6"/>
  <c r="AD245" i="6"/>
  <c r="AB245" i="6"/>
  <c r="AD244" i="6"/>
  <c r="AB244" i="6"/>
  <c r="AD243" i="6"/>
  <c r="AB243" i="6"/>
  <c r="AD242" i="6"/>
  <c r="AB242" i="6"/>
  <c r="AD241" i="6"/>
  <c r="AB241" i="6"/>
  <c r="AD240" i="6"/>
  <c r="AB240" i="6"/>
  <c r="AD239" i="6"/>
  <c r="AB239" i="6"/>
  <c r="AD238" i="6"/>
  <c r="AB238" i="6"/>
  <c r="AD237" i="6"/>
  <c r="AB237" i="6"/>
  <c r="AD236" i="6"/>
  <c r="AB236" i="6"/>
  <c r="AD235" i="6"/>
  <c r="AB235" i="6"/>
  <c r="AD234" i="6"/>
  <c r="AB234" i="6"/>
  <c r="AD233" i="6"/>
  <c r="AB233" i="6"/>
  <c r="AD232" i="6"/>
  <c r="AB232" i="6"/>
  <c r="AD231" i="6"/>
  <c r="AB231" i="6"/>
  <c r="AD230" i="6"/>
  <c r="AB230" i="6"/>
  <c r="AD229" i="6"/>
  <c r="AB229" i="6"/>
  <c r="AD228" i="6"/>
  <c r="AB228" i="6"/>
  <c r="AD227" i="6"/>
  <c r="AB227" i="6"/>
  <c r="AD226" i="6"/>
  <c r="AB226" i="6"/>
  <c r="AD225" i="6"/>
  <c r="AB225" i="6"/>
  <c r="AD224" i="6"/>
  <c r="AB224" i="6"/>
  <c r="AD223" i="6"/>
  <c r="AB223" i="6"/>
  <c r="AD222" i="6"/>
  <c r="AB222" i="6"/>
  <c r="AD221" i="6"/>
  <c r="AB221" i="6"/>
  <c r="AD220" i="6"/>
  <c r="AB220" i="6"/>
  <c r="AD219" i="6"/>
  <c r="AB219" i="6"/>
  <c r="AD218" i="6"/>
  <c r="AB218" i="6"/>
  <c r="AD217" i="6"/>
  <c r="AB217" i="6"/>
  <c r="AD216" i="6"/>
  <c r="AB216" i="6"/>
  <c r="AD215" i="6"/>
  <c r="AB215" i="6"/>
  <c r="AD214" i="6"/>
  <c r="AB214" i="6"/>
  <c r="AD213" i="6"/>
  <c r="AB213" i="6"/>
  <c r="AD212" i="6"/>
  <c r="AB212" i="6"/>
  <c r="AD211" i="6"/>
  <c r="AB211" i="6"/>
  <c r="AD210" i="6"/>
  <c r="AB210" i="6"/>
  <c r="AD209" i="6"/>
  <c r="AB209" i="6"/>
  <c r="AD208" i="6"/>
  <c r="AB208" i="6"/>
  <c r="AD207" i="6"/>
  <c r="AB207" i="6"/>
  <c r="AD206" i="6"/>
  <c r="AB206" i="6"/>
  <c r="AD205" i="6"/>
  <c r="AB205" i="6"/>
  <c r="AD204" i="6"/>
  <c r="AB204" i="6"/>
  <c r="AD203" i="6"/>
  <c r="AB203" i="6"/>
  <c r="AD202" i="6"/>
  <c r="AB202" i="6"/>
  <c r="AD201" i="6"/>
  <c r="AB201" i="6"/>
  <c r="AD200" i="6"/>
  <c r="AB200" i="6"/>
  <c r="AD199" i="6"/>
  <c r="AB199" i="6"/>
  <c r="AD198" i="6"/>
  <c r="AB198" i="6"/>
  <c r="AD197" i="6"/>
  <c r="AB197" i="6"/>
  <c r="AD196" i="6"/>
  <c r="AB196" i="6"/>
  <c r="AD195" i="6"/>
  <c r="AB195" i="6"/>
  <c r="AD194" i="6"/>
  <c r="AB194" i="6"/>
  <c r="AD193" i="6"/>
  <c r="AB193" i="6"/>
  <c r="AD192" i="6"/>
  <c r="AB192" i="6"/>
  <c r="AD191" i="6"/>
  <c r="AB191" i="6"/>
  <c r="AD190" i="6"/>
  <c r="AB190" i="6"/>
  <c r="AD189" i="6"/>
  <c r="AB189" i="6"/>
  <c r="AD188" i="6"/>
  <c r="AB188" i="6"/>
  <c r="AD187" i="6"/>
  <c r="AB187" i="6"/>
  <c r="AD186" i="6"/>
  <c r="AB186" i="6"/>
  <c r="AD185" i="6"/>
  <c r="AB185" i="6"/>
  <c r="AD184" i="6"/>
  <c r="AB184" i="6"/>
  <c r="AD183" i="6"/>
  <c r="AB183" i="6"/>
  <c r="AD182" i="6"/>
  <c r="AB182" i="6"/>
  <c r="AD181" i="6"/>
  <c r="AB181" i="6"/>
  <c r="AD180" i="6"/>
  <c r="AB180" i="6"/>
  <c r="AD179" i="6"/>
  <c r="AB179" i="6"/>
  <c r="AD178" i="6"/>
  <c r="AB178" i="6"/>
  <c r="AD177" i="6"/>
  <c r="AB177" i="6"/>
  <c r="AD176" i="6"/>
  <c r="AB176" i="6"/>
  <c r="AD175" i="6"/>
  <c r="AB175" i="6"/>
  <c r="AD174" i="6"/>
  <c r="AB174" i="6"/>
  <c r="AD173" i="6"/>
  <c r="AB173" i="6"/>
  <c r="AD172" i="6"/>
  <c r="AB172" i="6"/>
  <c r="AD171" i="6"/>
  <c r="AB171" i="6"/>
  <c r="AD170" i="6"/>
  <c r="AB170" i="6"/>
  <c r="AD169" i="6"/>
  <c r="AB169" i="6"/>
  <c r="AD168" i="6"/>
  <c r="AB168" i="6"/>
  <c r="AD167" i="6"/>
  <c r="AB167" i="6"/>
  <c r="AD166" i="6"/>
  <c r="AB166" i="6"/>
  <c r="AD165" i="6"/>
  <c r="AB165" i="6"/>
  <c r="AD164" i="6"/>
  <c r="AB164" i="6"/>
  <c r="AD163" i="6"/>
  <c r="AB163" i="6"/>
  <c r="AD162" i="6"/>
  <c r="AB162" i="6"/>
  <c r="AD161" i="6"/>
  <c r="AB161" i="6"/>
  <c r="AD160" i="6"/>
  <c r="AB160" i="6"/>
  <c r="AD159" i="6"/>
  <c r="AB159" i="6"/>
  <c r="AD158" i="6"/>
  <c r="AB158" i="6"/>
  <c r="AD157" i="6"/>
  <c r="AB157" i="6"/>
  <c r="AD156" i="6"/>
  <c r="AB156" i="6"/>
  <c r="AD155" i="6"/>
  <c r="AB155" i="6"/>
  <c r="AD154" i="6"/>
  <c r="AB154" i="6"/>
  <c r="AD153" i="6"/>
  <c r="AB153" i="6"/>
  <c r="AD152" i="6"/>
  <c r="AB152" i="6"/>
  <c r="AD151" i="6"/>
  <c r="AB151" i="6"/>
  <c r="AD150" i="6"/>
  <c r="AB150" i="6"/>
  <c r="AD149" i="6"/>
  <c r="AB149" i="6"/>
  <c r="AD148" i="6"/>
  <c r="AB148" i="6"/>
  <c r="AD147" i="6"/>
  <c r="AB147" i="6"/>
  <c r="AD146" i="6"/>
  <c r="AB146" i="6"/>
  <c r="AD145" i="6"/>
  <c r="AB145" i="6"/>
  <c r="AD144" i="6"/>
  <c r="AB144" i="6"/>
  <c r="AD143" i="6"/>
  <c r="AB143" i="6"/>
  <c r="AD142" i="6"/>
  <c r="AB142" i="6"/>
  <c r="AD141" i="6"/>
  <c r="AB141" i="6"/>
  <c r="AD140" i="6"/>
  <c r="AB140" i="6"/>
  <c r="AD139" i="6"/>
  <c r="AB139" i="6"/>
  <c r="AD138" i="6"/>
  <c r="AB138" i="6"/>
  <c r="AD137" i="6"/>
  <c r="AB137" i="6"/>
  <c r="AD136" i="6"/>
  <c r="AB136" i="6"/>
  <c r="AD135" i="6"/>
  <c r="AB135" i="6"/>
  <c r="AD134" i="6"/>
  <c r="AB134" i="6"/>
  <c r="AD133" i="6"/>
  <c r="AB133" i="6"/>
  <c r="AD132" i="6"/>
  <c r="AB132" i="6"/>
  <c r="AD131" i="6"/>
  <c r="AB131" i="6"/>
  <c r="AD130" i="6"/>
  <c r="AB130" i="6"/>
  <c r="AD129" i="6"/>
  <c r="AB129" i="6"/>
  <c r="AD128" i="6"/>
  <c r="AB128" i="6"/>
  <c r="AD127" i="6"/>
  <c r="AB127" i="6"/>
  <c r="AD126" i="6"/>
  <c r="AB126" i="6"/>
  <c r="AD125" i="6"/>
  <c r="AB125" i="6"/>
  <c r="AD124" i="6"/>
  <c r="AB124" i="6"/>
  <c r="AD123" i="6"/>
  <c r="AB123" i="6"/>
  <c r="AD122" i="6"/>
  <c r="AB122" i="6"/>
  <c r="AD121" i="6"/>
  <c r="AB121" i="6"/>
  <c r="AD120" i="6"/>
  <c r="AB120" i="6"/>
  <c r="AD119" i="6"/>
  <c r="AB119" i="6"/>
  <c r="AD118" i="6"/>
  <c r="AB118" i="6"/>
  <c r="AD117" i="6"/>
  <c r="AB117" i="6"/>
  <c r="AD116" i="6"/>
  <c r="AB116" i="6"/>
  <c r="AD115" i="6"/>
  <c r="AB115" i="6"/>
  <c r="AD114" i="6"/>
  <c r="AB114" i="6"/>
  <c r="AD113" i="6"/>
  <c r="AB113" i="6"/>
  <c r="AD112" i="6"/>
  <c r="AB112" i="6"/>
  <c r="AD111" i="6"/>
  <c r="AB111" i="6"/>
  <c r="AD110" i="6"/>
  <c r="AB110" i="6"/>
  <c r="AD109" i="6"/>
  <c r="AB109" i="6"/>
  <c r="AD108" i="6"/>
  <c r="AB108" i="6"/>
  <c r="AD107" i="6"/>
  <c r="AB107" i="6"/>
  <c r="AD106" i="6"/>
  <c r="AB106" i="6"/>
  <c r="AD105" i="6"/>
  <c r="AB105" i="6"/>
  <c r="AD104" i="6"/>
  <c r="AB104" i="6"/>
  <c r="AD103" i="6"/>
  <c r="AB103" i="6"/>
  <c r="AD102" i="6"/>
  <c r="AB102" i="6"/>
  <c r="AD101" i="6"/>
  <c r="AB101" i="6"/>
  <c r="AD100" i="6"/>
  <c r="AB100" i="6"/>
  <c r="AD99" i="6"/>
  <c r="AB99" i="6"/>
  <c r="AD98" i="6"/>
  <c r="AB98" i="6"/>
  <c r="AD97" i="6"/>
  <c r="AB97" i="6"/>
  <c r="AD96" i="6"/>
  <c r="AB96" i="6"/>
  <c r="AD95" i="6"/>
  <c r="AB95" i="6"/>
  <c r="AD94" i="6"/>
  <c r="AB94" i="6"/>
  <c r="AD93" i="6"/>
  <c r="AB93" i="6"/>
  <c r="AD92" i="6"/>
  <c r="AB92" i="6"/>
  <c r="AD91" i="6"/>
  <c r="AB91" i="6"/>
  <c r="AD90" i="6"/>
  <c r="AB90" i="6"/>
  <c r="AD89" i="6"/>
  <c r="AB89" i="6"/>
  <c r="AD88" i="6"/>
  <c r="AB88" i="6"/>
  <c r="AD87" i="6"/>
  <c r="AB87" i="6"/>
  <c r="AD86" i="6"/>
  <c r="AB86" i="6"/>
  <c r="AD85" i="6"/>
  <c r="AB85" i="6"/>
  <c r="AD84" i="6"/>
  <c r="AB84" i="6"/>
  <c r="AD83" i="6"/>
  <c r="AB83" i="6"/>
  <c r="AD82" i="6"/>
  <c r="AB82" i="6"/>
  <c r="AD81" i="6"/>
  <c r="AB81" i="6"/>
  <c r="AD80" i="6"/>
  <c r="AB80" i="6"/>
  <c r="AD79" i="6"/>
  <c r="AB79" i="6"/>
  <c r="AD78" i="6"/>
  <c r="AB78" i="6"/>
  <c r="AD77" i="6"/>
  <c r="AB77" i="6"/>
  <c r="AD76" i="6"/>
  <c r="AB76" i="6"/>
  <c r="AD75" i="6"/>
  <c r="AB75" i="6"/>
  <c r="AD74" i="6"/>
  <c r="AB74" i="6"/>
  <c r="AD73" i="6"/>
  <c r="AB73" i="6"/>
  <c r="AD72" i="6"/>
  <c r="AB72" i="6"/>
  <c r="AD71" i="6"/>
  <c r="AB71" i="6"/>
  <c r="AD70" i="6"/>
  <c r="AB70" i="6"/>
  <c r="AD69" i="6"/>
  <c r="AB69" i="6"/>
  <c r="AD68" i="6"/>
  <c r="AB68" i="6"/>
  <c r="AD67" i="6"/>
  <c r="AB67" i="6"/>
  <c r="AD66" i="6"/>
  <c r="AB66" i="6"/>
  <c r="AD65" i="6"/>
  <c r="AB65" i="6"/>
  <c r="AD64" i="6"/>
  <c r="AB64" i="6"/>
  <c r="AD63" i="6"/>
  <c r="AB63" i="6"/>
  <c r="AD62" i="6"/>
  <c r="AB62" i="6"/>
  <c r="AD61" i="6"/>
  <c r="AB61" i="6"/>
  <c r="AD60" i="6"/>
  <c r="AB60" i="6"/>
  <c r="AD59" i="6"/>
  <c r="AB59" i="6"/>
  <c r="AD58" i="6"/>
  <c r="AB58" i="6"/>
  <c r="AD57" i="6"/>
  <c r="AB57" i="6"/>
  <c r="AD56" i="6"/>
  <c r="AB56" i="6"/>
  <c r="AD55" i="6"/>
  <c r="AB55" i="6"/>
  <c r="AD54" i="6"/>
  <c r="AB54" i="6"/>
  <c r="AD53" i="6"/>
  <c r="AB53" i="6"/>
  <c r="AD52" i="6"/>
  <c r="AB52" i="6"/>
  <c r="AD51" i="6"/>
  <c r="AB51" i="6"/>
  <c r="AD50" i="6"/>
  <c r="AB50" i="6"/>
  <c r="AD49" i="6"/>
  <c r="AB49" i="6"/>
  <c r="AD48" i="6"/>
  <c r="AB48" i="6"/>
  <c r="AD47" i="6"/>
  <c r="AB47" i="6"/>
  <c r="AD46" i="6"/>
  <c r="AB46" i="6"/>
  <c r="AD45" i="6"/>
  <c r="AB45" i="6"/>
  <c r="AD44" i="6"/>
  <c r="AB44" i="6"/>
  <c r="AD43" i="6"/>
  <c r="AB43" i="6"/>
  <c r="AD42" i="6"/>
  <c r="AB42" i="6"/>
  <c r="AD41" i="6"/>
  <c r="AB41" i="6"/>
  <c r="AD40" i="6"/>
  <c r="AB40" i="6"/>
  <c r="AD39" i="6"/>
  <c r="AB39" i="6"/>
  <c r="AD38" i="6"/>
  <c r="AB38" i="6"/>
  <c r="AD37" i="6"/>
  <c r="AB37" i="6"/>
  <c r="AD36" i="6"/>
  <c r="AB36" i="6"/>
  <c r="AD35" i="6"/>
  <c r="AB35" i="6"/>
  <c r="AD34" i="6"/>
  <c r="AB34" i="6"/>
  <c r="AD33" i="6"/>
  <c r="AB33" i="6"/>
  <c r="AD32" i="6"/>
  <c r="AB32" i="6"/>
  <c r="AD31" i="6"/>
  <c r="AB31" i="6"/>
  <c r="AD30" i="6"/>
  <c r="AB30" i="6"/>
  <c r="AD29" i="6"/>
  <c r="AB29" i="6"/>
  <c r="AD28" i="6"/>
  <c r="AB28" i="6"/>
  <c r="AD27" i="6"/>
  <c r="AB27" i="6"/>
  <c r="AD26" i="6"/>
  <c r="AB26" i="6"/>
  <c r="AD25" i="6"/>
  <c r="AB25" i="6"/>
  <c r="AD24" i="6"/>
  <c r="AB24" i="6"/>
  <c r="AD23" i="6"/>
  <c r="AB23" i="6"/>
  <c r="AD22" i="6"/>
  <c r="AB22" i="6"/>
  <c r="AD21" i="6"/>
  <c r="AB21" i="6"/>
  <c r="AD20" i="6"/>
  <c r="AB20" i="6"/>
  <c r="AD19" i="6"/>
  <c r="AB19" i="6"/>
  <c r="AD18" i="6"/>
  <c r="AB18" i="6"/>
  <c r="AD17" i="6"/>
  <c r="AB17" i="6"/>
  <c r="AD16" i="6"/>
  <c r="AB16" i="6"/>
  <c r="AD15" i="6"/>
  <c r="AB15" i="6"/>
  <c r="AD14" i="6"/>
  <c r="AB14" i="6"/>
  <c r="AD13" i="6"/>
  <c r="AB13" i="6"/>
  <c r="AD12" i="6"/>
  <c r="AB12" i="6"/>
  <c r="AD11" i="6"/>
  <c r="AB11" i="6"/>
  <c r="AD10" i="6"/>
  <c r="AB10" i="6"/>
  <c r="AD9" i="6"/>
  <c r="AB9" i="6"/>
  <c r="AD8" i="6"/>
  <c r="AB8" i="6"/>
  <c r="AD7" i="6"/>
  <c r="AB7" i="6"/>
  <c r="AD6" i="6"/>
  <c r="AB6" i="6"/>
  <c r="AD5" i="6"/>
  <c r="AB5" i="6"/>
  <c r="AD4" i="6"/>
  <c r="AB4" i="6"/>
  <c r="AD3" i="6"/>
  <c r="AB3" i="6"/>
  <c r="AD2" i="6"/>
  <c r="AB2" i="6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2" i="8"/>
  <c r="X342" i="5"/>
  <c r="W342" i="5"/>
  <c r="X341" i="5"/>
  <c r="W341" i="5"/>
  <c r="X340" i="5"/>
  <c r="W340" i="5"/>
  <c r="X339" i="5"/>
  <c r="W339" i="5"/>
  <c r="X338" i="5"/>
  <c r="W338" i="5"/>
  <c r="X337" i="5"/>
  <c r="W337" i="5"/>
  <c r="X336" i="5"/>
  <c r="W336" i="5"/>
  <c r="X335" i="5"/>
  <c r="W335" i="5"/>
  <c r="X334" i="5"/>
  <c r="W334" i="5"/>
  <c r="X333" i="5"/>
  <c r="W333" i="5"/>
  <c r="X332" i="5"/>
  <c r="W332" i="5"/>
  <c r="X331" i="5"/>
  <c r="W331" i="5"/>
  <c r="X330" i="5"/>
  <c r="W330" i="5"/>
  <c r="X329" i="5"/>
  <c r="W329" i="5"/>
  <c r="X328" i="5"/>
  <c r="W328" i="5"/>
  <c r="X327" i="5"/>
  <c r="W327" i="5"/>
  <c r="X326" i="5"/>
  <c r="W326" i="5"/>
  <c r="X325" i="5"/>
  <c r="W325" i="5"/>
  <c r="X324" i="5"/>
  <c r="W324" i="5"/>
  <c r="X323" i="5"/>
  <c r="W323" i="5"/>
  <c r="X322" i="5"/>
  <c r="W322" i="5"/>
  <c r="X321" i="5"/>
  <c r="W321" i="5"/>
  <c r="X320" i="5"/>
  <c r="W320" i="5"/>
  <c r="X319" i="5"/>
  <c r="W319" i="5"/>
  <c r="X318" i="5"/>
  <c r="W318" i="5"/>
  <c r="X317" i="5"/>
  <c r="W317" i="5"/>
  <c r="X316" i="5"/>
  <c r="W316" i="5"/>
  <c r="X315" i="5"/>
  <c r="W315" i="5"/>
  <c r="X314" i="5"/>
  <c r="W314" i="5"/>
  <c r="X313" i="5"/>
  <c r="W313" i="5"/>
  <c r="X312" i="5"/>
  <c r="W312" i="5"/>
  <c r="X311" i="5"/>
  <c r="W311" i="5"/>
  <c r="X310" i="5"/>
  <c r="W310" i="5"/>
  <c r="X309" i="5"/>
  <c r="W309" i="5"/>
  <c r="X308" i="5"/>
  <c r="W308" i="5"/>
  <c r="X307" i="5"/>
  <c r="W307" i="5"/>
  <c r="X306" i="5"/>
  <c r="W306" i="5"/>
  <c r="X305" i="5"/>
  <c r="W305" i="5"/>
  <c r="X304" i="5"/>
  <c r="W304" i="5"/>
  <c r="X303" i="5"/>
  <c r="W303" i="5"/>
  <c r="X302" i="5"/>
  <c r="W302" i="5"/>
  <c r="X301" i="5"/>
  <c r="W301" i="5"/>
  <c r="X300" i="5"/>
  <c r="W300" i="5"/>
  <c r="X299" i="5"/>
  <c r="W299" i="5"/>
  <c r="X298" i="5"/>
  <c r="W298" i="5"/>
  <c r="X297" i="5"/>
  <c r="W297" i="5"/>
  <c r="X296" i="5"/>
  <c r="W296" i="5"/>
  <c r="X295" i="5"/>
  <c r="W295" i="5"/>
  <c r="X294" i="5"/>
  <c r="W294" i="5"/>
  <c r="X293" i="5"/>
  <c r="W293" i="5"/>
  <c r="X292" i="5"/>
  <c r="W292" i="5"/>
  <c r="X291" i="5"/>
  <c r="W291" i="5"/>
  <c r="X290" i="5"/>
  <c r="W290" i="5"/>
  <c r="X289" i="5"/>
  <c r="W289" i="5"/>
  <c r="X288" i="5"/>
  <c r="W288" i="5"/>
  <c r="X287" i="5"/>
  <c r="W287" i="5"/>
  <c r="X286" i="5"/>
  <c r="W286" i="5"/>
  <c r="X285" i="5"/>
  <c r="W285" i="5"/>
  <c r="X284" i="5"/>
  <c r="W284" i="5"/>
  <c r="X283" i="5"/>
  <c r="W283" i="5"/>
  <c r="X282" i="5"/>
  <c r="W282" i="5"/>
  <c r="X281" i="5"/>
  <c r="W281" i="5"/>
  <c r="X280" i="5"/>
  <c r="W280" i="5"/>
  <c r="X279" i="5"/>
  <c r="W279" i="5"/>
  <c r="X278" i="5"/>
  <c r="W278" i="5"/>
  <c r="X277" i="5"/>
  <c r="W277" i="5"/>
  <c r="X276" i="5"/>
  <c r="W276" i="5"/>
  <c r="X275" i="5"/>
  <c r="W275" i="5"/>
  <c r="X274" i="5"/>
  <c r="W274" i="5"/>
  <c r="X273" i="5"/>
  <c r="W273" i="5"/>
  <c r="X272" i="5"/>
  <c r="W272" i="5"/>
  <c r="X271" i="5"/>
  <c r="W271" i="5"/>
  <c r="X270" i="5"/>
  <c r="W270" i="5"/>
  <c r="X269" i="5"/>
  <c r="W269" i="5"/>
  <c r="X268" i="5"/>
  <c r="W268" i="5"/>
  <c r="X267" i="5"/>
  <c r="W267" i="5"/>
  <c r="X266" i="5"/>
  <c r="W266" i="5"/>
  <c r="X265" i="5"/>
  <c r="W265" i="5"/>
  <c r="X264" i="5"/>
  <c r="W264" i="5"/>
  <c r="X263" i="5"/>
  <c r="W263" i="5"/>
  <c r="X262" i="5"/>
  <c r="W262" i="5"/>
  <c r="X261" i="5"/>
  <c r="W261" i="5"/>
  <c r="X260" i="5"/>
  <c r="W260" i="5"/>
  <c r="X259" i="5"/>
  <c r="W259" i="5"/>
  <c r="X258" i="5"/>
  <c r="W258" i="5"/>
  <c r="X257" i="5"/>
  <c r="W257" i="5"/>
  <c r="X256" i="5"/>
  <c r="W256" i="5"/>
  <c r="X255" i="5"/>
  <c r="W255" i="5"/>
  <c r="X254" i="5"/>
  <c r="W254" i="5"/>
  <c r="X253" i="5"/>
  <c r="W253" i="5"/>
  <c r="X252" i="5"/>
  <c r="W252" i="5"/>
  <c r="X251" i="5"/>
  <c r="W251" i="5"/>
  <c r="X250" i="5"/>
  <c r="W250" i="5"/>
  <c r="X249" i="5"/>
  <c r="W249" i="5"/>
  <c r="X248" i="5"/>
  <c r="W248" i="5"/>
  <c r="X247" i="5"/>
  <c r="W247" i="5"/>
  <c r="X246" i="5"/>
  <c r="W246" i="5"/>
  <c r="X245" i="5"/>
  <c r="W245" i="5"/>
  <c r="X244" i="5"/>
  <c r="W244" i="5"/>
  <c r="X243" i="5"/>
  <c r="W243" i="5"/>
  <c r="X242" i="5"/>
  <c r="W242" i="5"/>
  <c r="X241" i="5"/>
  <c r="W241" i="5"/>
  <c r="X240" i="5"/>
  <c r="W240" i="5"/>
  <c r="X239" i="5"/>
  <c r="W239" i="5"/>
  <c r="X238" i="5"/>
  <c r="W238" i="5"/>
  <c r="X237" i="5"/>
  <c r="W237" i="5"/>
  <c r="X236" i="5"/>
  <c r="W236" i="5"/>
  <c r="X235" i="5"/>
  <c r="W235" i="5"/>
  <c r="X234" i="5"/>
  <c r="W234" i="5"/>
  <c r="X233" i="5"/>
  <c r="W233" i="5"/>
  <c r="X232" i="5"/>
  <c r="W232" i="5"/>
  <c r="X231" i="5"/>
  <c r="W231" i="5"/>
  <c r="X230" i="5"/>
  <c r="W230" i="5"/>
  <c r="X229" i="5"/>
  <c r="W229" i="5"/>
  <c r="X228" i="5"/>
  <c r="W228" i="5"/>
  <c r="X227" i="5"/>
  <c r="W227" i="5"/>
  <c r="X226" i="5"/>
  <c r="W226" i="5"/>
  <c r="X225" i="5"/>
  <c r="W225" i="5"/>
  <c r="X224" i="5"/>
  <c r="W224" i="5"/>
  <c r="X223" i="5"/>
  <c r="W223" i="5"/>
  <c r="X222" i="5"/>
  <c r="W222" i="5"/>
  <c r="X221" i="5"/>
  <c r="W221" i="5"/>
  <c r="X220" i="5"/>
  <c r="W220" i="5"/>
  <c r="X219" i="5"/>
  <c r="W219" i="5"/>
  <c r="X218" i="5"/>
  <c r="W218" i="5"/>
  <c r="X217" i="5"/>
  <c r="W217" i="5"/>
  <c r="X216" i="5"/>
  <c r="W216" i="5"/>
  <c r="X215" i="5"/>
  <c r="W215" i="5"/>
  <c r="X214" i="5"/>
  <c r="W214" i="5"/>
  <c r="X213" i="5"/>
  <c r="W213" i="5"/>
  <c r="X212" i="5"/>
  <c r="W212" i="5"/>
  <c r="X211" i="5"/>
  <c r="W211" i="5"/>
  <c r="X210" i="5"/>
  <c r="W210" i="5"/>
  <c r="X209" i="5"/>
  <c r="W209" i="5"/>
  <c r="X208" i="5"/>
  <c r="W208" i="5"/>
  <c r="X207" i="5"/>
  <c r="W207" i="5"/>
  <c r="X206" i="5"/>
  <c r="W206" i="5"/>
  <c r="X205" i="5"/>
  <c r="W205" i="5"/>
  <c r="X204" i="5"/>
  <c r="W204" i="5"/>
  <c r="X203" i="5"/>
  <c r="W203" i="5"/>
  <c r="X202" i="5"/>
  <c r="W202" i="5"/>
  <c r="X201" i="5"/>
  <c r="W201" i="5"/>
  <c r="X200" i="5"/>
  <c r="W200" i="5"/>
  <c r="X199" i="5"/>
  <c r="W199" i="5"/>
  <c r="X198" i="5"/>
  <c r="W198" i="5"/>
  <c r="X197" i="5"/>
  <c r="W197" i="5"/>
  <c r="X196" i="5"/>
  <c r="W196" i="5"/>
  <c r="X195" i="5"/>
  <c r="W195" i="5"/>
  <c r="X194" i="5"/>
  <c r="W194" i="5"/>
  <c r="X193" i="5"/>
  <c r="W193" i="5"/>
  <c r="X192" i="5"/>
  <c r="W192" i="5"/>
  <c r="X191" i="5"/>
  <c r="W191" i="5"/>
  <c r="X190" i="5"/>
  <c r="W190" i="5"/>
  <c r="X189" i="5"/>
  <c r="W189" i="5"/>
  <c r="X188" i="5"/>
  <c r="W188" i="5"/>
  <c r="X187" i="5"/>
  <c r="W187" i="5"/>
  <c r="X186" i="5"/>
  <c r="W186" i="5"/>
  <c r="X185" i="5"/>
  <c r="W185" i="5"/>
  <c r="X184" i="5"/>
  <c r="W184" i="5"/>
  <c r="X183" i="5"/>
  <c r="W183" i="5"/>
  <c r="X182" i="5"/>
  <c r="W182" i="5"/>
  <c r="X181" i="5"/>
  <c r="W181" i="5"/>
  <c r="X180" i="5"/>
  <c r="W180" i="5"/>
  <c r="X179" i="5"/>
  <c r="W179" i="5"/>
  <c r="X178" i="5"/>
  <c r="W178" i="5"/>
  <c r="X177" i="5"/>
  <c r="W177" i="5"/>
  <c r="X176" i="5"/>
  <c r="W176" i="5"/>
  <c r="X175" i="5"/>
  <c r="W175" i="5"/>
  <c r="X174" i="5"/>
  <c r="W174" i="5"/>
  <c r="X173" i="5"/>
  <c r="W173" i="5"/>
  <c r="X172" i="5"/>
  <c r="W172" i="5"/>
  <c r="X171" i="5"/>
  <c r="W171" i="5"/>
  <c r="X170" i="5"/>
  <c r="W170" i="5"/>
  <c r="X169" i="5"/>
  <c r="W169" i="5"/>
  <c r="X168" i="5"/>
  <c r="W168" i="5"/>
  <c r="X167" i="5"/>
  <c r="W167" i="5"/>
  <c r="X166" i="5"/>
  <c r="W166" i="5"/>
  <c r="X165" i="5"/>
  <c r="W165" i="5"/>
  <c r="X164" i="5"/>
  <c r="W164" i="5"/>
  <c r="X163" i="5"/>
  <c r="W163" i="5"/>
  <c r="X162" i="5"/>
  <c r="W162" i="5"/>
  <c r="X161" i="5"/>
  <c r="W161" i="5"/>
  <c r="X160" i="5"/>
  <c r="W160" i="5"/>
  <c r="X159" i="5"/>
  <c r="W159" i="5"/>
  <c r="X158" i="5"/>
  <c r="W158" i="5"/>
  <c r="X157" i="5"/>
  <c r="W157" i="5"/>
  <c r="X156" i="5"/>
  <c r="W156" i="5"/>
  <c r="X155" i="5"/>
  <c r="W155" i="5"/>
  <c r="X154" i="5"/>
  <c r="W154" i="5"/>
  <c r="X153" i="5"/>
  <c r="W153" i="5"/>
  <c r="X152" i="5"/>
  <c r="W152" i="5"/>
  <c r="X151" i="5"/>
  <c r="W151" i="5"/>
  <c r="X150" i="5"/>
  <c r="W150" i="5"/>
  <c r="X149" i="5"/>
  <c r="W149" i="5"/>
  <c r="X148" i="5"/>
  <c r="W148" i="5"/>
  <c r="X147" i="5"/>
  <c r="W147" i="5"/>
  <c r="X146" i="5"/>
  <c r="W146" i="5"/>
  <c r="X145" i="5"/>
  <c r="W145" i="5"/>
  <c r="X144" i="5"/>
  <c r="W144" i="5"/>
  <c r="X143" i="5"/>
  <c r="W143" i="5"/>
  <c r="X142" i="5"/>
  <c r="W142" i="5"/>
  <c r="X141" i="5"/>
  <c r="W141" i="5"/>
  <c r="X140" i="5"/>
  <c r="W140" i="5"/>
  <c r="X139" i="5"/>
  <c r="W139" i="5"/>
  <c r="X138" i="5"/>
  <c r="W138" i="5"/>
  <c r="X137" i="5"/>
  <c r="W137" i="5"/>
  <c r="X136" i="5"/>
  <c r="W136" i="5"/>
  <c r="X135" i="5"/>
  <c r="W135" i="5"/>
  <c r="X134" i="5"/>
  <c r="W134" i="5"/>
  <c r="X133" i="5"/>
  <c r="W133" i="5"/>
  <c r="X132" i="5"/>
  <c r="W132" i="5"/>
  <c r="X131" i="5"/>
  <c r="W131" i="5"/>
  <c r="X130" i="5"/>
  <c r="W130" i="5"/>
  <c r="X129" i="5"/>
  <c r="W129" i="5"/>
  <c r="X128" i="5"/>
  <c r="W128" i="5"/>
  <c r="X127" i="5"/>
  <c r="W127" i="5"/>
  <c r="X126" i="5"/>
  <c r="W126" i="5"/>
  <c r="X125" i="5"/>
  <c r="W125" i="5"/>
  <c r="X124" i="5"/>
  <c r="W124" i="5"/>
  <c r="X123" i="5"/>
  <c r="W123" i="5"/>
  <c r="X122" i="5"/>
  <c r="W122" i="5"/>
  <c r="X121" i="5"/>
  <c r="W121" i="5"/>
  <c r="X120" i="5"/>
  <c r="W120" i="5"/>
  <c r="X119" i="5"/>
  <c r="W119" i="5"/>
  <c r="X118" i="5"/>
  <c r="W118" i="5"/>
  <c r="X117" i="5"/>
  <c r="W117" i="5"/>
  <c r="X116" i="5"/>
  <c r="W116" i="5"/>
  <c r="X115" i="5"/>
  <c r="W115" i="5"/>
  <c r="X114" i="5"/>
  <c r="W114" i="5"/>
  <c r="X113" i="5"/>
  <c r="W113" i="5"/>
  <c r="X112" i="5"/>
  <c r="W112" i="5"/>
  <c r="X111" i="5"/>
  <c r="W111" i="5"/>
  <c r="X110" i="5"/>
  <c r="W110" i="5"/>
  <c r="X109" i="5"/>
  <c r="W109" i="5"/>
  <c r="X108" i="5"/>
  <c r="W108" i="5"/>
  <c r="X107" i="5"/>
  <c r="W107" i="5"/>
  <c r="X106" i="5"/>
  <c r="W106" i="5"/>
  <c r="X105" i="5"/>
  <c r="W105" i="5"/>
  <c r="X104" i="5"/>
  <c r="W104" i="5"/>
  <c r="X103" i="5"/>
  <c r="W103" i="5"/>
  <c r="X102" i="5"/>
  <c r="W102" i="5"/>
  <c r="X101" i="5"/>
  <c r="W101" i="5"/>
  <c r="X100" i="5"/>
  <c r="W100" i="5"/>
  <c r="X99" i="5"/>
  <c r="W99" i="5"/>
  <c r="X98" i="5"/>
  <c r="W98" i="5"/>
  <c r="X97" i="5"/>
  <c r="W97" i="5"/>
  <c r="X96" i="5"/>
  <c r="W96" i="5"/>
  <c r="X95" i="5"/>
  <c r="W95" i="5"/>
  <c r="X94" i="5"/>
  <c r="W94" i="5"/>
  <c r="X93" i="5"/>
  <c r="W93" i="5"/>
  <c r="X92" i="5"/>
  <c r="W92" i="5"/>
  <c r="X91" i="5"/>
  <c r="W91" i="5"/>
  <c r="X90" i="5"/>
  <c r="W90" i="5"/>
  <c r="X89" i="5"/>
  <c r="W89" i="5"/>
  <c r="X88" i="5"/>
  <c r="W88" i="5"/>
  <c r="X87" i="5"/>
  <c r="W87" i="5"/>
  <c r="X86" i="5"/>
  <c r="W86" i="5"/>
  <c r="X85" i="5"/>
  <c r="W85" i="5"/>
  <c r="X84" i="5"/>
  <c r="W84" i="5"/>
  <c r="X83" i="5"/>
  <c r="W83" i="5"/>
  <c r="X82" i="5"/>
  <c r="W82" i="5"/>
  <c r="X81" i="5"/>
  <c r="W81" i="5"/>
  <c r="X80" i="5"/>
  <c r="W80" i="5"/>
  <c r="X79" i="5"/>
  <c r="W79" i="5"/>
  <c r="X78" i="5"/>
  <c r="W78" i="5"/>
  <c r="X77" i="5"/>
  <c r="W77" i="5"/>
  <c r="X76" i="5"/>
  <c r="W76" i="5"/>
  <c r="X75" i="5"/>
  <c r="W75" i="5"/>
  <c r="X74" i="5"/>
  <c r="W74" i="5"/>
  <c r="X73" i="5"/>
  <c r="W73" i="5"/>
  <c r="X72" i="5"/>
  <c r="W72" i="5"/>
  <c r="X71" i="5"/>
  <c r="W71" i="5"/>
  <c r="X70" i="5"/>
  <c r="W70" i="5"/>
  <c r="X69" i="5"/>
  <c r="W69" i="5"/>
  <c r="X68" i="5"/>
  <c r="W68" i="5"/>
  <c r="X67" i="5"/>
  <c r="W67" i="5"/>
  <c r="X66" i="5"/>
  <c r="W66" i="5"/>
  <c r="X65" i="5"/>
  <c r="W65" i="5"/>
  <c r="X64" i="5"/>
  <c r="W64" i="5"/>
  <c r="X63" i="5"/>
  <c r="W63" i="5"/>
  <c r="X62" i="5"/>
  <c r="W62" i="5"/>
  <c r="X61" i="5"/>
  <c r="W61" i="5"/>
  <c r="X60" i="5"/>
  <c r="W60" i="5"/>
  <c r="X59" i="5"/>
  <c r="W59" i="5"/>
  <c r="X58" i="5"/>
  <c r="W58" i="5"/>
  <c r="X57" i="5"/>
  <c r="W57" i="5"/>
  <c r="X56" i="5"/>
  <c r="W56" i="5"/>
  <c r="X55" i="5"/>
  <c r="W55" i="5"/>
  <c r="X54" i="5"/>
  <c r="W54" i="5"/>
  <c r="X53" i="5"/>
  <c r="W53" i="5"/>
  <c r="X52" i="5"/>
  <c r="W52" i="5"/>
  <c r="X51" i="5"/>
  <c r="W51" i="5"/>
  <c r="X50" i="5"/>
  <c r="W50" i="5"/>
  <c r="X49" i="5"/>
  <c r="W49" i="5"/>
  <c r="X48" i="5"/>
  <c r="W48" i="5"/>
  <c r="X47" i="5"/>
  <c r="W47" i="5"/>
  <c r="X46" i="5"/>
  <c r="W46" i="5"/>
  <c r="X45" i="5"/>
  <c r="W45" i="5"/>
  <c r="X44" i="5"/>
  <c r="W44" i="5"/>
  <c r="X43" i="5"/>
  <c r="W43" i="5"/>
  <c r="X42" i="5"/>
  <c r="W42" i="5"/>
  <c r="X41" i="5"/>
  <c r="W41" i="5"/>
  <c r="X40" i="5"/>
  <c r="W40" i="5"/>
  <c r="X39" i="5"/>
  <c r="W39" i="5"/>
  <c r="X38" i="5"/>
  <c r="W38" i="5"/>
  <c r="X37" i="5"/>
  <c r="W37" i="5"/>
  <c r="X36" i="5"/>
  <c r="W36" i="5"/>
  <c r="X35" i="5"/>
  <c r="W35" i="5"/>
  <c r="X34" i="5"/>
  <c r="W34" i="5"/>
  <c r="X33" i="5"/>
  <c r="W33" i="5"/>
  <c r="X32" i="5"/>
  <c r="W32" i="5"/>
  <c r="X31" i="5"/>
  <c r="W31" i="5"/>
  <c r="X30" i="5"/>
  <c r="W30" i="5"/>
  <c r="X29" i="5"/>
  <c r="W29" i="5"/>
  <c r="X28" i="5"/>
  <c r="W28" i="5"/>
  <c r="X27" i="5"/>
  <c r="W27" i="5"/>
  <c r="X26" i="5"/>
  <c r="W26" i="5"/>
  <c r="X25" i="5"/>
  <c r="W25" i="5"/>
  <c r="X24" i="5"/>
  <c r="W24" i="5"/>
  <c r="X23" i="5"/>
  <c r="W23" i="5"/>
  <c r="X22" i="5"/>
  <c r="W22" i="5"/>
  <c r="X21" i="5"/>
  <c r="W21" i="5"/>
  <c r="X20" i="5"/>
  <c r="W20" i="5"/>
  <c r="X19" i="5"/>
  <c r="W19" i="5"/>
  <c r="X18" i="5"/>
  <c r="W18" i="5"/>
  <c r="X17" i="5"/>
  <c r="W17" i="5"/>
  <c r="X16" i="5"/>
  <c r="W16" i="5"/>
  <c r="X15" i="5"/>
  <c r="W15" i="5"/>
  <c r="X14" i="5"/>
  <c r="W14" i="5"/>
  <c r="X13" i="5"/>
  <c r="W13" i="5"/>
  <c r="X12" i="5"/>
  <c r="W12" i="5"/>
  <c r="X11" i="5"/>
  <c r="W11" i="5"/>
  <c r="X10" i="5"/>
  <c r="W10" i="5"/>
  <c r="X9" i="5"/>
  <c r="W9" i="5"/>
  <c r="X8" i="5"/>
  <c r="W8" i="5"/>
  <c r="X7" i="5"/>
  <c r="W7" i="5"/>
  <c r="X6" i="5"/>
  <c r="W6" i="5"/>
  <c r="X5" i="5"/>
  <c r="W5" i="5"/>
  <c r="X4" i="5"/>
  <c r="W4" i="5"/>
  <c r="X3" i="5"/>
  <c r="W3" i="5"/>
  <c r="X2" i="5"/>
  <c r="W2" i="5"/>
  <c r="R343" i="4"/>
  <c r="R342" i="4"/>
  <c r="R341" i="4"/>
  <c r="R340" i="4"/>
  <c r="R339" i="4"/>
  <c r="R338" i="4"/>
  <c r="R337" i="4"/>
  <c r="R336" i="4"/>
  <c r="R335" i="4"/>
  <c r="R334" i="4"/>
  <c r="R333" i="4"/>
  <c r="R332" i="4"/>
  <c r="R331" i="4"/>
  <c r="R330" i="4"/>
  <c r="R329" i="4"/>
  <c r="R328" i="4"/>
  <c r="R327" i="4"/>
  <c r="R326" i="4"/>
  <c r="R325" i="4"/>
  <c r="R324" i="4"/>
  <c r="R323" i="4"/>
  <c r="R322" i="4"/>
  <c r="R321" i="4"/>
  <c r="R320" i="4"/>
  <c r="R319" i="4"/>
  <c r="R318" i="4"/>
  <c r="R317" i="4"/>
  <c r="R316" i="4"/>
  <c r="R315" i="4"/>
  <c r="R314" i="4"/>
  <c r="R313" i="4"/>
  <c r="R312" i="4"/>
  <c r="R311" i="4"/>
  <c r="R310" i="4"/>
  <c r="R309" i="4"/>
  <c r="R308" i="4"/>
  <c r="R307" i="4"/>
  <c r="R306" i="4"/>
  <c r="R305" i="4"/>
  <c r="R304" i="4"/>
  <c r="R303" i="4"/>
  <c r="R302" i="4"/>
  <c r="R301" i="4"/>
  <c r="R300" i="4"/>
  <c r="R299" i="4"/>
  <c r="R298" i="4"/>
  <c r="R297" i="4"/>
  <c r="R296" i="4"/>
  <c r="R295" i="4"/>
  <c r="R294" i="4"/>
  <c r="R293" i="4"/>
  <c r="R292" i="4"/>
  <c r="R291" i="4"/>
  <c r="R290" i="4"/>
  <c r="R289" i="4"/>
  <c r="R288" i="4"/>
  <c r="R287" i="4"/>
  <c r="R286" i="4"/>
  <c r="R285" i="4"/>
  <c r="R284" i="4"/>
  <c r="R283" i="4"/>
  <c r="R282" i="4"/>
  <c r="R281" i="4"/>
  <c r="R280" i="4"/>
  <c r="R279" i="4"/>
  <c r="R278" i="4"/>
  <c r="R277" i="4"/>
  <c r="R276" i="4"/>
  <c r="R275" i="4"/>
  <c r="R274" i="4"/>
  <c r="R273" i="4"/>
  <c r="R272" i="4"/>
  <c r="R271" i="4"/>
  <c r="R270" i="4"/>
  <c r="R269" i="4"/>
  <c r="R268" i="4"/>
  <c r="R267" i="4"/>
  <c r="R266" i="4"/>
  <c r="R265" i="4"/>
  <c r="R264" i="4"/>
  <c r="R263" i="4"/>
  <c r="R262" i="4"/>
  <c r="R261" i="4"/>
  <c r="R260" i="4"/>
  <c r="R259" i="4"/>
  <c r="R258" i="4"/>
  <c r="R257" i="4"/>
  <c r="R256" i="4"/>
  <c r="R255" i="4"/>
  <c r="R254" i="4"/>
  <c r="R253" i="4"/>
  <c r="R252" i="4"/>
  <c r="R251" i="4"/>
  <c r="R250" i="4"/>
  <c r="R249" i="4"/>
  <c r="R248" i="4"/>
  <c r="R247" i="4"/>
  <c r="R246" i="4"/>
  <c r="R245" i="4"/>
  <c r="R244" i="4"/>
  <c r="R243" i="4"/>
  <c r="R242" i="4"/>
  <c r="R241" i="4"/>
  <c r="R240" i="4"/>
  <c r="R239" i="4"/>
  <c r="R238" i="4"/>
  <c r="R237" i="4"/>
  <c r="R236" i="4"/>
  <c r="R235" i="4"/>
  <c r="R234" i="4"/>
  <c r="R233" i="4"/>
  <c r="R232" i="4"/>
  <c r="R231" i="4"/>
  <c r="R230" i="4"/>
  <c r="R229" i="4"/>
  <c r="R228" i="4"/>
  <c r="R227" i="4"/>
  <c r="R226" i="4"/>
  <c r="R225" i="4"/>
  <c r="R224" i="4"/>
  <c r="R223" i="4"/>
  <c r="R222" i="4"/>
  <c r="R221" i="4"/>
  <c r="R220" i="4"/>
  <c r="R219" i="4"/>
  <c r="R218" i="4"/>
  <c r="R217" i="4"/>
  <c r="R216" i="4"/>
  <c r="R215" i="4"/>
  <c r="R214" i="4"/>
  <c r="R213" i="4"/>
  <c r="R212" i="4"/>
  <c r="R211" i="4"/>
  <c r="R210" i="4"/>
  <c r="R209" i="4"/>
  <c r="R208" i="4"/>
  <c r="R207" i="4"/>
  <c r="R206" i="4"/>
  <c r="R205" i="4"/>
  <c r="R204" i="4"/>
  <c r="R203" i="4"/>
  <c r="R202" i="4"/>
  <c r="R201" i="4"/>
  <c r="R200" i="4"/>
  <c r="R199" i="4"/>
  <c r="R198" i="4"/>
  <c r="R197" i="4"/>
  <c r="R196" i="4"/>
  <c r="R195" i="4"/>
  <c r="R194" i="4"/>
  <c r="R193" i="4"/>
  <c r="R192" i="4"/>
  <c r="R191" i="4"/>
  <c r="R190" i="4"/>
  <c r="R189" i="4"/>
  <c r="R188" i="4"/>
  <c r="R187" i="4"/>
  <c r="R186" i="4"/>
  <c r="R185" i="4"/>
  <c r="R184" i="4"/>
  <c r="R183" i="4"/>
  <c r="R182" i="4"/>
  <c r="R181" i="4"/>
  <c r="R180" i="4"/>
  <c r="R179" i="4"/>
  <c r="R178" i="4"/>
  <c r="R177" i="4"/>
  <c r="R176" i="4"/>
  <c r="R175" i="4"/>
  <c r="R174" i="4"/>
  <c r="R173" i="4"/>
  <c r="R172" i="4"/>
  <c r="R171" i="4"/>
  <c r="R170" i="4"/>
  <c r="R169" i="4"/>
  <c r="R168" i="4"/>
  <c r="R167" i="4"/>
  <c r="R166" i="4"/>
  <c r="R165" i="4"/>
  <c r="R164" i="4"/>
  <c r="R163" i="4"/>
  <c r="R162" i="4"/>
  <c r="R161" i="4"/>
  <c r="R160" i="4"/>
  <c r="R159" i="4"/>
  <c r="R158" i="4"/>
  <c r="R157" i="4"/>
  <c r="R156" i="4"/>
  <c r="R155" i="4"/>
  <c r="R154" i="4"/>
  <c r="R153" i="4"/>
  <c r="R152" i="4"/>
  <c r="R151" i="4"/>
  <c r="R150" i="4"/>
  <c r="R149" i="4"/>
  <c r="R148" i="4"/>
  <c r="R147" i="4"/>
  <c r="R146" i="4"/>
  <c r="R145" i="4"/>
  <c r="R144" i="4"/>
  <c r="R143" i="4"/>
  <c r="R142" i="4"/>
  <c r="R141" i="4"/>
  <c r="R140" i="4"/>
  <c r="R139" i="4"/>
  <c r="R138" i="4"/>
  <c r="R137" i="4"/>
  <c r="R136" i="4"/>
  <c r="R135" i="4"/>
  <c r="R134" i="4"/>
  <c r="R133" i="4"/>
  <c r="R132" i="4"/>
  <c r="R131" i="4"/>
  <c r="R130" i="4"/>
  <c r="R129" i="4"/>
  <c r="R128" i="4"/>
  <c r="R127" i="4"/>
  <c r="R126" i="4"/>
  <c r="R125" i="4"/>
  <c r="R124" i="4"/>
  <c r="R123" i="4"/>
  <c r="R122" i="4"/>
  <c r="R121" i="4"/>
  <c r="R120" i="4"/>
  <c r="R119" i="4"/>
  <c r="R118" i="4"/>
  <c r="R117" i="4"/>
  <c r="R116" i="4"/>
  <c r="R115" i="4"/>
  <c r="R114" i="4"/>
  <c r="R113" i="4"/>
  <c r="R112" i="4"/>
  <c r="R111" i="4"/>
  <c r="R110" i="4"/>
  <c r="R109" i="4"/>
  <c r="R108" i="4"/>
  <c r="R107" i="4"/>
  <c r="R106" i="4"/>
  <c r="R105" i="4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7" i="4"/>
  <c r="R6" i="4"/>
  <c r="R5" i="4"/>
  <c r="R4" i="4"/>
  <c r="R3" i="4"/>
  <c r="AO351" i="3"/>
  <c r="AQ351" i="3" s="1"/>
  <c r="AB351" i="3"/>
  <c r="AF351" i="3" s="1"/>
  <c r="Y351" i="3"/>
  <c r="Z351" i="3" s="1"/>
  <c r="W351" i="3"/>
  <c r="V351" i="3"/>
  <c r="R351" i="3"/>
  <c r="AO350" i="3"/>
  <c r="AQ350" i="3" s="1"/>
  <c r="AB350" i="3"/>
  <c r="AF350" i="3" s="1"/>
  <c r="Y350" i="3"/>
  <c r="Z350" i="3" s="1"/>
  <c r="W350" i="3"/>
  <c r="V350" i="3"/>
  <c r="R350" i="3"/>
  <c r="AO349" i="3"/>
  <c r="AQ349" i="3" s="1"/>
  <c r="AD349" i="3"/>
  <c r="AC349" i="3"/>
  <c r="AE349" i="3" s="1"/>
  <c r="AB349" i="3"/>
  <c r="AF349" i="3" s="1"/>
  <c r="R349" i="3"/>
  <c r="Y349" i="3" s="1"/>
  <c r="Z349" i="3" s="1"/>
  <c r="AO348" i="3"/>
  <c r="AQ348" i="3" s="1"/>
  <c r="AD348" i="3"/>
  <c r="AB348" i="3"/>
  <c r="AC348" i="3" s="1"/>
  <c r="AE348" i="3" s="1"/>
  <c r="R348" i="3"/>
  <c r="Y348" i="3" s="1"/>
  <c r="Z348" i="3" s="1"/>
  <c r="AQ347" i="3"/>
  <c r="AP347" i="3"/>
  <c r="AO347" i="3"/>
  <c r="AF347" i="3"/>
  <c r="AE347" i="3"/>
  <c r="AD347" i="3"/>
  <c r="AC347" i="3"/>
  <c r="AB347" i="3"/>
  <c r="R347" i="3"/>
  <c r="Y347" i="3" s="1"/>
  <c r="Z347" i="3" s="1"/>
  <c r="AO346" i="3"/>
  <c r="AQ346" i="3" s="1"/>
  <c r="AF346" i="3"/>
  <c r="AE346" i="3"/>
  <c r="AD346" i="3"/>
  <c r="AC346" i="3"/>
  <c r="AB346" i="3"/>
  <c r="R346" i="3"/>
  <c r="Y346" i="3" s="1"/>
  <c r="Z346" i="3" s="1"/>
  <c r="AO345" i="3"/>
  <c r="AQ345" i="3" s="1"/>
  <c r="AB345" i="3"/>
  <c r="AF345" i="3" s="1"/>
  <c r="Y345" i="3"/>
  <c r="Z345" i="3" s="1"/>
  <c r="V345" i="3"/>
  <c r="W345" i="3" s="1"/>
  <c r="R345" i="3"/>
  <c r="AQ344" i="3"/>
  <c r="AP344" i="3"/>
  <c r="AO344" i="3"/>
  <c r="AF344" i="3"/>
  <c r="AC344" i="3"/>
  <c r="AE344" i="3" s="1"/>
  <c r="AB344" i="3"/>
  <c r="AD344" i="3" s="1"/>
  <c r="R344" i="3"/>
  <c r="Y344" i="3" s="1"/>
  <c r="Z344" i="3" s="1"/>
  <c r="AQ343" i="3"/>
  <c r="AO343" i="3"/>
  <c r="AP343" i="3" s="1"/>
  <c r="AB343" i="3"/>
  <c r="AF343" i="3" s="1"/>
  <c r="R343" i="3"/>
  <c r="Y343" i="3" s="1"/>
  <c r="Z343" i="3" s="1"/>
  <c r="AQ342" i="3"/>
  <c r="AP342" i="3"/>
  <c r="AO342" i="3"/>
  <c r="AC342" i="3"/>
  <c r="AE342" i="3" s="1"/>
  <c r="AB342" i="3"/>
  <c r="AF342" i="3" s="1"/>
  <c r="V342" i="3"/>
  <c r="W342" i="3" s="1"/>
  <c r="R342" i="3"/>
  <c r="Y342" i="3" s="1"/>
  <c r="Z342" i="3" s="1"/>
  <c r="AQ341" i="3"/>
  <c r="AP341" i="3"/>
  <c r="AO341" i="3"/>
  <c r="AB341" i="3"/>
  <c r="AF341" i="3" s="1"/>
  <c r="R341" i="3"/>
  <c r="V341" i="3" s="1"/>
  <c r="W341" i="3" s="1"/>
  <c r="AO340" i="3"/>
  <c r="AQ340" i="3" s="1"/>
  <c r="AF340" i="3"/>
  <c r="AD340" i="3"/>
  <c r="AC340" i="3"/>
  <c r="AE340" i="3" s="1"/>
  <c r="AB340" i="3"/>
  <c r="Y340" i="3"/>
  <c r="Z340" i="3" s="1"/>
  <c r="V340" i="3"/>
  <c r="W340" i="3" s="1"/>
  <c r="R340" i="3"/>
  <c r="AP339" i="3"/>
  <c r="AO339" i="3"/>
  <c r="AQ339" i="3" s="1"/>
  <c r="AD339" i="3"/>
  <c r="AB339" i="3"/>
  <c r="AF339" i="3" s="1"/>
  <c r="Z339" i="3"/>
  <c r="Y339" i="3"/>
  <c r="W339" i="3"/>
  <c r="V339" i="3"/>
  <c r="R339" i="3"/>
  <c r="AO338" i="3"/>
  <c r="AQ338" i="3" s="1"/>
  <c r="AB338" i="3"/>
  <c r="AF338" i="3" s="1"/>
  <c r="R338" i="3"/>
  <c r="Y338" i="3" s="1"/>
  <c r="Z338" i="3" s="1"/>
  <c r="AP337" i="3"/>
  <c r="AO337" i="3"/>
  <c r="AQ337" i="3" s="1"/>
  <c r="AF337" i="3"/>
  <c r="AC337" i="3"/>
  <c r="AE337" i="3" s="1"/>
  <c r="AB337" i="3"/>
  <c r="AD337" i="3" s="1"/>
  <c r="Z337" i="3"/>
  <c r="Y337" i="3"/>
  <c r="V337" i="3"/>
  <c r="W337" i="3" s="1"/>
  <c r="R337" i="3"/>
  <c r="AO336" i="3"/>
  <c r="AQ336" i="3" s="1"/>
  <c r="AD336" i="3"/>
  <c r="AB336" i="3"/>
  <c r="AC336" i="3" s="1"/>
  <c r="AE336" i="3" s="1"/>
  <c r="R336" i="3"/>
  <c r="Y336" i="3" s="1"/>
  <c r="Z336" i="3" s="1"/>
  <c r="AQ335" i="3"/>
  <c r="AP335" i="3"/>
  <c r="AO335" i="3"/>
  <c r="AB335" i="3"/>
  <c r="AD335" i="3" s="1"/>
  <c r="Y335" i="3"/>
  <c r="Z335" i="3" s="1"/>
  <c r="V335" i="3"/>
  <c r="W335" i="3" s="1"/>
  <c r="R335" i="3"/>
  <c r="AQ334" i="3"/>
  <c r="AO334" i="3"/>
  <c r="AP334" i="3" s="1"/>
  <c r="AF334" i="3"/>
  <c r="AD334" i="3"/>
  <c r="AC334" i="3"/>
  <c r="AE334" i="3" s="1"/>
  <c r="AB334" i="3"/>
  <c r="R334" i="3"/>
  <c r="Y334" i="3" s="1"/>
  <c r="Z334" i="3" s="1"/>
  <c r="AO333" i="3"/>
  <c r="AQ333" i="3" s="1"/>
  <c r="AD333" i="3"/>
  <c r="AB333" i="3"/>
  <c r="AF333" i="3" s="1"/>
  <c r="Y333" i="3"/>
  <c r="Z333" i="3" s="1"/>
  <c r="V333" i="3"/>
  <c r="W333" i="3" s="1"/>
  <c r="R333" i="3"/>
  <c r="AP332" i="3"/>
  <c r="AO332" i="3"/>
  <c r="AQ332" i="3" s="1"/>
  <c r="AF332" i="3"/>
  <c r="AE332" i="3"/>
  <c r="AC332" i="3"/>
  <c r="AB332" i="3"/>
  <c r="AD332" i="3" s="1"/>
  <c r="R332" i="3"/>
  <c r="Y332" i="3" s="1"/>
  <c r="Z332" i="3" s="1"/>
  <c r="AQ331" i="3"/>
  <c r="AO331" i="3"/>
  <c r="AP331" i="3" s="1"/>
  <c r="AF331" i="3"/>
  <c r="AB331" i="3"/>
  <c r="AD331" i="3" s="1"/>
  <c r="R331" i="3"/>
  <c r="Y331" i="3" s="1"/>
  <c r="Z331" i="3" s="1"/>
  <c r="AO330" i="3"/>
  <c r="AQ330" i="3" s="1"/>
  <c r="AC330" i="3"/>
  <c r="AE330" i="3" s="1"/>
  <c r="AB330" i="3"/>
  <c r="AF330" i="3" s="1"/>
  <c r="V330" i="3"/>
  <c r="W330" i="3" s="1"/>
  <c r="R330" i="3"/>
  <c r="Y330" i="3" s="1"/>
  <c r="Z330" i="3" s="1"/>
  <c r="AQ329" i="3"/>
  <c r="AP329" i="3"/>
  <c r="AO329" i="3"/>
  <c r="AB329" i="3"/>
  <c r="AF329" i="3" s="1"/>
  <c r="R329" i="3"/>
  <c r="V329" i="3" s="1"/>
  <c r="W329" i="3" s="1"/>
  <c r="AQ328" i="3"/>
  <c r="AO328" i="3"/>
  <c r="AP328" i="3" s="1"/>
  <c r="AF328" i="3"/>
  <c r="AD328" i="3"/>
  <c r="AC328" i="3"/>
  <c r="AE328" i="3" s="1"/>
  <c r="AB328" i="3"/>
  <c r="Y328" i="3"/>
  <c r="Z328" i="3" s="1"/>
  <c r="R328" i="3"/>
  <c r="V328" i="3" s="1"/>
  <c r="W328" i="3" s="1"/>
  <c r="AP327" i="3"/>
  <c r="AO327" i="3"/>
  <c r="AQ327" i="3" s="1"/>
  <c r="AF327" i="3"/>
  <c r="AD327" i="3"/>
  <c r="AB327" i="3"/>
  <c r="AC327" i="3" s="1"/>
  <c r="AE327" i="3" s="1"/>
  <c r="Z327" i="3"/>
  <c r="Y327" i="3"/>
  <c r="V327" i="3"/>
  <c r="W327" i="3" s="1"/>
  <c r="R327" i="3"/>
  <c r="AO326" i="3"/>
  <c r="AQ326" i="3" s="1"/>
  <c r="AB326" i="3"/>
  <c r="AF326" i="3" s="1"/>
  <c r="R326" i="3"/>
  <c r="Y326" i="3" s="1"/>
  <c r="Z326" i="3" s="1"/>
  <c r="AP325" i="3"/>
  <c r="AO325" i="3"/>
  <c r="AQ325" i="3" s="1"/>
  <c r="AF325" i="3"/>
  <c r="AC325" i="3"/>
  <c r="AE325" i="3" s="1"/>
  <c r="AB325" i="3"/>
  <c r="AD325" i="3" s="1"/>
  <c r="Y325" i="3"/>
  <c r="Z325" i="3" s="1"/>
  <c r="V325" i="3"/>
  <c r="W325" i="3" s="1"/>
  <c r="R325" i="3"/>
  <c r="AO324" i="3"/>
  <c r="AQ324" i="3" s="1"/>
  <c r="AD324" i="3"/>
  <c r="AB324" i="3"/>
  <c r="AC324" i="3" s="1"/>
  <c r="AE324" i="3" s="1"/>
  <c r="R324" i="3"/>
  <c r="Y324" i="3" s="1"/>
  <c r="Z324" i="3" s="1"/>
  <c r="AQ323" i="3"/>
  <c r="AP323" i="3"/>
  <c r="AO323" i="3"/>
  <c r="AB323" i="3"/>
  <c r="AD323" i="3" s="1"/>
  <c r="Y323" i="3"/>
  <c r="Z323" i="3" s="1"/>
  <c r="V323" i="3"/>
  <c r="W323" i="3" s="1"/>
  <c r="R323" i="3"/>
  <c r="AQ322" i="3"/>
  <c r="AO322" i="3"/>
  <c r="AP322" i="3" s="1"/>
  <c r="AF322" i="3"/>
  <c r="AD322" i="3"/>
  <c r="AC322" i="3"/>
  <c r="AE322" i="3" s="1"/>
  <c r="AB322" i="3"/>
  <c r="Y322" i="3"/>
  <c r="Z322" i="3" s="1"/>
  <c r="R322" i="3"/>
  <c r="V322" i="3" s="1"/>
  <c r="W322" i="3" s="1"/>
  <c r="AO321" i="3"/>
  <c r="AQ321" i="3" s="1"/>
  <c r="AD321" i="3"/>
  <c r="AB321" i="3"/>
  <c r="AF321" i="3" s="1"/>
  <c r="Z321" i="3"/>
  <c r="Y321" i="3"/>
  <c r="V321" i="3"/>
  <c r="W321" i="3" s="1"/>
  <c r="R321" i="3"/>
  <c r="AP320" i="3"/>
  <c r="AO320" i="3"/>
  <c r="AQ320" i="3" s="1"/>
  <c r="AB320" i="3"/>
  <c r="AF320" i="3" s="1"/>
  <c r="R320" i="3"/>
  <c r="Y320" i="3" s="1"/>
  <c r="Z320" i="3" s="1"/>
  <c r="AQ319" i="3"/>
  <c r="AO319" i="3"/>
  <c r="AP319" i="3" s="1"/>
  <c r="AF319" i="3"/>
  <c r="AC319" i="3"/>
  <c r="AE319" i="3" s="1"/>
  <c r="AB319" i="3"/>
  <c r="AD319" i="3" s="1"/>
  <c r="R319" i="3"/>
  <c r="Y319" i="3" s="1"/>
  <c r="Z319" i="3" s="1"/>
  <c r="AO318" i="3"/>
  <c r="AQ318" i="3" s="1"/>
  <c r="AD318" i="3"/>
  <c r="AC318" i="3"/>
  <c r="AE318" i="3" s="1"/>
  <c r="AB318" i="3"/>
  <c r="AF318" i="3" s="1"/>
  <c r="V318" i="3"/>
  <c r="W318" i="3" s="1"/>
  <c r="R318" i="3"/>
  <c r="Y318" i="3" s="1"/>
  <c r="Z318" i="3" s="1"/>
  <c r="AQ317" i="3"/>
  <c r="AP317" i="3"/>
  <c r="AO317" i="3"/>
  <c r="AB317" i="3"/>
  <c r="AF317" i="3" s="1"/>
  <c r="R317" i="3"/>
  <c r="V317" i="3" s="1"/>
  <c r="W317" i="3" s="1"/>
  <c r="AQ316" i="3"/>
  <c r="AO316" i="3"/>
  <c r="AP316" i="3" s="1"/>
  <c r="AF316" i="3"/>
  <c r="AD316" i="3"/>
  <c r="AC316" i="3"/>
  <c r="AE316" i="3" s="1"/>
  <c r="AB316" i="3"/>
  <c r="Y316" i="3"/>
  <c r="Z316" i="3" s="1"/>
  <c r="R316" i="3"/>
  <c r="V316" i="3" s="1"/>
  <c r="W316" i="3" s="1"/>
  <c r="AO315" i="3"/>
  <c r="AQ315" i="3" s="1"/>
  <c r="AF315" i="3"/>
  <c r="AD315" i="3"/>
  <c r="AB315" i="3"/>
  <c r="AC315" i="3" s="1"/>
  <c r="AE315" i="3" s="1"/>
  <c r="Z315" i="3"/>
  <c r="Y315" i="3"/>
  <c r="V315" i="3"/>
  <c r="W315" i="3" s="1"/>
  <c r="R315" i="3"/>
  <c r="AP314" i="3"/>
  <c r="AO314" i="3"/>
  <c r="AQ314" i="3" s="1"/>
  <c r="AB314" i="3"/>
  <c r="AF314" i="3" s="1"/>
  <c r="R314" i="3"/>
  <c r="Y314" i="3" s="1"/>
  <c r="Z314" i="3" s="1"/>
  <c r="AQ313" i="3"/>
  <c r="AP313" i="3"/>
  <c r="AO313" i="3"/>
  <c r="AF313" i="3"/>
  <c r="AC313" i="3"/>
  <c r="AE313" i="3" s="1"/>
  <c r="AB313" i="3"/>
  <c r="AD313" i="3" s="1"/>
  <c r="Y313" i="3"/>
  <c r="Z313" i="3" s="1"/>
  <c r="R313" i="3"/>
  <c r="V313" i="3" s="1"/>
  <c r="W313" i="3" s="1"/>
  <c r="AO312" i="3"/>
  <c r="AQ312" i="3" s="1"/>
  <c r="AD312" i="3"/>
  <c r="AC312" i="3"/>
  <c r="AE312" i="3" s="1"/>
  <c r="AB312" i="3"/>
  <c r="AF312" i="3" s="1"/>
  <c r="V312" i="3"/>
  <c r="W312" i="3" s="1"/>
  <c r="R312" i="3"/>
  <c r="Y312" i="3" s="1"/>
  <c r="Z312" i="3" s="1"/>
  <c r="AQ311" i="3"/>
  <c r="AP311" i="3"/>
  <c r="AO311" i="3"/>
  <c r="AB311" i="3"/>
  <c r="AD311" i="3" s="1"/>
  <c r="Y311" i="3"/>
  <c r="Z311" i="3" s="1"/>
  <c r="W311" i="3"/>
  <c r="V311" i="3"/>
  <c r="R311" i="3"/>
  <c r="AQ310" i="3"/>
  <c r="AO310" i="3"/>
  <c r="AP310" i="3" s="1"/>
  <c r="AF310" i="3"/>
  <c r="AD310" i="3"/>
  <c r="AC310" i="3"/>
  <c r="AE310" i="3" s="1"/>
  <c r="AB310" i="3"/>
  <c r="Y310" i="3"/>
  <c r="Z310" i="3" s="1"/>
  <c r="R310" i="3"/>
  <c r="V310" i="3" s="1"/>
  <c r="W310" i="3" s="1"/>
  <c r="AO309" i="3"/>
  <c r="AQ309" i="3" s="1"/>
  <c r="AD309" i="3"/>
  <c r="AB309" i="3"/>
  <c r="AF309" i="3" s="1"/>
  <c r="Z309" i="3"/>
  <c r="Y309" i="3"/>
  <c r="V309" i="3"/>
  <c r="W309" i="3" s="1"/>
  <c r="R309" i="3"/>
  <c r="AP308" i="3"/>
  <c r="AO308" i="3"/>
  <c r="AQ308" i="3" s="1"/>
  <c r="AB308" i="3"/>
  <c r="AF308" i="3" s="1"/>
  <c r="R308" i="3"/>
  <c r="Y308" i="3" s="1"/>
  <c r="Z308" i="3" s="1"/>
  <c r="AQ307" i="3"/>
  <c r="AP307" i="3"/>
  <c r="AO307" i="3"/>
  <c r="AF307" i="3"/>
  <c r="AC307" i="3"/>
  <c r="AE307" i="3" s="1"/>
  <c r="AB307" i="3"/>
  <c r="AD307" i="3" s="1"/>
  <c r="R307" i="3"/>
  <c r="Y307" i="3" s="1"/>
  <c r="Z307" i="3" s="1"/>
  <c r="AO306" i="3"/>
  <c r="AQ306" i="3" s="1"/>
  <c r="AD306" i="3"/>
  <c r="AC306" i="3"/>
  <c r="AE306" i="3" s="1"/>
  <c r="AB306" i="3"/>
  <c r="AF306" i="3" s="1"/>
  <c r="V306" i="3"/>
  <c r="W306" i="3" s="1"/>
  <c r="R306" i="3"/>
  <c r="Y306" i="3" s="1"/>
  <c r="Z306" i="3" s="1"/>
  <c r="AQ305" i="3"/>
  <c r="AP305" i="3"/>
  <c r="AO305" i="3"/>
  <c r="AB305" i="3"/>
  <c r="AF305" i="3" s="1"/>
  <c r="W305" i="3"/>
  <c r="V305" i="3"/>
  <c r="R305" i="3"/>
  <c r="Y305" i="3" s="1"/>
  <c r="Z305" i="3" s="1"/>
  <c r="AQ304" i="3"/>
  <c r="AO304" i="3"/>
  <c r="AP304" i="3" s="1"/>
  <c r="AF304" i="3"/>
  <c r="AD304" i="3"/>
  <c r="AC304" i="3"/>
  <c r="AE304" i="3" s="1"/>
  <c r="AB304" i="3"/>
  <c r="Y304" i="3"/>
  <c r="Z304" i="3" s="1"/>
  <c r="R304" i="3"/>
  <c r="V304" i="3" s="1"/>
  <c r="W304" i="3" s="1"/>
  <c r="AO303" i="3"/>
  <c r="AQ303" i="3" s="1"/>
  <c r="AF303" i="3"/>
  <c r="AD303" i="3"/>
  <c r="AB303" i="3"/>
  <c r="AC303" i="3" s="1"/>
  <c r="AE303" i="3" s="1"/>
  <c r="Z303" i="3"/>
  <c r="Y303" i="3"/>
  <c r="V303" i="3"/>
  <c r="W303" i="3" s="1"/>
  <c r="R303" i="3"/>
  <c r="AP302" i="3"/>
  <c r="AO302" i="3"/>
  <c r="AQ302" i="3" s="1"/>
  <c r="AB302" i="3"/>
  <c r="AF302" i="3" s="1"/>
  <c r="R302" i="3"/>
  <c r="Y302" i="3" s="1"/>
  <c r="Z302" i="3" s="1"/>
  <c r="AQ301" i="3"/>
  <c r="AP301" i="3"/>
  <c r="AO301" i="3"/>
  <c r="AF301" i="3"/>
  <c r="AC301" i="3"/>
  <c r="AE301" i="3" s="1"/>
  <c r="AB301" i="3"/>
  <c r="AD301" i="3" s="1"/>
  <c r="Y301" i="3"/>
  <c r="Z301" i="3" s="1"/>
  <c r="R301" i="3"/>
  <c r="V301" i="3" s="1"/>
  <c r="W301" i="3" s="1"/>
  <c r="AO300" i="3"/>
  <c r="AQ300" i="3" s="1"/>
  <c r="AD300" i="3"/>
  <c r="AC300" i="3"/>
  <c r="AE300" i="3" s="1"/>
  <c r="AB300" i="3"/>
  <c r="AF300" i="3" s="1"/>
  <c r="V300" i="3"/>
  <c r="W300" i="3" s="1"/>
  <c r="R300" i="3"/>
  <c r="Y300" i="3" s="1"/>
  <c r="Z300" i="3" s="1"/>
  <c r="AQ299" i="3"/>
  <c r="AP299" i="3"/>
  <c r="AO299" i="3"/>
  <c r="AB299" i="3"/>
  <c r="AD299" i="3" s="1"/>
  <c r="Y299" i="3"/>
  <c r="Z299" i="3" s="1"/>
  <c r="W299" i="3"/>
  <c r="V299" i="3"/>
  <c r="R299" i="3"/>
  <c r="AQ298" i="3"/>
  <c r="AO298" i="3"/>
  <c r="AP298" i="3" s="1"/>
  <c r="AF298" i="3"/>
  <c r="AD298" i="3"/>
  <c r="AC298" i="3"/>
  <c r="AE298" i="3" s="1"/>
  <c r="AB298" i="3"/>
  <c r="Y298" i="3"/>
  <c r="Z298" i="3" s="1"/>
  <c r="R298" i="3"/>
  <c r="V298" i="3" s="1"/>
  <c r="W298" i="3" s="1"/>
  <c r="AO297" i="3"/>
  <c r="AQ297" i="3" s="1"/>
  <c r="AD297" i="3"/>
  <c r="AB297" i="3"/>
  <c r="AF297" i="3" s="1"/>
  <c r="Z297" i="3"/>
  <c r="Y297" i="3"/>
  <c r="V297" i="3"/>
  <c r="W297" i="3" s="1"/>
  <c r="R297" i="3"/>
  <c r="AP296" i="3"/>
  <c r="AO296" i="3"/>
  <c r="AQ296" i="3" s="1"/>
  <c r="AB296" i="3"/>
  <c r="AF296" i="3" s="1"/>
  <c r="R296" i="3"/>
  <c r="Y296" i="3" s="1"/>
  <c r="Z296" i="3" s="1"/>
  <c r="AQ295" i="3"/>
  <c r="AP295" i="3"/>
  <c r="AO295" i="3"/>
  <c r="AF295" i="3"/>
  <c r="AC295" i="3"/>
  <c r="AE295" i="3" s="1"/>
  <c r="AB295" i="3"/>
  <c r="AD295" i="3" s="1"/>
  <c r="R295" i="3"/>
  <c r="Y295" i="3" s="1"/>
  <c r="Z295" i="3" s="1"/>
  <c r="AO294" i="3"/>
  <c r="AQ294" i="3" s="1"/>
  <c r="AD294" i="3"/>
  <c r="AC294" i="3"/>
  <c r="AE294" i="3" s="1"/>
  <c r="AB294" i="3"/>
  <c r="AF294" i="3" s="1"/>
  <c r="V294" i="3"/>
  <c r="W294" i="3" s="1"/>
  <c r="R294" i="3"/>
  <c r="Y294" i="3" s="1"/>
  <c r="Z294" i="3" s="1"/>
  <c r="AQ293" i="3"/>
  <c r="AP293" i="3"/>
  <c r="AO293" i="3"/>
  <c r="AB293" i="3"/>
  <c r="AF293" i="3" s="1"/>
  <c r="W293" i="3"/>
  <c r="V293" i="3"/>
  <c r="R293" i="3"/>
  <c r="Y293" i="3" s="1"/>
  <c r="Z293" i="3" s="1"/>
  <c r="AQ292" i="3"/>
  <c r="AO292" i="3"/>
  <c r="AP292" i="3" s="1"/>
  <c r="AF292" i="3"/>
  <c r="AD292" i="3"/>
  <c r="AC292" i="3"/>
  <c r="AE292" i="3" s="1"/>
  <c r="AB292" i="3"/>
  <c r="Y292" i="3"/>
  <c r="Z292" i="3" s="1"/>
  <c r="R292" i="3"/>
  <c r="V292" i="3" s="1"/>
  <c r="W292" i="3" s="1"/>
  <c r="AO291" i="3"/>
  <c r="AQ291" i="3" s="1"/>
  <c r="AF291" i="3"/>
  <c r="AD291" i="3"/>
  <c r="AB291" i="3"/>
  <c r="AC291" i="3" s="1"/>
  <c r="AE291" i="3" s="1"/>
  <c r="Z291" i="3"/>
  <c r="Y291" i="3"/>
  <c r="V291" i="3"/>
  <c r="W291" i="3" s="1"/>
  <c r="R291" i="3"/>
  <c r="AP290" i="3"/>
  <c r="AO290" i="3"/>
  <c r="AQ290" i="3" s="1"/>
  <c r="AB290" i="3"/>
  <c r="AF290" i="3" s="1"/>
  <c r="R290" i="3"/>
  <c r="Y290" i="3" s="1"/>
  <c r="Z290" i="3" s="1"/>
  <c r="AQ289" i="3"/>
  <c r="AP289" i="3"/>
  <c r="AO289" i="3"/>
  <c r="AC289" i="3"/>
  <c r="AE289" i="3" s="1"/>
  <c r="AB289" i="3"/>
  <c r="AF289" i="3" s="1"/>
  <c r="Y289" i="3"/>
  <c r="Z289" i="3" s="1"/>
  <c r="R289" i="3"/>
  <c r="V289" i="3" s="1"/>
  <c r="W289" i="3" s="1"/>
  <c r="AO288" i="3"/>
  <c r="AQ288" i="3" s="1"/>
  <c r="AD288" i="3"/>
  <c r="AC288" i="3"/>
  <c r="AE288" i="3" s="1"/>
  <c r="AB288" i="3"/>
  <c r="AF288" i="3" s="1"/>
  <c r="V288" i="3"/>
  <c r="W288" i="3" s="1"/>
  <c r="R288" i="3"/>
  <c r="Y288" i="3" s="1"/>
  <c r="Z288" i="3" s="1"/>
  <c r="AQ287" i="3"/>
  <c r="AP287" i="3"/>
  <c r="AO287" i="3"/>
  <c r="AB287" i="3"/>
  <c r="AD287" i="3" s="1"/>
  <c r="Y287" i="3"/>
  <c r="Z287" i="3" s="1"/>
  <c r="W287" i="3"/>
  <c r="V287" i="3"/>
  <c r="R287" i="3"/>
  <c r="AQ286" i="3"/>
  <c r="AO286" i="3"/>
  <c r="AP286" i="3" s="1"/>
  <c r="AF286" i="3"/>
  <c r="AD286" i="3"/>
  <c r="AC286" i="3"/>
  <c r="AE286" i="3" s="1"/>
  <c r="AB286" i="3"/>
  <c r="Y286" i="3"/>
  <c r="Z286" i="3" s="1"/>
  <c r="R286" i="3"/>
  <c r="V286" i="3" s="1"/>
  <c r="W286" i="3" s="1"/>
  <c r="AO285" i="3"/>
  <c r="AQ285" i="3" s="1"/>
  <c r="AD285" i="3"/>
  <c r="AB285" i="3"/>
  <c r="AF285" i="3" s="1"/>
  <c r="Z285" i="3"/>
  <c r="Y285" i="3"/>
  <c r="V285" i="3"/>
  <c r="W285" i="3" s="1"/>
  <c r="R285" i="3"/>
  <c r="AP284" i="3"/>
  <c r="AO284" i="3"/>
  <c r="AQ284" i="3" s="1"/>
  <c r="AB284" i="3"/>
  <c r="AF284" i="3" s="1"/>
  <c r="R284" i="3"/>
  <c r="Y284" i="3" s="1"/>
  <c r="Z284" i="3" s="1"/>
  <c r="AQ283" i="3"/>
  <c r="AP283" i="3"/>
  <c r="AO283" i="3"/>
  <c r="AF283" i="3"/>
  <c r="AC283" i="3"/>
  <c r="AE283" i="3" s="1"/>
  <c r="AB283" i="3"/>
  <c r="AD283" i="3" s="1"/>
  <c r="R283" i="3"/>
  <c r="Y283" i="3" s="1"/>
  <c r="Z283" i="3" s="1"/>
  <c r="AO282" i="3"/>
  <c r="AQ282" i="3" s="1"/>
  <c r="AD282" i="3"/>
  <c r="AC282" i="3"/>
  <c r="AE282" i="3" s="1"/>
  <c r="AB282" i="3"/>
  <c r="AF282" i="3" s="1"/>
  <c r="V282" i="3"/>
  <c r="W282" i="3" s="1"/>
  <c r="R282" i="3"/>
  <c r="Y282" i="3" s="1"/>
  <c r="Z282" i="3" s="1"/>
  <c r="AQ281" i="3"/>
  <c r="AP281" i="3"/>
  <c r="AO281" i="3"/>
  <c r="AB281" i="3"/>
  <c r="AF281" i="3" s="1"/>
  <c r="W281" i="3"/>
  <c r="V281" i="3"/>
  <c r="R281" i="3"/>
  <c r="Y281" i="3" s="1"/>
  <c r="Z281" i="3" s="1"/>
  <c r="AQ280" i="3"/>
  <c r="AO280" i="3"/>
  <c r="AP280" i="3" s="1"/>
  <c r="AF280" i="3"/>
  <c r="AD280" i="3"/>
  <c r="AC280" i="3"/>
  <c r="AE280" i="3" s="1"/>
  <c r="AB280" i="3"/>
  <c r="Y280" i="3"/>
  <c r="Z280" i="3" s="1"/>
  <c r="R280" i="3"/>
  <c r="V280" i="3" s="1"/>
  <c r="W280" i="3" s="1"/>
  <c r="AO279" i="3"/>
  <c r="AQ279" i="3" s="1"/>
  <c r="AF279" i="3"/>
  <c r="AD279" i="3"/>
  <c r="AB279" i="3"/>
  <c r="AC279" i="3" s="1"/>
  <c r="AE279" i="3" s="1"/>
  <c r="Z279" i="3"/>
  <c r="Y279" i="3"/>
  <c r="V279" i="3"/>
  <c r="W279" i="3" s="1"/>
  <c r="R279" i="3"/>
  <c r="AP278" i="3"/>
  <c r="AO278" i="3"/>
  <c r="AQ278" i="3" s="1"/>
  <c r="AB278" i="3"/>
  <c r="AF278" i="3" s="1"/>
  <c r="R278" i="3"/>
  <c r="Y278" i="3" s="1"/>
  <c r="Z278" i="3" s="1"/>
  <c r="AQ277" i="3"/>
  <c r="AP277" i="3"/>
  <c r="AO277" i="3"/>
  <c r="AC277" i="3"/>
  <c r="AE277" i="3" s="1"/>
  <c r="AB277" i="3"/>
  <c r="AF277" i="3" s="1"/>
  <c r="Y277" i="3"/>
  <c r="Z277" i="3" s="1"/>
  <c r="R277" i="3"/>
  <c r="V277" i="3" s="1"/>
  <c r="W277" i="3" s="1"/>
  <c r="AO276" i="3"/>
  <c r="AQ276" i="3" s="1"/>
  <c r="AD276" i="3"/>
  <c r="AC276" i="3"/>
  <c r="AE276" i="3" s="1"/>
  <c r="AB276" i="3"/>
  <c r="AF276" i="3" s="1"/>
  <c r="V276" i="3"/>
  <c r="W276" i="3" s="1"/>
  <c r="R276" i="3"/>
  <c r="Y276" i="3" s="1"/>
  <c r="Z276" i="3" s="1"/>
  <c r="AQ275" i="3"/>
  <c r="AP275" i="3"/>
  <c r="AO275" i="3"/>
  <c r="AB275" i="3"/>
  <c r="AD275" i="3" s="1"/>
  <c r="Y275" i="3"/>
  <c r="Z275" i="3" s="1"/>
  <c r="W275" i="3"/>
  <c r="V275" i="3"/>
  <c r="R275" i="3"/>
  <c r="AQ274" i="3"/>
  <c r="AO274" i="3"/>
  <c r="AP274" i="3" s="1"/>
  <c r="AF274" i="3"/>
  <c r="AD274" i="3"/>
  <c r="AC274" i="3"/>
  <c r="AE274" i="3" s="1"/>
  <c r="AB274" i="3"/>
  <c r="Y274" i="3"/>
  <c r="Z274" i="3" s="1"/>
  <c r="R274" i="3"/>
  <c r="V274" i="3" s="1"/>
  <c r="W274" i="3" s="1"/>
  <c r="AO273" i="3"/>
  <c r="AQ273" i="3" s="1"/>
  <c r="AF273" i="3"/>
  <c r="AD273" i="3"/>
  <c r="AB273" i="3"/>
  <c r="AC273" i="3" s="1"/>
  <c r="AE273" i="3" s="1"/>
  <c r="Z273" i="3"/>
  <c r="Y273" i="3"/>
  <c r="V273" i="3"/>
  <c r="W273" i="3" s="1"/>
  <c r="R273" i="3"/>
  <c r="AP272" i="3"/>
  <c r="AO272" i="3"/>
  <c r="AQ272" i="3" s="1"/>
  <c r="AB272" i="3"/>
  <c r="AF272" i="3" s="1"/>
  <c r="R272" i="3"/>
  <c r="Y272" i="3" s="1"/>
  <c r="Z272" i="3" s="1"/>
  <c r="AQ271" i="3"/>
  <c r="AP271" i="3"/>
  <c r="AO271" i="3"/>
  <c r="AF271" i="3"/>
  <c r="AC271" i="3"/>
  <c r="AE271" i="3" s="1"/>
  <c r="AB271" i="3"/>
  <c r="AD271" i="3" s="1"/>
  <c r="R271" i="3"/>
  <c r="Y271" i="3" s="1"/>
  <c r="Z271" i="3" s="1"/>
  <c r="AO270" i="3"/>
  <c r="AQ270" i="3" s="1"/>
  <c r="AD270" i="3"/>
  <c r="AC270" i="3"/>
  <c r="AE270" i="3" s="1"/>
  <c r="AB270" i="3"/>
  <c r="AF270" i="3" s="1"/>
  <c r="V270" i="3"/>
  <c r="W270" i="3" s="1"/>
  <c r="R270" i="3"/>
  <c r="Y270" i="3" s="1"/>
  <c r="Z270" i="3" s="1"/>
  <c r="AQ269" i="3"/>
  <c r="AP269" i="3"/>
  <c r="AO269" i="3"/>
  <c r="AD269" i="3"/>
  <c r="AB269" i="3"/>
  <c r="AF269" i="3" s="1"/>
  <c r="W269" i="3"/>
  <c r="V269" i="3"/>
  <c r="R269" i="3"/>
  <c r="Y269" i="3" s="1"/>
  <c r="Z269" i="3" s="1"/>
  <c r="AQ268" i="3"/>
  <c r="AO268" i="3"/>
  <c r="AP268" i="3" s="1"/>
  <c r="AF268" i="3"/>
  <c r="AE268" i="3"/>
  <c r="AD268" i="3"/>
  <c r="AC268" i="3"/>
  <c r="AB268" i="3"/>
  <c r="Y268" i="3"/>
  <c r="Z268" i="3" s="1"/>
  <c r="R268" i="3"/>
  <c r="V268" i="3" s="1"/>
  <c r="W268" i="3" s="1"/>
  <c r="AO267" i="3"/>
  <c r="AQ267" i="3" s="1"/>
  <c r="AF267" i="3"/>
  <c r="AD267" i="3"/>
  <c r="AB267" i="3"/>
  <c r="AC267" i="3" s="1"/>
  <c r="AE267" i="3" s="1"/>
  <c r="Z267" i="3"/>
  <c r="Y267" i="3"/>
  <c r="V267" i="3"/>
  <c r="W267" i="3" s="1"/>
  <c r="R267" i="3"/>
  <c r="AP266" i="3"/>
  <c r="AO266" i="3"/>
  <c r="AQ266" i="3" s="1"/>
  <c r="AB266" i="3"/>
  <c r="AF266" i="3" s="1"/>
  <c r="R266" i="3"/>
  <c r="Y266" i="3" s="1"/>
  <c r="Z266" i="3" s="1"/>
  <c r="AQ265" i="3"/>
  <c r="AP265" i="3"/>
  <c r="AO265" i="3"/>
  <c r="AC265" i="3"/>
  <c r="AE265" i="3" s="1"/>
  <c r="AB265" i="3"/>
  <c r="AF265" i="3" s="1"/>
  <c r="Y265" i="3"/>
  <c r="Z265" i="3" s="1"/>
  <c r="R265" i="3"/>
  <c r="V265" i="3" s="1"/>
  <c r="W265" i="3" s="1"/>
  <c r="AQ264" i="3"/>
  <c r="AO264" i="3"/>
  <c r="AP264" i="3" s="1"/>
  <c r="AD264" i="3"/>
  <c r="AC264" i="3"/>
  <c r="AE264" i="3" s="1"/>
  <c r="AB264" i="3"/>
  <c r="AF264" i="3" s="1"/>
  <c r="V264" i="3"/>
  <c r="W264" i="3" s="1"/>
  <c r="R264" i="3"/>
  <c r="Y264" i="3" s="1"/>
  <c r="Z264" i="3" s="1"/>
  <c r="AQ263" i="3"/>
  <c r="AP263" i="3"/>
  <c r="AO263" i="3"/>
  <c r="AB263" i="3"/>
  <c r="AD263" i="3" s="1"/>
  <c r="Y263" i="3"/>
  <c r="Z263" i="3" s="1"/>
  <c r="W263" i="3"/>
  <c r="V263" i="3"/>
  <c r="R263" i="3"/>
  <c r="AQ262" i="3"/>
  <c r="AO262" i="3"/>
  <c r="AP262" i="3" s="1"/>
  <c r="AF262" i="3"/>
  <c r="AD262" i="3"/>
  <c r="AC262" i="3"/>
  <c r="AE262" i="3" s="1"/>
  <c r="AB262" i="3"/>
  <c r="Y262" i="3"/>
  <c r="Z262" i="3" s="1"/>
  <c r="R262" i="3"/>
  <c r="V262" i="3" s="1"/>
  <c r="W262" i="3" s="1"/>
  <c r="AO261" i="3"/>
  <c r="AQ261" i="3" s="1"/>
  <c r="AF261" i="3"/>
  <c r="AD261" i="3"/>
  <c r="AB261" i="3"/>
  <c r="AC261" i="3" s="1"/>
  <c r="AE261" i="3" s="1"/>
  <c r="Z261" i="3"/>
  <c r="Y261" i="3"/>
  <c r="V261" i="3"/>
  <c r="W261" i="3" s="1"/>
  <c r="R261" i="3"/>
  <c r="AP260" i="3"/>
  <c r="AO260" i="3"/>
  <c r="AQ260" i="3" s="1"/>
  <c r="AB260" i="3"/>
  <c r="AF260" i="3" s="1"/>
  <c r="R260" i="3"/>
  <c r="Y260" i="3" s="1"/>
  <c r="Z260" i="3" s="1"/>
  <c r="AQ259" i="3"/>
  <c r="AP259" i="3"/>
  <c r="AO259" i="3"/>
  <c r="AF259" i="3"/>
  <c r="AC259" i="3"/>
  <c r="AE259" i="3" s="1"/>
  <c r="AB259" i="3"/>
  <c r="AD259" i="3" s="1"/>
  <c r="R259" i="3"/>
  <c r="Y259" i="3" s="1"/>
  <c r="Z259" i="3" s="1"/>
  <c r="AO258" i="3"/>
  <c r="AQ258" i="3" s="1"/>
  <c r="AD258" i="3"/>
  <c r="AC258" i="3"/>
  <c r="AE258" i="3" s="1"/>
  <c r="AB258" i="3"/>
  <c r="AF258" i="3" s="1"/>
  <c r="V258" i="3"/>
  <c r="W258" i="3" s="1"/>
  <c r="R258" i="3"/>
  <c r="Y258" i="3" s="1"/>
  <c r="Z258" i="3" s="1"/>
  <c r="AQ257" i="3"/>
  <c r="AP257" i="3"/>
  <c r="AO257" i="3"/>
  <c r="AD257" i="3"/>
  <c r="AB257" i="3"/>
  <c r="AF257" i="3" s="1"/>
  <c r="W257" i="3"/>
  <c r="V257" i="3"/>
  <c r="R257" i="3"/>
  <c r="Y257" i="3" s="1"/>
  <c r="Z257" i="3" s="1"/>
  <c r="AQ256" i="3"/>
  <c r="AO256" i="3"/>
  <c r="AP256" i="3" s="1"/>
  <c r="AF256" i="3"/>
  <c r="AE256" i="3"/>
  <c r="AD256" i="3"/>
  <c r="AC256" i="3"/>
  <c r="AB256" i="3"/>
  <c r="Y256" i="3"/>
  <c r="Z256" i="3" s="1"/>
  <c r="R256" i="3"/>
  <c r="V256" i="3" s="1"/>
  <c r="W256" i="3" s="1"/>
  <c r="AO255" i="3"/>
  <c r="AQ255" i="3" s="1"/>
  <c r="AF255" i="3"/>
  <c r="AD255" i="3"/>
  <c r="AB255" i="3"/>
  <c r="AC255" i="3" s="1"/>
  <c r="AE255" i="3" s="1"/>
  <c r="Z255" i="3"/>
  <c r="Y255" i="3"/>
  <c r="V255" i="3"/>
  <c r="W255" i="3" s="1"/>
  <c r="R255" i="3"/>
  <c r="AP254" i="3"/>
  <c r="AO254" i="3"/>
  <c r="AQ254" i="3" s="1"/>
  <c r="AB254" i="3"/>
  <c r="AF254" i="3" s="1"/>
  <c r="R254" i="3"/>
  <c r="Y254" i="3" s="1"/>
  <c r="Z254" i="3" s="1"/>
  <c r="AQ253" i="3"/>
  <c r="AP253" i="3"/>
  <c r="AO253" i="3"/>
  <c r="AC253" i="3"/>
  <c r="AE253" i="3" s="1"/>
  <c r="AB253" i="3"/>
  <c r="AF253" i="3" s="1"/>
  <c r="Y253" i="3"/>
  <c r="Z253" i="3" s="1"/>
  <c r="V253" i="3"/>
  <c r="W253" i="3" s="1"/>
  <c r="R253" i="3"/>
  <c r="AQ252" i="3"/>
  <c r="AO252" i="3"/>
  <c r="AP252" i="3" s="1"/>
  <c r="AD252" i="3"/>
  <c r="AC252" i="3"/>
  <c r="AE252" i="3" s="1"/>
  <c r="AB252" i="3"/>
  <c r="AF252" i="3" s="1"/>
  <c r="W252" i="3"/>
  <c r="V252" i="3"/>
  <c r="R252" i="3"/>
  <c r="Y252" i="3" s="1"/>
  <c r="Z252" i="3" s="1"/>
  <c r="AO251" i="3"/>
  <c r="AB251" i="3"/>
  <c r="AD251" i="3" s="1"/>
  <c r="Y251" i="3"/>
  <c r="Z251" i="3" s="1"/>
  <c r="W251" i="3"/>
  <c r="V251" i="3"/>
  <c r="R251" i="3"/>
  <c r="AQ250" i="3"/>
  <c r="AP250" i="3"/>
  <c r="AO250" i="3"/>
  <c r="AB250" i="3"/>
  <c r="Z250" i="3"/>
  <c r="Y250" i="3"/>
  <c r="R250" i="3"/>
  <c r="V250" i="3" s="1"/>
  <c r="W250" i="3" s="1"/>
  <c r="AQ249" i="3"/>
  <c r="AO249" i="3"/>
  <c r="AP249" i="3" s="1"/>
  <c r="AD249" i="3"/>
  <c r="AC249" i="3"/>
  <c r="AE249" i="3" s="1"/>
  <c r="AB249" i="3"/>
  <c r="AF249" i="3" s="1"/>
  <c r="R249" i="3"/>
  <c r="AP248" i="3"/>
  <c r="AO248" i="3"/>
  <c r="AQ248" i="3" s="1"/>
  <c r="AE248" i="3"/>
  <c r="AD248" i="3"/>
  <c r="AC248" i="3"/>
  <c r="AB248" i="3"/>
  <c r="AF248" i="3" s="1"/>
  <c r="V248" i="3"/>
  <c r="W248" i="3" s="1"/>
  <c r="R248" i="3"/>
  <c r="Y248" i="3" s="1"/>
  <c r="Z248" i="3" s="1"/>
  <c r="AQ247" i="3"/>
  <c r="AP247" i="3"/>
  <c r="AO247" i="3"/>
  <c r="AF247" i="3"/>
  <c r="AE247" i="3"/>
  <c r="AD247" i="3"/>
  <c r="AC247" i="3"/>
  <c r="AB247" i="3"/>
  <c r="R247" i="3"/>
  <c r="Y247" i="3" s="1"/>
  <c r="Z247" i="3" s="1"/>
  <c r="AO246" i="3"/>
  <c r="AQ246" i="3" s="1"/>
  <c r="AF246" i="3"/>
  <c r="AE246" i="3"/>
  <c r="AD246" i="3"/>
  <c r="AC246" i="3"/>
  <c r="AB246" i="3"/>
  <c r="Y246" i="3"/>
  <c r="Z246" i="3" s="1"/>
  <c r="W246" i="3"/>
  <c r="V246" i="3"/>
  <c r="R246" i="3"/>
  <c r="AO245" i="3"/>
  <c r="AF245" i="3"/>
  <c r="AD245" i="3"/>
  <c r="AB245" i="3"/>
  <c r="AC245" i="3" s="1"/>
  <c r="AE245" i="3" s="1"/>
  <c r="Y245" i="3"/>
  <c r="Z245" i="3" s="1"/>
  <c r="W245" i="3"/>
  <c r="V245" i="3"/>
  <c r="R245" i="3"/>
  <c r="AQ244" i="3"/>
  <c r="AP244" i="3"/>
  <c r="AO244" i="3"/>
  <c r="AB244" i="3"/>
  <c r="Z244" i="3"/>
  <c r="Y244" i="3"/>
  <c r="R244" i="3"/>
  <c r="V244" i="3" s="1"/>
  <c r="W244" i="3" s="1"/>
  <c r="AQ243" i="3"/>
  <c r="AP243" i="3"/>
  <c r="AO243" i="3"/>
  <c r="AB243" i="3"/>
  <c r="R243" i="3"/>
  <c r="AQ242" i="3"/>
  <c r="AP242" i="3"/>
  <c r="AO242" i="3"/>
  <c r="AD242" i="3"/>
  <c r="AC242" i="3"/>
  <c r="AE242" i="3" s="1"/>
  <c r="AB242" i="3"/>
  <c r="AF242" i="3" s="1"/>
  <c r="V242" i="3"/>
  <c r="W242" i="3" s="1"/>
  <c r="R242" i="3"/>
  <c r="Y242" i="3" s="1"/>
  <c r="Z242" i="3" s="1"/>
  <c r="AQ241" i="3"/>
  <c r="AP241" i="3"/>
  <c r="AO241" i="3"/>
  <c r="AE241" i="3"/>
  <c r="AD241" i="3"/>
  <c r="AC241" i="3"/>
  <c r="AB241" i="3"/>
  <c r="AF241" i="3" s="1"/>
  <c r="Y241" i="3"/>
  <c r="Z241" i="3" s="1"/>
  <c r="W241" i="3"/>
  <c r="V241" i="3"/>
  <c r="R241" i="3"/>
  <c r="AQ240" i="3"/>
  <c r="AO240" i="3"/>
  <c r="AP240" i="3" s="1"/>
  <c r="AF240" i="3"/>
  <c r="AE240" i="3"/>
  <c r="AD240" i="3"/>
  <c r="AC240" i="3"/>
  <c r="AB240" i="3"/>
  <c r="Y240" i="3"/>
  <c r="Z240" i="3" s="1"/>
  <c r="W240" i="3"/>
  <c r="V240" i="3"/>
  <c r="R240" i="3"/>
  <c r="AO239" i="3"/>
  <c r="AF239" i="3"/>
  <c r="AB239" i="3"/>
  <c r="AD239" i="3" s="1"/>
  <c r="Z239" i="3"/>
  <c r="Y239" i="3"/>
  <c r="W239" i="3"/>
  <c r="V239" i="3"/>
  <c r="R239" i="3"/>
  <c r="AO238" i="3"/>
  <c r="AQ238" i="3" s="1"/>
  <c r="AB238" i="3"/>
  <c r="Z238" i="3"/>
  <c r="Y238" i="3"/>
  <c r="R238" i="3"/>
  <c r="V238" i="3" s="1"/>
  <c r="W238" i="3" s="1"/>
  <c r="AQ237" i="3"/>
  <c r="AP237" i="3"/>
  <c r="AO237" i="3"/>
  <c r="AD237" i="3"/>
  <c r="AC237" i="3"/>
  <c r="AE237" i="3" s="1"/>
  <c r="AB237" i="3"/>
  <c r="AF237" i="3" s="1"/>
  <c r="R237" i="3"/>
  <c r="AQ236" i="3"/>
  <c r="AP236" i="3"/>
  <c r="AO236" i="3"/>
  <c r="AE236" i="3"/>
  <c r="AD236" i="3"/>
  <c r="AC236" i="3"/>
  <c r="AB236" i="3"/>
  <c r="AF236" i="3" s="1"/>
  <c r="V236" i="3"/>
  <c r="W236" i="3" s="1"/>
  <c r="R236" i="3"/>
  <c r="Y236" i="3" s="1"/>
  <c r="Z236" i="3" s="1"/>
  <c r="AQ235" i="3"/>
  <c r="AP235" i="3"/>
  <c r="AO235" i="3"/>
  <c r="AF235" i="3"/>
  <c r="AE235" i="3"/>
  <c r="AD235" i="3"/>
  <c r="AC235" i="3"/>
  <c r="AB235" i="3"/>
  <c r="V235" i="3"/>
  <c r="W235" i="3" s="1"/>
  <c r="R235" i="3"/>
  <c r="Y235" i="3" s="1"/>
  <c r="Z235" i="3" s="1"/>
  <c r="AO234" i="3"/>
  <c r="AQ234" i="3" s="1"/>
  <c r="AF234" i="3"/>
  <c r="AE234" i="3"/>
  <c r="AD234" i="3"/>
  <c r="AC234" i="3"/>
  <c r="AB234" i="3"/>
  <c r="Y234" i="3"/>
  <c r="Z234" i="3" s="1"/>
  <c r="W234" i="3"/>
  <c r="V234" i="3"/>
  <c r="R234" i="3"/>
  <c r="AO233" i="3"/>
  <c r="AF233" i="3"/>
  <c r="AD233" i="3"/>
  <c r="AB233" i="3"/>
  <c r="AC233" i="3" s="1"/>
  <c r="AE233" i="3" s="1"/>
  <c r="Y233" i="3"/>
  <c r="Z233" i="3" s="1"/>
  <c r="W233" i="3"/>
  <c r="V233" i="3"/>
  <c r="R233" i="3"/>
  <c r="AQ232" i="3"/>
  <c r="AP232" i="3"/>
  <c r="AO232" i="3"/>
  <c r="AB232" i="3"/>
  <c r="Z232" i="3"/>
  <c r="Y232" i="3"/>
  <c r="R232" i="3"/>
  <c r="V232" i="3" s="1"/>
  <c r="W232" i="3" s="1"/>
  <c r="AQ231" i="3"/>
  <c r="AP231" i="3"/>
  <c r="AO231" i="3"/>
  <c r="AB231" i="3"/>
  <c r="R231" i="3"/>
  <c r="AQ230" i="3"/>
  <c r="AP230" i="3"/>
  <c r="AO230" i="3"/>
  <c r="AF230" i="3"/>
  <c r="AD230" i="3"/>
  <c r="AC230" i="3"/>
  <c r="AE230" i="3" s="1"/>
  <c r="AB230" i="3"/>
  <c r="V230" i="3"/>
  <c r="W230" i="3" s="1"/>
  <c r="R230" i="3"/>
  <c r="Y230" i="3" s="1"/>
  <c r="Z230" i="3" s="1"/>
  <c r="AO229" i="3"/>
  <c r="AE229" i="3"/>
  <c r="AD229" i="3"/>
  <c r="AC229" i="3"/>
  <c r="AB229" i="3"/>
  <c r="AF229" i="3" s="1"/>
  <c r="Y229" i="3"/>
  <c r="Z229" i="3" s="1"/>
  <c r="W229" i="3"/>
  <c r="V229" i="3"/>
  <c r="R229" i="3"/>
  <c r="AQ228" i="3"/>
  <c r="AP228" i="3"/>
  <c r="AO228" i="3"/>
  <c r="AF228" i="3"/>
  <c r="AE228" i="3"/>
  <c r="AD228" i="3"/>
  <c r="AC228" i="3"/>
  <c r="AB228" i="3"/>
  <c r="Y228" i="3"/>
  <c r="Z228" i="3" s="1"/>
  <c r="W228" i="3"/>
  <c r="V228" i="3"/>
  <c r="R228" i="3"/>
  <c r="AO227" i="3"/>
  <c r="AP227" i="3" s="1"/>
  <c r="AF227" i="3"/>
  <c r="AB227" i="3"/>
  <c r="AD227" i="3" s="1"/>
  <c r="R227" i="3"/>
  <c r="AO226" i="3"/>
  <c r="AQ226" i="3" s="1"/>
  <c r="AB226" i="3"/>
  <c r="Y226" i="3"/>
  <c r="Z226" i="3" s="1"/>
  <c r="V226" i="3"/>
  <c r="W226" i="3" s="1"/>
  <c r="R226" i="3"/>
  <c r="AQ225" i="3"/>
  <c r="AP225" i="3"/>
  <c r="AO225" i="3"/>
  <c r="AD225" i="3"/>
  <c r="AC225" i="3"/>
  <c r="AE225" i="3" s="1"/>
  <c r="AB225" i="3"/>
  <c r="AF225" i="3" s="1"/>
  <c r="R225" i="3"/>
  <c r="AQ224" i="3"/>
  <c r="AP224" i="3"/>
  <c r="AO224" i="3"/>
  <c r="AD224" i="3"/>
  <c r="AB224" i="3"/>
  <c r="AF224" i="3" s="1"/>
  <c r="Y224" i="3"/>
  <c r="Z224" i="3" s="1"/>
  <c r="R224" i="3"/>
  <c r="V224" i="3" s="1"/>
  <c r="W224" i="3" s="1"/>
  <c r="AQ223" i="3"/>
  <c r="AP223" i="3"/>
  <c r="AO223" i="3"/>
  <c r="AF223" i="3"/>
  <c r="AE223" i="3"/>
  <c r="AD223" i="3"/>
  <c r="AC223" i="3"/>
  <c r="AB223" i="3"/>
  <c r="W223" i="3"/>
  <c r="V223" i="3"/>
  <c r="R223" i="3"/>
  <c r="Y223" i="3" s="1"/>
  <c r="Z223" i="3" s="1"/>
  <c r="AO222" i="3"/>
  <c r="AQ222" i="3" s="1"/>
  <c r="AF222" i="3"/>
  <c r="AB222" i="3"/>
  <c r="Y222" i="3"/>
  <c r="Z222" i="3" s="1"/>
  <c r="W222" i="3"/>
  <c r="V222" i="3"/>
  <c r="R222" i="3"/>
  <c r="AO221" i="3"/>
  <c r="AP221" i="3" s="1"/>
  <c r="AF221" i="3"/>
  <c r="AD221" i="3"/>
  <c r="AC221" i="3"/>
  <c r="AE221" i="3" s="1"/>
  <c r="AB221" i="3"/>
  <c r="R221" i="3"/>
  <c r="V221" i="3" s="1"/>
  <c r="W221" i="3" s="1"/>
  <c r="AQ220" i="3"/>
  <c r="AP220" i="3"/>
  <c r="AO220" i="3"/>
  <c r="AB220" i="3"/>
  <c r="AD220" i="3" s="1"/>
  <c r="Z220" i="3"/>
  <c r="Y220" i="3"/>
  <c r="V220" i="3"/>
  <c r="W220" i="3" s="1"/>
  <c r="R220" i="3"/>
  <c r="AQ219" i="3"/>
  <c r="AO219" i="3"/>
  <c r="AP219" i="3" s="1"/>
  <c r="AC219" i="3"/>
  <c r="AE219" i="3" s="1"/>
  <c r="AB219" i="3"/>
  <c r="R219" i="3"/>
  <c r="AQ218" i="3"/>
  <c r="AP218" i="3"/>
  <c r="AO218" i="3"/>
  <c r="AF218" i="3"/>
  <c r="AD218" i="3"/>
  <c r="AC218" i="3"/>
  <c r="AE218" i="3" s="1"/>
  <c r="AB218" i="3"/>
  <c r="Y218" i="3"/>
  <c r="Z218" i="3" s="1"/>
  <c r="V218" i="3"/>
  <c r="W218" i="3" s="1"/>
  <c r="R218" i="3"/>
  <c r="AO217" i="3"/>
  <c r="AE217" i="3"/>
  <c r="AD217" i="3"/>
  <c r="AC217" i="3"/>
  <c r="AB217" i="3"/>
  <c r="AF217" i="3" s="1"/>
  <c r="Z217" i="3"/>
  <c r="R217" i="3"/>
  <c r="Y217" i="3" s="1"/>
  <c r="AQ216" i="3"/>
  <c r="AP216" i="3"/>
  <c r="AO216" i="3"/>
  <c r="AB216" i="3"/>
  <c r="Y216" i="3"/>
  <c r="Z216" i="3" s="1"/>
  <c r="V216" i="3"/>
  <c r="W216" i="3" s="1"/>
  <c r="R216" i="3"/>
  <c r="AQ215" i="3"/>
  <c r="AO215" i="3"/>
  <c r="AP215" i="3" s="1"/>
  <c r="AF215" i="3"/>
  <c r="AC215" i="3"/>
  <c r="AE215" i="3" s="1"/>
  <c r="AB215" i="3"/>
  <c r="AD215" i="3" s="1"/>
  <c r="R215" i="3"/>
  <c r="AP214" i="3"/>
  <c r="AO214" i="3"/>
  <c r="AQ214" i="3" s="1"/>
  <c r="AB214" i="3"/>
  <c r="Y214" i="3"/>
  <c r="Z214" i="3" s="1"/>
  <c r="V214" i="3"/>
  <c r="W214" i="3" s="1"/>
  <c r="R214" i="3"/>
  <c r="AQ213" i="3"/>
  <c r="AP213" i="3"/>
  <c r="AO213" i="3"/>
  <c r="AD213" i="3"/>
  <c r="AC213" i="3"/>
  <c r="AE213" i="3" s="1"/>
  <c r="AB213" i="3"/>
  <c r="AF213" i="3" s="1"/>
  <c r="R213" i="3"/>
  <c r="AQ212" i="3"/>
  <c r="AP212" i="3"/>
  <c r="AO212" i="3"/>
  <c r="AF212" i="3"/>
  <c r="AD212" i="3"/>
  <c r="AB212" i="3"/>
  <c r="AC212" i="3" s="1"/>
  <c r="AE212" i="3" s="1"/>
  <c r="R212" i="3"/>
  <c r="AO211" i="3"/>
  <c r="AF211" i="3"/>
  <c r="AE211" i="3"/>
  <c r="AD211" i="3"/>
  <c r="AC211" i="3"/>
  <c r="AB211" i="3"/>
  <c r="V211" i="3"/>
  <c r="W211" i="3" s="1"/>
  <c r="R211" i="3"/>
  <c r="Y211" i="3" s="1"/>
  <c r="Z211" i="3" s="1"/>
  <c r="AP210" i="3"/>
  <c r="AO210" i="3"/>
  <c r="AQ210" i="3" s="1"/>
  <c r="AB210" i="3"/>
  <c r="AF210" i="3" s="1"/>
  <c r="Y210" i="3"/>
  <c r="Z210" i="3" s="1"/>
  <c r="W210" i="3"/>
  <c r="V210" i="3"/>
  <c r="R210" i="3"/>
  <c r="AQ209" i="3"/>
  <c r="AO209" i="3"/>
  <c r="AP209" i="3" s="1"/>
  <c r="AF209" i="3"/>
  <c r="AD209" i="3"/>
  <c r="AC209" i="3"/>
  <c r="AE209" i="3" s="1"/>
  <c r="AB209" i="3"/>
  <c r="R209" i="3"/>
  <c r="V209" i="3" s="1"/>
  <c r="W209" i="3" s="1"/>
  <c r="AQ208" i="3"/>
  <c r="AP208" i="3"/>
  <c r="AO208" i="3"/>
  <c r="AD208" i="3"/>
  <c r="AB208" i="3"/>
  <c r="Z208" i="3"/>
  <c r="V208" i="3"/>
  <c r="W208" i="3" s="1"/>
  <c r="R208" i="3"/>
  <c r="Y208" i="3" s="1"/>
  <c r="AQ207" i="3"/>
  <c r="AO207" i="3"/>
  <c r="AP207" i="3" s="1"/>
  <c r="AC207" i="3"/>
  <c r="AE207" i="3" s="1"/>
  <c r="AB207" i="3"/>
  <c r="Y207" i="3"/>
  <c r="Z207" i="3" s="1"/>
  <c r="R207" i="3"/>
  <c r="V207" i="3" s="1"/>
  <c r="W207" i="3" s="1"/>
  <c r="AQ206" i="3"/>
  <c r="AP206" i="3"/>
  <c r="AO206" i="3"/>
  <c r="AF206" i="3"/>
  <c r="AD206" i="3"/>
  <c r="AC206" i="3"/>
  <c r="AE206" i="3" s="1"/>
  <c r="AB206" i="3"/>
  <c r="Z206" i="3"/>
  <c r="Y206" i="3"/>
  <c r="V206" i="3"/>
  <c r="W206" i="3" s="1"/>
  <c r="R206" i="3"/>
  <c r="AO205" i="3"/>
  <c r="AB205" i="3"/>
  <c r="R205" i="3"/>
  <c r="Y205" i="3" s="1"/>
  <c r="Z205" i="3" s="1"/>
  <c r="AQ204" i="3"/>
  <c r="AP204" i="3"/>
  <c r="AO204" i="3"/>
  <c r="AF204" i="3"/>
  <c r="AC204" i="3"/>
  <c r="AE204" i="3" s="1"/>
  <c r="AB204" i="3"/>
  <c r="AD204" i="3" s="1"/>
  <c r="Y204" i="3"/>
  <c r="Z204" i="3" s="1"/>
  <c r="V204" i="3"/>
  <c r="W204" i="3" s="1"/>
  <c r="R204" i="3"/>
  <c r="AQ203" i="3"/>
  <c r="AO203" i="3"/>
  <c r="AP203" i="3" s="1"/>
  <c r="AF203" i="3"/>
  <c r="AD203" i="3"/>
  <c r="AC203" i="3"/>
  <c r="AE203" i="3" s="1"/>
  <c r="AB203" i="3"/>
  <c r="R203" i="3"/>
  <c r="AO202" i="3"/>
  <c r="AQ202" i="3" s="1"/>
  <c r="AB202" i="3"/>
  <c r="Z202" i="3"/>
  <c r="Y202" i="3"/>
  <c r="V202" i="3"/>
  <c r="W202" i="3" s="1"/>
  <c r="R202" i="3"/>
  <c r="AQ201" i="3"/>
  <c r="AP201" i="3"/>
  <c r="AO201" i="3"/>
  <c r="AF201" i="3"/>
  <c r="AC201" i="3"/>
  <c r="AE201" i="3" s="1"/>
  <c r="AB201" i="3"/>
  <c r="AD201" i="3" s="1"/>
  <c r="R201" i="3"/>
  <c r="AO200" i="3"/>
  <c r="AP200" i="3" s="1"/>
  <c r="AF200" i="3"/>
  <c r="AD200" i="3"/>
  <c r="AC200" i="3"/>
  <c r="AE200" i="3" s="1"/>
  <c r="AB200" i="3"/>
  <c r="R200" i="3"/>
  <c r="Y200" i="3" s="1"/>
  <c r="Z200" i="3" s="1"/>
  <c r="AO199" i="3"/>
  <c r="AF199" i="3"/>
  <c r="AE199" i="3"/>
  <c r="AD199" i="3"/>
  <c r="AC199" i="3"/>
  <c r="AB199" i="3"/>
  <c r="W199" i="3"/>
  <c r="V199" i="3"/>
  <c r="R199" i="3"/>
  <c r="Y199" i="3" s="1"/>
  <c r="Z199" i="3" s="1"/>
  <c r="AQ198" i="3"/>
  <c r="AP198" i="3"/>
  <c r="AO198" i="3"/>
  <c r="AB198" i="3"/>
  <c r="AF198" i="3" s="1"/>
  <c r="Y198" i="3"/>
  <c r="Z198" i="3" s="1"/>
  <c r="R198" i="3"/>
  <c r="V198" i="3" s="1"/>
  <c r="W198" i="3" s="1"/>
  <c r="AO197" i="3"/>
  <c r="AP197" i="3" s="1"/>
  <c r="AB197" i="3"/>
  <c r="V197" i="3"/>
  <c r="W197" i="3" s="1"/>
  <c r="R197" i="3"/>
  <c r="Y197" i="3" s="1"/>
  <c r="Z197" i="3" s="1"/>
  <c r="AP196" i="3"/>
  <c r="AO196" i="3"/>
  <c r="AQ196" i="3" s="1"/>
  <c r="AB196" i="3"/>
  <c r="AF196" i="3" s="1"/>
  <c r="Z196" i="3"/>
  <c r="V196" i="3"/>
  <c r="W196" i="3" s="1"/>
  <c r="R196" i="3"/>
  <c r="Y196" i="3" s="1"/>
  <c r="AQ195" i="3"/>
  <c r="AP195" i="3"/>
  <c r="AO195" i="3"/>
  <c r="AE195" i="3"/>
  <c r="AD195" i="3"/>
  <c r="AC195" i="3"/>
  <c r="AB195" i="3"/>
  <c r="AF195" i="3" s="1"/>
  <c r="Y195" i="3"/>
  <c r="Z195" i="3" s="1"/>
  <c r="W195" i="3"/>
  <c r="R195" i="3"/>
  <c r="V195" i="3" s="1"/>
  <c r="AQ194" i="3"/>
  <c r="AP194" i="3"/>
  <c r="AO194" i="3"/>
  <c r="AF194" i="3"/>
  <c r="AD194" i="3"/>
  <c r="AC194" i="3"/>
  <c r="AE194" i="3" s="1"/>
  <c r="AB194" i="3"/>
  <c r="Y194" i="3"/>
  <c r="Z194" i="3" s="1"/>
  <c r="V194" i="3"/>
  <c r="W194" i="3" s="1"/>
  <c r="R194" i="3"/>
  <c r="AO193" i="3"/>
  <c r="AD193" i="3"/>
  <c r="AB193" i="3"/>
  <c r="AC193" i="3" s="1"/>
  <c r="AE193" i="3" s="1"/>
  <c r="Z193" i="3"/>
  <c r="V193" i="3"/>
  <c r="W193" i="3" s="1"/>
  <c r="R193" i="3"/>
  <c r="Y193" i="3" s="1"/>
  <c r="AO192" i="3"/>
  <c r="AQ192" i="3" s="1"/>
  <c r="AB192" i="3"/>
  <c r="AD192" i="3" s="1"/>
  <c r="Y192" i="3"/>
  <c r="Z192" i="3" s="1"/>
  <c r="W192" i="3"/>
  <c r="V192" i="3"/>
  <c r="R192" i="3"/>
  <c r="AO191" i="3"/>
  <c r="AQ191" i="3" s="1"/>
  <c r="AF191" i="3"/>
  <c r="AD191" i="3"/>
  <c r="AC191" i="3"/>
  <c r="AE191" i="3" s="1"/>
  <c r="AB191" i="3"/>
  <c r="Y191" i="3"/>
  <c r="Z191" i="3" s="1"/>
  <c r="R191" i="3"/>
  <c r="V191" i="3" s="1"/>
  <c r="W191" i="3" s="1"/>
  <c r="AQ190" i="3"/>
  <c r="AO190" i="3"/>
  <c r="AP190" i="3" s="1"/>
  <c r="AB190" i="3"/>
  <c r="V190" i="3"/>
  <c r="W190" i="3" s="1"/>
  <c r="R190" i="3"/>
  <c r="Y190" i="3" s="1"/>
  <c r="Z190" i="3" s="1"/>
  <c r="AQ189" i="3"/>
  <c r="AP189" i="3"/>
  <c r="AO189" i="3"/>
  <c r="AF189" i="3"/>
  <c r="AC189" i="3"/>
  <c r="AE189" i="3" s="1"/>
  <c r="AB189" i="3"/>
  <c r="AD189" i="3" s="1"/>
  <c r="V189" i="3"/>
  <c r="W189" i="3" s="1"/>
  <c r="R189" i="3"/>
  <c r="Y189" i="3" s="1"/>
  <c r="Z189" i="3" s="1"/>
  <c r="AQ188" i="3"/>
  <c r="AO188" i="3"/>
  <c r="AP188" i="3" s="1"/>
  <c r="AF188" i="3"/>
  <c r="AD188" i="3"/>
  <c r="AC188" i="3"/>
  <c r="AE188" i="3" s="1"/>
  <c r="AB188" i="3"/>
  <c r="R188" i="3"/>
  <c r="Y188" i="3" s="1"/>
  <c r="Z188" i="3" s="1"/>
  <c r="AP187" i="3"/>
  <c r="AO187" i="3"/>
  <c r="AQ187" i="3" s="1"/>
  <c r="AF187" i="3"/>
  <c r="AE187" i="3"/>
  <c r="AD187" i="3"/>
  <c r="AC187" i="3"/>
  <c r="AB187" i="3"/>
  <c r="Z187" i="3"/>
  <c r="Y187" i="3"/>
  <c r="W187" i="3"/>
  <c r="V187" i="3"/>
  <c r="R187" i="3"/>
  <c r="AQ186" i="3"/>
  <c r="AP186" i="3"/>
  <c r="AO186" i="3"/>
  <c r="AB186" i="3"/>
  <c r="AF186" i="3" s="1"/>
  <c r="Y186" i="3"/>
  <c r="Z186" i="3" s="1"/>
  <c r="R186" i="3"/>
  <c r="V186" i="3" s="1"/>
  <c r="W186" i="3" s="1"/>
  <c r="AO185" i="3"/>
  <c r="AP185" i="3" s="1"/>
  <c r="AB185" i="3"/>
  <c r="V185" i="3"/>
  <c r="W185" i="3" s="1"/>
  <c r="R185" i="3"/>
  <c r="Y185" i="3" s="1"/>
  <c r="Z185" i="3" s="1"/>
  <c r="AP184" i="3"/>
  <c r="AO184" i="3"/>
  <c r="AQ184" i="3" s="1"/>
  <c r="AB184" i="3"/>
  <c r="AF184" i="3" s="1"/>
  <c r="Z184" i="3"/>
  <c r="V184" i="3"/>
  <c r="W184" i="3" s="1"/>
  <c r="R184" i="3"/>
  <c r="Y184" i="3" s="1"/>
  <c r="AQ183" i="3"/>
  <c r="AP183" i="3"/>
  <c r="AO183" i="3"/>
  <c r="AE183" i="3"/>
  <c r="AD183" i="3"/>
  <c r="AC183" i="3"/>
  <c r="AB183" i="3"/>
  <c r="AF183" i="3" s="1"/>
  <c r="Y183" i="3"/>
  <c r="Z183" i="3" s="1"/>
  <c r="W183" i="3"/>
  <c r="R183" i="3"/>
  <c r="V183" i="3" s="1"/>
  <c r="AQ182" i="3"/>
  <c r="AO182" i="3"/>
  <c r="AP182" i="3" s="1"/>
  <c r="AF182" i="3"/>
  <c r="AE182" i="3"/>
  <c r="AD182" i="3"/>
  <c r="AC182" i="3"/>
  <c r="AB182" i="3"/>
  <c r="R182" i="3"/>
  <c r="Y182" i="3" s="1"/>
  <c r="Z182" i="3" s="1"/>
  <c r="AO181" i="3"/>
  <c r="AF181" i="3"/>
  <c r="AD181" i="3"/>
  <c r="AB181" i="3"/>
  <c r="AC181" i="3" s="1"/>
  <c r="AE181" i="3" s="1"/>
  <c r="Z181" i="3"/>
  <c r="V181" i="3"/>
  <c r="W181" i="3" s="1"/>
  <c r="R181" i="3"/>
  <c r="Y181" i="3" s="1"/>
  <c r="AQ180" i="3"/>
  <c r="AP180" i="3"/>
  <c r="AO180" i="3"/>
  <c r="AF180" i="3"/>
  <c r="AB180" i="3"/>
  <c r="AD180" i="3" s="1"/>
  <c r="Y180" i="3"/>
  <c r="Z180" i="3" s="1"/>
  <c r="W180" i="3"/>
  <c r="R180" i="3"/>
  <c r="V180" i="3" s="1"/>
  <c r="AO179" i="3"/>
  <c r="AQ179" i="3" s="1"/>
  <c r="AF179" i="3"/>
  <c r="AD179" i="3"/>
  <c r="AC179" i="3"/>
  <c r="AE179" i="3" s="1"/>
  <c r="AB179" i="3"/>
  <c r="Y179" i="3"/>
  <c r="Z179" i="3" s="1"/>
  <c r="R179" i="3"/>
  <c r="V179" i="3" s="1"/>
  <c r="W179" i="3" s="1"/>
  <c r="AQ178" i="3"/>
  <c r="AP178" i="3"/>
  <c r="AO178" i="3"/>
  <c r="AD178" i="3"/>
  <c r="AB178" i="3"/>
  <c r="Z178" i="3"/>
  <c r="R178" i="3"/>
  <c r="Y178" i="3" s="1"/>
  <c r="AQ177" i="3"/>
  <c r="AP177" i="3"/>
  <c r="AO177" i="3"/>
  <c r="AB177" i="3"/>
  <c r="AD177" i="3" s="1"/>
  <c r="W177" i="3"/>
  <c r="V177" i="3"/>
  <c r="R177" i="3"/>
  <c r="Y177" i="3" s="1"/>
  <c r="Z177" i="3" s="1"/>
  <c r="AQ176" i="3"/>
  <c r="AO176" i="3"/>
  <c r="AP176" i="3" s="1"/>
  <c r="AF176" i="3"/>
  <c r="AD176" i="3"/>
  <c r="AC176" i="3"/>
  <c r="AE176" i="3" s="1"/>
  <c r="AB176" i="3"/>
  <c r="Y176" i="3"/>
  <c r="Z176" i="3" s="1"/>
  <c r="V176" i="3"/>
  <c r="W176" i="3" s="1"/>
  <c r="R176" i="3"/>
  <c r="AO175" i="3"/>
  <c r="AQ175" i="3" s="1"/>
  <c r="AD175" i="3"/>
  <c r="AB175" i="3"/>
  <c r="Z175" i="3"/>
  <c r="Y175" i="3"/>
  <c r="V175" i="3"/>
  <c r="W175" i="3" s="1"/>
  <c r="R175" i="3"/>
  <c r="AQ174" i="3"/>
  <c r="AP174" i="3"/>
  <c r="AO174" i="3"/>
  <c r="AF174" i="3"/>
  <c r="AE174" i="3"/>
  <c r="AC174" i="3"/>
  <c r="AB174" i="3"/>
  <c r="AD174" i="3" s="1"/>
  <c r="R174" i="3"/>
  <c r="V174" i="3" s="1"/>
  <c r="W174" i="3" s="1"/>
  <c r="AO173" i="3"/>
  <c r="AF173" i="3"/>
  <c r="AC173" i="3"/>
  <c r="AE173" i="3" s="1"/>
  <c r="AB173" i="3"/>
  <c r="AD173" i="3" s="1"/>
  <c r="Y173" i="3"/>
  <c r="Z173" i="3" s="1"/>
  <c r="V173" i="3"/>
  <c r="W173" i="3" s="1"/>
  <c r="R173" i="3"/>
  <c r="AO172" i="3"/>
  <c r="AQ172" i="3" s="1"/>
  <c r="AD172" i="3"/>
  <c r="AC172" i="3"/>
  <c r="AE172" i="3" s="1"/>
  <c r="AB172" i="3"/>
  <c r="AF172" i="3" s="1"/>
  <c r="Z172" i="3"/>
  <c r="W172" i="3"/>
  <c r="V172" i="3"/>
  <c r="R172" i="3"/>
  <c r="Y172" i="3" s="1"/>
  <c r="AQ171" i="3"/>
  <c r="AP171" i="3"/>
  <c r="AO171" i="3"/>
  <c r="AF171" i="3"/>
  <c r="AD171" i="3"/>
  <c r="AC171" i="3"/>
  <c r="AE171" i="3" s="1"/>
  <c r="AB171" i="3"/>
  <c r="Y171" i="3"/>
  <c r="Z171" i="3" s="1"/>
  <c r="R171" i="3"/>
  <c r="V171" i="3" s="1"/>
  <c r="W171" i="3" s="1"/>
  <c r="AO170" i="3"/>
  <c r="AP170" i="3" s="1"/>
  <c r="AF170" i="3"/>
  <c r="AE170" i="3"/>
  <c r="AD170" i="3"/>
  <c r="AC170" i="3"/>
  <c r="AB170" i="3"/>
  <c r="V170" i="3"/>
  <c r="W170" i="3" s="1"/>
  <c r="R170" i="3"/>
  <c r="Y170" i="3" s="1"/>
  <c r="Z170" i="3" s="1"/>
  <c r="AO169" i="3"/>
  <c r="AQ169" i="3" s="1"/>
  <c r="AB169" i="3"/>
  <c r="AC169" i="3" s="1"/>
  <c r="AE169" i="3" s="1"/>
  <c r="W169" i="3"/>
  <c r="V169" i="3"/>
  <c r="R169" i="3"/>
  <c r="Y169" i="3" s="1"/>
  <c r="Z169" i="3" s="1"/>
  <c r="AQ168" i="3"/>
  <c r="AO168" i="3"/>
  <c r="AP168" i="3" s="1"/>
  <c r="AB168" i="3"/>
  <c r="AD168" i="3" s="1"/>
  <c r="R168" i="3"/>
  <c r="AO167" i="3"/>
  <c r="AP167" i="3" s="1"/>
  <c r="AF167" i="3"/>
  <c r="AD167" i="3"/>
  <c r="AC167" i="3"/>
  <c r="AE167" i="3" s="1"/>
  <c r="AB167" i="3"/>
  <c r="Y167" i="3"/>
  <c r="Z167" i="3" s="1"/>
  <c r="V167" i="3"/>
  <c r="W167" i="3" s="1"/>
  <c r="R167" i="3"/>
  <c r="AQ166" i="3"/>
  <c r="AP166" i="3"/>
  <c r="AO166" i="3"/>
  <c r="AB166" i="3"/>
  <c r="R166" i="3"/>
  <c r="Y166" i="3" s="1"/>
  <c r="Z166" i="3" s="1"/>
  <c r="AQ165" i="3"/>
  <c r="AP165" i="3"/>
  <c r="AO165" i="3"/>
  <c r="AF165" i="3"/>
  <c r="AC165" i="3"/>
  <c r="AE165" i="3" s="1"/>
  <c r="AB165" i="3"/>
  <c r="AD165" i="3" s="1"/>
  <c r="Y165" i="3"/>
  <c r="Z165" i="3" s="1"/>
  <c r="V165" i="3"/>
  <c r="W165" i="3" s="1"/>
  <c r="R165" i="3"/>
  <c r="AO164" i="3"/>
  <c r="AP164" i="3" s="1"/>
  <c r="AF164" i="3"/>
  <c r="AD164" i="3"/>
  <c r="AC164" i="3"/>
  <c r="AE164" i="3" s="1"/>
  <c r="AB164" i="3"/>
  <c r="Z164" i="3"/>
  <c r="Y164" i="3"/>
  <c r="R164" i="3"/>
  <c r="V164" i="3" s="1"/>
  <c r="W164" i="3" s="1"/>
  <c r="AO163" i="3"/>
  <c r="AQ163" i="3" s="1"/>
  <c r="AF163" i="3"/>
  <c r="AD163" i="3"/>
  <c r="AB163" i="3"/>
  <c r="AC163" i="3" s="1"/>
  <c r="AE163" i="3" s="1"/>
  <c r="Y163" i="3"/>
  <c r="Z163" i="3" s="1"/>
  <c r="V163" i="3"/>
  <c r="W163" i="3" s="1"/>
  <c r="R163" i="3"/>
  <c r="AO162" i="3"/>
  <c r="AQ162" i="3" s="1"/>
  <c r="AF162" i="3"/>
  <c r="AC162" i="3"/>
  <c r="AE162" i="3" s="1"/>
  <c r="AB162" i="3"/>
  <c r="AD162" i="3" s="1"/>
  <c r="Y162" i="3"/>
  <c r="Z162" i="3" s="1"/>
  <c r="R162" i="3"/>
  <c r="V162" i="3" s="1"/>
  <c r="W162" i="3" s="1"/>
  <c r="AQ161" i="3"/>
  <c r="AP161" i="3"/>
  <c r="AO161" i="3"/>
  <c r="AB161" i="3"/>
  <c r="V161" i="3"/>
  <c r="W161" i="3" s="1"/>
  <c r="R161" i="3"/>
  <c r="Y161" i="3" s="1"/>
  <c r="Z161" i="3" s="1"/>
  <c r="AQ160" i="3"/>
  <c r="AO160" i="3"/>
  <c r="AP160" i="3" s="1"/>
  <c r="AD160" i="3"/>
  <c r="AC160" i="3"/>
  <c r="AE160" i="3" s="1"/>
  <c r="AB160" i="3"/>
  <c r="AF160" i="3" s="1"/>
  <c r="Z160" i="3"/>
  <c r="R160" i="3"/>
  <c r="Y160" i="3" s="1"/>
  <c r="AQ159" i="3"/>
  <c r="AP159" i="3"/>
  <c r="AO159" i="3"/>
  <c r="AF159" i="3"/>
  <c r="AD159" i="3"/>
  <c r="AC159" i="3"/>
  <c r="AE159" i="3" s="1"/>
  <c r="AB159" i="3"/>
  <c r="Y159" i="3"/>
  <c r="Z159" i="3" s="1"/>
  <c r="R159" i="3"/>
  <c r="V159" i="3" s="1"/>
  <c r="W159" i="3" s="1"/>
  <c r="AO158" i="3"/>
  <c r="AP158" i="3" s="1"/>
  <c r="AF158" i="3"/>
  <c r="AD158" i="3"/>
  <c r="AC158" i="3"/>
  <c r="AE158" i="3" s="1"/>
  <c r="AB158" i="3"/>
  <c r="Y158" i="3"/>
  <c r="Z158" i="3" s="1"/>
  <c r="R158" i="3"/>
  <c r="V158" i="3" s="1"/>
  <c r="W158" i="3" s="1"/>
  <c r="AO157" i="3"/>
  <c r="AQ157" i="3" s="1"/>
  <c r="AB157" i="3"/>
  <c r="AC157" i="3" s="1"/>
  <c r="AE157" i="3" s="1"/>
  <c r="Z157" i="3"/>
  <c r="Y157" i="3"/>
  <c r="W157" i="3"/>
  <c r="V157" i="3"/>
  <c r="R157" i="3"/>
  <c r="AQ156" i="3"/>
  <c r="AO156" i="3"/>
  <c r="AP156" i="3" s="1"/>
  <c r="AB156" i="3"/>
  <c r="AD156" i="3" s="1"/>
  <c r="W156" i="3"/>
  <c r="R156" i="3"/>
  <c r="V156" i="3" s="1"/>
  <c r="AP155" i="3"/>
  <c r="AO155" i="3"/>
  <c r="AQ155" i="3" s="1"/>
  <c r="AF155" i="3"/>
  <c r="AD155" i="3"/>
  <c r="AC155" i="3"/>
  <c r="AE155" i="3" s="1"/>
  <c r="AB155" i="3"/>
  <c r="R155" i="3"/>
  <c r="AO154" i="3"/>
  <c r="AP154" i="3" s="1"/>
  <c r="AD154" i="3"/>
  <c r="AB154" i="3"/>
  <c r="AF154" i="3" s="1"/>
  <c r="Z154" i="3"/>
  <c r="V154" i="3"/>
  <c r="W154" i="3" s="1"/>
  <c r="R154" i="3"/>
  <c r="Y154" i="3" s="1"/>
  <c r="AQ153" i="3"/>
  <c r="AP153" i="3"/>
  <c r="AO153" i="3"/>
  <c r="AF153" i="3"/>
  <c r="AD153" i="3"/>
  <c r="AB153" i="3"/>
  <c r="AC153" i="3" s="1"/>
  <c r="AE153" i="3" s="1"/>
  <c r="R153" i="3"/>
  <c r="AQ152" i="3"/>
  <c r="AO152" i="3"/>
  <c r="AP152" i="3" s="1"/>
  <c r="AF152" i="3"/>
  <c r="AD152" i="3"/>
  <c r="AB152" i="3"/>
  <c r="AC152" i="3" s="1"/>
  <c r="AE152" i="3" s="1"/>
  <c r="R152" i="3"/>
  <c r="AP151" i="3"/>
  <c r="AO151" i="3"/>
  <c r="AQ151" i="3" s="1"/>
  <c r="AF151" i="3"/>
  <c r="AD151" i="3"/>
  <c r="AB151" i="3"/>
  <c r="AC151" i="3" s="1"/>
  <c r="AE151" i="3" s="1"/>
  <c r="Y151" i="3"/>
  <c r="Z151" i="3" s="1"/>
  <c r="W151" i="3"/>
  <c r="V151" i="3"/>
  <c r="R151" i="3"/>
  <c r="AO150" i="3"/>
  <c r="AP150" i="3" s="1"/>
  <c r="AF150" i="3"/>
  <c r="AE150" i="3"/>
  <c r="AD150" i="3"/>
  <c r="AC150" i="3"/>
  <c r="AB150" i="3"/>
  <c r="R150" i="3"/>
  <c r="AO149" i="3"/>
  <c r="AP149" i="3" s="1"/>
  <c r="AF149" i="3"/>
  <c r="AE149" i="3"/>
  <c r="AD149" i="3"/>
  <c r="AC149" i="3"/>
  <c r="AB149" i="3"/>
  <c r="R149" i="3"/>
  <c r="AO148" i="3"/>
  <c r="AP148" i="3" s="1"/>
  <c r="AF148" i="3"/>
  <c r="AE148" i="3"/>
  <c r="AD148" i="3"/>
  <c r="AC148" i="3"/>
  <c r="AB148" i="3"/>
  <c r="R148" i="3"/>
  <c r="AO147" i="3"/>
  <c r="AP147" i="3" s="1"/>
  <c r="AF147" i="3"/>
  <c r="AE147" i="3"/>
  <c r="AD147" i="3"/>
  <c r="AC147" i="3"/>
  <c r="AB147" i="3"/>
  <c r="R147" i="3"/>
  <c r="AO146" i="3"/>
  <c r="AP146" i="3" s="1"/>
  <c r="AF146" i="3"/>
  <c r="AE146" i="3"/>
  <c r="AD146" i="3"/>
  <c r="AC146" i="3"/>
  <c r="AB146" i="3"/>
  <c r="Y146" i="3"/>
  <c r="Z146" i="3" s="1"/>
  <c r="V146" i="3"/>
  <c r="W146" i="3" s="1"/>
  <c r="R146" i="3"/>
  <c r="AP145" i="3"/>
  <c r="AO145" i="3"/>
  <c r="AQ145" i="3" s="1"/>
  <c r="AF145" i="3"/>
  <c r="AE145" i="3"/>
  <c r="AD145" i="3"/>
  <c r="AB145" i="3"/>
  <c r="AC145" i="3" s="1"/>
  <c r="Y145" i="3"/>
  <c r="Z145" i="3" s="1"/>
  <c r="V145" i="3"/>
  <c r="W145" i="3" s="1"/>
  <c r="R145" i="3"/>
  <c r="AP144" i="3"/>
  <c r="AO144" i="3"/>
  <c r="AQ144" i="3" s="1"/>
  <c r="AF144" i="3"/>
  <c r="AC144" i="3"/>
  <c r="AE144" i="3" s="1"/>
  <c r="AB144" i="3"/>
  <c r="AD144" i="3" s="1"/>
  <c r="Y144" i="3"/>
  <c r="Z144" i="3" s="1"/>
  <c r="V144" i="3"/>
  <c r="W144" i="3" s="1"/>
  <c r="R144" i="3"/>
  <c r="AP143" i="3"/>
  <c r="AO143" i="3"/>
  <c r="AQ143" i="3" s="1"/>
  <c r="AF143" i="3"/>
  <c r="AD143" i="3"/>
  <c r="AC143" i="3"/>
  <c r="AE143" i="3" s="1"/>
  <c r="AB143" i="3"/>
  <c r="Y143" i="3"/>
  <c r="Z143" i="3" s="1"/>
  <c r="V143" i="3"/>
  <c r="W143" i="3" s="1"/>
  <c r="R143" i="3"/>
  <c r="AP142" i="3"/>
  <c r="AO142" i="3"/>
  <c r="AQ142" i="3" s="1"/>
  <c r="AE142" i="3"/>
  <c r="AD142" i="3"/>
  <c r="AC142" i="3"/>
  <c r="AB142" i="3"/>
  <c r="AF142" i="3" s="1"/>
  <c r="Y142" i="3"/>
  <c r="Z142" i="3" s="1"/>
  <c r="V142" i="3"/>
  <c r="W142" i="3" s="1"/>
  <c r="R142" i="3"/>
  <c r="AQ141" i="3"/>
  <c r="AP141" i="3"/>
  <c r="AO141" i="3"/>
  <c r="AB141" i="3"/>
  <c r="AF141" i="3" s="1"/>
  <c r="W141" i="3"/>
  <c r="V141" i="3"/>
  <c r="R141" i="3"/>
  <c r="Y141" i="3" s="1"/>
  <c r="Z141" i="3" s="1"/>
  <c r="AQ140" i="3"/>
  <c r="AO140" i="3"/>
  <c r="AP140" i="3" s="1"/>
  <c r="AB140" i="3"/>
  <c r="AF140" i="3" s="1"/>
  <c r="W140" i="3"/>
  <c r="V140" i="3"/>
  <c r="R140" i="3"/>
  <c r="Y140" i="3" s="1"/>
  <c r="Z140" i="3" s="1"/>
  <c r="AP139" i="3"/>
  <c r="AO139" i="3"/>
  <c r="AQ139" i="3" s="1"/>
  <c r="AB139" i="3"/>
  <c r="AF139" i="3" s="1"/>
  <c r="W139" i="3"/>
  <c r="V139" i="3"/>
  <c r="R139" i="3"/>
  <c r="Y139" i="3" s="1"/>
  <c r="Z139" i="3" s="1"/>
  <c r="AQ138" i="3"/>
  <c r="AP138" i="3"/>
  <c r="AO138" i="3"/>
  <c r="AB138" i="3"/>
  <c r="AF138" i="3" s="1"/>
  <c r="Y138" i="3"/>
  <c r="Z138" i="3" s="1"/>
  <c r="R138" i="3"/>
  <c r="V138" i="3" s="1"/>
  <c r="W138" i="3" s="1"/>
  <c r="AQ137" i="3"/>
  <c r="AP137" i="3"/>
  <c r="AO137" i="3"/>
  <c r="AF137" i="3"/>
  <c r="AD137" i="3"/>
  <c r="AC137" i="3"/>
  <c r="AE137" i="3" s="1"/>
  <c r="AB137" i="3"/>
  <c r="Z137" i="3"/>
  <c r="V137" i="3"/>
  <c r="W137" i="3" s="1"/>
  <c r="R137" i="3"/>
  <c r="Y137" i="3" s="1"/>
  <c r="AQ136" i="3"/>
  <c r="AO136" i="3"/>
  <c r="AP136" i="3" s="1"/>
  <c r="AB136" i="3"/>
  <c r="W136" i="3"/>
  <c r="V136" i="3"/>
  <c r="R136" i="3"/>
  <c r="Y136" i="3" s="1"/>
  <c r="Z136" i="3" s="1"/>
  <c r="AQ135" i="3"/>
  <c r="AP135" i="3"/>
  <c r="AO135" i="3"/>
  <c r="AF135" i="3"/>
  <c r="AC135" i="3"/>
  <c r="AE135" i="3" s="1"/>
  <c r="AB135" i="3"/>
  <c r="AD135" i="3" s="1"/>
  <c r="Y135" i="3"/>
  <c r="Z135" i="3" s="1"/>
  <c r="W135" i="3"/>
  <c r="V135" i="3"/>
  <c r="R135" i="3"/>
  <c r="AO134" i="3"/>
  <c r="AQ134" i="3" s="1"/>
  <c r="AF134" i="3"/>
  <c r="AD134" i="3"/>
  <c r="AC134" i="3"/>
  <c r="AE134" i="3" s="1"/>
  <c r="AB134" i="3"/>
  <c r="Z134" i="3"/>
  <c r="Y134" i="3"/>
  <c r="R134" i="3"/>
  <c r="V134" i="3" s="1"/>
  <c r="W134" i="3" s="1"/>
  <c r="AO133" i="3"/>
  <c r="AQ133" i="3" s="1"/>
  <c r="AB133" i="3"/>
  <c r="AC133" i="3" s="1"/>
  <c r="AE133" i="3" s="1"/>
  <c r="Z133" i="3"/>
  <c r="Y133" i="3"/>
  <c r="V133" i="3"/>
  <c r="W133" i="3" s="1"/>
  <c r="R133" i="3"/>
  <c r="AQ132" i="3"/>
  <c r="AP132" i="3"/>
  <c r="AO132" i="3"/>
  <c r="AF132" i="3"/>
  <c r="AC132" i="3"/>
  <c r="AE132" i="3" s="1"/>
  <c r="AB132" i="3"/>
  <c r="AD132" i="3" s="1"/>
  <c r="R132" i="3"/>
  <c r="Y132" i="3" s="1"/>
  <c r="Z132" i="3" s="1"/>
  <c r="AO131" i="3"/>
  <c r="AB131" i="3"/>
  <c r="AD131" i="3" s="1"/>
  <c r="R131" i="3"/>
  <c r="Y131" i="3" s="1"/>
  <c r="Z131" i="3" s="1"/>
  <c r="AP130" i="3"/>
  <c r="AO130" i="3"/>
  <c r="AQ130" i="3" s="1"/>
  <c r="AD130" i="3"/>
  <c r="AC130" i="3"/>
  <c r="AE130" i="3" s="1"/>
  <c r="AB130" i="3"/>
  <c r="AF130" i="3" s="1"/>
  <c r="Z130" i="3"/>
  <c r="Y130" i="3"/>
  <c r="V130" i="3"/>
  <c r="W130" i="3" s="1"/>
  <c r="R130" i="3"/>
  <c r="AQ129" i="3"/>
  <c r="AP129" i="3"/>
  <c r="AO129" i="3"/>
  <c r="AF129" i="3"/>
  <c r="AD129" i="3"/>
  <c r="AB129" i="3"/>
  <c r="AC129" i="3" s="1"/>
  <c r="AE129" i="3" s="1"/>
  <c r="R129" i="3"/>
  <c r="AO128" i="3"/>
  <c r="AP128" i="3" s="1"/>
  <c r="AF128" i="3"/>
  <c r="AE128" i="3"/>
  <c r="AD128" i="3"/>
  <c r="AC128" i="3"/>
  <c r="AB128" i="3"/>
  <c r="Y128" i="3"/>
  <c r="Z128" i="3" s="1"/>
  <c r="V128" i="3"/>
  <c r="W128" i="3" s="1"/>
  <c r="R128" i="3"/>
  <c r="AP127" i="3"/>
  <c r="AO127" i="3"/>
  <c r="AQ127" i="3" s="1"/>
  <c r="AF127" i="3"/>
  <c r="AB127" i="3"/>
  <c r="AD127" i="3" s="1"/>
  <c r="W127" i="3"/>
  <c r="V127" i="3"/>
  <c r="R127" i="3"/>
  <c r="Y127" i="3" s="1"/>
  <c r="Z127" i="3" s="1"/>
  <c r="AO126" i="3"/>
  <c r="AQ126" i="3" s="1"/>
  <c r="AB126" i="3"/>
  <c r="AF126" i="3" s="1"/>
  <c r="Y126" i="3"/>
  <c r="Z126" i="3" s="1"/>
  <c r="R126" i="3"/>
  <c r="V126" i="3" s="1"/>
  <c r="W126" i="3" s="1"/>
  <c r="AQ125" i="3"/>
  <c r="AP125" i="3"/>
  <c r="AO125" i="3"/>
  <c r="AF125" i="3"/>
  <c r="AD125" i="3"/>
  <c r="AC125" i="3"/>
  <c r="AE125" i="3" s="1"/>
  <c r="AB125" i="3"/>
  <c r="V125" i="3"/>
  <c r="W125" i="3" s="1"/>
  <c r="R125" i="3"/>
  <c r="Y125" i="3" s="1"/>
  <c r="Z125" i="3" s="1"/>
  <c r="AQ124" i="3"/>
  <c r="AO124" i="3"/>
  <c r="AP124" i="3" s="1"/>
  <c r="AB124" i="3"/>
  <c r="R124" i="3"/>
  <c r="Y124" i="3" s="1"/>
  <c r="Z124" i="3" s="1"/>
  <c r="AQ123" i="3"/>
  <c r="AP123" i="3"/>
  <c r="AO123" i="3"/>
  <c r="AF123" i="3"/>
  <c r="AC123" i="3"/>
  <c r="AE123" i="3" s="1"/>
  <c r="AB123" i="3"/>
  <c r="AD123" i="3" s="1"/>
  <c r="Y123" i="3"/>
  <c r="Z123" i="3" s="1"/>
  <c r="V123" i="3"/>
  <c r="W123" i="3" s="1"/>
  <c r="R123" i="3"/>
  <c r="AO122" i="3"/>
  <c r="AQ122" i="3" s="1"/>
  <c r="AF122" i="3"/>
  <c r="AD122" i="3"/>
  <c r="AC122" i="3"/>
  <c r="AE122" i="3" s="1"/>
  <c r="AB122" i="3"/>
  <c r="Z122" i="3"/>
  <c r="Y122" i="3"/>
  <c r="R122" i="3"/>
  <c r="V122" i="3" s="1"/>
  <c r="W122" i="3" s="1"/>
  <c r="AO121" i="3"/>
  <c r="AQ121" i="3" s="1"/>
  <c r="AB121" i="3"/>
  <c r="AC121" i="3" s="1"/>
  <c r="AE121" i="3" s="1"/>
  <c r="Y121" i="3"/>
  <c r="Z121" i="3" s="1"/>
  <c r="V121" i="3"/>
  <c r="W121" i="3" s="1"/>
  <c r="R121" i="3"/>
  <c r="AQ120" i="3"/>
  <c r="AP120" i="3"/>
  <c r="AO120" i="3"/>
  <c r="AF120" i="3"/>
  <c r="AC120" i="3"/>
  <c r="AE120" i="3" s="1"/>
  <c r="AB120" i="3"/>
  <c r="AD120" i="3" s="1"/>
  <c r="R120" i="3"/>
  <c r="Y120" i="3" s="1"/>
  <c r="Z120" i="3" s="1"/>
  <c r="AO119" i="3"/>
  <c r="AB119" i="3"/>
  <c r="R119" i="3"/>
  <c r="Y119" i="3" s="1"/>
  <c r="Z119" i="3" s="1"/>
  <c r="AP118" i="3"/>
  <c r="AO118" i="3"/>
  <c r="AQ118" i="3" s="1"/>
  <c r="AD118" i="3"/>
  <c r="AC118" i="3"/>
  <c r="AE118" i="3" s="1"/>
  <c r="AB118" i="3"/>
  <c r="AF118" i="3" s="1"/>
  <c r="Z118" i="3"/>
  <c r="Y118" i="3"/>
  <c r="V118" i="3"/>
  <c r="W118" i="3" s="1"/>
  <c r="R118" i="3"/>
  <c r="AQ117" i="3"/>
  <c r="AP117" i="3"/>
  <c r="AO117" i="3"/>
  <c r="AF117" i="3"/>
  <c r="AD117" i="3"/>
  <c r="AB117" i="3"/>
  <c r="AC117" i="3" s="1"/>
  <c r="AE117" i="3" s="1"/>
  <c r="R117" i="3"/>
  <c r="AO116" i="3"/>
  <c r="AP116" i="3" s="1"/>
  <c r="AF116" i="3"/>
  <c r="AE116" i="3"/>
  <c r="AD116" i="3"/>
  <c r="AC116" i="3"/>
  <c r="AB116" i="3"/>
  <c r="Y116" i="3"/>
  <c r="Z116" i="3" s="1"/>
  <c r="V116" i="3"/>
  <c r="W116" i="3" s="1"/>
  <c r="R116" i="3"/>
  <c r="AP115" i="3"/>
  <c r="AO115" i="3"/>
  <c r="AQ115" i="3" s="1"/>
  <c r="AF115" i="3"/>
  <c r="AB115" i="3"/>
  <c r="AD115" i="3" s="1"/>
  <c r="W115" i="3"/>
  <c r="V115" i="3"/>
  <c r="R115" i="3"/>
  <c r="Y115" i="3" s="1"/>
  <c r="Z115" i="3" s="1"/>
  <c r="AO114" i="3"/>
  <c r="AB114" i="3"/>
  <c r="AF114" i="3" s="1"/>
  <c r="Y114" i="3"/>
  <c r="Z114" i="3" s="1"/>
  <c r="R114" i="3"/>
  <c r="V114" i="3" s="1"/>
  <c r="W114" i="3" s="1"/>
  <c r="AQ113" i="3"/>
  <c r="AP113" i="3"/>
  <c r="AO113" i="3"/>
  <c r="AF113" i="3"/>
  <c r="AD113" i="3"/>
  <c r="AC113" i="3"/>
  <c r="AE113" i="3" s="1"/>
  <c r="AB113" i="3"/>
  <c r="Z113" i="3"/>
  <c r="V113" i="3"/>
  <c r="W113" i="3" s="1"/>
  <c r="R113" i="3"/>
  <c r="Y113" i="3" s="1"/>
  <c r="AQ112" i="3"/>
  <c r="AO112" i="3"/>
  <c r="AP112" i="3" s="1"/>
  <c r="AB112" i="3"/>
  <c r="R112" i="3"/>
  <c r="AQ111" i="3"/>
  <c r="AP111" i="3"/>
  <c r="AO111" i="3"/>
  <c r="AF111" i="3"/>
  <c r="AC111" i="3"/>
  <c r="AE111" i="3" s="1"/>
  <c r="AB111" i="3"/>
  <c r="AD111" i="3" s="1"/>
  <c r="Y111" i="3"/>
  <c r="Z111" i="3" s="1"/>
  <c r="V111" i="3"/>
  <c r="W111" i="3" s="1"/>
  <c r="R111" i="3"/>
  <c r="AO110" i="3"/>
  <c r="AQ110" i="3" s="1"/>
  <c r="AF110" i="3"/>
  <c r="AD110" i="3"/>
  <c r="AC110" i="3"/>
  <c r="AE110" i="3" s="1"/>
  <c r="AB110" i="3"/>
  <c r="Z110" i="3"/>
  <c r="Y110" i="3"/>
  <c r="R110" i="3"/>
  <c r="V110" i="3" s="1"/>
  <c r="W110" i="3" s="1"/>
  <c r="AO109" i="3"/>
  <c r="AQ109" i="3" s="1"/>
  <c r="AB109" i="3"/>
  <c r="AC109" i="3" s="1"/>
  <c r="AE109" i="3" s="1"/>
  <c r="Y109" i="3"/>
  <c r="Z109" i="3" s="1"/>
  <c r="V109" i="3"/>
  <c r="W109" i="3" s="1"/>
  <c r="R109" i="3"/>
  <c r="AQ108" i="3"/>
  <c r="AP108" i="3"/>
  <c r="AO108" i="3"/>
  <c r="AF108" i="3"/>
  <c r="AC108" i="3"/>
  <c r="AE108" i="3" s="1"/>
  <c r="AB108" i="3"/>
  <c r="AD108" i="3" s="1"/>
  <c r="Z108" i="3"/>
  <c r="R108" i="3"/>
  <c r="Y108" i="3" s="1"/>
  <c r="AO107" i="3"/>
  <c r="AB107" i="3"/>
  <c r="R107" i="3"/>
  <c r="Y107" i="3" s="1"/>
  <c r="Z107" i="3" s="1"/>
  <c r="AP106" i="3"/>
  <c r="AO106" i="3"/>
  <c r="AQ106" i="3" s="1"/>
  <c r="AD106" i="3"/>
  <c r="AC106" i="3"/>
  <c r="AE106" i="3" s="1"/>
  <c r="AB106" i="3"/>
  <c r="AF106" i="3" s="1"/>
  <c r="Z106" i="3"/>
  <c r="Y106" i="3"/>
  <c r="V106" i="3"/>
  <c r="W106" i="3" s="1"/>
  <c r="R106" i="3"/>
  <c r="AQ105" i="3"/>
  <c r="AP105" i="3"/>
  <c r="AO105" i="3"/>
  <c r="AF105" i="3"/>
  <c r="AD105" i="3"/>
  <c r="AB105" i="3"/>
  <c r="AC105" i="3" s="1"/>
  <c r="AE105" i="3" s="1"/>
  <c r="R105" i="3"/>
  <c r="AO104" i="3"/>
  <c r="AP104" i="3" s="1"/>
  <c r="AF104" i="3"/>
  <c r="AE104" i="3"/>
  <c r="AD104" i="3"/>
  <c r="AC104" i="3"/>
  <c r="AB104" i="3"/>
  <c r="Y104" i="3"/>
  <c r="Z104" i="3" s="1"/>
  <c r="V104" i="3"/>
  <c r="W104" i="3" s="1"/>
  <c r="R104" i="3"/>
  <c r="AP103" i="3"/>
  <c r="AO103" i="3"/>
  <c r="AQ103" i="3" s="1"/>
  <c r="AF103" i="3"/>
  <c r="AB103" i="3"/>
  <c r="AD103" i="3" s="1"/>
  <c r="W103" i="3"/>
  <c r="V103" i="3"/>
  <c r="R103" i="3"/>
  <c r="Y103" i="3" s="1"/>
  <c r="Z103" i="3" s="1"/>
  <c r="AO102" i="3"/>
  <c r="AB102" i="3"/>
  <c r="AF102" i="3" s="1"/>
  <c r="Y102" i="3"/>
  <c r="Z102" i="3" s="1"/>
  <c r="R102" i="3"/>
  <c r="V102" i="3" s="1"/>
  <c r="W102" i="3" s="1"/>
  <c r="AQ101" i="3"/>
  <c r="AP101" i="3"/>
  <c r="AO101" i="3"/>
  <c r="AF101" i="3"/>
  <c r="AD101" i="3"/>
  <c r="AC101" i="3"/>
  <c r="AE101" i="3" s="1"/>
  <c r="AB101" i="3"/>
  <c r="V101" i="3"/>
  <c r="W101" i="3" s="1"/>
  <c r="R101" i="3"/>
  <c r="Y101" i="3" s="1"/>
  <c r="Z101" i="3" s="1"/>
  <c r="AQ100" i="3"/>
  <c r="AO100" i="3"/>
  <c r="AP100" i="3" s="1"/>
  <c r="AB100" i="3"/>
  <c r="R100" i="3"/>
  <c r="AQ99" i="3"/>
  <c r="AP99" i="3"/>
  <c r="AO99" i="3"/>
  <c r="AF99" i="3"/>
  <c r="AC99" i="3"/>
  <c r="AE99" i="3" s="1"/>
  <c r="AB99" i="3"/>
  <c r="AD99" i="3" s="1"/>
  <c r="Y99" i="3"/>
  <c r="Z99" i="3" s="1"/>
  <c r="V99" i="3"/>
  <c r="W99" i="3" s="1"/>
  <c r="R99" i="3"/>
  <c r="AO98" i="3"/>
  <c r="AQ98" i="3" s="1"/>
  <c r="AF98" i="3"/>
  <c r="AD98" i="3"/>
  <c r="AC98" i="3"/>
  <c r="AE98" i="3" s="1"/>
  <c r="AB98" i="3"/>
  <c r="Z98" i="3"/>
  <c r="Y98" i="3"/>
  <c r="R98" i="3"/>
  <c r="V98" i="3" s="1"/>
  <c r="W98" i="3" s="1"/>
  <c r="AO97" i="3"/>
  <c r="AQ97" i="3" s="1"/>
  <c r="AE97" i="3"/>
  <c r="AB97" i="3"/>
  <c r="AC97" i="3" s="1"/>
  <c r="Y97" i="3"/>
  <c r="Z97" i="3" s="1"/>
  <c r="V97" i="3"/>
  <c r="W97" i="3" s="1"/>
  <c r="R97" i="3"/>
  <c r="AQ96" i="3"/>
  <c r="AP96" i="3"/>
  <c r="AO96" i="3"/>
  <c r="AF96" i="3"/>
  <c r="AC96" i="3"/>
  <c r="AE96" i="3" s="1"/>
  <c r="AB96" i="3"/>
  <c r="AD96" i="3" s="1"/>
  <c r="R96" i="3"/>
  <c r="Y96" i="3" s="1"/>
  <c r="Z96" i="3" s="1"/>
  <c r="AO95" i="3"/>
  <c r="AB95" i="3"/>
  <c r="R95" i="3"/>
  <c r="Y95" i="3" s="1"/>
  <c r="Z95" i="3" s="1"/>
  <c r="AP94" i="3"/>
  <c r="AO94" i="3"/>
  <c r="AQ94" i="3" s="1"/>
  <c r="AD94" i="3"/>
  <c r="AC94" i="3"/>
  <c r="AE94" i="3" s="1"/>
  <c r="AB94" i="3"/>
  <c r="AF94" i="3" s="1"/>
  <c r="Z94" i="3"/>
  <c r="Y94" i="3"/>
  <c r="V94" i="3"/>
  <c r="W94" i="3" s="1"/>
  <c r="R94" i="3"/>
  <c r="AQ93" i="3"/>
  <c r="AP93" i="3"/>
  <c r="AO93" i="3"/>
  <c r="AF93" i="3"/>
  <c r="AD93" i="3"/>
  <c r="AB93" i="3"/>
  <c r="AC93" i="3" s="1"/>
  <c r="AE93" i="3" s="1"/>
  <c r="R93" i="3"/>
  <c r="AO92" i="3"/>
  <c r="AP92" i="3" s="1"/>
  <c r="AF92" i="3"/>
  <c r="AE92" i="3"/>
  <c r="AD92" i="3"/>
  <c r="AC92" i="3"/>
  <c r="AB92" i="3"/>
  <c r="Y92" i="3"/>
  <c r="Z92" i="3" s="1"/>
  <c r="V92" i="3"/>
  <c r="W92" i="3" s="1"/>
  <c r="R92" i="3"/>
  <c r="AP91" i="3"/>
  <c r="AO91" i="3"/>
  <c r="AQ91" i="3" s="1"/>
  <c r="AF91" i="3"/>
  <c r="AB91" i="3"/>
  <c r="AD91" i="3" s="1"/>
  <c r="W91" i="3"/>
  <c r="V91" i="3"/>
  <c r="R91" i="3"/>
  <c r="Y91" i="3" s="1"/>
  <c r="Z91" i="3" s="1"/>
  <c r="AO90" i="3"/>
  <c r="AB90" i="3"/>
  <c r="AF90" i="3" s="1"/>
  <c r="Y90" i="3"/>
  <c r="Z90" i="3" s="1"/>
  <c r="R90" i="3"/>
  <c r="V90" i="3" s="1"/>
  <c r="W90" i="3" s="1"/>
  <c r="AQ89" i="3"/>
  <c r="AP89" i="3"/>
  <c r="AO89" i="3"/>
  <c r="AF89" i="3"/>
  <c r="AD89" i="3"/>
  <c r="AC89" i="3"/>
  <c r="AE89" i="3" s="1"/>
  <c r="AB89" i="3"/>
  <c r="V89" i="3"/>
  <c r="W89" i="3" s="1"/>
  <c r="R89" i="3"/>
  <c r="Y89" i="3" s="1"/>
  <c r="Z89" i="3" s="1"/>
  <c r="AQ88" i="3"/>
  <c r="AO88" i="3"/>
  <c r="AP88" i="3" s="1"/>
  <c r="AB88" i="3"/>
  <c r="R88" i="3"/>
  <c r="AQ87" i="3"/>
  <c r="AP87" i="3"/>
  <c r="AO87" i="3"/>
  <c r="AF87" i="3"/>
  <c r="AC87" i="3"/>
  <c r="AE87" i="3" s="1"/>
  <c r="AB87" i="3"/>
  <c r="AD87" i="3" s="1"/>
  <c r="Y87" i="3"/>
  <c r="Z87" i="3" s="1"/>
  <c r="V87" i="3"/>
  <c r="W87" i="3" s="1"/>
  <c r="R87" i="3"/>
  <c r="AO86" i="3"/>
  <c r="AQ86" i="3" s="1"/>
  <c r="AF86" i="3"/>
  <c r="AD86" i="3"/>
  <c r="AC86" i="3"/>
  <c r="AE86" i="3" s="1"/>
  <c r="AB86" i="3"/>
  <c r="Z86" i="3"/>
  <c r="Y86" i="3"/>
  <c r="W86" i="3"/>
  <c r="R86" i="3"/>
  <c r="V86" i="3" s="1"/>
  <c r="AO85" i="3"/>
  <c r="AQ85" i="3" s="1"/>
  <c r="AE85" i="3"/>
  <c r="AB85" i="3"/>
  <c r="AC85" i="3" s="1"/>
  <c r="Y85" i="3"/>
  <c r="Z85" i="3" s="1"/>
  <c r="V85" i="3"/>
  <c r="W85" i="3" s="1"/>
  <c r="R85" i="3"/>
  <c r="AQ84" i="3"/>
  <c r="AP84" i="3"/>
  <c r="AO84" i="3"/>
  <c r="AF84" i="3"/>
  <c r="AC84" i="3"/>
  <c r="AE84" i="3" s="1"/>
  <c r="AB84" i="3"/>
  <c r="AD84" i="3" s="1"/>
  <c r="R84" i="3"/>
  <c r="Y84" i="3" s="1"/>
  <c r="Z84" i="3" s="1"/>
  <c r="AO83" i="3"/>
  <c r="AB83" i="3"/>
  <c r="R83" i="3"/>
  <c r="Y83" i="3" s="1"/>
  <c r="Z83" i="3" s="1"/>
  <c r="AP82" i="3"/>
  <c r="AO82" i="3"/>
  <c r="AQ82" i="3" s="1"/>
  <c r="AD82" i="3"/>
  <c r="AC82" i="3"/>
  <c r="AE82" i="3" s="1"/>
  <c r="AB82" i="3"/>
  <c r="AF82" i="3" s="1"/>
  <c r="Z82" i="3"/>
  <c r="Y82" i="3"/>
  <c r="V82" i="3"/>
  <c r="W82" i="3" s="1"/>
  <c r="R82" i="3"/>
  <c r="AQ81" i="3"/>
  <c r="AP81" i="3"/>
  <c r="AO81" i="3"/>
  <c r="AF81" i="3"/>
  <c r="AD81" i="3"/>
  <c r="AB81" i="3"/>
  <c r="AC81" i="3" s="1"/>
  <c r="AE81" i="3" s="1"/>
  <c r="R81" i="3"/>
  <c r="AO80" i="3"/>
  <c r="AP80" i="3" s="1"/>
  <c r="AF80" i="3"/>
  <c r="AE80" i="3"/>
  <c r="AD80" i="3"/>
  <c r="AC80" i="3"/>
  <c r="AB80" i="3"/>
  <c r="Y80" i="3"/>
  <c r="Z80" i="3" s="1"/>
  <c r="V80" i="3"/>
  <c r="W80" i="3" s="1"/>
  <c r="R80" i="3"/>
  <c r="AP79" i="3"/>
  <c r="AO79" i="3"/>
  <c r="AQ79" i="3" s="1"/>
  <c r="AF79" i="3"/>
  <c r="AB79" i="3"/>
  <c r="AD79" i="3" s="1"/>
  <c r="W79" i="3"/>
  <c r="V79" i="3"/>
  <c r="R79" i="3"/>
  <c r="Y79" i="3" s="1"/>
  <c r="Z79" i="3" s="1"/>
  <c r="AO78" i="3"/>
  <c r="AP78" i="3" s="1"/>
  <c r="AB78" i="3"/>
  <c r="AF78" i="3" s="1"/>
  <c r="Y78" i="3"/>
  <c r="Z78" i="3" s="1"/>
  <c r="R78" i="3"/>
  <c r="V78" i="3" s="1"/>
  <c r="W78" i="3" s="1"/>
  <c r="AQ77" i="3"/>
  <c r="AP77" i="3"/>
  <c r="AO77" i="3"/>
  <c r="AF77" i="3"/>
  <c r="AD77" i="3"/>
  <c r="AC77" i="3"/>
  <c r="AE77" i="3" s="1"/>
  <c r="AB77" i="3"/>
  <c r="Z77" i="3"/>
  <c r="V77" i="3"/>
  <c r="W77" i="3" s="1"/>
  <c r="R77" i="3"/>
  <c r="Y77" i="3" s="1"/>
  <c r="AQ76" i="3"/>
  <c r="AO76" i="3"/>
  <c r="AP76" i="3" s="1"/>
  <c r="AB76" i="3"/>
  <c r="R76" i="3"/>
  <c r="AQ75" i="3"/>
  <c r="AP75" i="3"/>
  <c r="AO75" i="3"/>
  <c r="AF75" i="3"/>
  <c r="AC75" i="3"/>
  <c r="AE75" i="3" s="1"/>
  <c r="AB75" i="3"/>
  <c r="AD75" i="3" s="1"/>
  <c r="Y75" i="3"/>
  <c r="Z75" i="3" s="1"/>
  <c r="V75" i="3"/>
  <c r="W75" i="3" s="1"/>
  <c r="R75" i="3"/>
  <c r="AO74" i="3"/>
  <c r="AQ74" i="3" s="1"/>
  <c r="AF74" i="3"/>
  <c r="AD74" i="3"/>
  <c r="AC74" i="3"/>
  <c r="AE74" i="3" s="1"/>
  <c r="AB74" i="3"/>
  <c r="Z74" i="3"/>
  <c r="Y74" i="3"/>
  <c r="R74" i="3"/>
  <c r="V74" i="3" s="1"/>
  <c r="W74" i="3" s="1"/>
  <c r="AO73" i="3"/>
  <c r="AQ73" i="3" s="1"/>
  <c r="AB73" i="3"/>
  <c r="Y73" i="3"/>
  <c r="Z73" i="3" s="1"/>
  <c r="V73" i="3"/>
  <c r="W73" i="3" s="1"/>
  <c r="R73" i="3"/>
  <c r="AQ72" i="3"/>
  <c r="AP72" i="3"/>
  <c r="AO72" i="3"/>
  <c r="AF72" i="3"/>
  <c r="AC72" i="3"/>
  <c r="AE72" i="3" s="1"/>
  <c r="AB72" i="3"/>
  <c r="AD72" i="3" s="1"/>
  <c r="Z72" i="3"/>
  <c r="R72" i="3"/>
  <c r="Y72" i="3" s="1"/>
  <c r="AO71" i="3"/>
  <c r="AB71" i="3"/>
  <c r="AD71" i="3" s="1"/>
  <c r="R71" i="3"/>
  <c r="Y71" i="3" s="1"/>
  <c r="Z71" i="3" s="1"/>
  <c r="AP70" i="3"/>
  <c r="AO70" i="3"/>
  <c r="AQ70" i="3" s="1"/>
  <c r="AD70" i="3"/>
  <c r="AC70" i="3"/>
  <c r="AE70" i="3" s="1"/>
  <c r="AB70" i="3"/>
  <c r="AF70" i="3" s="1"/>
  <c r="Z70" i="3"/>
  <c r="Y70" i="3"/>
  <c r="V70" i="3"/>
  <c r="W70" i="3" s="1"/>
  <c r="R70" i="3"/>
  <c r="AQ69" i="3"/>
  <c r="AP69" i="3"/>
  <c r="AO69" i="3"/>
  <c r="AF69" i="3"/>
  <c r="AD69" i="3"/>
  <c r="AB69" i="3"/>
  <c r="AC69" i="3" s="1"/>
  <c r="AE69" i="3" s="1"/>
  <c r="R69" i="3"/>
  <c r="AO68" i="3"/>
  <c r="AF68" i="3"/>
  <c r="AE68" i="3"/>
  <c r="AD68" i="3"/>
  <c r="AC68" i="3"/>
  <c r="AB68" i="3"/>
  <c r="Y68" i="3"/>
  <c r="Z68" i="3" s="1"/>
  <c r="V68" i="3"/>
  <c r="W68" i="3" s="1"/>
  <c r="R68" i="3"/>
  <c r="AO67" i="3"/>
  <c r="AQ67" i="3" s="1"/>
  <c r="AF67" i="3"/>
  <c r="AB67" i="3"/>
  <c r="AD67" i="3" s="1"/>
  <c r="W67" i="3"/>
  <c r="V67" i="3"/>
  <c r="R67" i="3"/>
  <c r="Y67" i="3" s="1"/>
  <c r="Z67" i="3" s="1"/>
  <c r="AQ66" i="3"/>
  <c r="AP66" i="3"/>
  <c r="AO66" i="3"/>
  <c r="AB66" i="3"/>
  <c r="AF66" i="3" s="1"/>
  <c r="Y66" i="3"/>
  <c r="Z66" i="3" s="1"/>
  <c r="R66" i="3"/>
  <c r="V66" i="3" s="1"/>
  <c r="W66" i="3" s="1"/>
  <c r="AQ65" i="3"/>
  <c r="AP65" i="3"/>
  <c r="AO65" i="3"/>
  <c r="AF65" i="3"/>
  <c r="AD65" i="3"/>
  <c r="AC65" i="3"/>
  <c r="AE65" i="3" s="1"/>
  <c r="AB65" i="3"/>
  <c r="Z65" i="3"/>
  <c r="R65" i="3"/>
  <c r="Y65" i="3" s="1"/>
  <c r="AQ64" i="3"/>
  <c r="AO64" i="3"/>
  <c r="AP64" i="3" s="1"/>
  <c r="AB64" i="3"/>
  <c r="V64" i="3"/>
  <c r="W64" i="3" s="1"/>
  <c r="R64" i="3"/>
  <c r="Y64" i="3" s="1"/>
  <c r="Z64" i="3" s="1"/>
  <c r="AQ63" i="3"/>
  <c r="AP63" i="3"/>
  <c r="AO63" i="3"/>
  <c r="AF63" i="3"/>
  <c r="AC63" i="3"/>
  <c r="AE63" i="3" s="1"/>
  <c r="AB63" i="3"/>
  <c r="AD63" i="3" s="1"/>
  <c r="Y63" i="3"/>
  <c r="Z63" i="3" s="1"/>
  <c r="V63" i="3"/>
  <c r="W63" i="3" s="1"/>
  <c r="R63" i="3"/>
  <c r="AO62" i="3"/>
  <c r="AQ62" i="3" s="1"/>
  <c r="AF62" i="3"/>
  <c r="AD62" i="3"/>
  <c r="AC62" i="3"/>
  <c r="AE62" i="3" s="1"/>
  <c r="AB62" i="3"/>
  <c r="Z62" i="3"/>
  <c r="Y62" i="3"/>
  <c r="R62" i="3"/>
  <c r="V62" i="3" s="1"/>
  <c r="W62" i="3" s="1"/>
  <c r="AO61" i="3"/>
  <c r="AQ61" i="3" s="1"/>
  <c r="AB61" i="3"/>
  <c r="Z61" i="3"/>
  <c r="Y61" i="3"/>
  <c r="V61" i="3"/>
  <c r="W61" i="3" s="1"/>
  <c r="R61" i="3"/>
  <c r="AQ60" i="3"/>
  <c r="AP60" i="3"/>
  <c r="AO60" i="3"/>
  <c r="AF60" i="3"/>
  <c r="AC60" i="3"/>
  <c r="AE60" i="3" s="1"/>
  <c r="AB60" i="3"/>
  <c r="AD60" i="3" s="1"/>
  <c r="Z60" i="3"/>
  <c r="R60" i="3"/>
  <c r="Y60" i="3" s="1"/>
  <c r="AO59" i="3"/>
  <c r="AD59" i="3"/>
  <c r="AC59" i="3"/>
  <c r="AE59" i="3" s="1"/>
  <c r="AB59" i="3"/>
  <c r="AF59" i="3" s="1"/>
  <c r="R59" i="3"/>
  <c r="AP58" i="3"/>
  <c r="AO58" i="3"/>
  <c r="AQ58" i="3" s="1"/>
  <c r="AE58" i="3"/>
  <c r="AD58" i="3"/>
  <c r="AC58" i="3"/>
  <c r="AB58" i="3"/>
  <c r="AF58" i="3" s="1"/>
  <c r="Z58" i="3"/>
  <c r="Y58" i="3"/>
  <c r="V58" i="3"/>
  <c r="W58" i="3" s="1"/>
  <c r="R58" i="3"/>
  <c r="AQ57" i="3"/>
  <c r="AP57" i="3"/>
  <c r="AO57" i="3"/>
  <c r="AF57" i="3"/>
  <c r="AE57" i="3"/>
  <c r="AD57" i="3"/>
  <c r="AB57" i="3"/>
  <c r="AC57" i="3" s="1"/>
  <c r="R57" i="3"/>
  <c r="AO56" i="3"/>
  <c r="AF56" i="3"/>
  <c r="AE56" i="3"/>
  <c r="AD56" i="3"/>
  <c r="AC56" i="3"/>
  <c r="AB56" i="3"/>
  <c r="Y56" i="3"/>
  <c r="Z56" i="3" s="1"/>
  <c r="V56" i="3"/>
  <c r="W56" i="3" s="1"/>
  <c r="R56" i="3"/>
  <c r="AO55" i="3"/>
  <c r="AQ55" i="3" s="1"/>
  <c r="AF55" i="3"/>
  <c r="AB55" i="3"/>
  <c r="AD55" i="3" s="1"/>
  <c r="Z55" i="3"/>
  <c r="W55" i="3"/>
  <c r="V55" i="3"/>
  <c r="R55" i="3"/>
  <c r="Y55" i="3" s="1"/>
  <c r="AQ54" i="3"/>
  <c r="AO54" i="3"/>
  <c r="AP54" i="3" s="1"/>
  <c r="AB54" i="3"/>
  <c r="R54" i="3"/>
  <c r="V54" i="3" s="1"/>
  <c r="W54" i="3" s="1"/>
  <c r="AQ53" i="3"/>
  <c r="AP53" i="3"/>
  <c r="AO53" i="3"/>
  <c r="AF53" i="3"/>
  <c r="AD53" i="3"/>
  <c r="AC53" i="3"/>
  <c r="AE53" i="3" s="1"/>
  <c r="AB53" i="3"/>
  <c r="V53" i="3"/>
  <c r="W53" i="3" s="1"/>
  <c r="R53" i="3"/>
  <c r="Y53" i="3" s="1"/>
  <c r="Z53" i="3" s="1"/>
  <c r="AQ52" i="3"/>
  <c r="AO52" i="3"/>
  <c r="AP52" i="3" s="1"/>
  <c r="AB52" i="3"/>
  <c r="W52" i="3"/>
  <c r="V52" i="3"/>
  <c r="R52" i="3"/>
  <c r="Y52" i="3" s="1"/>
  <c r="Z52" i="3" s="1"/>
  <c r="AQ51" i="3"/>
  <c r="AP51" i="3"/>
  <c r="AO51" i="3"/>
  <c r="AF51" i="3"/>
  <c r="AE51" i="3"/>
  <c r="AC51" i="3"/>
  <c r="AB51" i="3"/>
  <c r="AD51" i="3" s="1"/>
  <c r="Y51" i="3"/>
  <c r="Z51" i="3" s="1"/>
  <c r="W51" i="3"/>
  <c r="V51" i="3"/>
  <c r="R51" i="3"/>
  <c r="AO50" i="3"/>
  <c r="AQ50" i="3" s="1"/>
  <c r="AF50" i="3"/>
  <c r="AD50" i="3"/>
  <c r="AC50" i="3"/>
  <c r="AE50" i="3" s="1"/>
  <c r="AB50" i="3"/>
  <c r="Z50" i="3"/>
  <c r="Y50" i="3"/>
  <c r="W50" i="3"/>
  <c r="R50" i="3"/>
  <c r="V50" i="3" s="1"/>
  <c r="AO49" i="3"/>
  <c r="AB49" i="3"/>
  <c r="Y49" i="3"/>
  <c r="Z49" i="3" s="1"/>
  <c r="V49" i="3"/>
  <c r="W49" i="3" s="1"/>
  <c r="R49" i="3"/>
  <c r="AQ48" i="3"/>
  <c r="AP48" i="3"/>
  <c r="AO48" i="3"/>
  <c r="AB48" i="3"/>
  <c r="AD48" i="3" s="1"/>
  <c r="Z48" i="3"/>
  <c r="R48" i="3"/>
  <c r="Y48" i="3" s="1"/>
  <c r="AO47" i="3"/>
  <c r="AP47" i="3" s="1"/>
  <c r="AD47" i="3"/>
  <c r="AB47" i="3"/>
  <c r="AF47" i="3" s="1"/>
  <c r="R47" i="3"/>
  <c r="AP46" i="3"/>
  <c r="AO46" i="3"/>
  <c r="AQ46" i="3" s="1"/>
  <c r="AE46" i="3"/>
  <c r="AD46" i="3"/>
  <c r="AC46" i="3"/>
  <c r="AB46" i="3"/>
  <c r="AF46" i="3" s="1"/>
  <c r="Z46" i="3"/>
  <c r="Y46" i="3"/>
  <c r="V46" i="3"/>
  <c r="W46" i="3" s="1"/>
  <c r="R46" i="3"/>
  <c r="AQ45" i="3"/>
  <c r="AP45" i="3"/>
  <c r="AO45" i="3"/>
  <c r="AF45" i="3"/>
  <c r="AE45" i="3"/>
  <c r="AD45" i="3"/>
  <c r="AB45" i="3"/>
  <c r="AC45" i="3" s="1"/>
  <c r="R45" i="3"/>
  <c r="AO44" i="3"/>
  <c r="AF44" i="3"/>
  <c r="AE44" i="3"/>
  <c r="AD44" i="3"/>
  <c r="AC44" i="3"/>
  <c r="AB44" i="3"/>
  <c r="Y44" i="3"/>
  <c r="Z44" i="3" s="1"/>
  <c r="V44" i="3"/>
  <c r="W44" i="3" s="1"/>
  <c r="R44" i="3"/>
  <c r="AP43" i="3"/>
  <c r="AO43" i="3"/>
  <c r="AQ43" i="3" s="1"/>
  <c r="AF43" i="3"/>
  <c r="AB43" i="3"/>
  <c r="AD43" i="3" s="1"/>
  <c r="Z43" i="3"/>
  <c r="W43" i="3"/>
  <c r="V43" i="3"/>
  <c r="R43" i="3"/>
  <c r="Y43" i="3" s="1"/>
  <c r="AP42" i="3"/>
  <c r="AO42" i="3"/>
  <c r="AQ42" i="3" s="1"/>
  <c r="AB42" i="3"/>
  <c r="Y42" i="3"/>
  <c r="Z42" i="3" s="1"/>
  <c r="R42" i="3"/>
  <c r="V42" i="3" s="1"/>
  <c r="W42" i="3" s="1"/>
  <c r="AQ41" i="3"/>
  <c r="AP41" i="3"/>
  <c r="AO41" i="3"/>
  <c r="AF41" i="3"/>
  <c r="AD41" i="3"/>
  <c r="AC41" i="3"/>
  <c r="AE41" i="3" s="1"/>
  <c r="AB41" i="3"/>
  <c r="R41" i="3"/>
  <c r="Y41" i="3" s="1"/>
  <c r="Z41" i="3" s="1"/>
  <c r="AQ40" i="3"/>
  <c r="AO40" i="3"/>
  <c r="AP40" i="3" s="1"/>
  <c r="AB40" i="3"/>
  <c r="R40" i="3"/>
  <c r="Y40" i="3" s="1"/>
  <c r="Z40" i="3" s="1"/>
  <c r="AQ39" i="3"/>
  <c r="AP39" i="3"/>
  <c r="AO39" i="3"/>
  <c r="AF39" i="3"/>
  <c r="AE39" i="3"/>
  <c r="AC39" i="3"/>
  <c r="AB39" i="3"/>
  <c r="AD39" i="3" s="1"/>
  <c r="Y39" i="3"/>
  <c r="Z39" i="3" s="1"/>
  <c r="V39" i="3"/>
  <c r="W39" i="3" s="1"/>
  <c r="R39" i="3"/>
  <c r="AO38" i="3"/>
  <c r="AF38" i="3"/>
  <c r="AD38" i="3"/>
  <c r="AB38" i="3"/>
  <c r="AC38" i="3" s="1"/>
  <c r="AE38" i="3" s="1"/>
  <c r="Y38" i="3"/>
  <c r="Z38" i="3" s="1"/>
  <c r="W38" i="3"/>
  <c r="R38" i="3"/>
  <c r="V38" i="3" s="1"/>
  <c r="AO37" i="3"/>
  <c r="AQ37" i="3" s="1"/>
  <c r="AB37" i="3"/>
  <c r="Z37" i="3"/>
  <c r="Y37" i="3"/>
  <c r="V37" i="3"/>
  <c r="W37" i="3" s="1"/>
  <c r="R37" i="3"/>
  <c r="AQ36" i="3"/>
  <c r="AP36" i="3"/>
  <c r="AO36" i="3"/>
  <c r="AB36" i="3"/>
  <c r="AD36" i="3" s="1"/>
  <c r="R36" i="3"/>
  <c r="AQ35" i="3"/>
  <c r="AO35" i="3"/>
  <c r="AP35" i="3" s="1"/>
  <c r="AC35" i="3"/>
  <c r="AE35" i="3" s="1"/>
  <c r="AB35" i="3"/>
  <c r="AF35" i="3" s="1"/>
  <c r="V35" i="3"/>
  <c r="W35" i="3" s="1"/>
  <c r="R35" i="3"/>
  <c r="Y35" i="3" s="1"/>
  <c r="Z35" i="3" s="1"/>
  <c r="AP34" i="3"/>
  <c r="AO34" i="3"/>
  <c r="AQ34" i="3" s="1"/>
  <c r="AF34" i="3"/>
  <c r="AE34" i="3"/>
  <c r="AD34" i="3"/>
  <c r="AC34" i="3"/>
  <c r="AB34" i="3"/>
  <c r="Z34" i="3"/>
  <c r="Y34" i="3"/>
  <c r="V34" i="3"/>
  <c r="W34" i="3" s="1"/>
  <c r="R34" i="3"/>
  <c r="AQ33" i="3"/>
  <c r="AO33" i="3"/>
  <c r="AP33" i="3" s="1"/>
  <c r="AF33" i="3"/>
  <c r="AE33" i="3"/>
  <c r="AD33" i="3"/>
  <c r="AB33" i="3"/>
  <c r="AC33" i="3" s="1"/>
  <c r="R33" i="3"/>
  <c r="V33" i="3" s="1"/>
  <c r="W33" i="3" s="1"/>
  <c r="AO32" i="3"/>
  <c r="AF32" i="3"/>
  <c r="AE32" i="3"/>
  <c r="AD32" i="3"/>
  <c r="AC32" i="3"/>
  <c r="AB32" i="3"/>
  <c r="Z32" i="3"/>
  <c r="Y32" i="3"/>
  <c r="V32" i="3"/>
  <c r="W32" i="3" s="1"/>
  <c r="R32" i="3"/>
  <c r="AO31" i="3"/>
  <c r="AQ31" i="3" s="1"/>
  <c r="AB31" i="3"/>
  <c r="Z31" i="3"/>
  <c r="R31" i="3"/>
  <c r="Y31" i="3" s="1"/>
  <c r="AQ30" i="3"/>
  <c r="AP30" i="3"/>
  <c r="AO30" i="3"/>
  <c r="AC30" i="3"/>
  <c r="AE30" i="3" s="1"/>
  <c r="AB30" i="3"/>
  <c r="R30" i="3"/>
  <c r="V30" i="3" s="1"/>
  <c r="W30" i="3" s="1"/>
  <c r="AQ29" i="3"/>
  <c r="AP29" i="3"/>
  <c r="AO29" i="3"/>
  <c r="AF29" i="3"/>
  <c r="AD29" i="3"/>
  <c r="AC29" i="3"/>
  <c r="AE29" i="3" s="1"/>
  <c r="AB29" i="3"/>
  <c r="V29" i="3"/>
  <c r="W29" i="3" s="1"/>
  <c r="R29" i="3"/>
  <c r="Y29" i="3" s="1"/>
  <c r="Z29" i="3" s="1"/>
  <c r="AQ28" i="3"/>
  <c r="AO28" i="3"/>
  <c r="AP28" i="3" s="1"/>
  <c r="AD28" i="3"/>
  <c r="AB28" i="3"/>
  <c r="R28" i="3"/>
  <c r="Y28" i="3" s="1"/>
  <c r="Z28" i="3" s="1"/>
  <c r="AQ27" i="3"/>
  <c r="AP27" i="3"/>
  <c r="AO27" i="3"/>
  <c r="AF27" i="3"/>
  <c r="AC27" i="3"/>
  <c r="AE27" i="3" s="1"/>
  <c r="AB27" i="3"/>
  <c r="AD27" i="3" s="1"/>
  <c r="Y27" i="3"/>
  <c r="Z27" i="3" s="1"/>
  <c r="W27" i="3"/>
  <c r="V27" i="3"/>
  <c r="R27" i="3"/>
  <c r="AO26" i="3"/>
  <c r="AP26" i="3" s="1"/>
  <c r="AF26" i="3"/>
  <c r="AD26" i="3"/>
  <c r="AB26" i="3"/>
  <c r="AC26" i="3" s="1"/>
  <c r="AE26" i="3" s="1"/>
  <c r="R26" i="3"/>
  <c r="V26" i="3" s="1"/>
  <c r="W26" i="3" s="1"/>
  <c r="AP25" i="3"/>
  <c r="AO25" i="3"/>
  <c r="AQ25" i="3" s="1"/>
  <c r="AB25" i="3"/>
  <c r="Z25" i="3"/>
  <c r="Y25" i="3"/>
  <c r="V25" i="3"/>
  <c r="W25" i="3" s="1"/>
  <c r="R25" i="3"/>
  <c r="AQ24" i="3"/>
  <c r="AP24" i="3"/>
  <c r="AO24" i="3"/>
  <c r="AF24" i="3"/>
  <c r="AC24" i="3"/>
  <c r="AE24" i="3" s="1"/>
  <c r="AB24" i="3"/>
  <c r="AD24" i="3" s="1"/>
  <c r="R24" i="3"/>
  <c r="AO23" i="3"/>
  <c r="AP23" i="3" s="1"/>
  <c r="AB23" i="3"/>
  <c r="AF23" i="3" s="1"/>
  <c r="Y23" i="3"/>
  <c r="Z23" i="3" s="1"/>
  <c r="V23" i="3"/>
  <c r="W23" i="3" s="1"/>
  <c r="R23" i="3"/>
  <c r="AP22" i="3"/>
  <c r="AO22" i="3"/>
  <c r="AQ22" i="3" s="1"/>
  <c r="AF22" i="3"/>
  <c r="AE22" i="3"/>
  <c r="AD22" i="3"/>
  <c r="AC22" i="3"/>
  <c r="AB22" i="3"/>
  <c r="Z22" i="3"/>
  <c r="Y22" i="3"/>
  <c r="V22" i="3"/>
  <c r="W22" i="3" s="1"/>
  <c r="R22" i="3"/>
  <c r="AQ21" i="3"/>
  <c r="AO21" i="3"/>
  <c r="AP21" i="3" s="1"/>
  <c r="AF21" i="3"/>
  <c r="AE21" i="3"/>
  <c r="AB21" i="3"/>
  <c r="AC21" i="3" s="1"/>
  <c r="R21" i="3"/>
  <c r="V21" i="3" s="1"/>
  <c r="W21" i="3" s="1"/>
  <c r="AO20" i="3"/>
  <c r="AF20" i="3"/>
  <c r="AE20" i="3"/>
  <c r="AD20" i="3"/>
  <c r="AC20" i="3"/>
  <c r="AB20" i="3"/>
  <c r="Z20" i="3"/>
  <c r="Y20" i="3"/>
  <c r="V20" i="3"/>
  <c r="W20" i="3" s="1"/>
  <c r="R20" i="3"/>
  <c r="AO19" i="3"/>
  <c r="AQ19" i="3" s="1"/>
  <c r="AF19" i="3"/>
  <c r="AD19" i="3"/>
  <c r="AB19" i="3"/>
  <c r="AC19" i="3" s="1"/>
  <c r="AE19" i="3" s="1"/>
  <c r="R19" i="3"/>
  <c r="Y19" i="3" s="1"/>
  <c r="Z19" i="3" s="1"/>
  <c r="AQ18" i="3"/>
  <c r="AO18" i="3"/>
  <c r="AP18" i="3" s="1"/>
  <c r="AB18" i="3"/>
  <c r="R18" i="3"/>
  <c r="V18" i="3" s="1"/>
  <c r="W18" i="3" s="1"/>
  <c r="AQ17" i="3"/>
  <c r="AP17" i="3"/>
  <c r="AO17" i="3"/>
  <c r="AF17" i="3"/>
  <c r="AD17" i="3"/>
  <c r="AC17" i="3"/>
  <c r="AE17" i="3" s="1"/>
  <c r="AB17" i="3"/>
  <c r="R17" i="3"/>
  <c r="Y17" i="3" s="1"/>
  <c r="Z17" i="3" s="1"/>
  <c r="AO16" i="3"/>
  <c r="AP16" i="3" s="1"/>
  <c r="AD16" i="3"/>
  <c r="AB16" i="3"/>
  <c r="V16" i="3"/>
  <c r="W16" i="3" s="1"/>
  <c r="R16" i="3"/>
  <c r="Y16" i="3" s="1"/>
  <c r="Z16" i="3" s="1"/>
  <c r="AQ15" i="3"/>
  <c r="AP15" i="3"/>
  <c r="AO15" i="3"/>
  <c r="AF15" i="3"/>
  <c r="AC15" i="3"/>
  <c r="AE15" i="3" s="1"/>
  <c r="AB15" i="3"/>
  <c r="AD15" i="3" s="1"/>
  <c r="Y15" i="3"/>
  <c r="Z15" i="3" s="1"/>
  <c r="V15" i="3"/>
  <c r="W15" i="3" s="1"/>
  <c r="R15" i="3"/>
  <c r="AO14" i="3"/>
  <c r="AP14" i="3" s="1"/>
  <c r="AF14" i="3"/>
  <c r="AD14" i="3"/>
  <c r="AB14" i="3"/>
  <c r="AC14" i="3" s="1"/>
  <c r="AE14" i="3" s="1"/>
  <c r="Y14" i="3"/>
  <c r="Z14" i="3" s="1"/>
  <c r="W14" i="3"/>
  <c r="R14" i="3"/>
  <c r="V14" i="3" s="1"/>
  <c r="AO13" i="3"/>
  <c r="AQ13" i="3" s="1"/>
  <c r="AB13" i="3"/>
  <c r="AC13" i="3" s="1"/>
  <c r="AE13" i="3" s="1"/>
  <c r="Z13" i="3"/>
  <c r="Y13" i="3"/>
  <c r="V13" i="3"/>
  <c r="W13" i="3" s="1"/>
  <c r="R13" i="3"/>
  <c r="AQ12" i="3"/>
  <c r="AP12" i="3"/>
  <c r="AO12" i="3"/>
  <c r="AD12" i="3"/>
  <c r="AC12" i="3"/>
  <c r="AE12" i="3" s="1"/>
  <c r="AB12" i="3"/>
  <c r="AF12" i="3" s="1"/>
  <c r="R12" i="3"/>
  <c r="AQ11" i="3"/>
  <c r="AO11" i="3"/>
  <c r="AP11" i="3" s="1"/>
  <c r="AE11" i="3"/>
  <c r="AD11" i="3"/>
  <c r="AC11" i="3"/>
  <c r="AB11" i="3"/>
  <c r="AF11" i="3" s="1"/>
  <c r="Y11" i="3"/>
  <c r="Z11" i="3" s="1"/>
  <c r="V11" i="3"/>
  <c r="W11" i="3" s="1"/>
  <c r="R11" i="3"/>
  <c r="L351" i="1"/>
  <c r="L350" i="1"/>
  <c r="T349" i="1"/>
  <c r="S349" i="1"/>
  <c r="Q349" i="1"/>
  <c r="P349" i="1"/>
  <c r="L349" i="1"/>
  <c r="L348" i="1"/>
  <c r="P348" i="1" s="1"/>
  <c r="Q348" i="1" s="1"/>
  <c r="L347" i="1"/>
  <c r="S347" i="1" s="1"/>
  <c r="T347" i="1" s="1"/>
  <c r="P346" i="1"/>
  <c r="Q346" i="1" s="1"/>
  <c r="L346" i="1"/>
  <c r="S346" i="1" s="1"/>
  <c r="T346" i="1" s="1"/>
  <c r="L345" i="1"/>
  <c r="S345" i="1" s="1"/>
  <c r="T345" i="1" s="1"/>
  <c r="T344" i="1"/>
  <c r="S344" i="1"/>
  <c r="P344" i="1"/>
  <c r="Q344" i="1" s="1"/>
  <c r="L344" i="1"/>
  <c r="S343" i="1"/>
  <c r="T343" i="1" s="1"/>
  <c r="P343" i="1"/>
  <c r="Q343" i="1" s="1"/>
  <c r="L343" i="1"/>
  <c r="T342" i="1"/>
  <c r="S342" i="1"/>
  <c r="Q342" i="1"/>
  <c r="P342" i="1"/>
  <c r="L342" i="1"/>
  <c r="T341" i="1"/>
  <c r="S341" i="1"/>
  <c r="Q341" i="1"/>
  <c r="P341" i="1"/>
  <c r="L341" i="1"/>
  <c r="L340" i="1"/>
  <c r="S340" i="1" s="1"/>
  <c r="T340" i="1" s="1"/>
  <c r="L339" i="1"/>
  <c r="P339" i="1" s="1"/>
  <c r="Q339" i="1" s="1"/>
  <c r="T338" i="1"/>
  <c r="P338" i="1"/>
  <c r="Q338" i="1" s="1"/>
  <c r="L338" i="1"/>
  <c r="S338" i="1" s="1"/>
  <c r="S337" i="1"/>
  <c r="T337" i="1" s="1"/>
  <c r="P337" i="1"/>
  <c r="Q337" i="1" s="1"/>
  <c r="L337" i="1"/>
  <c r="L336" i="1"/>
  <c r="P336" i="1" s="1"/>
  <c r="Q336" i="1" s="1"/>
  <c r="T335" i="1"/>
  <c r="S335" i="1"/>
  <c r="Q335" i="1"/>
  <c r="P335" i="1"/>
  <c r="L335" i="1"/>
  <c r="T334" i="1"/>
  <c r="S334" i="1"/>
  <c r="P334" i="1"/>
  <c r="Q334" i="1" s="1"/>
  <c r="L334" i="1"/>
  <c r="L333" i="1"/>
  <c r="S333" i="1" s="1"/>
  <c r="T333" i="1" s="1"/>
  <c r="S332" i="1"/>
  <c r="T332" i="1" s="1"/>
  <c r="Q332" i="1"/>
  <c r="P332" i="1"/>
  <c r="L332" i="1"/>
  <c r="S331" i="1"/>
  <c r="T331" i="1" s="1"/>
  <c r="P331" i="1"/>
  <c r="Q331" i="1" s="1"/>
  <c r="L331" i="1"/>
  <c r="S330" i="1"/>
  <c r="T330" i="1" s="1"/>
  <c r="L330" i="1"/>
  <c r="P330" i="1" s="1"/>
  <c r="Q330" i="1" s="1"/>
  <c r="T329" i="1"/>
  <c r="S329" i="1"/>
  <c r="Q329" i="1"/>
  <c r="P329" i="1"/>
  <c r="L329" i="1"/>
  <c r="L328" i="1"/>
  <c r="S328" i="1" s="1"/>
  <c r="T328" i="1" s="1"/>
  <c r="L327" i="1"/>
  <c r="S327" i="1" s="1"/>
  <c r="T327" i="1" s="1"/>
  <c r="T326" i="1"/>
  <c r="Q326" i="1"/>
  <c r="P326" i="1"/>
  <c r="L326" i="1"/>
  <c r="S326" i="1" s="1"/>
  <c r="S325" i="1"/>
  <c r="T325" i="1" s="1"/>
  <c r="L325" i="1"/>
  <c r="P325" i="1" s="1"/>
  <c r="Q325" i="1" s="1"/>
  <c r="Q324" i="1"/>
  <c r="L324" i="1"/>
  <c r="P324" i="1" s="1"/>
  <c r="L323" i="1"/>
  <c r="S323" i="1" s="1"/>
  <c r="T323" i="1" s="1"/>
  <c r="T322" i="1"/>
  <c r="S322" i="1"/>
  <c r="Q322" i="1"/>
  <c r="P322" i="1"/>
  <c r="L322" i="1"/>
  <c r="S321" i="1"/>
  <c r="T321" i="1" s="1"/>
  <c r="P321" i="1"/>
  <c r="Q321" i="1" s="1"/>
  <c r="L321" i="1"/>
  <c r="P320" i="1"/>
  <c r="Q320" i="1" s="1"/>
  <c r="L320" i="1"/>
  <c r="S320" i="1" s="1"/>
  <c r="T320" i="1" s="1"/>
  <c r="L319" i="1"/>
  <c r="S319" i="1" s="1"/>
  <c r="T319" i="1" s="1"/>
  <c r="S318" i="1"/>
  <c r="T318" i="1" s="1"/>
  <c r="Q318" i="1"/>
  <c r="P318" i="1"/>
  <c r="L318" i="1"/>
  <c r="S317" i="1"/>
  <c r="T317" i="1" s="1"/>
  <c r="P317" i="1"/>
  <c r="Q317" i="1" s="1"/>
  <c r="L317" i="1"/>
  <c r="S316" i="1"/>
  <c r="T316" i="1" s="1"/>
  <c r="P316" i="1"/>
  <c r="Q316" i="1" s="1"/>
  <c r="L316" i="1"/>
  <c r="P315" i="1"/>
  <c r="Q315" i="1" s="1"/>
  <c r="L315" i="1"/>
  <c r="S315" i="1" s="1"/>
  <c r="T315" i="1" s="1"/>
  <c r="L314" i="1"/>
  <c r="S314" i="1" s="1"/>
  <c r="T314" i="1" s="1"/>
  <c r="S313" i="1"/>
  <c r="T313" i="1" s="1"/>
  <c r="Q313" i="1"/>
  <c r="P313" i="1"/>
  <c r="L313" i="1"/>
  <c r="S312" i="1"/>
  <c r="T312" i="1" s="1"/>
  <c r="L312" i="1"/>
  <c r="P312" i="1" s="1"/>
  <c r="Q312" i="1" s="1"/>
  <c r="L311" i="1"/>
  <c r="S311" i="1" s="1"/>
  <c r="T311" i="1" s="1"/>
  <c r="L310" i="1"/>
  <c r="S310" i="1" s="1"/>
  <c r="T310" i="1" s="1"/>
  <c r="S309" i="1"/>
  <c r="T309" i="1" s="1"/>
  <c r="Q309" i="1"/>
  <c r="P309" i="1"/>
  <c r="L309" i="1"/>
  <c r="T308" i="1"/>
  <c r="S308" i="1"/>
  <c r="Q308" i="1"/>
  <c r="P308" i="1"/>
  <c r="L308" i="1"/>
  <c r="S307" i="1"/>
  <c r="T307" i="1" s="1"/>
  <c r="P307" i="1"/>
  <c r="Q307" i="1" s="1"/>
  <c r="L307" i="1"/>
  <c r="P306" i="1"/>
  <c r="Q306" i="1" s="1"/>
  <c r="L306" i="1"/>
  <c r="S306" i="1" s="1"/>
  <c r="T306" i="1" s="1"/>
  <c r="T305" i="1"/>
  <c r="S305" i="1"/>
  <c r="Q305" i="1"/>
  <c r="P305" i="1"/>
  <c r="L305" i="1"/>
  <c r="T304" i="1"/>
  <c r="S304" i="1"/>
  <c r="Q304" i="1"/>
  <c r="P304" i="1"/>
  <c r="L304" i="1"/>
  <c r="T303" i="1"/>
  <c r="S303" i="1"/>
  <c r="Q303" i="1"/>
  <c r="P303" i="1"/>
  <c r="L303" i="1"/>
  <c r="P302" i="1"/>
  <c r="Q302" i="1" s="1"/>
  <c r="L302" i="1"/>
  <c r="S302" i="1" s="1"/>
  <c r="T302" i="1" s="1"/>
  <c r="P301" i="1"/>
  <c r="Q301" i="1" s="1"/>
  <c r="L301" i="1"/>
  <c r="S301" i="1" s="1"/>
  <c r="T301" i="1" s="1"/>
  <c r="T300" i="1"/>
  <c r="S300" i="1"/>
  <c r="Q300" i="1"/>
  <c r="L300" i="1"/>
  <c r="P300" i="1" s="1"/>
  <c r="S299" i="1"/>
  <c r="T299" i="1" s="1"/>
  <c r="P299" i="1"/>
  <c r="Q299" i="1" s="1"/>
  <c r="L299" i="1"/>
  <c r="S298" i="1"/>
  <c r="T298" i="1" s="1"/>
  <c r="P298" i="1"/>
  <c r="Q298" i="1" s="1"/>
  <c r="L298" i="1"/>
  <c r="L297" i="1"/>
  <c r="S297" i="1" s="1"/>
  <c r="T297" i="1" s="1"/>
  <c r="L296" i="1"/>
  <c r="S296" i="1" s="1"/>
  <c r="T296" i="1" s="1"/>
  <c r="S295" i="1"/>
  <c r="T295" i="1" s="1"/>
  <c r="P295" i="1"/>
  <c r="Q295" i="1" s="1"/>
  <c r="L295" i="1"/>
  <c r="S294" i="1"/>
  <c r="T294" i="1" s="1"/>
  <c r="L294" i="1"/>
  <c r="P294" i="1" s="1"/>
  <c r="Q294" i="1" s="1"/>
  <c r="T293" i="1"/>
  <c r="S293" i="1"/>
  <c r="Q293" i="1"/>
  <c r="P293" i="1"/>
  <c r="L293" i="1"/>
  <c r="L292" i="1"/>
  <c r="S292" i="1" s="1"/>
  <c r="T292" i="1" s="1"/>
  <c r="L291" i="1"/>
  <c r="S291" i="1" s="1"/>
  <c r="T291" i="1" s="1"/>
  <c r="T290" i="1"/>
  <c r="Q290" i="1"/>
  <c r="P290" i="1"/>
  <c r="L290" i="1"/>
  <c r="S290" i="1" s="1"/>
  <c r="S289" i="1"/>
  <c r="T289" i="1" s="1"/>
  <c r="L289" i="1"/>
  <c r="P289" i="1" s="1"/>
  <c r="Q289" i="1" s="1"/>
  <c r="Q288" i="1"/>
  <c r="L288" i="1"/>
  <c r="P288" i="1" s="1"/>
  <c r="L287" i="1"/>
  <c r="S287" i="1" s="1"/>
  <c r="T287" i="1" s="1"/>
  <c r="T286" i="1"/>
  <c r="S286" i="1"/>
  <c r="Q286" i="1"/>
  <c r="P286" i="1"/>
  <c r="L286" i="1"/>
  <c r="S285" i="1"/>
  <c r="T285" i="1" s="1"/>
  <c r="P285" i="1"/>
  <c r="Q285" i="1" s="1"/>
  <c r="L285" i="1"/>
  <c r="P284" i="1"/>
  <c r="Q284" i="1" s="1"/>
  <c r="L284" i="1"/>
  <c r="S284" i="1" s="1"/>
  <c r="T284" i="1" s="1"/>
  <c r="P283" i="1"/>
  <c r="Q283" i="1" s="1"/>
  <c r="L283" i="1"/>
  <c r="S283" i="1" s="1"/>
  <c r="T283" i="1" s="1"/>
  <c r="L282" i="1"/>
  <c r="S282" i="1" s="1"/>
  <c r="T282" i="1" s="1"/>
  <c r="T281" i="1"/>
  <c r="S281" i="1"/>
  <c r="Q281" i="1"/>
  <c r="P281" i="1"/>
  <c r="L281" i="1"/>
  <c r="T280" i="1"/>
  <c r="S280" i="1"/>
  <c r="Q280" i="1"/>
  <c r="P280" i="1"/>
  <c r="L280" i="1"/>
  <c r="S279" i="1"/>
  <c r="T279" i="1" s="1"/>
  <c r="L279" i="1"/>
  <c r="P279" i="1" s="1"/>
  <c r="Q279" i="1" s="1"/>
  <c r="L278" i="1"/>
  <c r="S278" i="1" s="1"/>
  <c r="T278" i="1" s="1"/>
  <c r="L277" i="1"/>
  <c r="L276" i="1"/>
  <c r="S276" i="1" s="1"/>
  <c r="T276" i="1" s="1"/>
  <c r="S275" i="1"/>
  <c r="T275" i="1" s="1"/>
  <c r="Q275" i="1"/>
  <c r="P275" i="1"/>
  <c r="L275" i="1"/>
  <c r="S274" i="1"/>
  <c r="T274" i="1" s="1"/>
  <c r="P274" i="1"/>
  <c r="Q274" i="1" s="1"/>
  <c r="L274" i="1"/>
  <c r="S273" i="1"/>
  <c r="T273" i="1" s="1"/>
  <c r="P273" i="1"/>
  <c r="Q273" i="1" s="1"/>
  <c r="L273" i="1"/>
  <c r="P272" i="1"/>
  <c r="Q272" i="1" s="1"/>
  <c r="L272" i="1"/>
  <c r="S272" i="1" s="1"/>
  <c r="T272" i="1" s="1"/>
  <c r="P271" i="1"/>
  <c r="Q271" i="1" s="1"/>
  <c r="L271" i="1"/>
  <c r="S271" i="1" s="1"/>
  <c r="T271" i="1" s="1"/>
  <c r="L270" i="1"/>
  <c r="S270" i="1" s="1"/>
  <c r="T270" i="1" s="1"/>
  <c r="T269" i="1"/>
  <c r="S269" i="1"/>
  <c r="Q269" i="1"/>
  <c r="P269" i="1"/>
  <c r="L269" i="1"/>
  <c r="T268" i="1"/>
  <c r="S268" i="1"/>
  <c r="Q268" i="1"/>
  <c r="P268" i="1"/>
  <c r="L268" i="1"/>
  <c r="S267" i="1"/>
  <c r="T267" i="1" s="1"/>
  <c r="L267" i="1"/>
  <c r="P267" i="1" s="1"/>
  <c r="Q267" i="1" s="1"/>
  <c r="L266" i="1"/>
  <c r="S266" i="1" s="1"/>
  <c r="T266" i="1" s="1"/>
  <c r="L265" i="1"/>
  <c r="S265" i="1" s="1"/>
  <c r="T265" i="1" s="1"/>
  <c r="L264" i="1"/>
  <c r="S264" i="1" s="1"/>
  <c r="T264" i="1" s="1"/>
  <c r="S263" i="1"/>
  <c r="T263" i="1" s="1"/>
  <c r="Q263" i="1"/>
  <c r="P263" i="1"/>
  <c r="L263" i="1"/>
  <c r="S262" i="1"/>
  <c r="T262" i="1" s="1"/>
  <c r="P262" i="1"/>
  <c r="Q262" i="1" s="1"/>
  <c r="L262" i="1"/>
  <c r="S261" i="1"/>
  <c r="T261" i="1" s="1"/>
  <c r="P261" i="1"/>
  <c r="Q261" i="1" s="1"/>
  <c r="L261" i="1"/>
  <c r="P260" i="1"/>
  <c r="Q260" i="1" s="1"/>
  <c r="L260" i="1"/>
  <c r="S260" i="1" s="1"/>
  <c r="T260" i="1" s="1"/>
  <c r="P259" i="1"/>
  <c r="Q259" i="1" s="1"/>
  <c r="L259" i="1"/>
  <c r="S259" i="1" s="1"/>
  <c r="T259" i="1" s="1"/>
  <c r="L258" i="1"/>
  <c r="S258" i="1" s="1"/>
  <c r="T258" i="1" s="1"/>
  <c r="T257" i="1"/>
  <c r="S257" i="1"/>
  <c r="Q257" i="1"/>
  <c r="P257" i="1"/>
  <c r="L257" i="1"/>
  <c r="T256" i="1"/>
  <c r="S256" i="1"/>
  <c r="Q256" i="1"/>
  <c r="P256" i="1"/>
  <c r="L256" i="1"/>
  <c r="S255" i="1"/>
  <c r="T255" i="1" s="1"/>
  <c r="L255" i="1"/>
  <c r="P255" i="1" s="1"/>
  <c r="Q255" i="1" s="1"/>
  <c r="L254" i="1"/>
  <c r="S254" i="1" s="1"/>
  <c r="T254" i="1" s="1"/>
  <c r="L253" i="1"/>
  <c r="L252" i="1"/>
  <c r="S252" i="1" s="1"/>
  <c r="T252" i="1" s="1"/>
  <c r="S251" i="1"/>
  <c r="T251" i="1" s="1"/>
  <c r="Q251" i="1"/>
  <c r="P251" i="1"/>
  <c r="L251" i="1"/>
  <c r="S250" i="1"/>
  <c r="T250" i="1" s="1"/>
  <c r="P250" i="1"/>
  <c r="Q250" i="1" s="1"/>
  <c r="L250" i="1"/>
  <c r="S249" i="1"/>
  <c r="T249" i="1" s="1"/>
  <c r="P249" i="1"/>
  <c r="Q249" i="1" s="1"/>
  <c r="L249" i="1"/>
  <c r="P248" i="1"/>
  <c r="Q248" i="1" s="1"/>
  <c r="L248" i="1"/>
  <c r="S248" i="1" s="1"/>
  <c r="T248" i="1" s="1"/>
  <c r="P247" i="1"/>
  <c r="Q247" i="1" s="1"/>
  <c r="L247" i="1"/>
  <c r="S247" i="1" s="1"/>
  <c r="T247" i="1" s="1"/>
  <c r="L246" i="1"/>
  <c r="S246" i="1" s="1"/>
  <c r="T246" i="1" s="1"/>
  <c r="T245" i="1"/>
  <c r="S245" i="1"/>
  <c r="Q245" i="1"/>
  <c r="P245" i="1"/>
  <c r="L245" i="1"/>
  <c r="T244" i="1"/>
  <c r="S244" i="1"/>
  <c r="Q244" i="1"/>
  <c r="P244" i="1"/>
  <c r="L244" i="1"/>
  <c r="S243" i="1"/>
  <c r="T243" i="1" s="1"/>
  <c r="Q243" i="1"/>
  <c r="L243" i="1"/>
  <c r="P243" i="1" s="1"/>
  <c r="L242" i="1"/>
  <c r="S242" i="1" s="1"/>
  <c r="T242" i="1" s="1"/>
  <c r="L241" i="1"/>
  <c r="L240" i="1"/>
  <c r="S240" i="1" s="1"/>
  <c r="T240" i="1" s="1"/>
  <c r="S239" i="1"/>
  <c r="T239" i="1" s="1"/>
  <c r="Q239" i="1"/>
  <c r="P239" i="1"/>
  <c r="L239" i="1"/>
  <c r="S238" i="1"/>
  <c r="T238" i="1" s="1"/>
  <c r="P238" i="1"/>
  <c r="Q238" i="1" s="1"/>
  <c r="L238" i="1"/>
  <c r="S237" i="1"/>
  <c r="T237" i="1" s="1"/>
  <c r="P237" i="1"/>
  <c r="Q237" i="1" s="1"/>
  <c r="L237" i="1"/>
  <c r="P236" i="1"/>
  <c r="Q236" i="1" s="1"/>
  <c r="L236" i="1"/>
  <c r="S236" i="1" s="1"/>
  <c r="T236" i="1" s="1"/>
  <c r="P235" i="1"/>
  <c r="Q235" i="1" s="1"/>
  <c r="L235" i="1"/>
  <c r="S235" i="1" s="1"/>
  <c r="T235" i="1" s="1"/>
  <c r="L234" i="1"/>
  <c r="S234" i="1" s="1"/>
  <c r="T234" i="1" s="1"/>
  <c r="T233" i="1"/>
  <c r="S233" i="1"/>
  <c r="Q233" i="1"/>
  <c r="P233" i="1"/>
  <c r="L233" i="1"/>
  <c r="T232" i="1"/>
  <c r="S232" i="1"/>
  <c r="Q232" i="1"/>
  <c r="P232" i="1"/>
  <c r="L232" i="1"/>
  <c r="S231" i="1"/>
  <c r="T231" i="1" s="1"/>
  <c r="L231" i="1"/>
  <c r="P231" i="1" s="1"/>
  <c r="Q231" i="1" s="1"/>
  <c r="L230" i="1"/>
  <c r="S230" i="1" s="1"/>
  <c r="T230" i="1" s="1"/>
  <c r="L229" i="1"/>
  <c r="L228" i="1"/>
  <c r="S228" i="1" s="1"/>
  <c r="T228" i="1" s="1"/>
  <c r="S227" i="1"/>
  <c r="T227" i="1" s="1"/>
  <c r="Q227" i="1"/>
  <c r="P227" i="1"/>
  <c r="L227" i="1"/>
  <c r="S226" i="1"/>
  <c r="T226" i="1" s="1"/>
  <c r="P226" i="1"/>
  <c r="Q226" i="1" s="1"/>
  <c r="L226" i="1"/>
  <c r="S225" i="1"/>
  <c r="T225" i="1" s="1"/>
  <c r="P225" i="1"/>
  <c r="Q225" i="1" s="1"/>
  <c r="L225" i="1"/>
  <c r="P224" i="1"/>
  <c r="Q224" i="1" s="1"/>
  <c r="L224" i="1"/>
  <c r="S224" i="1" s="1"/>
  <c r="T224" i="1" s="1"/>
  <c r="P223" i="1"/>
  <c r="Q223" i="1" s="1"/>
  <c r="L223" i="1"/>
  <c r="S223" i="1" s="1"/>
  <c r="T223" i="1" s="1"/>
  <c r="L222" i="1"/>
  <c r="S222" i="1" s="1"/>
  <c r="T222" i="1" s="1"/>
  <c r="T221" i="1"/>
  <c r="S221" i="1"/>
  <c r="Q221" i="1"/>
  <c r="P221" i="1"/>
  <c r="L221" i="1"/>
  <c r="T220" i="1"/>
  <c r="S220" i="1"/>
  <c r="Q220" i="1"/>
  <c r="P220" i="1"/>
  <c r="L220" i="1"/>
  <c r="S219" i="1"/>
  <c r="T219" i="1" s="1"/>
  <c r="L219" i="1"/>
  <c r="P219" i="1" s="1"/>
  <c r="Q219" i="1" s="1"/>
  <c r="L218" i="1"/>
  <c r="S218" i="1" s="1"/>
  <c r="T218" i="1" s="1"/>
  <c r="L217" i="1"/>
  <c r="L216" i="1"/>
  <c r="S216" i="1" s="1"/>
  <c r="T216" i="1" s="1"/>
  <c r="S215" i="1"/>
  <c r="T215" i="1" s="1"/>
  <c r="Q215" i="1"/>
  <c r="P215" i="1"/>
  <c r="L215" i="1"/>
  <c r="S214" i="1"/>
  <c r="T214" i="1" s="1"/>
  <c r="P214" i="1"/>
  <c r="Q214" i="1" s="1"/>
  <c r="L214" i="1"/>
  <c r="S213" i="1"/>
  <c r="T213" i="1" s="1"/>
  <c r="P213" i="1"/>
  <c r="Q213" i="1" s="1"/>
  <c r="L213" i="1"/>
  <c r="P212" i="1"/>
  <c r="Q212" i="1" s="1"/>
  <c r="L212" i="1"/>
  <c r="S212" i="1" s="1"/>
  <c r="T212" i="1" s="1"/>
  <c r="P211" i="1"/>
  <c r="Q211" i="1" s="1"/>
  <c r="L211" i="1"/>
  <c r="S211" i="1" s="1"/>
  <c r="T211" i="1" s="1"/>
  <c r="T210" i="1"/>
  <c r="S210" i="1"/>
  <c r="L210" i="1"/>
  <c r="P210" i="1" s="1"/>
  <c r="Q210" i="1" s="1"/>
  <c r="T209" i="1"/>
  <c r="S209" i="1"/>
  <c r="Q209" i="1"/>
  <c r="P209" i="1"/>
  <c r="L209" i="1"/>
  <c r="T208" i="1"/>
  <c r="S208" i="1"/>
  <c r="Q208" i="1"/>
  <c r="P208" i="1"/>
  <c r="L208" i="1"/>
  <c r="S207" i="1"/>
  <c r="T207" i="1" s="1"/>
  <c r="L207" i="1"/>
  <c r="P207" i="1" s="1"/>
  <c r="Q207" i="1" s="1"/>
  <c r="L206" i="1"/>
  <c r="S206" i="1" s="1"/>
  <c r="T206" i="1" s="1"/>
  <c r="L205" i="1"/>
  <c r="L204" i="1"/>
  <c r="S204" i="1" s="1"/>
  <c r="T204" i="1" s="1"/>
  <c r="S203" i="1"/>
  <c r="T203" i="1" s="1"/>
  <c r="Q203" i="1"/>
  <c r="P203" i="1"/>
  <c r="L203" i="1"/>
  <c r="S202" i="1"/>
  <c r="T202" i="1" s="1"/>
  <c r="P202" i="1"/>
  <c r="Q202" i="1" s="1"/>
  <c r="L202" i="1"/>
  <c r="S201" i="1"/>
  <c r="T201" i="1" s="1"/>
  <c r="P201" i="1"/>
  <c r="Q201" i="1" s="1"/>
  <c r="L201" i="1"/>
  <c r="P200" i="1"/>
  <c r="Q200" i="1" s="1"/>
  <c r="L200" i="1"/>
  <c r="S200" i="1" s="1"/>
  <c r="T200" i="1" s="1"/>
  <c r="P199" i="1"/>
  <c r="Q199" i="1" s="1"/>
  <c r="L199" i="1"/>
  <c r="S199" i="1" s="1"/>
  <c r="T199" i="1" s="1"/>
  <c r="T198" i="1"/>
  <c r="S198" i="1"/>
  <c r="L198" i="1"/>
  <c r="P198" i="1" s="1"/>
  <c r="Q198" i="1" s="1"/>
  <c r="T197" i="1"/>
  <c r="S197" i="1"/>
  <c r="Q197" i="1"/>
  <c r="P197" i="1"/>
  <c r="L197" i="1"/>
  <c r="T196" i="1"/>
  <c r="S196" i="1"/>
  <c r="Q196" i="1"/>
  <c r="P196" i="1"/>
  <c r="L196" i="1"/>
  <c r="S195" i="1"/>
  <c r="T195" i="1" s="1"/>
  <c r="Q195" i="1"/>
  <c r="L195" i="1"/>
  <c r="P195" i="1" s="1"/>
  <c r="L194" i="1"/>
  <c r="S194" i="1" s="1"/>
  <c r="T194" i="1" s="1"/>
  <c r="L193" i="1"/>
  <c r="L192" i="1"/>
  <c r="S192" i="1" s="1"/>
  <c r="T192" i="1" s="1"/>
  <c r="S191" i="1"/>
  <c r="T191" i="1" s="1"/>
  <c r="Q191" i="1"/>
  <c r="P191" i="1"/>
  <c r="L191" i="1"/>
  <c r="S190" i="1"/>
  <c r="T190" i="1" s="1"/>
  <c r="P190" i="1"/>
  <c r="Q190" i="1" s="1"/>
  <c r="L190" i="1"/>
  <c r="S189" i="1"/>
  <c r="T189" i="1" s="1"/>
  <c r="P189" i="1"/>
  <c r="Q189" i="1" s="1"/>
  <c r="L189" i="1"/>
  <c r="P188" i="1"/>
  <c r="Q188" i="1" s="1"/>
  <c r="L188" i="1"/>
  <c r="S188" i="1" s="1"/>
  <c r="T188" i="1" s="1"/>
  <c r="P187" i="1"/>
  <c r="Q187" i="1" s="1"/>
  <c r="L187" i="1"/>
  <c r="S187" i="1" s="1"/>
  <c r="T187" i="1" s="1"/>
  <c r="T186" i="1"/>
  <c r="S186" i="1"/>
  <c r="L186" i="1"/>
  <c r="P186" i="1" s="1"/>
  <c r="Q186" i="1" s="1"/>
  <c r="T185" i="1"/>
  <c r="S185" i="1"/>
  <c r="Q185" i="1"/>
  <c r="P185" i="1"/>
  <c r="L185" i="1"/>
  <c r="T184" i="1"/>
  <c r="S184" i="1"/>
  <c r="Q184" i="1"/>
  <c r="P184" i="1"/>
  <c r="L184" i="1"/>
  <c r="S183" i="1"/>
  <c r="T183" i="1" s="1"/>
  <c r="L183" i="1"/>
  <c r="P183" i="1" s="1"/>
  <c r="Q183" i="1" s="1"/>
  <c r="L182" i="1"/>
  <c r="S182" i="1" s="1"/>
  <c r="T182" i="1" s="1"/>
  <c r="L181" i="1"/>
  <c r="L180" i="1"/>
  <c r="S180" i="1" s="1"/>
  <c r="T180" i="1" s="1"/>
  <c r="S179" i="1"/>
  <c r="T179" i="1" s="1"/>
  <c r="Q179" i="1"/>
  <c r="P179" i="1"/>
  <c r="L179" i="1"/>
  <c r="S178" i="1"/>
  <c r="T178" i="1" s="1"/>
  <c r="P178" i="1"/>
  <c r="Q178" i="1" s="1"/>
  <c r="L178" i="1"/>
  <c r="S177" i="1"/>
  <c r="T177" i="1" s="1"/>
  <c r="P177" i="1"/>
  <c r="Q177" i="1" s="1"/>
  <c r="L177" i="1"/>
  <c r="P176" i="1"/>
  <c r="Q176" i="1" s="1"/>
  <c r="L176" i="1"/>
  <c r="S176" i="1" s="1"/>
  <c r="T176" i="1" s="1"/>
  <c r="P175" i="1"/>
  <c r="Q175" i="1" s="1"/>
  <c r="L175" i="1"/>
  <c r="S175" i="1" s="1"/>
  <c r="T175" i="1" s="1"/>
  <c r="T174" i="1"/>
  <c r="S174" i="1"/>
  <c r="L174" i="1"/>
  <c r="P174" i="1" s="1"/>
  <c r="Q174" i="1" s="1"/>
  <c r="T173" i="1"/>
  <c r="S173" i="1"/>
  <c r="Q173" i="1"/>
  <c r="P173" i="1"/>
  <c r="L173" i="1"/>
  <c r="T172" i="1"/>
  <c r="S172" i="1"/>
  <c r="Q172" i="1"/>
  <c r="P172" i="1"/>
  <c r="L172" i="1"/>
  <c r="L171" i="1"/>
  <c r="S171" i="1" s="1"/>
  <c r="T171" i="1" s="1"/>
  <c r="L170" i="1"/>
  <c r="S170" i="1" s="1"/>
  <c r="T170" i="1" s="1"/>
  <c r="L169" i="1"/>
  <c r="L168" i="1"/>
  <c r="P168" i="1" s="1"/>
  <c r="Q168" i="1" s="1"/>
  <c r="S167" i="1"/>
  <c r="T167" i="1" s="1"/>
  <c r="Q167" i="1"/>
  <c r="P167" i="1"/>
  <c r="L167" i="1"/>
  <c r="S166" i="1"/>
  <c r="T166" i="1" s="1"/>
  <c r="P166" i="1"/>
  <c r="Q166" i="1" s="1"/>
  <c r="L166" i="1"/>
  <c r="S165" i="1"/>
  <c r="T165" i="1" s="1"/>
  <c r="P165" i="1"/>
  <c r="Q165" i="1" s="1"/>
  <c r="L165" i="1"/>
  <c r="P164" i="1"/>
  <c r="Q164" i="1" s="1"/>
  <c r="L164" i="1"/>
  <c r="S164" i="1" s="1"/>
  <c r="T164" i="1" s="1"/>
  <c r="P163" i="1"/>
  <c r="Q163" i="1" s="1"/>
  <c r="L163" i="1"/>
  <c r="S163" i="1" s="1"/>
  <c r="T163" i="1" s="1"/>
  <c r="T162" i="1"/>
  <c r="S162" i="1"/>
  <c r="L162" i="1"/>
  <c r="P162" i="1" s="1"/>
  <c r="Q162" i="1" s="1"/>
  <c r="T161" i="1"/>
  <c r="S161" i="1"/>
  <c r="Q161" i="1"/>
  <c r="P161" i="1"/>
  <c r="L161" i="1"/>
  <c r="T160" i="1"/>
  <c r="S160" i="1"/>
  <c r="Q160" i="1"/>
  <c r="P160" i="1"/>
  <c r="L160" i="1"/>
  <c r="L159" i="1"/>
  <c r="S159" i="1" s="1"/>
  <c r="T159" i="1" s="1"/>
  <c r="L158" i="1"/>
  <c r="S158" i="1" s="1"/>
  <c r="T158" i="1" s="1"/>
  <c r="L157" i="1"/>
  <c r="L156" i="1"/>
  <c r="S156" i="1" s="1"/>
  <c r="T156" i="1" s="1"/>
  <c r="S155" i="1"/>
  <c r="T155" i="1" s="1"/>
  <c r="Q155" i="1"/>
  <c r="P155" i="1"/>
  <c r="L155" i="1"/>
  <c r="S154" i="1"/>
  <c r="T154" i="1" s="1"/>
  <c r="P154" i="1"/>
  <c r="Q154" i="1" s="1"/>
  <c r="L154" i="1"/>
  <c r="S153" i="1"/>
  <c r="T153" i="1" s="1"/>
  <c r="P153" i="1"/>
  <c r="Q153" i="1" s="1"/>
  <c r="L153" i="1"/>
  <c r="P152" i="1"/>
  <c r="Q152" i="1" s="1"/>
  <c r="L152" i="1"/>
  <c r="S152" i="1" s="1"/>
  <c r="T152" i="1" s="1"/>
  <c r="P151" i="1"/>
  <c r="Q151" i="1" s="1"/>
  <c r="L151" i="1"/>
  <c r="S151" i="1" s="1"/>
  <c r="T151" i="1" s="1"/>
  <c r="T150" i="1"/>
  <c r="S150" i="1"/>
  <c r="L150" i="1"/>
  <c r="P150" i="1" s="1"/>
  <c r="Q150" i="1" s="1"/>
  <c r="T149" i="1"/>
  <c r="S149" i="1"/>
  <c r="Q149" i="1"/>
  <c r="P149" i="1"/>
  <c r="L149" i="1"/>
  <c r="T148" i="1"/>
  <c r="S148" i="1"/>
  <c r="Q148" i="1"/>
  <c r="P148" i="1"/>
  <c r="L148" i="1"/>
  <c r="L147" i="1"/>
  <c r="S147" i="1" s="1"/>
  <c r="T147" i="1" s="1"/>
  <c r="L146" i="1"/>
  <c r="S146" i="1" s="1"/>
  <c r="T146" i="1" s="1"/>
  <c r="L145" i="1"/>
  <c r="L144" i="1"/>
  <c r="S144" i="1" s="1"/>
  <c r="T144" i="1" s="1"/>
  <c r="S143" i="1"/>
  <c r="T143" i="1" s="1"/>
  <c r="Q143" i="1"/>
  <c r="P143" i="1"/>
  <c r="L143" i="1"/>
  <c r="S142" i="1"/>
  <c r="T142" i="1" s="1"/>
  <c r="P142" i="1"/>
  <c r="Q142" i="1" s="1"/>
  <c r="L142" i="1"/>
  <c r="S141" i="1"/>
  <c r="T141" i="1" s="1"/>
  <c r="P141" i="1"/>
  <c r="Q141" i="1" s="1"/>
  <c r="L141" i="1"/>
  <c r="P140" i="1"/>
  <c r="Q140" i="1" s="1"/>
  <c r="L140" i="1"/>
  <c r="S140" i="1" s="1"/>
  <c r="T140" i="1" s="1"/>
  <c r="P139" i="1"/>
  <c r="Q139" i="1" s="1"/>
  <c r="L139" i="1"/>
  <c r="S139" i="1" s="1"/>
  <c r="T139" i="1" s="1"/>
  <c r="T138" i="1"/>
  <c r="S138" i="1"/>
  <c r="L138" i="1"/>
  <c r="P138" i="1" s="1"/>
  <c r="Q138" i="1" s="1"/>
  <c r="T137" i="1"/>
  <c r="S137" i="1"/>
  <c r="Q137" i="1"/>
  <c r="P137" i="1"/>
  <c r="L137" i="1"/>
  <c r="T136" i="1"/>
  <c r="S136" i="1"/>
  <c r="Q136" i="1"/>
  <c r="P136" i="1"/>
  <c r="L136" i="1"/>
  <c r="L135" i="1"/>
  <c r="S135" i="1" s="1"/>
  <c r="T135" i="1" s="1"/>
  <c r="L134" i="1"/>
  <c r="S134" i="1" s="1"/>
  <c r="T134" i="1" s="1"/>
  <c r="L133" i="1"/>
  <c r="L132" i="1"/>
  <c r="S132" i="1" s="1"/>
  <c r="T132" i="1" s="1"/>
  <c r="S131" i="1"/>
  <c r="T131" i="1" s="1"/>
  <c r="Q131" i="1"/>
  <c r="P131" i="1"/>
  <c r="L131" i="1"/>
  <c r="S130" i="1"/>
  <c r="T130" i="1" s="1"/>
  <c r="L130" i="1"/>
  <c r="P130" i="1" s="1"/>
  <c r="Q130" i="1" s="1"/>
  <c r="S129" i="1"/>
  <c r="T129" i="1" s="1"/>
  <c r="P129" i="1"/>
  <c r="Q129" i="1" s="1"/>
  <c r="L129" i="1"/>
  <c r="P128" i="1"/>
  <c r="Q128" i="1" s="1"/>
  <c r="L128" i="1"/>
  <c r="S128" i="1" s="1"/>
  <c r="T128" i="1" s="1"/>
  <c r="P127" i="1"/>
  <c r="Q127" i="1" s="1"/>
  <c r="L127" i="1"/>
  <c r="S127" i="1" s="1"/>
  <c r="T127" i="1" s="1"/>
  <c r="T126" i="1"/>
  <c r="S126" i="1"/>
  <c r="L126" i="1"/>
  <c r="P126" i="1" s="1"/>
  <c r="Q126" i="1" s="1"/>
  <c r="T125" i="1"/>
  <c r="S125" i="1"/>
  <c r="P125" i="1"/>
  <c r="Q125" i="1" s="1"/>
  <c r="L125" i="1"/>
  <c r="T124" i="1"/>
  <c r="S124" i="1"/>
  <c r="Q124" i="1"/>
  <c r="P124" i="1"/>
  <c r="L124" i="1"/>
  <c r="L123" i="1"/>
  <c r="S123" i="1" s="1"/>
  <c r="T123" i="1" s="1"/>
  <c r="L122" i="1"/>
  <c r="S122" i="1" s="1"/>
  <c r="T122" i="1" s="1"/>
  <c r="L121" i="1"/>
  <c r="L120" i="1"/>
  <c r="P120" i="1" s="1"/>
  <c r="Q120" i="1" s="1"/>
  <c r="S119" i="1"/>
  <c r="T119" i="1" s="1"/>
  <c r="Q119" i="1"/>
  <c r="P119" i="1"/>
  <c r="L119" i="1"/>
  <c r="S118" i="1"/>
  <c r="T118" i="1" s="1"/>
  <c r="L118" i="1"/>
  <c r="P118" i="1" s="1"/>
  <c r="Q118" i="1" s="1"/>
  <c r="S117" i="1"/>
  <c r="T117" i="1" s="1"/>
  <c r="P117" i="1"/>
  <c r="Q117" i="1" s="1"/>
  <c r="L117" i="1"/>
  <c r="P116" i="1"/>
  <c r="Q116" i="1" s="1"/>
  <c r="L116" i="1"/>
  <c r="S116" i="1" s="1"/>
  <c r="T116" i="1" s="1"/>
  <c r="P115" i="1"/>
  <c r="Q115" i="1" s="1"/>
  <c r="L115" i="1"/>
  <c r="S115" i="1" s="1"/>
  <c r="T115" i="1" s="1"/>
  <c r="T114" i="1"/>
  <c r="S114" i="1"/>
  <c r="L114" i="1"/>
  <c r="P114" i="1" s="1"/>
  <c r="Q114" i="1" s="1"/>
  <c r="T113" i="1"/>
  <c r="S113" i="1"/>
  <c r="P113" i="1"/>
  <c r="Q113" i="1" s="1"/>
  <c r="L113" i="1"/>
  <c r="T112" i="1"/>
  <c r="S112" i="1"/>
  <c r="Q112" i="1"/>
  <c r="P112" i="1"/>
  <c r="L112" i="1"/>
  <c r="L111" i="1"/>
  <c r="S111" i="1" s="1"/>
  <c r="T111" i="1" s="1"/>
  <c r="L110" i="1"/>
  <c r="S110" i="1" s="1"/>
  <c r="T110" i="1" s="1"/>
  <c r="L109" i="1"/>
  <c r="L108" i="1"/>
  <c r="S108" i="1" s="1"/>
  <c r="T108" i="1" s="1"/>
  <c r="S107" i="1"/>
  <c r="T107" i="1" s="1"/>
  <c r="Q107" i="1"/>
  <c r="P107" i="1"/>
  <c r="L107" i="1"/>
  <c r="S106" i="1"/>
  <c r="T106" i="1" s="1"/>
  <c r="L106" i="1"/>
  <c r="P106" i="1" s="1"/>
  <c r="Q106" i="1" s="1"/>
  <c r="P105" i="1"/>
  <c r="Q105" i="1" s="1"/>
  <c r="L105" i="1"/>
  <c r="S105" i="1" s="1"/>
  <c r="T105" i="1" s="1"/>
  <c r="P104" i="1"/>
  <c r="Q104" i="1" s="1"/>
  <c r="L104" i="1"/>
  <c r="S104" i="1" s="1"/>
  <c r="T104" i="1" s="1"/>
  <c r="P103" i="1"/>
  <c r="Q103" i="1" s="1"/>
  <c r="L103" i="1"/>
  <c r="S103" i="1" s="1"/>
  <c r="T103" i="1" s="1"/>
  <c r="T102" i="1"/>
  <c r="S102" i="1"/>
  <c r="L102" i="1"/>
  <c r="P102" i="1" s="1"/>
  <c r="Q102" i="1" s="1"/>
  <c r="T101" i="1"/>
  <c r="S101" i="1"/>
  <c r="P101" i="1"/>
  <c r="Q101" i="1" s="1"/>
  <c r="L101" i="1"/>
  <c r="T100" i="1"/>
  <c r="S100" i="1"/>
  <c r="Q100" i="1"/>
  <c r="P100" i="1"/>
  <c r="L100" i="1"/>
  <c r="L99" i="1"/>
  <c r="S99" i="1" s="1"/>
  <c r="T99" i="1" s="1"/>
  <c r="L98" i="1"/>
  <c r="S98" i="1" s="1"/>
  <c r="T98" i="1" s="1"/>
  <c r="L97" i="1"/>
  <c r="L96" i="1"/>
  <c r="P96" i="1" s="1"/>
  <c r="Q96" i="1" s="1"/>
  <c r="S95" i="1"/>
  <c r="T95" i="1" s="1"/>
  <c r="Q95" i="1"/>
  <c r="P95" i="1"/>
  <c r="L95" i="1"/>
  <c r="S94" i="1"/>
  <c r="T94" i="1" s="1"/>
  <c r="L94" i="1"/>
  <c r="P94" i="1" s="1"/>
  <c r="Q94" i="1" s="1"/>
  <c r="P93" i="1"/>
  <c r="Q93" i="1" s="1"/>
  <c r="L93" i="1"/>
  <c r="S93" i="1" s="1"/>
  <c r="T93" i="1" s="1"/>
  <c r="P92" i="1"/>
  <c r="Q92" i="1" s="1"/>
  <c r="L92" i="1"/>
  <c r="S92" i="1" s="1"/>
  <c r="T92" i="1" s="1"/>
  <c r="P91" i="1"/>
  <c r="Q91" i="1" s="1"/>
  <c r="L91" i="1"/>
  <c r="S91" i="1" s="1"/>
  <c r="T91" i="1" s="1"/>
  <c r="T90" i="1"/>
  <c r="S90" i="1"/>
  <c r="L90" i="1"/>
  <c r="P90" i="1" s="1"/>
  <c r="Q90" i="1" s="1"/>
  <c r="T89" i="1"/>
  <c r="S89" i="1"/>
  <c r="P89" i="1"/>
  <c r="Q89" i="1" s="1"/>
  <c r="L89" i="1"/>
  <c r="T88" i="1"/>
  <c r="S88" i="1"/>
  <c r="Q88" i="1"/>
  <c r="P88" i="1"/>
  <c r="L88" i="1"/>
  <c r="L87" i="1"/>
  <c r="S87" i="1" s="1"/>
  <c r="T87" i="1" s="1"/>
  <c r="L86" i="1"/>
  <c r="S86" i="1" s="1"/>
  <c r="T86" i="1" s="1"/>
  <c r="L85" i="1"/>
  <c r="L84" i="1"/>
  <c r="P84" i="1" s="1"/>
  <c r="Q84" i="1" s="1"/>
  <c r="S83" i="1"/>
  <c r="T83" i="1" s="1"/>
  <c r="Q83" i="1"/>
  <c r="P83" i="1"/>
  <c r="L83" i="1"/>
  <c r="S82" i="1"/>
  <c r="T82" i="1" s="1"/>
  <c r="L82" i="1"/>
  <c r="P82" i="1" s="1"/>
  <c r="Q82" i="1" s="1"/>
  <c r="P81" i="1"/>
  <c r="Q81" i="1" s="1"/>
  <c r="L81" i="1"/>
  <c r="S81" i="1" s="1"/>
  <c r="T81" i="1" s="1"/>
  <c r="P80" i="1"/>
  <c r="Q80" i="1" s="1"/>
  <c r="L80" i="1"/>
  <c r="S80" i="1" s="1"/>
  <c r="T80" i="1" s="1"/>
  <c r="P79" i="1"/>
  <c r="Q79" i="1" s="1"/>
  <c r="L79" i="1"/>
  <c r="S79" i="1" s="1"/>
  <c r="T79" i="1" s="1"/>
  <c r="T78" i="1"/>
  <c r="S78" i="1"/>
  <c r="L78" i="1"/>
  <c r="P78" i="1" s="1"/>
  <c r="Q78" i="1" s="1"/>
  <c r="T77" i="1"/>
  <c r="S77" i="1"/>
  <c r="P77" i="1"/>
  <c r="Q77" i="1" s="1"/>
  <c r="L77" i="1"/>
  <c r="S76" i="1"/>
  <c r="T76" i="1" s="1"/>
  <c r="Q76" i="1"/>
  <c r="P76" i="1"/>
  <c r="L76" i="1"/>
  <c r="L75" i="1"/>
  <c r="S75" i="1" s="1"/>
  <c r="T75" i="1" s="1"/>
  <c r="L74" i="1"/>
  <c r="S74" i="1" s="1"/>
  <c r="T74" i="1" s="1"/>
  <c r="L73" i="1"/>
  <c r="L72" i="1"/>
  <c r="P72" i="1" s="1"/>
  <c r="Q72" i="1" s="1"/>
  <c r="S71" i="1"/>
  <c r="T71" i="1" s="1"/>
  <c r="Q71" i="1"/>
  <c r="P71" i="1"/>
  <c r="L71" i="1"/>
  <c r="S70" i="1"/>
  <c r="T70" i="1" s="1"/>
  <c r="L70" i="1"/>
  <c r="P70" i="1" s="1"/>
  <c r="Q70" i="1" s="1"/>
  <c r="P69" i="1"/>
  <c r="Q69" i="1" s="1"/>
  <c r="L69" i="1"/>
  <c r="S69" i="1" s="1"/>
  <c r="T69" i="1" s="1"/>
  <c r="P68" i="1"/>
  <c r="Q68" i="1" s="1"/>
  <c r="L68" i="1"/>
  <c r="S68" i="1" s="1"/>
  <c r="T68" i="1" s="1"/>
  <c r="L67" i="1"/>
  <c r="S67" i="1" s="1"/>
  <c r="T67" i="1" s="1"/>
  <c r="T66" i="1"/>
  <c r="S66" i="1"/>
  <c r="L66" i="1"/>
  <c r="P66" i="1" s="1"/>
  <c r="Q66" i="1" s="1"/>
  <c r="T65" i="1"/>
  <c r="S65" i="1"/>
  <c r="P65" i="1"/>
  <c r="Q65" i="1" s="1"/>
  <c r="L65" i="1"/>
  <c r="S64" i="1"/>
  <c r="T64" i="1" s="1"/>
  <c r="Q64" i="1"/>
  <c r="P64" i="1"/>
  <c r="L64" i="1"/>
  <c r="L63" i="1"/>
  <c r="S63" i="1" s="1"/>
  <c r="T63" i="1" s="1"/>
  <c r="L62" i="1"/>
  <c r="S62" i="1" s="1"/>
  <c r="T62" i="1" s="1"/>
  <c r="L61" i="1"/>
  <c r="L60" i="1"/>
  <c r="S60" i="1" s="1"/>
  <c r="T60" i="1" s="1"/>
  <c r="S59" i="1"/>
  <c r="T59" i="1" s="1"/>
  <c r="Q59" i="1"/>
  <c r="P59" i="1"/>
  <c r="L59" i="1"/>
  <c r="S58" i="1"/>
  <c r="T58" i="1" s="1"/>
  <c r="L58" i="1"/>
  <c r="P58" i="1" s="1"/>
  <c r="Q58" i="1" s="1"/>
  <c r="P57" i="1"/>
  <c r="Q57" i="1" s="1"/>
  <c r="L57" i="1"/>
  <c r="S57" i="1" s="1"/>
  <c r="T57" i="1" s="1"/>
  <c r="P56" i="1"/>
  <c r="Q56" i="1" s="1"/>
  <c r="L56" i="1"/>
  <c r="S56" i="1" s="1"/>
  <c r="T56" i="1" s="1"/>
  <c r="L55" i="1"/>
  <c r="P55" i="1" s="1"/>
  <c r="Q55" i="1" s="1"/>
  <c r="T54" i="1"/>
  <c r="S54" i="1"/>
  <c r="L54" i="1"/>
  <c r="P54" i="1" s="1"/>
  <c r="Q54" i="1" s="1"/>
  <c r="T53" i="1"/>
  <c r="S53" i="1"/>
  <c r="P53" i="1"/>
  <c r="Q53" i="1" s="1"/>
  <c r="L53" i="1"/>
  <c r="S52" i="1"/>
  <c r="T52" i="1" s="1"/>
  <c r="Q52" i="1"/>
  <c r="P52" i="1"/>
  <c r="L52" i="1"/>
  <c r="L51" i="1"/>
  <c r="S51" i="1" s="1"/>
  <c r="T51" i="1" s="1"/>
  <c r="L50" i="1"/>
  <c r="S50" i="1" s="1"/>
  <c r="T50" i="1" s="1"/>
  <c r="L49" i="1"/>
  <c r="L48" i="1"/>
  <c r="P48" i="1" s="1"/>
  <c r="Q48" i="1" s="1"/>
  <c r="S47" i="1"/>
  <c r="T47" i="1" s="1"/>
  <c r="Q47" i="1"/>
  <c r="P47" i="1"/>
  <c r="L47" i="1"/>
  <c r="S46" i="1"/>
  <c r="T46" i="1" s="1"/>
  <c r="L46" i="1"/>
  <c r="P46" i="1" s="1"/>
  <c r="Q46" i="1" s="1"/>
  <c r="P45" i="1"/>
  <c r="Q45" i="1" s="1"/>
  <c r="L45" i="1"/>
  <c r="S45" i="1" s="1"/>
  <c r="T45" i="1" s="1"/>
  <c r="P44" i="1"/>
  <c r="Q44" i="1" s="1"/>
  <c r="L44" i="1"/>
  <c r="S44" i="1" s="1"/>
  <c r="T44" i="1" s="1"/>
  <c r="L43" i="1"/>
  <c r="S43" i="1" s="1"/>
  <c r="T43" i="1" s="1"/>
  <c r="T42" i="1"/>
  <c r="S42" i="1"/>
  <c r="L42" i="1"/>
  <c r="P42" i="1" s="1"/>
  <c r="Q42" i="1" s="1"/>
  <c r="T41" i="1"/>
  <c r="S41" i="1"/>
  <c r="P41" i="1"/>
  <c r="Q41" i="1" s="1"/>
  <c r="L41" i="1"/>
  <c r="S40" i="1"/>
  <c r="T40" i="1" s="1"/>
  <c r="Q40" i="1"/>
  <c r="P40" i="1"/>
  <c r="L40" i="1"/>
  <c r="L39" i="1"/>
  <c r="S39" i="1" s="1"/>
  <c r="T39" i="1" s="1"/>
  <c r="L38" i="1"/>
  <c r="P38" i="1" s="1"/>
  <c r="Q38" i="1" s="1"/>
  <c r="L37" i="1"/>
  <c r="L36" i="1"/>
  <c r="P36" i="1" s="1"/>
  <c r="Q36" i="1" s="1"/>
  <c r="S35" i="1"/>
  <c r="T35" i="1" s="1"/>
  <c r="Q35" i="1"/>
  <c r="P35" i="1"/>
  <c r="L35" i="1"/>
  <c r="S34" i="1"/>
  <c r="T34" i="1" s="1"/>
  <c r="L34" i="1"/>
  <c r="P34" i="1" s="1"/>
  <c r="Q34" i="1" s="1"/>
  <c r="P33" i="1"/>
  <c r="Q33" i="1" s="1"/>
  <c r="L33" i="1"/>
  <c r="S33" i="1" s="1"/>
  <c r="T33" i="1" s="1"/>
  <c r="P32" i="1"/>
  <c r="Q32" i="1" s="1"/>
  <c r="L32" i="1"/>
  <c r="S32" i="1" s="1"/>
  <c r="T32" i="1" s="1"/>
  <c r="L31" i="1"/>
  <c r="S31" i="1" s="1"/>
  <c r="T31" i="1" s="1"/>
  <c r="T30" i="1"/>
  <c r="S30" i="1"/>
  <c r="L30" i="1"/>
  <c r="P30" i="1" s="1"/>
  <c r="Q30" i="1" s="1"/>
  <c r="T29" i="1"/>
  <c r="S29" i="1"/>
  <c r="P29" i="1"/>
  <c r="Q29" i="1" s="1"/>
  <c r="L29" i="1"/>
  <c r="S28" i="1"/>
  <c r="T28" i="1" s="1"/>
  <c r="Q28" i="1"/>
  <c r="P28" i="1"/>
  <c r="L28" i="1"/>
  <c r="L27" i="1"/>
  <c r="S27" i="1" s="1"/>
  <c r="T27" i="1" s="1"/>
  <c r="L26" i="1"/>
  <c r="S26" i="1" s="1"/>
  <c r="T26" i="1" s="1"/>
  <c r="L25" i="1"/>
  <c r="L24" i="1"/>
  <c r="P24" i="1" s="1"/>
  <c r="Q24" i="1" s="1"/>
  <c r="S23" i="1"/>
  <c r="T23" i="1" s="1"/>
  <c r="Q23" i="1"/>
  <c r="P23" i="1"/>
  <c r="L23" i="1"/>
  <c r="S22" i="1"/>
  <c r="T22" i="1" s="1"/>
  <c r="L22" i="1"/>
  <c r="P22" i="1" s="1"/>
  <c r="Q22" i="1" s="1"/>
  <c r="P21" i="1"/>
  <c r="Q21" i="1" s="1"/>
  <c r="L21" i="1"/>
  <c r="S21" i="1" s="1"/>
  <c r="T21" i="1" s="1"/>
  <c r="P20" i="1"/>
  <c r="Q20" i="1" s="1"/>
  <c r="L20" i="1"/>
  <c r="S20" i="1" s="1"/>
  <c r="T20" i="1" s="1"/>
  <c r="L19" i="1"/>
  <c r="P19" i="1" s="1"/>
  <c r="Q19" i="1" s="1"/>
  <c r="T18" i="1"/>
  <c r="S18" i="1"/>
  <c r="L18" i="1"/>
  <c r="P18" i="1" s="1"/>
  <c r="Q18" i="1" s="1"/>
  <c r="T17" i="1"/>
  <c r="S17" i="1"/>
  <c r="P17" i="1"/>
  <c r="Q17" i="1" s="1"/>
  <c r="L17" i="1"/>
  <c r="S16" i="1"/>
  <c r="T16" i="1" s="1"/>
  <c r="P16" i="1"/>
  <c r="Q16" i="1" s="1"/>
  <c r="L16" i="1"/>
  <c r="L15" i="1"/>
  <c r="S15" i="1" s="1"/>
  <c r="T15" i="1" s="1"/>
  <c r="L14" i="1"/>
  <c r="S14" i="1" s="1"/>
  <c r="T14" i="1" s="1"/>
  <c r="L13" i="1"/>
  <c r="L12" i="1"/>
  <c r="S12" i="1" s="1"/>
  <c r="T12" i="1" s="1"/>
  <c r="S11" i="1"/>
  <c r="T11" i="1" s="1"/>
  <c r="Q11" i="1"/>
  <c r="P11" i="1"/>
  <c r="L11" i="1"/>
  <c r="S25" i="1" l="1"/>
  <c r="T25" i="1" s="1"/>
  <c r="P25" i="1"/>
  <c r="Q25" i="1" s="1"/>
  <c r="S277" i="1"/>
  <c r="T277" i="1" s="1"/>
  <c r="P277" i="1"/>
  <c r="Q277" i="1" s="1"/>
  <c r="S109" i="1"/>
  <c r="T109" i="1" s="1"/>
  <c r="P109" i="1"/>
  <c r="Q109" i="1" s="1"/>
  <c r="S133" i="1"/>
  <c r="T133" i="1" s="1"/>
  <c r="P133" i="1"/>
  <c r="Q133" i="1" s="1"/>
  <c r="S169" i="1"/>
  <c r="T169" i="1" s="1"/>
  <c r="P169" i="1"/>
  <c r="Q169" i="1" s="1"/>
  <c r="S241" i="1"/>
  <c r="T241" i="1" s="1"/>
  <c r="P241" i="1"/>
  <c r="Q241" i="1" s="1"/>
  <c r="S217" i="1"/>
  <c r="T217" i="1" s="1"/>
  <c r="P217" i="1"/>
  <c r="Q217" i="1" s="1"/>
  <c r="S37" i="1"/>
  <c r="T37" i="1" s="1"/>
  <c r="P37" i="1"/>
  <c r="Q37" i="1" s="1"/>
  <c r="S85" i="1"/>
  <c r="T85" i="1" s="1"/>
  <c r="P85" i="1"/>
  <c r="Q85" i="1" s="1"/>
  <c r="S205" i="1"/>
  <c r="T205" i="1" s="1"/>
  <c r="P205" i="1"/>
  <c r="Q205" i="1" s="1"/>
  <c r="S73" i="1"/>
  <c r="T73" i="1" s="1"/>
  <c r="P73" i="1"/>
  <c r="Q73" i="1" s="1"/>
  <c r="S49" i="1"/>
  <c r="T49" i="1" s="1"/>
  <c r="P49" i="1"/>
  <c r="Q49" i="1" s="1"/>
  <c r="S157" i="1"/>
  <c r="T157" i="1" s="1"/>
  <c r="P157" i="1"/>
  <c r="Q157" i="1" s="1"/>
  <c r="S193" i="1"/>
  <c r="T193" i="1" s="1"/>
  <c r="P193" i="1"/>
  <c r="Q193" i="1" s="1"/>
  <c r="S121" i="1"/>
  <c r="T121" i="1" s="1"/>
  <c r="P121" i="1"/>
  <c r="Q121" i="1" s="1"/>
  <c r="S229" i="1"/>
  <c r="T229" i="1" s="1"/>
  <c r="P229" i="1"/>
  <c r="Q229" i="1" s="1"/>
  <c r="S61" i="1"/>
  <c r="T61" i="1" s="1"/>
  <c r="P61" i="1"/>
  <c r="Q61" i="1" s="1"/>
  <c r="S97" i="1"/>
  <c r="T97" i="1" s="1"/>
  <c r="P97" i="1"/>
  <c r="Q97" i="1" s="1"/>
  <c r="S13" i="1"/>
  <c r="T13" i="1" s="1"/>
  <c r="T354" i="1" s="1"/>
  <c r="P13" i="1"/>
  <c r="Q13" i="1" s="1"/>
  <c r="S145" i="1"/>
  <c r="T145" i="1" s="1"/>
  <c r="P145" i="1"/>
  <c r="Q145" i="1" s="1"/>
  <c r="S181" i="1"/>
  <c r="T181" i="1" s="1"/>
  <c r="P181" i="1"/>
  <c r="Q181" i="1" s="1"/>
  <c r="S253" i="1"/>
  <c r="T253" i="1" s="1"/>
  <c r="P253" i="1"/>
  <c r="Q253" i="1" s="1"/>
  <c r="Y24" i="3"/>
  <c r="Z24" i="3" s="1"/>
  <c r="V24" i="3"/>
  <c r="W24" i="3" s="1"/>
  <c r="Y93" i="3"/>
  <c r="Z93" i="3" s="1"/>
  <c r="V93" i="3"/>
  <c r="W93" i="3" s="1"/>
  <c r="Y153" i="3"/>
  <c r="Z153" i="3" s="1"/>
  <c r="V153" i="3"/>
  <c r="W153" i="3" s="1"/>
  <c r="P26" i="1"/>
  <c r="Q26" i="1" s="1"/>
  <c r="S19" i="1"/>
  <c r="T19" i="1" s="1"/>
  <c r="S55" i="1"/>
  <c r="T55" i="1" s="1"/>
  <c r="S24" i="1"/>
  <c r="T24" i="1" s="1"/>
  <c r="S36" i="1"/>
  <c r="T36" i="1" s="1"/>
  <c r="S48" i="1"/>
  <c r="T48" i="1" s="1"/>
  <c r="S72" i="1"/>
  <c r="T72" i="1" s="1"/>
  <c r="S84" i="1"/>
  <c r="T84" i="1" s="1"/>
  <c r="S96" i="1"/>
  <c r="T96" i="1" s="1"/>
  <c r="S120" i="1"/>
  <c r="T120" i="1" s="1"/>
  <c r="S168" i="1"/>
  <c r="T168" i="1" s="1"/>
  <c r="P15" i="1"/>
  <c r="Q15" i="1" s="1"/>
  <c r="P27" i="1"/>
  <c r="Q27" i="1" s="1"/>
  <c r="P39" i="1"/>
  <c r="Q39" i="1" s="1"/>
  <c r="P51" i="1"/>
  <c r="Q51" i="1" s="1"/>
  <c r="P63" i="1"/>
  <c r="Q63" i="1" s="1"/>
  <c r="P75" i="1"/>
  <c r="Q75" i="1" s="1"/>
  <c r="P87" i="1"/>
  <c r="Q87" i="1" s="1"/>
  <c r="P99" i="1"/>
  <c r="Q99" i="1" s="1"/>
  <c r="P111" i="1"/>
  <c r="Q111" i="1" s="1"/>
  <c r="P123" i="1"/>
  <c r="Q123" i="1" s="1"/>
  <c r="P135" i="1"/>
  <c r="Q135" i="1" s="1"/>
  <c r="P147" i="1"/>
  <c r="Q147" i="1" s="1"/>
  <c r="P159" i="1"/>
  <c r="Q159" i="1" s="1"/>
  <c r="P171" i="1"/>
  <c r="Q171" i="1" s="1"/>
  <c r="AQ14" i="3"/>
  <c r="AD21" i="3"/>
  <c r="AQ23" i="3"/>
  <c r="Y36" i="3"/>
  <c r="Z36" i="3" s="1"/>
  <c r="V36" i="3"/>
  <c r="W36" i="3" s="1"/>
  <c r="AC37" i="3"/>
  <c r="AE37" i="3" s="1"/>
  <c r="AF37" i="3"/>
  <c r="AD37" i="3"/>
  <c r="V40" i="3"/>
  <c r="W40" i="3" s="1"/>
  <c r="AC47" i="3"/>
  <c r="AE47" i="3" s="1"/>
  <c r="V65" i="3"/>
  <c r="W65" i="3" s="1"/>
  <c r="Y76" i="3"/>
  <c r="Z76" i="3" s="1"/>
  <c r="V76" i="3"/>
  <c r="W76" i="3" s="1"/>
  <c r="Y81" i="3"/>
  <c r="Z81" i="3" s="1"/>
  <c r="V81" i="3"/>
  <c r="W81" i="3" s="1"/>
  <c r="AQ199" i="3"/>
  <c r="AP199" i="3"/>
  <c r="P265" i="1"/>
  <c r="Q265" i="1" s="1"/>
  <c r="P292" i="1"/>
  <c r="Q292" i="1" s="1"/>
  <c r="P297" i="1"/>
  <c r="Q297" i="1" s="1"/>
  <c r="P310" i="1"/>
  <c r="Q310" i="1" s="1"/>
  <c r="P328" i="1"/>
  <c r="Q328" i="1" s="1"/>
  <c r="P333" i="1"/>
  <c r="Q333" i="1" s="1"/>
  <c r="S350" i="1"/>
  <c r="T350" i="1" s="1"/>
  <c r="P350" i="1"/>
  <c r="Q350" i="1" s="1"/>
  <c r="AC25" i="3"/>
  <c r="AE25" i="3" s="1"/>
  <c r="AF25" i="3"/>
  <c r="AD25" i="3"/>
  <c r="AQ26" i="3"/>
  <c r="AF40" i="3"/>
  <c r="AC40" i="3"/>
  <c r="AE40" i="3" s="1"/>
  <c r="AP44" i="3"/>
  <c r="AQ44" i="3"/>
  <c r="Y59" i="3"/>
  <c r="Z59" i="3" s="1"/>
  <c r="V59" i="3"/>
  <c r="W59" i="3" s="1"/>
  <c r="AF76" i="3"/>
  <c r="AD76" i="3"/>
  <c r="AC76" i="3"/>
  <c r="AE76" i="3" s="1"/>
  <c r="Y105" i="3"/>
  <c r="Z105" i="3" s="1"/>
  <c r="V105" i="3"/>
  <c r="W105" i="3" s="1"/>
  <c r="Y129" i="3"/>
  <c r="Z129" i="3" s="1"/>
  <c r="V129" i="3"/>
  <c r="W129" i="3" s="1"/>
  <c r="Y155" i="3"/>
  <c r="Z155" i="3" s="1"/>
  <c r="V155" i="3"/>
  <c r="W155" i="3" s="1"/>
  <c r="Y148" i="3"/>
  <c r="Z148" i="3" s="1"/>
  <c r="V148" i="3"/>
  <c r="W148" i="3" s="1"/>
  <c r="AQ181" i="3"/>
  <c r="AP181" i="3"/>
  <c r="AF250" i="3"/>
  <c r="AD250" i="3"/>
  <c r="AC250" i="3"/>
  <c r="AE250" i="3" s="1"/>
  <c r="P222" i="1"/>
  <c r="Q222" i="1" s="1"/>
  <c r="P234" i="1"/>
  <c r="Q234" i="1" s="1"/>
  <c r="P246" i="1"/>
  <c r="Q246" i="1" s="1"/>
  <c r="P258" i="1"/>
  <c r="Q258" i="1" s="1"/>
  <c r="P270" i="1"/>
  <c r="Q270" i="1" s="1"/>
  <c r="P282" i="1"/>
  <c r="Q282" i="1" s="1"/>
  <c r="P287" i="1"/>
  <c r="Q287" i="1" s="1"/>
  <c r="P323" i="1"/>
  <c r="Q323" i="1" s="1"/>
  <c r="P347" i="1"/>
  <c r="Q347" i="1" s="1"/>
  <c r="AP13" i="3"/>
  <c r="AF16" i="3"/>
  <c r="AC16" i="3"/>
  <c r="AE16" i="3" s="1"/>
  <c r="V28" i="3"/>
  <c r="W28" i="3" s="1"/>
  <c r="AC36" i="3"/>
  <c r="AE36" i="3" s="1"/>
  <c r="AP37" i="3"/>
  <c r="AD40" i="3"/>
  <c r="Y45" i="3"/>
  <c r="Z45" i="3" s="1"/>
  <c r="V45" i="3"/>
  <c r="W45" i="3" s="1"/>
  <c r="AQ47" i="3"/>
  <c r="AQ71" i="3"/>
  <c r="AP71" i="3"/>
  <c r="AC73" i="3"/>
  <c r="AE73" i="3" s="1"/>
  <c r="AF73" i="3"/>
  <c r="AD73" i="3"/>
  <c r="Y88" i="3"/>
  <c r="Z88" i="3" s="1"/>
  <c r="V88" i="3"/>
  <c r="W88" i="3" s="1"/>
  <c r="Y117" i="3"/>
  <c r="Z117" i="3" s="1"/>
  <c r="V117" i="3"/>
  <c r="W117" i="3" s="1"/>
  <c r="V150" i="3"/>
  <c r="W150" i="3" s="1"/>
  <c r="Y150" i="3"/>
  <c r="Z150" i="3" s="1"/>
  <c r="AQ193" i="3"/>
  <c r="AP193" i="3"/>
  <c r="S336" i="1"/>
  <c r="T336" i="1" s="1"/>
  <c r="S339" i="1"/>
  <c r="T339" i="1" s="1"/>
  <c r="AF36" i="3"/>
  <c r="AC49" i="3"/>
  <c r="AE49" i="3" s="1"/>
  <c r="AF49" i="3"/>
  <c r="AD49" i="3"/>
  <c r="AF88" i="3"/>
  <c r="AD88" i="3"/>
  <c r="AC88" i="3"/>
  <c r="AE88" i="3" s="1"/>
  <c r="Y100" i="3"/>
  <c r="Z100" i="3" s="1"/>
  <c r="V100" i="3"/>
  <c r="W100" i="3" s="1"/>
  <c r="AD185" i="3"/>
  <c r="AF185" i="3"/>
  <c r="AC185" i="3"/>
  <c r="AE185" i="3" s="1"/>
  <c r="Y212" i="3"/>
  <c r="Z212" i="3" s="1"/>
  <c r="V212" i="3"/>
  <c r="W212" i="3" s="1"/>
  <c r="AC71" i="3"/>
  <c r="AE71" i="3" s="1"/>
  <c r="AF71" i="3"/>
  <c r="S351" i="1"/>
  <c r="T351" i="1" s="1"/>
  <c r="P351" i="1"/>
  <c r="Q351" i="1" s="1"/>
  <c r="AF28" i="3"/>
  <c r="AC28" i="3"/>
  <c r="AE28" i="3" s="1"/>
  <c r="AD83" i="3"/>
  <c r="AC83" i="3"/>
  <c r="AE83" i="3" s="1"/>
  <c r="AF83" i="3"/>
  <c r="AF100" i="3"/>
  <c r="AD100" i="3"/>
  <c r="AC100" i="3"/>
  <c r="AE100" i="3" s="1"/>
  <c r="Y112" i="3"/>
  <c r="Z112" i="3" s="1"/>
  <c r="V112" i="3"/>
  <c r="W112" i="3" s="1"/>
  <c r="AF124" i="3"/>
  <c r="AD124" i="3"/>
  <c r="AC124" i="3"/>
  <c r="AE124" i="3" s="1"/>
  <c r="AD31" i="3"/>
  <c r="AC31" i="3"/>
  <c r="AE31" i="3" s="1"/>
  <c r="AF42" i="3"/>
  <c r="AD42" i="3"/>
  <c r="AC42" i="3"/>
  <c r="AE42" i="3" s="1"/>
  <c r="AQ49" i="3"/>
  <c r="AP49" i="3"/>
  <c r="AF52" i="3"/>
  <c r="AC52" i="3"/>
  <c r="AE52" i="3" s="1"/>
  <c r="AP56" i="3"/>
  <c r="AQ56" i="3"/>
  <c r="AQ59" i="3"/>
  <c r="AP59" i="3"/>
  <c r="AP68" i="3"/>
  <c r="AQ68" i="3"/>
  <c r="AQ83" i="3"/>
  <c r="AP83" i="3"/>
  <c r="AD95" i="3"/>
  <c r="AC95" i="3"/>
  <c r="AE95" i="3" s="1"/>
  <c r="AF95" i="3"/>
  <c r="AF112" i="3"/>
  <c r="AD112" i="3"/>
  <c r="AC112" i="3"/>
  <c r="AE112" i="3" s="1"/>
  <c r="Y147" i="3"/>
  <c r="Z147" i="3" s="1"/>
  <c r="V147" i="3"/>
  <c r="W147" i="3" s="1"/>
  <c r="P14" i="1"/>
  <c r="Q14" i="1" s="1"/>
  <c r="P62" i="1"/>
  <c r="Q62" i="1" s="1"/>
  <c r="P74" i="1"/>
  <c r="Q74" i="1" s="1"/>
  <c r="P86" i="1"/>
  <c r="Q86" i="1" s="1"/>
  <c r="P98" i="1"/>
  <c r="Q98" i="1" s="1"/>
  <c r="P110" i="1"/>
  <c r="Q110" i="1" s="1"/>
  <c r="P122" i="1"/>
  <c r="Q122" i="1" s="1"/>
  <c r="P134" i="1"/>
  <c r="Q134" i="1" s="1"/>
  <c r="P146" i="1"/>
  <c r="Q146" i="1" s="1"/>
  <c r="P158" i="1"/>
  <c r="Q158" i="1" s="1"/>
  <c r="P170" i="1"/>
  <c r="Q170" i="1" s="1"/>
  <c r="P182" i="1"/>
  <c r="Q182" i="1" s="1"/>
  <c r="P194" i="1"/>
  <c r="Q194" i="1" s="1"/>
  <c r="P206" i="1"/>
  <c r="Q206" i="1" s="1"/>
  <c r="P218" i="1"/>
  <c r="Q218" i="1" s="1"/>
  <c r="P230" i="1"/>
  <c r="Q230" i="1" s="1"/>
  <c r="P242" i="1"/>
  <c r="Q242" i="1" s="1"/>
  <c r="P254" i="1"/>
  <c r="Q254" i="1" s="1"/>
  <c r="P266" i="1"/>
  <c r="Q266" i="1" s="1"/>
  <c r="P278" i="1"/>
  <c r="Q278" i="1" s="1"/>
  <c r="P311" i="1"/>
  <c r="Q311" i="1" s="1"/>
  <c r="P340" i="1"/>
  <c r="Q340" i="1" s="1"/>
  <c r="P345" i="1"/>
  <c r="Q345" i="1" s="1"/>
  <c r="AQ16" i="3"/>
  <c r="Y18" i="3"/>
  <c r="Z18" i="3" s="1"/>
  <c r="AP20" i="3"/>
  <c r="AQ20" i="3"/>
  <c r="AF31" i="3"/>
  <c r="AP32" i="3"/>
  <c r="AQ32" i="3"/>
  <c r="V41" i="3"/>
  <c r="W41" i="3" s="1"/>
  <c r="AC48" i="3"/>
  <c r="AE48" i="3" s="1"/>
  <c r="AD52" i="3"/>
  <c r="Y57" i="3"/>
  <c r="Z57" i="3" s="1"/>
  <c r="V57" i="3"/>
  <c r="W57" i="3" s="1"/>
  <c r="AC61" i="3"/>
  <c r="AE61" i="3" s="1"/>
  <c r="AF61" i="3"/>
  <c r="AD61" i="3"/>
  <c r="Y69" i="3"/>
  <c r="Z69" i="3" s="1"/>
  <c r="V69" i="3"/>
  <c r="W69" i="3" s="1"/>
  <c r="AQ78" i="3"/>
  <c r="AQ95" i="3"/>
  <c r="AP95" i="3"/>
  <c r="AD107" i="3"/>
  <c r="AC107" i="3"/>
  <c r="AE107" i="3" s="1"/>
  <c r="AF107" i="3"/>
  <c r="Y152" i="3"/>
  <c r="Z152" i="3" s="1"/>
  <c r="V152" i="3"/>
  <c r="W152" i="3" s="1"/>
  <c r="AF202" i="3"/>
  <c r="AC202" i="3"/>
  <c r="AE202" i="3" s="1"/>
  <c r="AD202" i="3"/>
  <c r="AP173" i="3"/>
  <c r="AQ173" i="3"/>
  <c r="P50" i="1"/>
  <c r="Q50" i="1" s="1"/>
  <c r="S348" i="1"/>
  <c r="T348" i="1" s="1"/>
  <c r="AF18" i="3"/>
  <c r="AD18" i="3"/>
  <c r="Y26" i="3"/>
  <c r="Z26" i="3" s="1"/>
  <c r="AF48" i="3"/>
  <c r="AF64" i="3"/>
  <c r="AD64" i="3"/>
  <c r="AC64" i="3"/>
  <c r="AE64" i="3" s="1"/>
  <c r="AQ90" i="3"/>
  <c r="AP90" i="3"/>
  <c r="AQ107" i="3"/>
  <c r="AP107" i="3"/>
  <c r="AD119" i="3"/>
  <c r="AC119" i="3"/>
  <c r="AE119" i="3" s="1"/>
  <c r="AF119" i="3"/>
  <c r="AQ131" i="3"/>
  <c r="AP131" i="3"/>
  <c r="AF136" i="3"/>
  <c r="AD136" i="3"/>
  <c r="AC136" i="3"/>
  <c r="AE136" i="3" s="1"/>
  <c r="Y149" i="3"/>
  <c r="Z149" i="3" s="1"/>
  <c r="V149" i="3"/>
  <c r="W149" i="3" s="1"/>
  <c r="AD197" i="3"/>
  <c r="AF197" i="3"/>
  <c r="AC197" i="3"/>
  <c r="AE197" i="3" s="1"/>
  <c r="AQ217" i="3"/>
  <c r="AP217" i="3"/>
  <c r="P12" i="1"/>
  <c r="Q12" i="1" s="1"/>
  <c r="Q354" i="1" s="1"/>
  <c r="Q355" i="1" s="1"/>
  <c r="S38" i="1"/>
  <c r="T38" i="1" s="1"/>
  <c r="P60" i="1"/>
  <c r="Q60" i="1" s="1"/>
  <c r="P108" i="1"/>
  <c r="Q108" i="1" s="1"/>
  <c r="P132" i="1"/>
  <c r="Q132" i="1" s="1"/>
  <c r="P144" i="1"/>
  <c r="Q144" i="1" s="1"/>
  <c r="P156" i="1"/>
  <c r="Q156" i="1" s="1"/>
  <c r="P180" i="1"/>
  <c r="Q180" i="1" s="1"/>
  <c r="P192" i="1"/>
  <c r="Q192" i="1" s="1"/>
  <c r="P204" i="1"/>
  <c r="Q204" i="1" s="1"/>
  <c r="P216" i="1"/>
  <c r="Q216" i="1" s="1"/>
  <c r="P228" i="1"/>
  <c r="Q228" i="1" s="1"/>
  <c r="P240" i="1"/>
  <c r="Q240" i="1" s="1"/>
  <c r="P252" i="1"/>
  <c r="Q252" i="1" s="1"/>
  <c r="P264" i="1"/>
  <c r="Q264" i="1" s="1"/>
  <c r="P276" i="1"/>
  <c r="Q276" i="1" s="1"/>
  <c r="S288" i="1"/>
  <c r="T288" i="1" s="1"/>
  <c r="P291" i="1"/>
  <c r="Q291" i="1" s="1"/>
  <c r="P296" i="1"/>
  <c r="Q296" i="1" s="1"/>
  <c r="P314" i="1"/>
  <c r="Q314" i="1" s="1"/>
  <c r="P319" i="1"/>
  <c r="Q319" i="1" s="1"/>
  <c r="S324" i="1"/>
  <c r="T324" i="1" s="1"/>
  <c r="P327" i="1"/>
  <c r="Q327" i="1" s="1"/>
  <c r="Y12" i="3"/>
  <c r="Z12" i="3" s="1"/>
  <c r="Z353" i="3" s="1"/>
  <c r="V12" i="3"/>
  <c r="W12" i="3" s="1"/>
  <c r="W353" i="3" s="1"/>
  <c r="V17" i="3"/>
  <c r="W17" i="3" s="1"/>
  <c r="AC18" i="3"/>
  <c r="AE18" i="3" s="1"/>
  <c r="AP19" i="3"/>
  <c r="AP354" i="3" s="1"/>
  <c r="AC23" i="3"/>
  <c r="AE23" i="3" s="1"/>
  <c r="Y30" i="3"/>
  <c r="Z30" i="3" s="1"/>
  <c r="AP31" i="3"/>
  <c r="AD35" i="3"/>
  <c r="Y54" i="3"/>
  <c r="Z54" i="3" s="1"/>
  <c r="AP55" i="3"/>
  <c r="AP67" i="3"/>
  <c r="AQ102" i="3"/>
  <c r="AP102" i="3"/>
  <c r="AQ119" i="3"/>
  <c r="AP119" i="3"/>
  <c r="V168" i="3"/>
  <c r="W168" i="3" s="1"/>
  <c r="Y168" i="3"/>
  <c r="Z168" i="3" s="1"/>
  <c r="P31" i="1"/>
  <c r="Q31" i="1" s="1"/>
  <c r="Q353" i="1" s="1"/>
  <c r="P43" i="1"/>
  <c r="Q43" i="1" s="1"/>
  <c r="P67" i="1"/>
  <c r="Q67" i="1" s="1"/>
  <c r="Y21" i="3"/>
  <c r="Z21" i="3" s="1"/>
  <c r="AD23" i="3"/>
  <c r="AF30" i="3"/>
  <c r="AD30" i="3"/>
  <c r="Y33" i="3"/>
  <c r="Z33" i="3" s="1"/>
  <c r="Y47" i="3"/>
  <c r="Z47" i="3" s="1"/>
  <c r="V47" i="3"/>
  <c r="W47" i="3" s="1"/>
  <c r="AF54" i="3"/>
  <c r="AD54" i="3"/>
  <c r="AC54" i="3"/>
  <c r="AE54" i="3" s="1"/>
  <c r="AQ114" i="3"/>
  <c r="AP114" i="3"/>
  <c r="AF161" i="3"/>
  <c r="AD161" i="3"/>
  <c r="AC161" i="3"/>
  <c r="AE161" i="3" s="1"/>
  <c r="AF13" i="3"/>
  <c r="AF353" i="3" s="1"/>
  <c r="AD13" i="3"/>
  <c r="AQ38" i="3"/>
  <c r="AP38" i="3"/>
  <c r="V19" i="3"/>
  <c r="W19" i="3" s="1"/>
  <c r="W354" i="3" s="1"/>
  <c r="W355" i="3" s="1"/>
  <c r="V31" i="3"/>
  <c r="W31" i="3" s="1"/>
  <c r="AQ80" i="3"/>
  <c r="AD85" i="3"/>
  <c r="AQ92" i="3"/>
  <c r="AD97" i="3"/>
  <c r="AQ104" i="3"/>
  <c r="AD109" i="3"/>
  <c r="AQ116" i="3"/>
  <c r="AD121" i="3"/>
  <c r="AQ128" i="3"/>
  <c r="AF131" i="3"/>
  <c r="AD133" i="3"/>
  <c r="AQ146" i="3"/>
  <c r="AQ147" i="3"/>
  <c r="AQ148" i="3"/>
  <c r="AQ149" i="3"/>
  <c r="AQ150" i="3"/>
  <c r="AQ154" i="3"/>
  <c r="AQ167" i="3"/>
  <c r="AC192" i="3"/>
  <c r="AE192" i="3" s="1"/>
  <c r="AF193" i="3"/>
  <c r="Y201" i="3"/>
  <c r="Z201" i="3" s="1"/>
  <c r="V201" i="3"/>
  <c r="W201" i="3" s="1"/>
  <c r="AQ211" i="3"/>
  <c r="AP211" i="3"/>
  <c r="AD216" i="3"/>
  <c r="AC216" i="3"/>
  <c r="AE216" i="3" s="1"/>
  <c r="Y219" i="3"/>
  <c r="Z219" i="3" s="1"/>
  <c r="V219" i="3"/>
  <c r="W219" i="3" s="1"/>
  <c r="AQ221" i="3"/>
  <c r="AF85" i="3"/>
  <c r="AF97" i="3"/>
  <c r="AF109" i="3"/>
  <c r="AF121" i="3"/>
  <c r="AF133" i="3"/>
  <c r="Y156" i="3"/>
  <c r="Z156" i="3" s="1"/>
  <c r="AF178" i="3"/>
  <c r="AC178" i="3"/>
  <c r="AE178" i="3" s="1"/>
  <c r="AF192" i="3"/>
  <c r="Y215" i="3"/>
  <c r="Z215" i="3" s="1"/>
  <c r="V215" i="3"/>
  <c r="W215" i="3" s="1"/>
  <c r="AF216" i="3"/>
  <c r="AF219" i="3"/>
  <c r="AD219" i="3"/>
  <c r="Y243" i="3"/>
  <c r="Z243" i="3" s="1"/>
  <c r="V243" i="3"/>
  <c r="W243" i="3" s="1"/>
  <c r="AF190" i="3"/>
  <c r="AC190" i="3"/>
  <c r="AE190" i="3" s="1"/>
  <c r="AC205" i="3"/>
  <c r="AE205" i="3" s="1"/>
  <c r="AF205" i="3"/>
  <c r="AF226" i="3"/>
  <c r="AD226" i="3"/>
  <c r="AC226" i="3"/>
  <c r="AE226" i="3" s="1"/>
  <c r="AF243" i="3"/>
  <c r="AD243" i="3"/>
  <c r="AP61" i="3"/>
  <c r="AC66" i="3"/>
  <c r="AE66" i="3" s="1"/>
  <c r="V71" i="3"/>
  <c r="W71" i="3" s="1"/>
  <c r="AP73" i="3"/>
  <c r="AC78" i="3"/>
  <c r="AE78" i="3" s="1"/>
  <c r="V83" i="3"/>
  <c r="W83" i="3" s="1"/>
  <c r="AP85" i="3"/>
  <c r="AC90" i="3"/>
  <c r="AE90" i="3" s="1"/>
  <c r="V95" i="3"/>
  <c r="W95" i="3" s="1"/>
  <c r="AP97" i="3"/>
  <c r="AC102" i="3"/>
  <c r="AE102" i="3" s="1"/>
  <c r="V107" i="3"/>
  <c r="W107" i="3" s="1"/>
  <c r="AP109" i="3"/>
  <c r="AC114" i="3"/>
  <c r="AE114" i="3" s="1"/>
  <c r="V119" i="3"/>
  <c r="W119" i="3" s="1"/>
  <c r="AP121" i="3"/>
  <c r="AC126" i="3"/>
  <c r="AE126" i="3" s="1"/>
  <c r="V131" i="3"/>
  <c r="W131" i="3" s="1"/>
  <c r="AP133" i="3"/>
  <c r="AC138" i="3"/>
  <c r="AE138" i="3" s="1"/>
  <c r="AQ164" i="3"/>
  <c r="AD169" i="3"/>
  <c r="AP172" i="3"/>
  <c r="AC177" i="3"/>
  <c r="AE177" i="3" s="1"/>
  <c r="V182" i="3"/>
  <c r="W182" i="3" s="1"/>
  <c r="AD190" i="3"/>
  <c r="AP192" i="3"/>
  <c r="V200" i="3"/>
  <c r="W200" i="3" s="1"/>
  <c r="AD205" i="3"/>
  <c r="Y225" i="3"/>
  <c r="Z225" i="3" s="1"/>
  <c r="V225" i="3"/>
  <c r="W225" i="3" s="1"/>
  <c r="AF232" i="3"/>
  <c r="AD232" i="3"/>
  <c r="AC232" i="3"/>
  <c r="AE232" i="3" s="1"/>
  <c r="AQ233" i="3"/>
  <c r="AP233" i="3"/>
  <c r="AC243" i="3"/>
  <c r="AE243" i="3" s="1"/>
  <c r="Y249" i="3"/>
  <c r="Z249" i="3" s="1"/>
  <c r="V249" i="3"/>
  <c r="W249" i="3" s="1"/>
  <c r="AC43" i="3"/>
  <c r="AE43" i="3" s="1"/>
  <c r="V48" i="3"/>
  <c r="W48" i="3" s="1"/>
  <c r="AP50" i="3"/>
  <c r="AC55" i="3"/>
  <c r="AE55" i="3" s="1"/>
  <c r="V60" i="3"/>
  <c r="W60" i="3" s="1"/>
  <c r="AP62" i="3"/>
  <c r="AD66" i="3"/>
  <c r="AC67" i="3"/>
  <c r="AE67" i="3" s="1"/>
  <c r="V72" i="3"/>
  <c r="W72" i="3" s="1"/>
  <c r="AP74" i="3"/>
  <c r="AD78" i="3"/>
  <c r="AC79" i="3"/>
  <c r="AE79" i="3" s="1"/>
  <c r="V84" i="3"/>
  <c r="W84" i="3" s="1"/>
  <c r="AP86" i="3"/>
  <c r="AD90" i="3"/>
  <c r="AC91" i="3"/>
  <c r="AE91" i="3" s="1"/>
  <c r="V96" i="3"/>
  <c r="W96" i="3" s="1"/>
  <c r="AP98" i="3"/>
  <c r="AD102" i="3"/>
  <c r="AC103" i="3"/>
  <c r="AE103" i="3" s="1"/>
  <c r="V108" i="3"/>
  <c r="W108" i="3" s="1"/>
  <c r="AP110" i="3"/>
  <c r="AD114" i="3"/>
  <c r="AC115" i="3"/>
  <c r="AE115" i="3" s="1"/>
  <c r="V120" i="3"/>
  <c r="W120" i="3" s="1"/>
  <c r="AP122" i="3"/>
  <c r="AD126" i="3"/>
  <c r="AC127" i="3"/>
  <c r="AE127" i="3" s="1"/>
  <c r="V132" i="3"/>
  <c r="W132" i="3" s="1"/>
  <c r="AP134" i="3"/>
  <c r="AD138" i="3"/>
  <c r="AC139" i="3"/>
  <c r="AE139" i="3" s="1"/>
  <c r="AC140" i="3"/>
  <c r="AE140" i="3" s="1"/>
  <c r="AC141" i="3"/>
  <c r="AE141" i="3" s="1"/>
  <c r="AC156" i="3"/>
  <c r="AE156" i="3" s="1"/>
  <c r="AD157" i="3"/>
  <c r="AP162" i="3"/>
  <c r="AP163" i="3"/>
  <c r="V166" i="3"/>
  <c r="W166" i="3" s="1"/>
  <c r="AC168" i="3"/>
  <c r="AE168" i="3" s="1"/>
  <c r="Y174" i="3"/>
  <c r="Z174" i="3" s="1"/>
  <c r="AP179" i="3"/>
  <c r="AC184" i="3"/>
  <c r="AE184" i="3" s="1"/>
  <c r="AQ185" i="3"/>
  <c r="V188" i="3"/>
  <c r="W188" i="3" s="1"/>
  <c r="AP191" i="3"/>
  <c r="AC196" i="3"/>
  <c r="AE196" i="3" s="1"/>
  <c r="AQ197" i="3"/>
  <c r="AP202" i="3"/>
  <c r="AF208" i="3"/>
  <c r="AC208" i="3"/>
  <c r="AE208" i="3" s="1"/>
  <c r="Y221" i="3"/>
  <c r="Z221" i="3" s="1"/>
  <c r="AD222" i="3"/>
  <c r="AC222" i="3"/>
  <c r="AE222" i="3" s="1"/>
  <c r="AP226" i="3"/>
  <c r="AD139" i="3"/>
  <c r="AD140" i="3"/>
  <c r="AD141" i="3"/>
  <c r="AF169" i="3"/>
  <c r="AF177" i="3"/>
  <c r="AD184" i="3"/>
  <c r="AD196" i="3"/>
  <c r="Y203" i="3"/>
  <c r="Z203" i="3" s="1"/>
  <c r="V203" i="3"/>
  <c r="W203" i="3" s="1"/>
  <c r="AQ205" i="3"/>
  <c r="AP205" i="3"/>
  <c r="Y227" i="3"/>
  <c r="Z227" i="3" s="1"/>
  <c r="V227" i="3"/>
  <c r="W227" i="3" s="1"/>
  <c r="Y231" i="3"/>
  <c r="Z231" i="3" s="1"/>
  <c r="V231" i="3"/>
  <c r="W231" i="3" s="1"/>
  <c r="AC154" i="3"/>
  <c r="AE154" i="3" s="1"/>
  <c r="AF156" i="3"/>
  <c r="AF157" i="3"/>
  <c r="AF168" i="3"/>
  <c r="AQ170" i="3"/>
  <c r="AF175" i="3"/>
  <c r="AC175" i="3"/>
  <c r="AE175" i="3" s="1"/>
  <c r="AF231" i="3"/>
  <c r="AD231" i="3"/>
  <c r="AQ239" i="3"/>
  <c r="AP239" i="3"/>
  <c r="AF166" i="3"/>
  <c r="AC166" i="3"/>
  <c r="AE166" i="3" s="1"/>
  <c r="AP169" i="3"/>
  <c r="AQ229" i="3"/>
  <c r="AP229" i="3"/>
  <c r="AC231" i="3"/>
  <c r="AE231" i="3" s="1"/>
  <c r="V124" i="3"/>
  <c r="W124" i="3" s="1"/>
  <c r="AP126" i="3"/>
  <c r="AC131" i="3"/>
  <c r="AE131" i="3" s="1"/>
  <c r="AP157" i="3"/>
  <c r="AQ158" i="3"/>
  <c r="AD166" i="3"/>
  <c r="AF207" i="3"/>
  <c r="AD207" i="3"/>
  <c r="AF238" i="3"/>
  <c r="AD238" i="3"/>
  <c r="AC238" i="3"/>
  <c r="AE238" i="3" s="1"/>
  <c r="AD186" i="3"/>
  <c r="AC186" i="3"/>
  <c r="AE186" i="3" s="1"/>
  <c r="AD198" i="3"/>
  <c r="AC198" i="3"/>
  <c r="AE198" i="3" s="1"/>
  <c r="Y213" i="3"/>
  <c r="Z213" i="3" s="1"/>
  <c r="V213" i="3"/>
  <c r="W213" i="3" s="1"/>
  <c r="AF214" i="3"/>
  <c r="AC214" i="3"/>
  <c r="AE214" i="3" s="1"/>
  <c r="AQ251" i="3"/>
  <c r="AP251" i="3"/>
  <c r="V160" i="3"/>
  <c r="W160" i="3" s="1"/>
  <c r="AP175" i="3"/>
  <c r="V178" i="3"/>
  <c r="W178" i="3" s="1"/>
  <c r="AC180" i="3"/>
  <c r="AE180" i="3" s="1"/>
  <c r="AQ200" i="3"/>
  <c r="Y209" i="3"/>
  <c r="Z209" i="3" s="1"/>
  <c r="AD210" i="3"/>
  <c r="AC210" i="3"/>
  <c r="AE210" i="3" s="1"/>
  <c r="AD214" i="3"/>
  <c r="AF220" i="3"/>
  <c r="AC220" i="3"/>
  <c r="AE220" i="3" s="1"/>
  <c r="AQ227" i="3"/>
  <c r="Y237" i="3"/>
  <c r="Z237" i="3" s="1"/>
  <c r="V237" i="3"/>
  <c r="W237" i="3" s="1"/>
  <c r="AP238" i="3"/>
  <c r="AF244" i="3"/>
  <c r="AD244" i="3"/>
  <c r="AC244" i="3"/>
  <c r="AE244" i="3" s="1"/>
  <c r="AQ245" i="3"/>
  <c r="AP245" i="3"/>
  <c r="V247" i="3"/>
  <c r="W247" i="3" s="1"/>
  <c r="AF251" i="3"/>
  <c r="AD253" i="3"/>
  <c r="AC254" i="3"/>
  <c r="AE254" i="3" s="1"/>
  <c r="V259" i="3"/>
  <c r="W259" i="3" s="1"/>
  <c r="AP261" i="3"/>
  <c r="AF263" i="3"/>
  <c r="AD265" i="3"/>
  <c r="AC266" i="3"/>
  <c r="AE266" i="3" s="1"/>
  <c r="V271" i="3"/>
  <c r="W271" i="3" s="1"/>
  <c r="AP273" i="3"/>
  <c r="AF275" i="3"/>
  <c r="AD277" i="3"/>
  <c r="AC278" i="3"/>
  <c r="AE278" i="3" s="1"/>
  <c r="V283" i="3"/>
  <c r="W283" i="3" s="1"/>
  <c r="AP285" i="3"/>
  <c r="AF287" i="3"/>
  <c r="AD289" i="3"/>
  <c r="AC290" i="3"/>
  <c r="AE290" i="3" s="1"/>
  <c r="V295" i="3"/>
  <c r="W295" i="3" s="1"/>
  <c r="AP297" i="3"/>
  <c r="AF299" i="3"/>
  <c r="AC302" i="3"/>
  <c r="AE302" i="3" s="1"/>
  <c r="V307" i="3"/>
  <c r="W307" i="3" s="1"/>
  <c r="AP309" i="3"/>
  <c r="AF311" i="3"/>
  <c r="AC314" i="3"/>
  <c r="AE314" i="3" s="1"/>
  <c r="Y317" i="3"/>
  <c r="Z317" i="3" s="1"/>
  <c r="V319" i="3"/>
  <c r="W319" i="3" s="1"/>
  <c r="AP321" i="3"/>
  <c r="AF323" i="3"/>
  <c r="AC326" i="3"/>
  <c r="AE326" i="3" s="1"/>
  <c r="Y329" i="3"/>
  <c r="Z329" i="3" s="1"/>
  <c r="V331" i="3"/>
  <c r="W331" i="3" s="1"/>
  <c r="AP333" i="3"/>
  <c r="AF335" i="3"/>
  <c r="AC338" i="3"/>
  <c r="AE338" i="3" s="1"/>
  <c r="Y341" i="3"/>
  <c r="Z341" i="3" s="1"/>
  <c r="V343" i="3"/>
  <c r="W343" i="3" s="1"/>
  <c r="AP345" i="3"/>
  <c r="AC350" i="3"/>
  <c r="AE350" i="3" s="1"/>
  <c r="AD254" i="3"/>
  <c r="V260" i="3"/>
  <c r="W260" i="3" s="1"/>
  <c r="AD266" i="3"/>
  <c r="V272" i="3"/>
  <c r="W272" i="3" s="1"/>
  <c r="AD278" i="3"/>
  <c r="V284" i="3"/>
  <c r="W284" i="3" s="1"/>
  <c r="AD290" i="3"/>
  <c r="V296" i="3"/>
  <c r="W296" i="3" s="1"/>
  <c r="AD302" i="3"/>
  <c r="V308" i="3"/>
  <c r="W308" i="3" s="1"/>
  <c r="AD314" i="3"/>
  <c r="V320" i="3"/>
  <c r="W320" i="3" s="1"/>
  <c r="AF324" i="3"/>
  <c r="AD326" i="3"/>
  <c r="V332" i="3"/>
  <c r="W332" i="3" s="1"/>
  <c r="AF336" i="3"/>
  <c r="AD338" i="3"/>
  <c r="AC339" i="3"/>
  <c r="AE339" i="3" s="1"/>
  <c r="V344" i="3"/>
  <c r="W344" i="3" s="1"/>
  <c r="AP346" i="3"/>
  <c r="AF348" i="3"/>
  <c r="AD350" i="3"/>
  <c r="AC351" i="3"/>
  <c r="AE351" i="3" s="1"/>
  <c r="AD351" i="3"/>
  <c r="AC257" i="3"/>
  <c r="AE257" i="3" s="1"/>
  <c r="AC269" i="3"/>
  <c r="AE269" i="3" s="1"/>
  <c r="AP276" i="3"/>
  <c r="AC281" i="3"/>
  <c r="AE281" i="3" s="1"/>
  <c r="AP288" i="3"/>
  <c r="AC293" i="3"/>
  <c r="AE293" i="3" s="1"/>
  <c r="AP300" i="3"/>
  <c r="AC305" i="3"/>
  <c r="AE305" i="3" s="1"/>
  <c r="AP312" i="3"/>
  <c r="AC317" i="3"/>
  <c r="AE317" i="3" s="1"/>
  <c r="AP324" i="3"/>
  <c r="AC329" i="3"/>
  <c r="AE329" i="3" s="1"/>
  <c r="V334" i="3"/>
  <c r="W334" i="3" s="1"/>
  <c r="AP336" i="3"/>
  <c r="AC341" i="3"/>
  <c r="AE341" i="3" s="1"/>
  <c r="V346" i="3"/>
  <c r="W346" i="3" s="1"/>
  <c r="AP348" i="3"/>
  <c r="AD281" i="3"/>
  <c r="AD293" i="3"/>
  <c r="AD305" i="3"/>
  <c r="AD317" i="3"/>
  <c r="AD329" i="3"/>
  <c r="AD341" i="3"/>
  <c r="V347" i="3"/>
  <c r="W347" i="3" s="1"/>
  <c r="AP349" i="3"/>
  <c r="V324" i="3"/>
  <c r="W324" i="3" s="1"/>
  <c r="AP326" i="3"/>
  <c r="AD330" i="3"/>
  <c r="AC331" i="3"/>
  <c r="AE331" i="3" s="1"/>
  <c r="V336" i="3"/>
  <c r="W336" i="3" s="1"/>
  <c r="AP338" i="3"/>
  <c r="AD342" i="3"/>
  <c r="AC343" i="3"/>
  <c r="AE343" i="3" s="1"/>
  <c r="V348" i="3"/>
  <c r="W348" i="3" s="1"/>
  <c r="AP350" i="3"/>
  <c r="V205" i="3"/>
  <c r="W205" i="3" s="1"/>
  <c r="V217" i="3"/>
  <c r="W217" i="3" s="1"/>
  <c r="AC224" i="3"/>
  <c r="AE224" i="3" s="1"/>
  <c r="AP255" i="3"/>
  <c r="AC260" i="3"/>
  <c r="AE260" i="3" s="1"/>
  <c r="AP267" i="3"/>
  <c r="AC272" i="3"/>
  <c r="AE272" i="3" s="1"/>
  <c r="AP279" i="3"/>
  <c r="AC284" i="3"/>
  <c r="AE284" i="3" s="1"/>
  <c r="AP291" i="3"/>
  <c r="AC296" i="3"/>
  <c r="AE296" i="3" s="1"/>
  <c r="AP303" i="3"/>
  <c r="AC308" i="3"/>
  <c r="AE308" i="3" s="1"/>
  <c r="AP315" i="3"/>
  <c r="AC320" i="3"/>
  <c r="AE320" i="3" s="1"/>
  <c r="AD343" i="3"/>
  <c r="V349" i="3"/>
  <c r="W349" i="3" s="1"/>
  <c r="AP351" i="3"/>
  <c r="V254" i="3"/>
  <c r="W254" i="3" s="1"/>
  <c r="AD260" i="3"/>
  <c r="V266" i="3"/>
  <c r="W266" i="3" s="1"/>
  <c r="AD272" i="3"/>
  <c r="V278" i="3"/>
  <c r="W278" i="3" s="1"/>
  <c r="AD284" i="3"/>
  <c r="AC285" i="3"/>
  <c r="AE285" i="3" s="1"/>
  <c r="V290" i="3"/>
  <c r="W290" i="3" s="1"/>
  <c r="AD296" i="3"/>
  <c r="AC297" i="3"/>
  <c r="AE297" i="3" s="1"/>
  <c r="V302" i="3"/>
  <c r="W302" i="3" s="1"/>
  <c r="AD308" i="3"/>
  <c r="AC309" i="3"/>
  <c r="AE309" i="3" s="1"/>
  <c r="V314" i="3"/>
  <c r="W314" i="3" s="1"/>
  <c r="AD320" i="3"/>
  <c r="AC321" i="3"/>
  <c r="AE321" i="3" s="1"/>
  <c r="V326" i="3"/>
  <c r="W326" i="3" s="1"/>
  <c r="AC333" i="3"/>
  <c r="AE333" i="3" s="1"/>
  <c r="V338" i="3"/>
  <c r="W338" i="3" s="1"/>
  <c r="AP340" i="3"/>
  <c r="AC345" i="3"/>
  <c r="AE345" i="3" s="1"/>
  <c r="AD345" i="3"/>
  <c r="AP222" i="3"/>
  <c r="AC227" i="3"/>
  <c r="AE227" i="3" s="1"/>
  <c r="AP234" i="3"/>
  <c r="AC239" i="3"/>
  <c r="AE239" i="3" s="1"/>
  <c r="AP246" i="3"/>
  <c r="AC251" i="3"/>
  <c r="AE251" i="3" s="1"/>
  <c r="AP258" i="3"/>
  <c r="AC263" i="3"/>
  <c r="AE263" i="3" s="1"/>
  <c r="AP270" i="3"/>
  <c r="AC275" i="3"/>
  <c r="AE275" i="3" s="1"/>
  <c r="AP282" i="3"/>
  <c r="AC287" i="3"/>
  <c r="AE287" i="3" s="1"/>
  <c r="AP294" i="3"/>
  <c r="AC299" i="3"/>
  <c r="AE299" i="3" s="1"/>
  <c r="AP306" i="3"/>
  <c r="AC311" i="3"/>
  <c r="AE311" i="3" s="1"/>
  <c r="AP318" i="3"/>
  <c r="AC323" i="3"/>
  <c r="AE323" i="3" s="1"/>
  <c r="AP330" i="3"/>
  <c r="AC335" i="3"/>
  <c r="AE335" i="3" s="1"/>
  <c r="AP353" i="3" l="1"/>
  <c r="AP355" i="3" s="1"/>
  <c r="AF354" i="3"/>
  <c r="AF355" i="3" s="1"/>
  <c r="Z354" i="3"/>
  <c r="Z355" i="3" s="1"/>
  <c r="T353" i="1"/>
  <c r="T355" i="1" s="1"/>
  <c r="AC353" i="3"/>
  <c r="AC354" i="3"/>
  <c r="AC355" i="3" s="1"/>
</calcChain>
</file>

<file path=xl/sharedStrings.xml><?xml version="1.0" encoding="utf-8"?>
<sst xmlns="http://schemas.openxmlformats.org/spreadsheetml/2006/main" count="900" uniqueCount="167">
  <si>
    <t>Opção 3 de equação</t>
  </si>
  <si>
    <t>Opção 4 de equação</t>
  </si>
  <si>
    <t>A1</t>
  </si>
  <si>
    <t>A2</t>
  </si>
  <si>
    <t>A3</t>
  </si>
  <si>
    <t>A4</t>
  </si>
  <si>
    <t>A5</t>
  </si>
  <si>
    <t>A6</t>
  </si>
  <si>
    <t>Autor</t>
  </si>
  <si>
    <t>Inputs</t>
  </si>
  <si>
    <t>Output</t>
  </si>
  <si>
    <t>Diâmetro da armadura (mm)</t>
  </si>
  <si>
    <r>
      <rPr>
        <sz val="11"/>
        <color theme="1"/>
        <rFont val="Aptos Narrow"/>
        <family val="2"/>
        <charset val="1"/>
      </rPr>
      <t>Resistência do aço - f</t>
    </r>
    <r>
      <rPr>
        <vertAlign val="subscript"/>
        <sz val="11"/>
        <color theme="1"/>
        <rFont val="Aptos Narrow"/>
        <family val="2"/>
        <charset val="1"/>
      </rPr>
      <t>y</t>
    </r>
    <r>
      <rPr>
        <sz val="11"/>
        <color theme="1"/>
        <rFont val="Aptos Narrow"/>
        <family val="2"/>
        <charset val="1"/>
      </rPr>
      <t xml:space="preserve"> (MPa)</t>
    </r>
  </si>
  <si>
    <t>Número de barras em uma camada</t>
  </si>
  <si>
    <t>Espaçamento entre as barras (mm)</t>
  </si>
  <si>
    <t>Resistência à tração do concreto (MPa)</t>
  </si>
  <si>
    <t>Cobrimento (mm)</t>
  </si>
  <si>
    <t>Distância ao centro de gravidade da armadura  (mm)</t>
  </si>
  <si>
    <t>Taxa de armadura</t>
  </si>
  <si>
    <t>Tensão na armadura menos tension stiffening (MPa)</t>
  </si>
  <si>
    <t>w (mm)</t>
  </si>
  <si>
    <t>Deformação na armadura menos tension stiffening (MPa)</t>
  </si>
  <si>
    <t>Viga S200-1.76-20 - Sokolov et al  (2021)</t>
  </si>
  <si>
    <t>Viga S600-0.37-10 - Sokolov et al  (2021)</t>
  </si>
  <si>
    <t>Viga V1 - Oliveira (2007)</t>
  </si>
  <si>
    <t>Viga V2 - Oliveira (2007)</t>
  </si>
  <si>
    <t>Viga T1F000 - Silva Neto (2017)</t>
  </si>
  <si>
    <t>Viga 12-20-00 - Caldentey et al (2013)</t>
  </si>
  <si>
    <t>Viga 25-20-00 - Caldentey et al (2013)</t>
  </si>
  <si>
    <t>Viga 12-20-10 - Caldentey et al (2013)</t>
  </si>
  <si>
    <t>Viga 12-20-30 - Caldentey et al (2013)</t>
  </si>
  <si>
    <t>Viga 12-70-00 - Caldentey et al (2013)</t>
  </si>
  <si>
    <t>Viga 12-70-10 - Caldentey et al (2013)</t>
  </si>
  <si>
    <t>Viga 12-70-30 - Caldentey et al (2013)</t>
  </si>
  <si>
    <t>Viga 25-20-10 - Caldentey et al (2013)</t>
  </si>
  <si>
    <t>Viga 25-20-30 - Caldentey et al (2013)</t>
  </si>
  <si>
    <t>Viga 25-70-00 - Caldentey et al (2013)</t>
  </si>
  <si>
    <t>Viga 25-70-10 - Caldentey et al (2013)</t>
  </si>
  <si>
    <t>Viga 25-70-30 - Caldentey et al (2013)</t>
  </si>
  <si>
    <t>Viga RS1 - Harajlí e Naamam (1985)</t>
  </si>
  <si>
    <t>Viga RS2 - Harajlí e Naamam (1985)</t>
  </si>
  <si>
    <t>Viga RS3 - Harajlí e Naamam (1985)</t>
  </si>
  <si>
    <t>Viga B1-a - Gilbert e Nejadi (2004)</t>
  </si>
  <si>
    <t>Viga B1-b - Gilbert e Nejadi (2004)</t>
  </si>
  <si>
    <t>Viga B2-a - Gilbert e Nejadi (2004)</t>
  </si>
  <si>
    <t>Viga B2-b - Gilbert e Nejadi (2004)</t>
  </si>
  <si>
    <t>Viga B3-a - Gilbert e Nejadi (2004)</t>
  </si>
  <si>
    <t>Viga B3-b - Gilbert e Nejadi (2004)</t>
  </si>
  <si>
    <t>Laje S1-a - Gilbert e Nejadi (2004)</t>
  </si>
  <si>
    <t>Laje S1-b - Gilbert e Nejadi (2004)</t>
  </si>
  <si>
    <t>Laje S2-a - Gilbert e Nejadi (2004)</t>
  </si>
  <si>
    <t>Laje S2-b - Gilbert e Nejadi (2004)</t>
  </si>
  <si>
    <t>Laje S3-a - Gilbert e Nejadi (2004)</t>
  </si>
  <si>
    <t>Laje S3-b - Gilbert e Nejadi (2004)</t>
  </si>
  <si>
    <t>Viga 250-10-1 - Cornelissen (2022)</t>
  </si>
  <si>
    <t>Viga 250-10-2 - Cornelissen (2022)</t>
  </si>
  <si>
    <t>Viga 250-20-2 - Cornelissen (2022)</t>
  </si>
  <si>
    <t>Viga 250-20-3 - Cornelissen (2022)</t>
  </si>
  <si>
    <t>Viga 350-10-1 - Cornelissen (2022)</t>
  </si>
  <si>
    <t>Viga 350-10-2 - Cornelissen (2022)</t>
  </si>
  <si>
    <t>Viga 350-10-3 - Cornelissen (2022)</t>
  </si>
  <si>
    <t>Viga 350-20-1 - Cornelissen (2022)</t>
  </si>
  <si>
    <t>Viga 350-20-2 - Cornelissen (2022)</t>
  </si>
  <si>
    <t>Viga 350-20-3 - Cornelissen (2022)</t>
  </si>
  <si>
    <t>Viga G2 - Makhlouf e Malhas (1996)</t>
  </si>
  <si>
    <t>Viga G3 - Makhlouf e Malhas (1996)</t>
  </si>
  <si>
    <t>Viga C1 - Kumar et al. (2007)</t>
  </si>
  <si>
    <t>Viga C2 - Kumar et al. (2007)</t>
  </si>
  <si>
    <t>Viga C3 - Kumar et al. (2007)</t>
  </si>
  <si>
    <t>Viga CS1 - Kumar et al. (2007)</t>
  </si>
  <si>
    <t>Viga CS2 - Kumar et al. (2007)</t>
  </si>
  <si>
    <t>Viga CS3 - Kumar et al. (2007)</t>
  </si>
  <si>
    <t>Viga B6 - Maghsoudi e Sharifi (2008)</t>
  </si>
  <si>
    <t>Viga F29-2D16-10A - Hong et al (2013)</t>
  </si>
  <si>
    <t>Viga F29-2D16-10B - Hong et al (2013)</t>
  </si>
  <si>
    <t>Viga F29-2D16-10C - Hong et al (2013)</t>
  </si>
  <si>
    <t>Viga F29-2D16-10D - Hong et al (2013)</t>
  </si>
  <si>
    <t>Viga F30-2D13-10 - Hong et al (2013)</t>
  </si>
  <si>
    <t>Viga F30-2D13-20 - Hong et al (2013)</t>
  </si>
  <si>
    <t>Viga F30-2D16-10 - Hong et al (2013)</t>
  </si>
  <si>
    <t>Viga F30-2D16-20 - Hong et al (2013)</t>
  </si>
  <si>
    <t>Viga F30-2D19-10 - Hong et al (2013)</t>
  </si>
  <si>
    <t>Viga F30-2D19-20 - Hong et al (2013)</t>
  </si>
  <si>
    <t>Viga F37-2D16-10 - Hong et al (2013)</t>
  </si>
  <si>
    <t>Viga F37-2D16-20 - Hong et al (2013)</t>
  </si>
  <si>
    <t>Viga F37-2D19-10 - Hong et al (2013)</t>
  </si>
  <si>
    <t>Viga F37-2D19-20 - Hong et al (2013)</t>
  </si>
  <si>
    <t>Viga 15-6-6-1 - Clark (1956)</t>
  </si>
  <si>
    <t>Viga 15-6-6-2 - Clark (1956)</t>
  </si>
  <si>
    <t>Viga 15-6-6-3 - Clark (1956)</t>
  </si>
  <si>
    <t>Viga 15-6-7-1 - Clark (1956)</t>
  </si>
  <si>
    <t>Viga 15-6-7-2 - Clark (1956)</t>
  </si>
  <si>
    <t>Viga 15-6-7-3 - Clark (1956)</t>
  </si>
  <si>
    <t>Viga 15-6-7-4 - Clark (1956)</t>
  </si>
  <si>
    <t>Viga 15-6-7-5 - Clark (1956)</t>
  </si>
  <si>
    <t>Viga 15-6-9-1 - Clark (1956)</t>
  </si>
  <si>
    <t>Viga 15-6-9-2 - Clark (1956)</t>
  </si>
  <si>
    <t>Viga 15-6-9-3 - Clark (1956)</t>
  </si>
  <si>
    <t>Viga 15-6-9-4 - Clark (1956)</t>
  </si>
  <si>
    <t>Viga 15-6-9-5 - Clark (1956)</t>
  </si>
  <si>
    <t>Viga 15-6-10-1 - Clark (1956)</t>
  </si>
  <si>
    <t>Viga 15-6-10-2 - Clark (1956)</t>
  </si>
  <si>
    <t>Viga 23-6-9-1 - Clark (1956)</t>
  </si>
  <si>
    <t>Viga 23-6-9-2 - Clark (1956)</t>
  </si>
  <si>
    <t>Viga 23-6-11-2 - Clark (1956)</t>
  </si>
  <si>
    <t>Viga 23-6-11-3 - Clark (1956)</t>
  </si>
  <si>
    <t>média</t>
  </si>
  <si>
    <t>DevioPad</t>
  </si>
  <si>
    <t>CoV</t>
  </si>
  <si>
    <t>Diâmetro da armadura f (mm)</t>
  </si>
  <si>
    <t>Resistência à tração do concreto fctm (MPa)</t>
  </si>
  <si>
    <t>Cobrimento c (mm)</t>
  </si>
  <si>
    <t>Distância ao centro de gravidade da armadura d' (mm)</t>
  </si>
  <si>
    <t>Taxa de armadura r</t>
  </si>
  <si>
    <t>Tensão na armadura (MPa)</t>
  </si>
  <si>
    <t>wexp (mm)</t>
  </si>
  <si>
    <t>Equações (13) e (15) do artigo Flexural cracking behavior and parametric analysis of steel-UHPC composite decks without longitudinal ribs (sem Tension stiffening). w=A1*(A2+A3*ft/(ro*Sigmas))*eps*(A4*c+A5*fi/ro)*(h-xii)/(h-xii-dl)</t>
  </si>
  <si>
    <t>Equações (13) e (15) do artigo Flexural cracking behavior and parametric analysis of steel-UHPC composite decks without longitudinal ribs (sem Tension stiffening) + proposta de correção por fy. w=A1*(A2+A3*ft/(ro*Sigmas))*(A4*c+A5*fi/ro)*(Sigmas**A6/200000)*(h-xii)/(h-xii-dl)+(Sigmas-fy/A7)*(A4*c+A5*fi/ro)/200000</t>
  </si>
  <si>
    <t>A7</t>
  </si>
  <si>
    <t>Largura da viga - b (mm)</t>
  </si>
  <si>
    <t>Altura da viga - h (mm)</t>
  </si>
  <si>
    <r>
      <rPr>
        <sz val="10"/>
        <rFont val="Arial"/>
        <family val="2"/>
        <charset val="1"/>
      </rPr>
      <t>Área de aço tracionada - A</t>
    </r>
    <r>
      <rPr>
        <vertAlign val="subscript"/>
        <sz val="10"/>
        <rFont val="Arial"/>
        <family val="2"/>
        <charset val="1"/>
      </rPr>
      <t>s</t>
    </r>
    <r>
      <rPr>
        <sz val="10"/>
        <rFont val="Arial"/>
        <family val="2"/>
        <charset val="1"/>
      </rPr>
      <t xml:space="preserve"> (mm</t>
    </r>
    <r>
      <rPr>
        <vertAlign val="super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>)</t>
    </r>
  </si>
  <si>
    <r>
      <rPr>
        <sz val="10"/>
        <rFont val="Arial"/>
        <family val="2"/>
        <charset val="1"/>
      </rPr>
      <t>Área de concreto efetiva - A</t>
    </r>
    <r>
      <rPr>
        <vertAlign val="subscript"/>
        <sz val="10"/>
        <rFont val="Arial"/>
        <family val="2"/>
        <charset val="1"/>
      </rPr>
      <t>ce</t>
    </r>
    <r>
      <rPr>
        <sz val="10"/>
        <rFont val="Arial"/>
        <family val="2"/>
        <charset val="1"/>
      </rPr>
      <t xml:space="preserve"> (mm</t>
    </r>
    <r>
      <rPr>
        <vertAlign val="super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>)</t>
    </r>
  </si>
  <si>
    <r>
      <rPr>
        <sz val="10"/>
        <rFont val="Arial"/>
        <family val="2"/>
        <charset val="1"/>
      </rPr>
      <t>Linha neutra no Estádio II - X</t>
    </r>
    <r>
      <rPr>
        <vertAlign val="subscript"/>
        <sz val="10"/>
        <rFont val="Arial"/>
        <family val="2"/>
        <charset val="1"/>
      </rPr>
      <t>II</t>
    </r>
    <r>
      <rPr>
        <sz val="10"/>
        <rFont val="Arial"/>
        <family val="2"/>
        <charset val="1"/>
      </rPr>
      <t xml:space="preserve"> (mm)</t>
    </r>
  </si>
  <si>
    <r>
      <rPr>
        <sz val="11"/>
        <color theme="1"/>
        <rFont val="Aptos Narrow"/>
        <family val="2"/>
        <charset val="1"/>
      </rPr>
      <t>Momento fletor - M</t>
    </r>
    <r>
      <rPr>
        <vertAlign val="subscript"/>
        <sz val="11"/>
        <color theme="1"/>
        <rFont val="Aptos Narrow"/>
        <family val="2"/>
        <charset val="1"/>
      </rPr>
      <t>s</t>
    </r>
    <r>
      <rPr>
        <sz val="11"/>
        <color theme="1"/>
        <rFont val="Aptos Narrow"/>
        <family val="2"/>
        <charset val="1"/>
      </rPr>
      <t xml:space="preserve"> (kNm)</t>
    </r>
  </si>
  <si>
    <t>Deformação na armadura menos tension stiffening</t>
  </si>
  <si>
    <t>resíduo</t>
  </si>
  <si>
    <t>Erro</t>
  </si>
  <si>
    <r>
      <rPr>
        <sz val="11"/>
        <color theme="1"/>
        <rFont val="Aptos Narrow"/>
        <family val="2"/>
        <charset val="1"/>
      </rPr>
      <t>w</t>
    </r>
    <r>
      <rPr>
        <vertAlign val="subscript"/>
        <sz val="11"/>
        <color theme="1"/>
        <rFont val="Aptos Narrow"/>
        <family val="2"/>
        <charset val="1"/>
      </rPr>
      <t>pred</t>
    </r>
    <r>
      <rPr>
        <sz val="11"/>
        <color theme="1"/>
        <rFont val="Aptos Narrow"/>
        <family val="2"/>
        <charset val="1"/>
      </rPr>
      <t>*Erro/w</t>
    </r>
    <r>
      <rPr>
        <vertAlign val="subscript"/>
        <sz val="11"/>
        <color theme="1"/>
        <rFont val="Aptos Narrow"/>
        <family val="2"/>
        <charset val="1"/>
      </rPr>
      <t>obs</t>
    </r>
  </si>
  <si>
    <r>
      <rPr>
        <sz val="11"/>
        <color theme="1"/>
        <rFont val="Aptos Narrow"/>
        <family val="2"/>
        <charset val="1"/>
      </rPr>
      <t>Momento fletor  - M</t>
    </r>
    <r>
      <rPr>
        <vertAlign val="subscript"/>
        <sz val="11"/>
        <color theme="1"/>
        <rFont val="Aptos Narrow"/>
        <family val="2"/>
        <charset val="1"/>
      </rPr>
      <t>s</t>
    </r>
    <r>
      <rPr>
        <sz val="11"/>
        <color theme="1"/>
        <rFont val="Aptos Narrow"/>
        <family val="2"/>
        <charset val="1"/>
      </rPr>
      <t xml:space="preserve"> (kNm)</t>
    </r>
  </si>
  <si>
    <t>Deformação na armadura</t>
  </si>
  <si>
    <t>Altura efetiva - d (mm)</t>
  </si>
  <si>
    <t>Linha neutra no Estádio I - Xg (mm)</t>
  </si>
  <si>
    <t>Altura efetiva da fib 2020 - hc,ef (mm)</t>
  </si>
  <si>
    <t>fib Model Code 2010 - wmax</t>
  </si>
  <si>
    <r>
      <rPr>
        <sz val="11"/>
        <color theme="1"/>
        <rFont val="Aptos Narrow"/>
        <family val="2"/>
        <charset val="1"/>
      </rPr>
      <t xml:space="preserve">Tensão na armadura </t>
    </r>
    <r>
      <rPr>
        <sz val="11"/>
        <color theme="1"/>
        <rFont val="Symbol"/>
        <family val="1"/>
        <charset val="2"/>
      </rPr>
      <t xml:space="preserve"> s</t>
    </r>
    <r>
      <rPr>
        <vertAlign val="subscript"/>
        <sz val="13.2"/>
        <color theme="1"/>
        <rFont val="Aptos Narrow"/>
        <family val="2"/>
        <charset val="1"/>
      </rPr>
      <t xml:space="preserve">s </t>
    </r>
    <r>
      <rPr>
        <sz val="11"/>
        <color theme="1"/>
        <rFont val="Aptos Narrow"/>
        <family val="2"/>
        <charset val="1"/>
      </rPr>
      <t>(MPa)</t>
    </r>
  </si>
  <si>
    <r>
      <rPr>
        <sz val="11"/>
        <color theme="1"/>
        <rFont val="Aptos Narrow"/>
        <family val="2"/>
        <charset val="1"/>
      </rPr>
      <t xml:space="preserve">tensão na armadura no instante da fissuração do concreto </t>
    </r>
    <r>
      <rPr>
        <sz val="11"/>
        <color theme="1"/>
        <rFont val="Symbol"/>
        <family val="1"/>
        <charset val="2"/>
      </rPr>
      <t xml:space="preserve"> s</t>
    </r>
    <r>
      <rPr>
        <vertAlign val="subscript"/>
        <sz val="11"/>
        <color theme="1"/>
        <rFont val="Aptos Narrow"/>
        <family val="2"/>
        <charset val="1"/>
      </rPr>
      <t>sr</t>
    </r>
    <r>
      <rPr>
        <sz val="11"/>
        <color theme="1"/>
        <rFont val="Aptos Narrow"/>
        <family val="2"/>
        <charset val="1"/>
      </rPr>
      <t xml:space="preserve"> ( MPa)</t>
    </r>
  </si>
  <si>
    <t>wk/wexp</t>
  </si>
  <si>
    <t>fib Model Code 2020 - wmax</t>
  </si>
  <si>
    <r>
      <rPr>
        <sz val="11"/>
        <color theme="1"/>
        <rFont val="Aptos Narrow"/>
        <family val="2"/>
        <charset val="1"/>
      </rPr>
      <t>k</t>
    </r>
    <r>
      <rPr>
        <vertAlign val="subscript"/>
        <sz val="11"/>
        <color theme="1"/>
        <rFont val="Aptos Narrow"/>
        <family val="2"/>
        <charset val="1"/>
      </rPr>
      <t>1/r</t>
    </r>
  </si>
  <si>
    <r>
      <rPr>
        <sz val="11"/>
        <color theme="1"/>
        <rFont val="Aptos Narrow"/>
        <family val="2"/>
        <charset val="1"/>
      </rPr>
      <t>k</t>
    </r>
    <r>
      <rPr>
        <vertAlign val="subscript"/>
        <sz val="11"/>
        <color theme="1"/>
        <rFont val="Aptos Narrow"/>
        <family val="2"/>
        <charset val="1"/>
      </rPr>
      <t>fl</t>
    </r>
  </si>
  <si>
    <t>Eurocode 2 - wmax</t>
  </si>
  <si>
    <t>tensão na armadura no instante da fissuração do concreto (Sigmasr)  MPa</t>
  </si>
  <si>
    <t>NBR 6118 - wk1 - fissuração estabilizada</t>
  </si>
  <si>
    <t>NBR 6118 - wk2 - fissuração não estabilizada</t>
  </si>
  <si>
    <t>Taxa de armadura conforme MC2020</t>
  </si>
  <si>
    <t>Tensão na armadura menos tension stiffening variável (MPa)</t>
  </si>
  <si>
    <t>Output: w_exp (mm)</t>
  </si>
  <si>
    <t>fib Model Code 2020 (mm)</t>
  </si>
  <si>
    <t>fib Model Code 2020  com TS variável (mm)</t>
  </si>
  <si>
    <t>Norma Chinesa (mm)</t>
  </si>
  <si>
    <t>wexp_menos_wfib2020</t>
  </si>
  <si>
    <t>wexp_menos_wfib2020TS</t>
  </si>
  <si>
    <t>fib Model Code 2010</t>
  </si>
  <si>
    <t>Eurocode 2</t>
  </si>
  <si>
    <t>Clark (1956)</t>
  </si>
  <si>
    <t>Desayi;Ganesan (1985)</t>
  </si>
  <si>
    <t>Oh; Kang (1987)</t>
  </si>
  <si>
    <t>Caldas (1997)</t>
  </si>
  <si>
    <t>Gergely e Lutz (1968)</t>
  </si>
  <si>
    <t>Equação_15_do artigo de Belarbi e Hsu (1994)</t>
  </si>
  <si>
    <t>Beta conforme Fields e Bischoff (2004)</t>
  </si>
  <si>
    <t>slip de Yuan et al. (2025)</t>
  </si>
  <si>
    <t>slip de Biscaia e Soares (2020)</t>
  </si>
  <si>
    <r>
      <t>Área de aço tracionada - A</t>
    </r>
    <r>
      <rPr>
        <b/>
        <vertAlign val="subscript"/>
        <sz val="10"/>
        <rFont val="Times New Roman"/>
        <family val="1"/>
      </rPr>
      <t>s</t>
    </r>
    <r>
      <rPr>
        <b/>
        <sz val="10"/>
        <rFont val="Times New Roman"/>
        <family val="1"/>
      </rPr>
      <t xml:space="preserve"> (mm</t>
    </r>
    <r>
      <rPr>
        <b/>
        <vertAlign val="superscript"/>
        <sz val="10"/>
        <rFont val="Times New Roman"/>
        <family val="1"/>
      </rPr>
      <t>2</t>
    </r>
    <r>
      <rPr>
        <b/>
        <sz val="10"/>
        <rFont val="Times New Roman"/>
        <family val="1"/>
      </rPr>
      <t>)</t>
    </r>
  </si>
  <si>
    <r>
      <t>Resistência do aço - f</t>
    </r>
    <r>
      <rPr>
        <b/>
        <vertAlign val="subscript"/>
        <sz val="10"/>
        <color theme="1"/>
        <rFont val="Times New Roman"/>
        <family val="1"/>
      </rPr>
      <t>y</t>
    </r>
    <r>
      <rPr>
        <b/>
        <sz val="10"/>
        <color theme="1"/>
        <rFont val="Times New Roman"/>
        <family val="1"/>
      </rPr>
      <t xml:space="preserve"> (MPa)</t>
    </r>
  </si>
  <si>
    <r>
      <t>Momento fletor - M</t>
    </r>
    <r>
      <rPr>
        <b/>
        <vertAlign val="subscript"/>
        <sz val="10"/>
        <color theme="1"/>
        <rFont val="Times New Roman"/>
        <family val="1"/>
      </rPr>
      <t>s</t>
    </r>
    <r>
      <rPr>
        <b/>
        <sz val="10"/>
        <color theme="1"/>
        <rFont val="Times New Roman"/>
        <family val="1"/>
      </rPr>
      <t xml:space="preserve"> (kNm)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</si>
</sst>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"/>
    <numFmt numFmtId="166" formatCode="0.0000"/>
    <numFmt numFmtId="167" formatCode="0.000000"/>
  </numFmts>
  <fonts count="15" x14ac:knownFonts="1">
    <font>
      <sz val="11"/>
      <color theme="1"/>
      <name val="Aptos Narrow"/>
      <family val="2"/>
      <charset val="1"/>
    </font>
    <font>
      <vertAlign val="subscript"/>
      <sz val="11"/>
      <color theme="1"/>
      <name val="Aptos Narrow"/>
      <family val="2"/>
      <charset val="1"/>
    </font>
    <font>
      <sz val="10"/>
      <name val="Arial"/>
      <family val="2"/>
      <charset val="1"/>
    </font>
    <font>
      <vertAlign val="subscript"/>
      <sz val="10"/>
      <name val="Arial"/>
      <family val="2"/>
      <charset val="1"/>
    </font>
    <font>
      <vertAlign val="superscript"/>
      <sz val="10"/>
      <name val="Arial"/>
      <family val="2"/>
      <charset val="1"/>
    </font>
    <font>
      <sz val="11"/>
      <color theme="1"/>
      <name val="Symbol"/>
      <family val="1"/>
      <charset val="2"/>
    </font>
    <font>
      <vertAlign val="subscript"/>
      <sz val="13.2"/>
      <color theme="1"/>
      <name val="Aptos Narrow"/>
      <family val="2"/>
      <charset val="1"/>
    </font>
    <font>
      <sz val="11"/>
      <color theme="1"/>
      <name val="Aptos Narrow"/>
      <family val="2"/>
      <charset val="1"/>
    </font>
    <font>
      <b/>
      <sz val="10"/>
      <name val="Times New Roman"/>
      <family val="1"/>
    </font>
    <font>
      <b/>
      <vertAlign val="subscript"/>
      <sz val="10"/>
      <name val="Times New Roman"/>
      <family val="1"/>
    </font>
    <font>
      <b/>
      <vertAlign val="superscript"/>
      <sz val="10"/>
      <name val="Times New Roman"/>
      <family val="1"/>
    </font>
    <font>
      <b/>
      <sz val="10"/>
      <color theme="1"/>
      <name val="Times New Roman"/>
      <family val="1"/>
    </font>
    <font>
      <b/>
      <vertAlign val="subscript"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7" fillId="0" borderId="0" applyBorder="0" applyProtection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9" fontId="7" fillId="0" borderId="0" xfId="1" applyBorder="1" applyAlignment="1" applyProtection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center"/>
    </xf>
    <xf numFmtId="1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" fontId="8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2" fontId="13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sz="1400" b="0" strike="noStrike" spc="-1">
                <a:solidFill>
                  <a:srgbClr val="595959"/>
                </a:solidFill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'Sem TS MC2020'!$R$3:$R$343</c:f>
              <c:numCache>
                <c:formatCode>0.000000</c:formatCode>
                <c:ptCount val="341"/>
                <c:pt idx="0">
                  <c:v>1.1590550246936698E-3</c:v>
                </c:pt>
                <c:pt idx="1">
                  <c:v>1.5212597199104399E-3</c:v>
                </c:pt>
                <c:pt idx="2">
                  <c:v>1.5714111392481451E-3</c:v>
                </c:pt>
                <c:pt idx="3">
                  <c:v>1.8165958560102701E-3</c:v>
                </c:pt>
                <c:pt idx="4">
                  <c:v>2.2958205296816901E-3</c:v>
                </c:pt>
                <c:pt idx="5">
                  <c:v>2.5000000000000001E-3</c:v>
                </c:pt>
                <c:pt idx="6">
                  <c:v>1.6145985781890599E-3</c:v>
                </c:pt>
                <c:pt idx="7">
                  <c:v>1.8391046662039198E-3</c:v>
                </c:pt>
                <c:pt idx="8">
                  <c:v>2.5000000000000001E-3</c:v>
                </c:pt>
                <c:pt idx="9">
                  <c:v>1.4252401609235849E-3</c:v>
                </c:pt>
                <c:pt idx="10">
                  <c:v>1.62499823072232E-3</c:v>
                </c:pt>
                <c:pt idx="11">
                  <c:v>1.8382231366872652E-3</c:v>
                </c:pt>
                <c:pt idx="12">
                  <c:v>2.0536925153465798E-3</c:v>
                </c:pt>
                <c:pt idx="13">
                  <c:v>2.1928498223973848E-3</c:v>
                </c:pt>
                <c:pt idx="14">
                  <c:v>2.4913646907483099E-3</c:v>
                </c:pt>
                <c:pt idx="15">
                  <c:v>2.51380941769199E-3</c:v>
                </c:pt>
                <c:pt idx="16">
                  <c:v>2.6933672332414148E-3</c:v>
                </c:pt>
                <c:pt idx="17">
                  <c:v>3.14E-3</c:v>
                </c:pt>
                <c:pt idx="18">
                  <c:v>3.14E-3</c:v>
                </c:pt>
                <c:pt idx="19">
                  <c:v>1.6073593822129701E-3</c:v>
                </c:pt>
                <c:pt idx="20">
                  <c:v>1.78595486912552E-3</c:v>
                </c:pt>
                <c:pt idx="21">
                  <c:v>1.8529281767177249E-3</c:v>
                </c:pt>
                <c:pt idx="22">
                  <c:v>1.9645503560380699E-3</c:v>
                </c:pt>
                <c:pt idx="23">
                  <c:v>2.1208214070865547E-3</c:v>
                </c:pt>
                <c:pt idx="24">
                  <c:v>2.4556879450475903E-3</c:v>
                </c:pt>
                <c:pt idx="25">
                  <c:v>7.0020982798795503E-4</c:v>
                </c:pt>
                <c:pt idx="26">
                  <c:v>1.0079943677628799E-3</c:v>
                </c:pt>
                <c:pt idx="27">
                  <c:v>1.21959623885814E-3</c:v>
                </c:pt>
                <c:pt idx="28">
                  <c:v>1.5697011528521198E-3</c:v>
                </c:pt>
                <c:pt idx="29">
                  <c:v>2.081392950227935E-3</c:v>
                </c:pt>
                <c:pt idx="30">
                  <c:v>1.5021647812462049E-3</c:v>
                </c:pt>
                <c:pt idx="31">
                  <c:v>1.93135471874512E-3</c:v>
                </c:pt>
                <c:pt idx="32">
                  <c:v>2.5000000000000001E-3</c:v>
                </c:pt>
                <c:pt idx="33">
                  <c:v>2.5000000000000001E-3</c:v>
                </c:pt>
                <c:pt idx="34">
                  <c:v>2.5000000000000001E-3</c:v>
                </c:pt>
                <c:pt idx="35">
                  <c:v>5.3256327612997501E-4</c:v>
                </c:pt>
                <c:pt idx="36">
                  <c:v>9.5861389703395003E-4</c:v>
                </c:pt>
                <c:pt idx="37">
                  <c:v>1.38466451793793E-3</c:v>
                </c:pt>
                <c:pt idx="38">
                  <c:v>1.81071513884191E-3</c:v>
                </c:pt>
                <c:pt idx="39">
                  <c:v>2.1302531045198901E-3</c:v>
                </c:pt>
                <c:pt idx="40">
                  <c:v>2.5000000000000001E-3</c:v>
                </c:pt>
                <c:pt idx="41">
                  <c:v>1.06235563563045E-3</c:v>
                </c:pt>
                <c:pt idx="42">
                  <c:v>1.27482676275654E-3</c:v>
                </c:pt>
                <c:pt idx="43">
                  <c:v>1.4872978898826249E-3</c:v>
                </c:pt>
                <c:pt idx="44">
                  <c:v>1.9122401441348049E-3</c:v>
                </c:pt>
                <c:pt idx="45">
                  <c:v>2.5000000000000001E-3</c:v>
                </c:pt>
                <c:pt idx="46">
                  <c:v>1.06235563563045E-3</c:v>
                </c:pt>
                <c:pt idx="47">
                  <c:v>1.4872978898826249E-3</c:v>
                </c:pt>
                <c:pt idx="48">
                  <c:v>1.9122401441348049E-3</c:v>
                </c:pt>
                <c:pt idx="49">
                  <c:v>2.5000000000000001E-3</c:v>
                </c:pt>
                <c:pt idx="50">
                  <c:v>1.2259738524273299E-3</c:v>
                </c:pt>
                <c:pt idx="51">
                  <c:v>1.4711686229128E-3</c:v>
                </c:pt>
                <c:pt idx="52">
                  <c:v>9.6972907455206993E-4</c:v>
                </c:pt>
                <c:pt idx="53">
                  <c:v>1.2121613431900901E-3</c:v>
                </c:pt>
                <c:pt idx="54">
                  <c:v>1.45459361182811E-3</c:v>
                </c:pt>
                <c:pt idx="55">
                  <c:v>9.6972907455206993E-4</c:v>
                </c:pt>
                <c:pt idx="56">
                  <c:v>1.2121613431900901E-3</c:v>
                </c:pt>
                <c:pt idx="57">
                  <c:v>1.45459361182811E-3</c:v>
                </c:pt>
                <c:pt idx="58">
                  <c:v>1.054187746342945E-3</c:v>
                </c:pt>
                <c:pt idx="59">
                  <c:v>1.5812816195144199E-3</c:v>
                </c:pt>
                <c:pt idx="60">
                  <c:v>2.1083754926858951E-3</c:v>
                </c:pt>
                <c:pt idx="61">
                  <c:v>2.5000000000000001E-3</c:v>
                </c:pt>
                <c:pt idx="62">
                  <c:v>1.054187746342945E-3</c:v>
                </c:pt>
                <c:pt idx="63">
                  <c:v>1.5812816195144199E-3</c:v>
                </c:pt>
                <c:pt idx="64">
                  <c:v>2.1083754926858951E-3</c:v>
                </c:pt>
                <c:pt idx="65">
                  <c:v>2.5000000000000001E-3</c:v>
                </c:pt>
                <c:pt idx="66">
                  <c:v>6.1170382914861501E-4</c:v>
                </c:pt>
                <c:pt idx="67">
                  <c:v>1.22340765829723E-3</c:v>
                </c:pt>
                <c:pt idx="68">
                  <c:v>6.0453356856480004E-4</c:v>
                </c:pt>
                <c:pt idx="69">
                  <c:v>1.2090671371296001E-3</c:v>
                </c:pt>
                <c:pt idx="70">
                  <c:v>6.0453356856480004E-4</c:v>
                </c:pt>
                <c:pt idx="71">
                  <c:v>1.2090671371296001E-3</c:v>
                </c:pt>
                <c:pt idx="72">
                  <c:v>1.4773531582663001E-3</c:v>
                </c:pt>
                <c:pt idx="73">
                  <c:v>1.7193334169478449E-3</c:v>
                </c:pt>
                <c:pt idx="74">
                  <c:v>1.5162801261564848E-3</c:v>
                </c:pt>
                <c:pt idx="75">
                  <c:v>1.73905113995199E-3</c:v>
                </c:pt>
                <c:pt idx="76">
                  <c:v>2.0552422563068951E-3</c:v>
                </c:pt>
                <c:pt idx="77">
                  <c:v>1.4486746145782701E-3</c:v>
                </c:pt>
                <c:pt idx="78">
                  <c:v>1.8999011338731448E-3</c:v>
                </c:pt>
                <c:pt idx="79">
                  <c:v>9.2636982235082992E-4</c:v>
                </c:pt>
                <c:pt idx="80">
                  <c:v>1.05883798499845E-3</c:v>
                </c:pt>
                <c:pt idx="81">
                  <c:v>1.1913061476460701E-3</c:v>
                </c:pt>
                <c:pt idx="82">
                  <c:v>1.3235474812480601E-3</c:v>
                </c:pt>
                <c:pt idx="83">
                  <c:v>1.455788814850055E-3</c:v>
                </c:pt>
                <c:pt idx="84">
                  <c:v>1.5882569774976749E-3</c:v>
                </c:pt>
                <c:pt idx="85">
                  <c:v>1.7207251401452951E-3</c:v>
                </c:pt>
                <c:pt idx="86">
                  <c:v>1.8527396447016598E-3</c:v>
                </c:pt>
                <c:pt idx="87">
                  <c:v>1.05883798499845E-3</c:v>
                </c:pt>
                <c:pt idx="88">
                  <c:v>1.1913061476460701E-3</c:v>
                </c:pt>
                <c:pt idx="89">
                  <c:v>1.3235474812480601E-3</c:v>
                </c:pt>
                <c:pt idx="90">
                  <c:v>1.455788814850055E-3</c:v>
                </c:pt>
                <c:pt idx="91">
                  <c:v>1.5882569774976749E-3</c:v>
                </c:pt>
                <c:pt idx="92">
                  <c:v>1.7207251401452951E-3</c:v>
                </c:pt>
                <c:pt idx="93">
                  <c:v>1.8527396447016598E-3</c:v>
                </c:pt>
                <c:pt idx="94">
                  <c:v>1.05883798499845E-3</c:v>
                </c:pt>
                <c:pt idx="95">
                  <c:v>1.1913061476460701E-3</c:v>
                </c:pt>
                <c:pt idx="96">
                  <c:v>1.3235474812480601E-3</c:v>
                </c:pt>
                <c:pt idx="97">
                  <c:v>1.455788814850055E-3</c:v>
                </c:pt>
                <c:pt idx="98">
                  <c:v>1.5882569774976749E-3</c:v>
                </c:pt>
                <c:pt idx="99">
                  <c:v>1.7207251401452951E-3</c:v>
                </c:pt>
                <c:pt idx="100">
                  <c:v>1.8527396447016598E-3</c:v>
                </c:pt>
                <c:pt idx="101">
                  <c:v>9.2636982235082992E-4</c:v>
                </c:pt>
                <c:pt idx="102">
                  <c:v>1.05883798499845E-3</c:v>
                </c:pt>
                <c:pt idx="103">
                  <c:v>1.1913061476460701E-3</c:v>
                </c:pt>
                <c:pt idx="104">
                  <c:v>1.3235474812480601E-3</c:v>
                </c:pt>
                <c:pt idx="105">
                  <c:v>1.455788814850055E-3</c:v>
                </c:pt>
                <c:pt idx="106">
                  <c:v>1.5882569774976749E-3</c:v>
                </c:pt>
                <c:pt idx="107">
                  <c:v>1.7207251401452951E-3</c:v>
                </c:pt>
                <c:pt idx="108">
                  <c:v>1.8527396447016598E-3</c:v>
                </c:pt>
                <c:pt idx="109">
                  <c:v>1.1665234603218601E-3</c:v>
                </c:pt>
                <c:pt idx="110">
                  <c:v>1.2560194600459999E-3</c:v>
                </c:pt>
                <c:pt idx="111">
                  <c:v>1.3458230061609449E-3</c:v>
                </c:pt>
                <c:pt idx="112">
                  <c:v>1.4356265522758901E-3</c:v>
                </c:pt>
                <c:pt idx="113">
                  <c:v>1.5254300983908351E-3</c:v>
                </c:pt>
                <c:pt idx="114">
                  <c:v>1.2560194600459999E-3</c:v>
                </c:pt>
                <c:pt idx="115">
                  <c:v>1.3458230061609449E-3</c:v>
                </c:pt>
                <c:pt idx="116">
                  <c:v>1.4356265522758901E-3</c:v>
                </c:pt>
                <c:pt idx="117">
                  <c:v>1.5254300983908351E-3</c:v>
                </c:pt>
                <c:pt idx="118">
                  <c:v>8.8143086760133994E-4</c:v>
                </c:pt>
                <c:pt idx="119">
                  <c:v>1.2117315139187599E-3</c:v>
                </c:pt>
                <c:pt idx="120">
                  <c:v>1.54203216023618E-3</c:v>
                </c:pt>
                <c:pt idx="121">
                  <c:v>1.2117315139187599E-3</c:v>
                </c:pt>
                <c:pt idx="122">
                  <c:v>1.54203216023618E-3</c:v>
                </c:pt>
                <c:pt idx="123">
                  <c:v>1.0438986964465199E-3</c:v>
                </c:pt>
                <c:pt idx="124">
                  <c:v>1.2675000084148649E-3</c:v>
                </c:pt>
                <c:pt idx="125">
                  <c:v>1.4911013203832149E-3</c:v>
                </c:pt>
                <c:pt idx="126">
                  <c:v>1.0438986964465199E-3</c:v>
                </c:pt>
                <c:pt idx="127">
                  <c:v>1.2675000084148649E-3</c:v>
                </c:pt>
                <c:pt idx="128">
                  <c:v>1.4911013203832149E-3</c:v>
                </c:pt>
                <c:pt idx="129">
                  <c:v>1.1322765133288E-3</c:v>
                </c:pt>
                <c:pt idx="130">
                  <c:v>1.3020694780524801E-3</c:v>
                </c:pt>
                <c:pt idx="131">
                  <c:v>1.4718624427761651E-3</c:v>
                </c:pt>
                <c:pt idx="132">
                  <c:v>1.1322765133288E-3</c:v>
                </c:pt>
                <c:pt idx="133">
                  <c:v>1.3020694780524801E-3</c:v>
                </c:pt>
                <c:pt idx="134">
                  <c:v>1.4718624427761651E-3</c:v>
                </c:pt>
                <c:pt idx="135">
                  <c:v>1.370718161063655E-3</c:v>
                </c:pt>
                <c:pt idx="136">
                  <c:v>1.471014611873195E-3</c:v>
                </c:pt>
                <c:pt idx="137">
                  <c:v>1.584683922790665E-3</c:v>
                </c:pt>
                <c:pt idx="138">
                  <c:v>1.684980373600205E-3</c:v>
                </c:pt>
                <c:pt idx="139">
                  <c:v>1.798649684517675E-3</c:v>
                </c:pt>
                <c:pt idx="140">
                  <c:v>1.89894613532721E-3</c:v>
                </c:pt>
                <c:pt idx="141">
                  <c:v>2.019301876298655E-3</c:v>
                </c:pt>
                <c:pt idx="142">
                  <c:v>1.257048850146185E-3</c:v>
                </c:pt>
                <c:pt idx="143">
                  <c:v>1.370718161063655E-3</c:v>
                </c:pt>
                <c:pt idx="144">
                  <c:v>1.47770104192716E-3</c:v>
                </c:pt>
                <c:pt idx="145">
                  <c:v>1.574654277709715E-3</c:v>
                </c:pt>
                <c:pt idx="146">
                  <c:v>1.684980373600205E-3</c:v>
                </c:pt>
                <c:pt idx="147">
                  <c:v>1.79530646949069E-3</c:v>
                </c:pt>
                <c:pt idx="148">
                  <c:v>1.8889164902462599E-3</c:v>
                </c:pt>
                <c:pt idx="149">
                  <c:v>1.9791832959748399E-3</c:v>
                </c:pt>
                <c:pt idx="150">
                  <c:v>1.0066634269547999E-3</c:v>
                </c:pt>
                <c:pt idx="151">
                  <c:v>1.1764073952510549E-3</c:v>
                </c:pt>
                <c:pt idx="152">
                  <c:v>1.3407050330137399E-3</c:v>
                </c:pt>
                <c:pt idx="153">
                  <c:v>1.5040949490208299E-3</c:v>
                </c:pt>
                <c:pt idx="154">
                  <c:v>1.66566942151673E-3</c:v>
                </c:pt>
                <c:pt idx="155">
                  <c:v>1.8317825027906051E-3</c:v>
                </c:pt>
                <c:pt idx="156">
                  <c:v>8.4871984148127491E-4</c:v>
                </c:pt>
                <c:pt idx="157">
                  <c:v>1.0093865922215851E-3</c:v>
                </c:pt>
                <c:pt idx="158">
                  <c:v>1.1736842299842698E-3</c:v>
                </c:pt>
                <c:pt idx="159">
                  <c:v>1.3361664242357652E-3</c:v>
                </c:pt>
                <c:pt idx="160">
                  <c:v>1.5050026707764249E-3</c:v>
                </c:pt>
                <c:pt idx="161">
                  <c:v>1.66566942151673E-3</c:v>
                </c:pt>
                <c:pt idx="162">
                  <c:v>1.743733492497895E-3</c:v>
                </c:pt>
                <c:pt idx="163">
                  <c:v>1.55154926787369E-3</c:v>
                </c:pt>
                <c:pt idx="164">
                  <c:v>1.651434413874145E-3</c:v>
                </c:pt>
                <c:pt idx="165">
                  <c:v>1.6714114430742351E-3</c:v>
                </c:pt>
                <c:pt idx="166">
                  <c:v>1.7557588996968401E-3</c:v>
                </c:pt>
                <c:pt idx="167">
                  <c:v>1.8134703173859899E-3</c:v>
                </c:pt>
                <c:pt idx="168">
                  <c:v>1.877840744808505E-3</c:v>
                </c:pt>
                <c:pt idx="169">
                  <c:v>1.935552162497655E-3</c:v>
                </c:pt>
                <c:pt idx="170">
                  <c:v>2.0043619297424103E-3</c:v>
                </c:pt>
                <c:pt idx="171">
                  <c:v>1.54489025814033E-3</c:v>
                </c:pt>
                <c:pt idx="172">
                  <c:v>1.6114803554739649E-3</c:v>
                </c:pt>
                <c:pt idx="173">
                  <c:v>1.6736311129853551E-3</c:v>
                </c:pt>
                <c:pt idx="174">
                  <c:v>1.73800154040787E-3</c:v>
                </c:pt>
                <c:pt idx="175">
                  <c:v>1.8068113076526251E-3</c:v>
                </c:pt>
                <c:pt idx="176">
                  <c:v>1.877840744808505E-3</c:v>
                </c:pt>
                <c:pt idx="177">
                  <c:v>1.9422111722310149E-3</c:v>
                </c:pt>
                <c:pt idx="178">
                  <c:v>1.9999225899201651E-3</c:v>
                </c:pt>
                <c:pt idx="179">
                  <c:v>1.6181393652073251E-3</c:v>
                </c:pt>
                <c:pt idx="180">
                  <c:v>1.68250979262984E-3</c:v>
                </c:pt>
                <c:pt idx="181">
                  <c:v>1.7735162589858099E-3</c:v>
                </c:pt>
                <c:pt idx="182">
                  <c:v>1.8267883368527152E-3</c:v>
                </c:pt>
                <c:pt idx="183">
                  <c:v>1.877840744808505E-3</c:v>
                </c:pt>
                <c:pt idx="184">
                  <c:v>1.9333324925865302E-3</c:v>
                </c:pt>
                <c:pt idx="185">
                  <c:v>2.0065815996535303E-3</c:v>
                </c:pt>
                <c:pt idx="186">
                  <c:v>1.12468244711666E-3</c:v>
                </c:pt>
                <c:pt idx="187">
                  <c:v>1.2994882015420601E-3</c:v>
                </c:pt>
                <c:pt idx="188">
                  <c:v>1.4737013940880549E-3</c:v>
                </c:pt>
                <c:pt idx="189">
                  <c:v>1.12468244711666E-3</c:v>
                </c:pt>
                <c:pt idx="190">
                  <c:v>1.29711795402443E-3</c:v>
                </c:pt>
                <c:pt idx="191">
                  <c:v>1.4707385846910151E-3</c:v>
                </c:pt>
                <c:pt idx="192">
                  <c:v>7.7151556698940493E-4</c:v>
                </c:pt>
                <c:pt idx="193">
                  <c:v>9.5165437832947996E-4</c:v>
                </c:pt>
                <c:pt idx="194">
                  <c:v>1.1217196377196199E-3</c:v>
                </c:pt>
                <c:pt idx="195">
                  <c:v>1.292377458989165E-3</c:v>
                </c:pt>
                <c:pt idx="196">
                  <c:v>1.5335501439082799E-3</c:v>
                </c:pt>
                <c:pt idx="197">
                  <c:v>8.9944020131478E-4</c:v>
                </c:pt>
                <c:pt idx="198">
                  <c:v>1.126483358928215E-3</c:v>
                </c:pt>
                <c:pt idx="199">
                  <c:v>1.353526516541655E-3</c:v>
                </c:pt>
                <c:pt idx="200">
                  <c:v>8.8419786866760506E-4</c:v>
                </c:pt>
                <c:pt idx="201">
                  <c:v>1.1037637823635899E-3</c:v>
                </c:pt>
                <c:pt idx="202">
                  <c:v>1.3233296960595701E-3</c:v>
                </c:pt>
                <c:pt idx="203">
                  <c:v>1.17361172711607E-3</c:v>
                </c:pt>
                <c:pt idx="204">
                  <c:v>1.5783054261216099E-3</c:v>
                </c:pt>
                <c:pt idx="205">
                  <c:v>1.8211216455249351E-3</c:v>
                </c:pt>
                <c:pt idx="206">
                  <c:v>2.0234684950277051E-3</c:v>
                </c:pt>
                <c:pt idx="207">
                  <c:v>2.34722345423214E-3</c:v>
                </c:pt>
                <c:pt idx="208">
                  <c:v>2.6305090435360199E-3</c:v>
                </c:pt>
                <c:pt idx="209">
                  <c:v>1.3543506665536298E-3</c:v>
                </c:pt>
                <c:pt idx="210">
                  <c:v>1.5402419345119699E-3</c:v>
                </c:pt>
                <c:pt idx="211">
                  <c:v>1.7792449933155549E-3</c:v>
                </c:pt>
                <c:pt idx="212">
                  <c:v>1.8854685750060349E-3</c:v>
                </c:pt>
                <c:pt idx="213">
                  <c:v>2.1244716338096152E-3</c:v>
                </c:pt>
                <c:pt idx="214">
                  <c:v>2.6290336468394004E-3</c:v>
                </c:pt>
                <c:pt idx="215">
                  <c:v>1.23460956472699E-3</c:v>
                </c:pt>
                <c:pt idx="216">
                  <c:v>1.4161697948339E-3</c:v>
                </c:pt>
                <c:pt idx="217">
                  <c:v>1.5795740019301202E-3</c:v>
                </c:pt>
                <c:pt idx="218">
                  <c:v>1.7792902550477251E-3</c:v>
                </c:pt>
                <c:pt idx="219">
                  <c:v>1.9790065081653251E-3</c:v>
                </c:pt>
                <c:pt idx="220">
                  <c:v>2.1605667382722351E-3</c:v>
                </c:pt>
                <c:pt idx="221">
                  <c:v>2.342126968379145E-3</c:v>
                </c:pt>
                <c:pt idx="222">
                  <c:v>2.5055311754753648E-3</c:v>
                </c:pt>
                <c:pt idx="223">
                  <c:v>1.8537364202436649E-3</c:v>
                </c:pt>
                <c:pt idx="224">
                  <c:v>2.21642398072612E-3</c:v>
                </c:pt>
                <c:pt idx="225">
                  <c:v>2.61941015903996E-3</c:v>
                </c:pt>
                <c:pt idx="226">
                  <c:v>1.3214004715473701E-3</c:v>
                </c:pt>
                <c:pt idx="227">
                  <c:v>1.5063965375640002E-3</c:v>
                </c:pt>
                <c:pt idx="228">
                  <c:v>1.7442486224425249E-3</c:v>
                </c:pt>
                <c:pt idx="229">
                  <c:v>1.8499606601663149E-3</c:v>
                </c:pt>
                <c:pt idx="230">
                  <c:v>2.0085287167520001E-3</c:v>
                </c:pt>
                <c:pt idx="231">
                  <c:v>2.1142407544757903E-3</c:v>
                </c:pt>
                <c:pt idx="232">
                  <c:v>2.3732352468990702E-3</c:v>
                </c:pt>
                <c:pt idx="233">
                  <c:v>2.6322297393223549E-3</c:v>
                </c:pt>
                <c:pt idx="234">
                  <c:v>1.5170128415709549E-3</c:v>
                </c:pt>
                <c:pt idx="235">
                  <c:v>1.5892515483124251E-3</c:v>
                </c:pt>
                <c:pt idx="236">
                  <c:v>1.7698483151661099E-3</c:v>
                </c:pt>
                <c:pt idx="237">
                  <c:v>1.9685047587051649E-3</c:v>
                </c:pt>
                <c:pt idx="238">
                  <c:v>2.14910152555885E-3</c:v>
                </c:pt>
                <c:pt idx="239">
                  <c:v>2.311638615727165E-3</c:v>
                </c:pt>
                <c:pt idx="240">
                  <c:v>2.51029505926622E-3</c:v>
                </c:pt>
                <c:pt idx="241">
                  <c:v>7.5585984988729509E-4</c:v>
                </c:pt>
                <c:pt idx="242">
                  <c:v>1.00853299970676E-3</c:v>
                </c:pt>
                <c:pt idx="243">
                  <c:v>1.1532261709709E-3</c:v>
                </c:pt>
                <c:pt idx="244">
                  <c:v>1.319515337946105E-3</c:v>
                </c:pt>
                <c:pt idx="245">
                  <c:v>1.5786672864788901E-3</c:v>
                </c:pt>
                <c:pt idx="246">
                  <c:v>1.7104028603163899E-3</c:v>
                </c:pt>
                <c:pt idx="247">
                  <c:v>1.9026072221448749E-3</c:v>
                </c:pt>
                <c:pt idx="248">
                  <c:v>1.80834787254514E-3</c:v>
                </c:pt>
                <c:pt idx="249">
                  <c:v>1.9615000000000001E-3</c:v>
                </c:pt>
                <c:pt idx="250">
                  <c:v>1.8150207429235351E-3</c:v>
                </c:pt>
                <c:pt idx="251">
                  <c:v>1.9615000000000001E-3</c:v>
                </c:pt>
                <c:pt idx="252">
                  <c:v>1.8150207429235351E-3</c:v>
                </c:pt>
                <c:pt idx="253">
                  <c:v>1.9615000000000001E-3</c:v>
                </c:pt>
                <c:pt idx="254">
                  <c:v>1.82169361330193E-3</c:v>
                </c:pt>
                <c:pt idx="255">
                  <c:v>1.9615000000000001E-3</c:v>
                </c:pt>
                <c:pt idx="256">
                  <c:v>1.5855134897039399E-3</c:v>
                </c:pt>
                <c:pt idx="257">
                  <c:v>1.9615000000000001E-3</c:v>
                </c:pt>
                <c:pt idx="258">
                  <c:v>1.5956770377148649E-3</c:v>
                </c:pt>
                <c:pt idx="259">
                  <c:v>1.9615000000000001E-3</c:v>
                </c:pt>
                <c:pt idx="260">
                  <c:v>1.3001451112340399E-3</c:v>
                </c:pt>
                <c:pt idx="261">
                  <c:v>1.8268705665544999E-3</c:v>
                </c:pt>
                <c:pt idx="262">
                  <c:v>1.9615000000000001E-3</c:v>
                </c:pt>
                <c:pt idx="263">
                  <c:v>1.3068125220608848E-3</c:v>
                </c:pt>
                <c:pt idx="264">
                  <c:v>1.83353797738134E-3</c:v>
                </c:pt>
                <c:pt idx="265">
                  <c:v>9.3512869520693002E-4</c:v>
                </c:pt>
                <c:pt idx="266">
                  <c:v>1.30538269635485E-3</c:v>
                </c:pt>
                <c:pt idx="267">
                  <c:v>1.6803835436713351E-3</c:v>
                </c:pt>
                <c:pt idx="268">
                  <c:v>1.9615000000000001E-3</c:v>
                </c:pt>
                <c:pt idx="269">
                  <c:v>9.3038184903836499E-4</c:v>
                </c:pt>
                <c:pt idx="270">
                  <c:v>1.2958890040177249E-3</c:v>
                </c:pt>
                <c:pt idx="271">
                  <c:v>1.666143005165645E-3</c:v>
                </c:pt>
                <c:pt idx="272">
                  <c:v>1.827363457581255E-3</c:v>
                </c:pt>
                <c:pt idx="273">
                  <c:v>1.9615000000000001E-3</c:v>
                </c:pt>
                <c:pt idx="274">
                  <c:v>1.827363457581255E-3</c:v>
                </c:pt>
                <c:pt idx="275">
                  <c:v>1.9615000000000001E-3</c:v>
                </c:pt>
                <c:pt idx="276">
                  <c:v>1.1065506590074898E-3</c:v>
                </c:pt>
                <c:pt idx="277">
                  <c:v>1.29570461781219E-3</c:v>
                </c:pt>
                <c:pt idx="278">
                  <c:v>1.4801297276467698E-3</c:v>
                </c:pt>
                <c:pt idx="279">
                  <c:v>1.66928368645147E-3</c:v>
                </c:pt>
                <c:pt idx="280">
                  <c:v>1.8489799473159351E-3</c:v>
                </c:pt>
                <c:pt idx="281">
                  <c:v>1.9615000000000001E-3</c:v>
                </c:pt>
                <c:pt idx="282">
                  <c:v>1.4801297276467698E-3</c:v>
                </c:pt>
                <c:pt idx="283">
                  <c:v>1.6598259885112351E-3</c:v>
                </c:pt>
                <c:pt idx="284">
                  <c:v>1.8489799473159351E-3</c:v>
                </c:pt>
                <c:pt idx="285">
                  <c:v>1.9615000000000001E-3</c:v>
                </c:pt>
                <c:pt idx="286">
                  <c:v>1.0151124656869201E-3</c:v>
                </c:pt>
                <c:pt idx="287">
                  <c:v>1.2225010339455352E-3</c:v>
                </c:pt>
                <c:pt idx="288">
                  <c:v>1.379E-3</c:v>
                </c:pt>
                <c:pt idx="289">
                  <c:v>1.379E-3</c:v>
                </c:pt>
                <c:pt idx="290">
                  <c:v>1.248729421730305E-3</c:v>
                </c:pt>
                <c:pt idx="291">
                  <c:v>1.379E-3</c:v>
                </c:pt>
                <c:pt idx="292">
                  <c:v>1.35644718780187E-3</c:v>
                </c:pt>
                <c:pt idx="293">
                  <c:v>9.7556762990015503E-4</c:v>
                </c:pt>
                <c:pt idx="294">
                  <c:v>1.1347351823194601E-3</c:v>
                </c:pt>
                <c:pt idx="295">
                  <c:v>1.3045646760491498E-3</c:v>
                </c:pt>
                <c:pt idx="296">
                  <c:v>1.379E-3</c:v>
                </c:pt>
                <c:pt idx="297">
                  <c:v>1.298160758830825E-3</c:v>
                </c:pt>
                <c:pt idx="298">
                  <c:v>1.379E-3</c:v>
                </c:pt>
                <c:pt idx="299">
                  <c:v>9.7105963453005006E-4</c:v>
                </c:pt>
                <c:pt idx="300">
                  <c:v>1.129491690436985E-3</c:v>
                </c:pt>
                <c:pt idx="301">
                  <c:v>1.2985364199453349E-3</c:v>
                </c:pt>
                <c:pt idx="302">
                  <c:v>1.379E-3</c:v>
                </c:pt>
                <c:pt idx="303">
                  <c:v>9.7177298016251493E-4</c:v>
                </c:pt>
                <c:pt idx="304">
                  <c:v>1.130321421110185E-3</c:v>
                </c:pt>
                <c:pt idx="305">
                  <c:v>1.2994903317864049E-3</c:v>
                </c:pt>
                <c:pt idx="306">
                  <c:v>1.379E-3</c:v>
                </c:pt>
                <c:pt idx="307">
                  <c:v>1.17057909144943E-3</c:v>
                </c:pt>
                <c:pt idx="308">
                  <c:v>1.3742364237570299E-3</c:v>
                </c:pt>
                <c:pt idx="309">
                  <c:v>8.9747800161302E-4</c:v>
                </c:pt>
                <c:pt idx="310">
                  <c:v>1.06371271325744E-3</c:v>
                </c:pt>
                <c:pt idx="311">
                  <c:v>1.2261585995652299E-3</c:v>
                </c:pt>
                <c:pt idx="312">
                  <c:v>1.379E-3</c:v>
                </c:pt>
                <c:pt idx="313">
                  <c:v>1.0647374579413249E-3</c:v>
                </c:pt>
                <c:pt idx="314">
                  <c:v>8.9747800161302E-4</c:v>
                </c:pt>
                <c:pt idx="315">
                  <c:v>1.06371271325744E-3</c:v>
                </c:pt>
                <c:pt idx="316">
                  <c:v>1.2261585995652299E-3</c:v>
                </c:pt>
                <c:pt idx="317">
                  <c:v>1.379E-3</c:v>
                </c:pt>
                <c:pt idx="318">
                  <c:v>1.067140570724365E-3</c:v>
                </c:pt>
                <c:pt idx="319">
                  <c:v>1.2301099455055151E-3</c:v>
                </c:pt>
                <c:pt idx="320">
                  <c:v>1.379E-3</c:v>
                </c:pt>
                <c:pt idx="321">
                  <c:v>8.5401649577341004E-4</c:v>
                </c:pt>
                <c:pt idx="322">
                  <c:v>1.051210004239545E-3</c:v>
                </c:pt>
                <c:pt idx="323">
                  <c:v>1.2256786102430399E-3</c:v>
                </c:pt>
                <c:pt idx="324">
                  <c:v>1.35029904310268E-3</c:v>
                </c:pt>
                <c:pt idx="325">
                  <c:v>1.379E-3</c:v>
                </c:pt>
                <c:pt idx="326">
                  <c:v>8.5163864209600998E-4</c:v>
                </c:pt>
                <c:pt idx="327">
                  <c:v>1.0482831010864199E-3</c:v>
                </c:pt>
                <c:pt idx="328">
                  <c:v>1.222265930973845E-3</c:v>
                </c:pt>
                <c:pt idx="329">
                  <c:v>1.34653938089343E-3</c:v>
                </c:pt>
                <c:pt idx="330">
                  <c:v>1.379E-3</c:v>
                </c:pt>
                <c:pt idx="331">
                  <c:v>9.1615152738756507E-4</c:v>
                </c:pt>
                <c:pt idx="332">
                  <c:v>1.0994516614875949E-3</c:v>
                </c:pt>
                <c:pt idx="333">
                  <c:v>1.240854622079045E-3</c:v>
                </c:pt>
                <c:pt idx="334">
                  <c:v>1.379E-3</c:v>
                </c:pt>
                <c:pt idx="335">
                  <c:v>1.0994516614875949E-3</c:v>
                </c:pt>
                <c:pt idx="336">
                  <c:v>1.240854622079045E-3</c:v>
                </c:pt>
                <c:pt idx="337">
                  <c:v>1.379E-3</c:v>
                </c:pt>
                <c:pt idx="338">
                  <c:v>9.2043240356728007E-4</c:v>
                </c:pt>
                <c:pt idx="339">
                  <c:v>7.18964384934785E-4</c:v>
                </c:pt>
                <c:pt idx="340">
                  <c:v>9.1821495147259005E-4</c:v>
                </c:pt>
              </c:numCache>
            </c:numRef>
          </c:xVal>
          <c:yVal>
            <c:numRef>
              <c:f>'Com TS variável MC2020'!$AD$11:$AD$351</c:f>
              <c:numCache>
                <c:formatCode>0.00</c:formatCode>
                <c:ptCount val="341"/>
                <c:pt idx="0">
                  <c:v>2.2697733317077501E-2</c:v>
                </c:pt>
                <c:pt idx="1">
                  <c:v>5.7264135264609745E-2</c:v>
                </c:pt>
                <c:pt idx="2">
                  <c:v>6.1742560149652292E-2</c:v>
                </c:pt>
                <c:pt idx="3">
                  <c:v>0.10252597069875219</c:v>
                </c:pt>
                <c:pt idx="4">
                  <c:v>0.16087536404471847</c:v>
                </c:pt>
                <c:pt idx="5">
                  <c:v>0.16982079695789765</c:v>
                </c:pt>
                <c:pt idx="6">
                  <c:v>-6.804835447666413E-3</c:v>
                </c:pt>
                <c:pt idx="7">
                  <c:v>1.4262130711186927E-2</c:v>
                </c:pt>
                <c:pt idx="8">
                  <c:v>5.5154025214070979E-2</c:v>
                </c:pt>
                <c:pt idx="9">
                  <c:v>-2.1826395101207069E-2</c:v>
                </c:pt>
                <c:pt idx="10">
                  <c:v>-3.2437865677696909E-2</c:v>
                </c:pt>
                <c:pt idx="11">
                  <c:v>-1.0680870795675701E-3</c:v>
                </c:pt>
                <c:pt idx="12">
                  <c:v>-9.3681002856681739E-3</c:v>
                </c:pt>
                <c:pt idx="13">
                  <c:v>-4.8895192147941857E-2</c:v>
                </c:pt>
                <c:pt idx="14">
                  <c:v>-2.497750211056049E-2</c:v>
                </c:pt>
                <c:pt idx="15">
                  <c:v>-8.1675420152862444E-2</c:v>
                </c:pt>
                <c:pt idx="16">
                  <c:v>-9.5258764491280234E-2</c:v>
                </c:pt>
                <c:pt idx="17">
                  <c:v>-4.9549878634436773E-2</c:v>
                </c:pt>
                <c:pt idx="18">
                  <c:v>-0.10954987863443677</c:v>
                </c:pt>
                <c:pt idx="19">
                  <c:v>-8.0762474023132663E-2</c:v>
                </c:pt>
                <c:pt idx="20">
                  <c:v>-0.11452122887427779</c:v>
                </c:pt>
                <c:pt idx="21">
                  <c:v>-0.10468076194345738</c:v>
                </c:pt>
                <c:pt idx="22">
                  <c:v>-8.8279983725422895E-2</c:v>
                </c:pt>
                <c:pt idx="23">
                  <c:v>-0.14531889422017433</c:v>
                </c:pt>
                <c:pt idx="24">
                  <c:v>-0.15611655956607084</c:v>
                </c:pt>
                <c:pt idx="25">
                  <c:v>-0.10298938311834173</c:v>
                </c:pt>
                <c:pt idx="26">
                  <c:v>-6.6048503183222945E-2</c:v>
                </c:pt>
                <c:pt idx="27">
                  <c:v>-8.690164822782892E-2</c:v>
                </c:pt>
                <c:pt idx="28">
                  <c:v>-0.20213139730163077</c:v>
                </c:pt>
                <c:pt idx="29">
                  <c:v>-0.2674671844094953</c:v>
                </c:pt>
                <c:pt idx="30">
                  <c:v>-0.15115881491903477</c:v>
                </c:pt>
                <c:pt idx="31">
                  <c:v>-0.12642988260872373</c:v>
                </c:pt>
                <c:pt idx="32">
                  <c:v>-0.13092097466349167</c:v>
                </c:pt>
                <c:pt idx="33">
                  <c:v>-0.28092097466349158</c:v>
                </c:pt>
                <c:pt idx="34">
                  <c:v>-0.36092097466349166</c:v>
                </c:pt>
                <c:pt idx="35">
                  <c:v>-0.13944481410533438</c:v>
                </c:pt>
                <c:pt idx="36">
                  <c:v>-0.1110772474495291</c:v>
                </c:pt>
                <c:pt idx="37">
                  <c:v>-0.1427096807937229</c:v>
                </c:pt>
                <c:pt idx="38">
                  <c:v>-0.17434211413791667</c:v>
                </c:pt>
                <c:pt idx="39">
                  <c:v>-0.21556643914606288</c:v>
                </c:pt>
                <c:pt idx="40">
                  <c:v>-0.35755535535551647</c:v>
                </c:pt>
                <c:pt idx="41">
                  <c:v>-9.866028298645646E-2</c:v>
                </c:pt>
                <c:pt idx="42">
                  <c:v>-0.15394810510366036</c:v>
                </c:pt>
                <c:pt idx="43">
                  <c:v>-0.17923592722086534</c:v>
                </c:pt>
                <c:pt idx="44">
                  <c:v>-0.22981157145527309</c:v>
                </c:pt>
                <c:pt idx="45">
                  <c:v>-0.32612406820117007</c:v>
                </c:pt>
                <c:pt idx="46">
                  <c:v>-5.866028298645648E-2</c:v>
                </c:pt>
                <c:pt idx="47">
                  <c:v>-0.15923592722086533</c:v>
                </c:pt>
                <c:pt idx="48">
                  <c:v>-0.26981157145527312</c:v>
                </c:pt>
                <c:pt idx="49">
                  <c:v>-0.36612406820117011</c:v>
                </c:pt>
                <c:pt idx="50">
                  <c:v>-9.4395887384873839E-2</c:v>
                </c:pt>
                <c:pt idx="51">
                  <c:v>-0.12743162939991926</c:v>
                </c:pt>
                <c:pt idx="52">
                  <c:v>-2.7242214697228539E-2</c:v>
                </c:pt>
                <c:pt idx="53">
                  <c:v>-0.10263918184248033</c:v>
                </c:pt>
                <c:pt idx="54">
                  <c:v>-9.8036148987732274E-2</c:v>
                </c:pt>
                <c:pt idx="55">
                  <c:v>-0.13724221469722853</c:v>
                </c:pt>
                <c:pt idx="56">
                  <c:v>-0.23263918184248034</c:v>
                </c:pt>
                <c:pt idx="57">
                  <c:v>-0.25803614898773231</c:v>
                </c:pt>
                <c:pt idx="58">
                  <c:v>-8.4207428410760787E-2</c:v>
                </c:pt>
                <c:pt idx="59">
                  <c:v>-0.11578838342227618</c:v>
                </c:pt>
                <c:pt idx="60">
                  <c:v>-0.16736933843379165</c:v>
                </c:pt>
                <c:pt idx="61">
                  <c:v>-0.28167503483194734</c:v>
                </c:pt>
                <c:pt idx="62">
                  <c:v>-0.1242074284107608</c:v>
                </c:pt>
                <c:pt idx="63">
                  <c:v>-0.16578838342227623</c:v>
                </c:pt>
                <c:pt idx="64">
                  <c:v>-0.20736933843379168</c:v>
                </c:pt>
                <c:pt idx="65">
                  <c:v>-0.33167503483194727</c:v>
                </c:pt>
                <c:pt idx="66">
                  <c:v>-0.17180619646082876</c:v>
                </c:pt>
                <c:pt idx="67">
                  <c:v>-0.20061287026925145</c:v>
                </c:pt>
                <c:pt idx="68">
                  <c:v>-0.13617192539390505</c:v>
                </c:pt>
                <c:pt idx="69">
                  <c:v>-0.24453582427496356</c:v>
                </c:pt>
                <c:pt idx="70">
                  <c:v>-0.14617192539390506</c:v>
                </c:pt>
                <c:pt idx="71">
                  <c:v>-0.23453582427496356</c:v>
                </c:pt>
                <c:pt idx="72">
                  <c:v>-2.3998120811564799E-2</c:v>
                </c:pt>
                <c:pt idx="73">
                  <c:v>-1.6213798194588042E-2</c:v>
                </c:pt>
                <c:pt idx="74">
                  <c:v>-2.041456750284007E-2</c:v>
                </c:pt>
                <c:pt idx="75">
                  <c:v>-1.6989153352812869E-2</c:v>
                </c:pt>
                <c:pt idx="76">
                  <c:v>-1.3740178430194122E-2</c:v>
                </c:pt>
                <c:pt idx="77">
                  <c:v>-4.6410290596932913E-2</c:v>
                </c:pt>
                <c:pt idx="78">
                  <c:v>-5.5908133898463996E-2</c:v>
                </c:pt>
                <c:pt idx="79">
                  <c:v>-7.3249637707773443E-2</c:v>
                </c:pt>
                <c:pt idx="80">
                  <c:v>-7.5957230430422934E-2</c:v>
                </c:pt>
                <c:pt idx="81">
                  <c:v>-7.8664823153072327E-2</c:v>
                </c:pt>
                <c:pt idx="82">
                  <c:v>-6.1453396025169527E-2</c:v>
                </c:pt>
                <c:pt idx="83">
                  <c:v>-1.4241968897264867E-2</c:v>
                </c:pt>
                <c:pt idx="84">
                  <c:v>1.3050438380085683E-2</c:v>
                </c:pt>
                <c:pt idx="85">
                  <c:v>3.0342845657436113E-2</c:v>
                </c:pt>
                <c:pt idx="86">
                  <c:v>7.7473292635893032E-2</c:v>
                </c:pt>
                <c:pt idx="87">
                  <c:v>-2.5957230430422917E-2</c:v>
                </c:pt>
                <c:pt idx="88">
                  <c:v>-8.6648231530723208E-3</c:v>
                </c:pt>
                <c:pt idx="89">
                  <c:v>1.8546603974830489E-2</c:v>
                </c:pt>
                <c:pt idx="90">
                  <c:v>1.5758031102735159E-2</c:v>
                </c:pt>
                <c:pt idx="91">
                  <c:v>1.3050438380085683E-2</c:v>
                </c:pt>
                <c:pt idx="92">
                  <c:v>3.0342845657436113E-2</c:v>
                </c:pt>
                <c:pt idx="93">
                  <c:v>2.7473292635893043E-2</c:v>
                </c:pt>
                <c:pt idx="94">
                  <c:v>-2.2727459978966497E-2</c:v>
                </c:pt>
                <c:pt idx="95">
                  <c:v>-1.8605977605129526E-2</c:v>
                </c:pt>
                <c:pt idx="96">
                  <c:v>-4.5429224271383295E-3</c:v>
                </c:pt>
                <c:pt idx="97">
                  <c:v>-4.7986724914589329E-4</c:v>
                </c:pt>
                <c:pt idx="98">
                  <c:v>1.3641615124691087E-2</c:v>
                </c:pt>
                <c:pt idx="99">
                  <c:v>-2.2369025014719601E-3</c:v>
                </c:pt>
                <c:pt idx="100">
                  <c:v>3.1767725480674747E-2</c:v>
                </c:pt>
                <c:pt idx="101">
                  <c:v>-5.6848942352803411E-2</c:v>
                </c:pt>
                <c:pt idx="102">
                  <c:v>-5.2727459978966496E-2</c:v>
                </c:pt>
                <c:pt idx="103">
                  <c:v>-1.8605977605129526E-2</c:v>
                </c:pt>
                <c:pt idx="104">
                  <c:v>-5.4542922427138318E-2</c:v>
                </c:pt>
                <c:pt idx="105">
                  <c:v>-5.047986724914591E-2</c:v>
                </c:pt>
                <c:pt idx="106">
                  <c:v>-6.6358384875308929E-2</c:v>
                </c:pt>
                <c:pt idx="107">
                  <c:v>-8.2236902501471976E-2</c:v>
                </c:pt>
                <c:pt idx="108">
                  <c:v>-9.8232274519325258E-2</c:v>
                </c:pt>
                <c:pt idx="109">
                  <c:v>1.4521796881271087E-3</c:v>
                </c:pt>
                <c:pt idx="110">
                  <c:v>-1.0423175019867614E-2</c:v>
                </c:pt>
                <c:pt idx="111">
                  <c:v>7.763754276577689E-3</c:v>
                </c:pt>
                <c:pt idx="112">
                  <c:v>5.9506835730229746E-3</c:v>
                </c:pt>
                <c:pt idx="113">
                  <c:v>2.413761286946825E-2</c:v>
                </c:pt>
                <c:pt idx="114">
                  <c:v>1.9576824980132385E-2</c:v>
                </c:pt>
                <c:pt idx="115">
                  <c:v>7.763754276577689E-3</c:v>
                </c:pt>
                <c:pt idx="116">
                  <c:v>5.9506835730229746E-3</c:v>
                </c:pt>
                <c:pt idx="117">
                  <c:v>2.413761286946825E-2</c:v>
                </c:pt>
                <c:pt idx="118">
                  <c:v>-0.16365198304243012</c:v>
                </c:pt>
                <c:pt idx="119">
                  <c:v>-0.11604989007136968</c:v>
                </c:pt>
                <c:pt idx="120">
                  <c:v>-9.8447797100309264E-2</c:v>
                </c:pt>
                <c:pt idx="121">
                  <c:v>-9.6049890071369687E-2</c:v>
                </c:pt>
                <c:pt idx="122">
                  <c:v>-4.8447797100309276E-2</c:v>
                </c:pt>
                <c:pt idx="123">
                  <c:v>-9.4508841780102715E-2</c:v>
                </c:pt>
                <c:pt idx="124">
                  <c:v>-7.7547027023363746E-2</c:v>
                </c:pt>
                <c:pt idx="125">
                  <c:v>-3.0585212266623224E-2</c:v>
                </c:pt>
                <c:pt idx="126">
                  <c:v>-9.4508841780102715E-2</c:v>
                </c:pt>
                <c:pt idx="127">
                  <c:v>-7.7547027023363746E-2</c:v>
                </c:pt>
                <c:pt idx="128">
                  <c:v>-3.0585212266623224E-2</c:v>
                </c:pt>
                <c:pt idx="129">
                  <c:v>-3.2902296652516136E-2</c:v>
                </c:pt>
                <c:pt idx="130">
                  <c:v>1.722518749364757E-2</c:v>
                </c:pt>
                <c:pt idx="131">
                  <c:v>3.7352671639812762E-2</c:v>
                </c:pt>
                <c:pt idx="132">
                  <c:v>-6.2902296652516135E-2</c:v>
                </c:pt>
                <c:pt idx="133">
                  <c:v>-3.2774812506352446E-2</c:v>
                </c:pt>
                <c:pt idx="134">
                  <c:v>-1.2647328360187254E-2</c:v>
                </c:pt>
                <c:pt idx="135">
                  <c:v>1.5634010251507346E-3</c:v>
                </c:pt>
                <c:pt idx="136">
                  <c:v>1.7655713434602871E-2</c:v>
                </c:pt>
                <c:pt idx="137">
                  <c:v>3.8560334165312099E-2</c:v>
                </c:pt>
                <c:pt idx="138">
                  <c:v>5.465264657476418E-2</c:v>
                </c:pt>
                <c:pt idx="139">
                  <c:v>7.5557267305473408E-2</c:v>
                </c:pt>
                <c:pt idx="140">
                  <c:v>9.1649579714923657E-2</c:v>
                </c:pt>
                <c:pt idx="141">
                  <c:v>0.11496035460626514</c:v>
                </c:pt>
                <c:pt idx="142">
                  <c:v>-2.9341219705558502E-2</c:v>
                </c:pt>
                <c:pt idx="143">
                  <c:v>-8.4365989748492742E-3</c:v>
                </c:pt>
                <c:pt idx="144">
                  <c:v>1.0061867595231394E-2</c:v>
                </c:pt>
                <c:pt idx="145">
                  <c:v>3.4951102924368288E-2</c:v>
                </c:pt>
                <c:pt idx="146">
                  <c:v>5.465264657476418E-2</c:v>
                </c:pt>
                <c:pt idx="147">
                  <c:v>7.4354190225158268E-2</c:v>
                </c:pt>
                <c:pt idx="148">
                  <c:v>8.8040348473979957E-2</c:v>
                </c:pt>
                <c:pt idx="149">
                  <c:v>9.052342964248461E-2</c:v>
                </c:pt>
                <c:pt idx="150">
                  <c:v>4.0160488098032743E-2</c:v>
                </c:pt>
                <c:pt idx="151">
                  <c:v>6.5556738887621646E-2</c:v>
                </c:pt>
                <c:pt idx="152">
                  <c:v>7.9175569865779782E-2</c:v>
                </c:pt>
                <c:pt idx="153">
                  <c:v>0.10249816420869928</c:v>
                </c:pt>
                <c:pt idx="154">
                  <c:v>0.10522828528114209</c:v>
                </c:pt>
                <c:pt idx="155">
                  <c:v>0.13943958952977697</c:v>
                </c:pt>
                <c:pt idx="156">
                  <c:v>-1.3846864334577103E-3</c:v>
                </c:pt>
                <c:pt idx="157">
                  <c:v>1.1049198003748151E-2</c:v>
                </c:pt>
                <c:pt idx="158">
                  <c:v>2.4668028981906232E-2</c:v>
                </c:pt>
                <c:pt idx="159">
                  <c:v>4.7694386689587476E-2</c:v>
                </c:pt>
                <c:pt idx="160">
                  <c:v>8.2794400843937743E-2</c:v>
                </c:pt>
                <c:pt idx="161">
                  <c:v>0.10522828528114209</c:v>
                </c:pt>
                <c:pt idx="162">
                  <c:v>0.12070463591164804</c:v>
                </c:pt>
                <c:pt idx="163">
                  <c:v>5.9058912689383791E-2</c:v>
                </c:pt>
                <c:pt idx="164">
                  <c:v>5.2215410878619362E-2</c:v>
                </c:pt>
                <c:pt idx="165">
                  <c:v>4.8846710516466163E-2</c:v>
                </c:pt>
                <c:pt idx="166">
                  <c:v>4.6845531209597974E-2</c:v>
                </c:pt>
                <c:pt idx="167">
                  <c:v>4.6002619052266713E-2</c:v>
                </c:pt>
                <c:pt idx="168">
                  <c:v>3.7370140107551741E-2</c:v>
                </c:pt>
                <c:pt idx="169">
                  <c:v>2.6527227950220666E-2</c:v>
                </c:pt>
                <c:pt idx="170">
                  <c:v>-6.316288527513092E-4</c:v>
                </c:pt>
                <c:pt idx="171">
                  <c:v>4.6848479476769289E-2</c:v>
                </c:pt>
                <c:pt idx="172">
                  <c:v>4.8952811602925805E-2</c:v>
                </c:pt>
                <c:pt idx="173">
                  <c:v>4.9583521587337642E-2</c:v>
                </c:pt>
                <c:pt idx="174">
                  <c:v>4.0951042642622698E-2</c:v>
                </c:pt>
                <c:pt idx="175">
                  <c:v>5.3792185839650675E-2</c:v>
                </c:pt>
                <c:pt idx="176">
                  <c:v>6.7370140107551768E-2</c:v>
                </c:pt>
                <c:pt idx="177">
                  <c:v>6.8737661162835084E-2</c:v>
                </c:pt>
                <c:pt idx="178">
                  <c:v>6.7894749005504018E-2</c:v>
                </c:pt>
                <c:pt idx="179">
                  <c:v>8.1163244815540353E-2</c:v>
                </c:pt>
                <c:pt idx="180">
                  <c:v>9.2530765870825343E-2</c:v>
                </c:pt>
                <c:pt idx="181">
                  <c:v>0.10274001977657321</c:v>
                </c:pt>
                <c:pt idx="182">
                  <c:v>0.12042348547749754</c:v>
                </c:pt>
                <c:pt idx="183">
                  <c:v>0.12737014010755177</c:v>
                </c:pt>
                <c:pt idx="184">
                  <c:v>0.13579041687934756</c:v>
                </c:pt>
                <c:pt idx="185">
                  <c:v>0.14010518221812027</c:v>
                </c:pt>
                <c:pt idx="186">
                  <c:v>6.1041400453090033E-2</c:v>
                </c:pt>
                <c:pt idx="187">
                  <c:v>7.1749943542550376E-2</c:v>
                </c:pt>
                <c:pt idx="188">
                  <c:v>9.2286593265606648E-2</c:v>
                </c:pt>
                <c:pt idx="189">
                  <c:v>8.1041400453090023E-2</c:v>
                </c:pt>
                <c:pt idx="190">
                  <c:v>0.10106237007693133</c:v>
                </c:pt>
                <c:pt idx="191">
                  <c:v>0.11142712643358219</c:v>
                </c:pt>
                <c:pt idx="192">
                  <c:v>-9.1407045924262187E-2</c:v>
                </c:pt>
                <c:pt idx="193">
                  <c:v>-7.9151462537156797E-2</c:v>
                </c:pt>
                <c:pt idx="194">
                  <c:v>-6.9818066378934507E-2</c:v>
                </c:pt>
                <c:pt idx="195">
                  <c:v>-6.0312776854308248E-2</c:v>
                </c:pt>
                <c:pt idx="196">
                  <c:v>-3.0352176727492353E-2</c:v>
                </c:pt>
                <c:pt idx="197">
                  <c:v>-1.6085037612608655E-2</c:v>
                </c:pt>
                <c:pt idx="198">
                  <c:v>-2.0249427157509214E-2</c:v>
                </c:pt>
                <c:pt idx="199">
                  <c:v>5.5861832975918069E-3</c:v>
                </c:pt>
                <c:pt idx="200">
                  <c:v>-3.9261508123809602E-2</c:v>
                </c:pt>
                <c:pt idx="201">
                  <c:v>-6.326606031736251E-2</c:v>
                </c:pt>
                <c:pt idx="202">
                  <c:v>-8.7270612510916667E-2</c:v>
                </c:pt>
                <c:pt idx="203">
                  <c:v>1.2567232720173405E-2</c:v>
                </c:pt>
                <c:pt idx="204">
                  <c:v>5.7522018918416434E-2</c:v>
                </c:pt>
                <c:pt idx="205">
                  <c:v>7.8494890637362508E-2</c:v>
                </c:pt>
                <c:pt idx="206">
                  <c:v>0.12097228373648408</c:v>
                </c:pt>
                <c:pt idx="207">
                  <c:v>0.15893611269507923</c:v>
                </c:pt>
                <c:pt idx="208">
                  <c:v>0.17840446303384988</c:v>
                </c:pt>
                <c:pt idx="209">
                  <c:v>3.190586756617958E-2</c:v>
                </c:pt>
                <c:pt idx="210">
                  <c:v>4.6589304836322371E-2</c:v>
                </c:pt>
                <c:pt idx="211">
                  <c:v>7.1182295612221363E-2</c:v>
                </c:pt>
                <c:pt idx="212">
                  <c:v>7.100140262373153E-2</c:v>
                </c:pt>
                <c:pt idx="213">
                  <c:v>9.559439339962944E-2</c:v>
                </c:pt>
                <c:pt idx="214">
                  <c:v>0.18973515170430377</c:v>
                </c:pt>
                <c:pt idx="215">
                  <c:v>-2.9607884396697898E-2</c:v>
                </c:pt>
                <c:pt idx="216">
                  <c:v>-1.3680433898518252E-2</c:v>
                </c:pt>
                <c:pt idx="217">
                  <c:v>-1.0345728450156438E-2</c:v>
                </c:pt>
                <c:pt idx="218">
                  <c:v>-1.8255329021583389E-3</c:v>
                </c:pt>
                <c:pt idx="219">
                  <c:v>6.6946626458390668E-3</c:v>
                </c:pt>
                <c:pt idx="220">
                  <c:v>-7.377886855981286E-3</c:v>
                </c:pt>
                <c:pt idx="221">
                  <c:v>-1.4504363578016766E-3</c:v>
                </c:pt>
                <c:pt idx="222">
                  <c:v>-3.8115730909439927E-2</c:v>
                </c:pt>
                <c:pt idx="223">
                  <c:v>0.1549864345590016</c:v>
                </c:pt>
                <c:pt idx="224">
                  <c:v>0.19084940116132787</c:v>
                </c:pt>
                <c:pt idx="225">
                  <c:v>0.21514158627502372</c:v>
                </c:pt>
                <c:pt idx="226">
                  <c:v>3.1319217011829575E-2</c:v>
                </c:pt>
                <c:pt idx="227">
                  <c:v>4.5669621103140268E-2</c:v>
                </c:pt>
                <c:pt idx="228">
                  <c:v>4.9834426363396828E-2</c:v>
                </c:pt>
                <c:pt idx="229">
                  <c:v>4.9463228701288942E-2</c:v>
                </c:pt>
                <c:pt idx="230">
                  <c:v>2.8906432208127053E-2</c:v>
                </c:pt>
                <c:pt idx="231">
                  <c:v>2.8535234546019139E-2</c:v>
                </c:pt>
                <c:pt idx="232">
                  <c:v>3.6625800273853759E-2</c:v>
                </c:pt>
                <c:pt idx="233">
                  <c:v>-2.528363399831085E-2</c:v>
                </c:pt>
                <c:pt idx="234">
                  <c:v>3.2828264060670992E-2</c:v>
                </c:pt>
                <c:pt idx="235">
                  <c:v>2.3079031059152488E-2</c:v>
                </c:pt>
                <c:pt idx="236">
                  <c:v>4.8705948555357592E-2</c:v>
                </c:pt>
                <c:pt idx="237">
                  <c:v>5.6895557801183494E-2</c:v>
                </c:pt>
                <c:pt idx="238">
                  <c:v>8.2522475297388653E-2</c:v>
                </c:pt>
                <c:pt idx="239">
                  <c:v>0.10558670104397305</c:v>
                </c:pt>
                <c:pt idx="240">
                  <c:v>0.11377631028979893</c:v>
                </c:pt>
                <c:pt idx="241">
                  <c:v>-0.13705696590881378</c:v>
                </c:pt>
                <c:pt idx="242">
                  <c:v>-0.130627215095178</c:v>
                </c:pt>
                <c:pt idx="243">
                  <c:v>-0.14976573386001876</c:v>
                </c:pt>
                <c:pt idx="244">
                  <c:v>-0.14579059870916422</c:v>
                </c:pt>
                <c:pt idx="245">
                  <c:v>-0.12842675172081974</c:v>
                </c:pt>
                <c:pt idx="246">
                  <c:v>-0.11943346283507791</c:v>
                </c:pt>
                <c:pt idx="247">
                  <c:v>-0.12172194298538866</c:v>
                </c:pt>
                <c:pt idx="248">
                  <c:v>0.12183291288201625</c:v>
                </c:pt>
                <c:pt idx="249">
                  <c:v>5.4258892990807772E-3</c:v>
                </c:pt>
                <c:pt idx="250">
                  <c:v>0.12329656592413041</c:v>
                </c:pt>
                <c:pt idx="251">
                  <c:v>0.10542588929908076</c:v>
                </c:pt>
                <c:pt idx="252">
                  <c:v>0.12329656592413041</c:v>
                </c:pt>
                <c:pt idx="253">
                  <c:v>0.10542588929908076</c:v>
                </c:pt>
                <c:pt idx="254">
                  <c:v>0.12476021896624445</c:v>
                </c:pt>
                <c:pt idx="255">
                  <c:v>5.5425889299080766E-2</c:v>
                </c:pt>
                <c:pt idx="256">
                  <c:v>0.10026049182946475</c:v>
                </c:pt>
                <c:pt idx="257">
                  <c:v>0.13463611384387186</c:v>
                </c:pt>
                <c:pt idx="258">
                  <c:v>0.10254130686354621</c:v>
                </c:pt>
                <c:pt idx="259">
                  <c:v>0.13463611384387186</c:v>
                </c:pt>
                <c:pt idx="260">
                  <c:v>5.7703773373146111E-2</c:v>
                </c:pt>
                <c:pt idx="261">
                  <c:v>7.3158359447095922E-2</c:v>
                </c:pt>
                <c:pt idx="262">
                  <c:v>5.2668202487364313E-2</c:v>
                </c:pt>
                <c:pt idx="263">
                  <c:v>5.9165223829779179E-2</c:v>
                </c:pt>
                <c:pt idx="264">
                  <c:v>7.4619809903727963E-2</c:v>
                </c:pt>
                <c:pt idx="265">
                  <c:v>-7.4151993140162686E-3</c:v>
                </c:pt>
                <c:pt idx="266">
                  <c:v>2.3265944741464345E-2</c:v>
                </c:pt>
                <c:pt idx="267">
                  <c:v>4.9814624386823048E-3</c:v>
                </c:pt>
                <c:pt idx="268">
                  <c:v>3.6238862059214894E-2</c:v>
                </c:pt>
                <c:pt idx="269">
                  <c:v>-8.4495729557536037E-3</c:v>
                </c:pt>
                <c:pt idx="270">
                  <c:v>-2.8802802542009259E-2</c:v>
                </c:pt>
                <c:pt idx="271">
                  <c:v>2.1878341513471344E-2</c:v>
                </c:pt>
                <c:pt idx="272">
                  <c:v>0.11093919916291395</c:v>
                </c:pt>
                <c:pt idx="273">
                  <c:v>0.12025887326163412</c:v>
                </c:pt>
                <c:pt idx="274">
                  <c:v>0.14093919916291395</c:v>
                </c:pt>
                <c:pt idx="275">
                  <c:v>0.13025887326163413</c:v>
                </c:pt>
                <c:pt idx="276">
                  <c:v>2.3976588773130803E-4</c:v>
                </c:pt>
                <c:pt idx="277">
                  <c:v>3.1306213975340474E-2</c:v>
                </c:pt>
                <c:pt idx="278">
                  <c:v>5.13460008607588E-2</c:v>
                </c:pt>
                <c:pt idx="279">
                  <c:v>9.2412448948367976E-2</c:v>
                </c:pt>
                <c:pt idx="280">
                  <c:v>8.1425574631596553E-2</c:v>
                </c:pt>
                <c:pt idx="281">
                  <c:v>8.5854346472085286E-2</c:v>
                </c:pt>
                <c:pt idx="282">
                  <c:v>7.1346000860758818E-2</c:v>
                </c:pt>
                <c:pt idx="283">
                  <c:v>0.10035912654398749</c:v>
                </c:pt>
                <c:pt idx="284">
                  <c:v>0.12142557463159656</c:v>
                </c:pt>
                <c:pt idx="285">
                  <c:v>9.5854346472085294E-2</c:v>
                </c:pt>
                <c:pt idx="286">
                  <c:v>-2.0848437685819093E-2</c:v>
                </c:pt>
                <c:pt idx="287">
                  <c:v>-3.8201892420793387E-2</c:v>
                </c:pt>
                <c:pt idx="288">
                  <c:v>-4.6020078853091118E-2</c:v>
                </c:pt>
                <c:pt idx="289">
                  <c:v>6.5140606128658435E-2</c:v>
                </c:pt>
                <c:pt idx="290">
                  <c:v>6.1157719842859032E-2</c:v>
                </c:pt>
                <c:pt idx="291">
                  <c:v>5.1002060217717027E-2</c:v>
                </c:pt>
                <c:pt idx="292">
                  <c:v>-5.2739716731292324E-2</c:v>
                </c:pt>
                <c:pt idx="293">
                  <c:v>2.3915354249492621E-2</c:v>
                </c:pt>
                <c:pt idx="294">
                  <c:v>1.9814932244442723E-2</c:v>
                </c:pt>
                <c:pt idx="295">
                  <c:v>2.8119266660107251E-2</c:v>
                </c:pt>
                <c:pt idx="296">
                  <c:v>-5.0921562892550232E-3</c:v>
                </c:pt>
                <c:pt idx="297">
                  <c:v>6.647544196197977E-2</c:v>
                </c:pt>
                <c:pt idx="298">
                  <c:v>5.4638405020446479E-2</c:v>
                </c:pt>
                <c:pt idx="299">
                  <c:v>1.3618955759809259E-2</c:v>
                </c:pt>
                <c:pt idx="300">
                  <c:v>1.9223404930400312E-2</c:v>
                </c:pt>
                <c:pt idx="301">
                  <c:v>1.7212841126771267E-2</c:v>
                </c:pt>
                <c:pt idx="302">
                  <c:v>5.2954282000777231E-3</c:v>
                </c:pt>
                <c:pt idx="303">
                  <c:v>-3.4636979624591613E-2</c:v>
                </c:pt>
                <c:pt idx="304">
                  <c:v>-4.8986158857447004E-2</c:v>
                </c:pt>
                <c:pt idx="305">
                  <c:v>-6.0947244833173514E-2</c:v>
                </c:pt>
                <c:pt idx="306">
                  <c:v>-9.3068892237618328E-2</c:v>
                </c:pt>
                <c:pt idx="307">
                  <c:v>-3.0258973873166645E-2</c:v>
                </c:pt>
                <c:pt idx="308">
                  <c:v>-3.3317795835522662E-2</c:v>
                </c:pt>
                <c:pt idx="309">
                  <c:v>-1.1723179082872959E-2</c:v>
                </c:pt>
                <c:pt idx="310">
                  <c:v>-5.780767811440185E-3</c:v>
                </c:pt>
                <c:pt idx="311">
                  <c:v>-2.0657556796907312E-2</c:v>
                </c:pt>
                <c:pt idx="312">
                  <c:v>-2.7610978140826359E-2</c:v>
                </c:pt>
                <c:pt idx="313">
                  <c:v>2.5733921547322069E-2</c:v>
                </c:pt>
                <c:pt idx="314">
                  <c:v>8.276820917127059E-3</c:v>
                </c:pt>
                <c:pt idx="315">
                  <c:v>3.4219232188559823E-2</c:v>
                </c:pt>
                <c:pt idx="316">
                  <c:v>9.3424432030926874E-3</c:v>
                </c:pt>
                <c:pt idx="317">
                  <c:v>2.3890218591736123E-3</c:v>
                </c:pt>
                <c:pt idx="318">
                  <c:v>2.9150703387494231E-2</c:v>
                </c:pt>
                <c:pt idx="319">
                  <c:v>3.4502533867511592E-2</c:v>
                </c:pt>
                <c:pt idx="320">
                  <c:v>2.6800233810939267E-2</c:v>
                </c:pt>
                <c:pt idx="321">
                  <c:v>3.5983432455117204E-2</c:v>
                </c:pt>
                <c:pt idx="322">
                  <c:v>4.2637671995831156E-2</c:v>
                </c:pt>
                <c:pt idx="323">
                  <c:v>6.1610567946351447E-2</c:v>
                </c:pt>
                <c:pt idx="324">
                  <c:v>6.3734065053866029E-2</c:v>
                </c:pt>
                <c:pt idx="325">
                  <c:v>3.3435400919139824E-2</c:v>
                </c:pt>
                <c:pt idx="326">
                  <c:v>5.8175612625210593E-3</c:v>
                </c:pt>
                <c:pt idx="327">
                  <c:v>2.2123650238331793E-2</c:v>
                </c:pt>
                <c:pt idx="328">
                  <c:v>3.0788517064513576E-2</c:v>
                </c:pt>
                <c:pt idx="329">
                  <c:v>2.6919933689275588E-3</c:v>
                </c:pt>
                <c:pt idx="330">
                  <c:v>-4.6362685772603163E-2</c:v>
                </c:pt>
                <c:pt idx="331">
                  <c:v>-3.173164377866855E-2</c:v>
                </c:pt>
                <c:pt idx="332">
                  <c:v>-3.6185958946844149E-2</c:v>
                </c:pt>
                <c:pt idx="333">
                  <c:v>-5.8765002076579975E-2</c:v>
                </c:pt>
                <c:pt idx="334">
                  <c:v>-8.1975757820643841E-2</c:v>
                </c:pt>
                <c:pt idx="335">
                  <c:v>2.3814041053155849E-2</c:v>
                </c:pt>
                <c:pt idx="336">
                  <c:v>2.123499792342004E-2</c:v>
                </c:pt>
                <c:pt idx="337">
                  <c:v>1.8024242179356165E-2</c:v>
                </c:pt>
                <c:pt idx="338">
                  <c:v>-2.3465781046206918E-2</c:v>
                </c:pt>
                <c:pt idx="339">
                  <c:v>-8.1263396078364136E-2</c:v>
                </c:pt>
                <c:pt idx="340">
                  <c:v>-0.10561991467793957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A6-45DD-842B-F22C2B591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46009"/>
        <c:axId val="72410593"/>
      </c:scatterChart>
      <c:valAx>
        <c:axId val="22546009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pt-BR" sz="1000" b="0" strike="noStrike" spc="-1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pt-BR" sz="1000" b="0" strike="noStrike" spc="-1">
                    <a:solidFill>
                      <a:srgbClr val="595959"/>
                    </a:solidFill>
                    <a:latin typeface="Aptos Narrow"/>
                  </a:rPr>
                  <a:t>Deformação sem TS MC2020</a:t>
                </a:r>
              </a:p>
            </c:rich>
          </c:tx>
          <c:layout>
            <c:manualLayout>
              <c:xMode val="edge"/>
              <c:yMode val="edge"/>
              <c:x val="0.39742923915866002"/>
              <c:y val="0.87391362481615198"/>
            </c:manualLayout>
          </c:layout>
          <c:overlay val="0"/>
          <c:spPr>
            <a:noFill/>
            <a:ln w="0">
              <a:noFill/>
            </a:ln>
          </c:spPr>
        </c:title>
        <c:numFmt formatCode="0.000000E+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t-BR"/>
          </a:p>
        </c:txPr>
        <c:crossAx val="72410593"/>
        <c:crosses val="autoZero"/>
        <c:crossBetween val="midCat"/>
        <c:majorUnit val="8.0000000000000004E-4"/>
      </c:valAx>
      <c:valAx>
        <c:axId val="7241059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1000" b="0" strike="noStrike" spc="-1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pt-BR" sz="1000" b="0" strike="noStrike" spc="-1">
                    <a:solidFill>
                      <a:srgbClr val="595959"/>
                    </a:solidFill>
                    <a:latin typeface="Aptos Narrow"/>
                  </a:rPr>
                  <a:t>Resíduo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E+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t-BR"/>
          </a:p>
        </c:txPr>
        <c:crossAx val="2254600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sz="1400" b="0" strike="noStrike" spc="-1">
                <a:solidFill>
                  <a:srgbClr val="595959"/>
                </a:solidFill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'Sem TS MC2020'!$R$3:$R$343</c:f>
              <c:numCache>
                <c:formatCode>0.000000</c:formatCode>
                <c:ptCount val="341"/>
                <c:pt idx="0">
                  <c:v>1.1590550246936698E-3</c:v>
                </c:pt>
                <c:pt idx="1">
                  <c:v>1.5212597199104399E-3</c:v>
                </c:pt>
                <c:pt idx="2">
                  <c:v>1.5714111392481451E-3</c:v>
                </c:pt>
                <c:pt idx="3">
                  <c:v>1.8165958560102701E-3</c:v>
                </c:pt>
                <c:pt idx="4">
                  <c:v>2.2958205296816901E-3</c:v>
                </c:pt>
                <c:pt idx="5">
                  <c:v>2.5000000000000001E-3</c:v>
                </c:pt>
                <c:pt idx="6">
                  <c:v>1.6145985781890599E-3</c:v>
                </c:pt>
                <c:pt idx="7">
                  <c:v>1.8391046662039198E-3</c:v>
                </c:pt>
                <c:pt idx="8">
                  <c:v>2.5000000000000001E-3</c:v>
                </c:pt>
                <c:pt idx="9">
                  <c:v>1.4252401609235849E-3</c:v>
                </c:pt>
                <c:pt idx="10">
                  <c:v>1.62499823072232E-3</c:v>
                </c:pt>
                <c:pt idx="11">
                  <c:v>1.8382231366872652E-3</c:v>
                </c:pt>
                <c:pt idx="12">
                  <c:v>2.0536925153465798E-3</c:v>
                </c:pt>
                <c:pt idx="13">
                  <c:v>2.1928498223973848E-3</c:v>
                </c:pt>
                <c:pt idx="14">
                  <c:v>2.4913646907483099E-3</c:v>
                </c:pt>
                <c:pt idx="15">
                  <c:v>2.51380941769199E-3</c:v>
                </c:pt>
                <c:pt idx="16">
                  <c:v>2.6933672332414148E-3</c:v>
                </c:pt>
                <c:pt idx="17">
                  <c:v>3.14E-3</c:v>
                </c:pt>
                <c:pt idx="18">
                  <c:v>3.14E-3</c:v>
                </c:pt>
                <c:pt idx="19">
                  <c:v>1.6073593822129701E-3</c:v>
                </c:pt>
                <c:pt idx="20">
                  <c:v>1.78595486912552E-3</c:v>
                </c:pt>
                <c:pt idx="21">
                  <c:v>1.8529281767177249E-3</c:v>
                </c:pt>
                <c:pt idx="22">
                  <c:v>1.9645503560380699E-3</c:v>
                </c:pt>
                <c:pt idx="23">
                  <c:v>2.1208214070865547E-3</c:v>
                </c:pt>
                <c:pt idx="24">
                  <c:v>2.4556879450475903E-3</c:v>
                </c:pt>
                <c:pt idx="25">
                  <c:v>7.0020982798795503E-4</c:v>
                </c:pt>
                <c:pt idx="26">
                  <c:v>1.0079943677628799E-3</c:v>
                </c:pt>
                <c:pt idx="27">
                  <c:v>1.21959623885814E-3</c:v>
                </c:pt>
                <c:pt idx="28">
                  <c:v>1.5697011528521198E-3</c:v>
                </c:pt>
                <c:pt idx="29">
                  <c:v>2.081392950227935E-3</c:v>
                </c:pt>
                <c:pt idx="30">
                  <c:v>1.5021647812462049E-3</c:v>
                </c:pt>
                <c:pt idx="31">
                  <c:v>1.93135471874512E-3</c:v>
                </c:pt>
                <c:pt idx="32">
                  <c:v>2.5000000000000001E-3</c:v>
                </c:pt>
                <c:pt idx="33">
                  <c:v>2.5000000000000001E-3</c:v>
                </c:pt>
                <c:pt idx="34">
                  <c:v>2.5000000000000001E-3</c:v>
                </c:pt>
                <c:pt idx="35">
                  <c:v>5.3256327612997501E-4</c:v>
                </c:pt>
                <c:pt idx="36">
                  <c:v>9.5861389703395003E-4</c:v>
                </c:pt>
                <c:pt idx="37">
                  <c:v>1.38466451793793E-3</c:v>
                </c:pt>
                <c:pt idx="38">
                  <c:v>1.81071513884191E-3</c:v>
                </c:pt>
                <c:pt idx="39">
                  <c:v>2.1302531045198901E-3</c:v>
                </c:pt>
                <c:pt idx="40">
                  <c:v>2.5000000000000001E-3</c:v>
                </c:pt>
                <c:pt idx="41">
                  <c:v>1.06235563563045E-3</c:v>
                </c:pt>
                <c:pt idx="42">
                  <c:v>1.27482676275654E-3</c:v>
                </c:pt>
                <c:pt idx="43">
                  <c:v>1.4872978898826249E-3</c:v>
                </c:pt>
                <c:pt idx="44">
                  <c:v>1.9122401441348049E-3</c:v>
                </c:pt>
                <c:pt idx="45">
                  <c:v>2.5000000000000001E-3</c:v>
                </c:pt>
                <c:pt idx="46">
                  <c:v>1.06235563563045E-3</c:v>
                </c:pt>
                <c:pt idx="47">
                  <c:v>1.4872978898826249E-3</c:v>
                </c:pt>
                <c:pt idx="48">
                  <c:v>1.9122401441348049E-3</c:v>
                </c:pt>
                <c:pt idx="49">
                  <c:v>2.5000000000000001E-3</c:v>
                </c:pt>
                <c:pt idx="50">
                  <c:v>1.2259738524273299E-3</c:v>
                </c:pt>
                <c:pt idx="51">
                  <c:v>1.4711686229128E-3</c:v>
                </c:pt>
                <c:pt idx="52">
                  <c:v>9.6972907455206993E-4</c:v>
                </c:pt>
                <c:pt idx="53">
                  <c:v>1.2121613431900901E-3</c:v>
                </c:pt>
                <c:pt idx="54">
                  <c:v>1.45459361182811E-3</c:v>
                </c:pt>
                <c:pt idx="55">
                  <c:v>9.6972907455206993E-4</c:v>
                </c:pt>
                <c:pt idx="56">
                  <c:v>1.2121613431900901E-3</c:v>
                </c:pt>
                <c:pt idx="57">
                  <c:v>1.45459361182811E-3</c:v>
                </c:pt>
                <c:pt idx="58">
                  <c:v>1.054187746342945E-3</c:v>
                </c:pt>
                <c:pt idx="59">
                  <c:v>1.5812816195144199E-3</c:v>
                </c:pt>
                <c:pt idx="60">
                  <c:v>2.1083754926858951E-3</c:v>
                </c:pt>
                <c:pt idx="61">
                  <c:v>2.5000000000000001E-3</c:v>
                </c:pt>
                <c:pt idx="62">
                  <c:v>1.054187746342945E-3</c:v>
                </c:pt>
                <c:pt idx="63">
                  <c:v>1.5812816195144199E-3</c:v>
                </c:pt>
                <c:pt idx="64">
                  <c:v>2.1083754926858951E-3</c:v>
                </c:pt>
                <c:pt idx="65">
                  <c:v>2.5000000000000001E-3</c:v>
                </c:pt>
                <c:pt idx="66">
                  <c:v>6.1170382914861501E-4</c:v>
                </c:pt>
                <c:pt idx="67">
                  <c:v>1.22340765829723E-3</c:v>
                </c:pt>
                <c:pt idx="68">
                  <c:v>6.0453356856480004E-4</c:v>
                </c:pt>
                <c:pt idx="69">
                  <c:v>1.2090671371296001E-3</c:v>
                </c:pt>
                <c:pt idx="70">
                  <c:v>6.0453356856480004E-4</c:v>
                </c:pt>
                <c:pt idx="71">
                  <c:v>1.2090671371296001E-3</c:v>
                </c:pt>
                <c:pt idx="72">
                  <c:v>1.4773531582663001E-3</c:v>
                </c:pt>
                <c:pt idx="73">
                  <c:v>1.7193334169478449E-3</c:v>
                </c:pt>
                <c:pt idx="74">
                  <c:v>1.5162801261564848E-3</c:v>
                </c:pt>
                <c:pt idx="75">
                  <c:v>1.73905113995199E-3</c:v>
                </c:pt>
                <c:pt idx="76">
                  <c:v>2.0552422563068951E-3</c:v>
                </c:pt>
                <c:pt idx="77">
                  <c:v>1.4486746145782701E-3</c:v>
                </c:pt>
                <c:pt idx="78">
                  <c:v>1.8999011338731448E-3</c:v>
                </c:pt>
                <c:pt idx="79">
                  <c:v>9.2636982235082992E-4</c:v>
                </c:pt>
                <c:pt idx="80">
                  <c:v>1.05883798499845E-3</c:v>
                </c:pt>
                <c:pt idx="81">
                  <c:v>1.1913061476460701E-3</c:v>
                </c:pt>
                <c:pt idx="82">
                  <c:v>1.3235474812480601E-3</c:v>
                </c:pt>
                <c:pt idx="83">
                  <c:v>1.455788814850055E-3</c:v>
                </c:pt>
                <c:pt idx="84">
                  <c:v>1.5882569774976749E-3</c:v>
                </c:pt>
                <c:pt idx="85">
                  <c:v>1.7207251401452951E-3</c:v>
                </c:pt>
                <c:pt idx="86">
                  <c:v>1.8527396447016598E-3</c:v>
                </c:pt>
                <c:pt idx="87">
                  <c:v>1.05883798499845E-3</c:v>
                </c:pt>
                <c:pt idx="88">
                  <c:v>1.1913061476460701E-3</c:v>
                </c:pt>
                <c:pt idx="89">
                  <c:v>1.3235474812480601E-3</c:v>
                </c:pt>
                <c:pt idx="90">
                  <c:v>1.455788814850055E-3</c:v>
                </c:pt>
                <c:pt idx="91">
                  <c:v>1.5882569774976749E-3</c:v>
                </c:pt>
                <c:pt idx="92">
                  <c:v>1.7207251401452951E-3</c:v>
                </c:pt>
                <c:pt idx="93">
                  <c:v>1.8527396447016598E-3</c:v>
                </c:pt>
                <c:pt idx="94">
                  <c:v>1.05883798499845E-3</c:v>
                </c:pt>
                <c:pt idx="95">
                  <c:v>1.1913061476460701E-3</c:v>
                </c:pt>
                <c:pt idx="96">
                  <c:v>1.3235474812480601E-3</c:v>
                </c:pt>
                <c:pt idx="97">
                  <c:v>1.455788814850055E-3</c:v>
                </c:pt>
                <c:pt idx="98">
                  <c:v>1.5882569774976749E-3</c:v>
                </c:pt>
                <c:pt idx="99">
                  <c:v>1.7207251401452951E-3</c:v>
                </c:pt>
                <c:pt idx="100">
                  <c:v>1.8527396447016598E-3</c:v>
                </c:pt>
                <c:pt idx="101">
                  <c:v>9.2636982235082992E-4</c:v>
                </c:pt>
                <c:pt idx="102">
                  <c:v>1.05883798499845E-3</c:v>
                </c:pt>
                <c:pt idx="103">
                  <c:v>1.1913061476460701E-3</c:v>
                </c:pt>
                <c:pt idx="104">
                  <c:v>1.3235474812480601E-3</c:v>
                </c:pt>
                <c:pt idx="105">
                  <c:v>1.455788814850055E-3</c:v>
                </c:pt>
                <c:pt idx="106">
                  <c:v>1.5882569774976749E-3</c:v>
                </c:pt>
                <c:pt idx="107">
                  <c:v>1.7207251401452951E-3</c:v>
                </c:pt>
                <c:pt idx="108">
                  <c:v>1.8527396447016598E-3</c:v>
                </c:pt>
                <c:pt idx="109">
                  <c:v>1.1665234603218601E-3</c:v>
                </c:pt>
                <c:pt idx="110">
                  <c:v>1.2560194600459999E-3</c:v>
                </c:pt>
                <c:pt idx="111">
                  <c:v>1.3458230061609449E-3</c:v>
                </c:pt>
                <c:pt idx="112">
                  <c:v>1.4356265522758901E-3</c:v>
                </c:pt>
                <c:pt idx="113">
                  <c:v>1.5254300983908351E-3</c:v>
                </c:pt>
                <c:pt idx="114">
                  <c:v>1.2560194600459999E-3</c:v>
                </c:pt>
                <c:pt idx="115">
                  <c:v>1.3458230061609449E-3</c:v>
                </c:pt>
                <c:pt idx="116">
                  <c:v>1.4356265522758901E-3</c:v>
                </c:pt>
                <c:pt idx="117">
                  <c:v>1.5254300983908351E-3</c:v>
                </c:pt>
                <c:pt idx="118">
                  <c:v>8.8143086760133994E-4</c:v>
                </c:pt>
                <c:pt idx="119">
                  <c:v>1.2117315139187599E-3</c:v>
                </c:pt>
                <c:pt idx="120">
                  <c:v>1.54203216023618E-3</c:v>
                </c:pt>
                <c:pt idx="121">
                  <c:v>1.2117315139187599E-3</c:v>
                </c:pt>
                <c:pt idx="122">
                  <c:v>1.54203216023618E-3</c:v>
                </c:pt>
                <c:pt idx="123">
                  <c:v>1.0438986964465199E-3</c:v>
                </c:pt>
                <c:pt idx="124">
                  <c:v>1.2675000084148649E-3</c:v>
                </c:pt>
                <c:pt idx="125">
                  <c:v>1.4911013203832149E-3</c:v>
                </c:pt>
                <c:pt idx="126">
                  <c:v>1.0438986964465199E-3</c:v>
                </c:pt>
                <c:pt idx="127">
                  <c:v>1.2675000084148649E-3</c:v>
                </c:pt>
                <c:pt idx="128">
                  <c:v>1.4911013203832149E-3</c:v>
                </c:pt>
                <c:pt idx="129">
                  <c:v>1.1322765133288E-3</c:v>
                </c:pt>
                <c:pt idx="130">
                  <c:v>1.3020694780524801E-3</c:v>
                </c:pt>
                <c:pt idx="131">
                  <c:v>1.4718624427761651E-3</c:v>
                </c:pt>
                <c:pt idx="132">
                  <c:v>1.1322765133288E-3</c:v>
                </c:pt>
                <c:pt idx="133">
                  <c:v>1.3020694780524801E-3</c:v>
                </c:pt>
                <c:pt idx="134">
                  <c:v>1.4718624427761651E-3</c:v>
                </c:pt>
                <c:pt idx="135">
                  <c:v>1.370718161063655E-3</c:v>
                </c:pt>
                <c:pt idx="136">
                  <c:v>1.471014611873195E-3</c:v>
                </c:pt>
                <c:pt idx="137">
                  <c:v>1.584683922790665E-3</c:v>
                </c:pt>
                <c:pt idx="138">
                  <c:v>1.684980373600205E-3</c:v>
                </c:pt>
                <c:pt idx="139">
                  <c:v>1.798649684517675E-3</c:v>
                </c:pt>
                <c:pt idx="140">
                  <c:v>1.89894613532721E-3</c:v>
                </c:pt>
                <c:pt idx="141">
                  <c:v>2.019301876298655E-3</c:v>
                </c:pt>
                <c:pt idx="142">
                  <c:v>1.257048850146185E-3</c:v>
                </c:pt>
                <c:pt idx="143">
                  <c:v>1.370718161063655E-3</c:v>
                </c:pt>
                <c:pt idx="144">
                  <c:v>1.47770104192716E-3</c:v>
                </c:pt>
                <c:pt idx="145">
                  <c:v>1.574654277709715E-3</c:v>
                </c:pt>
                <c:pt idx="146">
                  <c:v>1.684980373600205E-3</c:v>
                </c:pt>
                <c:pt idx="147">
                  <c:v>1.79530646949069E-3</c:v>
                </c:pt>
                <c:pt idx="148">
                  <c:v>1.8889164902462599E-3</c:v>
                </c:pt>
                <c:pt idx="149">
                  <c:v>1.9791832959748399E-3</c:v>
                </c:pt>
                <c:pt idx="150">
                  <c:v>1.0066634269547999E-3</c:v>
                </c:pt>
                <c:pt idx="151">
                  <c:v>1.1764073952510549E-3</c:v>
                </c:pt>
                <c:pt idx="152">
                  <c:v>1.3407050330137399E-3</c:v>
                </c:pt>
                <c:pt idx="153">
                  <c:v>1.5040949490208299E-3</c:v>
                </c:pt>
                <c:pt idx="154">
                  <c:v>1.66566942151673E-3</c:v>
                </c:pt>
                <c:pt idx="155">
                  <c:v>1.8317825027906051E-3</c:v>
                </c:pt>
                <c:pt idx="156">
                  <c:v>8.4871984148127491E-4</c:v>
                </c:pt>
                <c:pt idx="157">
                  <c:v>1.0093865922215851E-3</c:v>
                </c:pt>
                <c:pt idx="158">
                  <c:v>1.1736842299842698E-3</c:v>
                </c:pt>
                <c:pt idx="159">
                  <c:v>1.3361664242357652E-3</c:v>
                </c:pt>
                <c:pt idx="160">
                  <c:v>1.5050026707764249E-3</c:v>
                </c:pt>
                <c:pt idx="161">
                  <c:v>1.66566942151673E-3</c:v>
                </c:pt>
                <c:pt idx="162">
                  <c:v>1.743733492497895E-3</c:v>
                </c:pt>
                <c:pt idx="163">
                  <c:v>1.55154926787369E-3</c:v>
                </c:pt>
                <c:pt idx="164">
                  <c:v>1.651434413874145E-3</c:v>
                </c:pt>
                <c:pt idx="165">
                  <c:v>1.6714114430742351E-3</c:v>
                </c:pt>
                <c:pt idx="166">
                  <c:v>1.7557588996968401E-3</c:v>
                </c:pt>
                <c:pt idx="167">
                  <c:v>1.8134703173859899E-3</c:v>
                </c:pt>
                <c:pt idx="168">
                  <c:v>1.877840744808505E-3</c:v>
                </c:pt>
                <c:pt idx="169">
                  <c:v>1.935552162497655E-3</c:v>
                </c:pt>
                <c:pt idx="170">
                  <c:v>2.0043619297424103E-3</c:v>
                </c:pt>
                <c:pt idx="171">
                  <c:v>1.54489025814033E-3</c:v>
                </c:pt>
                <c:pt idx="172">
                  <c:v>1.6114803554739649E-3</c:v>
                </c:pt>
                <c:pt idx="173">
                  <c:v>1.6736311129853551E-3</c:v>
                </c:pt>
                <c:pt idx="174">
                  <c:v>1.73800154040787E-3</c:v>
                </c:pt>
                <c:pt idx="175">
                  <c:v>1.8068113076526251E-3</c:v>
                </c:pt>
                <c:pt idx="176">
                  <c:v>1.877840744808505E-3</c:v>
                </c:pt>
                <c:pt idx="177">
                  <c:v>1.9422111722310149E-3</c:v>
                </c:pt>
                <c:pt idx="178">
                  <c:v>1.9999225899201651E-3</c:v>
                </c:pt>
                <c:pt idx="179">
                  <c:v>1.6181393652073251E-3</c:v>
                </c:pt>
                <c:pt idx="180">
                  <c:v>1.68250979262984E-3</c:v>
                </c:pt>
                <c:pt idx="181">
                  <c:v>1.7735162589858099E-3</c:v>
                </c:pt>
                <c:pt idx="182">
                  <c:v>1.8267883368527152E-3</c:v>
                </c:pt>
                <c:pt idx="183">
                  <c:v>1.877840744808505E-3</c:v>
                </c:pt>
                <c:pt idx="184">
                  <c:v>1.9333324925865302E-3</c:v>
                </c:pt>
                <c:pt idx="185">
                  <c:v>2.0065815996535303E-3</c:v>
                </c:pt>
                <c:pt idx="186">
                  <c:v>1.12468244711666E-3</c:v>
                </c:pt>
                <c:pt idx="187">
                  <c:v>1.2994882015420601E-3</c:v>
                </c:pt>
                <c:pt idx="188">
                  <c:v>1.4737013940880549E-3</c:v>
                </c:pt>
                <c:pt idx="189">
                  <c:v>1.12468244711666E-3</c:v>
                </c:pt>
                <c:pt idx="190">
                  <c:v>1.29711795402443E-3</c:v>
                </c:pt>
                <c:pt idx="191">
                  <c:v>1.4707385846910151E-3</c:v>
                </c:pt>
                <c:pt idx="192">
                  <c:v>7.7151556698940493E-4</c:v>
                </c:pt>
                <c:pt idx="193">
                  <c:v>9.5165437832947996E-4</c:v>
                </c:pt>
                <c:pt idx="194">
                  <c:v>1.1217196377196199E-3</c:v>
                </c:pt>
                <c:pt idx="195">
                  <c:v>1.292377458989165E-3</c:v>
                </c:pt>
                <c:pt idx="196">
                  <c:v>1.5335501439082799E-3</c:v>
                </c:pt>
                <c:pt idx="197">
                  <c:v>8.9944020131478E-4</c:v>
                </c:pt>
                <c:pt idx="198">
                  <c:v>1.126483358928215E-3</c:v>
                </c:pt>
                <c:pt idx="199">
                  <c:v>1.353526516541655E-3</c:v>
                </c:pt>
                <c:pt idx="200">
                  <c:v>8.8419786866760506E-4</c:v>
                </c:pt>
                <c:pt idx="201">
                  <c:v>1.1037637823635899E-3</c:v>
                </c:pt>
                <c:pt idx="202">
                  <c:v>1.3233296960595701E-3</c:v>
                </c:pt>
                <c:pt idx="203">
                  <c:v>1.17361172711607E-3</c:v>
                </c:pt>
                <c:pt idx="204">
                  <c:v>1.5783054261216099E-3</c:v>
                </c:pt>
                <c:pt idx="205">
                  <c:v>1.8211216455249351E-3</c:v>
                </c:pt>
                <c:pt idx="206">
                  <c:v>2.0234684950277051E-3</c:v>
                </c:pt>
                <c:pt idx="207">
                  <c:v>2.34722345423214E-3</c:v>
                </c:pt>
                <c:pt idx="208">
                  <c:v>2.6305090435360199E-3</c:v>
                </c:pt>
                <c:pt idx="209">
                  <c:v>1.3543506665536298E-3</c:v>
                </c:pt>
                <c:pt idx="210">
                  <c:v>1.5402419345119699E-3</c:v>
                </c:pt>
                <c:pt idx="211">
                  <c:v>1.7792449933155549E-3</c:v>
                </c:pt>
                <c:pt idx="212">
                  <c:v>1.8854685750060349E-3</c:v>
                </c:pt>
                <c:pt idx="213">
                  <c:v>2.1244716338096152E-3</c:v>
                </c:pt>
                <c:pt idx="214">
                  <c:v>2.6290336468394004E-3</c:v>
                </c:pt>
                <c:pt idx="215">
                  <c:v>1.23460956472699E-3</c:v>
                </c:pt>
                <c:pt idx="216">
                  <c:v>1.4161697948339E-3</c:v>
                </c:pt>
                <c:pt idx="217">
                  <c:v>1.5795740019301202E-3</c:v>
                </c:pt>
                <c:pt idx="218">
                  <c:v>1.7792902550477251E-3</c:v>
                </c:pt>
                <c:pt idx="219">
                  <c:v>1.9790065081653251E-3</c:v>
                </c:pt>
                <c:pt idx="220">
                  <c:v>2.1605667382722351E-3</c:v>
                </c:pt>
                <c:pt idx="221">
                  <c:v>2.342126968379145E-3</c:v>
                </c:pt>
                <c:pt idx="222">
                  <c:v>2.5055311754753648E-3</c:v>
                </c:pt>
                <c:pt idx="223">
                  <c:v>1.8537364202436649E-3</c:v>
                </c:pt>
                <c:pt idx="224">
                  <c:v>2.21642398072612E-3</c:v>
                </c:pt>
                <c:pt idx="225">
                  <c:v>2.61941015903996E-3</c:v>
                </c:pt>
                <c:pt idx="226">
                  <c:v>1.3214004715473701E-3</c:v>
                </c:pt>
                <c:pt idx="227">
                  <c:v>1.5063965375640002E-3</c:v>
                </c:pt>
                <c:pt idx="228">
                  <c:v>1.7442486224425249E-3</c:v>
                </c:pt>
                <c:pt idx="229">
                  <c:v>1.8499606601663149E-3</c:v>
                </c:pt>
                <c:pt idx="230">
                  <c:v>2.0085287167520001E-3</c:v>
                </c:pt>
                <c:pt idx="231">
                  <c:v>2.1142407544757903E-3</c:v>
                </c:pt>
                <c:pt idx="232">
                  <c:v>2.3732352468990702E-3</c:v>
                </c:pt>
                <c:pt idx="233">
                  <c:v>2.6322297393223549E-3</c:v>
                </c:pt>
                <c:pt idx="234">
                  <c:v>1.5170128415709549E-3</c:v>
                </c:pt>
                <c:pt idx="235">
                  <c:v>1.5892515483124251E-3</c:v>
                </c:pt>
                <c:pt idx="236">
                  <c:v>1.7698483151661099E-3</c:v>
                </c:pt>
                <c:pt idx="237">
                  <c:v>1.9685047587051649E-3</c:v>
                </c:pt>
                <c:pt idx="238">
                  <c:v>2.14910152555885E-3</c:v>
                </c:pt>
                <c:pt idx="239">
                  <c:v>2.311638615727165E-3</c:v>
                </c:pt>
                <c:pt idx="240">
                  <c:v>2.51029505926622E-3</c:v>
                </c:pt>
                <c:pt idx="241">
                  <c:v>7.5585984988729509E-4</c:v>
                </c:pt>
                <c:pt idx="242">
                  <c:v>1.00853299970676E-3</c:v>
                </c:pt>
                <c:pt idx="243">
                  <c:v>1.1532261709709E-3</c:v>
                </c:pt>
                <c:pt idx="244">
                  <c:v>1.319515337946105E-3</c:v>
                </c:pt>
                <c:pt idx="245">
                  <c:v>1.5786672864788901E-3</c:v>
                </c:pt>
                <c:pt idx="246">
                  <c:v>1.7104028603163899E-3</c:v>
                </c:pt>
                <c:pt idx="247">
                  <c:v>1.9026072221448749E-3</c:v>
                </c:pt>
                <c:pt idx="248">
                  <c:v>1.80834787254514E-3</c:v>
                </c:pt>
                <c:pt idx="249">
                  <c:v>1.9615000000000001E-3</c:v>
                </c:pt>
                <c:pt idx="250">
                  <c:v>1.8150207429235351E-3</c:v>
                </c:pt>
                <c:pt idx="251">
                  <c:v>1.9615000000000001E-3</c:v>
                </c:pt>
                <c:pt idx="252">
                  <c:v>1.8150207429235351E-3</c:v>
                </c:pt>
                <c:pt idx="253">
                  <c:v>1.9615000000000001E-3</c:v>
                </c:pt>
                <c:pt idx="254">
                  <c:v>1.82169361330193E-3</c:v>
                </c:pt>
                <c:pt idx="255">
                  <c:v>1.9615000000000001E-3</c:v>
                </c:pt>
                <c:pt idx="256">
                  <c:v>1.5855134897039399E-3</c:v>
                </c:pt>
                <c:pt idx="257">
                  <c:v>1.9615000000000001E-3</c:v>
                </c:pt>
                <c:pt idx="258">
                  <c:v>1.5956770377148649E-3</c:v>
                </c:pt>
                <c:pt idx="259">
                  <c:v>1.9615000000000001E-3</c:v>
                </c:pt>
                <c:pt idx="260">
                  <c:v>1.3001451112340399E-3</c:v>
                </c:pt>
                <c:pt idx="261">
                  <c:v>1.8268705665544999E-3</c:v>
                </c:pt>
                <c:pt idx="262">
                  <c:v>1.9615000000000001E-3</c:v>
                </c:pt>
                <c:pt idx="263">
                  <c:v>1.3068125220608848E-3</c:v>
                </c:pt>
                <c:pt idx="264">
                  <c:v>1.83353797738134E-3</c:v>
                </c:pt>
                <c:pt idx="265">
                  <c:v>9.3512869520693002E-4</c:v>
                </c:pt>
                <c:pt idx="266">
                  <c:v>1.30538269635485E-3</c:v>
                </c:pt>
                <c:pt idx="267">
                  <c:v>1.6803835436713351E-3</c:v>
                </c:pt>
                <c:pt idx="268">
                  <c:v>1.9615000000000001E-3</c:v>
                </c:pt>
                <c:pt idx="269">
                  <c:v>9.3038184903836499E-4</c:v>
                </c:pt>
                <c:pt idx="270">
                  <c:v>1.2958890040177249E-3</c:v>
                </c:pt>
                <c:pt idx="271">
                  <c:v>1.666143005165645E-3</c:v>
                </c:pt>
                <c:pt idx="272">
                  <c:v>1.827363457581255E-3</c:v>
                </c:pt>
                <c:pt idx="273">
                  <c:v>1.9615000000000001E-3</c:v>
                </c:pt>
                <c:pt idx="274">
                  <c:v>1.827363457581255E-3</c:v>
                </c:pt>
                <c:pt idx="275">
                  <c:v>1.9615000000000001E-3</c:v>
                </c:pt>
                <c:pt idx="276">
                  <c:v>1.1065506590074898E-3</c:v>
                </c:pt>
                <c:pt idx="277">
                  <c:v>1.29570461781219E-3</c:v>
                </c:pt>
                <c:pt idx="278">
                  <c:v>1.4801297276467698E-3</c:v>
                </c:pt>
                <c:pt idx="279">
                  <c:v>1.66928368645147E-3</c:v>
                </c:pt>
                <c:pt idx="280">
                  <c:v>1.8489799473159351E-3</c:v>
                </c:pt>
                <c:pt idx="281">
                  <c:v>1.9615000000000001E-3</c:v>
                </c:pt>
                <c:pt idx="282">
                  <c:v>1.4801297276467698E-3</c:v>
                </c:pt>
                <c:pt idx="283">
                  <c:v>1.6598259885112351E-3</c:v>
                </c:pt>
                <c:pt idx="284">
                  <c:v>1.8489799473159351E-3</c:v>
                </c:pt>
                <c:pt idx="285">
                  <c:v>1.9615000000000001E-3</c:v>
                </c:pt>
                <c:pt idx="286">
                  <c:v>1.0151124656869201E-3</c:v>
                </c:pt>
                <c:pt idx="287">
                  <c:v>1.2225010339455352E-3</c:v>
                </c:pt>
                <c:pt idx="288">
                  <c:v>1.379E-3</c:v>
                </c:pt>
                <c:pt idx="289">
                  <c:v>1.379E-3</c:v>
                </c:pt>
                <c:pt idx="290">
                  <c:v>1.248729421730305E-3</c:v>
                </c:pt>
                <c:pt idx="291">
                  <c:v>1.379E-3</c:v>
                </c:pt>
                <c:pt idx="292">
                  <c:v>1.35644718780187E-3</c:v>
                </c:pt>
                <c:pt idx="293">
                  <c:v>9.7556762990015503E-4</c:v>
                </c:pt>
                <c:pt idx="294">
                  <c:v>1.1347351823194601E-3</c:v>
                </c:pt>
                <c:pt idx="295">
                  <c:v>1.3045646760491498E-3</c:v>
                </c:pt>
                <c:pt idx="296">
                  <c:v>1.379E-3</c:v>
                </c:pt>
                <c:pt idx="297">
                  <c:v>1.298160758830825E-3</c:v>
                </c:pt>
                <c:pt idx="298">
                  <c:v>1.379E-3</c:v>
                </c:pt>
                <c:pt idx="299">
                  <c:v>9.7105963453005006E-4</c:v>
                </c:pt>
                <c:pt idx="300">
                  <c:v>1.129491690436985E-3</c:v>
                </c:pt>
                <c:pt idx="301">
                  <c:v>1.2985364199453349E-3</c:v>
                </c:pt>
                <c:pt idx="302">
                  <c:v>1.379E-3</c:v>
                </c:pt>
                <c:pt idx="303">
                  <c:v>9.7177298016251493E-4</c:v>
                </c:pt>
                <c:pt idx="304">
                  <c:v>1.130321421110185E-3</c:v>
                </c:pt>
                <c:pt idx="305">
                  <c:v>1.2994903317864049E-3</c:v>
                </c:pt>
                <c:pt idx="306">
                  <c:v>1.379E-3</c:v>
                </c:pt>
                <c:pt idx="307">
                  <c:v>1.17057909144943E-3</c:v>
                </c:pt>
                <c:pt idx="308">
                  <c:v>1.3742364237570299E-3</c:v>
                </c:pt>
                <c:pt idx="309">
                  <c:v>8.9747800161302E-4</c:v>
                </c:pt>
                <c:pt idx="310">
                  <c:v>1.06371271325744E-3</c:v>
                </c:pt>
                <c:pt idx="311">
                  <c:v>1.2261585995652299E-3</c:v>
                </c:pt>
                <c:pt idx="312">
                  <c:v>1.379E-3</c:v>
                </c:pt>
                <c:pt idx="313">
                  <c:v>1.0647374579413249E-3</c:v>
                </c:pt>
                <c:pt idx="314">
                  <c:v>8.9747800161302E-4</c:v>
                </c:pt>
                <c:pt idx="315">
                  <c:v>1.06371271325744E-3</c:v>
                </c:pt>
                <c:pt idx="316">
                  <c:v>1.2261585995652299E-3</c:v>
                </c:pt>
                <c:pt idx="317">
                  <c:v>1.379E-3</c:v>
                </c:pt>
                <c:pt idx="318">
                  <c:v>1.067140570724365E-3</c:v>
                </c:pt>
                <c:pt idx="319">
                  <c:v>1.2301099455055151E-3</c:v>
                </c:pt>
                <c:pt idx="320">
                  <c:v>1.379E-3</c:v>
                </c:pt>
                <c:pt idx="321">
                  <c:v>8.5401649577341004E-4</c:v>
                </c:pt>
                <c:pt idx="322">
                  <c:v>1.051210004239545E-3</c:v>
                </c:pt>
                <c:pt idx="323">
                  <c:v>1.2256786102430399E-3</c:v>
                </c:pt>
                <c:pt idx="324">
                  <c:v>1.35029904310268E-3</c:v>
                </c:pt>
                <c:pt idx="325">
                  <c:v>1.379E-3</c:v>
                </c:pt>
                <c:pt idx="326">
                  <c:v>8.5163864209600998E-4</c:v>
                </c:pt>
                <c:pt idx="327">
                  <c:v>1.0482831010864199E-3</c:v>
                </c:pt>
                <c:pt idx="328">
                  <c:v>1.222265930973845E-3</c:v>
                </c:pt>
                <c:pt idx="329">
                  <c:v>1.34653938089343E-3</c:v>
                </c:pt>
                <c:pt idx="330">
                  <c:v>1.379E-3</c:v>
                </c:pt>
                <c:pt idx="331">
                  <c:v>9.1615152738756507E-4</c:v>
                </c:pt>
                <c:pt idx="332">
                  <c:v>1.0994516614875949E-3</c:v>
                </c:pt>
                <c:pt idx="333">
                  <c:v>1.240854622079045E-3</c:v>
                </c:pt>
                <c:pt idx="334">
                  <c:v>1.379E-3</c:v>
                </c:pt>
                <c:pt idx="335">
                  <c:v>1.0994516614875949E-3</c:v>
                </c:pt>
                <c:pt idx="336">
                  <c:v>1.240854622079045E-3</c:v>
                </c:pt>
                <c:pt idx="337">
                  <c:v>1.379E-3</c:v>
                </c:pt>
                <c:pt idx="338">
                  <c:v>9.2043240356728007E-4</c:v>
                </c:pt>
                <c:pt idx="339">
                  <c:v>7.18964384934785E-4</c:v>
                </c:pt>
                <c:pt idx="340">
                  <c:v>9.1821495147259005E-4</c:v>
                </c:pt>
              </c:numCache>
            </c:numRef>
          </c:xVal>
          <c:yVal>
            <c:numRef>
              <c:f>'Com TS variável MC2020'!$AQ$11:$AQ$351</c:f>
              <c:numCache>
                <c:formatCode>0.00</c:formatCode>
                <c:ptCount val="341"/>
                <c:pt idx="0">
                  <c:v>3.7309262613594546E-2</c:v>
                </c:pt>
                <c:pt idx="1">
                  <c:v>7.4202526793118312E-2</c:v>
                </c:pt>
                <c:pt idx="2">
                  <c:v>7.8486208267481872E-2</c:v>
                </c:pt>
                <c:pt idx="3">
                  <c:v>0.11687098192123124</c:v>
                </c:pt>
                <c:pt idx="4">
                  <c:v>0.16490294805878003</c:v>
                </c:pt>
                <c:pt idx="5">
                  <c:v>0.16764368831311982</c:v>
                </c:pt>
                <c:pt idx="6">
                  <c:v>1.4113895564218937E-4</c:v>
                </c:pt>
                <c:pt idx="7">
                  <c:v>2.0929384845146587E-2</c:v>
                </c:pt>
                <c:pt idx="8">
                  <c:v>5.465648993745309E-2</c:v>
                </c:pt>
                <c:pt idx="9">
                  <c:v>-1.8481015110416971E-2</c:v>
                </c:pt>
                <c:pt idx="10">
                  <c:v>-2.9594914553418228E-2</c:v>
                </c:pt>
                <c:pt idx="11">
                  <c:v>3.727878954279118E-4</c:v>
                </c:pt>
                <c:pt idx="12">
                  <c:v>-1.0103448743911003E-2</c:v>
                </c:pt>
                <c:pt idx="13">
                  <c:v>-5.1387344386179007E-2</c:v>
                </c:pt>
                <c:pt idx="14">
                  <c:v>-3.2042619725462795E-2</c:v>
                </c:pt>
                <c:pt idx="15">
                  <c:v>-8.9124711033184423E-2</c:v>
                </c:pt>
                <c:pt idx="16">
                  <c:v>-0.10596606105811346</c:v>
                </c:pt>
                <c:pt idx="17">
                  <c:v>-6.9637416709089683E-2</c:v>
                </c:pt>
                <c:pt idx="18">
                  <c:v>-0.12963741670908968</c:v>
                </c:pt>
                <c:pt idx="19">
                  <c:v>-7.8082864918689349E-2</c:v>
                </c:pt>
                <c:pt idx="20">
                  <c:v>-0.11279199965328815</c:v>
                </c:pt>
                <c:pt idx="21">
                  <c:v>-0.10345615369465203</c:v>
                </c:pt>
                <c:pt idx="22">
                  <c:v>-8.8059249663167666E-2</c:v>
                </c:pt>
                <c:pt idx="23">
                  <c:v>-0.14681788655931435</c:v>
                </c:pt>
                <c:pt idx="24">
                  <c:v>-0.16237672043653611</c:v>
                </c:pt>
                <c:pt idx="25">
                  <c:v>-9.891814778428662E-2</c:v>
                </c:pt>
                <c:pt idx="26">
                  <c:v>-6.004391261913683E-2</c:v>
                </c:pt>
                <c:pt idx="27">
                  <c:v>-8.2013988210491801E-2</c:v>
                </c:pt>
                <c:pt idx="28">
                  <c:v>-0.20206394663039035</c:v>
                </c:pt>
                <c:pt idx="29">
                  <c:v>-0.27916768376371975</c:v>
                </c:pt>
                <c:pt idx="30">
                  <c:v>-0.136746645704725</c:v>
                </c:pt>
                <c:pt idx="31">
                  <c:v>-0.11333837150325726</c:v>
                </c:pt>
                <c:pt idx="32">
                  <c:v>-0.12638330220389227</c:v>
                </c:pt>
                <c:pt idx="33">
                  <c:v>-0.27638330220389218</c:v>
                </c:pt>
                <c:pt idx="34">
                  <c:v>-0.35638330220389225</c:v>
                </c:pt>
                <c:pt idx="35">
                  <c:v>-0.13329761130497161</c:v>
                </c:pt>
                <c:pt idx="36">
                  <c:v>-9.5939489566435998E-2</c:v>
                </c:pt>
                <c:pt idx="37">
                  <c:v>-0.12679470658762837</c:v>
                </c:pt>
                <c:pt idx="38">
                  <c:v>-0.16240166013771995</c:v>
                </c:pt>
                <c:pt idx="39">
                  <c:v>-0.20880829874900525</c:v>
                </c:pt>
                <c:pt idx="40">
                  <c:v>-0.35861853028031898</c:v>
                </c:pt>
                <c:pt idx="41">
                  <c:v>-8.9759132900571803E-2</c:v>
                </c:pt>
                <c:pt idx="42">
                  <c:v>-0.14156862202499312</c:v>
                </c:pt>
                <c:pt idx="43">
                  <c:v>-0.16533495887269212</c:v>
                </c:pt>
                <c:pt idx="44">
                  <c:v>-0.21719935617040337</c:v>
                </c:pt>
                <c:pt idx="45">
                  <c:v>-0.32207285381326201</c:v>
                </c:pt>
                <c:pt idx="46">
                  <c:v>-4.9759132900571823E-2</c:v>
                </c:pt>
                <c:pt idx="47">
                  <c:v>-0.1453349588726921</c:v>
                </c:pt>
                <c:pt idx="48">
                  <c:v>-0.2571993561704034</c:v>
                </c:pt>
                <c:pt idx="49">
                  <c:v>-0.36207285381326204</c:v>
                </c:pt>
                <c:pt idx="50">
                  <c:v>-8.7509369270831167E-2</c:v>
                </c:pt>
                <c:pt idx="51">
                  <c:v>-0.1193410206361521</c:v>
                </c:pt>
                <c:pt idx="52">
                  <c:v>-2.7706074927044633E-2</c:v>
                </c:pt>
                <c:pt idx="53">
                  <c:v>-9.6069863155676977E-2</c:v>
                </c:pt>
                <c:pt idx="54">
                  <c:v>-8.9926281260345797E-2</c:v>
                </c:pt>
                <c:pt idx="55">
                  <c:v>-0.13770607492704462</c:v>
                </c:pt>
                <c:pt idx="56">
                  <c:v>-0.22606986315567698</c:v>
                </c:pt>
                <c:pt idx="57">
                  <c:v>-0.24992628126034583</c:v>
                </c:pt>
                <c:pt idx="58">
                  <c:v>-6.9820947968490477E-2</c:v>
                </c:pt>
                <c:pt idx="59">
                  <c:v>-0.10298997609348146</c:v>
                </c:pt>
                <c:pt idx="60">
                  <c:v>-0.16162969017645606</c:v>
                </c:pt>
                <c:pt idx="61">
                  <c:v>-0.28363508366299151</c:v>
                </c:pt>
                <c:pt idx="62">
                  <c:v>-0.10982094796849048</c:v>
                </c:pt>
                <c:pt idx="63">
                  <c:v>-0.1529899760934815</c:v>
                </c:pt>
                <c:pt idx="64">
                  <c:v>-0.2016296901764561</c:v>
                </c:pt>
                <c:pt idx="65">
                  <c:v>-0.33363508366299144</c:v>
                </c:pt>
                <c:pt idx="66">
                  <c:v>-0.16357886755308693</c:v>
                </c:pt>
                <c:pt idx="67">
                  <c:v>-0.18369733964532248</c:v>
                </c:pt>
                <c:pt idx="68">
                  <c:v>-0.12846989953892848</c:v>
                </c:pt>
                <c:pt idx="69">
                  <c:v>-0.22811664453398306</c:v>
                </c:pt>
                <c:pt idx="70">
                  <c:v>-0.13846989953892849</c:v>
                </c:pt>
                <c:pt idx="71">
                  <c:v>-0.21811664453398305</c:v>
                </c:pt>
                <c:pt idx="72">
                  <c:v>-1.7896850495174671E-2</c:v>
                </c:pt>
                <c:pt idx="73">
                  <c:v>-1.1607965441951085E-2</c:v>
                </c:pt>
                <c:pt idx="74">
                  <c:v>-1.4777635089381874E-2</c:v>
                </c:pt>
                <c:pt idx="75">
                  <c:v>-1.3013661677901689E-2</c:v>
                </c:pt>
                <c:pt idx="76">
                  <c:v>-1.3048455262089087E-2</c:v>
                </c:pt>
                <c:pt idx="77">
                  <c:v>-4.3095256223749406E-2</c:v>
                </c:pt>
                <c:pt idx="78">
                  <c:v>-5.6372480402604203E-2</c:v>
                </c:pt>
                <c:pt idx="79">
                  <c:v>-7.5383263069278741E-2</c:v>
                </c:pt>
                <c:pt idx="80">
                  <c:v>-7.1241384383595147E-2</c:v>
                </c:pt>
                <c:pt idx="81">
                  <c:v>-6.905129144660388E-2</c:v>
                </c:pt>
                <c:pt idx="82">
                  <c:v>-4.8548899863978867E-2</c:v>
                </c:pt>
                <c:pt idx="83">
                  <c:v>6.1035680379234458E-4</c:v>
                </c:pt>
                <c:pt idx="84">
                  <c:v>2.869958410834933E-2</c:v>
                </c:pt>
                <c:pt idx="85">
                  <c:v>4.5783056537698708E-2</c:v>
                </c:pt>
                <c:pt idx="86">
                  <c:v>9.1822973518821627E-2</c:v>
                </c:pt>
                <c:pt idx="87">
                  <c:v>-2.124138438359513E-2</c:v>
                </c:pt>
                <c:pt idx="88">
                  <c:v>9.4870855339612703E-4</c:v>
                </c:pt>
                <c:pt idx="89">
                  <c:v>3.1451100136021148E-2</c:v>
                </c:pt>
                <c:pt idx="90">
                  <c:v>3.0610356803792371E-2</c:v>
                </c:pt>
                <c:pt idx="91">
                  <c:v>2.869958410834933E-2</c:v>
                </c:pt>
                <c:pt idx="92">
                  <c:v>4.5783056537698708E-2</c:v>
                </c:pt>
                <c:pt idx="93">
                  <c:v>4.1822973518821638E-2</c:v>
                </c:pt>
                <c:pt idx="94">
                  <c:v>-1.3259309636124511E-2</c:v>
                </c:pt>
                <c:pt idx="95">
                  <c:v>-6.1135837259079506E-3</c:v>
                </c:pt>
                <c:pt idx="96">
                  <c:v>9.9192026455038051E-3</c:v>
                </c:pt>
                <c:pt idx="97">
                  <c:v>1.5064901482055748E-2</c:v>
                </c:pt>
                <c:pt idx="98">
                  <c:v>2.9504417599980737E-2</c:v>
                </c:pt>
                <c:pt idx="99">
                  <c:v>1.3272948375740556E-2</c:v>
                </c:pt>
                <c:pt idx="100">
                  <c:v>4.6334681660199106E-2</c:v>
                </c:pt>
                <c:pt idx="101">
                  <c:v>-5.1677728422742264E-2</c:v>
                </c:pt>
                <c:pt idx="102">
                  <c:v>-4.325930963612451E-2</c:v>
                </c:pt>
                <c:pt idx="103">
                  <c:v>-6.1135837259079506E-3</c:v>
                </c:pt>
                <c:pt idx="104">
                  <c:v>-4.0080797354496184E-2</c:v>
                </c:pt>
                <c:pt idx="105">
                  <c:v>-3.4935098517944269E-2</c:v>
                </c:pt>
                <c:pt idx="106">
                  <c:v>-5.0495582400019279E-2</c:v>
                </c:pt>
                <c:pt idx="107">
                  <c:v>-6.6727051624259459E-2</c:v>
                </c:pt>
                <c:pt idx="108">
                  <c:v>-8.3665318339800898E-2</c:v>
                </c:pt>
                <c:pt idx="109">
                  <c:v>1.3221605761794569E-2</c:v>
                </c:pt>
                <c:pt idx="110">
                  <c:v>1.9539899754259515E-3</c:v>
                </c:pt>
                <c:pt idx="111">
                  <c:v>2.0441375288831526E-2</c:v>
                </c:pt>
                <c:pt idx="112">
                  <c:v>1.8649401192340126E-2</c:v>
                </c:pt>
                <c:pt idx="113">
                  <c:v>3.6603692911252955E-2</c:v>
                </c:pt>
                <c:pt idx="114">
                  <c:v>3.195398997542595E-2</c:v>
                </c:pt>
                <c:pt idx="115">
                  <c:v>2.0441375288831526E-2</c:v>
                </c:pt>
                <c:pt idx="116">
                  <c:v>1.8649401192340126E-2</c:v>
                </c:pt>
                <c:pt idx="117">
                  <c:v>3.6603692911252955E-2</c:v>
                </c:pt>
                <c:pt idx="118">
                  <c:v>-0.16950443204327034</c:v>
                </c:pt>
                <c:pt idx="119">
                  <c:v>-0.1080765341100797</c:v>
                </c:pt>
                <c:pt idx="120">
                  <c:v>-8.5183530346791242E-2</c:v>
                </c:pt>
                <c:pt idx="121">
                  <c:v>-8.8076534110079707E-2</c:v>
                </c:pt>
                <c:pt idx="122">
                  <c:v>-3.5183530346791253E-2</c:v>
                </c:pt>
                <c:pt idx="123">
                  <c:v>-9.2139337443509731E-2</c:v>
                </c:pt>
                <c:pt idx="124">
                  <c:v>-6.806334263985056E-2</c:v>
                </c:pt>
                <c:pt idx="125">
                  <c:v>-1.76025264528126E-2</c:v>
                </c:pt>
                <c:pt idx="126">
                  <c:v>-9.2139337443509731E-2</c:v>
                </c:pt>
                <c:pt idx="127">
                  <c:v>-6.806334263985056E-2</c:v>
                </c:pt>
                <c:pt idx="128">
                  <c:v>-1.76025264528126E-2</c:v>
                </c:pt>
                <c:pt idx="129">
                  <c:v>-2.6468387608700059E-2</c:v>
                </c:pt>
                <c:pt idx="130">
                  <c:v>2.7872075570275129E-2</c:v>
                </c:pt>
                <c:pt idx="131">
                  <c:v>5.0286113781625147E-2</c:v>
                </c:pt>
                <c:pt idx="132">
                  <c:v>-5.6468387608700057E-2</c:v>
                </c:pt>
                <c:pt idx="133">
                  <c:v>-2.2127924429724888E-2</c:v>
                </c:pt>
                <c:pt idx="134">
                  <c:v>2.8611378162513024E-4</c:v>
                </c:pt>
                <c:pt idx="135">
                  <c:v>6.6567372072305897E-3</c:v>
                </c:pt>
                <c:pt idx="136">
                  <c:v>2.4859728445668028E-2</c:v>
                </c:pt>
                <c:pt idx="137">
                  <c:v>4.7272206962895108E-2</c:v>
                </c:pt>
                <c:pt idx="138">
                  <c:v>6.3998428828017345E-2</c:v>
                </c:pt>
                <c:pt idx="139">
                  <c:v>8.4913834647164399E-2</c:v>
                </c:pt>
                <c:pt idx="140">
                  <c:v>0.10044925555195777</c:v>
                </c:pt>
                <c:pt idx="141">
                  <c:v>0.12245540624847834</c:v>
                </c:pt>
                <c:pt idx="142">
                  <c:v>-2.7645624567915597E-2</c:v>
                </c:pt>
                <c:pt idx="143">
                  <c:v>-3.3432627927694192E-3</c:v>
                </c:pt>
                <c:pt idx="144">
                  <c:v>1.737954531758798E-2</c:v>
                </c:pt>
                <c:pt idx="145">
                  <c:v>4.3564961396962365E-2</c:v>
                </c:pt>
                <c:pt idx="146">
                  <c:v>6.3998428828017345E-2</c:v>
                </c:pt>
                <c:pt idx="147">
                  <c:v>8.3720477264138726E-2</c:v>
                </c:pt>
                <c:pt idx="148">
                  <c:v>9.6918201730684883E-2</c:v>
                </c:pt>
                <c:pt idx="149">
                  <c:v>9.8526702838580893E-2</c:v>
                </c:pt>
                <c:pt idx="150">
                  <c:v>5.3091148061314208E-2</c:v>
                </c:pt>
                <c:pt idx="151">
                  <c:v>8.0046244682146273E-2</c:v>
                </c:pt>
                <c:pt idx="152">
                  <c:v>9.3385303366977701E-2</c:v>
                </c:pt>
                <c:pt idx="153">
                  <c:v>0.11499686091981448</c:v>
                </c:pt>
                <c:pt idx="154">
                  <c:v>0.11484705512344151</c:v>
                </c:pt>
                <c:pt idx="155">
                  <c:v>0.14503613131199511</c:v>
                </c:pt>
                <c:pt idx="156">
                  <c:v>7.9744828640518628E-3</c:v>
                </c:pt>
                <c:pt idx="157">
                  <c:v>2.4021991417596145E-2</c:v>
                </c:pt>
                <c:pt idx="158">
                  <c:v>3.9148401278385481E-2</c:v>
                </c:pt>
                <c:pt idx="159">
                  <c:v>6.193244448156543E-2</c:v>
                </c:pt>
                <c:pt idx="160">
                  <c:v>9.5280044262121999E-2</c:v>
                </c:pt>
                <c:pt idx="161">
                  <c:v>0.11484705512344151</c:v>
                </c:pt>
                <c:pt idx="162">
                  <c:v>0.12855831983960508</c:v>
                </c:pt>
                <c:pt idx="163">
                  <c:v>6.718567498774744E-2</c:v>
                </c:pt>
                <c:pt idx="164">
                  <c:v>6.1294028248055132E-2</c:v>
                </c:pt>
                <c:pt idx="165">
                  <c:v>5.8047277838686795E-2</c:v>
                </c:pt>
                <c:pt idx="166">
                  <c:v>5.6325866018012066E-2</c:v>
                </c:pt>
                <c:pt idx="167">
                  <c:v>5.5466123738925788E-2</c:v>
                </c:pt>
                <c:pt idx="168">
                  <c:v>4.6627346031432204E-2</c:v>
                </c:pt>
                <c:pt idx="169">
                  <c:v>3.5439880651217337E-2</c:v>
                </c:pt>
                <c:pt idx="170">
                  <c:v>7.6832222031392172E-3</c:v>
                </c:pt>
                <c:pt idx="171">
                  <c:v>5.4890621118379834E-2</c:v>
                </c:pt>
                <c:pt idx="172">
                  <c:v>5.7720490951445796E-2</c:v>
                </c:pt>
                <c:pt idx="173">
                  <c:v>5.8796287518488977E-2</c:v>
                </c:pt>
                <c:pt idx="174">
                  <c:v>5.0403216832245218E-2</c:v>
                </c:pt>
                <c:pt idx="175">
                  <c:v>6.3265915482536073E-2</c:v>
                </c:pt>
                <c:pt idx="176">
                  <c:v>7.6627346031432231E-2</c:v>
                </c:pt>
                <c:pt idx="177">
                  <c:v>7.7601194856554145E-2</c:v>
                </c:pt>
                <c:pt idx="178">
                  <c:v>7.6254104987486082E-2</c:v>
                </c:pt>
                <c:pt idx="179">
                  <c:v>8.9989064961358417E-2</c:v>
                </c:pt>
                <c:pt idx="180">
                  <c:v>0.10178965063982717</c:v>
                </c:pt>
                <c:pt idx="181">
                  <c:v>0.112232635994299</c:v>
                </c:pt>
                <c:pt idx="182">
                  <c:v>0.12986019396344456</c:v>
                </c:pt>
                <c:pt idx="183">
                  <c:v>0.13662734603143223</c:v>
                </c:pt>
                <c:pt idx="184">
                  <c:v>0.14471901868466558</c:v>
                </c:pt>
                <c:pt idx="185">
                  <c:v>0.14839747949112689</c:v>
                </c:pt>
                <c:pt idx="186">
                  <c:v>7.2916789302325785E-2</c:v>
                </c:pt>
                <c:pt idx="187">
                  <c:v>8.4163544929391432E-2</c:v>
                </c:pt>
                <c:pt idx="188">
                  <c:v>0.10372101604044184</c:v>
                </c:pt>
                <c:pt idx="189">
                  <c:v>9.2916789302325775E-2</c:v>
                </c:pt>
                <c:pt idx="190">
                  <c:v>0.11347954252300588</c:v>
                </c:pt>
                <c:pt idx="191">
                  <c:v>0.12288932298033503</c:v>
                </c:pt>
                <c:pt idx="192">
                  <c:v>-8.6977020301587063E-2</c:v>
                </c:pt>
                <c:pt idx="193">
                  <c:v>-6.9670238702670945E-2</c:v>
                </c:pt>
                <c:pt idx="194">
                  <c:v>-5.7966850369668199E-2</c:v>
                </c:pt>
                <c:pt idx="195">
                  <c:v>-4.7889300430067061E-2</c:v>
                </c:pt>
                <c:pt idx="196">
                  <c:v>-1.9554909630861317E-2</c:v>
                </c:pt>
                <c:pt idx="197">
                  <c:v>-5.4355924512876908E-3</c:v>
                </c:pt>
                <c:pt idx="198">
                  <c:v>-3.9076863039911036E-3</c:v>
                </c:pt>
                <c:pt idx="199">
                  <c:v>2.3507966116625811E-2</c:v>
                </c:pt>
                <c:pt idx="200">
                  <c:v>-2.7618114732662569E-2</c:v>
                </c:pt>
                <c:pt idx="201">
                  <c:v>-5.0178173764117012E-2</c:v>
                </c:pt>
                <c:pt idx="202">
                  <c:v>-7.5314992035525608E-2</c:v>
                </c:pt>
                <c:pt idx="203">
                  <c:v>2.3423925821931396E-2</c:v>
                </c:pt>
                <c:pt idx="204">
                  <c:v>6.7502303142735143E-2</c:v>
                </c:pt>
                <c:pt idx="205">
                  <c:v>8.5615217404575866E-2</c:v>
                </c:pt>
                <c:pt idx="206">
                  <c:v>0.1246742156679875</c:v>
                </c:pt>
                <c:pt idx="207">
                  <c:v>0.15554539938563183</c:v>
                </c:pt>
                <c:pt idx="208">
                  <c:v>0.16742612018575714</c:v>
                </c:pt>
                <c:pt idx="209">
                  <c:v>4.3090934249485818E-2</c:v>
                </c:pt>
                <c:pt idx="210">
                  <c:v>5.6254396017290764E-2</c:v>
                </c:pt>
                <c:pt idx="211">
                  <c:v>7.7723092790959986E-2</c:v>
                </c:pt>
                <c:pt idx="212">
                  <c:v>7.5790119764535785E-2</c:v>
                </c:pt>
                <c:pt idx="213">
                  <c:v>9.5733642700108257E-2</c:v>
                </c:pt>
                <c:pt idx="214">
                  <c:v>0.17736796480148703</c:v>
                </c:pt>
                <c:pt idx="215">
                  <c:v>-2.2209169896920289E-2</c:v>
                </c:pt>
                <c:pt idx="216">
                  <c:v>-7.7849038102637824E-3</c:v>
                </c:pt>
                <c:pt idx="217">
                  <c:v>-6.3222582063307831E-3</c:v>
                </c:pt>
                <c:pt idx="218">
                  <c:v>-6.5830306576011854E-4</c:v>
                </c:pt>
                <c:pt idx="219">
                  <c:v>4.4660350408148863E-3</c:v>
                </c:pt>
                <c:pt idx="220">
                  <c:v>-1.3102516018501764E-2</c:v>
                </c:pt>
                <c:pt idx="221">
                  <c:v>-1.1017051951874635E-2</c:v>
                </c:pt>
                <c:pt idx="222">
                  <c:v>-5.1407571815661635E-2</c:v>
                </c:pt>
                <c:pt idx="223">
                  <c:v>0.16186001999814423</c:v>
                </c:pt>
                <c:pt idx="224">
                  <c:v>0.19048393551449766</c:v>
                </c:pt>
                <c:pt idx="225">
                  <c:v>0.20416352440107188</c:v>
                </c:pt>
                <c:pt idx="226">
                  <c:v>4.3166371191751651E-2</c:v>
                </c:pt>
                <c:pt idx="227">
                  <c:v>5.601651930774118E-2</c:v>
                </c:pt>
                <c:pt idx="228">
                  <c:v>5.7095145728700808E-2</c:v>
                </c:pt>
                <c:pt idx="229">
                  <c:v>5.4992964496381358E-2</c:v>
                </c:pt>
                <c:pt idx="230">
                  <c:v>3.1474798404235282E-2</c:v>
                </c:pt>
                <c:pt idx="231">
                  <c:v>2.890600289646883E-2</c:v>
                </c:pt>
                <c:pt idx="232">
                  <c:v>3.0936232327375301E-2</c:v>
                </c:pt>
                <c:pt idx="233">
                  <c:v>-3.788602700353022E-2</c:v>
                </c:pt>
                <c:pt idx="234">
                  <c:v>3.7729208766454581E-2</c:v>
                </c:pt>
                <c:pt idx="235">
                  <c:v>2.706625693029549E-2</c:v>
                </c:pt>
                <c:pt idx="236">
                  <c:v>5.0069991549919424E-2</c:v>
                </c:pt>
                <c:pt idx="237">
                  <c:v>5.4875106880490743E-2</c:v>
                </c:pt>
                <c:pt idx="238">
                  <c:v>7.7026685064479461E-2</c:v>
                </c:pt>
                <c:pt idx="239">
                  <c:v>9.6673435869284063E-2</c:v>
                </c:pt>
                <c:pt idx="240">
                  <c:v>0.10034999886857668</c:v>
                </c:pt>
                <c:pt idx="241">
                  <c:v>-0.12817645726661714</c:v>
                </c:pt>
                <c:pt idx="242">
                  <c:v>-0.12145543733265066</c:v>
                </c:pt>
                <c:pt idx="243">
                  <c:v>-0.14130922323569789</c:v>
                </c:pt>
                <c:pt idx="244">
                  <c:v>-0.13877293995673387</c:v>
                </c:pt>
                <c:pt idx="245">
                  <c:v>-0.12472421605972683</c:v>
                </c:pt>
                <c:pt idx="246">
                  <c:v>-0.11783698783765406</c:v>
                </c:pt>
                <c:pt idx="247">
                  <c:v>-0.12363210166278349</c:v>
                </c:pt>
                <c:pt idx="248">
                  <c:v>0.13359897702706069</c:v>
                </c:pt>
                <c:pt idx="249">
                  <c:v>1.4334419842589707E-2</c:v>
                </c:pt>
                <c:pt idx="250">
                  <c:v>0.13494891386154279</c:v>
                </c:pt>
                <c:pt idx="251">
                  <c:v>0.11433441984258969</c:v>
                </c:pt>
                <c:pt idx="252">
                  <c:v>0.13494891386154279</c:v>
                </c:pt>
                <c:pt idx="253">
                  <c:v>0.11433441984258969</c:v>
                </c:pt>
                <c:pt idx="254">
                  <c:v>0.13629783315685551</c:v>
                </c:pt>
                <c:pt idx="255">
                  <c:v>6.4334419842589696E-2</c:v>
                </c:pt>
                <c:pt idx="256">
                  <c:v>0.11500592172208482</c:v>
                </c:pt>
                <c:pt idx="257">
                  <c:v>0.14468909988261147</c:v>
                </c:pt>
                <c:pt idx="258">
                  <c:v>0.1172113796515665</c:v>
                </c:pt>
                <c:pt idx="259">
                  <c:v>0.14468909988261147</c:v>
                </c:pt>
                <c:pt idx="260">
                  <c:v>7.4423848466795228E-2</c:v>
                </c:pt>
                <c:pt idx="261">
                  <c:v>8.4550498317741307E-2</c:v>
                </c:pt>
                <c:pt idx="262">
                  <c:v>6.1556684369187098E-2</c:v>
                </c:pt>
                <c:pt idx="263">
                  <c:v>7.5871909942166998E-2</c:v>
                </c:pt>
                <c:pt idx="264">
                  <c:v>8.5897345049753215E-2</c:v>
                </c:pt>
                <c:pt idx="265">
                  <c:v>9.1560580452143825E-3</c:v>
                </c:pt>
                <c:pt idx="266">
                  <c:v>4.0679255660398927E-2</c:v>
                </c:pt>
                <c:pt idx="267">
                  <c:v>1.831409227405606E-2</c:v>
                </c:pt>
                <c:pt idx="268">
                  <c:v>4.4192395567313913E-2</c:v>
                </c:pt>
                <c:pt idx="269">
                  <c:v>8.0687740997562318E-3</c:v>
                </c:pt>
                <c:pt idx="270">
                  <c:v>-1.1342042989057943E-2</c:v>
                </c:pt>
                <c:pt idx="271">
                  <c:v>3.5435878897294271E-2</c:v>
                </c:pt>
                <c:pt idx="272">
                  <c:v>0.12207006810184545</c:v>
                </c:pt>
                <c:pt idx="273">
                  <c:v>0.12905469188937832</c:v>
                </c:pt>
                <c:pt idx="274">
                  <c:v>0.15207006810184545</c:v>
                </c:pt>
                <c:pt idx="275">
                  <c:v>0.13905469188937833</c:v>
                </c:pt>
                <c:pt idx="276">
                  <c:v>1.6828123086453206E-2</c:v>
                </c:pt>
                <c:pt idx="277">
                  <c:v>4.7945569686318856E-2</c:v>
                </c:pt>
                <c:pt idx="278">
                  <c:v>6.6785930444536679E-2</c:v>
                </c:pt>
                <c:pt idx="279">
                  <c:v>0.10556895517735093</c:v>
                </c:pt>
                <c:pt idx="280">
                  <c:v>9.1576659304624164E-2</c:v>
                </c:pt>
                <c:pt idx="281">
                  <c:v>9.3759237923014938E-2</c:v>
                </c:pt>
                <c:pt idx="282">
                  <c:v>8.6785930444536696E-2</c:v>
                </c:pt>
                <c:pt idx="283">
                  <c:v>0.11365238593524668</c:v>
                </c:pt>
                <c:pt idx="284">
                  <c:v>0.13157665930462417</c:v>
                </c:pt>
                <c:pt idx="285">
                  <c:v>0.10375923792301495</c:v>
                </c:pt>
                <c:pt idx="286">
                  <c:v>-7.8717304583239556E-4</c:v>
                </c:pt>
                <c:pt idx="287">
                  <c:v>-1.7409964494713825E-2</c:v>
                </c:pt>
                <c:pt idx="288">
                  <c:v>-2.5729967329290282E-2</c:v>
                </c:pt>
                <c:pt idx="289">
                  <c:v>8.5513575578921225E-2</c:v>
                </c:pt>
                <c:pt idx="290">
                  <c:v>8.2779264339827408E-2</c:v>
                </c:pt>
                <c:pt idx="291">
                  <c:v>7.1841553429913718E-2</c:v>
                </c:pt>
                <c:pt idx="292">
                  <c:v>-4.0568441613696632E-2</c:v>
                </c:pt>
                <c:pt idx="293">
                  <c:v>4.6542860961993643E-2</c:v>
                </c:pt>
                <c:pt idx="294">
                  <c:v>4.2546131042501462E-2</c:v>
                </c:pt>
                <c:pt idx="295">
                  <c:v>4.9838091672922941E-2</c:v>
                </c:pt>
                <c:pt idx="296">
                  <c:v>1.5870712335671944E-2</c:v>
                </c:pt>
                <c:pt idx="297">
                  <c:v>8.7496995895016721E-2</c:v>
                </c:pt>
                <c:pt idx="298">
                  <c:v>7.496267898061737E-2</c:v>
                </c:pt>
                <c:pt idx="299">
                  <c:v>3.5001020311492964E-2</c:v>
                </c:pt>
                <c:pt idx="300">
                  <c:v>4.101435667102632E-2</c:v>
                </c:pt>
                <c:pt idx="301">
                  <c:v>3.8280033527377827E-2</c:v>
                </c:pt>
                <c:pt idx="302">
                  <c:v>2.5660705101841097E-2</c:v>
                </c:pt>
                <c:pt idx="303">
                  <c:v>-1.3041211379449774E-2</c:v>
                </c:pt>
                <c:pt idx="304">
                  <c:v>-2.7033327115040695E-2</c:v>
                </c:pt>
                <c:pt idx="305">
                  <c:v>-3.9766999391791347E-2</c:v>
                </c:pt>
                <c:pt idx="306">
                  <c:v>-7.2601616808159297E-2</c:v>
                </c:pt>
                <c:pt idx="307">
                  <c:v>-1.5273136838696605E-2</c:v>
                </c:pt>
                <c:pt idx="308">
                  <c:v>-1.9497740818999187E-2</c:v>
                </c:pt>
                <c:pt idx="309">
                  <c:v>9.6526905504524252E-3</c:v>
                </c:pt>
                <c:pt idx="310">
                  <c:v>1.5676665907052051E-2</c:v>
                </c:pt>
                <c:pt idx="311">
                  <c:v>-2.0017316304524191E-4</c:v>
                </c:pt>
                <c:pt idx="312">
                  <c:v>-8.8980409246864345E-3</c:v>
                </c:pt>
                <c:pt idx="313">
                  <c:v>4.7324550875495197E-2</c:v>
                </c:pt>
                <c:pt idx="314">
                  <c:v>2.9652690550452443E-2</c:v>
                </c:pt>
                <c:pt idx="315">
                  <c:v>5.5676665907052059E-2</c:v>
                </c:pt>
                <c:pt idx="316">
                  <c:v>2.9799826836954757E-2</c:v>
                </c:pt>
                <c:pt idx="317">
                  <c:v>2.1101959075313537E-2</c:v>
                </c:pt>
                <c:pt idx="318">
                  <c:v>5.1036726143123684E-2</c:v>
                </c:pt>
                <c:pt idx="319">
                  <c:v>5.5253537637159289E-2</c:v>
                </c:pt>
                <c:pt idx="320">
                  <c:v>4.575241655365625E-2</c:v>
                </c:pt>
                <c:pt idx="321">
                  <c:v>7.0748327512597492E-2</c:v>
                </c:pt>
                <c:pt idx="322">
                  <c:v>8.0835605930239168E-2</c:v>
                </c:pt>
                <c:pt idx="323">
                  <c:v>0.10049169172459266</c:v>
                </c:pt>
                <c:pt idx="324">
                  <c:v>0.10201122308667815</c:v>
                </c:pt>
                <c:pt idx="325">
                  <c:v>7.1459665129982808E-2</c:v>
                </c:pt>
                <c:pt idx="326">
                  <c:v>3.882229957393904E-2</c:v>
                </c:pt>
                <c:pt idx="327">
                  <c:v>5.8981526665420836E-2</c:v>
                </c:pt>
                <c:pt idx="328">
                  <c:v>6.8645570153120727E-2</c:v>
                </c:pt>
                <c:pt idx="329">
                  <c:v>4.0148341231245721E-2</c:v>
                </c:pt>
                <c:pt idx="330">
                  <c:v>-9.1456181317129404E-3</c:v>
                </c:pt>
                <c:pt idx="331">
                  <c:v>-1.1808052548277825E-2</c:v>
                </c:pt>
                <c:pt idx="332">
                  <c:v>-1.6230553871522085E-2</c:v>
                </c:pt>
                <c:pt idx="333">
                  <c:v>-3.9581080938376895E-2</c:v>
                </c:pt>
                <c:pt idx="334">
                  <c:v>-6.4104192008954952E-2</c:v>
                </c:pt>
                <c:pt idx="335">
                  <c:v>4.3769446128477912E-2</c:v>
                </c:pt>
                <c:pt idx="336">
                  <c:v>4.0418919061623121E-2</c:v>
                </c:pt>
                <c:pt idx="337">
                  <c:v>3.5895807991045053E-2</c:v>
                </c:pt>
                <c:pt idx="338">
                  <c:v>-5.1604076534076948E-3</c:v>
                </c:pt>
                <c:pt idx="339">
                  <c:v>-6.4039436263449573E-2</c:v>
                </c:pt>
                <c:pt idx="340">
                  <c:v>-8.7537207986109922E-2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FD-4871-8EC0-1B6AA0CCF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33330"/>
        <c:axId val="79940688"/>
      </c:scatterChart>
      <c:valAx>
        <c:axId val="24333330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pt-BR" sz="1000" b="0" strike="noStrike" spc="-1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pt-BR" sz="1000" b="0" strike="noStrike" spc="-1">
                    <a:solidFill>
                      <a:srgbClr val="595959"/>
                    </a:solidFill>
                    <a:latin typeface="Aptos Narrow"/>
                  </a:rPr>
                  <a:t>Deformação sem TS MC2020</a:t>
                </a:r>
              </a:p>
            </c:rich>
          </c:tx>
          <c:layout>
            <c:manualLayout>
              <c:xMode val="edge"/>
              <c:yMode val="edge"/>
              <c:x val="0.39747828523395901"/>
              <c:y val="0.873949579831933"/>
            </c:manualLayout>
          </c:layout>
          <c:overlay val="0"/>
          <c:spPr>
            <a:noFill/>
            <a:ln w="0">
              <a:noFill/>
            </a:ln>
          </c:spPr>
        </c:title>
        <c:numFmt formatCode="0.000000E+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t-BR"/>
          </a:p>
        </c:txPr>
        <c:crossAx val="79940688"/>
        <c:crosses val="autoZero"/>
        <c:crossBetween val="midCat"/>
        <c:majorUnit val="8.0000000000000004E-4"/>
      </c:valAx>
      <c:valAx>
        <c:axId val="7994068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1000" b="0" strike="noStrike" spc="-1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pt-BR" sz="1000" b="0" strike="noStrike" spc="-1">
                    <a:solidFill>
                      <a:srgbClr val="595959"/>
                    </a:solidFill>
                    <a:latin typeface="Aptos Narrow"/>
                  </a:rPr>
                  <a:t>Resíduo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E+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t-BR"/>
          </a:p>
        </c:txPr>
        <c:crossAx val="2433333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sz="1400" b="0" strike="noStrike" spc="-1">
                <a:solidFill>
                  <a:srgbClr val="595959"/>
                </a:solidFill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 cap="rnd">
                <a:solidFill>
                  <a:srgbClr val="156082"/>
                </a:solidFill>
                <a:prstDash val="sysDot"/>
                <a:round/>
              </a:ln>
            </c:spPr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'Sem TS MC2020'!$P$3:$P$343</c:f>
              <c:numCache>
                <c:formatCode>0</c:formatCode>
                <c:ptCount val="341"/>
                <c:pt idx="0">
                  <c:v>231.81100493873399</c:v>
                </c:pt>
                <c:pt idx="1">
                  <c:v>304.25194398208799</c:v>
                </c:pt>
                <c:pt idx="2">
                  <c:v>314.28222784962901</c:v>
                </c:pt>
                <c:pt idx="3">
                  <c:v>363.31917120205401</c:v>
                </c:pt>
                <c:pt idx="4">
                  <c:v>459.16410593633799</c:v>
                </c:pt>
                <c:pt idx="5">
                  <c:v>500</c:v>
                </c:pt>
                <c:pt idx="6">
                  <c:v>322.91971563781198</c:v>
                </c:pt>
                <c:pt idx="7">
                  <c:v>367.82093324078397</c:v>
                </c:pt>
                <c:pt idx="8">
                  <c:v>500</c:v>
                </c:pt>
                <c:pt idx="9">
                  <c:v>285.04803218471699</c:v>
                </c:pt>
                <c:pt idx="10">
                  <c:v>324.99964614446401</c:v>
                </c:pt>
                <c:pt idx="11">
                  <c:v>367.64462733745302</c:v>
                </c:pt>
                <c:pt idx="12">
                  <c:v>410.73850306931598</c:v>
                </c:pt>
                <c:pt idx="13">
                  <c:v>438.56996447947699</c:v>
                </c:pt>
                <c:pt idx="14">
                  <c:v>498.27293814966202</c:v>
                </c:pt>
                <c:pt idx="15">
                  <c:v>502.76188353839802</c:v>
                </c:pt>
                <c:pt idx="16">
                  <c:v>538.67344664828295</c:v>
                </c:pt>
                <c:pt idx="17">
                  <c:v>628</c:v>
                </c:pt>
                <c:pt idx="18">
                  <c:v>628</c:v>
                </c:pt>
                <c:pt idx="19">
                  <c:v>321.47187644259401</c:v>
                </c:pt>
                <c:pt idx="20">
                  <c:v>357.19097382510398</c:v>
                </c:pt>
                <c:pt idx="21">
                  <c:v>370.58563534354499</c:v>
                </c:pt>
                <c:pt idx="22">
                  <c:v>392.91007120761401</c:v>
                </c:pt>
                <c:pt idx="23">
                  <c:v>424.16428141731097</c:v>
                </c:pt>
                <c:pt idx="24">
                  <c:v>491.13758900951802</c:v>
                </c:pt>
                <c:pt idx="25">
                  <c:v>140.041965597591</c:v>
                </c:pt>
                <c:pt idx="26">
                  <c:v>201.59887355257601</c:v>
                </c:pt>
                <c:pt idx="27">
                  <c:v>243.91924777162799</c:v>
                </c:pt>
                <c:pt idx="28">
                  <c:v>313.94023057042398</c:v>
                </c:pt>
                <c:pt idx="29">
                  <c:v>416.27859004558701</c:v>
                </c:pt>
                <c:pt idx="30">
                  <c:v>300.43295624924099</c:v>
                </c:pt>
                <c:pt idx="31">
                  <c:v>386.27094374902401</c:v>
                </c:pt>
                <c:pt idx="32">
                  <c:v>500</c:v>
                </c:pt>
                <c:pt idx="33">
                  <c:v>500</c:v>
                </c:pt>
                <c:pt idx="34">
                  <c:v>500</c:v>
                </c:pt>
                <c:pt idx="35">
                  <c:v>106.512655225995</c:v>
                </c:pt>
                <c:pt idx="36">
                  <c:v>191.72277940679001</c:v>
                </c:pt>
                <c:pt idx="37">
                  <c:v>276.932903587586</c:v>
                </c:pt>
                <c:pt idx="38">
                  <c:v>362.14302776838201</c:v>
                </c:pt>
                <c:pt idx="39">
                  <c:v>426.05062090397797</c:v>
                </c:pt>
                <c:pt idx="40">
                  <c:v>500</c:v>
                </c:pt>
                <c:pt idx="41">
                  <c:v>212.47112712609001</c:v>
                </c:pt>
                <c:pt idx="42">
                  <c:v>254.965352551308</c:v>
                </c:pt>
                <c:pt idx="43">
                  <c:v>297.459577976525</c:v>
                </c:pt>
                <c:pt idx="44">
                  <c:v>382.44802882696098</c:v>
                </c:pt>
                <c:pt idx="45">
                  <c:v>500</c:v>
                </c:pt>
                <c:pt idx="46">
                  <c:v>212.47112712609001</c:v>
                </c:pt>
                <c:pt idx="47">
                  <c:v>297.459577976525</c:v>
                </c:pt>
                <c:pt idx="48">
                  <c:v>382.44802882696098</c:v>
                </c:pt>
                <c:pt idx="49">
                  <c:v>500</c:v>
                </c:pt>
                <c:pt idx="50">
                  <c:v>245.19477048546599</c:v>
                </c:pt>
                <c:pt idx="51">
                  <c:v>294.23372458256</c:v>
                </c:pt>
                <c:pt idx="52">
                  <c:v>193.94581491041399</c:v>
                </c:pt>
                <c:pt idx="53">
                  <c:v>242.432268638018</c:v>
                </c:pt>
                <c:pt idx="54">
                  <c:v>290.91872236562199</c:v>
                </c:pt>
                <c:pt idx="55">
                  <c:v>193.94581491041399</c:v>
                </c:pt>
                <c:pt idx="56">
                  <c:v>242.432268638018</c:v>
                </c:pt>
                <c:pt idx="57">
                  <c:v>290.91872236562199</c:v>
                </c:pt>
                <c:pt idx="58">
                  <c:v>210.83754926858899</c:v>
                </c:pt>
                <c:pt idx="59">
                  <c:v>316.25632390288399</c:v>
                </c:pt>
                <c:pt idx="60">
                  <c:v>421.675098537179</c:v>
                </c:pt>
                <c:pt idx="61">
                  <c:v>500</c:v>
                </c:pt>
                <c:pt idx="62">
                  <c:v>210.83754926858899</c:v>
                </c:pt>
                <c:pt idx="63">
                  <c:v>316.25632390288399</c:v>
                </c:pt>
                <c:pt idx="64">
                  <c:v>421.675098537179</c:v>
                </c:pt>
                <c:pt idx="65">
                  <c:v>500</c:v>
                </c:pt>
                <c:pt idx="66">
                  <c:v>122.340765829723</c:v>
                </c:pt>
                <c:pt idx="67">
                  <c:v>244.68153165944599</c:v>
                </c:pt>
                <c:pt idx="68">
                  <c:v>120.90671371296</c:v>
                </c:pt>
                <c:pt idx="69">
                  <c:v>241.81342742592</c:v>
                </c:pt>
                <c:pt idx="70">
                  <c:v>120.90671371296</c:v>
                </c:pt>
                <c:pt idx="71">
                  <c:v>241.81342742592</c:v>
                </c:pt>
                <c:pt idx="72">
                  <c:v>295.47063165326</c:v>
                </c:pt>
                <c:pt idx="73">
                  <c:v>343.866683389569</c:v>
                </c:pt>
                <c:pt idx="74">
                  <c:v>303.25602523129697</c:v>
                </c:pt>
                <c:pt idx="75">
                  <c:v>347.810227990398</c:v>
                </c:pt>
                <c:pt idx="76">
                  <c:v>411.048451261379</c:v>
                </c:pt>
                <c:pt idx="77">
                  <c:v>289.73492291565401</c:v>
                </c:pt>
                <c:pt idx="78">
                  <c:v>379.98022677462899</c:v>
                </c:pt>
                <c:pt idx="79">
                  <c:v>185.27396447016599</c:v>
                </c:pt>
                <c:pt idx="80">
                  <c:v>211.76759699969</c:v>
                </c:pt>
                <c:pt idx="81">
                  <c:v>238.26122952921401</c:v>
                </c:pt>
                <c:pt idx="82">
                  <c:v>264.70949624961202</c:v>
                </c:pt>
                <c:pt idx="83">
                  <c:v>291.15776297001099</c:v>
                </c:pt>
                <c:pt idx="84">
                  <c:v>317.651395499535</c:v>
                </c:pt>
                <c:pt idx="85">
                  <c:v>344.14502802905901</c:v>
                </c:pt>
                <c:pt idx="86">
                  <c:v>370.54792894033199</c:v>
                </c:pt>
                <c:pt idx="87">
                  <c:v>211.76759699969</c:v>
                </c:pt>
                <c:pt idx="88">
                  <c:v>238.26122952921401</c:v>
                </c:pt>
                <c:pt idx="89">
                  <c:v>264.70949624961202</c:v>
                </c:pt>
                <c:pt idx="90">
                  <c:v>291.15776297001099</c:v>
                </c:pt>
                <c:pt idx="91">
                  <c:v>317.651395499535</c:v>
                </c:pt>
                <c:pt idx="92">
                  <c:v>344.14502802905901</c:v>
                </c:pt>
                <c:pt idx="93">
                  <c:v>370.54792894033199</c:v>
                </c:pt>
                <c:pt idx="94">
                  <c:v>211.76759699969</c:v>
                </c:pt>
                <c:pt idx="95">
                  <c:v>238.26122952921401</c:v>
                </c:pt>
                <c:pt idx="96">
                  <c:v>264.70949624961202</c:v>
                </c:pt>
                <c:pt idx="97">
                  <c:v>291.15776297001099</c:v>
                </c:pt>
                <c:pt idx="98">
                  <c:v>317.651395499535</c:v>
                </c:pt>
                <c:pt idx="99">
                  <c:v>344.14502802905901</c:v>
                </c:pt>
                <c:pt idx="100">
                  <c:v>370.54792894033199</c:v>
                </c:pt>
                <c:pt idx="101">
                  <c:v>185.27396447016599</c:v>
                </c:pt>
                <c:pt idx="102">
                  <c:v>211.76759699969</c:v>
                </c:pt>
                <c:pt idx="103">
                  <c:v>238.26122952921401</c:v>
                </c:pt>
                <c:pt idx="104">
                  <c:v>264.70949624961202</c:v>
                </c:pt>
                <c:pt idx="105">
                  <c:v>291.15776297001099</c:v>
                </c:pt>
                <c:pt idx="106">
                  <c:v>317.651395499535</c:v>
                </c:pt>
                <c:pt idx="107">
                  <c:v>344.14502802905901</c:v>
                </c:pt>
                <c:pt idx="108">
                  <c:v>370.54792894033199</c:v>
                </c:pt>
                <c:pt idx="109">
                  <c:v>233.30469206437201</c:v>
                </c:pt>
                <c:pt idx="110">
                  <c:v>251.20389200919999</c:v>
                </c:pt>
                <c:pt idx="111">
                  <c:v>269.164601232189</c:v>
                </c:pt>
                <c:pt idx="112">
                  <c:v>287.12531045517801</c:v>
                </c:pt>
                <c:pt idx="113">
                  <c:v>305.08601967816702</c:v>
                </c:pt>
                <c:pt idx="114">
                  <c:v>251.20389200919999</c:v>
                </c:pt>
                <c:pt idx="115">
                  <c:v>269.164601232189</c:v>
                </c:pt>
                <c:pt idx="116">
                  <c:v>287.12531045517801</c:v>
                </c:pt>
                <c:pt idx="117">
                  <c:v>305.08601967816702</c:v>
                </c:pt>
                <c:pt idx="118">
                  <c:v>176.28617352026799</c:v>
                </c:pt>
                <c:pt idx="119">
                  <c:v>242.34630278375201</c:v>
                </c:pt>
                <c:pt idx="120">
                  <c:v>308.40643204723602</c:v>
                </c:pt>
                <c:pt idx="121">
                  <c:v>242.34630278375201</c:v>
                </c:pt>
                <c:pt idx="122">
                  <c:v>308.40643204723602</c:v>
                </c:pt>
                <c:pt idx="123">
                  <c:v>208.77973928930399</c:v>
                </c:pt>
                <c:pt idx="124">
                  <c:v>253.50000168297299</c:v>
                </c:pt>
                <c:pt idx="125">
                  <c:v>298.22026407664299</c:v>
                </c:pt>
                <c:pt idx="126">
                  <c:v>208.77973928930399</c:v>
                </c:pt>
                <c:pt idx="127">
                  <c:v>253.50000168297299</c:v>
                </c:pt>
                <c:pt idx="128">
                  <c:v>298.22026407664299</c:v>
                </c:pt>
                <c:pt idx="129">
                  <c:v>226.45530266576</c:v>
                </c:pt>
                <c:pt idx="130">
                  <c:v>260.41389561049601</c:v>
                </c:pt>
                <c:pt idx="131">
                  <c:v>294.37248855523302</c:v>
                </c:pt>
                <c:pt idx="132">
                  <c:v>226.45530266576</c:v>
                </c:pt>
                <c:pt idx="133">
                  <c:v>260.41389561049601</c:v>
                </c:pt>
                <c:pt idx="134">
                  <c:v>294.37248855523302</c:v>
                </c:pt>
                <c:pt idx="135">
                  <c:v>274.14363221273101</c:v>
                </c:pt>
                <c:pt idx="136">
                  <c:v>294.202922374639</c:v>
                </c:pt>
                <c:pt idx="137">
                  <c:v>316.93678455813301</c:v>
                </c:pt>
                <c:pt idx="138">
                  <c:v>336.99607472004101</c:v>
                </c:pt>
                <c:pt idx="139">
                  <c:v>359.72993690353502</c:v>
                </c:pt>
                <c:pt idx="140">
                  <c:v>379.78922706544199</c:v>
                </c:pt>
                <c:pt idx="141">
                  <c:v>403.86037525973097</c:v>
                </c:pt>
                <c:pt idx="142">
                  <c:v>251.409770029237</c:v>
                </c:pt>
                <c:pt idx="143">
                  <c:v>274.14363221273101</c:v>
                </c:pt>
                <c:pt idx="144">
                  <c:v>295.54020838543198</c:v>
                </c:pt>
                <c:pt idx="145">
                  <c:v>314.930855541943</c:v>
                </c:pt>
                <c:pt idx="146">
                  <c:v>336.99607472004101</c:v>
                </c:pt>
                <c:pt idx="147">
                  <c:v>359.06129389813799</c:v>
                </c:pt>
                <c:pt idx="148">
                  <c:v>377.78329804925198</c:v>
                </c:pt>
                <c:pt idx="149">
                  <c:v>395.83665919496798</c:v>
                </c:pt>
                <c:pt idx="150">
                  <c:v>201.33268539095999</c:v>
                </c:pt>
                <c:pt idx="151">
                  <c:v>235.281479050211</c:v>
                </c:pt>
                <c:pt idx="152">
                  <c:v>268.14100660274801</c:v>
                </c:pt>
                <c:pt idx="153">
                  <c:v>300.81898980416599</c:v>
                </c:pt>
                <c:pt idx="154">
                  <c:v>333.13388430334601</c:v>
                </c:pt>
                <c:pt idx="155">
                  <c:v>366.35650055812101</c:v>
                </c:pt>
                <c:pt idx="156">
                  <c:v>169.74396829625499</c:v>
                </c:pt>
                <c:pt idx="157">
                  <c:v>201.87731844431701</c:v>
                </c:pt>
                <c:pt idx="158">
                  <c:v>234.73684599685399</c:v>
                </c:pt>
                <c:pt idx="159">
                  <c:v>267.23328484715302</c:v>
                </c:pt>
                <c:pt idx="160">
                  <c:v>301.00053415528498</c:v>
                </c:pt>
                <c:pt idx="161">
                  <c:v>333.13388430334601</c:v>
                </c:pt>
                <c:pt idx="162">
                  <c:v>348.746698499579</c:v>
                </c:pt>
                <c:pt idx="163">
                  <c:v>310.30985357473799</c:v>
                </c:pt>
                <c:pt idx="164">
                  <c:v>330.286882774829</c:v>
                </c:pt>
                <c:pt idx="165">
                  <c:v>334.282288614847</c:v>
                </c:pt>
                <c:pt idx="166">
                  <c:v>351.151779939368</c:v>
                </c:pt>
                <c:pt idx="167">
                  <c:v>362.69406347719797</c:v>
                </c:pt>
                <c:pt idx="168">
                  <c:v>375.56814896170101</c:v>
                </c:pt>
                <c:pt idx="169">
                  <c:v>387.11043249953099</c:v>
                </c:pt>
                <c:pt idx="170">
                  <c:v>400.87238594848202</c:v>
                </c:pt>
                <c:pt idx="171">
                  <c:v>308.978051628066</c:v>
                </c:pt>
                <c:pt idx="172">
                  <c:v>322.29607109479298</c:v>
                </c:pt>
                <c:pt idx="173">
                  <c:v>334.726222597071</c:v>
                </c:pt>
                <c:pt idx="174">
                  <c:v>347.60030808157398</c:v>
                </c:pt>
                <c:pt idx="175">
                  <c:v>361.36226153052502</c:v>
                </c:pt>
                <c:pt idx="176">
                  <c:v>375.56814896170101</c:v>
                </c:pt>
                <c:pt idx="177">
                  <c:v>388.44223444620297</c:v>
                </c:pt>
                <c:pt idx="178">
                  <c:v>399.984517984033</c:v>
                </c:pt>
                <c:pt idx="179">
                  <c:v>323.62787304146502</c:v>
                </c:pt>
                <c:pt idx="180">
                  <c:v>336.50195852596801</c:v>
                </c:pt>
                <c:pt idx="181">
                  <c:v>354.70325179716201</c:v>
                </c:pt>
                <c:pt idx="182">
                  <c:v>365.35766737054303</c:v>
                </c:pt>
                <c:pt idx="183">
                  <c:v>375.56814896170101</c:v>
                </c:pt>
                <c:pt idx="184">
                  <c:v>386.66649851730602</c:v>
                </c:pt>
                <c:pt idx="185">
                  <c:v>401.31631993070602</c:v>
                </c:pt>
                <c:pt idx="186">
                  <c:v>224.93648942333201</c:v>
                </c:pt>
                <c:pt idx="187">
                  <c:v>259.89764030841201</c:v>
                </c:pt>
                <c:pt idx="188">
                  <c:v>294.740278817611</c:v>
                </c:pt>
                <c:pt idx="189">
                  <c:v>224.93648942333201</c:v>
                </c:pt>
                <c:pt idx="190">
                  <c:v>259.42359080488598</c:v>
                </c:pt>
                <c:pt idx="191">
                  <c:v>294.14771693820302</c:v>
                </c:pt>
                <c:pt idx="192">
                  <c:v>154.30311339788099</c:v>
                </c:pt>
                <c:pt idx="193">
                  <c:v>190.330875665896</c:v>
                </c:pt>
                <c:pt idx="194">
                  <c:v>224.343927543924</c:v>
                </c:pt>
                <c:pt idx="195">
                  <c:v>258.475491797833</c:v>
                </c:pt>
                <c:pt idx="196">
                  <c:v>306.71002878165598</c:v>
                </c:pt>
                <c:pt idx="197">
                  <c:v>179.888040262956</c:v>
                </c:pt>
                <c:pt idx="198">
                  <c:v>225.29667178564301</c:v>
                </c:pt>
                <c:pt idx="199">
                  <c:v>270.705303308331</c:v>
                </c:pt>
                <c:pt idx="200">
                  <c:v>176.83957373352101</c:v>
                </c:pt>
                <c:pt idx="201">
                  <c:v>220.752756472718</c:v>
                </c:pt>
                <c:pt idx="202">
                  <c:v>264.66593921191401</c:v>
                </c:pt>
                <c:pt idx="203">
                  <c:v>234.72234542321399</c:v>
                </c:pt>
                <c:pt idx="204">
                  <c:v>315.66108522432199</c:v>
                </c:pt>
                <c:pt idx="205">
                  <c:v>364.22432910498702</c:v>
                </c:pt>
                <c:pt idx="206">
                  <c:v>404.69369900554102</c:v>
                </c:pt>
                <c:pt idx="207">
                  <c:v>469.44469084642799</c:v>
                </c:pt>
                <c:pt idx="208">
                  <c:v>526.10180870720399</c:v>
                </c:pt>
                <c:pt idx="209">
                  <c:v>270.87013331072598</c:v>
                </c:pt>
                <c:pt idx="210">
                  <c:v>308.04838690239399</c:v>
                </c:pt>
                <c:pt idx="211">
                  <c:v>355.84899866311099</c:v>
                </c:pt>
                <c:pt idx="212">
                  <c:v>377.09371500120699</c:v>
                </c:pt>
                <c:pt idx="213">
                  <c:v>424.89432676192303</c:v>
                </c:pt>
                <c:pt idx="214">
                  <c:v>525.80672936788005</c:v>
                </c:pt>
                <c:pt idx="215">
                  <c:v>246.92191294539799</c:v>
                </c:pt>
                <c:pt idx="216">
                  <c:v>283.23395896677999</c:v>
                </c:pt>
                <c:pt idx="217">
                  <c:v>315.91480038602401</c:v>
                </c:pt>
                <c:pt idx="218">
                  <c:v>355.85805100954502</c:v>
                </c:pt>
                <c:pt idx="219">
                  <c:v>395.80130163306501</c:v>
                </c:pt>
                <c:pt idx="220">
                  <c:v>432.11334765444701</c:v>
                </c:pt>
                <c:pt idx="221">
                  <c:v>468.42539367582901</c:v>
                </c:pt>
                <c:pt idx="222">
                  <c:v>501.10623509507298</c:v>
                </c:pt>
                <c:pt idx="223">
                  <c:v>370.74728404873298</c:v>
                </c:pt>
                <c:pt idx="224">
                  <c:v>443.28479614522399</c:v>
                </c:pt>
                <c:pt idx="225">
                  <c:v>523.88203180799201</c:v>
                </c:pt>
                <c:pt idx="226">
                  <c:v>264.28009430947401</c:v>
                </c:pt>
                <c:pt idx="227">
                  <c:v>301.27930751280002</c:v>
                </c:pt>
                <c:pt idx="228">
                  <c:v>348.84972448850499</c:v>
                </c:pt>
                <c:pt idx="229">
                  <c:v>369.99213203326298</c:v>
                </c:pt>
                <c:pt idx="230">
                  <c:v>401.70574335039998</c:v>
                </c:pt>
                <c:pt idx="231">
                  <c:v>422.84815089515803</c:v>
                </c:pt>
                <c:pt idx="232">
                  <c:v>474.64704937981401</c:v>
                </c:pt>
                <c:pt idx="233">
                  <c:v>526.44594786447101</c:v>
                </c:pt>
                <c:pt idx="234">
                  <c:v>303.402568314191</c:v>
                </c:pt>
                <c:pt idx="235">
                  <c:v>317.85030966248502</c:v>
                </c:pt>
                <c:pt idx="236">
                  <c:v>353.96966303322199</c:v>
                </c:pt>
                <c:pt idx="237">
                  <c:v>393.70095174103301</c:v>
                </c:pt>
                <c:pt idx="238">
                  <c:v>429.82030511176998</c:v>
                </c:pt>
                <c:pt idx="239">
                  <c:v>462.32772314543303</c:v>
                </c:pt>
                <c:pt idx="240">
                  <c:v>502.05901185324399</c:v>
                </c:pt>
                <c:pt idx="241">
                  <c:v>151.17196997745901</c:v>
                </c:pt>
                <c:pt idx="242">
                  <c:v>201.70659994135201</c:v>
                </c:pt>
                <c:pt idx="243">
                  <c:v>230.64523419418001</c:v>
                </c:pt>
                <c:pt idx="244">
                  <c:v>263.903067589221</c:v>
                </c:pt>
                <c:pt idx="245">
                  <c:v>315.73345729577801</c:v>
                </c:pt>
                <c:pt idx="246">
                  <c:v>342.080572063278</c:v>
                </c:pt>
                <c:pt idx="247">
                  <c:v>380.52144442897497</c:v>
                </c:pt>
                <c:pt idx="248">
                  <c:v>361.669574509028</c:v>
                </c:pt>
                <c:pt idx="249">
                  <c:v>392.3</c:v>
                </c:pt>
                <c:pt idx="250">
                  <c:v>363.00414858470702</c:v>
                </c:pt>
                <c:pt idx="251">
                  <c:v>392.3</c:v>
                </c:pt>
                <c:pt idx="252">
                  <c:v>363.00414858470702</c:v>
                </c:pt>
                <c:pt idx="253">
                  <c:v>392.3</c:v>
                </c:pt>
                <c:pt idx="254">
                  <c:v>364.338722660386</c:v>
                </c:pt>
                <c:pt idx="255">
                  <c:v>392.3</c:v>
                </c:pt>
                <c:pt idx="256">
                  <c:v>317.102697940788</c:v>
                </c:pt>
                <c:pt idx="257">
                  <c:v>392.3</c:v>
                </c:pt>
                <c:pt idx="258">
                  <c:v>319.13540754297298</c:v>
                </c:pt>
                <c:pt idx="259">
                  <c:v>392.3</c:v>
                </c:pt>
                <c:pt idx="260">
                  <c:v>260.02902224680798</c:v>
                </c:pt>
                <c:pt idx="261">
                  <c:v>365.37411331089999</c:v>
                </c:pt>
                <c:pt idx="262">
                  <c:v>392.3</c:v>
                </c:pt>
                <c:pt idx="263">
                  <c:v>261.36250441217697</c:v>
                </c:pt>
                <c:pt idx="264">
                  <c:v>366.70759547626801</c:v>
                </c:pt>
                <c:pt idx="265">
                  <c:v>187.025739041386</c:v>
                </c:pt>
                <c:pt idx="266">
                  <c:v>261.07653927096999</c:v>
                </c:pt>
                <c:pt idx="267">
                  <c:v>336.07670873426702</c:v>
                </c:pt>
                <c:pt idx="268">
                  <c:v>392.3</c:v>
                </c:pt>
                <c:pt idx="269">
                  <c:v>186.07636980767299</c:v>
                </c:pt>
                <c:pt idx="270">
                  <c:v>259.17780080354498</c:v>
                </c:pt>
                <c:pt idx="271">
                  <c:v>333.228601033129</c:v>
                </c:pt>
                <c:pt idx="272">
                  <c:v>365.47269151625102</c:v>
                </c:pt>
                <c:pt idx="273">
                  <c:v>392.3</c:v>
                </c:pt>
                <c:pt idx="274">
                  <c:v>365.47269151625102</c:v>
                </c:pt>
                <c:pt idx="275">
                  <c:v>392.3</c:v>
                </c:pt>
                <c:pt idx="276">
                  <c:v>221.31013180149799</c:v>
                </c:pt>
                <c:pt idx="277">
                  <c:v>259.14092356243799</c:v>
                </c:pt>
                <c:pt idx="278">
                  <c:v>296.02594552935398</c:v>
                </c:pt>
                <c:pt idx="279">
                  <c:v>333.85673729029401</c:v>
                </c:pt>
                <c:pt idx="280">
                  <c:v>369.79598946318703</c:v>
                </c:pt>
                <c:pt idx="281">
                  <c:v>392.3</c:v>
                </c:pt>
                <c:pt idx="282">
                  <c:v>296.02594552935398</c:v>
                </c:pt>
                <c:pt idx="283">
                  <c:v>331.965197702247</c:v>
                </c:pt>
                <c:pt idx="284">
                  <c:v>369.79598946318703</c:v>
                </c:pt>
                <c:pt idx="285">
                  <c:v>392.3</c:v>
                </c:pt>
                <c:pt idx="286">
                  <c:v>203.022493137384</c:v>
                </c:pt>
                <c:pt idx="287">
                  <c:v>244.50020678910701</c:v>
                </c:pt>
                <c:pt idx="288">
                  <c:v>275.8</c:v>
                </c:pt>
                <c:pt idx="289">
                  <c:v>275.8</c:v>
                </c:pt>
                <c:pt idx="290">
                  <c:v>249.74588434606099</c:v>
                </c:pt>
                <c:pt idx="291">
                  <c:v>275.8</c:v>
                </c:pt>
                <c:pt idx="292">
                  <c:v>271.28943756037398</c:v>
                </c:pt>
                <c:pt idx="293">
                  <c:v>195.113525980031</c:v>
                </c:pt>
                <c:pt idx="294">
                  <c:v>226.947036463892</c:v>
                </c:pt>
                <c:pt idx="295">
                  <c:v>260.91293520982998</c:v>
                </c:pt>
                <c:pt idx="296">
                  <c:v>275.8</c:v>
                </c:pt>
                <c:pt idx="297">
                  <c:v>259.63215176616501</c:v>
                </c:pt>
                <c:pt idx="298">
                  <c:v>275.8</c:v>
                </c:pt>
                <c:pt idx="299">
                  <c:v>194.21192690601001</c:v>
                </c:pt>
                <c:pt idx="300">
                  <c:v>225.89833808739701</c:v>
                </c:pt>
                <c:pt idx="301">
                  <c:v>259.70728398906698</c:v>
                </c:pt>
                <c:pt idx="302">
                  <c:v>275.8</c:v>
                </c:pt>
                <c:pt idx="303">
                  <c:v>194.354596032503</c:v>
                </c:pt>
                <c:pt idx="304">
                  <c:v>226.064284222037</c:v>
                </c:pt>
                <c:pt idx="305">
                  <c:v>259.89806635728098</c:v>
                </c:pt>
                <c:pt idx="306">
                  <c:v>275.8</c:v>
                </c:pt>
                <c:pt idx="307">
                  <c:v>234.11581828988599</c:v>
                </c:pt>
                <c:pt idx="308">
                  <c:v>274.84728475140599</c:v>
                </c:pt>
                <c:pt idx="309">
                  <c:v>179.49560032260399</c:v>
                </c:pt>
                <c:pt idx="310">
                  <c:v>212.74254265148801</c:v>
                </c:pt>
                <c:pt idx="311">
                  <c:v>245.23171991304599</c:v>
                </c:pt>
                <c:pt idx="312">
                  <c:v>275.8</c:v>
                </c:pt>
                <c:pt idx="313">
                  <c:v>212.947491588265</c:v>
                </c:pt>
                <c:pt idx="314">
                  <c:v>179.49560032260399</c:v>
                </c:pt>
                <c:pt idx="315">
                  <c:v>212.74254265148801</c:v>
                </c:pt>
                <c:pt idx="316">
                  <c:v>245.23171991304599</c:v>
                </c:pt>
                <c:pt idx="317">
                  <c:v>275.8</c:v>
                </c:pt>
                <c:pt idx="318">
                  <c:v>213.42811414487301</c:v>
                </c:pt>
                <c:pt idx="319">
                  <c:v>246.021989101103</c:v>
                </c:pt>
                <c:pt idx="320">
                  <c:v>275.8</c:v>
                </c:pt>
                <c:pt idx="321">
                  <c:v>170.80329915468201</c:v>
                </c:pt>
                <c:pt idx="322">
                  <c:v>210.242000847909</c:v>
                </c:pt>
                <c:pt idx="323">
                  <c:v>245.13572204860799</c:v>
                </c:pt>
                <c:pt idx="324">
                  <c:v>270.05980862053599</c:v>
                </c:pt>
                <c:pt idx="325">
                  <c:v>275.8</c:v>
                </c:pt>
                <c:pt idx="326">
                  <c:v>170.327728419202</c:v>
                </c:pt>
                <c:pt idx="327">
                  <c:v>209.656620217284</c:v>
                </c:pt>
                <c:pt idx="328">
                  <c:v>244.45318619476899</c:v>
                </c:pt>
                <c:pt idx="329">
                  <c:v>269.307876178686</c:v>
                </c:pt>
                <c:pt idx="330">
                  <c:v>275.8</c:v>
                </c:pt>
                <c:pt idx="331">
                  <c:v>183.23030547751301</c:v>
                </c:pt>
                <c:pt idx="332">
                  <c:v>219.890332297519</c:v>
                </c:pt>
                <c:pt idx="333">
                  <c:v>248.170924415809</c:v>
                </c:pt>
                <c:pt idx="334">
                  <c:v>275.8</c:v>
                </c:pt>
                <c:pt idx="335">
                  <c:v>219.890332297519</c:v>
                </c:pt>
                <c:pt idx="336">
                  <c:v>248.170924415809</c:v>
                </c:pt>
                <c:pt idx="337">
                  <c:v>275.8</c:v>
                </c:pt>
                <c:pt idx="338">
                  <c:v>184.08648071345601</c:v>
                </c:pt>
                <c:pt idx="339">
                  <c:v>143.792876986957</c:v>
                </c:pt>
                <c:pt idx="340">
                  <c:v>183.642990294518</c:v>
                </c:pt>
              </c:numCache>
            </c:numRef>
          </c:xVal>
          <c:yVal>
            <c:numRef>
              <c:f>'Com TS variável MC2020'!$AE$11:$AE$351</c:f>
              <c:numCache>
                <c:formatCode>0.00</c:formatCode>
                <c:ptCount val="341"/>
                <c:pt idx="0">
                  <c:v>0.87576346512364833</c:v>
                </c:pt>
                <c:pt idx="1">
                  <c:v>0.80065685814951593</c:v>
                </c:pt>
                <c:pt idx="2">
                  <c:v>0.79538000831228306</c:v>
                </c:pt>
                <c:pt idx="3">
                  <c:v>0.72478168298859069</c:v>
                </c:pt>
                <c:pt idx="4">
                  <c:v>0.68509860649566068</c:v>
                </c:pt>
                <c:pt idx="5">
                  <c:v>0.70197508082449789</c:v>
                </c:pt>
                <c:pt idx="6">
                  <c:v>1.0444193879588268</c:v>
                </c:pt>
                <c:pt idx="7">
                  <c:v>0.92658306248894839</c:v>
                </c:pt>
                <c:pt idx="8">
                  <c:v>0.82499342923953722</c:v>
                </c:pt>
                <c:pt idx="9">
                  <c:v>1.1579635641495645</c:v>
                </c:pt>
                <c:pt idx="10">
                  <c:v>1.1935870882099364</c:v>
                </c:pt>
                <c:pt idx="11">
                  <c:v>1.0053691087764021</c:v>
                </c:pt>
                <c:pt idx="12">
                  <c:v>1.0406192738180269</c:v>
                </c:pt>
                <c:pt idx="13">
                  <c:v>1.1947202547262621</c:v>
                </c:pt>
                <c:pt idx="14">
                  <c:v>1.0846630419349268</c:v>
                </c:pt>
                <c:pt idx="15">
                  <c:v>1.2737803911253747</c:v>
                </c:pt>
                <c:pt idx="16">
                  <c:v>1.2933374455573949</c:v>
                </c:pt>
                <c:pt idx="17">
                  <c:v>1.1269045030928422</c:v>
                </c:pt>
                <c:pt idx="18">
                  <c:v>1.280573298969139</c:v>
                </c:pt>
                <c:pt idx="19">
                  <c:v>1.5071824215283598</c:v>
                </c:pt>
                <c:pt idx="20">
                  <c:v>1.6174357754217186</c:v>
                </c:pt>
                <c:pt idx="21">
                  <c:v>1.5359470115952099</c:v>
                </c:pt>
                <c:pt idx="22">
                  <c:v>1.4169656949720504</c:v>
                </c:pt>
                <c:pt idx="23">
                  <c:v>1.6192185507959482</c:v>
                </c:pt>
                <c:pt idx="24">
                  <c:v>1.5499318992592148</c:v>
                </c:pt>
                <c:pt idx="25">
                  <c:v>2.3373400615217101</c:v>
                </c:pt>
                <c:pt idx="26">
                  <c:v>1.4930777539094326</c:v>
                </c:pt>
                <c:pt idx="27">
                  <c:v>1.5020362547542181</c:v>
                </c:pt>
                <c:pt idx="28">
                  <c:v>1.8497607292793692</c:v>
                </c:pt>
                <c:pt idx="29">
                  <c:v>1.8043332022270728</c:v>
                </c:pt>
                <c:pt idx="30">
                  <c:v>1.7237979178313527</c:v>
                </c:pt>
                <c:pt idx="31">
                  <c:v>1.4164767062555312</c:v>
                </c:pt>
                <c:pt idx="32">
                  <c:v>1.3051208913342149</c:v>
                </c:pt>
                <c:pt idx="33">
                  <c:v>1.6547068443701651</c:v>
                </c:pt>
                <c:pt idx="34">
                  <c:v>1.841152685989339</c:v>
                </c:pt>
                <c:pt idx="35">
                  <c:v>3.3027724553252216</c:v>
                </c:pt>
                <c:pt idx="36">
                  <c:v>1.7995612339251235</c:v>
                </c:pt>
                <c:pt idx="37">
                  <c:v>1.6567696219280086</c:v>
                </c:pt>
                <c:pt idx="38">
                  <c:v>1.5896751701026595</c:v>
                </c:pt>
                <c:pt idx="39">
                  <c:v>1.608199851692087</c:v>
                </c:pt>
                <c:pt idx="40">
                  <c:v>1.8463957583281096</c:v>
                </c:pt>
                <c:pt idx="41">
                  <c:v>1.8861193977568245</c:v>
                </c:pt>
                <c:pt idx="42">
                  <c:v>1.9865186526951386</c:v>
                </c:pt>
                <c:pt idx="43">
                  <c:v>1.8927689339020684</c:v>
                </c:pt>
                <c:pt idx="44">
                  <c:v>1.7919391293710807</c:v>
                </c:pt>
                <c:pt idx="45">
                  <c:v>1.7879754369473388</c:v>
                </c:pt>
                <c:pt idx="46">
                  <c:v>1.526858560088858</c:v>
                </c:pt>
                <c:pt idx="47">
                  <c:v>1.7931495163282754</c:v>
                </c:pt>
                <c:pt idx="48">
                  <c:v>1.9297806008611638</c:v>
                </c:pt>
                <c:pt idx="49">
                  <c:v>1.8846227578634114</c:v>
                </c:pt>
                <c:pt idx="50">
                  <c:v>1.4378204396934648</c:v>
                </c:pt>
                <c:pt idx="51">
                  <c:v>1.4076920168066624</c:v>
                </c:pt>
                <c:pt idx="52">
                  <c:v>1.2415994126177552</c:v>
                </c:pt>
                <c:pt idx="53">
                  <c:v>1.4949786693285105</c:v>
                </c:pt>
                <c:pt idx="54">
                  <c:v>1.3246618714759648</c:v>
                </c:pt>
                <c:pt idx="55">
                  <c:v>2.2171418082459913</c:v>
                </c:pt>
                <c:pt idx="56">
                  <c:v>2.1219052080791765</c:v>
                </c:pt>
                <c:pt idx="57">
                  <c:v>1.8545266200663508</c:v>
                </c:pt>
                <c:pt idx="58">
                  <c:v>1.5775838061764187</c:v>
                </c:pt>
                <c:pt idx="59">
                  <c:v>1.4943750660798307</c:v>
                </c:pt>
                <c:pt idx="60">
                  <c:v>1.5187645142631463</c:v>
                </c:pt>
                <c:pt idx="61">
                  <c:v>1.7253590680425319</c:v>
                </c:pt>
                <c:pt idx="62">
                  <c:v>1.8519462072505783</c:v>
                </c:pt>
                <c:pt idx="63">
                  <c:v>1.7078572183769494</c:v>
                </c:pt>
                <c:pt idx="64">
                  <c:v>1.6427452909376892</c:v>
                </c:pt>
                <c:pt idx="65">
                  <c:v>1.8541172074486907</c:v>
                </c:pt>
                <c:pt idx="66">
                  <c:v>2.3402067160627711</c:v>
                </c:pt>
                <c:pt idx="67">
                  <c:v>1.5430965351052728</c:v>
                </c:pt>
                <c:pt idx="68">
                  <c:v>2.0996853970884763</c:v>
                </c:pt>
                <c:pt idx="69">
                  <c:v>1.687933808733852</c:v>
                </c:pt>
                <c:pt idx="70">
                  <c:v>2.1804425277457256</c:v>
                </c:pt>
                <c:pt idx="71">
                  <c:v>1.6598015785882878</c:v>
                </c:pt>
                <c:pt idx="72">
                  <c:v>1.190458435748214</c:v>
                </c:pt>
                <c:pt idx="73">
                  <c:v>1.1054307733999673</c:v>
                </c:pt>
                <c:pt idx="74">
                  <c:v>1.1575375187584258</c:v>
                </c:pt>
                <c:pt idx="75">
                  <c:v>1.1110323465628977</c:v>
                </c:pt>
                <c:pt idx="76">
                  <c:v>1.07376888002142</c:v>
                </c:pt>
                <c:pt idx="77">
                  <c:v>1.4085783020383338</c:v>
                </c:pt>
                <c:pt idx="78">
                  <c:v>1.3628233943355865</c:v>
                </c:pt>
                <c:pt idx="79">
                  <c:v>1.9543881686040239</c:v>
                </c:pt>
                <c:pt idx="80">
                  <c:v>1.6123471016810667</c:v>
                </c:pt>
                <c:pt idx="81">
                  <c:v>1.4591282689330758</c:v>
                </c:pt>
                <c:pt idx="82">
                  <c:v>1.2811912649635451</c:v>
                </c:pt>
                <c:pt idx="83">
                  <c:v>1.0535899849881085</c:v>
                </c:pt>
                <c:pt idx="84">
                  <c:v>0.95831202649765768</c:v>
                </c:pt>
                <c:pt idx="85">
                  <c:v>0.91579451063590167</c:v>
                </c:pt>
                <c:pt idx="86">
                  <c:v>0.80986902936698468</c:v>
                </c:pt>
                <c:pt idx="87">
                  <c:v>1.2092603262607997</c:v>
                </c:pt>
                <c:pt idx="88">
                  <c:v>1.0505723536318146</c:v>
                </c:pt>
                <c:pt idx="89">
                  <c:v>0.91513661783110356</c:v>
                </c:pt>
                <c:pt idx="90">
                  <c:v>0.94070534373938253</c:v>
                </c:pt>
                <c:pt idx="91">
                  <c:v>0.95831202649765768</c:v>
                </c:pt>
                <c:pt idx="92">
                  <c:v>0.91579451063590167</c:v>
                </c:pt>
                <c:pt idx="93">
                  <c:v>0.93257645805895206</c:v>
                </c:pt>
                <c:pt idx="94">
                  <c:v>1.1785731625628786</c:v>
                </c:pt>
                <c:pt idx="95">
                  <c:v>1.115282941270326</c:v>
                </c:pt>
                <c:pt idx="96">
                  <c:v>1.0232425578216517</c:v>
                </c:pt>
                <c:pt idx="97">
                  <c:v>1.0020907414238331</c:v>
                </c:pt>
                <c:pt idx="98">
                  <c:v>0.9482569733225189</c:v>
                </c:pt>
                <c:pt idx="99">
                  <c:v>1.0075123563674071</c:v>
                </c:pt>
                <c:pt idx="100">
                  <c:v>0.90424708902998707</c:v>
                </c:pt>
                <c:pt idx="101">
                  <c:v>1.6102876745438037</c:v>
                </c:pt>
                <c:pt idx="102">
                  <c:v>1.4142877950754544</c:v>
                </c:pt>
                <c:pt idx="103">
                  <c:v>1.115282941270326</c:v>
                </c:pt>
                <c:pt idx="104">
                  <c:v>1.2790531972770647</c:v>
                </c:pt>
                <c:pt idx="105">
                  <c:v>1.2199365547768404</c:v>
                </c:pt>
                <c:pt idx="106">
                  <c:v>1.2516992047857249</c:v>
                </c:pt>
                <c:pt idx="107">
                  <c:v>1.2761823180653824</c:v>
                </c:pt>
                <c:pt idx="108">
                  <c:v>1.2960874942763148</c:v>
                </c:pt>
                <c:pt idx="109">
                  <c:v>0.99041162899657531</c:v>
                </c:pt>
                <c:pt idx="110">
                  <c:v>1.0614657988854832</c:v>
                </c:pt>
                <c:pt idx="111">
                  <c:v>0.95865147505976256</c:v>
                </c:pt>
                <c:pt idx="112">
                  <c:v>0.97110626937582822</c:v>
                </c:pt>
                <c:pt idx="113">
                  <c:v>0.89230895894512208</c:v>
                </c:pt>
                <c:pt idx="114">
                  <c:v>0.88455483240456934</c:v>
                </c:pt>
                <c:pt idx="115">
                  <c:v>0.95865147505976256</c:v>
                </c:pt>
                <c:pt idx="116">
                  <c:v>0.97110626937582822</c:v>
                </c:pt>
                <c:pt idx="117">
                  <c:v>0.89230895894512208</c:v>
                </c:pt>
                <c:pt idx="118">
                  <c:v>5.5023634503490495</c:v>
                </c:pt>
                <c:pt idx="119">
                  <c:v>1.8663665161096319</c:v>
                </c:pt>
                <c:pt idx="120">
                  <c:v>1.4251645886649464</c:v>
                </c:pt>
                <c:pt idx="121">
                  <c:v>1.7170571948208613</c:v>
                </c:pt>
                <c:pt idx="122">
                  <c:v>1.2092305600793487</c:v>
                </c:pt>
                <c:pt idx="123">
                  <c:v>2.1054808912169665</c:v>
                </c:pt>
                <c:pt idx="124">
                  <c:v>1.5086619533175518</c:v>
                </c:pt>
                <c:pt idx="125">
                  <c:v>1.1393944892346501</c:v>
                </c:pt>
                <c:pt idx="126">
                  <c:v>2.1054808912169665</c:v>
                </c:pt>
                <c:pt idx="127">
                  <c:v>1.5086619533175518</c:v>
                </c:pt>
                <c:pt idx="128">
                  <c:v>1.1393944892346501</c:v>
                </c:pt>
                <c:pt idx="129">
                  <c:v>1.2809815710465267</c:v>
                </c:pt>
                <c:pt idx="130">
                  <c:v>0.89699406081214939</c:v>
                </c:pt>
                <c:pt idx="131">
                  <c:v>0.82814717041200225</c:v>
                </c:pt>
                <c:pt idx="132">
                  <c:v>1.537177885255832</c:v>
                </c:pt>
                <c:pt idx="133">
                  <c:v>1.1959920810828659</c:v>
                </c:pt>
                <c:pt idx="134">
                  <c:v>1.058188051082003</c:v>
                </c:pt>
                <c:pt idx="135">
                  <c:v>0.9903232971376521</c:v>
                </c:pt>
                <c:pt idx="136">
                  <c:v>0.9106744089113088</c:v>
                </c:pt>
                <c:pt idx="137">
                  <c:v>0.83836234007539812</c:v>
                </c:pt>
                <c:pt idx="138">
                  <c:v>0.801011760649876</c:v>
                </c:pt>
                <c:pt idx="139">
                  <c:v>0.76055925458268514</c:v>
                </c:pt>
                <c:pt idx="140">
                  <c:v>0.73937241787912167</c:v>
                </c:pt>
                <c:pt idx="141">
                  <c:v>0.7089319136325245</c:v>
                </c:pt>
                <c:pt idx="142">
                  <c:v>1.2431751724487654</c:v>
                </c:pt>
                <c:pt idx="143">
                  <c:v>1.0522185032087554</c:v>
                </c:pt>
                <c:pt idx="144">
                  <c:v>0.94970621980002345</c:v>
                </c:pt>
                <c:pt idx="145">
                  <c:v>0.85124094975787712</c:v>
                </c:pt>
                <c:pt idx="146">
                  <c:v>0.801011760649876</c:v>
                </c:pt>
                <c:pt idx="147">
                  <c:v>0.76347002032356692</c:v>
                </c:pt>
                <c:pt idx="148">
                  <c:v>0.7470398220780945</c:v>
                </c:pt>
                <c:pt idx="149">
                  <c:v>0.76210813161351298</c:v>
                </c:pt>
                <c:pt idx="150">
                  <c:v>0.80890562035952618</c:v>
                </c:pt>
                <c:pt idx="151">
                  <c:v>0.75313471929867326</c:v>
                </c:pt>
                <c:pt idx="152">
                  <c:v>0.75193724914762483</c:v>
                </c:pt>
                <c:pt idx="153">
                  <c:v>0.72483578697243534</c:v>
                </c:pt>
                <c:pt idx="154">
                  <c:v>0.7525369573861489</c:v>
                </c:pt>
                <c:pt idx="155">
                  <c:v>0.70916129461370514</c:v>
                </c:pt>
                <c:pt idx="156">
                  <c:v>1.0087298407847411</c:v>
                </c:pt>
                <c:pt idx="157">
                  <c:v>0.94764633977167767</c:v>
                </c:pt>
                <c:pt idx="158">
                  <c:v>0.90679634001584442</c:v>
                </c:pt>
                <c:pt idx="159">
                  <c:v>0.84987337300300281</c:v>
                </c:pt>
                <c:pt idx="160">
                  <c:v>0.77790867927064766</c:v>
                </c:pt>
                <c:pt idx="161">
                  <c:v>0.7525369573861489</c:v>
                </c:pt>
                <c:pt idx="162">
                  <c:v>0.73218683302980292</c:v>
                </c:pt>
                <c:pt idx="163">
                  <c:v>0.71750110086369523</c:v>
                </c:pt>
                <c:pt idx="164">
                  <c:v>0.78442572795342946</c:v>
                </c:pt>
                <c:pt idx="165">
                  <c:v>0.8037076302311259</c:v>
                </c:pt>
                <c:pt idx="166">
                  <c:v>0.83078819800731574</c:v>
                </c:pt>
                <c:pt idx="167">
                  <c:v>0.84458712156143523</c:v>
                </c:pt>
                <c:pt idx="168">
                  <c:v>0.88225061092739354</c:v>
                </c:pt>
                <c:pt idx="169">
                  <c:v>0.92117360573824192</c:v>
                </c:pt>
                <c:pt idx="170">
                  <c:v>1.0017576083580615</c:v>
                </c:pt>
                <c:pt idx="171">
                  <c:v>0.77351305847026675</c:v>
                </c:pt>
                <c:pt idx="172">
                  <c:v>0.78618820507072451</c:v>
                </c:pt>
                <c:pt idx="173">
                  <c:v>0.80133495484001049</c:v>
                </c:pt>
                <c:pt idx="174">
                  <c:v>0.8488618377577678</c:v>
                </c:pt>
                <c:pt idx="175">
                  <c:v>0.81690395989970266</c:v>
                </c:pt>
                <c:pt idx="176">
                  <c:v>0.78772375975660125</c:v>
                </c:pt>
                <c:pt idx="177">
                  <c:v>0.79707700369994561</c:v>
                </c:pt>
                <c:pt idx="178">
                  <c:v>0.81029409010843045</c:v>
                </c:pt>
                <c:pt idx="179">
                  <c:v>0.64889208541649612</c:v>
                </c:pt>
                <c:pt idx="180">
                  <c:v>0.63358616700922399</c:v>
                </c:pt>
                <c:pt idx="181">
                  <c:v>0.63662724556021311</c:v>
                </c:pt>
                <c:pt idx="182">
                  <c:v>0.59915422295931797</c:v>
                </c:pt>
                <c:pt idx="183">
                  <c:v>0.598670057415017</c:v>
                </c:pt>
                <c:pt idx="184">
                  <c:v>0.59560961226556308</c:v>
                </c:pt>
                <c:pt idx="185">
                  <c:v>0.6109326132017262</c:v>
                </c:pt>
                <c:pt idx="186">
                  <c:v>0.72384630061170652</c:v>
                </c:pt>
                <c:pt idx="187">
                  <c:v>0.73597071407922543</c:v>
                </c:pt>
                <c:pt idx="188">
                  <c:v>0.71365053590811234</c:v>
                </c:pt>
                <c:pt idx="189">
                  <c:v>0.63336551303524313</c:v>
                </c:pt>
                <c:pt idx="190">
                  <c:v>0.62716193307005907</c:v>
                </c:pt>
                <c:pt idx="191">
                  <c:v>0.65333627043264864</c:v>
                </c:pt>
                <c:pt idx="192">
                  <c:v>1.7707628723531612</c:v>
                </c:pt>
                <c:pt idx="193">
                  <c:v>1.4632844021528189</c:v>
                </c:pt>
                <c:pt idx="194">
                  <c:v>1.3170926207737454</c:v>
                </c:pt>
                <c:pt idx="195">
                  <c:v>1.2236397266092425</c:v>
                </c:pt>
                <c:pt idx="196">
                  <c:v>1.089363672156203</c:v>
                </c:pt>
                <c:pt idx="197">
                  <c:v>1.1201138194407105</c:v>
                </c:pt>
                <c:pt idx="198">
                  <c:v>1.0965405094398251</c:v>
                </c:pt>
                <c:pt idx="199">
                  <c:v>0.98043958838242951</c:v>
                </c:pt>
                <c:pt idx="200">
                  <c:v>1.2789678047591166</c:v>
                </c:pt>
                <c:pt idx="201">
                  <c:v>1.3215818298531536</c:v>
                </c:pt>
                <c:pt idx="202">
                  <c:v>1.3453124837517612</c:v>
                </c:pt>
                <c:pt idx="203">
                  <c:v>0.92269516734774382</c:v>
                </c:pt>
                <c:pt idx="204">
                  <c:v>0.76760847713764091</c:v>
                </c:pt>
                <c:pt idx="205">
                  <c:v>0.73703104106822082</c:v>
                </c:pt>
                <c:pt idx="206">
                  <c:v>0.64521373288517514</c:v>
                </c:pt>
                <c:pt idx="207">
                  <c:v>0.61134243770349284</c:v>
                </c:pt>
                <c:pt idx="208">
                  <c:v>0.61912305045445892</c:v>
                </c:pt>
                <c:pt idx="209">
                  <c:v>0.84197652128301004</c:v>
                </c:pt>
                <c:pt idx="210">
                  <c:v>0.80307941278852879</c:v>
                </c:pt>
                <c:pt idx="211">
                  <c:v>0.74684645255763582</c:v>
                </c:pt>
                <c:pt idx="212">
                  <c:v>0.76411604064022509</c:v>
                </c:pt>
                <c:pt idx="213">
                  <c:v>0.72339136506451229</c:v>
                </c:pt>
                <c:pt idx="214">
                  <c:v>0.56852402868195173</c:v>
                </c:pt>
                <c:pt idx="215">
                  <c:v>1.1968712540409785</c:v>
                </c:pt>
                <c:pt idx="216">
                  <c:v>1.0775888586899334</c:v>
                </c:pt>
                <c:pt idx="217">
                  <c:v>1.0518182174107586</c:v>
                </c:pt>
                <c:pt idx="218">
                  <c:v>1.0080006011425264</c:v>
                </c:pt>
                <c:pt idx="219">
                  <c:v>0.97391974349277499</c:v>
                </c:pt>
                <c:pt idx="220">
                  <c:v>1.0261051294744996</c:v>
                </c:pt>
                <c:pt idx="221">
                  <c:v>1.0047008212900397</c:v>
                </c:pt>
                <c:pt idx="222">
                  <c:v>1.1148464523910273</c:v>
                </c:pt>
                <c:pt idx="223">
                  <c:v>0.50795838310944663</c:v>
                </c:pt>
                <c:pt idx="224">
                  <c:v>0.51170604177911372</c:v>
                </c:pt>
                <c:pt idx="225">
                  <c:v>0.54720531208039869</c:v>
                </c:pt>
                <c:pt idx="226">
                  <c:v>0.84443006744860705</c:v>
                </c:pt>
                <c:pt idx="227">
                  <c:v>0.80621337239239221</c:v>
                </c:pt>
                <c:pt idx="228">
                  <c:v>0.82191459781763532</c:v>
                </c:pt>
                <c:pt idx="229">
                  <c:v>0.83482703731005337</c:v>
                </c:pt>
                <c:pt idx="230">
                  <c:v>0.91211350895735743</c:v>
                </c:pt>
                <c:pt idx="231">
                  <c:v>0.91812812101138819</c:v>
                </c:pt>
                <c:pt idx="232">
                  <c:v>0.90765653608876384</c:v>
                </c:pt>
                <c:pt idx="233">
                  <c:v>1.0568533922545473</c:v>
                </c:pt>
                <c:pt idx="234">
                  <c:v>0.82975387855826999</c:v>
                </c:pt>
                <c:pt idx="235">
                  <c:v>0.88635443581356232</c:v>
                </c:pt>
                <c:pt idx="236">
                  <c:v>0.78703680921719243</c:v>
                </c:pt>
                <c:pt idx="237">
                  <c:v>0.77852650202221063</c:v>
                </c:pt>
                <c:pt idx="238">
                  <c:v>0.70790828159591945</c:v>
                </c:pt>
                <c:pt idx="239">
                  <c:v>0.65447874307599718</c:v>
                </c:pt>
                <c:pt idx="240">
                  <c:v>0.65912406967704373</c:v>
                </c:pt>
                <c:pt idx="241">
                  <c:v>2.6524228636022111</c:v>
                </c:pt>
                <c:pt idx="242">
                  <c:v>2.0942796986710945</c:v>
                </c:pt>
                <c:pt idx="243">
                  <c:v>2.0679681791219506</c:v>
                </c:pt>
                <c:pt idx="244">
                  <c:v>1.8878334465817246</c:v>
                </c:pt>
                <c:pt idx="245">
                  <c:v>1.6371220031288469</c:v>
                </c:pt>
                <c:pt idx="246">
                  <c:v>1.5414849612739536</c:v>
                </c:pt>
                <c:pt idx="247">
                  <c:v>1.49026460271608</c:v>
                </c:pt>
                <c:pt idx="248">
                  <c:v>0.62144048043128486</c:v>
                </c:pt>
                <c:pt idx="249">
                  <c:v>0.98473411908800201</c:v>
                </c:pt>
                <c:pt idx="250">
                  <c:v>0.6186270473622506</c:v>
                </c:pt>
                <c:pt idx="251">
                  <c:v>0.70338151363428714</c:v>
                </c:pt>
                <c:pt idx="252">
                  <c:v>0.6186270473622506</c:v>
                </c:pt>
                <c:pt idx="253">
                  <c:v>0.70338151363428714</c:v>
                </c:pt>
                <c:pt idx="254">
                  <c:v>0.6158389738639386</c:v>
                </c:pt>
                <c:pt idx="255">
                  <c:v>0.84405781636114452</c:v>
                </c:pt>
                <c:pt idx="256">
                  <c:v>0.59937547034877015</c:v>
                </c:pt>
                <c:pt idx="257">
                  <c:v>0.59766412448033679</c:v>
                </c:pt>
                <c:pt idx="258">
                  <c:v>0.59396223874397069</c:v>
                </c:pt>
                <c:pt idx="259">
                  <c:v>0.59766412448033679</c:v>
                </c:pt>
                <c:pt idx="260">
                  <c:v>0.72218235405150999</c:v>
                </c:pt>
                <c:pt idx="261">
                  <c:v>0.77361452269944253</c:v>
                </c:pt>
                <c:pt idx="262">
                  <c:v>0.85065792119647832</c:v>
                </c:pt>
                <c:pt idx="263">
                  <c:v>0.71713642092851693</c:v>
                </c:pt>
                <c:pt idx="264">
                  <c:v>0.77013168134791943</c:v>
                </c:pt>
                <c:pt idx="265">
                  <c:v>1.0520055383066169</c:v>
                </c:pt>
                <c:pt idx="266">
                  <c:v>0.89579268451171246</c:v>
                </c:pt>
                <c:pt idx="267">
                  <c:v>0.98366634352511217</c:v>
                </c:pt>
                <c:pt idx="268">
                  <c:v>0.90105129243942539</c:v>
                </c:pt>
                <c:pt idx="269">
                  <c:v>1.059693023413574</c:v>
                </c:pt>
                <c:pt idx="270">
                  <c:v>1.1302132344939833</c:v>
                </c:pt>
                <c:pt idx="271">
                  <c:v>0.92752596491757588</c:v>
                </c:pt>
                <c:pt idx="272">
                  <c:v>0.64321256547397143</c:v>
                </c:pt>
                <c:pt idx="273">
                  <c:v>0.64656653297865985</c:v>
                </c:pt>
                <c:pt idx="274">
                  <c:v>0.54673068065287567</c:v>
                </c:pt>
                <c:pt idx="275">
                  <c:v>0.61717714511599342</c:v>
                </c:pt>
                <c:pt idx="276">
                  <c:v>0.99859159881663939</c:v>
                </c:pt>
                <c:pt idx="277">
                  <c:v>0.85184432872857252</c:v>
                </c:pt>
                <c:pt idx="278">
                  <c:v>0.7957158630536415</c:v>
                </c:pt>
                <c:pt idx="279">
                  <c:v>0.68396540817355733</c:v>
                </c:pt>
                <c:pt idx="280">
                  <c:v>0.75431716540853266</c:v>
                </c:pt>
                <c:pt idx="281">
                  <c:v>0.75873739544496455</c:v>
                </c:pt>
                <c:pt idx="282">
                  <c:v>0.71614427674827719</c:v>
                </c:pt>
                <c:pt idx="283">
                  <c:v>0.6543620731384735</c:v>
                </c:pt>
                <c:pt idx="284">
                  <c:v>0.6336264189431674</c:v>
                </c:pt>
                <c:pt idx="285">
                  <c:v>0.73063601042848436</c:v>
                </c:pt>
                <c:pt idx="286">
                  <c:v>1.1397802165954039</c:v>
                </c:pt>
                <c:pt idx="287">
                  <c:v>1.1991776295551675</c:v>
                </c:pt>
                <c:pt idx="288">
                  <c:v>1.2054651980295432</c:v>
                </c:pt>
                <c:pt idx="289">
                  <c:v>0.71066700383922166</c:v>
                </c:pt>
                <c:pt idx="290">
                  <c:v>0.72346558878291056</c:v>
                </c:pt>
                <c:pt idx="291">
                  <c:v>0.79680620878777542</c:v>
                </c:pt>
                <c:pt idx="292">
                  <c:v>1.4497662402062996</c:v>
                </c:pt>
                <c:pt idx="293">
                  <c:v>0.86248854017118848</c:v>
                </c:pt>
                <c:pt idx="294">
                  <c:v>0.90555995213268459</c:v>
                </c:pt>
                <c:pt idx="295">
                  <c:v>0.88667036204557548</c:v>
                </c:pt>
                <c:pt idx="296">
                  <c:v>1.0192223688733626</c:v>
                </c:pt>
                <c:pt idx="297">
                  <c:v>0.71889071689453654</c:v>
                </c:pt>
                <c:pt idx="298">
                  <c:v>0.78542747699012949</c:v>
                </c:pt>
                <c:pt idx="299">
                  <c:v>0.91676419338721538</c:v>
                </c:pt>
                <c:pt idx="300">
                  <c:v>0.90350830045738795</c:v>
                </c:pt>
                <c:pt idx="301">
                  <c:v>0.92743714444374281</c:v>
                </c:pt>
                <c:pt idx="302">
                  <c:v>0.97925764578938079</c:v>
                </c:pt>
                <c:pt idx="303">
                  <c:v>1.2094602502177239</c:v>
                </c:pt>
                <c:pt idx="304">
                  <c:v>1.2436954519102368</c:v>
                </c:pt>
                <c:pt idx="305">
                  <c:v>1.2549531160627729</c:v>
                </c:pt>
                <c:pt idx="306">
                  <c:v>1.3622328687567544</c:v>
                </c:pt>
                <c:pt idx="307">
                  <c:v>1.2165360790016144</c:v>
                </c:pt>
                <c:pt idx="308">
                  <c:v>1.1998881404438688</c:v>
                </c:pt>
                <c:pt idx="309">
                  <c:v>1.0740675672846067</c:v>
                </c:pt>
                <c:pt idx="310">
                  <c:v>1.029764136879235</c:v>
                </c:pt>
                <c:pt idx="311">
                  <c:v>1.0900729778073139</c:v>
                </c:pt>
                <c:pt idx="312">
                  <c:v>1.1052291667737739</c:v>
                </c:pt>
                <c:pt idx="313">
                  <c:v>0.86852600027685822</c:v>
                </c:pt>
                <c:pt idx="314">
                  <c:v>0.94770667701582934</c:v>
                </c:pt>
                <c:pt idx="315">
                  <c:v>0.82381130950338777</c:v>
                </c:pt>
                <c:pt idx="316">
                  <c:v>0.95926422047043636</c:v>
                </c:pt>
                <c:pt idx="317">
                  <c:v>0.99089511503855587</c:v>
                </c:pt>
                <c:pt idx="318">
                  <c:v>0.85362490369529487</c:v>
                </c:pt>
                <c:pt idx="319">
                  <c:v>0.85286924922097118</c:v>
                </c:pt>
                <c:pt idx="320">
                  <c:v>0.89954943656484743</c:v>
                </c:pt>
                <c:pt idx="321">
                  <c:v>0.82530909390997831</c:v>
                </c:pt>
                <c:pt idx="322">
                  <c:v>0.84361048976209307</c:v>
                </c:pt>
                <c:pt idx="323">
                  <c:v>0.81420806843429994</c:v>
                </c:pt>
                <c:pt idx="324">
                  <c:v>0.82946680269918649</c:v>
                </c:pt>
                <c:pt idx="325">
                  <c:v>0.91280043303515734</c:v>
                </c:pt>
                <c:pt idx="326">
                  <c:v>0.97029091147386015</c:v>
                </c:pt>
                <c:pt idx="327">
                  <c:v>0.91559841998913039</c:v>
                </c:pt>
                <c:pt idx="328">
                  <c:v>0.90402238413564628</c:v>
                </c:pt>
                <c:pt idx="329">
                  <c:v>0.99257774249736663</c:v>
                </c:pt>
                <c:pt idx="330">
                  <c:v>1.1240847313884359</c:v>
                </c:pt>
                <c:pt idx="331">
                  <c:v>1.2140149428196285</c:v>
                </c:pt>
                <c:pt idx="332">
                  <c:v>1.1968617780204276</c:v>
                </c:pt>
                <c:pt idx="333">
                  <c:v>1.2781972810106226</c:v>
                </c:pt>
                <c:pt idx="334">
                  <c:v>1.344400877280699</c:v>
                </c:pt>
                <c:pt idx="335">
                  <c:v>0.87044492946940188</c:v>
                </c:pt>
                <c:pt idx="336">
                  <c:v>0.89947216071117886</c:v>
                </c:pt>
                <c:pt idx="337">
                  <c:v>0.92427560313048063</c:v>
                </c:pt>
                <c:pt idx="338">
                  <c:v>1.1601385752334505</c:v>
                </c:pt>
                <c:pt idx="339">
                  <c:v>1.7473416784004852</c:v>
                </c:pt>
                <c:pt idx="340">
                  <c:v>1.7315407415249773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99-49F7-A59F-7C4608ED6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8743"/>
        <c:axId val="33329424"/>
      </c:scatterChart>
      <c:valAx>
        <c:axId val="1383874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pt-BR" sz="1000" b="0" strike="noStrike" spc="-1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pt-BR" sz="1000" b="0" strike="noStrike" spc="-1">
                    <a:solidFill>
                      <a:srgbClr val="595959"/>
                    </a:solidFill>
                    <a:latin typeface="Aptos Narrow"/>
                  </a:rPr>
                  <a:t>Tensão sem TS MC2020</a:t>
                </a:r>
              </a:p>
            </c:rich>
          </c:tx>
          <c:layout>
            <c:manualLayout>
              <c:xMode val="edge"/>
              <c:yMode val="edge"/>
              <c:x val="0.39742923915866002"/>
              <c:y val="0.873949579831933"/>
            </c:manualLayout>
          </c:layout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t-BR"/>
          </a:p>
        </c:txPr>
        <c:crossAx val="33329424"/>
        <c:crosses val="autoZero"/>
        <c:crossBetween val="midCat"/>
        <c:majorUnit val="100"/>
        <c:minorUnit val="50"/>
      </c:valAx>
      <c:valAx>
        <c:axId val="3332942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1000" b="0" strike="noStrike" spc="-1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pt-BR" sz="1000" b="0" strike="noStrike" spc="-1">
                    <a:solidFill>
                      <a:srgbClr val="595959"/>
                    </a:solidFill>
                    <a:latin typeface="Aptos Narrow"/>
                  </a:rPr>
                  <a:t>Erro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E+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t-BR"/>
          </a:p>
        </c:txPr>
        <c:crossAx val="1383874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138600</xdr:colOff>
      <xdr:row>9</xdr:row>
      <xdr:rowOff>104760</xdr:rowOff>
    </xdr:from>
    <xdr:to>
      <xdr:col>40</xdr:col>
      <xdr:colOff>158400</xdr:colOff>
      <xdr:row>24</xdr:row>
      <xdr:rowOff>54720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44</xdr:col>
      <xdr:colOff>0</xdr:colOff>
      <xdr:row>10</xdr:row>
      <xdr:rowOff>1080</xdr:rowOff>
    </xdr:from>
    <xdr:to>
      <xdr:col>53</xdr:col>
      <xdr:colOff>234720</xdr:colOff>
      <xdr:row>24</xdr:row>
      <xdr:rowOff>165960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32</xdr:col>
      <xdr:colOff>0</xdr:colOff>
      <xdr:row>29</xdr:row>
      <xdr:rowOff>1440</xdr:rowOff>
    </xdr:from>
    <xdr:to>
      <xdr:col>40</xdr:col>
      <xdr:colOff>19800</xdr:colOff>
      <xdr:row>43</xdr:row>
      <xdr:rowOff>166320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55"/>
  <sheetViews>
    <sheetView topLeftCell="A27" zoomScale="120" zoomScaleNormal="120" workbookViewId="0">
      <selection activeCell="B43" sqref="B43"/>
    </sheetView>
  </sheetViews>
  <sheetFormatPr defaultColWidth="8.5703125" defaultRowHeight="15" x14ac:dyDescent="0.25"/>
  <cols>
    <col min="1" max="1" width="32.85546875" style="1" customWidth="1"/>
    <col min="2" max="2" width="24.85546875" style="3" customWidth="1"/>
    <col min="3" max="3" width="24.85546875" style="4" customWidth="1"/>
    <col min="4" max="4" width="29.5703125" style="4" customWidth="1"/>
    <col min="5" max="5" width="29.42578125" style="3" customWidth="1"/>
    <col min="6" max="6" width="36.85546875" style="5" customWidth="1"/>
    <col min="7" max="7" width="16.42578125" style="3" customWidth="1"/>
    <col min="8" max="8" width="44.5703125" style="3" customWidth="1"/>
    <col min="9" max="9" width="16.42578125" style="2" customWidth="1"/>
    <col min="10" max="10" width="42.85546875" style="5" customWidth="1"/>
    <col min="11" max="11" width="9.5703125" style="5" customWidth="1"/>
    <col min="12" max="12" width="50.85546875" style="6" customWidth="1"/>
    <col min="16" max="17" width="8.85546875" style="1" customWidth="1"/>
    <col min="22" max="22" width="13.85546875" customWidth="1"/>
  </cols>
  <sheetData>
    <row r="1" spans="1:23" x14ac:dyDescent="0.25">
      <c r="P1" s="7" t="s">
        <v>0</v>
      </c>
      <c r="S1" s="8" t="s">
        <v>1</v>
      </c>
    </row>
    <row r="2" spans="1:23" x14ac:dyDescent="0.25">
      <c r="P2" s="1" t="s">
        <v>2</v>
      </c>
      <c r="Q2" s="1">
        <v>1.728</v>
      </c>
      <c r="S2" s="1" t="s">
        <v>2</v>
      </c>
      <c r="T2" s="1">
        <v>0.39200000000000002</v>
      </c>
      <c r="V2" s="1"/>
      <c r="W2" s="5"/>
    </row>
    <row r="3" spans="1:23" x14ac:dyDescent="0.25">
      <c r="P3" s="1" t="s">
        <v>3</v>
      </c>
      <c r="Q3" s="1">
        <v>1.0999999999999999E-2</v>
      </c>
      <c r="S3" s="1" t="s">
        <v>3</v>
      </c>
      <c r="T3" s="1">
        <v>1.1479999999999999</v>
      </c>
      <c r="V3" s="1"/>
      <c r="W3" s="5"/>
    </row>
    <row r="4" spans="1:23" x14ac:dyDescent="0.25">
      <c r="P4" s="1" t="s">
        <v>4</v>
      </c>
      <c r="Q4" s="1">
        <v>0.33900000000000002</v>
      </c>
      <c r="S4" s="1" t="s">
        <v>4</v>
      </c>
      <c r="T4" s="1">
        <v>0.85399999999999998</v>
      </c>
      <c r="V4" s="1"/>
      <c r="W4" s="5"/>
    </row>
    <row r="5" spans="1:23" x14ac:dyDescent="0.25">
      <c r="P5" s="1" t="s">
        <v>5</v>
      </c>
      <c r="Q5" s="1">
        <v>1.1020000000000001</v>
      </c>
      <c r="S5" s="1" t="s">
        <v>5</v>
      </c>
      <c r="T5" s="1">
        <v>0.55500000000000005</v>
      </c>
      <c r="V5" s="1"/>
      <c r="W5" s="5"/>
    </row>
    <row r="6" spans="1:23" x14ac:dyDescent="0.25">
      <c r="P6" s="1" t="s">
        <v>6</v>
      </c>
      <c r="Q6" s="1">
        <v>-0.495</v>
      </c>
      <c r="S6" s="1" t="s">
        <v>6</v>
      </c>
      <c r="T6" s="1">
        <v>-0.68600000000000005</v>
      </c>
      <c r="V6" s="1"/>
      <c r="W6" s="5"/>
    </row>
    <row r="7" spans="1:23" x14ac:dyDescent="0.25">
      <c r="P7" s="1" t="s">
        <v>7</v>
      </c>
      <c r="Q7" s="1">
        <v>0.83799999999999997</v>
      </c>
      <c r="S7" s="1" t="s">
        <v>7</v>
      </c>
      <c r="T7" s="1">
        <v>1.952</v>
      </c>
      <c r="V7" s="1"/>
      <c r="W7" s="5"/>
    </row>
    <row r="8" spans="1:23" x14ac:dyDescent="0.25">
      <c r="S8" s="1"/>
      <c r="T8" s="1"/>
      <c r="V8" s="1"/>
      <c r="W8" s="5"/>
    </row>
    <row r="9" spans="1:23" x14ac:dyDescent="0.25">
      <c r="A9" s="1" t="s">
        <v>8</v>
      </c>
      <c r="B9" s="46" t="s">
        <v>9</v>
      </c>
      <c r="C9" s="46"/>
      <c r="D9" s="46"/>
      <c r="E9" s="46"/>
      <c r="F9" s="46"/>
      <c r="G9" s="46"/>
      <c r="H9" s="46"/>
      <c r="I9" s="46"/>
      <c r="J9" s="46"/>
      <c r="K9" s="5" t="s">
        <v>10</v>
      </c>
    </row>
    <row r="10" spans="1:23" ht="18" x14ac:dyDescent="0.25">
      <c r="B10" s="3" t="s">
        <v>11</v>
      </c>
      <c r="C10" s="4" t="s">
        <v>12</v>
      </c>
      <c r="D10" s="4" t="s">
        <v>13</v>
      </c>
      <c r="E10" s="3" t="s">
        <v>14</v>
      </c>
      <c r="F10" s="5" t="s">
        <v>15</v>
      </c>
      <c r="G10" s="3" t="s">
        <v>16</v>
      </c>
      <c r="H10" s="3" t="s">
        <v>17</v>
      </c>
      <c r="I10" s="2" t="s">
        <v>18</v>
      </c>
      <c r="J10" s="5" t="s">
        <v>19</v>
      </c>
      <c r="K10" s="5" t="s">
        <v>20</v>
      </c>
      <c r="L10" s="5" t="s">
        <v>21</v>
      </c>
    </row>
    <row r="11" spans="1:23" x14ac:dyDescent="0.25">
      <c r="A11" s="1" t="s">
        <v>22</v>
      </c>
      <c r="B11" s="3">
        <v>20</v>
      </c>
      <c r="C11" s="4">
        <v>500</v>
      </c>
      <c r="D11" s="4">
        <v>2</v>
      </c>
      <c r="E11" s="3">
        <v>126</v>
      </c>
      <c r="F11" s="5">
        <v>4.1203405239014401</v>
      </c>
      <c r="G11" s="3">
        <v>25</v>
      </c>
      <c r="H11" s="3">
        <v>39</v>
      </c>
      <c r="I11" s="2">
        <v>6.0723545689225202E-2</v>
      </c>
      <c r="J11" s="5">
        <v>185.31436247134701</v>
      </c>
      <c r="K11" s="5">
        <v>0.16</v>
      </c>
      <c r="L11" s="6">
        <f t="shared" ref="L11:L74" si="0">J11/200000</f>
        <v>9.2657181235673511E-4</v>
      </c>
      <c r="P11" s="5">
        <f t="shared" ref="P11:P74" si="1">$Q$2*($Q$3*$G11+$Q$4*$B11^$Q$5*$I11^$Q$6)*$L11^$Q$7</f>
        <v>0.18415873311258715</v>
      </c>
      <c r="Q11" s="5">
        <f t="shared" ref="Q11:Q74" si="2">P11/$K11</f>
        <v>1.1509920819536696</v>
      </c>
      <c r="S11" s="5">
        <f t="shared" ref="S11:S74" si="3">$T$2*$B11^$T$3*$L11^$T$4*($T$5*$I11^$T$6+$T$7)</f>
        <v>0.18022921031306469</v>
      </c>
      <c r="T11" s="5">
        <f t="shared" ref="T11:T74" si="4">S11/$K11</f>
        <v>1.1264325644566542</v>
      </c>
      <c r="V11" s="5"/>
      <c r="W11" s="5"/>
    </row>
    <row r="12" spans="1:23" x14ac:dyDescent="0.25">
      <c r="B12" s="3">
        <v>20</v>
      </c>
      <c r="C12" s="4">
        <v>500</v>
      </c>
      <c r="D12" s="4">
        <v>2</v>
      </c>
      <c r="E12" s="3">
        <v>126</v>
      </c>
      <c r="F12" s="5">
        <v>4.1203405239014401</v>
      </c>
      <c r="G12" s="3">
        <v>25</v>
      </c>
      <c r="H12" s="3">
        <v>39</v>
      </c>
      <c r="I12" s="2">
        <v>6.0723545689225202E-2</v>
      </c>
      <c r="J12" s="5">
        <v>270.65736491061398</v>
      </c>
      <c r="K12" s="5">
        <v>0.23</v>
      </c>
      <c r="L12" s="6">
        <f t="shared" si="0"/>
        <v>1.3532868245530699E-3</v>
      </c>
      <c r="P12" s="5">
        <f t="shared" si="1"/>
        <v>0.25296028587469882</v>
      </c>
      <c r="Q12" s="5">
        <f t="shared" si="2"/>
        <v>1.0998273298899948</v>
      </c>
      <c r="S12" s="5">
        <f t="shared" si="3"/>
        <v>0.24906768082481631</v>
      </c>
      <c r="T12" s="5">
        <f t="shared" si="4"/>
        <v>1.082902960107897</v>
      </c>
      <c r="V12" s="5"/>
      <c r="W12" s="5"/>
    </row>
    <row r="13" spans="1:23" x14ac:dyDescent="0.25">
      <c r="B13" s="3">
        <v>20</v>
      </c>
      <c r="C13" s="4">
        <v>500</v>
      </c>
      <c r="D13" s="4">
        <v>2</v>
      </c>
      <c r="E13" s="3">
        <v>126</v>
      </c>
      <c r="F13" s="5">
        <v>4.1203405239014401</v>
      </c>
      <c r="G13" s="3">
        <v>25</v>
      </c>
      <c r="H13" s="3">
        <v>39</v>
      </c>
      <c r="I13" s="2">
        <v>6.0723545689225202E-2</v>
      </c>
      <c r="J13" s="5">
        <v>284.10290085354399</v>
      </c>
      <c r="K13" s="5">
        <v>0.24</v>
      </c>
      <c r="L13" s="6">
        <f t="shared" si="0"/>
        <v>1.4205145042677199E-3</v>
      </c>
      <c r="P13" s="5">
        <f t="shared" si="1"/>
        <v>0.26344934285702215</v>
      </c>
      <c r="Q13" s="5">
        <f t="shared" si="2"/>
        <v>1.0977055952375923</v>
      </c>
      <c r="S13" s="5">
        <f t="shared" si="3"/>
        <v>0.25959662755211166</v>
      </c>
      <c r="T13" s="5">
        <f t="shared" si="4"/>
        <v>1.0816526148004653</v>
      </c>
      <c r="V13" s="5"/>
      <c r="W13" s="5"/>
    </row>
    <row r="14" spans="1:23" x14ac:dyDescent="0.25">
      <c r="B14" s="3">
        <v>20</v>
      </c>
      <c r="C14" s="4">
        <v>500</v>
      </c>
      <c r="D14" s="4">
        <v>2</v>
      </c>
      <c r="E14" s="3">
        <v>126</v>
      </c>
      <c r="F14" s="5">
        <v>4.1203405239014401</v>
      </c>
      <c r="G14" s="3">
        <v>25</v>
      </c>
      <c r="H14" s="3">
        <v>39</v>
      </c>
      <c r="I14" s="2">
        <v>6.0723545689225202E-2</v>
      </c>
      <c r="J14" s="5">
        <v>347.37006118675498</v>
      </c>
      <c r="K14" s="5">
        <v>0.27</v>
      </c>
      <c r="L14" s="6">
        <f t="shared" si="0"/>
        <v>1.7368503059337749E-3</v>
      </c>
      <c r="P14" s="5">
        <f t="shared" si="1"/>
        <v>0.31179455630312169</v>
      </c>
      <c r="Q14" s="5">
        <f t="shared" si="2"/>
        <v>1.1547946529745248</v>
      </c>
      <c r="S14" s="5">
        <f t="shared" si="3"/>
        <v>0.30822475959761936</v>
      </c>
      <c r="T14" s="5">
        <f t="shared" si="4"/>
        <v>1.1415731836948864</v>
      </c>
      <c r="V14" s="5"/>
      <c r="W14" s="5"/>
    </row>
    <row r="15" spans="1:23" x14ac:dyDescent="0.25">
      <c r="B15" s="3">
        <v>20</v>
      </c>
      <c r="C15" s="4">
        <v>500</v>
      </c>
      <c r="D15" s="4">
        <v>2</v>
      </c>
      <c r="E15" s="3">
        <v>126</v>
      </c>
      <c r="F15" s="5">
        <v>4.1203405239014401</v>
      </c>
      <c r="G15" s="3">
        <v>25</v>
      </c>
      <c r="H15" s="3">
        <v>39</v>
      </c>
      <c r="I15" s="2">
        <v>6.0723545689225202E-2</v>
      </c>
      <c r="J15" s="5">
        <v>454.409433279258</v>
      </c>
      <c r="K15" s="5">
        <v>0.35</v>
      </c>
      <c r="L15" s="6">
        <f t="shared" si="0"/>
        <v>2.2720471663962901E-3</v>
      </c>
      <c r="P15" s="5">
        <f t="shared" si="1"/>
        <v>0.39050390341684782</v>
      </c>
      <c r="Q15" s="5">
        <f t="shared" si="2"/>
        <v>1.1157254383338511</v>
      </c>
      <c r="S15" s="5">
        <f t="shared" si="3"/>
        <v>0.38769558259780407</v>
      </c>
      <c r="T15" s="5">
        <f t="shared" si="4"/>
        <v>1.1077016645651545</v>
      </c>
      <c r="V15" s="5"/>
      <c r="W15" s="5"/>
    </row>
    <row r="16" spans="1:23" x14ac:dyDescent="0.25">
      <c r="B16" s="3">
        <v>20</v>
      </c>
      <c r="C16" s="4">
        <v>500</v>
      </c>
      <c r="D16" s="4">
        <v>2</v>
      </c>
      <c r="E16" s="3">
        <v>126</v>
      </c>
      <c r="F16" s="5">
        <v>4.1203405239014401</v>
      </c>
      <c r="G16" s="3">
        <v>25</v>
      </c>
      <c r="H16" s="3">
        <v>39</v>
      </c>
      <c r="I16" s="2">
        <v>6.0723545689225202E-2</v>
      </c>
      <c r="J16" s="5">
        <v>500</v>
      </c>
      <c r="K16" s="5">
        <v>0.4</v>
      </c>
      <c r="L16" s="6">
        <f t="shared" si="0"/>
        <v>2.5000000000000001E-3</v>
      </c>
      <c r="P16" s="5">
        <f t="shared" si="1"/>
        <v>0.42307890664698605</v>
      </c>
      <c r="Q16" s="5">
        <f t="shared" si="2"/>
        <v>1.0576972666174651</v>
      </c>
      <c r="S16" s="5">
        <f t="shared" si="3"/>
        <v>0.42067936462474681</v>
      </c>
      <c r="T16" s="5">
        <f t="shared" si="4"/>
        <v>1.0516984115618671</v>
      </c>
      <c r="V16" s="5"/>
      <c r="W16" s="5"/>
    </row>
    <row r="17" spans="1:23" x14ac:dyDescent="0.25">
      <c r="A17" s="1" t="s">
        <v>23</v>
      </c>
      <c r="B17" s="3">
        <v>10</v>
      </c>
      <c r="C17" s="4">
        <v>500</v>
      </c>
      <c r="D17" s="4">
        <v>8</v>
      </c>
      <c r="E17" s="3">
        <v>87.7</v>
      </c>
      <c r="F17" s="5">
        <v>4.1311267633290099</v>
      </c>
      <c r="G17" s="3">
        <v>25</v>
      </c>
      <c r="H17" s="3">
        <v>53</v>
      </c>
      <c r="I17" s="2">
        <v>1.5388385199705999E-2</v>
      </c>
      <c r="J17" s="5">
        <v>230.461149794345</v>
      </c>
      <c r="K17" s="5">
        <v>0.16</v>
      </c>
      <c r="L17" s="6">
        <f t="shared" si="0"/>
        <v>1.1523057489717251E-3</v>
      </c>
      <c r="P17" s="5">
        <f t="shared" si="1"/>
        <v>0.20332499867836493</v>
      </c>
      <c r="Q17" s="5">
        <f t="shared" si="2"/>
        <v>1.2707812417397808</v>
      </c>
      <c r="S17" s="5">
        <f t="shared" si="3"/>
        <v>0.19915305719149787</v>
      </c>
      <c r="T17" s="5">
        <f t="shared" si="4"/>
        <v>1.2447066074468616</v>
      </c>
      <c r="V17" s="5"/>
      <c r="W17" s="5"/>
    </row>
    <row r="18" spans="1:23" x14ac:dyDescent="0.25">
      <c r="B18" s="3">
        <v>10</v>
      </c>
      <c r="C18" s="4">
        <v>500</v>
      </c>
      <c r="D18" s="4">
        <v>8</v>
      </c>
      <c r="E18" s="3">
        <v>87.7</v>
      </c>
      <c r="F18" s="5">
        <v>4.1311267633290099</v>
      </c>
      <c r="G18" s="3">
        <v>25</v>
      </c>
      <c r="H18" s="3">
        <v>53</v>
      </c>
      <c r="I18" s="2">
        <v>1.5388385199705999E-2</v>
      </c>
      <c r="J18" s="5">
        <v>305.35368375030902</v>
      </c>
      <c r="K18" s="5">
        <v>0.18</v>
      </c>
      <c r="L18" s="6">
        <f t="shared" si="0"/>
        <v>1.5267684187515451E-3</v>
      </c>
      <c r="P18" s="5">
        <f t="shared" si="1"/>
        <v>0.25739430658055712</v>
      </c>
      <c r="Q18" s="5">
        <f t="shared" si="2"/>
        <v>1.4299683698919841</v>
      </c>
      <c r="S18" s="5">
        <f t="shared" si="3"/>
        <v>0.25325056493955617</v>
      </c>
      <c r="T18" s="5">
        <f t="shared" si="4"/>
        <v>1.4069475829975344</v>
      </c>
      <c r="V18" s="5"/>
      <c r="W18" s="5"/>
    </row>
    <row r="19" spans="1:23" x14ac:dyDescent="0.25">
      <c r="B19" s="3">
        <v>10</v>
      </c>
      <c r="C19" s="4">
        <v>500</v>
      </c>
      <c r="D19" s="4">
        <v>8</v>
      </c>
      <c r="E19" s="3">
        <v>87.7</v>
      </c>
      <c r="F19" s="5">
        <v>4.1311267633290099</v>
      </c>
      <c r="G19" s="3">
        <v>25</v>
      </c>
      <c r="H19" s="3">
        <v>53</v>
      </c>
      <c r="I19" s="2">
        <v>1.5388385199705999E-2</v>
      </c>
      <c r="J19" s="5">
        <v>497.51538321550902</v>
      </c>
      <c r="K19" s="5">
        <v>0.26</v>
      </c>
      <c r="L19" s="6">
        <f t="shared" si="0"/>
        <v>2.487576916077545E-3</v>
      </c>
      <c r="P19" s="5">
        <f t="shared" si="1"/>
        <v>0.38748754154412296</v>
      </c>
      <c r="Q19" s="5">
        <f t="shared" si="2"/>
        <v>1.4903366982466266</v>
      </c>
      <c r="S19" s="5">
        <f t="shared" si="3"/>
        <v>0.38423885882679493</v>
      </c>
      <c r="T19" s="5">
        <f t="shared" si="4"/>
        <v>1.4778417647184421</v>
      </c>
      <c r="V19" s="5"/>
      <c r="W19" s="5"/>
    </row>
    <row r="20" spans="1:23" x14ac:dyDescent="0.25">
      <c r="A20" s="1" t="s">
        <v>24</v>
      </c>
      <c r="B20" s="3">
        <v>10</v>
      </c>
      <c r="C20" s="4">
        <v>628</v>
      </c>
      <c r="D20" s="4">
        <v>4</v>
      </c>
      <c r="E20" s="3">
        <v>32.466666666666697</v>
      </c>
      <c r="F20" s="5">
        <v>3.262</v>
      </c>
      <c r="G20" s="3">
        <v>25</v>
      </c>
      <c r="H20" s="3">
        <v>36</v>
      </c>
      <c r="I20" s="2">
        <v>1.7444444444444401E-2</v>
      </c>
      <c r="J20" s="5">
        <v>173.65030205004399</v>
      </c>
      <c r="K20" s="5">
        <v>0.16</v>
      </c>
      <c r="L20" s="6">
        <f t="shared" si="0"/>
        <v>8.682515102502199E-4</v>
      </c>
      <c r="P20" s="5">
        <f t="shared" si="1"/>
        <v>0.15081563217757465</v>
      </c>
      <c r="Q20" s="5">
        <f t="shared" si="2"/>
        <v>0.94259770110984153</v>
      </c>
      <c r="S20" s="5">
        <f t="shared" si="3"/>
        <v>0.14565418606470082</v>
      </c>
      <c r="T20" s="5">
        <f t="shared" si="4"/>
        <v>0.91033866290438015</v>
      </c>
      <c r="V20" s="5"/>
      <c r="W20" s="5"/>
    </row>
    <row r="21" spans="1:23" x14ac:dyDescent="0.25">
      <c r="B21" s="3">
        <v>10</v>
      </c>
      <c r="C21" s="4">
        <v>628</v>
      </c>
      <c r="D21" s="4">
        <v>4</v>
      </c>
      <c r="E21" s="3">
        <v>32.466666666666697</v>
      </c>
      <c r="F21" s="5">
        <v>3.262</v>
      </c>
      <c r="G21" s="3">
        <v>25</v>
      </c>
      <c r="H21" s="3">
        <v>36</v>
      </c>
      <c r="I21" s="2">
        <v>1.7444444444444401E-2</v>
      </c>
      <c r="J21" s="5">
        <v>238.73912818532301</v>
      </c>
      <c r="K21" s="5">
        <v>0.2</v>
      </c>
      <c r="L21" s="6">
        <f t="shared" si="0"/>
        <v>1.193695640926615E-3</v>
      </c>
      <c r="P21" s="5">
        <f t="shared" si="1"/>
        <v>0.19692381175997994</v>
      </c>
      <c r="Q21" s="5">
        <f t="shared" si="2"/>
        <v>0.98461905879989964</v>
      </c>
      <c r="S21" s="5">
        <f t="shared" si="3"/>
        <v>0.19115550709940013</v>
      </c>
      <c r="T21" s="5">
        <f t="shared" si="4"/>
        <v>0.95577753549700062</v>
      </c>
      <c r="V21" s="5"/>
      <c r="W21" s="5"/>
    </row>
    <row r="22" spans="1:23" x14ac:dyDescent="0.25">
      <c r="B22" s="3">
        <v>10</v>
      </c>
      <c r="C22" s="4">
        <v>628</v>
      </c>
      <c r="D22" s="4">
        <v>4</v>
      </c>
      <c r="E22" s="3">
        <v>32.466666666666697</v>
      </c>
      <c r="F22" s="5">
        <v>3.262</v>
      </c>
      <c r="G22" s="3">
        <v>25</v>
      </c>
      <c r="H22" s="3">
        <v>36</v>
      </c>
      <c r="I22" s="2">
        <v>1.7444444444444401E-2</v>
      </c>
      <c r="J22" s="5">
        <v>305.64850168663799</v>
      </c>
      <c r="K22" s="5">
        <v>0.2</v>
      </c>
      <c r="L22" s="6">
        <f t="shared" si="0"/>
        <v>1.5282425084331898E-3</v>
      </c>
      <c r="P22" s="5">
        <f t="shared" si="1"/>
        <v>0.24222251943139619</v>
      </c>
      <c r="Q22" s="5">
        <f t="shared" si="2"/>
        <v>1.2111125971569809</v>
      </c>
      <c r="S22" s="5">
        <f t="shared" si="3"/>
        <v>0.23605862682860626</v>
      </c>
      <c r="T22" s="5">
        <f t="shared" si="4"/>
        <v>1.1802931341430312</v>
      </c>
      <c r="V22" s="5"/>
      <c r="W22" s="5"/>
    </row>
    <row r="23" spans="1:23" x14ac:dyDescent="0.25">
      <c r="B23" s="3">
        <v>10</v>
      </c>
      <c r="C23" s="4">
        <v>628</v>
      </c>
      <c r="D23" s="4">
        <v>4</v>
      </c>
      <c r="E23" s="3">
        <v>32.466666666666697</v>
      </c>
      <c r="F23" s="5">
        <v>3.262</v>
      </c>
      <c r="G23" s="3">
        <v>25</v>
      </c>
      <c r="H23" s="3">
        <v>36</v>
      </c>
      <c r="I23" s="2">
        <v>1.7444444444444401E-2</v>
      </c>
      <c r="J23" s="5">
        <v>366.54790270950201</v>
      </c>
      <c r="K23" s="5">
        <v>0.24</v>
      </c>
      <c r="L23" s="6">
        <f t="shared" si="0"/>
        <v>1.83273951354751E-3</v>
      </c>
      <c r="P23" s="5">
        <f t="shared" si="1"/>
        <v>0.28205890334301564</v>
      </c>
      <c r="Q23" s="5">
        <f t="shared" si="2"/>
        <v>1.1752454305958986</v>
      </c>
      <c r="S23" s="5">
        <f t="shared" si="3"/>
        <v>0.27568155382447779</v>
      </c>
      <c r="T23" s="5">
        <f t="shared" si="4"/>
        <v>1.1486731409353241</v>
      </c>
      <c r="V23" s="5"/>
      <c r="W23" s="5"/>
    </row>
    <row r="24" spans="1:23" x14ac:dyDescent="0.25">
      <c r="B24" s="3">
        <v>10</v>
      </c>
      <c r="C24" s="4">
        <v>628</v>
      </c>
      <c r="D24" s="4">
        <v>4</v>
      </c>
      <c r="E24" s="3">
        <v>32.466666666666697</v>
      </c>
      <c r="F24" s="5">
        <v>3.262</v>
      </c>
      <c r="G24" s="3">
        <v>25</v>
      </c>
      <c r="H24" s="3">
        <v>36</v>
      </c>
      <c r="I24" s="2">
        <v>1.7444444444444401E-2</v>
      </c>
      <c r="J24" s="5">
        <v>399.44171934945803</v>
      </c>
      <c r="K24" s="5">
        <v>0.3</v>
      </c>
      <c r="L24" s="6">
        <f t="shared" si="0"/>
        <v>1.9972085967472899E-3</v>
      </c>
      <c r="P24" s="5">
        <f t="shared" si="1"/>
        <v>0.30312113733918705</v>
      </c>
      <c r="Q24" s="5">
        <f t="shared" si="2"/>
        <v>1.0104037911306236</v>
      </c>
      <c r="S24" s="5">
        <f t="shared" si="3"/>
        <v>0.29667522446532668</v>
      </c>
      <c r="T24" s="5">
        <f t="shared" si="4"/>
        <v>0.98891741488442231</v>
      </c>
      <c r="V24" s="5"/>
      <c r="W24" s="5"/>
    </row>
    <row r="25" spans="1:23" x14ac:dyDescent="0.25">
      <c r="B25" s="3">
        <v>10</v>
      </c>
      <c r="C25" s="4">
        <v>628</v>
      </c>
      <c r="D25" s="4">
        <v>4</v>
      </c>
      <c r="E25" s="3">
        <v>32.466666666666697</v>
      </c>
      <c r="F25" s="5">
        <v>3.262</v>
      </c>
      <c r="G25" s="3">
        <v>25</v>
      </c>
      <c r="H25" s="3">
        <v>36</v>
      </c>
      <c r="I25" s="2">
        <v>1.7444444444444401E-2</v>
      </c>
      <c r="J25" s="5">
        <v>498.048742565297</v>
      </c>
      <c r="K25" s="5">
        <v>0.32</v>
      </c>
      <c r="L25" s="6">
        <f t="shared" si="0"/>
        <v>2.490243712826485E-3</v>
      </c>
      <c r="P25" s="5">
        <f t="shared" si="1"/>
        <v>0.36468009762547893</v>
      </c>
      <c r="Q25" s="5">
        <f t="shared" si="2"/>
        <v>1.1396253050796217</v>
      </c>
      <c r="S25" s="5">
        <f t="shared" si="3"/>
        <v>0.35818732617217219</v>
      </c>
      <c r="T25" s="5">
        <f t="shared" si="4"/>
        <v>1.1193353942880382</v>
      </c>
      <c r="V25" s="5"/>
      <c r="W25" s="5"/>
    </row>
    <row r="26" spans="1:23" x14ac:dyDescent="0.25">
      <c r="B26" s="3">
        <v>10</v>
      </c>
      <c r="C26" s="4">
        <v>628</v>
      </c>
      <c r="D26" s="4">
        <v>4</v>
      </c>
      <c r="E26" s="3">
        <v>32.466666666666697</v>
      </c>
      <c r="F26" s="5">
        <v>3.262</v>
      </c>
      <c r="G26" s="3">
        <v>25</v>
      </c>
      <c r="H26" s="3">
        <v>36</v>
      </c>
      <c r="I26" s="2">
        <v>1.7444444444444401E-2</v>
      </c>
      <c r="J26" s="5">
        <v>502.76188353839802</v>
      </c>
      <c r="K26" s="5">
        <v>0.38</v>
      </c>
      <c r="L26" s="6">
        <f t="shared" si="0"/>
        <v>2.51380941769199E-3</v>
      </c>
      <c r="P26" s="5">
        <f t="shared" si="1"/>
        <v>0.36756986480868181</v>
      </c>
      <c r="Q26" s="5">
        <f t="shared" si="2"/>
        <v>0.96728911791758365</v>
      </c>
      <c r="S26" s="5">
        <f t="shared" si="3"/>
        <v>0.36108005435617807</v>
      </c>
      <c r="T26" s="5">
        <f t="shared" si="4"/>
        <v>0.95021066935836329</v>
      </c>
      <c r="V26" s="5"/>
      <c r="W26" s="5"/>
    </row>
    <row r="27" spans="1:23" x14ac:dyDescent="0.25">
      <c r="B27" s="3">
        <v>10</v>
      </c>
      <c r="C27" s="4">
        <v>628</v>
      </c>
      <c r="D27" s="4">
        <v>4</v>
      </c>
      <c r="E27" s="3">
        <v>32.466666666666697</v>
      </c>
      <c r="F27" s="5">
        <v>3.262</v>
      </c>
      <c r="G27" s="3">
        <v>25</v>
      </c>
      <c r="H27" s="3">
        <v>36</v>
      </c>
      <c r="I27" s="2">
        <v>1.7444444444444401E-2</v>
      </c>
      <c r="J27" s="5">
        <v>538.67344664828295</v>
      </c>
      <c r="K27" s="5">
        <v>0.42</v>
      </c>
      <c r="L27" s="6">
        <f t="shared" si="0"/>
        <v>2.6933672332414148E-3</v>
      </c>
      <c r="P27" s="5">
        <f t="shared" si="1"/>
        <v>0.3894476429963975</v>
      </c>
      <c r="Q27" s="5">
        <f t="shared" si="2"/>
        <v>0.92725629284856548</v>
      </c>
      <c r="S27" s="5">
        <f t="shared" si="3"/>
        <v>0.38299410722147453</v>
      </c>
      <c r="T27" s="5">
        <f t="shared" si="4"/>
        <v>0.91189073147970134</v>
      </c>
      <c r="V27" s="5"/>
      <c r="W27" s="5"/>
    </row>
    <row r="28" spans="1:23" x14ac:dyDescent="0.25">
      <c r="B28" s="3">
        <v>10</v>
      </c>
      <c r="C28" s="4">
        <v>628</v>
      </c>
      <c r="D28" s="4">
        <v>4</v>
      </c>
      <c r="E28" s="3">
        <v>32.466666666666697</v>
      </c>
      <c r="F28" s="5">
        <v>3.262</v>
      </c>
      <c r="G28" s="3">
        <v>25</v>
      </c>
      <c r="H28" s="3">
        <v>36</v>
      </c>
      <c r="I28" s="2">
        <v>1.7444444444444401E-2</v>
      </c>
      <c r="J28" s="5">
        <v>628</v>
      </c>
      <c r="K28" s="5">
        <v>0.44</v>
      </c>
      <c r="L28" s="6">
        <f t="shared" si="0"/>
        <v>3.14E-3</v>
      </c>
      <c r="P28" s="5">
        <f t="shared" si="1"/>
        <v>0.44288241360276681</v>
      </c>
      <c r="Q28" s="5">
        <f t="shared" si="2"/>
        <v>1.0065509400062882</v>
      </c>
      <c r="S28" s="5">
        <f t="shared" si="3"/>
        <v>0.43661393506432544</v>
      </c>
      <c r="T28" s="5">
        <f t="shared" si="4"/>
        <v>0.99230439787346691</v>
      </c>
      <c r="V28" s="5"/>
      <c r="W28" s="5"/>
    </row>
    <row r="29" spans="1:23" x14ac:dyDescent="0.25">
      <c r="B29" s="3">
        <v>10</v>
      </c>
      <c r="C29" s="4">
        <v>628</v>
      </c>
      <c r="D29" s="4">
        <v>4</v>
      </c>
      <c r="E29" s="3">
        <v>32.466666666666697</v>
      </c>
      <c r="F29" s="5">
        <v>3.262</v>
      </c>
      <c r="G29" s="3">
        <v>25</v>
      </c>
      <c r="H29" s="3">
        <v>36</v>
      </c>
      <c r="I29" s="2">
        <v>1.7444444444444401E-2</v>
      </c>
      <c r="J29" s="5">
        <v>628</v>
      </c>
      <c r="K29" s="5">
        <v>0.5</v>
      </c>
      <c r="L29" s="6">
        <f t="shared" si="0"/>
        <v>3.14E-3</v>
      </c>
      <c r="P29" s="5">
        <f t="shared" si="1"/>
        <v>0.44288241360276681</v>
      </c>
      <c r="Q29" s="5">
        <f t="shared" si="2"/>
        <v>0.88576482720553362</v>
      </c>
      <c r="S29" s="5">
        <f t="shared" si="3"/>
        <v>0.43661393506432544</v>
      </c>
      <c r="T29" s="5">
        <f t="shared" si="4"/>
        <v>0.87322787012865088</v>
      </c>
      <c r="V29" s="5"/>
      <c r="W29" s="5"/>
    </row>
    <row r="30" spans="1:23" x14ac:dyDescent="0.25">
      <c r="A30" s="1" t="s">
        <v>25</v>
      </c>
      <c r="B30" s="3">
        <v>10</v>
      </c>
      <c r="C30" s="4">
        <v>628</v>
      </c>
      <c r="D30" s="4">
        <v>4</v>
      </c>
      <c r="E30" s="3">
        <v>32.466666666666697</v>
      </c>
      <c r="F30" s="5">
        <v>3.5139999999999998</v>
      </c>
      <c r="G30" s="3">
        <v>25</v>
      </c>
      <c r="H30" s="3">
        <v>36</v>
      </c>
      <c r="I30" s="2">
        <v>1.7444444444444401E-2</v>
      </c>
      <c r="J30" s="5">
        <v>246.62969130956</v>
      </c>
      <c r="K30" s="5">
        <v>0.24</v>
      </c>
      <c r="L30" s="6">
        <f t="shared" si="0"/>
        <v>1.2331484565478001E-3</v>
      </c>
      <c r="P30" s="5">
        <f t="shared" si="1"/>
        <v>0.20236353855321812</v>
      </c>
      <c r="Q30" s="5">
        <f t="shared" si="2"/>
        <v>0.8431814106384089</v>
      </c>
      <c r="S30" s="5">
        <f t="shared" si="3"/>
        <v>0.19653811832620818</v>
      </c>
      <c r="T30" s="5">
        <f t="shared" si="4"/>
        <v>0.81890882635920081</v>
      </c>
      <c r="V30" s="5"/>
      <c r="W30" s="5"/>
    </row>
    <row r="31" spans="1:23" x14ac:dyDescent="0.25">
      <c r="B31" s="3">
        <v>10</v>
      </c>
      <c r="C31" s="4">
        <v>628</v>
      </c>
      <c r="D31" s="4">
        <v>4</v>
      </c>
      <c r="E31" s="3">
        <v>32.466666666666697</v>
      </c>
      <c r="F31" s="5">
        <v>3.5139999999999998</v>
      </c>
      <c r="G31" s="3">
        <v>25</v>
      </c>
      <c r="H31" s="3">
        <v>36</v>
      </c>
      <c r="I31" s="2">
        <v>1.7444444444444401E-2</v>
      </c>
      <c r="J31" s="5">
        <v>335.69607711143198</v>
      </c>
      <c r="K31" s="5">
        <v>0.3</v>
      </c>
      <c r="L31" s="6">
        <f t="shared" si="0"/>
        <v>1.67848038555716E-3</v>
      </c>
      <c r="P31" s="5">
        <f t="shared" si="1"/>
        <v>0.26202409210487126</v>
      </c>
      <c r="Q31" s="5">
        <f t="shared" si="2"/>
        <v>0.87341364034957092</v>
      </c>
      <c r="S31" s="5">
        <f t="shared" si="3"/>
        <v>0.25573970990247175</v>
      </c>
      <c r="T31" s="5">
        <f t="shared" si="4"/>
        <v>0.85246569967490582</v>
      </c>
      <c r="V31" s="5"/>
      <c r="W31" s="5"/>
    </row>
    <row r="32" spans="1:23" x14ac:dyDescent="0.25">
      <c r="B32" s="3">
        <v>10</v>
      </c>
      <c r="C32" s="4">
        <v>628</v>
      </c>
      <c r="D32" s="4">
        <v>4</v>
      </c>
      <c r="E32" s="3">
        <v>32.466666666666697</v>
      </c>
      <c r="F32" s="5">
        <v>3.5139999999999998</v>
      </c>
      <c r="G32" s="3">
        <v>25</v>
      </c>
      <c r="H32" s="3">
        <v>36</v>
      </c>
      <c r="I32" s="2">
        <v>1.7444444444444401E-2</v>
      </c>
      <c r="J32" s="5">
        <v>361.50871811753399</v>
      </c>
      <c r="K32" s="5">
        <v>0.3</v>
      </c>
      <c r="L32" s="6">
        <f t="shared" si="0"/>
        <v>1.8075435905876699E-3</v>
      </c>
      <c r="P32" s="5">
        <f t="shared" si="1"/>
        <v>0.27880578923804067</v>
      </c>
      <c r="Q32" s="5">
        <f t="shared" si="2"/>
        <v>0.92935263079346897</v>
      </c>
      <c r="S32" s="5">
        <f t="shared" si="3"/>
        <v>0.27244164311186631</v>
      </c>
      <c r="T32" s="5">
        <f t="shared" si="4"/>
        <v>0.90813881037288768</v>
      </c>
      <c r="V32" s="5"/>
      <c r="W32" s="5"/>
    </row>
    <row r="33" spans="1:23" x14ac:dyDescent="0.25">
      <c r="B33" s="3">
        <v>10</v>
      </c>
      <c r="C33" s="4">
        <v>628</v>
      </c>
      <c r="D33" s="4">
        <v>4</v>
      </c>
      <c r="E33" s="3">
        <v>32.466666666666697</v>
      </c>
      <c r="F33" s="5">
        <v>3.5139999999999998</v>
      </c>
      <c r="G33" s="3">
        <v>25</v>
      </c>
      <c r="H33" s="3">
        <v>36</v>
      </c>
      <c r="I33" s="2">
        <v>1.7444444444444401E-2</v>
      </c>
      <c r="J33" s="5">
        <v>392.91007120761401</v>
      </c>
      <c r="K33" s="5">
        <v>0.3</v>
      </c>
      <c r="L33" s="6">
        <f t="shared" si="0"/>
        <v>1.9645503560380699E-3</v>
      </c>
      <c r="P33" s="5">
        <f t="shared" si="1"/>
        <v>0.29896195350969929</v>
      </c>
      <c r="Q33" s="5">
        <f t="shared" si="2"/>
        <v>0.99653984503233095</v>
      </c>
      <c r="S33" s="5">
        <f t="shared" si="3"/>
        <v>0.29252730919068809</v>
      </c>
      <c r="T33" s="5">
        <f t="shared" si="4"/>
        <v>0.97509103063562697</v>
      </c>
      <c r="V33" s="5"/>
      <c r="W33" s="5"/>
    </row>
    <row r="34" spans="1:23" x14ac:dyDescent="0.25">
      <c r="B34" s="3">
        <v>10</v>
      </c>
      <c r="C34" s="4">
        <v>628</v>
      </c>
      <c r="D34" s="4">
        <v>4</v>
      </c>
      <c r="E34" s="3">
        <v>32.466666666666697</v>
      </c>
      <c r="F34" s="5">
        <v>3.5139999999999998</v>
      </c>
      <c r="G34" s="3">
        <v>25</v>
      </c>
      <c r="H34" s="3">
        <v>36</v>
      </c>
      <c r="I34" s="2">
        <v>1.7444444444444401E-2</v>
      </c>
      <c r="J34" s="5">
        <v>424.16428141731097</v>
      </c>
      <c r="K34" s="5">
        <v>0.38</v>
      </c>
      <c r="L34" s="6">
        <f t="shared" si="0"/>
        <v>2.1208214070865547E-3</v>
      </c>
      <c r="P34" s="5">
        <f t="shared" si="1"/>
        <v>0.31876587658802191</v>
      </c>
      <c r="Q34" s="5">
        <f t="shared" si="2"/>
        <v>0.83885756996847871</v>
      </c>
      <c r="S34" s="5">
        <f t="shared" si="3"/>
        <v>0.31228719241540903</v>
      </c>
      <c r="T34" s="5">
        <f t="shared" si="4"/>
        <v>0.82180840109318165</v>
      </c>
      <c r="V34" s="5"/>
      <c r="W34" s="5"/>
    </row>
    <row r="35" spans="1:23" x14ac:dyDescent="0.25">
      <c r="B35" s="3">
        <v>10</v>
      </c>
      <c r="C35" s="4">
        <v>628</v>
      </c>
      <c r="D35" s="4">
        <v>4</v>
      </c>
      <c r="E35" s="3">
        <v>32.466666666666697</v>
      </c>
      <c r="F35" s="5">
        <v>3.5139999999999998</v>
      </c>
      <c r="G35" s="3">
        <v>25</v>
      </c>
      <c r="H35" s="3">
        <v>36</v>
      </c>
      <c r="I35" s="2">
        <v>1.7444444444444401E-2</v>
      </c>
      <c r="J35" s="5">
        <v>491.13758900951802</v>
      </c>
      <c r="K35" s="5">
        <v>0.44</v>
      </c>
      <c r="L35" s="6">
        <f t="shared" si="0"/>
        <v>2.4556879450475903E-3</v>
      </c>
      <c r="P35" s="5">
        <f t="shared" si="1"/>
        <v>0.36043463241858531</v>
      </c>
      <c r="Q35" s="5">
        <f t="shared" si="2"/>
        <v>0.81916961913314845</v>
      </c>
      <c r="S35" s="5">
        <f t="shared" si="3"/>
        <v>0.35393830556850481</v>
      </c>
      <c r="T35" s="5">
        <f t="shared" si="4"/>
        <v>0.80440523992842006</v>
      </c>
      <c r="V35" s="5"/>
      <c r="W35" s="5"/>
    </row>
    <row r="36" spans="1:23" x14ac:dyDescent="0.25">
      <c r="A36" s="1" t="s">
        <v>26</v>
      </c>
      <c r="B36" s="3">
        <v>16</v>
      </c>
      <c r="C36" s="4">
        <v>571</v>
      </c>
      <c r="D36" s="4">
        <v>4</v>
      </c>
      <c r="E36" s="3">
        <v>37</v>
      </c>
      <c r="F36" s="5">
        <v>4.2587999999999999</v>
      </c>
      <c r="G36" s="3">
        <v>33</v>
      </c>
      <c r="H36" s="3">
        <v>59</v>
      </c>
      <c r="I36" s="2">
        <v>0.1168</v>
      </c>
      <c r="J36" s="5">
        <v>104.269215088094</v>
      </c>
      <c r="K36" s="5">
        <v>0.18</v>
      </c>
      <c r="L36" s="6">
        <f t="shared" si="0"/>
        <v>5.2134607544046996E-4</v>
      </c>
      <c r="P36" s="5">
        <f t="shared" si="1"/>
        <v>6.4976028003590619E-2</v>
      </c>
      <c r="Q36" s="5">
        <f t="shared" si="2"/>
        <v>0.36097793335328121</v>
      </c>
      <c r="S36" s="5">
        <f t="shared" si="3"/>
        <v>6.4988860306087845E-2</v>
      </c>
      <c r="T36" s="5">
        <f t="shared" si="4"/>
        <v>0.36104922392271027</v>
      </c>
      <c r="V36" s="5"/>
      <c r="W36" s="5"/>
    </row>
    <row r="37" spans="1:23" x14ac:dyDescent="0.25">
      <c r="B37" s="3">
        <v>16</v>
      </c>
      <c r="C37" s="4">
        <v>571</v>
      </c>
      <c r="D37" s="4">
        <v>4</v>
      </c>
      <c r="E37" s="3">
        <v>37</v>
      </c>
      <c r="F37" s="5">
        <v>4.2587999999999999</v>
      </c>
      <c r="G37" s="3">
        <v>33</v>
      </c>
      <c r="H37" s="3">
        <v>59</v>
      </c>
      <c r="I37" s="2">
        <v>0.1168</v>
      </c>
      <c r="J37" s="5">
        <v>166.904922809943</v>
      </c>
      <c r="K37" s="5">
        <v>0.2</v>
      </c>
      <c r="L37" s="6">
        <f t="shared" si="0"/>
        <v>8.3452461404971505E-4</v>
      </c>
      <c r="P37" s="5">
        <f t="shared" si="1"/>
        <v>9.6375687355976333E-2</v>
      </c>
      <c r="Q37" s="5">
        <f t="shared" si="2"/>
        <v>0.48187843677988162</v>
      </c>
      <c r="S37" s="5">
        <f t="shared" si="3"/>
        <v>9.7123038024750988E-2</v>
      </c>
      <c r="T37" s="5">
        <f t="shared" si="4"/>
        <v>0.48561519012375493</v>
      </c>
      <c r="V37" s="5"/>
      <c r="W37" s="5"/>
    </row>
    <row r="38" spans="1:23" x14ac:dyDescent="0.25">
      <c r="B38" s="3">
        <v>16</v>
      </c>
      <c r="C38" s="4">
        <v>571</v>
      </c>
      <c r="D38" s="4">
        <v>4</v>
      </c>
      <c r="E38" s="3">
        <v>37</v>
      </c>
      <c r="F38" s="5">
        <v>4.2587999999999999</v>
      </c>
      <c r="G38" s="3">
        <v>33</v>
      </c>
      <c r="H38" s="3">
        <v>59</v>
      </c>
      <c r="I38" s="2">
        <v>0.1168</v>
      </c>
      <c r="J38" s="5">
        <v>214.45812720403001</v>
      </c>
      <c r="K38" s="5">
        <v>0.26</v>
      </c>
      <c r="L38" s="6">
        <f t="shared" si="0"/>
        <v>1.07229063602015E-3</v>
      </c>
      <c r="P38" s="5">
        <f t="shared" si="1"/>
        <v>0.11890588962708515</v>
      </c>
      <c r="Q38" s="5">
        <f t="shared" si="2"/>
        <v>0.45733034471955825</v>
      </c>
      <c r="S38" s="5">
        <f t="shared" si="3"/>
        <v>0.12030955228426089</v>
      </c>
      <c r="T38" s="5">
        <f t="shared" si="4"/>
        <v>0.46272904724715724</v>
      </c>
      <c r="V38" s="5"/>
      <c r="W38" s="5"/>
    </row>
    <row r="39" spans="1:23" x14ac:dyDescent="0.25">
      <c r="B39" s="3">
        <v>16</v>
      </c>
      <c r="C39" s="4">
        <v>571</v>
      </c>
      <c r="D39" s="4">
        <v>4</v>
      </c>
      <c r="E39" s="3">
        <v>37</v>
      </c>
      <c r="F39" s="5">
        <v>4.2587999999999999</v>
      </c>
      <c r="G39" s="3">
        <v>33</v>
      </c>
      <c r="H39" s="3">
        <v>59</v>
      </c>
      <c r="I39" s="2">
        <v>0.1168</v>
      </c>
      <c r="J39" s="5">
        <v>293.13706538333702</v>
      </c>
      <c r="K39" s="5">
        <v>0.44</v>
      </c>
      <c r="L39" s="6">
        <f t="shared" si="0"/>
        <v>1.4656853269166851E-3</v>
      </c>
      <c r="P39" s="5">
        <f t="shared" si="1"/>
        <v>0.15450538498182817</v>
      </c>
      <c r="Q39" s="5">
        <f t="shared" si="2"/>
        <v>0.35114860223142763</v>
      </c>
      <c r="S39" s="5">
        <f t="shared" si="3"/>
        <v>0.15711296196189783</v>
      </c>
      <c r="T39" s="5">
        <f t="shared" si="4"/>
        <v>0.35707491354976778</v>
      </c>
      <c r="V39" s="5"/>
      <c r="W39" s="5"/>
    </row>
    <row r="40" spans="1:23" x14ac:dyDescent="0.25">
      <c r="B40" s="3">
        <v>16</v>
      </c>
      <c r="C40" s="4">
        <v>571</v>
      </c>
      <c r="D40" s="4">
        <v>4</v>
      </c>
      <c r="E40" s="3">
        <v>37</v>
      </c>
      <c r="F40" s="5">
        <v>4.2587999999999999</v>
      </c>
      <c r="G40" s="3">
        <v>33</v>
      </c>
      <c r="H40" s="3">
        <v>59</v>
      </c>
      <c r="I40" s="2">
        <v>0.1168</v>
      </c>
      <c r="J40" s="5">
        <v>408.12935964540299</v>
      </c>
      <c r="K40" s="5">
        <v>0.6</v>
      </c>
      <c r="L40" s="6">
        <f t="shared" si="0"/>
        <v>2.040646798227015E-3</v>
      </c>
      <c r="P40" s="5">
        <f t="shared" si="1"/>
        <v>0.20388577764764945</v>
      </c>
      <c r="Q40" s="5">
        <f t="shared" si="2"/>
        <v>0.33980962941274911</v>
      </c>
      <c r="S40" s="5">
        <f t="shared" si="3"/>
        <v>0.2084274721345149</v>
      </c>
      <c r="T40" s="5">
        <f t="shared" si="4"/>
        <v>0.34737912022419154</v>
      </c>
      <c r="V40" s="5"/>
      <c r="W40" s="5"/>
    </row>
    <row r="41" spans="1:23" x14ac:dyDescent="0.25">
      <c r="A41" s="1" t="s">
        <v>27</v>
      </c>
      <c r="B41" s="3">
        <v>12</v>
      </c>
      <c r="C41" s="4">
        <v>500</v>
      </c>
      <c r="D41" s="4">
        <v>4</v>
      </c>
      <c r="E41" s="3">
        <v>79.3</v>
      </c>
      <c r="F41" s="5">
        <v>2.6933292113182898</v>
      </c>
      <c r="G41" s="3">
        <v>20</v>
      </c>
      <c r="H41" s="3">
        <v>38</v>
      </c>
      <c r="I41" s="2">
        <v>1.3593984962406E-2</v>
      </c>
      <c r="J41" s="5">
        <v>220.98184588636701</v>
      </c>
      <c r="K41" s="5">
        <v>0.36</v>
      </c>
      <c r="L41" s="6">
        <f t="shared" si="0"/>
        <v>1.1049092294318351E-3</v>
      </c>
      <c r="P41" s="5">
        <f t="shared" si="1"/>
        <v>0.25437139631185157</v>
      </c>
      <c r="Q41" s="5">
        <f t="shared" si="2"/>
        <v>0.70658721197736551</v>
      </c>
      <c r="S41" s="5">
        <f t="shared" si="3"/>
        <v>0.25438251462911826</v>
      </c>
      <c r="T41" s="5">
        <f t="shared" si="4"/>
        <v>0.70661809619199523</v>
      </c>
      <c r="V41" s="5"/>
      <c r="W41" s="5"/>
    </row>
    <row r="42" spans="1:23" x14ac:dyDescent="0.25">
      <c r="B42" s="3">
        <v>12</v>
      </c>
      <c r="C42" s="4">
        <v>500</v>
      </c>
      <c r="D42" s="4">
        <v>4</v>
      </c>
      <c r="E42" s="3">
        <v>79.3</v>
      </c>
      <c r="F42" s="5">
        <v>2.6933292113182898</v>
      </c>
      <c r="G42" s="3">
        <v>20</v>
      </c>
      <c r="H42" s="3">
        <v>38</v>
      </c>
      <c r="I42" s="2">
        <v>1.3593984962406E-2</v>
      </c>
      <c r="J42" s="5">
        <v>345.87419398672699</v>
      </c>
      <c r="K42" s="5">
        <v>0.43</v>
      </c>
      <c r="L42" s="6">
        <f t="shared" si="0"/>
        <v>1.729370969933635E-3</v>
      </c>
      <c r="P42" s="5">
        <f t="shared" si="1"/>
        <v>0.37026346739676042</v>
      </c>
      <c r="Q42" s="5">
        <f t="shared" si="2"/>
        <v>0.86107783115525682</v>
      </c>
      <c r="S42" s="5">
        <f t="shared" si="3"/>
        <v>0.37294331858343516</v>
      </c>
      <c r="T42" s="5">
        <f t="shared" si="4"/>
        <v>0.8673100432172911</v>
      </c>
      <c r="V42" s="5"/>
      <c r="W42" s="5"/>
    </row>
    <row r="43" spans="1:23" x14ac:dyDescent="0.25">
      <c r="B43" s="3">
        <v>12</v>
      </c>
      <c r="C43" s="4">
        <v>500</v>
      </c>
      <c r="D43" s="4">
        <v>4</v>
      </c>
      <c r="E43" s="3">
        <v>79.3</v>
      </c>
      <c r="F43" s="5">
        <v>2.6933292113182898</v>
      </c>
      <c r="G43" s="3">
        <v>20</v>
      </c>
      <c r="H43" s="3">
        <v>38</v>
      </c>
      <c r="I43" s="2">
        <v>1.3593984962406E-2</v>
      </c>
      <c r="J43" s="5">
        <v>500</v>
      </c>
      <c r="K43" s="5">
        <v>0.56000000000000005</v>
      </c>
      <c r="L43" s="6">
        <f t="shared" si="0"/>
        <v>2.5000000000000001E-3</v>
      </c>
      <c r="P43" s="5">
        <f t="shared" si="1"/>
        <v>0.5042365345026556</v>
      </c>
      <c r="Q43" s="5">
        <f t="shared" si="2"/>
        <v>0.9004223830404563</v>
      </c>
      <c r="S43" s="5">
        <f t="shared" si="3"/>
        <v>0.51088965177236934</v>
      </c>
      <c r="T43" s="5">
        <f t="shared" si="4"/>
        <v>0.91230294959351654</v>
      </c>
      <c r="V43" s="5"/>
      <c r="W43" s="5"/>
    </row>
    <row r="44" spans="1:23" x14ac:dyDescent="0.25">
      <c r="B44" s="3">
        <v>12</v>
      </c>
      <c r="C44" s="4">
        <v>500</v>
      </c>
      <c r="D44" s="4">
        <v>4</v>
      </c>
      <c r="E44" s="3">
        <v>79.3</v>
      </c>
      <c r="F44" s="5">
        <v>2.6933292113182898</v>
      </c>
      <c r="G44" s="3">
        <v>20</v>
      </c>
      <c r="H44" s="3">
        <v>38</v>
      </c>
      <c r="I44" s="2">
        <v>1.3593984962406E-2</v>
      </c>
      <c r="J44" s="5">
        <v>500</v>
      </c>
      <c r="K44" s="5">
        <v>0.71</v>
      </c>
      <c r="L44" s="6">
        <f t="shared" si="0"/>
        <v>2.5000000000000001E-3</v>
      </c>
      <c r="P44" s="5">
        <f t="shared" si="1"/>
        <v>0.5042365345026556</v>
      </c>
      <c r="Q44" s="5">
        <f t="shared" si="2"/>
        <v>0.71019230211641637</v>
      </c>
      <c r="S44" s="5">
        <f t="shared" si="3"/>
        <v>0.51088965177236934</v>
      </c>
      <c r="T44" s="5">
        <f t="shared" si="4"/>
        <v>0.71956288982023853</v>
      </c>
      <c r="V44" s="5"/>
      <c r="W44" s="5"/>
    </row>
    <row r="45" spans="1:23" x14ac:dyDescent="0.25">
      <c r="B45" s="3">
        <v>12</v>
      </c>
      <c r="C45" s="4">
        <v>500</v>
      </c>
      <c r="D45" s="4">
        <v>4</v>
      </c>
      <c r="E45" s="3">
        <v>79.3</v>
      </c>
      <c r="F45" s="5">
        <v>2.6933292113182898</v>
      </c>
      <c r="G45" s="3">
        <v>20</v>
      </c>
      <c r="H45" s="3">
        <v>38</v>
      </c>
      <c r="I45" s="2">
        <v>1.3593984962406E-2</v>
      </c>
      <c r="J45" s="5">
        <v>500</v>
      </c>
      <c r="K45" s="5">
        <v>0.79</v>
      </c>
      <c r="L45" s="6">
        <f t="shared" si="0"/>
        <v>2.5000000000000001E-3</v>
      </c>
      <c r="P45" s="5">
        <f t="shared" si="1"/>
        <v>0.5042365345026556</v>
      </c>
      <c r="Q45" s="5">
        <f t="shared" si="2"/>
        <v>0.63827409430715898</v>
      </c>
      <c r="S45" s="5">
        <f t="shared" si="3"/>
        <v>0.51088965177236934</v>
      </c>
      <c r="T45" s="5">
        <f t="shared" si="4"/>
        <v>0.64669576173717636</v>
      </c>
      <c r="V45" s="5"/>
      <c r="W45" s="5"/>
    </row>
    <row r="46" spans="1:23" x14ac:dyDescent="0.25">
      <c r="A46" s="1" t="s">
        <v>28</v>
      </c>
      <c r="B46" s="3">
        <v>25</v>
      </c>
      <c r="C46" s="4">
        <v>500</v>
      </c>
      <c r="D46" s="4">
        <v>4</v>
      </c>
      <c r="E46" s="3">
        <v>62</v>
      </c>
      <c r="F46" s="5">
        <v>2.6933292113182898</v>
      </c>
      <c r="G46" s="3">
        <v>20</v>
      </c>
      <c r="H46" s="3">
        <v>44.5</v>
      </c>
      <c r="I46" s="2">
        <v>5.4467051199458903E-2</v>
      </c>
      <c r="J46" s="5">
        <v>66.0344882356234</v>
      </c>
      <c r="K46" s="5">
        <v>0.2</v>
      </c>
      <c r="L46" s="6">
        <f t="shared" si="0"/>
        <v>3.3017244117811698E-4</v>
      </c>
      <c r="P46" s="5">
        <f t="shared" si="1"/>
        <v>0.10435424414249278</v>
      </c>
      <c r="Q46" s="5">
        <f t="shared" si="2"/>
        <v>0.52177122071246385</v>
      </c>
      <c r="S46" s="5">
        <f t="shared" si="3"/>
        <v>0.101396639496071</v>
      </c>
      <c r="T46" s="5">
        <f t="shared" si="4"/>
        <v>0.50698319748035492</v>
      </c>
      <c r="V46" s="5"/>
      <c r="W46" s="5"/>
    </row>
    <row r="47" spans="1:23" x14ac:dyDescent="0.25">
      <c r="B47" s="3">
        <v>25</v>
      </c>
      <c r="C47" s="4">
        <v>500</v>
      </c>
      <c r="D47" s="4">
        <v>4</v>
      </c>
      <c r="E47" s="3">
        <v>62</v>
      </c>
      <c r="F47" s="5">
        <v>2.6933292113182898</v>
      </c>
      <c r="G47" s="3">
        <v>20</v>
      </c>
      <c r="H47" s="3">
        <v>44.5</v>
      </c>
      <c r="I47" s="2">
        <v>5.4467051199458903E-2</v>
      </c>
      <c r="J47" s="5">
        <v>151.48589269424599</v>
      </c>
      <c r="K47" s="5">
        <v>0.25</v>
      </c>
      <c r="L47" s="6">
        <f t="shared" si="0"/>
        <v>7.5742946347122993E-4</v>
      </c>
      <c r="P47" s="5">
        <f t="shared" si="1"/>
        <v>0.20926378114953759</v>
      </c>
      <c r="Q47" s="5">
        <f t="shared" si="2"/>
        <v>0.83705512459815035</v>
      </c>
      <c r="S47" s="5">
        <f t="shared" si="3"/>
        <v>0.20605214280540768</v>
      </c>
      <c r="T47" s="5">
        <f t="shared" si="4"/>
        <v>0.82420857122163071</v>
      </c>
      <c r="V47" s="5"/>
      <c r="W47" s="5"/>
    </row>
    <row r="48" spans="1:23" x14ac:dyDescent="0.25">
      <c r="B48" s="3">
        <v>25</v>
      </c>
      <c r="C48" s="4">
        <v>500</v>
      </c>
      <c r="D48" s="4">
        <v>4</v>
      </c>
      <c r="E48" s="3">
        <v>62</v>
      </c>
      <c r="F48" s="5">
        <v>2.6933292113182898</v>
      </c>
      <c r="G48" s="3">
        <v>20</v>
      </c>
      <c r="H48" s="3">
        <v>44.5</v>
      </c>
      <c r="I48" s="2">
        <v>5.4467051199458903E-2</v>
      </c>
      <c r="J48" s="5">
        <v>248.79678351418499</v>
      </c>
      <c r="K48" s="5">
        <v>0.36</v>
      </c>
      <c r="L48" s="6">
        <f t="shared" si="0"/>
        <v>1.243983917570925E-3</v>
      </c>
      <c r="P48" s="5">
        <f t="shared" si="1"/>
        <v>0.31714661664421889</v>
      </c>
      <c r="Q48" s="5">
        <f t="shared" si="2"/>
        <v>0.88096282401171921</v>
      </c>
      <c r="S48" s="5">
        <f t="shared" si="3"/>
        <v>0.31476809871262978</v>
      </c>
      <c r="T48" s="5">
        <f t="shared" si="4"/>
        <v>0.87435582975730497</v>
      </c>
      <c r="V48" s="5"/>
      <c r="W48" s="5"/>
    </row>
    <row r="49" spans="1:23" x14ac:dyDescent="0.25">
      <c r="B49" s="3">
        <v>25</v>
      </c>
      <c r="C49" s="4">
        <v>500</v>
      </c>
      <c r="D49" s="4">
        <v>4</v>
      </c>
      <c r="E49" s="3">
        <v>62</v>
      </c>
      <c r="F49" s="5">
        <v>2.6933292113182898</v>
      </c>
      <c r="G49" s="3">
        <v>20</v>
      </c>
      <c r="H49" s="3">
        <v>44.5</v>
      </c>
      <c r="I49" s="2">
        <v>5.4467051199458903E-2</v>
      </c>
      <c r="J49" s="5">
        <v>346.10767433412502</v>
      </c>
      <c r="K49" s="5">
        <v>0.47</v>
      </c>
      <c r="L49" s="6">
        <f t="shared" si="0"/>
        <v>1.730538371670625E-3</v>
      </c>
      <c r="P49" s="5">
        <f t="shared" si="1"/>
        <v>0.41821651871980997</v>
      </c>
      <c r="Q49" s="5">
        <f t="shared" si="2"/>
        <v>0.88982238025491489</v>
      </c>
      <c r="S49" s="5">
        <f t="shared" si="3"/>
        <v>0.4172781787691533</v>
      </c>
      <c r="T49" s="5">
        <f t="shared" si="4"/>
        <v>0.88782591227479435</v>
      </c>
      <c r="V49" s="5"/>
      <c r="W49" s="5"/>
    </row>
    <row r="50" spans="1:23" x14ac:dyDescent="0.25">
      <c r="B50" s="3">
        <v>25</v>
      </c>
      <c r="C50" s="4">
        <v>500</v>
      </c>
      <c r="D50" s="4">
        <v>4</v>
      </c>
      <c r="E50" s="3">
        <v>62</v>
      </c>
      <c r="F50" s="5">
        <v>2.6933292113182898</v>
      </c>
      <c r="G50" s="3">
        <v>20</v>
      </c>
      <c r="H50" s="3">
        <v>44.5</v>
      </c>
      <c r="I50" s="2">
        <v>5.4467051199458903E-2</v>
      </c>
      <c r="J50" s="5">
        <v>419.09084244908001</v>
      </c>
      <c r="K50" s="5">
        <v>0.56999999999999995</v>
      </c>
      <c r="L50" s="6">
        <f t="shared" si="0"/>
        <v>2.0954542122454001E-3</v>
      </c>
      <c r="P50" s="5">
        <f t="shared" si="1"/>
        <v>0.49094904551390811</v>
      </c>
      <c r="Q50" s="5">
        <f t="shared" si="2"/>
        <v>0.86131411493668097</v>
      </c>
      <c r="S50" s="5">
        <f t="shared" si="3"/>
        <v>0.49134943696220845</v>
      </c>
      <c r="T50" s="5">
        <f t="shared" si="4"/>
        <v>0.86201655607405003</v>
      </c>
      <c r="V50" s="5"/>
      <c r="W50" s="5"/>
    </row>
    <row r="51" spans="1:23" x14ac:dyDescent="0.25">
      <c r="B51" s="3">
        <v>25</v>
      </c>
      <c r="C51" s="4">
        <v>500</v>
      </c>
      <c r="D51" s="4">
        <v>4</v>
      </c>
      <c r="E51" s="3">
        <v>62</v>
      </c>
      <c r="F51" s="5">
        <v>2.6933292113182898</v>
      </c>
      <c r="G51" s="3">
        <v>20</v>
      </c>
      <c r="H51" s="3">
        <v>44.5</v>
      </c>
      <c r="I51" s="2">
        <v>5.4467051199458903E-2</v>
      </c>
      <c r="J51" s="5">
        <v>500</v>
      </c>
      <c r="K51" s="5">
        <v>0.78</v>
      </c>
      <c r="L51" s="6">
        <f t="shared" si="0"/>
        <v>2.5000000000000001E-3</v>
      </c>
      <c r="P51" s="5">
        <f t="shared" si="1"/>
        <v>0.56921853892595775</v>
      </c>
      <c r="Q51" s="5">
        <f t="shared" si="2"/>
        <v>0.72976735759738176</v>
      </c>
      <c r="S51" s="5">
        <f t="shared" si="3"/>
        <v>0.57129400701617872</v>
      </c>
      <c r="T51" s="5">
        <f t="shared" si="4"/>
        <v>0.73242821412330605</v>
      </c>
      <c r="V51" s="5"/>
      <c r="W51" s="5"/>
    </row>
    <row r="52" spans="1:23" x14ac:dyDescent="0.25">
      <c r="A52" s="1" t="s">
        <v>29</v>
      </c>
      <c r="B52" s="3">
        <v>12</v>
      </c>
      <c r="C52" s="4">
        <v>500</v>
      </c>
      <c r="D52" s="4">
        <v>4</v>
      </c>
      <c r="E52" s="3">
        <v>79.3</v>
      </c>
      <c r="F52" s="5">
        <v>2.6933292113182898</v>
      </c>
      <c r="G52" s="3">
        <v>20</v>
      </c>
      <c r="H52" s="3">
        <v>34</v>
      </c>
      <c r="I52" s="2">
        <v>1.5193277310924401E-2</v>
      </c>
      <c r="J52" s="5">
        <v>104.527156235258</v>
      </c>
      <c r="K52" s="5">
        <v>0.21</v>
      </c>
      <c r="L52" s="6">
        <f t="shared" si="0"/>
        <v>5.2263578117629002E-4</v>
      </c>
      <c r="P52" s="5">
        <f t="shared" si="1"/>
        <v>0.12859465654196317</v>
      </c>
      <c r="Q52" s="5">
        <f t="shared" si="2"/>
        <v>0.61235550734268174</v>
      </c>
      <c r="S52" s="5">
        <f t="shared" si="3"/>
        <v>0.1258979363072423</v>
      </c>
      <c r="T52" s="5">
        <f t="shared" si="4"/>
        <v>0.59951398241543952</v>
      </c>
      <c r="V52" s="5"/>
      <c r="W52" s="5"/>
    </row>
    <row r="53" spans="1:23" x14ac:dyDescent="0.25">
      <c r="B53" s="3">
        <v>12</v>
      </c>
      <c r="C53" s="4">
        <v>500</v>
      </c>
      <c r="D53" s="4">
        <v>4</v>
      </c>
      <c r="E53" s="3">
        <v>79.3</v>
      </c>
      <c r="F53" s="5">
        <v>2.6933292113182898</v>
      </c>
      <c r="G53" s="3">
        <v>20</v>
      </c>
      <c r="H53" s="3">
        <v>34</v>
      </c>
      <c r="I53" s="2">
        <v>1.5193277310924401E-2</v>
      </c>
      <c r="J53" s="5">
        <v>164.489776913513</v>
      </c>
      <c r="K53" s="5">
        <v>0.31</v>
      </c>
      <c r="L53" s="6">
        <f t="shared" si="0"/>
        <v>8.2244888456756496E-4</v>
      </c>
      <c r="P53" s="5">
        <f t="shared" si="1"/>
        <v>0.18803267112125618</v>
      </c>
      <c r="Q53" s="5">
        <f t="shared" si="2"/>
        <v>0.60655700361695541</v>
      </c>
      <c r="S53" s="5">
        <f t="shared" si="3"/>
        <v>0.18542981302270931</v>
      </c>
      <c r="T53" s="5">
        <f t="shared" si="4"/>
        <v>0.59816068717003001</v>
      </c>
      <c r="V53" s="5"/>
      <c r="W53" s="5"/>
    </row>
    <row r="54" spans="1:23" x14ac:dyDescent="0.25">
      <c r="B54" s="3">
        <v>12</v>
      </c>
      <c r="C54" s="4">
        <v>500</v>
      </c>
      <c r="D54" s="4">
        <v>4</v>
      </c>
      <c r="E54" s="3">
        <v>79.3</v>
      </c>
      <c r="F54" s="5">
        <v>2.6933292113182898</v>
      </c>
      <c r="G54" s="3">
        <v>20</v>
      </c>
      <c r="H54" s="3">
        <v>34</v>
      </c>
      <c r="I54" s="2">
        <v>1.5193277310924401E-2</v>
      </c>
      <c r="J54" s="5">
        <v>224.45239759176701</v>
      </c>
      <c r="K54" s="5">
        <v>0.38</v>
      </c>
      <c r="L54" s="6">
        <f t="shared" si="0"/>
        <v>1.122261987958835E-3</v>
      </c>
      <c r="P54" s="5">
        <f t="shared" si="1"/>
        <v>0.24397820296000325</v>
      </c>
      <c r="Q54" s="5">
        <f t="shared" si="2"/>
        <v>0.64204790252632438</v>
      </c>
      <c r="S54" s="5">
        <f t="shared" si="3"/>
        <v>0.24180041306738767</v>
      </c>
      <c r="T54" s="5">
        <f t="shared" si="4"/>
        <v>0.63631687649312541</v>
      </c>
      <c r="V54" s="5"/>
      <c r="W54" s="5"/>
    </row>
    <row r="55" spans="1:23" x14ac:dyDescent="0.25">
      <c r="B55" s="3">
        <v>12</v>
      </c>
      <c r="C55" s="4">
        <v>500</v>
      </c>
      <c r="D55" s="4">
        <v>4</v>
      </c>
      <c r="E55" s="3">
        <v>79.3</v>
      </c>
      <c r="F55" s="5">
        <v>2.6933292113182898</v>
      </c>
      <c r="G55" s="3">
        <v>20</v>
      </c>
      <c r="H55" s="3">
        <v>34</v>
      </c>
      <c r="I55" s="2">
        <v>1.5193277310924401E-2</v>
      </c>
      <c r="J55" s="5">
        <v>344.37763894827498</v>
      </c>
      <c r="K55" s="5">
        <v>0.52</v>
      </c>
      <c r="L55" s="6">
        <f t="shared" si="0"/>
        <v>1.7218881947413749E-3</v>
      </c>
      <c r="P55" s="5">
        <f t="shared" si="1"/>
        <v>0.34925625337043176</v>
      </c>
      <c r="Q55" s="5">
        <f t="shared" si="2"/>
        <v>0.67164664109698413</v>
      </c>
      <c r="S55" s="5">
        <f t="shared" si="3"/>
        <v>0.34851764617152059</v>
      </c>
      <c r="T55" s="5">
        <f t="shared" si="4"/>
        <v>0.6702262426375396</v>
      </c>
      <c r="V55" s="5"/>
      <c r="W55" s="5"/>
    </row>
    <row r="56" spans="1:23" x14ac:dyDescent="0.25">
      <c r="B56" s="3">
        <v>12</v>
      </c>
      <c r="C56" s="4">
        <v>500</v>
      </c>
      <c r="D56" s="4">
        <v>4</v>
      </c>
      <c r="E56" s="3">
        <v>79.3</v>
      </c>
      <c r="F56" s="5">
        <v>2.6933292113182898</v>
      </c>
      <c r="G56" s="3">
        <v>20</v>
      </c>
      <c r="H56" s="3">
        <v>34</v>
      </c>
      <c r="I56" s="2">
        <v>1.5193277310924401E-2</v>
      </c>
      <c r="J56" s="5">
        <v>500</v>
      </c>
      <c r="K56" s="5">
        <v>0.74</v>
      </c>
      <c r="L56" s="6">
        <f t="shared" si="0"/>
        <v>2.5000000000000001E-3</v>
      </c>
      <c r="P56" s="5">
        <f t="shared" si="1"/>
        <v>0.47735972124261017</v>
      </c>
      <c r="Q56" s="5">
        <f t="shared" si="2"/>
        <v>0.64508070438190568</v>
      </c>
      <c r="S56" s="5">
        <f t="shared" si="3"/>
        <v>0.47920055634399084</v>
      </c>
      <c r="T56" s="5">
        <f t="shared" si="4"/>
        <v>0.64756831938377146</v>
      </c>
      <c r="V56" s="5"/>
      <c r="W56" s="5"/>
    </row>
    <row r="57" spans="1:23" x14ac:dyDescent="0.25">
      <c r="A57" s="1" t="s">
        <v>30</v>
      </c>
      <c r="B57" s="3">
        <v>12</v>
      </c>
      <c r="C57" s="4">
        <v>500</v>
      </c>
      <c r="D57" s="4">
        <v>4</v>
      </c>
      <c r="E57" s="3">
        <v>79.3</v>
      </c>
      <c r="F57" s="5">
        <v>2.6933292113182898</v>
      </c>
      <c r="G57" s="3">
        <v>20</v>
      </c>
      <c r="H57" s="3">
        <v>34</v>
      </c>
      <c r="I57" s="2">
        <v>1.5193277310924401E-2</v>
      </c>
      <c r="J57" s="5">
        <v>104.527156235258</v>
      </c>
      <c r="K57" s="5">
        <v>0.17</v>
      </c>
      <c r="L57" s="6">
        <f t="shared" si="0"/>
        <v>5.2263578117629002E-4</v>
      </c>
      <c r="P57" s="5">
        <f t="shared" si="1"/>
        <v>0.12859465654196317</v>
      </c>
      <c r="Q57" s="5">
        <f t="shared" si="2"/>
        <v>0.7564391561291951</v>
      </c>
      <c r="S57" s="5">
        <f t="shared" si="3"/>
        <v>0.1258979363072423</v>
      </c>
      <c r="T57" s="5">
        <f t="shared" si="4"/>
        <v>0.74057609592495466</v>
      </c>
      <c r="V57" s="5"/>
      <c r="W57" s="5"/>
    </row>
    <row r="58" spans="1:23" x14ac:dyDescent="0.25">
      <c r="B58" s="3">
        <v>12</v>
      </c>
      <c r="C58" s="4">
        <v>500</v>
      </c>
      <c r="D58" s="4">
        <v>4</v>
      </c>
      <c r="E58" s="3">
        <v>79.3</v>
      </c>
      <c r="F58" s="5">
        <v>2.6933292113182898</v>
      </c>
      <c r="G58" s="3">
        <v>20</v>
      </c>
      <c r="H58" s="3">
        <v>34</v>
      </c>
      <c r="I58" s="2">
        <v>1.5193277310924401E-2</v>
      </c>
      <c r="J58" s="5">
        <v>224.45239759176701</v>
      </c>
      <c r="K58" s="5">
        <v>0.36</v>
      </c>
      <c r="L58" s="6">
        <f t="shared" si="0"/>
        <v>1.122261987958835E-3</v>
      </c>
      <c r="P58" s="5">
        <f t="shared" si="1"/>
        <v>0.24397820296000325</v>
      </c>
      <c r="Q58" s="5">
        <f t="shared" si="2"/>
        <v>0.67771723044445353</v>
      </c>
      <c r="S58" s="5">
        <f t="shared" si="3"/>
        <v>0.24180041306738767</v>
      </c>
      <c r="T58" s="5">
        <f t="shared" si="4"/>
        <v>0.6716678140760769</v>
      </c>
      <c r="V58" s="5"/>
      <c r="W58" s="5"/>
    </row>
    <row r="59" spans="1:23" x14ac:dyDescent="0.25">
      <c r="B59" s="3">
        <v>12</v>
      </c>
      <c r="C59" s="4">
        <v>500</v>
      </c>
      <c r="D59" s="4">
        <v>4</v>
      </c>
      <c r="E59" s="3">
        <v>79.3</v>
      </c>
      <c r="F59" s="5">
        <v>2.6933292113182898</v>
      </c>
      <c r="G59" s="3">
        <v>20</v>
      </c>
      <c r="H59" s="3">
        <v>34</v>
      </c>
      <c r="I59" s="2">
        <v>1.5193277310924401E-2</v>
      </c>
      <c r="J59" s="5">
        <v>344.37763894827498</v>
      </c>
      <c r="K59" s="5">
        <v>0.56000000000000005</v>
      </c>
      <c r="L59" s="6">
        <f t="shared" si="0"/>
        <v>1.7218881947413749E-3</v>
      </c>
      <c r="P59" s="5">
        <f t="shared" si="1"/>
        <v>0.34925625337043176</v>
      </c>
      <c r="Q59" s="5">
        <f t="shared" si="2"/>
        <v>0.62367188101862803</v>
      </c>
      <c r="S59" s="5">
        <f t="shared" si="3"/>
        <v>0.34851764617152059</v>
      </c>
      <c r="T59" s="5">
        <f t="shared" si="4"/>
        <v>0.622352939592001</v>
      </c>
      <c r="V59" s="5"/>
      <c r="W59" s="5"/>
    </row>
    <row r="60" spans="1:23" x14ac:dyDescent="0.25">
      <c r="B60" s="3">
        <v>12</v>
      </c>
      <c r="C60" s="4">
        <v>500</v>
      </c>
      <c r="D60" s="4">
        <v>4</v>
      </c>
      <c r="E60" s="3">
        <v>79.3</v>
      </c>
      <c r="F60" s="5">
        <v>2.6933292113182898</v>
      </c>
      <c r="G60" s="3">
        <v>20</v>
      </c>
      <c r="H60" s="3">
        <v>34</v>
      </c>
      <c r="I60" s="2">
        <v>1.5193277310924401E-2</v>
      </c>
      <c r="J60" s="5">
        <v>500</v>
      </c>
      <c r="K60" s="5">
        <v>0.78</v>
      </c>
      <c r="L60" s="6">
        <f t="shared" si="0"/>
        <v>2.5000000000000001E-3</v>
      </c>
      <c r="P60" s="5">
        <f t="shared" si="1"/>
        <v>0.47735972124261017</v>
      </c>
      <c r="Q60" s="5">
        <f t="shared" si="2"/>
        <v>0.61199964261873097</v>
      </c>
      <c r="S60" s="5">
        <f t="shared" si="3"/>
        <v>0.47920055634399084</v>
      </c>
      <c r="T60" s="5">
        <f t="shared" si="4"/>
        <v>0.61435968762050108</v>
      </c>
      <c r="V60" s="5"/>
      <c r="W60" s="5"/>
    </row>
    <row r="61" spans="1:23" x14ac:dyDescent="0.25">
      <c r="A61" s="1" t="s">
        <v>31</v>
      </c>
      <c r="B61" s="3">
        <v>12</v>
      </c>
      <c r="C61" s="4">
        <v>500</v>
      </c>
      <c r="D61" s="4">
        <v>4</v>
      </c>
      <c r="E61" s="3">
        <v>46</v>
      </c>
      <c r="F61" s="5">
        <v>2.6933292113182898</v>
      </c>
      <c r="G61" s="3">
        <v>70</v>
      </c>
      <c r="H61" s="3">
        <v>88</v>
      </c>
      <c r="I61" s="2">
        <v>1.02200677657071E-2</v>
      </c>
      <c r="J61" s="5">
        <v>108.963432678732</v>
      </c>
      <c r="K61" s="5">
        <v>0.31</v>
      </c>
      <c r="L61" s="6">
        <f t="shared" si="0"/>
        <v>5.4481716339366E-4</v>
      </c>
      <c r="P61" s="5">
        <f t="shared" si="1"/>
        <v>0.16362488628139707</v>
      </c>
      <c r="Q61" s="5">
        <f t="shared" si="2"/>
        <v>0.52782221381095829</v>
      </c>
      <c r="S61" s="5">
        <f t="shared" si="3"/>
        <v>0.16445613850312354</v>
      </c>
      <c r="T61" s="5">
        <f t="shared" si="4"/>
        <v>0.53050367259072106</v>
      </c>
      <c r="V61" s="5"/>
      <c r="W61" s="5"/>
    </row>
    <row r="62" spans="1:23" x14ac:dyDescent="0.25">
      <c r="B62" s="3">
        <v>12</v>
      </c>
      <c r="C62" s="4">
        <v>500</v>
      </c>
      <c r="D62" s="4">
        <v>4</v>
      </c>
      <c r="E62" s="3">
        <v>46</v>
      </c>
      <c r="F62" s="5">
        <v>2.6933292113182898</v>
      </c>
      <c r="G62" s="3">
        <v>70</v>
      </c>
      <c r="H62" s="3">
        <v>88</v>
      </c>
      <c r="I62" s="2">
        <v>1.02200677657071E-2</v>
      </c>
      <c r="J62" s="5">
        <v>187.065765714343</v>
      </c>
      <c r="K62" s="5">
        <v>0.44</v>
      </c>
      <c r="L62" s="6">
        <f t="shared" si="0"/>
        <v>9.3532882857171496E-4</v>
      </c>
      <c r="P62" s="5">
        <f t="shared" si="1"/>
        <v>0.25735896652951085</v>
      </c>
      <c r="Q62" s="5">
        <f t="shared" si="2"/>
        <v>0.58490674211252469</v>
      </c>
      <c r="S62" s="5">
        <f t="shared" si="3"/>
        <v>0.26091283963688916</v>
      </c>
      <c r="T62" s="5">
        <f t="shared" si="4"/>
        <v>0.59298372644747532</v>
      </c>
      <c r="V62" s="5"/>
      <c r="W62" s="5"/>
    </row>
    <row r="63" spans="1:23" x14ac:dyDescent="0.25">
      <c r="A63" s="1" t="s">
        <v>32</v>
      </c>
      <c r="B63" s="3">
        <v>12</v>
      </c>
      <c r="C63" s="4">
        <v>500</v>
      </c>
      <c r="D63" s="4">
        <v>4</v>
      </c>
      <c r="E63" s="3">
        <v>46</v>
      </c>
      <c r="F63" s="5">
        <v>2.6933292113182898</v>
      </c>
      <c r="G63" s="3">
        <v>70</v>
      </c>
      <c r="H63" s="3">
        <v>84</v>
      </c>
      <c r="I63" s="2">
        <v>1.0231758789687699E-2</v>
      </c>
      <c r="J63" s="5">
        <v>27.519506117119299</v>
      </c>
      <c r="K63" s="5">
        <v>0.14000000000000001</v>
      </c>
      <c r="L63" s="6">
        <f t="shared" si="0"/>
        <v>1.375975305855965E-4</v>
      </c>
      <c r="P63" s="5">
        <f t="shared" si="1"/>
        <v>5.1616056746755262E-2</v>
      </c>
      <c r="Q63" s="5">
        <f t="shared" si="2"/>
        <v>0.3686861196196804</v>
      </c>
      <c r="S63" s="5">
        <f t="shared" si="3"/>
        <v>5.0742241627263651E-2</v>
      </c>
      <c r="T63" s="5">
        <f t="shared" si="4"/>
        <v>0.36244458305188321</v>
      </c>
      <c r="V63" s="5"/>
      <c r="W63" s="5"/>
    </row>
    <row r="64" spans="1:23" x14ac:dyDescent="0.25">
      <c r="B64" s="3">
        <v>12</v>
      </c>
      <c r="C64" s="4">
        <v>500</v>
      </c>
      <c r="D64" s="4">
        <v>4</v>
      </c>
      <c r="E64" s="3">
        <v>46</v>
      </c>
      <c r="F64" s="5">
        <v>2.6933292113182898</v>
      </c>
      <c r="G64" s="3">
        <v>70</v>
      </c>
      <c r="H64" s="3">
        <v>84</v>
      </c>
      <c r="I64" s="2">
        <v>1.0231758789687699E-2</v>
      </c>
      <c r="J64" s="5">
        <v>104.711161062044</v>
      </c>
      <c r="K64" s="5">
        <v>0.31</v>
      </c>
      <c r="L64" s="6">
        <f t="shared" si="0"/>
        <v>5.2355580531021997E-4</v>
      </c>
      <c r="P64" s="5">
        <f t="shared" si="1"/>
        <v>0.15816853198871886</v>
      </c>
      <c r="Q64" s="5">
        <f t="shared" si="2"/>
        <v>0.51022107093135116</v>
      </c>
      <c r="S64" s="5">
        <f t="shared" si="3"/>
        <v>0.15885121725311327</v>
      </c>
      <c r="T64" s="5">
        <f t="shared" si="4"/>
        <v>0.51242328146165572</v>
      </c>
      <c r="V64" s="5"/>
      <c r="W64" s="5"/>
    </row>
    <row r="65" spans="1:23" x14ac:dyDescent="0.25">
      <c r="B65" s="3">
        <v>12</v>
      </c>
      <c r="C65" s="4">
        <v>500</v>
      </c>
      <c r="D65" s="4">
        <v>4</v>
      </c>
      <c r="E65" s="3">
        <v>46</v>
      </c>
      <c r="F65" s="5">
        <v>2.6933292113182898</v>
      </c>
      <c r="G65" s="3">
        <v>70</v>
      </c>
      <c r="H65" s="3">
        <v>84</v>
      </c>
      <c r="I65" s="2">
        <v>1.0231758789687699E-2</v>
      </c>
      <c r="J65" s="5">
        <v>181.90281600696801</v>
      </c>
      <c r="K65" s="5">
        <v>0.4</v>
      </c>
      <c r="L65" s="6">
        <f t="shared" si="0"/>
        <v>9.0951408003484002E-4</v>
      </c>
      <c r="P65" s="5">
        <f t="shared" si="1"/>
        <v>0.251253087098949</v>
      </c>
      <c r="Q65" s="5">
        <f t="shared" si="2"/>
        <v>0.62813271774737245</v>
      </c>
      <c r="S65" s="5">
        <f t="shared" si="3"/>
        <v>0.25457714575822793</v>
      </c>
      <c r="T65" s="5">
        <f t="shared" si="4"/>
        <v>0.63644286439556974</v>
      </c>
      <c r="V65" s="5"/>
      <c r="W65" s="5"/>
    </row>
    <row r="66" spans="1:23" x14ac:dyDescent="0.25">
      <c r="A66" s="1" t="s">
        <v>33</v>
      </c>
      <c r="B66" s="3">
        <v>12</v>
      </c>
      <c r="C66" s="4">
        <v>500</v>
      </c>
      <c r="D66" s="4">
        <v>4</v>
      </c>
      <c r="E66" s="3">
        <v>46</v>
      </c>
      <c r="F66" s="5">
        <v>2.6933292113182898</v>
      </c>
      <c r="G66" s="3">
        <v>70</v>
      </c>
      <c r="H66" s="3">
        <v>84</v>
      </c>
      <c r="I66" s="2">
        <v>1.0231758789687699E-2</v>
      </c>
      <c r="J66" s="5">
        <v>27.519506117119299</v>
      </c>
      <c r="K66" s="5">
        <v>0.25</v>
      </c>
      <c r="L66" s="6">
        <f t="shared" si="0"/>
        <v>1.375975305855965E-4</v>
      </c>
      <c r="P66" s="5">
        <f t="shared" si="1"/>
        <v>5.1616056746755262E-2</v>
      </c>
      <c r="Q66" s="5">
        <f t="shared" si="2"/>
        <v>0.20646422698702105</v>
      </c>
      <c r="S66" s="5">
        <f t="shared" si="3"/>
        <v>5.0742241627263651E-2</v>
      </c>
      <c r="T66" s="5">
        <f t="shared" si="4"/>
        <v>0.2029689665090546</v>
      </c>
      <c r="V66" s="5"/>
      <c r="W66" s="5"/>
    </row>
    <row r="67" spans="1:23" x14ac:dyDescent="0.25">
      <c r="B67" s="3">
        <v>12</v>
      </c>
      <c r="C67" s="4">
        <v>500</v>
      </c>
      <c r="D67" s="4">
        <v>4</v>
      </c>
      <c r="E67" s="3">
        <v>46</v>
      </c>
      <c r="F67" s="5">
        <v>2.6933292113182898</v>
      </c>
      <c r="G67" s="3">
        <v>70</v>
      </c>
      <c r="H67" s="3">
        <v>84</v>
      </c>
      <c r="I67" s="2">
        <v>1.0231758789687699E-2</v>
      </c>
      <c r="J67" s="5">
        <v>104.711161062044</v>
      </c>
      <c r="K67" s="5">
        <v>0.44</v>
      </c>
      <c r="L67" s="6">
        <f t="shared" si="0"/>
        <v>5.2355580531021997E-4</v>
      </c>
      <c r="P67" s="5">
        <f t="shared" si="1"/>
        <v>0.15816853198871886</v>
      </c>
      <c r="Q67" s="5">
        <f t="shared" si="2"/>
        <v>0.3594739363379974</v>
      </c>
      <c r="S67" s="5">
        <f t="shared" si="3"/>
        <v>0.15885121725311327</v>
      </c>
      <c r="T67" s="5">
        <f t="shared" si="4"/>
        <v>0.3610254937570756</v>
      </c>
      <c r="V67" s="5"/>
      <c r="W67" s="5"/>
    </row>
    <row r="68" spans="1:23" x14ac:dyDescent="0.25">
      <c r="B68" s="3">
        <v>12</v>
      </c>
      <c r="C68" s="4">
        <v>500</v>
      </c>
      <c r="D68" s="4">
        <v>4</v>
      </c>
      <c r="E68" s="3">
        <v>46</v>
      </c>
      <c r="F68" s="5">
        <v>2.6933292113182898</v>
      </c>
      <c r="G68" s="3">
        <v>70</v>
      </c>
      <c r="H68" s="3">
        <v>84</v>
      </c>
      <c r="I68" s="2">
        <v>1.0231758789687699E-2</v>
      </c>
      <c r="J68" s="5">
        <v>181.90281600696801</v>
      </c>
      <c r="K68" s="5">
        <v>0.56000000000000005</v>
      </c>
      <c r="L68" s="6">
        <f t="shared" si="0"/>
        <v>9.0951408003484002E-4</v>
      </c>
      <c r="P68" s="5">
        <f t="shared" si="1"/>
        <v>0.251253087098949</v>
      </c>
      <c r="Q68" s="5">
        <f t="shared" si="2"/>
        <v>0.44866622696240888</v>
      </c>
      <c r="S68" s="5">
        <f t="shared" si="3"/>
        <v>0.25457714575822793</v>
      </c>
      <c r="T68" s="5">
        <f t="shared" si="4"/>
        <v>0.45460204599683557</v>
      </c>
      <c r="V68" s="5"/>
      <c r="W68" s="5"/>
    </row>
    <row r="69" spans="1:23" x14ac:dyDescent="0.25">
      <c r="A69" s="1" t="s">
        <v>34</v>
      </c>
      <c r="B69" s="3">
        <v>25</v>
      </c>
      <c r="C69" s="4">
        <v>500</v>
      </c>
      <c r="D69" s="4">
        <v>4</v>
      </c>
      <c r="E69" s="3">
        <v>62</v>
      </c>
      <c r="F69" s="5">
        <v>2.6933292113182898</v>
      </c>
      <c r="G69" s="3">
        <v>20</v>
      </c>
      <c r="H69" s="3">
        <v>40.5</v>
      </c>
      <c r="I69" s="2">
        <v>5.5421516754850103E-2</v>
      </c>
      <c r="J69" s="5">
        <v>173.788819028999</v>
      </c>
      <c r="K69" s="5">
        <v>0.23</v>
      </c>
      <c r="L69" s="6">
        <f t="shared" si="0"/>
        <v>8.6894409514499504E-4</v>
      </c>
      <c r="P69" s="5">
        <f t="shared" si="1"/>
        <v>0.23278899651165838</v>
      </c>
      <c r="Q69" s="5">
        <f t="shared" si="2"/>
        <v>1.0121260717898191</v>
      </c>
      <c r="S69" s="5">
        <f t="shared" si="3"/>
        <v>0.22983824399723465</v>
      </c>
      <c r="T69" s="5">
        <f t="shared" si="4"/>
        <v>0.99929671303145495</v>
      </c>
      <c r="V69" s="5"/>
      <c r="W69" s="5"/>
    </row>
    <row r="70" spans="1:23" x14ac:dyDescent="0.25">
      <c r="B70" s="3">
        <v>25</v>
      </c>
      <c r="C70" s="4">
        <v>500</v>
      </c>
      <c r="D70" s="4">
        <v>4</v>
      </c>
      <c r="E70" s="3">
        <v>62</v>
      </c>
      <c r="F70" s="5">
        <v>2.6933292113182898</v>
      </c>
      <c r="G70" s="3">
        <v>20</v>
      </c>
      <c r="H70" s="3">
        <v>40.5</v>
      </c>
      <c r="I70" s="2">
        <v>5.5421516754850103E-2</v>
      </c>
      <c r="J70" s="5">
        <v>293.98923262548601</v>
      </c>
      <c r="K70" s="5">
        <v>0.35</v>
      </c>
      <c r="L70" s="6">
        <f t="shared" si="0"/>
        <v>1.4699461631274302E-3</v>
      </c>
      <c r="P70" s="5">
        <f t="shared" si="1"/>
        <v>0.3616478493902136</v>
      </c>
      <c r="Q70" s="5">
        <f t="shared" si="2"/>
        <v>1.0332795696863246</v>
      </c>
      <c r="S70" s="5">
        <f t="shared" si="3"/>
        <v>0.36007974056289976</v>
      </c>
      <c r="T70" s="5">
        <f t="shared" si="4"/>
        <v>1.0287992587511423</v>
      </c>
      <c r="V70" s="5"/>
      <c r="W70" s="5"/>
    </row>
    <row r="71" spans="1:23" x14ac:dyDescent="0.25">
      <c r="B71" s="3">
        <v>25</v>
      </c>
      <c r="C71" s="4">
        <v>500</v>
      </c>
      <c r="D71" s="4">
        <v>4</v>
      </c>
      <c r="E71" s="3">
        <v>62</v>
      </c>
      <c r="F71" s="5">
        <v>2.6933292113182898</v>
      </c>
      <c r="G71" s="3">
        <v>20</v>
      </c>
      <c r="H71" s="3">
        <v>40.5</v>
      </c>
      <c r="I71" s="2">
        <v>5.5421516754850103E-2</v>
      </c>
      <c r="J71" s="5">
        <v>414.189646221972</v>
      </c>
      <c r="K71" s="5">
        <v>0.49</v>
      </c>
      <c r="L71" s="6">
        <f t="shared" si="0"/>
        <v>2.07094823110986E-3</v>
      </c>
      <c r="P71" s="5">
        <f t="shared" si="1"/>
        <v>0.48198898653118044</v>
      </c>
      <c r="Q71" s="5">
        <f t="shared" si="2"/>
        <v>0.9836509929207764</v>
      </c>
      <c r="S71" s="5">
        <f t="shared" si="3"/>
        <v>0.48253831119942259</v>
      </c>
      <c r="T71" s="5">
        <f t="shared" si="4"/>
        <v>0.98477206367229098</v>
      </c>
      <c r="V71" s="5"/>
      <c r="W71" s="5"/>
    </row>
    <row r="72" spans="1:23" x14ac:dyDescent="0.25">
      <c r="B72" s="3">
        <v>25</v>
      </c>
      <c r="C72" s="4">
        <v>500</v>
      </c>
      <c r="D72" s="4">
        <v>4</v>
      </c>
      <c r="E72" s="3">
        <v>62</v>
      </c>
      <c r="F72" s="5">
        <v>2.6933292113182898</v>
      </c>
      <c r="G72" s="3">
        <v>20</v>
      </c>
      <c r="H72" s="3">
        <v>40.5</v>
      </c>
      <c r="I72" s="2">
        <v>5.5421516754850103E-2</v>
      </c>
      <c r="J72" s="5">
        <v>500</v>
      </c>
      <c r="K72" s="5">
        <v>0.67</v>
      </c>
      <c r="L72" s="6">
        <f t="shared" si="0"/>
        <v>2.5000000000000001E-3</v>
      </c>
      <c r="P72" s="5">
        <f t="shared" si="1"/>
        <v>0.56436622693531391</v>
      </c>
      <c r="Q72" s="5">
        <f t="shared" si="2"/>
        <v>0.84233765214225953</v>
      </c>
      <c r="S72" s="5">
        <f t="shared" si="3"/>
        <v>0.56671412080287109</v>
      </c>
      <c r="T72" s="5">
        <f t="shared" si="4"/>
        <v>0.84584197134756878</v>
      </c>
      <c r="V72" s="5"/>
      <c r="W72" s="5"/>
    </row>
    <row r="73" spans="1:23" x14ac:dyDescent="0.25">
      <c r="A73" s="1" t="s">
        <v>35</v>
      </c>
      <c r="B73" s="3">
        <v>25</v>
      </c>
      <c r="C73" s="4">
        <v>500</v>
      </c>
      <c r="D73" s="4">
        <v>4</v>
      </c>
      <c r="E73" s="3">
        <v>62</v>
      </c>
      <c r="F73" s="5">
        <v>2.6933292113182898</v>
      </c>
      <c r="G73" s="3">
        <v>20</v>
      </c>
      <c r="H73" s="3">
        <v>40.5</v>
      </c>
      <c r="I73" s="2">
        <v>5.5421516754850103E-2</v>
      </c>
      <c r="J73" s="5">
        <v>173.788819028999</v>
      </c>
      <c r="K73" s="5">
        <v>0.27</v>
      </c>
      <c r="L73" s="6">
        <f t="shared" si="0"/>
        <v>8.6894409514499504E-4</v>
      </c>
      <c r="P73" s="5">
        <f t="shared" si="1"/>
        <v>0.23278899651165838</v>
      </c>
      <c r="Q73" s="5">
        <f t="shared" si="2"/>
        <v>0.86218146856169764</v>
      </c>
      <c r="S73" s="5">
        <f t="shared" si="3"/>
        <v>0.22983824399723465</v>
      </c>
      <c r="T73" s="5">
        <f t="shared" si="4"/>
        <v>0.85125275554531343</v>
      </c>
      <c r="V73" s="5"/>
      <c r="W73" s="5"/>
    </row>
    <row r="74" spans="1:23" x14ac:dyDescent="0.25">
      <c r="B74" s="3">
        <v>25</v>
      </c>
      <c r="C74" s="4">
        <v>500</v>
      </c>
      <c r="D74" s="4">
        <v>4</v>
      </c>
      <c r="E74" s="3">
        <v>62</v>
      </c>
      <c r="F74" s="5">
        <v>2.6933292113182898</v>
      </c>
      <c r="G74" s="3">
        <v>20</v>
      </c>
      <c r="H74" s="3">
        <v>40.5</v>
      </c>
      <c r="I74" s="2">
        <v>5.5421516754850103E-2</v>
      </c>
      <c r="J74" s="5">
        <v>293.98923262548601</v>
      </c>
      <c r="K74" s="5">
        <v>0.4</v>
      </c>
      <c r="L74" s="6">
        <f t="shared" si="0"/>
        <v>1.4699461631274302E-3</v>
      </c>
      <c r="P74" s="5">
        <f t="shared" si="1"/>
        <v>0.3616478493902136</v>
      </c>
      <c r="Q74" s="5">
        <f t="shared" si="2"/>
        <v>0.90411962347553398</v>
      </c>
      <c r="S74" s="5">
        <f t="shared" si="3"/>
        <v>0.36007974056289976</v>
      </c>
      <c r="T74" s="5">
        <f t="shared" si="4"/>
        <v>0.90019935140724938</v>
      </c>
      <c r="V74" s="5"/>
      <c r="W74" s="5"/>
    </row>
    <row r="75" spans="1:23" x14ac:dyDescent="0.25">
      <c r="B75" s="3">
        <v>25</v>
      </c>
      <c r="C75" s="4">
        <v>500</v>
      </c>
      <c r="D75" s="4">
        <v>4</v>
      </c>
      <c r="E75" s="3">
        <v>62</v>
      </c>
      <c r="F75" s="5">
        <v>2.6933292113182898</v>
      </c>
      <c r="G75" s="3">
        <v>20</v>
      </c>
      <c r="H75" s="3">
        <v>40.5</v>
      </c>
      <c r="I75" s="2">
        <v>5.5421516754850103E-2</v>
      </c>
      <c r="J75" s="5">
        <v>414.189646221972</v>
      </c>
      <c r="K75" s="5">
        <v>0.53</v>
      </c>
      <c r="L75" s="6">
        <f t="shared" ref="L75:L138" si="5">J75/200000</f>
        <v>2.07094823110986E-3</v>
      </c>
      <c r="P75" s="5">
        <f t="shared" ref="P75:P138" si="6">$Q$2*($Q$3*$G75+$Q$4*$B75^$Q$5*$I75^$Q$6)*$L75^$Q$7</f>
        <v>0.48198898653118044</v>
      </c>
      <c r="Q75" s="5">
        <f t="shared" ref="Q75:Q138" si="7">P75/$K75</f>
        <v>0.90941318213430267</v>
      </c>
      <c r="S75" s="5">
        <f t="shared" ref="S75:S138" si="8">$T$2*$B75^$T$3*$L75^$T$4*($T$5*$I75^$T$6+$T$7)</f>
        <v>0.48253831119942259</v>
      </c>
      <c r="T75" s="5">
        <f t="shared" ref="T75:T138" si="9">S75/$K75</f>
        <v>0.91044964377249538</v>
      </c>
      <c r="V75" s="5"/>
      <c r="W75" s="5"/>
    </row>
    <row r="76" spans="1:23" x14ac:dyDescent="0.25">
      <c r="B76" s="3">
        <v>25</v>
      </c>
      <c r="C76" s="4">
        <v>500</v>
      </c>
      <c r="D76" s="4">
        <v>4</v>
      </c>
      <c r="E76" s="3">
        <v>62</v>
      </c>
      <c r="F76" s="5">
        <v>2.6933292113182898</v>
      </c>
      <c r="G76" s="3">
        <v>20</v>
      </c>
      <c r="H76" s="3">
        <v>40.5</v>
      </c>
      <c r="I76" s="2">
        <v>5.5421516754850103E-2</v>
      </c>
      <c r="J76" s="5">
        <v>500</v>
      </c>
      <c r="K76" s="5">
        <v>0.72</v>
      </c>
      <c r="L76" s="6">
        <f t="shared" si="5"/>
        <v>2.5000000000000001E-3</v>
      </c>
      <c r="P76" s="5">
        <f t="shared" si="6"/>
        <v>0.56436622693531391</v>
      </c>
      <c r="Q76" s="5">
        <f t="shared" si="7"/>
        <v>0.78384198185460263</v>
      </c>
      <c r="S76" s="5">
        <f t="shared" si="8"/>
        <v>0.56671412080287109</v>
      </c>
      <c r="T76" s="5">
        <f t="shared" si="9"/>
        <v>0.78710294555954319</v>
      </c>
      <c r="V76" s="5"/>
      <c r="W76" s="5"/>
    </row>
    <row r="77" spans="1:23" x14ac:dyDescent="0.25">
      <c r="A77" s="1" t="s">
        <v>36</v>
      </c>
      <c r="B77" s="3">
        <v>25</v>
      </c>
      <c r="C77" s="4">
        <v>500</v>
      </c>
      <c r="D77" s="4">
        <v>4</v>
      </c>
      <c r="E77" s="3">
        <v>28.7</v>
      </c>
      <c r="F77" s="5">
        <v>2.6933292113182898</v>
      </c>
      <c r="G77" s="3">
        <v>70</v>
      </c>
      <c r="H77" s="3">
        <v>94.5</v>
      </c>
      <c r="I77" s="2">
        <v>5.2620596145749599E-2</v>
      </c>
      <c r="J77" s="5">
        <v>80.821505172038798</v>
      </c>
      <c r="K77" s="5">
        <v>0.3</v>
      </c>
      <c r="L77" s="6">
        <f t="shared" si="5"/>
        <v>4.04107525860194E-4</v>
      </c>
      <c r="P77" s="5">
        <f t="shared" si="6"/>
        <v>0.12708977184583392</v>
      </c>
      <c r="Q77" s="5">
        <f t="shared" si="7"/>
        <v>0.42363257281944644</v>
      </c>
      <c r="S77" s="5">
        <f t="shared" si="8"/>
        <v>0.1224466928971948</v>
      </c>
      <c r="T77" s="5">
        <f t="shared" si="9"/>
        <v>0.40815564299064933</v>
      </c>
      <c r="V77" s="5"/>
      <c r="W77" s="5"/>
    </row>
    <row r="78" spans="1:23" x14ac:dyDescent="0.25">
      <c r="B78" s="3">
        <v>25</v>
      </c>
      <c r="C78" s="4">
        <v>500</v>
      </c>
      <c r="D78" s="4">
        <v>4</v>
      </c>
      <c r="E78" s="3">
        <v>28.7</v>
      </c>
      <c r="F78" s="5">
        <v>2.6933292113182898</v>
      </c>
      <c r="G78" s="3">
        <v>70</v>
      </c>
      <c r="H78" s="3">
        <v>94.5</v>
      </c>
      <c r="I78" s="2">
        <v>5.2620596145749599E-2</v>
      </c>
      <c r="J78" s="5">
        <v>211.123909217879</v>
      </c>
      <c r="K78" s="5">
        <v>0.56999999999999995</v>
      </c>
      <c r="L78" s="6">
        <f t="shared" si="5"/>
        <v>1.0556195460893951E-3</v>
      </c>
      <c r="P78" s="5">
        <f t="shared" si="6"/>
        <v>0.2841615978137908</v>
      </c>
      <c r="Q78" s="5">
        <f t="shared" si="7"/>
        <v>0.49852911897156282</v>
      </c>
      <c r="S78" s="5">
        <f t="shared" si="8"/>
        <v>0.27801870352876928</v>
      </c>
      <c r="T78" s="5">
        <f t="shared" si="9"/>
        <v>0.48775211145398123</v>
      </c>
      <c r="V78" s="5"/>
      <c r="W78" s="5"/>
    </row>
    <row r="79" spans="1:23" x14ac:dyDescent="0.25">
      <c r="A79" s="1" t="s">
        <v>37</v>
      </c>
      <c r="B79" s="3">
        <v>25</v>
      </c>
      <c r="C79" s="4">
        <v>500</v>
      </c>
      <c r="D79" s="4">
        <v>4</v>
      </c>
      <c r="E79" s="3">
        <v>28.7</v>
      </c>
      <c r="F79" s="5">
        <v>2.6933292113182898</v>
      </c>
      <c r="G79" s="3">
        <v>70</v>
      </c>
      <c r="H79" s="3">
        <v>90.5</v>
      </c>
      <c r="I79" s="2">
        <v>5.2767941707515101E-2</v>
      </c>
      <c r="J79" s="5">
        <v>79.473206550900002</v>
      </c>
      <c r="K79" s="5">
        <v>0.26</v>
      </c>
      <c r="L79" s="6">
        <f t="shared" si="5"/>
        <v>3.9736603275450003E-4</v>
      </c>
      <c r="P79" s="5">
        <f t="shared" si="6"/>
        <v>0.12513992992285181</v>
      </c>
      <c r="Q79" s="5">
        <f t="shared" si="7"/>
        <v>0.48130742278019922</v>
      </c>
      <c r="S79" s="5">
        <f t="shared" si="8"/>
        <v>0.12054236061637519</v>
      </c>
      <c r="T79" s="5">
        <f t="shared" si="9"/>
        <v>0.46362446390913531</v>
      </c>
      <c r="V79" s="5"/>
      <c r="W79" s="5"/>
    </row>
    <row r="80" spans="1:23" x14ac:dyDescent="0.25">
      <c r="B80" s="3">
        <v>25</v>
      </c>
      <c r="C80" s="4">
        <v>500</v>
      </c>
      <c r="D80" s="4">
        <v>4</v>
      </c>
      <c r="E80" s="3">
        <v>28.7</v>
      </c>
      <c r="F80" s="5">
        <v>2.6933292113182898</v>
      </c>
      <c r="G80" s="3">
        <v>70</v>
      </c>
      <c r="H80" s="3">
        <v>90.5</v>
      </c>
      <c r="I80" s="2">
        <v>5.2767941707515101E-2</v>
      </c>
      <c r="J80" s="5">
        <v>207.90819962893201</v>
      </c>
      <c r="K80" s="5">
        <v>0.6</v>
      </c>
      <c r="L80" s="6">
        <f t="shared" si="5"/>
        <v>1.0395409981446601E-3</v>
      </c>
      <c r="P80" s="5">
        <f t="shared" si="6"/>
        <v>0.28014788379504435</v>
      </c>
      <c r="Q80" s="5">
        <f t="shared" si="7"/>
        <v>0.46691313965840725</v>
      </c>
      <c r="S80" s="5">
        <f t="shared" si="8"/>
        <v>0.27403973886292077</v>
      </c>
      <c r="T80" s="5">
        <f t="shared" si="9"/>
        <v>0.45673289810486795</v>
      </c>
      <c r="V80" s="5"/>
      <c r="W80" s="5"/>
    </row>
    <row r="81" spans="1:23" x14ac:dyDescent="0.25">
      <c r="A81" s="1" t="s">
        <v>38</v>
      </c>
      <c r="B81" s="3">
        <v>25</v>
      </c>
      <c r="C81" s="4">
        <v>500</v>
      </c>
      <c r="D81" s="4">
        <v>4</v>
      </c>
      <c r="E81" s="3">
        <v>28.7</v>
      </c>
      <c r="F81" s="5">
        <v>2.6933292113182898</v>
      </c>
      <c r="G81" s="3">
        <v>70</v>
      </c>
      <c r="H81" s="3">
        <v>90.5</v>
      </c>
      <c r="I81" s="2">
        <v>5.2767941707515101E-2</v>
      </c>
      <c r="J81" s="5">
        <v>79.473206550900002</v>
      </c>
      <c r="K81" s="5">
        <v>0.27</v>
      </c>
      <c r="L81" s="6">
        <f t="shared" si="5"/>
        <v>3.9736603275450003E-4</v>
      </c>
      <c r="P81" s="5">
        <f t="shared" si="6"/>
        <v>0.12513992992285181</v>
      </c>
      <c r="Q81" s="5">
        <f t="shared" si="7"/>
        <v>0.46348122193648816</v>
      </c>
      <c r="S81" s="5">
        <f t="shared" si="8"/>
        <v>0.12054236061637519</v>
      </c>
      <c r="T81" s="5">
        <f t="shared" si="9"/>
        <v>0.44645318746805623</v>
      </c>
      <c r="V81" s="5"/>
      <c r="W81" s="5"/>
    </row>
    <row r="82" spans="1:23" x14ac:dyDescent="0.25">
      <c r="B82" s="3">
        <v>25</v>
      </c>
      <c r="C82" s="4">
        <v>500</v>
      </c>
      <c r="D82" s="4">
        <v>4</v>
      </c>
      <c r="E82" s="3">
        <v>28.7</v>
      </c>
      <c r="F82" s="5">
        <v>2.6933292113182898</v>
      </c>
      <c r="G82" s="3">
        <v>70</v>
      </c>
      <c r="H82" s="3">
        <v>90.5</v>
      </c>
      <c r="I82" s="2">
        <v>5.2767941707515101E-2</v>
      </c>
      <c r="J82" s="5">
        <v>207.90819962893201</v>
      </c>
      <c r="K82" s="5">
        <v>0.59</v>
      </c>
      <c r="L82" s="6">
        <f t="shared" si="5"/>
        <v>1.0395409981446601E-3</v>
      </c>
      <c r="P82" s="5">
        <f t="shared" si="6"/>
        <v>0.28014788379504435</v>
      </c>
      <c r="Q82" s="5">
        <f t="shared" si="7"/>
        <v>0.47482692168651586</v>
      </c>
      <c r="S82" s="5">
        <f t="shared" si="8"/>
        <v>0.27403973886292077</v>
      </c>
      <c r="T82" s="5">
        <f t="shared" si="9"/>
        <v>0.4644741336659674</v>
      </c>
      <c r="V82" s="5"/>
      <c r="W82" s="5"/>
    </row>
    <row r="83" spans="1:23" x14ac:dyDescent="0.25">
      <c r="A83" s="1" t="s">
        <v>39</v>
      </c>
      <c r="B83" s="3">
        <v>9.52</v>
      </c>
      <c r="C83" s="4">
        <v>434</v>
      </c>
      <c r="D83" s="4">
        <v>3</v>
      </c>
      <c r="E83" s="3">
        <v>22.2</v>
      </c>
      <c r="F83" s="5">
        <v>3.5641600019995101</v>
      </c>
      <c r="G83" s="3">
        <v>20.64</v>
      </c>
      <c r="H83" s="3">
        <v>25.4</v>
      </c>
      <c r="I83" s="2">
        <v>3.2448510099947502E-2</v>
      </c>
      <c r="J83" s="5">
        <v>246.112947502542</v>
      </c>
      <c r="K83" s="5">
        <v>0.15</v>
      </c>
      <c r="L83" s="6">
        <f t="shared" si="5"/>
        <v>1.2305647375127099E-3</v>
      </c>
      <c r="P83" s="5">
        <f t="shared" si="6"/>
        <v>0.14095936594946548</v>
      </c>
      <c r="Q83" s="5">
        <f t="shared" si="7"/>
        <v>0.93972910632976991</v>
      </c>
      <c r="S83" s="5">
        <f t="shared" si="8"/>
        <v>0.13266622999610353</v>
      </c>
      <c r="T83" s="5">
        <f t="shared" si="9"/>
        <v>0.88444153330735686</v>
      </c>
      <c r="V83" s="5"/>
      <c r="W83" s="5"/>
    </row>
    <row r="84" spans="1:23" x14ac:dyDescent="0.25">
      <c r="B84" s="3">
        <v>9.52</v>
      </c>
      <c r="C84" s="4">
        <v>434</v>
      </c>
      <c r="D84" s="4">
        <v>3</v>
      </c>
      <c r="E84" s="3">
        <v>22.2</v>
      </c>
      <c r="F84" s="5">
        <v>3.5641600019995101</v>
      </c>
      <c r="G84" s="3">
        <v>20.64</v>
      </c>
      <c r="H84" s="3">
        <v>25.4</v>
      </c>
      <c r="I84" s="2">
        <v>3.2448510099947502E-2</v>
      </c>
      <c r="J84" s="5">
        <v>307.810038560674</v>
      </c>
      <c r="K84" s="5">
        <v>0.17</v>
      </c>
      <c r="L84" s="6">
        <f t="shared" si="5"/>
        <v>1.53905019280337E-3</v>
      </c>
      <c r="P84" s="5">
        <f t="shared" si="6"/>
        <v>0.17002165047867407</v>
      </c>
      <c r="Q84" s="5">
        <f t="shared" si="7"/>
        <v>1.0001273557569061</v>
      </c>
      <c r="S84" s="5">
        <f t="shared" si="8"/>
        <v>0.16059242315244704</v>
      </c>
      <c r="T84" s="5">
        <f t="shared" si="9"/>
        <v>0.94466131266145315</v>
      </c>
      <c r="V84" s="5"/>
      <c r="W84" s="5"/>
    </row>
    <row r="85" spans="1:23" x14ac:dyDescent="0.25">
      <c r="A85" s="1" t="s">
        <v>40</v>
      </c>
      <c r="B85" s="3">
        <v>12.7</v>
      </c>
      <c r="C85" s="4">
        <v>434</v>
      </c>
      <c r="D85" s="4">
        <v>3</v>
      </c>
      <c r="E85" s="3">
        <v>19.05</v>
      </c>
      <c r="F85" s="5">
        <v>3.9766081638229398</v>
      </c>
      <c r="G85" s="3">
        <v>19.05</v>
      </c>
      <c r="H85" s="3">
        <v>25.4</v>
      </c>
      <c r="I85" s="2">
        <v>6.42124745559393E-2</v>
      </c>
      <c r="J85" s="5">
        <v>272.94331877332701</v>
      </c>
      <c r="K85" s="5">
        <v>0.15</v>
      </c>
      <c r="L85" s="6">
        <f t="shared" si="5"/>
        <v>1.3647165938666351E-3</v>
      </c>
      <c r="P85" s="5">
        <f t="shared" si="6"/>
        <v>0.15055646315401089</v>
      </c>
      <c r="Q85" s="5">
        <f t="shared" si="7"/>
        <v>1.0037097543600726</v>
      </c>
      <c r="S85" s="5">
        <f t="shared" si="8"/>
        <v>0.14524615911985905</v>
      </c>
      <c r="T85" s="5">
        <f t="shared" si="9"/>
        <v>0.96830772746572702</v>
      </c>
      <c r="V85" s="5"/>
      <c r="W85" s="5"/>
    </row>
    <row r="86" spans="1:23" x14ac:dyDescent="0.25">
      <c r="B86" s="3">
        <v>12.7</v>
      </c>
      <c r="C86" s="4">
        <v>434</v>
      </c>
      <c r="D86" s="4">
        <v>3</v>
      </c>
      <c r="E86" s="3">
        <v>19.05</v>
      </c>
      <c r="F86" s="5">
        <v>3.9766081638229398</v>
      </c>
      <c r="G86" s="3">
        <v>19.05</v>
      </c>
      <c r="H86" s="3">
        <v>25.4</v>
      </c>
      <c r="I86" s="2">
        <v>6.42124745559393E-2</v>
      </c>
      <c r="J86" s="5">
        <v>325.358593002644</v>
      </c>
      <c r="K86" s="5">
        <v>0.17</v>
      </c>
      <c r="L86" s="6">
        <f t="shared" si="5"/>
        <v>1.6267929650132199E-3</v>
      </c>
      <c r="P86" s="5">
        <f t="shared" si="6"/>
        <v>0.17443364960621688</v>
      </c>
      <c r="Q86" s="5">
        <f t="shared" si="7"/>
        <v>1.0260802918012757</v>
      </c>
      <c r="S86" s="5">
        <f t="shared" si="8"/>
        <v>0.1687548088614364</v>
      </c>
      <c r="T86" s="5">
        <f t="shared" si="9"/>
        <v>0.99267534624374343</v>
      </c>
      <c r="V86" s="5"/>
      <c r="W86" s="5"/>
    </row>
    <row r="87" spans="1:23" x14ac:dyDescent="0.25">
      <c r="B87" s="3">
        <v>12.7</v>
      </c>
      <c r="C87" s="4">
        <v>434</v>
      </c>
      <c r="D87" s="4">
        <v>3</v>
      </c>
      <c r="E87" s="3">
        <v>19.05</v>
      </c>
      <c r="F87" s="5">
        <v>3.9766081638229398</v>
      </c>
      <c r="G87" s="3">
        <v>19.05</v>
      </c>
      <c r="H87" s="3">
        <v>25.4</v>
      </c>
      <c r="I87" s="2">
        <v>6.42124745559393E-2</v>
      </c>
      <c r="J87" s="5">
        <v>399.75446610231899</v>
      </c>
      <c r="K87" s="5">
        <v>0.2</v>
      </c>
      <c r="L87" s="6">
        <f t="shared" si="5"/>
        <v>1.9987723305115949E-3</v>
      </c>
      <c r="P87" s="5">
        <f t="shared" si="6"/>
        <v>0.20728767557158795</v>
      </c>
      <c r="Q87" s="5">
        <f t="shared" si="7"/>
        <v>1.0364383778579396</v>
      </c>
      <c r="S87" s="5">
        <f t="shared" si="8"/>
        <v>0.20120106176490776</v>
      </c>
      <c r="T87" s="5">
        <f t="shared" si="9"/>
        <v>1.0060053088245386</v>
      </c>
      <c r="V87" s="5"/>
      <c r="W87" s="5"/>
    </row>
    <row r="88" spans="1:23" x14ac:dyDescent="0.25">
      <c r="A88" s="1" t="s">
        <v>41</v>
      </c>
      <c r="B88" s="3">
        <v>15.9</v>
      </c>
      <c r="C88" s="4">
        <v>540</v>
      </c>
      <c r="D88" s="4">
        <v>3</v>
      </c>
      <c r="E88" s="3">
        <v>15.9</v>
      </c>
      <c r="F88" s="5">
        <v>3.9766081638229398</v>
      </c>
      <c r="G88" s="3">
        <v>17.46</v>
      </c>
      <c r="H88" s="3">
        <v>25.4</v>
      </c>
      <c r="I88" s="2">
        <v>0.10835067563565499</v>
      </c>
      <c r="J88" s="5">
        <v>266.87807376029701</v>
      </c>
      <c r="K88" s="5">
        <v>0.16</v>
      </c>
      <c r="L88" s="6">
        <f t="shared" si="5"/>
        <v>1.334390368801485E-3</v>
      </c>
      <c r="P88" s="5">
        <f t="shared" si="6"/>
        <v>0.14598075680584208</v>
      </c>
      <c r="Q88" s="5">
        <f t="shared" si="7"/>
        <v>0.91237973003651296</v>
      </c>
      <c r="S88" s="5">
        <f t="shared" si="8"/>
        <v>0.14818587249707416</v>
      </c>
      <c r="T88" s="5">
        <f t="shared" si="9"/>
        <v>0.92616170310671342</v>
      </c>
      <c r="V88" s="5"/>
      <c r="W88" s="5"/>
    </row>
    <row r="89" spans="1:23" x14ac:dyDescent="0.25">
      <c r="B89" s="3">
        <v>15.9</v>
      </c>
      <c r="C89" s="4">
        <v>540</v>
      </c>
      <c r="D89" s="4">
        <v>3</v>
      </c>
      <c r="E89" s="3">
        <v>15.9</v>
      </c>
      <c r="F89" s="5">
        <v>3.9766081638229398</v>
      </c>
      <c r="G89" s="3">
        <v>17.46</v>
      </c>
      <c r="H89" s="3">
        <v>25.4</v>
      </c>
      <c r="I89" s="2">
        <v>0.10835067563565499</v>
      </c>
      <c r="J89" s="5">
        <v>368.25371250744303</v>
      </c>
      <c r="K89" s="5">
        <v>0.21</v>
      </c>
      <c r="L89" s="6">
        <f t="shared" si="5"/>
        <v>1.8412685625372152E-3</v>
      </c>
      <c r="P89" s="5">
        <f t="shared" si="6"/>
        <v>0.19119507606143155</v>
      </c>
      <c r="Q89" s="5">
        <f t="shared" si="7"/>
        <v>0.91045274314967406</v>
      </c>
      <c r="S89" s="5">
        <f t="shared" si="8"/>
        <v>0.19508561274832847</v>
      </c>
      <c r="T89" s="5">
        <f t="shared" si="9"/>
        <v>0.92897910832537367</v>
      </c>
      <c r="V89" s="5"/>
      <c r="W89" s="5"/>
    </row>
    <row r="90" spans="1:23" x14ac:dyDescent="0.25">
      <c r="A90" s="1" t="s">
        <v>42</v>
      </c>
      <c r="B90" s="3">
        <v>16</v>
      </c>
      <c r="C90" s="4">
        <v>500</v>
      </c>
      <c r="D90" s="4">
        <v>2</v>
      </c>
      <c r="E90" s="3">
        <v>138</v>
      </c>
      <c r="F90" s="5">
        <v>3.2690000000000001</v>
      </c>
      <c r="G90" s="3">
        <v>40</v>
      </c>
      <c r="H90" s="3">
        <v>48</v>
      </c>
      <c r="I90" s="2">
        <v>1.7479097888417901E-2</v>
      </c>
      <c r="J90" s="5">
        <v>58.493281029359601</v>
      </c>
      <c r="K90" s="5">
        <v>0.15</v>
      </c>
      <c r="L90" s="6">
        <f t="shared" si="5"/>
        <v>2.9246640514679802E-4</v>
      </c>
      <c r="P90" s="5">
        <f t="shared" si="6"/>
        <v>0.10157243909996462</v>
      </c>
      <c r="Q90" s="5">
        <f t="shared" si="7"/>
        <v>0.67714959399976415</v>
      </c>
      <c r="S90" s="5">
        <f t="shared" si="8"/>
        <v>9.8535618139367842E-2</v>
      </c>
      <c r="T90" s="5">
        <f t="shared" si="9"/>
        <v>0.65690412092911898</v>
      </c>
      <c r="V90" s="5"/>
      <c r="W90" s="5"/>
    </row>
    <row r="91" spans="1:23" x14ac:dyDescent="0.25">
      <c r="B91" s="3">
        <v>16</v>
      </c>
      <c r="C91" s="4">
        <v>500</v>
      </c>
      <c r="D91" s="4">
        <v>2</v>
      </c>
      <c r="E91" s="3">
        <v>138</v>
      </c>
      <c r="F91" s="5">
        <v>3.2690000000000001</v>
      </c>
      <c r="G91" s="3">
        <v>40</v>
      </c>
      <c r="H91" s="3">
        <v>48</v>
      </c>
      <c r="I91" s="2">
        <v>1.7479097888417901E-2</v>
      </c>
      <c r="J91" s="5">
        <v>94.658333977830907</v>
      </c>
      <c r="K91" s="5">
        <v>0.2</v>
      </c>
      <c r="L91" s="6">
        <f t="shared" si="5"/>
        <v>4.7329166988915454E-4</v>
      </c>
      <c r="P91" s="5">
        <f t="shared" si="6"/>
        <v>0.15204151544276978</v>
      </c>
      <c r="Q91" s="5">
        <f t="shared" si="7"/>
        <v>0.76020757721384891</v>
      </c>
      <c r="S91" s="5">
        <f t="shared" si="8"/>
        <v>0.14863613355841723</v>
      </c>
      <c r="T91" s="5">
        <f t="shared" si="9"/>
        <v>0.74318066779208614</v>
      </c>
      <c r="V91" s="5"/>
      <c r="W91" s="5"/>
    </row>
    <row r="92" spans="1:23" x14ac:dyDescent="0.25">
      <c r="B92" s="3">
        <v>16</v>
      </c>
      <c r="C92" s="4">
        <v>500</v>
      </c>
      <c r="D92" s="4">
        <v>2</v>
      </c>
      <c r="E92" s="3">
        <v>138</v>
      </c>
      <c r="F92" s="5">
        <v>3.2690000000000001</v>
      </c>
      <c r="G92" s="3">
        <v>40</v>
      </c>
      <c r="H92" s="3">
        <v>48</v>
      </c>
      <c r="I92" s="2">
        <v>1.7479097888417901E-2</v>
      </c>
      <c r="J92" s="5">
        <v>132.93604011724199</v>
      </c>
      <c r="K92" s="5">
        <v>0.25</v>
      </c>
      <c r="L92" s="6">
        <f t="shared" si="5"/>
        <v>6.6468020058620993E-4</v>
      </c>
      <c r="P92" s="5">
        <f t="shared" si="6"/>
        <v>0.20209412214753902</v>
      </c>
      <c r="Q92" s="5">
        <f t="shared" si="7"/>
        <v>0.80837648859015609</v>
      </c>
      <c r="S92" s="5">
        <f t="shared" si="8"/>
        <v>0.19864408349161292</v>
      </c>
      <c r="T92" s="5">
        <f t="shared" si="9"/>
        <v>0.79457633396645166</v>
      </c>
      <c r="V92" s="5"/>
      <c r="W92" s="5"/>
    </row>
    <row r="93" spans="1:23" x14ac:dyDescent="0.25">
      <c r="B93" s="3">
        <v>16</v>
      </c>
      <c r="C93" s="4">
        <v>500</v>
      </c>
      <c r="D93" s="4">
        <v>2</v>
      </c>
      <c r="E93" s="3">
        <v>138</v>
      </c>
      <c r="F93" s="5">
        <v>3.2690000000000001</v>
      </c>
      <c r="G93" s="3">
        <v>40</v>
      </c>
      <c r="H93" s="3">
        <v>48</v>
      </c>
      <c r="I93" s="2">
        <v>1.7479097888417901E-2</v>
      </c>
      <c r="J93" s="5">
        <v>171.14820223929101</v>
      </c>
      <c r="K93" s="5">
        <v>0.28000000000000003</v>
      </c>
      <c r="L93" s="6">
        <f t="shared" si="5"/>
        <v>8.5574101119645504E-4</v>
      </c>
      <c r="P93" s="5">
        <f t="shared" si="6"/>
        <v>0.24975091629848697</v>
      </c>
      <c r="Q93" s="5">
        <f t="shared" si="7"/>
        <v>0.89196755820888196</v>
      </c>
      <c r="S93" s="5">
        <f t="shared" si="8"/>
        <v>0.2464817199984066</v>
      </c>
      <c r="T93" s="5">
        <f t="shared" si="9"/>
        <v>0.88029185713716629</v>
      </c>
      <c r="V93" s="5"/>
      <c r="W93" s="5"/>
    </row>
    <row r="94" spans="1:23" x14ac:dyDescent="0.25">
      <c r="B94" s="3">
        <v>16</v>
      </c>
      <c r="C94" s="4">
        <v>500</v>
      </c>
      <c r="D94" s="4">
        <v>2</v>
      </c>
      <c r="E94" s="3">
        <v>138</v>
      </c>
      <c r="F94" s="5">
        <v>3.2690000000000001</v>
      </c>
      <c r="G94" s="3">
        <v>40</v>
      </c>
      <c r="H94" s="3">
        <v>48</v>
      </c>
      <c r="I94" s="2">
        <v>1.7479097888417901E-2</v>
      </c>
      <c r="J94" s="5">
        <v>209.360364361341</v>
      </c>
      <c r="K94" s="5">
        <v>0.28000000000000003</v>
      </c>
      <c r="L94" s="6">
        <f t="shared" si="5"/>
        <v>1.0468018218067049E-3</v>
      </c>
      <c r="P94" s="5">
        <f t="shared" si="6"/>
        <v>0.29569952714312536</v>
      </c>
      <c r="Q94" s="5">
        <f t="shared" si="7"/>
        <v>1.0560697397968761</v>
      </c>
      <c r="S94" s="5">
        <f t="shared" si="8"/>
        <v>0.29277137316911911</v>
      </c>
      <c r="T94" s="5">
        <f t="shared" si="9"/>
        <v>1.045612047032568</v>
      </c>
      <c r="V94" s="5"/>
      <c r="W94" s="5"/>
    </row>
    <row r="95" spans="1:23" x14ac:dyDescent="0.25">
      <c r="B95" s="3">
        <v>16</v>
      </c>
      <c r="C95" s="4">
        <v>500</v>
      </c>
      <c r="D95" s="4">
        <v>2</v>
      </c>
      <c r="E95" s="3">
        <v>138</v>
      </c>
      <c r="F95" s="5">
        <v>3.2690000000000001</v>
      </c>
      <c r="G95" s="3">
        <v>40</v>
      </c>
      <c r="H95" s="3">
        <v>48</v>
      </c>
      <c r="I95" s="2">
        <v>1.7479097888417901E-2</v>
      </c>
      <c r="J95" s="5">
        <v>247.63807050075201</v>
      </c>
      <c r="K95" s="5">
        <v>0.3</v>
      </c>
      <c r="L95" s="6">
        <f t="shared" si="5"/>
        <v>1.23819035250376E-3</v>
      </c>
      <c r="P95" s="5">
        <f t="shared" si="6"/>
        <v>0.34037688449491471</v>
      </c>
      <c r="Q95" s="5">
        <f t="shared" si="7"/>
        <v>1.134589614983049</v>
      </c>
      <c r="S95" s="5">
        <f t="shared" si="8"/>
        <v>0.33791292652023647</v>
      </c>
      <c r="T95" s="5">
        <f t="shared" si="9"/>
        <v>1.1263764217341217</v>
      </c>
      <c r="V95" s="5"/>
      <c r="W95" s="5"/>
    </row>
    <row r="96" spans="1:23" x14ac:dyDescent="0.25">
      <c r="B96" s="3">
        <v>16</v>
      </c>
      <c r="C96" s="4">
        <v>500</v>
      </c>
      <c r="D96" s="4">
        <v>2</v>
      </c>
      <c r="E96" s="3">
        <v>138</v>
      </c>
      <c r="F96" s="5">
        <v>3.2690000000000001</v>
      </c>
      <c r="G96" s="3">
        <v>40</v>
      </c>
      <c r="H96" s="3">
        <v>48</v>
      </c>
      <c r="I96" s="2">
        <v>1.7479097888417901E-2</v>
      </c>
      <c r="J96" s="5">
        <v>285.91577664016302</v>
      </c>
      <c r="K96" s="5">
        <v>0.33</v>
      </c>
      <c r="L96" s="6">
        <f t="shared" si="5"/>
        <v>1.4295788832008151E-3</v>
      </c>
      <c r="P96" s="5">
        <f t="shared" si="6"/>
        <v>0.38394464314807925</v>
      </c>
      <c r="Q96" s="5">
        <f t="shared" si="7"/>
        <v>1.1634686156002401</v>
      </c>
      <c r="S96" s="5">
        <f t="shared" si="8"/>
        <v>0.38204286278761862</v>
      </c>
      <c r="T96" s="5">
        <f t="shared" si="9"/>
        <v>1.1577056448109655</v>
      </c>
      <c r="V96" s="5"/>
      <c r="W96" s="5"/>
    </row>
    <row r="97" spans="1:23" x14ac:dyDescent="0.25">
      <c r="B97" s="3">
        <v>16</v>
      </c>
      <c r="C97" s="4">
        <v>500</v>
      </c>
      <c r="D97" s="4">
        <v>2</v>
      </c>
      <c r="E97" s="3">
        <v>138</v>
      </c>
      <c r="F97" s="5">
        <v>3.2690000000000001</v>
      </c>
      <c r="G97" s="3">
        <v>40</v>
      </c>
      <c r="H97" s="3">
        <v>48</v>
      </c>
      <c r="I97" s="2">
        <v>1.7479097888417901E-2</v>
      </c>
      <c r="J97" s="5">
        <v>324.06239474485</v>
      </c>
      <c r="K97" s="5">
        <v>0.33</v>
      </c>
      <c r="L97" s="6">
        <f t="shared" si="5"/>
        <v>1.62031197372425E-3</v>
      </c>
      <c r="P97" s="5">
        <f t="shared" si="6"/>
        <v>0.42643011333933833</v>
      </c>
      <c r="Q97" s="5">
        <f t="shared" si="7"/>
        <v>1.2922124646646616</v>
      </c>
      <c r="S97" s="5">
        <f t="shared" si="8"/>
        <v>0.42516900052016499</v>
      </c>
      <c r="T97" s="5">
        <f t="shared" si="9"/>
        <v>1.2883909106671665</v>
      </c>
      <c r="V97" s="5"/>
      <c r="W97" s="5"/>
    </row>
    <row r="98" spans="1:23" x14ac:dyDescent="0.25">
      <c r="A98" s="1" t="s">
        <v>43</v>
      </c>
      <c r="B98" s="3">
        <v>16</v>
      </c>
      <c r="C98" s="4">
        <v>500</v>
      </c>
      <c r="D98" s="4">
        <v>2</v>
      </c>
      <c r="E98" s="3">
        <v>138</v>
      </c>
      <c r="F98" s="5">
        <v>3.2690000000000001</v>
      </c>
      <c r="G98" s="3">
        <v>40</v>
      </c>
      <c r="H98" s="3">
        <v>48</v>
      </c>
      <c r="I98" s="2">
        <v>1.7479097888417901E-2</v>
      </c>
      <c r="J98" s="5">
        <v>94.658333977830907</v>
      </c>
      <c r="K98" s="5">
        <v>0.15</v>
      </c>
      <c r="L98" s="6">
        <f t="shared" si="5"/>
        <v>4.7329166988915454E-4</v>
      </c>
      <c r="P98" s="5">
        <f t="shared" si="6"/>
        <v>0.15204151544276978</v>
      </c>
      <c r="Q98" s="5">
        <f t="shared" si="7"/>
        <v>1.0136101029517985</v>
      </c>
      <c r="S98" s="5">
        <f t="shared" si="8"/>
        <v>0.14863613355841723</v>
      </c>
      <c r="T98" s="5">
        <f t="shared" si="9"/>
        <v>0.99090755705611488</v>
      </c>
      <c r="V98" s="5"/>
      <c r="W98" s="5"/>
    </row>
    <row r="99" spans="1:23" x14ac:dyDescent="0.25">
      <c r="B99" s="3">
        <v>16</v>
      </c>
      <c r="C99" s="4">
        <v>500</v>
      </c>
      <c r="D99" s="4">
        <v>2</v>
      </c>
      <c r="E99" s="3">
        <v>138</v>
      </c>
      <c r="F99" s="5">
        <v>3.2690000000000001</v>
      </c>
      <c r="G99" s="3">
        <v>40</v>
      </c>
      <c r="H99" s="3">
        <v>48</v>
      </c>
      <c r="I99" s="2">
        <v>1.7479097888417901E-2</v>
      </c>
      <c r="J99" s="5">
        <v>132.93604011724199</v>
      </c>
      <c r="K99" s="5">
        <v>0.18</v>
      </c>
      <c r="L99" s="6">
        <f t="shared" si="5"/>
        <v>6.6468020058620993E-4</v>
      </c>
      <c r="P99" s="5">
        <f t="shared" si="6"/>
        <v>0.20209412214753902</v>
      </c>
      <c r="Q99" s="5">
        <f t="shared" si="7"/>
        <v>1.1227451230418835</v>
      </c>
      <c r="S99" s="5">
        <f t="shared" si="8"/>
        <v>0.19864408349161292</v>
      </c>
      <c r="T99" s="5">
        <f t="shared" si="9"/>
        <v>1.1035782416200719</v>
      </c>
      <c r="V99" s="5"/>
      <c r="W99" s="5"/>
    </row>
    <row r="100" spans="1:23" x14ac:dyDescent="0.25">
      <c r="B100" s="3">
        <v>16</v>
      </c>
      <c r="C100" s="4">
        <v>500</v>
      </c>
      <c r="D100" s="4">
        <v>2</v>
      </c>
      <c r="E100" s="3">
        <v>138</v>
      </c>
      <c r="F100" s="5">
        <v>3.2690000000000001</v>
      </c>
      <c r="G100" s="3">
        <v>40</v>
      </c>
      <c r="H100" s="3">
        <v>48</v>
      </c>
      <c r="I100" s="2">
        <v>1.7479097888417901E-2</v>
      </c>
      <c r="J100" s="5">
        <v>171.14820223929101</v>
      </c>
      <c r="K100" s="5">
        <v>0.2</v>
      </c>
      <c r="L100" s="6">
        <f t="shared" si="5"/>
        <v>8.5574101119645504E-4</v>
      </c>
      <c r="P100" s="5">
        <f t="shared" si="6"/>
        <v>0.24975091629848697</v>
      </c>
      <c r="Q100" s="5">
        <f t="shared" si="7"/>
        <v>1.2487545814924348</v>
      </c>
      <c r="S100" s="5">
        <f t="shared" si="8"/>
        <v>0.2464817199984066</v>
      </c>
      <c r="T100" s="5">
        <f t="shared" si="9"/>
        <v>1.2324085999920329</v>
      </c>
      <c r="V100" s="5"/>
      <c r="W100" s="5"/>
    </row>
    <row r="101" spans="1:23" x14ac:dyDescent="0.25">
      <c r="B101" s="3">
        <v>16</v>
      </c>
      <c r="C101" s="4">
        <v>500</v>
      </c>
      <c r="D101" s="4">
        <v>2</v>
      </c>
      <c r="E101" s="3">
        <v>138</v>
      </c>
      <c r="F101" s="5">
        <v>3.2690000000000001</v>
      </c>
      <c r="G101" s="3">
        <v>40</v>
      </c>
      <c r="H101" s="3">
        <v>48</v>
      </c>
      <c r="I101" s="2">
        <v>1.7479097888417901E-2</v>
      </c>
      <c r="J101" s="5">
        <v>209.360364361341</v>
      </c>
      <c r="K101" s="5">
        <v>0.25</v>
      </c>
      <c r="L101" s="6">
        <f t="shared" si="5"/>
        <v>1.0468018218067049E-3</v>
      </c>
      <c r="P101" s="5">
        <f t="shared" si="6"/>
        <v>0.29569952714312536</v>
      </c>
      <c r="Q101" s="5">
        <f t="shared" si="7"/>
        <v>1.1827981085725014</v>
      </c>
      <c r="S101" s="5">
        <f t="shared" si="8"/>
        <v>0.29277137316911911</v>
      </c>
      <c r="T101" s="5">
        <f t="shared" si="9"/>
        <v>1.1710854926764764</v>
      </c>
      <c r="V101" s="5"/>
      <c r="W101" s="5"/>
    </row>
    <row r="102" spans="1:23" x14ac:dyDescent="0.25">
      <c r="B102" s="3">
        <v>16</v>
      </c>
      <c r="C102" s="4">
        <v>500</v>
      </c>
      <c r="D102" s="4">
        <v>2</v>
      </c>
      <c r="E102" s="3">
        <v>138</v>
      </c>
      <c r="F102" s="5">
        <v>3.2690000000000001</v>
      </c>
      <c r="G102" s="3">
        <v>40</v>
      </c>
      <c r="H102" s="3">
        <v>48</v>
      </c>
      <c r="I102" s="2">
        <v>1.7479097888417901E-2</v>
      </c>
      <c r="J102" s="5">
        <v>247.63807050075201</v>
      </c>
      <c r="K102" s="5">
        <v>0.3</v>
      </c>
      <c r="L102" s="6">
        <f t="shared" si="5"/>
        <v>1.23819035250376E-3</v>
      </c>
      <c r="P102" s="5">
        <f t="shared" si="6"/>
        <v>0.34037688449491471</v>
      </c>
      <c r="Q102" s="5">
        <f t="shared" si="7"/>
        <v>1.134589614983049</v>
      </c>
      <c r="S102" s="5">
        <f t="shared" si="8"/>
        <v>0.33791292652023647</v>
      </c>
      <c r="T102" s="5">
        <f t="shared" si="9"/>
        <v>1.1263764217341217</v>
      </c>
      <c r="V102" s="5"/>
      <c r="W102" s="5"/>
    </row>
    <row r="103" spans="1:23" x14ac:dyDescent="0.25">
      <c r="B103" s="3">
        <v>16</v>
      </c>
      <c r="C103" s="4">
        <v>500</v>
      </c>
      <c r="D103" s="4">
        <v>2</v>
      </c>
      <c r="E103" s="3">
        <v>138</v>
      </c>
      <c r="F103" s="5">
        <v>3.2690000000000001</v>
      </c>
      <c r="G103" s="3">
        <v>40</v>
      </c>
      <c r="H103" s="3">
        <v>48</v>
      </c>
      <c r="I103" s="2">
        <v>1.7479097888417901E-2</v>
      </c>
      <c r="J103" s="5">
        <v>285.91577664016302</v>
      </c>
      <c r="K103" s="5">
        <v>0.33</v>
      </c>
      <c r="L103" s="6">
        <f t="shared" si="5"/>
        <v>1.4295788832008151E-3</v>
      </c>
      <c r="P103" s="5">
        <f t="shared" si="6"/>
        <v>0.38394464314807925</v>
      </c>
      <c r="Q103" s="5">
        <f t="shared" si="7"/>
        <v>1.1634686156002401</v>
      </c>
      <c r="S103" s="5">
        <f t="shared" si="8"/>
        <v>0.38204286278761862</v>
      </c>
      <c r="T103" s="5">
        <f t="shared" si="9"/>
        <v>1.1577056448109655</v>
      </c>
      <c r="V103" s="5"/>
      <c r="W103" s="5"/>
    </row>
    <row r="104" spans="1:23" x14ac:dyDescent="0.25">
      <c r="B104" s="3">
        <v>16</v>
      </c>
      <c r="C104" s="4">
        <v>500</v>
      </c>
      <c r="D104" s="4">
        <v>2</v>
      </c>
      <c r="E104" s="3">
        <v>138</v>
      </c>
      <c r="F104" s="5">
        <v>3.2690000000000001</v>
      </c>
      <c r="G104" s="3">
        <v>40</v>
      </c>
      <c r="H104" s="3">
        <v>48</v>
      </c>
      <c r="I104" s="2">
        <v>1.7479097888417901E-2</v>
      </c>
      <c r="J104" s="5">
        <v>324.06239474485</v>
      </c>
      <c r="K104" s="5">
        <v>0.38</v>
      </c>
      <c r="L104" s="6">
        <f t="shared" si="5"/>
        <v>1.62031197372425E-3</v>
      </c>
      <c r="P104" s="5">
        <f t="shared" si="6"/>
        <v>0.42643011333933833</v>
      </c>
      <c r="Q104" s="5">
        <f t="shared" si="7"/>
        <v>1.1221845087877325</v>
      </c>
      <c r="S104" s="5">
        <f t="shared" si="8"/>
        <v>0.42516900052016499</v>
      </c>
      <c r="T104" s="5">
        <f t="shared" si="9"/>
        <v>1.1188657908425395</v>
      </c>
      <c r="V104" s="5"/>
      <c r="W104" s="5"/>
    </row>
    <row r="105" spans="1:23" x14ac:dyDescent="0.25">
      <c r="A105" s="1" t="s">
        <v>44</v>
      </c>
      <c r="B105" s="3">
        <v>16</v>
      </c>
      <c r="C105" s="4">
        <v>500</v>
      </c>
      <c r="D105" s="4">
        <v>2</v>
      </c>
      <c r="E105" s="3">
        <v>168</v>
      </c>
      <c r="F105" s="5">
        <v>3.2690000000000001</v>
      </c>
      <c r="G105" s="3">
        <v>25</v>
      </c>
      <c r="H105" s="3">
        <v>33</v>
      </c>
      <c r="I105" s="2">
        <v>1.9393939393939401E-2</v>
      </c>
      <c r="J105" s="5">
        <v>104.892491898491</v>
      </c>
      <c r="K105" s="5">
        <v>0.15</v>
      </c>
      <c r="L105" s="6">
        <f t="shared" si="5"/>
        <v>5.24462459492455E-4</v>
      </c>
      <c r="P105" s="5">
        <f t="shared" si="6"/>
        <v>0.15694964457635113</v>
      </c>
      <c r="Q105" s="5">
        <f t="shared" si="7"/>
        <v>1.046330963842341</v>
      </c>
      <c r="S105" s="5">
        <f t="shared" si="8"/>
        <v>0.15309468516342134</v>
      </c>
      <c r="T105" s="5">
        <f t="shared" si="9"/>
        <v>1.020631234422809</v>
      </c>
      <c r="V105" s="5"/>
      <c r="W105" s="5"/>
    </row>
    <row r="106" spans="1:23" x14ac:dyDescent="0.25">
      <c r="B106" s="3">
        <v>16</v>
      </c>
      <c r="C106" s="4">
        <v>500</v>
      </c>
      <c r="D106" s="4">
        <v>2</v>
      </c>
      <c r="E106" s="3">
        <v>168</v>
      </c>
      <c r="F106" s="5">
        <v>3.2690000000000001</v>
      </c>
      <c r="G106" s="3">
        <v>25</v>
      </c>
      <c r="H106" s="3">
        <v>33</v>
      </c>
      <c r="I106" s="2">
        <v>1.9393939393939401E-2</v>
      </c>
      <c r="J106" s="5">
        <v>142.14038991546801</v>
      </c>
      <c r="K106" s="5">
        <v>0.18</v>
      </c>
      <c r="L106" s="6">
        <f t="shared" si="5"/>
        <v>7.1070194957734004E-4</v>
      </c>
      <c r="P106" s="5">
        <f t="shared" si="6"/>
        <v>0.20246678838149773</v>
      </c>
      <c r="Q106" s="5">
        <f t="shared" si="7"/>
        <v>1.1248154910083208</v>
      </c>
      <c r="S106" s="5">
        <f t="shared" si="8"/>
        <v>0.19845641461837485</v>
      </c>
      <c r="T106" s="5">
        <f t="shared" si="9"/>
        <v>1.1025356367687491</v>
      </c>
      <c r="V106" s="5"/>
      <c r="W106" s="5"/>
    </row>
    <row r="107" spans="1:23" x14ac:dyDescent="0.25">
      <c r="B107" s="3">
        <v>16</v>
      </c>
      <c r="C107" s="4">
        <v>500</v>
      </c>
      <c r="D107" s="4">
        <v>2</v>
      </c>
      <c r="E107" s="3">
        <v>168</v>
      </c>
      <c r="F107" s="5">
        <v>3.2690000000000001</v>
      </c>
      <c r="G107" s="3">
        <v>25</v>
      </c>
      <c r="H107" s="3">
        <v>33</v>
      </c>
      <c r="I107" s="2">
        <v>1.9393939393939401E-2</v>
      </c>
      <c r="J107" s="5">
        <v>179.32450728515499</v>
      </c>
      <c r="K107" s="5">
        <v>0.2</v>
      </c>
      <c r="L107" s="6">
        <f t="shared" si="5"/>
        <v>8.9662253642577492E-4</v>
      </c>
      <c r="P107" s="5">
        <f t="shared" si="6"/>
        <v>0.24599515324195526</v>
      </c>
      <c r="Q107" s="5">
        <f t="shared" si="7"/>
        <v>1.2299757662097761</v>
      </c>
      <c r="S107" s="5">
        <f t="shared" si="8"/>
        <v>0.24202077748671241</v>
      </c>
      <c r="T107" s="5">
        <f t="shared" si="9"/>
        <v>1.2101038874335619</v>
      </c>
      <c r="V107" s="5"/>
      <c r="W107" s="5"/>
    </row>
    <row r="108" spans="1:23" x14ac:dyDescent="0.25">
      <c r="B108" s="3">
        <v>16</v>
      </c>
      <c r="C108" s="4">
        <v>500</v>
      </c>
      <c r="D108" s="4">
        <v>2</v>
      </c>
      <c r="E108" s="3">
        <v>168</v>
      </c>
      <c r="F108" s="5">
        <v>3.2690000000000001</v>
      </c>
      <c r="G108" s="3">
        <v>25</v>
      </c>
      <c r="H108" s="3">
        <v>33</v>
      </c>
      <c r="I108" s="2">
        <v>1.9393939393939401E-2</v>
      </c>
      <c r="J108" s="5">
        <v>216.50862465484201</v>
      </c>
      <c r="K108" s="5">
        <v>0.23</v>
      </c>
      <c r="L108" s="6">
        <f t="shared" si="5"/>
        <v>1.0825431232742101E-3</v>
      </c>
      <c r="P108" s="5">
        <f t="shared" si="6"/>
        <v>0.28807445273424398</v>
      </c>
      <c r="Q108" s="5">
        <f t="shared" si="7"/>
        <v>1.2524976205836693</v>
      </c>
      <c r="S108" s="5">
        <f t="shared" si="8"/>
        <v>0.28427601295954302</v>
      </c>
      <c r="T108" s="5">
        <f t="shared" si="9"/>
        <v>1.2359826650414913</v>
      </c>
      <c r="V108" s="5"/>
      <c r="W108" s="5"/>
    </row>
    <row r="109" spans="1:23" x14ac:dyDescent="0.25">
      <c r="B109" s="3">
        <v>16</v>
      </c>
      <c r="C109" s="4">
        <v>500</v>
      </c>
      <c r="D109" s="4">
        <v>2</v>
      </c>
      <c r="E109" s="3">
        <v>168</v>
      </c>
      <c r="F109" s="5">
        <v>3.2690000000000001</v>
      </c>
      <c r="G109" s="3">
        <v>25</v>
      </c>
      <c r="H109" s="3">
        <v>33</v>
      </c>
      <c r="I109" s="2">
        <v>1.9393939393939401E-2</v>
      </c>
      <c r="J109" s="5">
        <v>253.756522671818</v>
      </c>
      <c r="K109" s="5">
        <v>0.25</v>
      </c>
      <c r="L109" s="6">
        <f t="shared" si="5"/>
        <v>1.2687826133590901E-3</v>
      </c>
      <c r="P109" s="5">
        <f t="shared" si="6"/>
        <v>0.3290623178962222</v>
      </c>
      <c r="Q109" s="5">
        <f t="shared" si="7"/>
        <v>1.3162492715848888</v>
      </c>
      <c r="S109" s="5">
        <f t="shared" si="8"/>
        <v>0.32554924684736386</v>
      </c>
      <c r="T109" s="5">
        <f t="shared" si="9"/>
        <v>1.3021969873894554</v>
      </c>
      <c r="V109" s="5"/>
      <c r="W109" s="5"/>
    </row>
    <row r="110" spans="1:23" x14ac:dyDescent="0.25">
      <c r="B110" s="3">
        <v>16</v>
      </c>
      <c r="C110" s="4">
        <v>500</v>
      </c>
      <c r="D110" s="4">
        <v>2</v>
      </c>
      <c r="E110" s="3">
        <v>168</v>
      </c>
      <c r="F110" s="5">
        <v>3.2690000000000001</v>
      </c>
      <c r="G110" s="3">
        <v>25</v>
      </c>
      <c r="H110" s="3">
        <v>33</v>
      </c>
      <c r="I110" s="2">
        <v>1.9393939393939401E-2</v>
      </c>
      <c r="J110" s="5">
        <v>291.00442068879403</v>
      </c>
      <c r="K110" s="5">
        <v>0.3</v>
      </c>
      <c r="L110" s="6">
        <f t="shared" si="5"/>
        <v>1.4550221034439702E-3</v>
      </c>
      <c r="P110" s="5">
        <f t="shared" si="6"/>
        <v>0.36908328753319997</v>
      </c>
      <c r="Q110" s="5">
        <f t="shared" si="7"/>
        <v>1.2302776251106666</v>
      </c>
      <c r="S110" s="5">
        <f t="shared" si="8"/>
        <v>0.36594400829307372</v>
      </c>
      <c r="T110" s="5">
        <f t="shared" si="9"/>
        <v>1.2198133609769124</v>
      </c>
      <c r="V110" s="5"/>
      <c r="W110" s="5"/>
    </row>
    <row r="111" spans="1:23" x14ac:dyDescent="0.25">
      <c r="B111" s="3">
        <v>16</v>
      </c>
      <c r="C111" s="4">
        <v>500</v>
      </c>
      <c r="D111" s="4">
        <v>2</v>
      </c>
      <c r="E111" s="3">
        <v>168</v>
      </c>
      <c r="F111" s="5">
        <v>3.2690000000000001</v>
      </c>
      <c r="G111" s="3">
        <v>25</v>
      </c>
      <c r="H111" s="3">
        <v>33</v>
      </c>
      <c r="I111" s="2">
        <v>1.9393939393939401E-2</v>
      </c>
      <c r="J111" s="5">
        <v>328.12475741119198</v>
      </c>
      <c r="K111" s="5">
        <v>0.3</v>
      </c>
      <c r="L111" s="6">
        <f t="shared" si="5"/>
        <v>1.6406237870559598E-3</v>
      </c>
      <c r="P111" s="5">
        <f t="shared" si="6"/>
        <v>0.40814756383327611</v>
      </c>
      <c r="Q111" s="5">
        <f t="shared" si="7"/>
        <v>1.3604918794442538</v>
      </c>
      <c r="S111" s="5">
        <f t="shared" si="8"/>
        <v>0.40545410297407036</v>
      </c>
      <c r="T111" s="5">
        <f t="shared" si="9"/>
        <v>1.3515136765802347</v>
      </c>
      <c r="V111" s="5"/>
      <c r="W111" s="5"/>
    </row>
    <row r="112" spans="1:23" x14ac:dyDescent="0.25">
      <c r="A112" s="1" t="s">
        <v>45</v>
      </c>
      <c r="B112" s="3">
        <v>16</v>
      </c>
      <c r="C112" s="4">
        <v>500</v>
      </c>
      <c r="D112" s="4">
        <v>2</v>
      </c>
      <c r="E112" s="3">
        <v>168</v>
      </c>
      <c r="F112" s="5">
        <v>3.2690000000000001</v>
      </c>
      <c r="G112" s="3">
        <v>25</v>
      </c>
      <c r="H112" s="3">
        <v>33</v>
      </c>
      <c r="I112" s="2">
        <v>1.9393939393939401E-2</v>
      </c>
      <c r="J112" s="5">
        <v>69.572622681268598</v>
      </c>
      <c r="K112" s="5">
        <v>0.15</v>
      </c>
      <c r="L112" s="6">
        <f t="shared" si="5"/>
        <v>3.4786311340634298E-4</v>
      </c>
      <c r="P112" s="5">
        <f t="shared" si="6"/>
        <v>0.11126021257443756</v>
      </c>
      <c r="Q112" s="5">
        <f t="shared" si="7"/>
        <v>0.74173475049625048</v>
      </c>
      <c r="S112" s="5">
        <f t="shared" si="8"/>
        <v>0.10781688156167414</v>
      </c>
      <c r="T112" s="5">
        <f t="shared" si="9"/>
        <v>0.718779210411161</v>
      </c>
      <c r="V112" s="5"/>
      <c r="W112" s="5"/>
    </row>
    <row r="113" spans="1:23" x14ac:dyDescent="0.25">
      <c r="B113" s="3">
        <v>16</v>
      </c>
      <c r="C113" s="4">
        <v>500</v>
      </c>
      <c r="D113" s="4">
        <v>2</v>
      </c>
      <c r="E113" s="3">
        <v>168</v>
      </c>
      <c r="F113" s="5">
        <v>3.2690000000000001</v>
      </c>
      <c r="G113" s="3">
        <v>25</v>
      </c>
      <c r="H113" s="3">
        <v>33</v>
      </c>
      <c r="I113" s="2">
        <v>1.9393939393939401E-2</v>
      </c>
      <c r="J113" s="5">
        <v>104.892491898491</v>
      </c>
      <c r="K113" s="5">
        <v>0.18</v>
      </c>
      <c r="L113" s="6">
        <f t="shared" si="5"/>
        <v>5.24462459492455E-4</v>
      </c>
      <c r="P113" s="5">
        <f t="shared" si="6"/>
        <v>0.15694964457635113</v>
      </c>
      <c r="Q113" s="5">
        <f t="shared" si="7"/>
        <v>0.87194246986861745</v>
      </c>
      <c r="S113" s="5">
        <f t="shared" si="8"/>
        <v>0.15309468516342134</v>
      </c>
      <c r="T113" s="5">
        <f t="shared" si="9"/>
        <v>0.85052602868567417</v>
      </c>
      <c r="V113" s="5"/>
      <c r="W113" s="5"/>
    </row>
    <row r="114" spans="1:23" x14ac:dyDescent="0.25">
      <c r="B114" s="3">
        <v>16</v>
      </c>
      <c r="C114" s="4">
        <v>500</v>
      </c>
      <c r="D114" s="4">
        <v>2</v>
      </c>
      <c r="E114" s="3">
        <v>168</v>
      </c>
      <c r="F114" s="5">
        <v>3.2690000000000001</v>
      </c>
      <c r="G114" s="3">
        <v>25</v>
      </c>
      <c r="H114" s="3">
        <v>33</v>
      </c>
      <c r="I114" s="2">
        <v>1.9393939393939401E-2</v>
      </c>
      <c r="J114" s="5">
        <v>142.14038991546801</v>
      </c>
      <c r="K114" s="5">
        <v>0.18</v>
      </c>
      <c r="L114" s="6">
        <f t="shared" si="5"/>
        <v>7.1070194957734004E-4</v>
      </c>
      <c r="P114" s="5">
        <f t="shared" si="6"/>
        <v>0.20246678838149773</v>
      </c>
      <c r="Q114" s="5">
        <f t="shared" si="7"/>
        <v>1.1248154910083208</v>
      </c>
      <c r="S114" s="5">
        <f t="shared" si="8"/>
        <v>0.19845641461837485</v>
      </c>
      <c r="T114" s="5">
        <f t="shared" si="9"/>
        <v>1.1025356367687491</v>
      </c>
      <c r="V114" s="5"/>
      <c r="W114" s="5"/>
    </row>
    <row r="115" spans="1:23" x14ac:dyDescent="0.25">
      <c r="B115" s="3">
        <v>16</v>
      </c>
      <c r="C115" s="4">
        <v>500</v>
      </c>
      <c r="D115" s="4">
        <v>2</v>
      </c>
      <c r="E115" s="3">
        <v>168</v>
      </c>
      <c r="F115" s="5">
        <v>3.2690000000000001</v>
      </c>
      <c r="G115" s="3">
        <v>25</v>
      </c>
      <c r="H115" s="3">
        <v>33</v>
      </c>
      <c r="I115" s="2">
        <v>1.9393939393939401E-2</v>
      </c>
      <c r="J115" s="5">
        <v>179.32450728515499</v>
      </c>
      <c r="K115" s="5">
        <v>0.25</v>
      </c>
      <c r="L115" s="6">
        <f t="shared" si="5"/>
        <v>8.9662253642577492E-4</v>
      </c>
      <c r="P115" s="5">
        <f t="shared" si="6"/>
        <v>0.24599515324195526</v>
      </c>
      <c r="Q115" s="5">
        <f t="shared" si="7"/>
        <v>0.98398061296782102</v>
      </c>
      <c r="S115" s="5">
        <f t="shared" si="8"/>
        <v>0.24202077748671241</v>
      </c>
      <c r="T115" s="5">
        <f t="shared" si="9"/>
        <v>0.96808310994684965</v>
      </c>
      <c r="V115" s="5"/>
      <c r="W115" s="5"/>
    </row>
    <row r="116" spans="1:23" x14ac:dyDescent="0.25">
      <c r="B116" s="3">
        <v>16</v>
      </c>
      <c r="C116" s="4">
        <v>500</v>
      </c>
      <c r="D116" s="4">
        <v>2</v>
      </c>
      <c r="E116" s="3">
        <v>168</v>
      </c>
      <c r="F116" s="5">
        <v>3.2690000000000001</v>
      </c>
      <c r="G116" s="3">
        <v>25</v>
      </c>
      <c r="H116" s="3">
        <v>33</v>
      </c>
      <c r="I116" s="2">
        <v>1.9393939393939401E-2</v>
      </c>
      <c r="J116" s="5">
        <v>216.50862465484201</v>
      </c>
      <c r="K116" s="5">
        <v>0.28000000000000003</v>
      </c>
      <c r="L116" s="6">
        <f t="shared" si="5"/>
        <v>1.0825431232742101E-3</v>
      </c>
      <c r="P116" s="5">
        <f t="shared" si="6"/>
        <v>0.28807445273424398</v>
      </c>
      <c r="Q116" s="5">
        <f t="shared" si="7"/>
        <v>1.0288373311937284</v>
      </c>
      <c r="S116" s="5">
        <f t="shared" si="8"/>
        <v>0.28427601295954302</v>
      </c>
      <c r="T116" s="5">
        <f t="shared" si="9"/>
        <v>1.0152714748555107</v>
      </c>
      <c r="V116" s="5"/>
      <c r="W116" s="5"/>
    </row>
    <row r="117" spans="1:23" x14ac:dyDescent="0.25">
      <c r="B117" s="3">
        <v>16</v>
      </c>
      <c r="C117" s="4">
        <v>500</v>
      </c>
      <c r="D117" s="4">
        <v>2</v>
      </c>
      <c r="E117" s="3">
        <v>168</v>
      </c>
      <c r="F117" s="5">
        <v>3.2690000000000001</v>
      </c>
      <c r="G117" s="3">
        <v>25</v>
      </c>
      <c r="H117" s="3">
        <v>33</v>
      </c>
      <c r="I117" s="2">
        <v>1.9393939393939401E-2</v>
      </c>
      <c r="J117" s="5">
        <v>253.756522671818</v>
      </c>
      <c r="K117" s="5">
        <v>0.33</v>
      </c>
      <c r="L117" s="6">
        <f t="shared" si="5"/>
        <v>1.2687826133590901E-3</v>
      </c>
      <c r="P117" s="5">
        <f t="shared" si="6"/>
        <v>0.3290623178962222</v>
      </c>
      <c r="Q117" s="5">
        <f t="shared" si="7"/>
        <v>0.99715853907946117</v>
      </c>
      <c r="S117" s="5">
        <f t="shared" si="8"/>
        <v>0.32554924684736386</v>
      </c>
      <c r="T117" s="5">
        <f t="shared" si="9"/>
        <v>0.98651286923443593</v>
      </c>
      <c r="V117" s="5"/>
      <c r="W117" s="5"/>
    </row>
    <row r="118" spans="1:23" x14ac:dyDescent="0.25">
      <c r="B118" s="3">
        <v>16</v>
      </c>
      <c r="C118" s="4">
        <v>500</v>
      </c>
      <c r="D118" s="4">
        <v>2</v>
      </c>
      <c r="E118" s="3">
        <v>168</v>
      </c>
      <c r="F118" s="5">
        <v>3.2690000000000001</v>
      </c>
      <c r="G118" s="3">
        <v>25</v>
      </c>
      <c r="H118" s="3">
        <v>33</v>
      </c>
      <c r="I118" s="2">
        <v>1.9393939393939401E-2</v>
      </c>
      <c r="J118" s="5">
        <v>291.00442068879403</v>
      </c>
      <c r="K118" s="5">
        <v>0.38</v>
      </c>
      <c r="L118" s="6">
        <f t="shared" si="5"/>
        <v>1.4550221034439702E-3</v>
      </c>
      <c r="P118" s="5">
        <f t="shared" si="6"/>
        <v>0.36908328753319997</v>
      </c>
      <c r="Q118" s="5">
        <f t="shared" si="7"/>
        <v>0.97127180929789458</v>
      </c>
      <c r="S118" s="5">
        <f t="shared" si="8"/>
        <v>0.36594400829307372</v>
      </c>
      <c r="T118" s="5">
        <f t="shared" si="9"/>
        <v>0.96301054813966769</v>
      </c>
      <c r="V118" s="5"/>
      <c r="W118" s="5"/>
    </row>
    <row r="119" spans="1:23" x14ac:dyDescent="0.25">
      <c r="B119" s="3">
        <v>16</v>
      </c>
      <c r="C119" s="4">
        <v>500</v>
      </c>
      <c r="D119" s="4">
        <v>2</v>
      </c>
      <c r="E119" s="3">
        <v>168</v>
      </c>
      <c r="F119" s="5">
        <v>3.2690000000000001</v>
      </c>
      <c r="G119" s="3">
        <v>25</v>
      </c>
      <c r="H119" s="3">
        <v>33</v>
      </c>
      <c r="I119" s="2">
        <v>1.9393939393939401E-2</v>
      </c>
      <c r="J119" s="5">
        <v>328.12475741119198</v>
      </c>
      <c r="K119" s="5">
        <v>0.43</v>
      </c>
      <c r="L119" s="6">
        <f t="shared" si="5"/>
        <v>1.6406237870559598E-3</v>
      </c>
      <c r="P119" s="5">
        <f t="shared" si="6"/>
        <v>0.40814756383327611</v>
      </c>
      <c r="Q119" s="5">
        <f t="shared" si="7"/>
        <v>0.94918038100761881</v>
      </c>
      <c r="S119" s="5">
        <f t="shared" si="8"/>
        <v>0.40545410297407036</v>
      </c>
      <c r="T119" s="5">
        <f t="shared" si="9"/>
        <v>0.94291651854434966</v>
      </c>
      <c r="V119" s="5"/>
      <c r="W119" s="5"/>
    </row>
    <row r="120" spans="1:23" x14ac:dyDescent="0.25">
      <c r="A120" s="1" t="s">
        <v>46</v>
      </c>
      <c r="B120" s="3">
        <v>16</v>
      </c>
      <c r="C120" s="4">
        <v>500</v>
      </c>
      <c r="D120" s="4">
        <v>3</v>
      </c>
      <c r="E120" s="3">
        <v>76</v>
      </c>
      <c r="F120" s="5">
        <v>3.2690000000000001</v>
      </c>
      <c r="G120" s="3">
        <v>25</v>
      </c>
      <c r="H120" s="3">
        <v>33</v>
      </c>
      <c r="I120" s="2">
        <v>2.9281922513849101E-2</v>
      </c>
      <c r="J120" s="5">
        <v>164.137600096932</v>
      </c>
      <c r="K120" s="5">
        <v>0.15</v>
      </c>
      <c r="L120" s="6">
        <f t="shared" si="5"/>
        <v>8.2068800048466003E-4</v>
      </c>
      <c r="P120" s="5">
        <f t="shared" si="6"/>
        <v>0.18649999595344482</v>
      </c>
      <c r="Q120" s="5">
        <f t="shared" si="7"/>
        <v>1.2433333063562988</v>
      </c>
      <c r="S120" s="5">
        <f t="shared" si="8"/>
        <v>0.17967672586879346</v>
      </c>
      <c r="T120" s="5">
        <f t="shared" si="9"/>
        <v>1.1978448391252898</v>
      </c>
      <c r="V120" s="5"/>
      <c r="W120" s="5"/>
    </row>
    <row r="121" spans="1:23" x14ac:dyDescent="0.25">
      <c r="B121" s="3">
        <v>16</v>
      </c>
      <c r="C121" s="4">
        <v>500</v>
      </c>
      <c r="D121" s="4">
        <v>3</v>
      </c>
      <c r="E121" s="3">
        <v>76</v>
      </c>
      <c r="F121" s="5">
        <v>3.2690000000000001</v>
      </c>
      <c r="G121" s="3">
        <v>25</v>
      </c>
      <c r="H121" s="3">
        <v>33</v>
      </c>
      <c r="I121" s="2">
        <v>2.9281922513849101E-2</v>
      </c>
      <c r="J121" s="5">
        <v>187.15784074170199</v>
      </c>
      <c r="K121" s="5">
        <v>0.18</v>
      </c>
      <c r="L121" s="6">
        <f t="shared" si="5"/>
        <v>9.3578920370850993E-4</v>
      </c>
      <c r="P121" s="5">
        <f t="shared" si="6"/>
        <v>0.20818276971134511</v>
      </c>
      <c r="Q121" s="5">
        <f t="shared" si="7"/>
        <v>1.1565709428408062</v>
      </c>
      <c r="S121" s="5">
        <f t="shared" si="8"/>
        <v>0.20098783854503929</v>
      </c>
      <c r="T121" s="5">
        <f t="shared" si="9"/>
        <v>1.116599103027996</v>
      </c>
      <c r="V121" s="5"/>
      <c r="W121" s="5"/>
    </row>
    <row r="122" spans="1:23" x14ac:dyDescent="0.25">
      <c r="B122" s="3">
        <v>16</v>
      </c>
      <c r="C122" s="4">
        <v>500</v>
      </c>
      <c r="D122" s="4">
        <v>3</v>
      </c>
      <c r="E122" s="3">
        <v>76</v>
      </c>
      <c r="F122" s="5">
        <v>3.2690000000000001</v>
      </c>
      <c r="G122" s="3">
        <v>25</v>
      </c>
      <c r="H122" s="3">
        <v>33</v>
      </c>
      <c r="I122" s="2">
        <v>2.9281922513849101E-2</v>
      </c>
      <c r="J122" s="5">
        <v>210.25718874264001</v>
      </c>
      <c r="K122" s="5">
        <v>0.18</v>
      </c>
      <c r="L122" s="6">
        <f t="shared" si="5"/>
        <v>1.0512859437132001E-3</v>
      </c>
      <c r="P122" s="5">
        <f t="shared" si="6"/>
        <v>0.2295089739871147</v>
      </c>
      <c r="Q122" s="5">
        <f t="shared" si="7"/>
        <v>1.2750498554839707</v>
      </c>
      <c r="S122" s="5">
        <f t="shared" si="8"/>
        <v>0.22198997089873887</v>
      </c>
      <c r="T122" s="5">
        <f t="shared" si="9"/>
        <v>1.2332776161041048</v>
      </c>
      <c r="V122" s="5"/>
      <c r="W122" s="5"/>
    </row>
    <row r="123" spans="1:23" x14ac:dyDescent="0.25">
      <c r="B123" s="3">
        <v>16</v>
      </c>
      <c r="C123" s="4">
        <v>500</v>
      </c>
      <c r="D123" s="4">
        <v>3</v>
      </c>
      <c r="E123" s="3">
        <v>76</v>
      </c>
      <c r="F123" s="5">
        <v>3.2690000000000001</v>
      </c>
      <c r="G123" s="3">
        <v>25</v>
      </c>
      <c r="H123" s="3">
        <v>33</v>
      </c>
      <c r="I123" s="2">
        <v>2.9281922513849101E-2</v>
      </c>
      <c r="J123" s="5">
        <v>233.356536743578</v>
      </c>
      <c r="K123" s="5">
        <v>0.2</v>
      </c>
      <c r="L123" s="6">
        <f t="shared" si="5"/>
        <v>1.1667826837178899E-3</v>
      </c>
      <c r="P123" s="5">
        <f t="shared" si="6"/>
        <v>0.25045816356013351</v>
      </c>
      <c r="Q123" s="5">
        <f t="shared" si="7"/>
        <v>1.2522908178006675</v>
      </c>
      <c r="S123" s="5">
        <f t="shared" si="8"/>
        <v>0.24265719918101589</v>
      </c>
      <c r="T123" s="5">
        <f t="shared" si="9"/>
        <v>1.2132859959050795</v>
      </c>
      <c r="V123" s="5"/>
      <c r="W123" s="5"/>
    </row>
    <row r="124" spans="1:23" x14ac:dyDescent="0.25">
      <c r="B124" s="3">
        <v>16</v>
      </c>
      <c r="C124" s="4">
        <v>500</v>
      </c>
      <c r="D124" s="4">
        <v>3</v>
      </c>
      <c r="E124" s="3">
        <v>76</v>
      </c>
      <c r="F124" s="5">
        <v>3.2690000000000001</v>
      </c>
      <c r="G124" s="3">
        <v>25</v>
      </c>
      <c r="H124" s="3">
        <v>33</v>
      </c>
      <c r="I124" s="2">
        <v>2.9281922513849101E-2</v>
      </c>
      <c r="J124" s="5">
        <v>256.45588474451603</v>
      </c>
      <c r="K124" s="5">
        <v>0.2</v>
      </c>
      <c r="L124" s="6">
        <f t="shared" si="5"/>
        <v>1.2822794237225801E-3</v>
      </c>
      <c r="P124" s="5">
        <f t="shared" si="6"/>
        <v>0.27107350607933411</v>
      </c>
      <c r="Q124" s="5">
        <f t="shared" si="7"/>
        <v>1.3553675303966706</v>
      </c>
      <c r="S124" s="5">
        <f t="shared" si="8"/>
        <v>0.26302737142530747</v>
      </c>
      <c r="T124" s="5">
        <f t="shared" si="9"/>
        <v>1.3151368571265372</v>
      </c>
      <c r="V124" s="5"/>
      <c r="W124" s="5"/>
    </row>
    <row r="125" spans="1:23" x14ac:dyDescent="0.25">
      <c r="A125" s="1" t="s">
        <v>47</v>
      </c>
      <c r="B125" s="3">
        <v>16</v>
      </c>
      <c r="C125" s="4">
        <v>500</v>
      </c>
      <c r="D125" s="4">
        <v>3</v>
      </c>
      <c r="E125" s="3">
        <v>76</v>
      </c>
      <c r="F125" s="5">
        <v>3.2690000000000001</v>
      </c>
      <c r="G125" s="3">
        <v>25</v>
      </c>
      <c r="H125" s="3">
        <v>33</v>
      </c>
      <c r="I125" s="2">
        <v>2.9281922513849101E-2</v>
      </c>
      <c r="J125" s="5">
        <v>187.15784074170199</v>
      </c>
      <c r="K125" s="5">
        <v>0.15</v>
      </c>
      <c r="L125" s="6">
        <f t="shared" si="5"/>
        <v>9.3578920370850993E-4</v>
      </c>
      <c r="P125" s="5">
        <f t="shared" si="6"/>
        <v>0.20818276971134511</v>
      </c>
      <c r="Q125" s="5">
        <f t="shared" si="7"/>
        <v>1.3878851314089675</v>
      </c>
      <c r="S125" s="5">
        <f t="shared" si="8"/>
        <v>0.20098783854503929</v>
      </c>
      <c r="T125" s="5">
        <f t="shared" si="9"/>
        <v>1.3399189236335953</v>
      </c>
      <c r="V125" s="5"/>
      <c r="W125" s="5"/>
    </row>
    <row r="126" spans="1:23" x14ac:dyDescent="0.25">
      <c r="B126" s="3">
        <v>16</v>
      </c>
      <c r="C126" s="4">
        <v>500</v>
      </c>
      <c r="D126" s="4">
        <v>3</v>
      </c>
      <c r="E126" s="3">
        <v>76</v>
      </c>
      <c r="F126" s="5">
        <v>3.2690000000000001</v>
      </c>
      <c r="G126" s="3">
        <v>25</v>
      </c>
      <c r="H126" s="3">
        <v>33</v>
      </c>
      <c r="I126" s="2">
        <v>2.9281922513849101E-2</v>
      </c>
      <c r="J126" s="5">
        <v>210.25718874264001</v>
      </c>
      <c r="K126" s="5">
        <v>0.18</v>
      </c>
      <c r="L126" s="6">
        <f t="shared" si="5"/>
        <v>1.0512859437132001E-3</v>
      </c>
      <c r="P126" s="5">
        <f t="shared" si="6"/>
        <v>0.2295089739871147</v>
      </c>
      <c r="Q126" s="5">
        <f t="shared" si="7"/>
        <v>1.2750498554839707</v>
      </c>
      <c r="S126" s="5">
        <f t="shared" si="8"/>
        <v>0.22198997089873887</v>
      </c>
      <c r="T126" s="5">
        <f t="shared" si="9"/>
        <v>1.2332776161041048</v>
      </c>
      <c r="V126" s="5"/>
      <c r="W126" s="5"/>
    </row>
    <row r="127" spans="1:23" x14ac:dyDescent="0.25">
      <c r="B127" s="3">
        <v>16</v>
      </c>
      <c r="C127" s="4">
        <v>500</v>
      </c>
      <c r="D127" s="4">
        <v>3</v>
      </c>
      <c r="E127" s="3">
        <v>76</v>
      </c>
      <c r="F127" s="5">
        <v>3.2690000000000001</v>
      </c>
      <c r="G127" s="3">
        <v>25</v>
      </c>
      <c r="H127" s="3">
        <v>33</v>
      </c>
      <c r="I127" s="2">
        <v>2.9281922513849101E-2</v>
      </c>
      <c r="J127" s="5">
        <v>233.356536743578</v>
      </c>
      <c r="K127" s="5">
        <v>0.2</v>
      </c>
      <c r="L127" s="6">
        <f t="shared" si="5"/>
        <v>1.1667826837178899E-3</v>
      </c>
      <c r="P127" s="5">
        <f t="shared" si="6"/>
        <v>0.25045816356013351</v>
      </c>
      <c r="Q127" s="5">
        <f t="shared" si="7"/>
        <v>1.2522908178006675</v>
      </c>
      <c r="S127" s="5">
        <f t="shared" si="8"/>
        <v>0.24265719918101589</v>
      </c>
      <c r="T127" s="5">
        <f t="shared" si="9"/>
        <v>1.2132859959050795</v>
      </c>
      <c r="V127" s="5"/>
      <c r="W127" s="5"/>
    </row>
    <row r="128" spans="1:23" x14ac:dyDescent="0.25">
      <c r="B128" s="3">
        <v>16</v>
      </c>
      <c r="C128" s="4">
        <v>500</v>
      </c>
      <c r="D128" s="4">
        <v>3</v>
      </c>
      <c r="E128" s="3">
        <v>76</v>
      </c>
      <c r="F128" s="5">
        <v>3.2690000000000001</v>
      </c>
      <c r="G128" s="3">
        <v>25</v>
      </c>
      <c r="H128" s="3">
        <v>33</v>
      </c>
      <c r="I128" s="2">
        <v>2.9281922513849101E-2</v>
      </c>
      <c r="J128" s="5">
        <v>256.45588474451603</v>
      </c>
      <c r="K128" s="5">
        <v>0.2</v>
      </c>
      <c r="L128" s="6">
        <f t="shared" si="5"/>
        <v>1.2822794237225801E-3</v>
      </c>
      <c r="P128" s="5">
        <f t="shared" si="6"/>
        <v>0.27107350607933411</v>
      </c>
      <c r="Q128" s="5">
        <f t="shared" si="7"/>
        <v>1.3553675303966706</v>
      </c>
      <c r="S128" s="5">
        <f t="shared" si="8"/>
        <v>0.26302737142530747</v>
      </c>
      <c r="T128" s="5">
        <f t="shared" si="9"/>
        <v>1.3151368571265372</v>
      </c>
      <c r="V128" s="5"/>
      <c r="W128" s="5"/>
    </row>
    <row r="129" spans="1:23" x14ac:dyDescent="0.25">
      <c r="A129" s="1" t="s">
        <v>48</v>
      </c>
      <c r="B129" s="3">
        <v>12</v>
      </c>
      <c r="C129" s="4">
        <v>500</v>
      </c>
      <c r="D129" s="4">
        <v>2</v>
      </c>
      <c r="E129" s="3">
        <v>296</v>
      </c>
      <c r="F129" s="5">
        <v>3.2690000000000001</v>
      </c>
      <c r="G129" s="3">
        <v>25</v>
      </c>
      <c r="H129" s="3">
        <v>31</v>
      </c>
      <c r="I129" s="2">
        <v>1.24772064696725E-2</v>
      </c>
      <c r="J129" s="5">
        <v>4.5208702575442903</v>
      </c>
      <c r="K129" s="5">
        <v>0.2</v>
      </c>
      <c r="L129" s="6">
        <f t="shared" si="5"/>
        <v>2.2604351287721452E-5</v>
      </c>
      <c r="P129" s="5">
        <f t="shared" si="6"/>
        <v>1.0205395340499829E-2</v>
      </c>
      <c r="Q129" s="5">
        <f t="shared" si="7"/>
        <v>5.1026976702499144E-2</v>
      </c>
      <c r="S129" s="5">
        <f t="shared" si="8"/>
        <v>9.6522290282874245E-3</v>
      </c>
      <c r="T129" s="5">
        <f t="shared" si="9"/>
        <v>4.8261145141437117E-2</v>
      </c>
      <c r="V129" s="5"/>
      <c r="W129" s="5"/>
    </row>
    <row r="130" spans="1:23" x14ac:dyDescent="0.25">
      <c r="B130" s="3">
        <v>12</v>
      </c>
      <c r="C130" s="4">
        <v>500</v>
      </c>
      <c r="D130" s="4">
        <v>2</v>
      </c>
      <c r="E130" s="3">
        <v>296</v>
      </c>
      <c r="F130" s="5">
        <v>3.2690000000000001</v>
      </c>
      <c r="G130" s="3">
        <v>25</v>
      </c>
      <c r="H130" s="3">
        <v>31</v>
      </c>
      <c r="I130" s="2">
        <v>1.24772064696725E-2</v>
      </c>
      <c r="J130" s="5">
        <v>102.11108807036</v>
      </c>
      <c r="K130" s="5">
        <v>0.25</v>
      </c>
      <c r="L130" s="6">
        <f t="shared" si="5"/>
        <v>5.1055544035179994E-4</v>
      </c>
      <c r="P130" s="5">
        <f t="shared" si="6"/>
        <v>0.13910952068889348</v>
      </c>
      <c r="Q130" s="5">
        <f t="shared" si="7"/>
        <v>0.55643808275557394</v>
      </c>
      <c r="S130" s="5">
        <f t="shared" si="8"/>
        <v>0.13829811255787772</v>
      </c>
      <c r="T130" s="5">
        <f t="shared" si="9"/>
        <v>0.55319245023151087</v>
      </c>
      <c r="V130" s="5"/>
      <c r="W130" s="5"/>
    </row>
    <row r="131" spans="1:23" x14ac:dyDescent="0.25">
      <c r="B131" s="3">
        <v>12</v>
      </c>
      <c r="C131" s="4">
        <v>500</v>
      </c>
      <c r="D131" s="4">
        <v>2</v>
      </c>
      <c r="E131" s="3">
        <v>296</v>
      </c>
      <c r="F131" s="5">
        <v>3.2690000000000001</v>
      </c>
      <c r="G131" s="3">
        <v>25</v>
      </c>
      <c r="H131" s="3">
        <v>31</v>
      </c>
      <c r="I131" s="2">
        <v>1.24772064696725E-2</v>
      </c>
      <c r="J131" s="5">
        <v>207.97970779612399</v>
      </c>
      <c r="K131" s="5">
        <v>0.33</v>
      </c>
      <c r="L131" s="6">
        <f t="shared" si="5"/>
        <v>1.0398985389806199E-3</v>
      </c>
      <c r="P131" s="5">
        <f t="shared" si="6"/>
        <v>0.25249648012221271</v>
      </c>
      <c r="Q131" s="5">
        <f t="shared" si="7"/>
        <v>0.76514084885518996</v>
      </c>
      <c r="S131" s="5">
        <f t="shared" si="8"/>
        <v>0.25389719100967112</v>
      </c>
      <c r="T131" s="5">
        <f t="shared" si="9"/>
        <v>0.76938542730203363</v>
      </c>
      <c r="V131" s="5"/>
      <c r="W131" s="5"/>
    </row>
    <row r="132" spans="1:23" x14ac:dyDescent="0.25">
      <c r="A132" s="1" t="s">
        <v>49</v>
      </c>
      <c r="B132" s="3">
        <v>12</v>
      </c>
      <c r="C132" s="4">
        <v>500</v>
      </c>
      <c r="D132" s="4">
        <v>2</v>
      </c>
      <c r="E132" s="3">
        <v>296</v>
      </c>
      <c r="F132" s="5">
        <v>3.2690000000000001</v>
      </c>
      <c r="G132" s="3">
        <v>25</v>
      </c>
      <c r="H132" s="3">
        <v>31</v>
      </c>
      <c r="I132" s="2">
        <v>1.24772064696725E-2</v>
      </c>
      <c r="J132" s="5">
        <v>102.11108807036</v>
      </c>
      <c r="K132" s="5">
        <v>0.23</v>
      </c>
      <c r="L132" s="6">
        <f t="shared" si="5"/>
        <v>5.1055544035179994E-4</v>
      </c>
      <c r="P132" s="5">
        <f t="shared" si="6"/>
        <v>0.13910952068889348</v>
      </c>
      <c r="Q132" s="5">
        <f t="shared" si="7"/>
        <v>0.60482400299518901</v>
      </c>
      <c r="S132" s="5">
        <f t="shared" si="8"/>
        <v>0.13829811255787772</v>
      </c>
      <c r="T132" s="5">
        <f t="shared" si="9"/>
        <v>0.60129614155599009</v>
      </c>
      <c r="V132" s="5"/>
      <c r="W132" s="5"/>
    </row>
    <row r="133" spans="1:23" x14ac:dyDescent="0.25">
      <c r="B133" s="3">
        <v>12</v>
      </c>
      <c r="C133" s="4">
        <v>500</v>
      </c>
      <c r="D133" s="4">
        <v>2</v>
      </c>
      <c r="E133" s="3">
        <v>296</v>
      </c>
      <c r="F133" s="5">
        <v>3.2690000000000001</v>
      </c>
      <c r="G133" s="3">
        <v>25</v>
      </c>
      <c r="H133" s="3">
        <v>31</v>
      </c>
      <c r="I133" s="2">
        <v>1.24772064696725E-2</v>
      </c>
      <c r="J133" s="5">
        <v>207.97970779612399</v>
      </c>
      <c r="K133" s="5">
        <v>0.28000000000000003</v>
      </c>
      <c r="L133" s="6">
        <f t="shared" si="5"/>
        <v>1.0398985389806199E-3</v>
      </c>
      <c r="P133" s="5">
        <f t="shared" si="6"/>
        <v>0.25249648012221271</v>
      </c>
      <c r="Q133" s="5">
        <f t="shared" si="7"/>
        <v>0.90177314329361669</v>
      </c>
      <c r="S133" s="5">
        <f t="shared" si="8"/>
        <v>0.25389719100967112</v>
      </c>
      <c r="T133" s="5">
        <f t="shared" si="9"/>
        <v>0.90677568217739679</v>
      </c>
      <c r="V133" s="5"/>
      <c r="W133" s="5"/>
    </row>
    <row r="134" spans="1:23" x14ac:dyDescent="0.25">
      <c r="A134" s="1" t="s">
        <v>50</v>
      </c>
      <c r="B134" s="3">
        <v>12</v>
      </c>
      <c r="C134" s="4">
        <v>500</v>
      </c>
      <c r="D134" s="4">
        <v>3</v>
      </c>
      <c r="E134" s="3">
        <v>142</v>
      </c>
      <c r="F134" s="5">
        <v>3.2690000000000001</v>
      </c>
      <c r="G134" s="3">
        <v>25</v>
      </c>
      <c r="H134" s="3">
        <v>31</v>
      </c>
      <c r="I134" s="2">
        <v>1.9527117912145901E-2</v>
      </c>
      <c r="J134" s="5">
        <v>101.336175860561</v>
      </c>
      <c r="K134" s="5">
        <v>0.18</v>
      </c>
      <c r="L134" s="6">
        <f t="shared" si="5"/>
        <v>5.0668087930280496E-4</v>
      </c>
      <c r="P134" s="5">
        <f t="shared" si="6"/>
        <v>0.11090166141889565</v>
      </c>
      <c r="Q134" s="5">
        <f t="shared" si="7"/>
        <v>0.61612034121608694</v>
      </c>
      <c r="S134" s="5">
        <f t="shared" si="8"/>
        <v>0.10643581239363488</v>
      </c>
      <c r="T134" s="5">
        <f t="shared" si="9"/>
        <v>0.5913100688535271</v>
      </c>
      <c r="V134" s="5"/>
      <c r="W134" s="5"/>
    </row>
    <row r="135" spans="1:23" x14ac:dyDescent="0.25">
      <c r="B135" s="3">
        <v>12</v>
      </c>
      <c r="C135" s="4">
        <v>500</v>
      </c>
      <c r="D135" s="4">
        <v>3</v>
      </c>
      <c r="E135" s="3">
        <v>142</v>
      </c>
      <c r="F135" s="5">
        <v>3.2690000000000001</v>
      </c>
      <c r="G135" s="3">
        <v>25</v>
      </c>
      <c r="H135" s="3">
        <v>31</v>
      </c>
      <c r="I135" s="2">
        <v>1.9527117912145901E-2</v>
      </c>
      <c r="J135" s="5">
        <v>164.10101835243699</v>
      </c>
      <c r="K135" s="5">
        <v>0.23</v>
      </c>
      <c r="L135" s="6">
        <f t="shared" si="5"/>
        <v>8.20505091762185E-4</v>
      </c>
      <c r="P135" s="5">
        <f t="shared" si="6"/>
        <v>0.16610038586939271</v>
      </c>
      <c r="Q135" s="5">
        <f t="shared" si="7"/>
        <v>0.72217559073649007</v>
      </c>
      <c r="S135" s="5">
        <f t="shared" si="8"/>
        <v>0.16064600009884955</v>
      </c>
      <c r="T135" s="5">
        <f t="shared" si="9"/>
        <v>0.69846086999499801</v>
      </c>
      <c r="V135" s="5"/>
      <c r="W135" s="5"/>
    </row>
    <row r="136" spans="1:23" x14ac:dyDescent="0.25">
      <c r="B136" s="3">
        <v>12</v>
      </c>
      <c r="C136" s="4">
        <v>500</v>
      </c>
      <c r="D136" s="4">
        <v>3</v>
      </c>
      <c r="E136" s="3">
        <v>142</v>
      </c>
      <c r="F136" s="5">
        <v>3.2690000000000001</v>
      </c>
      <c r="G136" s="3">
        <v>25</v>
      </c>
      <c r="H136" s="3">
        <v>31</v>
      </c>
      <c r="I136" s="2">
        <v>1.9527117912145901E-2</v>
      </c>
      <c r="J136" s="5">
        <v>226.865860844313</v>
      </c>
      <c r="K136" s="5">
        <v>0.25</v>
      </c>
      <c r="L136" s="6">
        <f t="shared" si="5"/>
        <v>1.1343293042215649E-3</v>
      </c>
      <c r="P136" s="5">
        <f t="shared" si="6"/>
        <v>0.21789232726324503</v>
      </c>
      <c r="Q136" s="5">
        <f t="shared" si="7"/>
        <v>0.87156930905298013</v>
      </c>
      <c r="S136" s="5">
        <f t="shared" si="8"/>
        <v>0.21183208393271799</v>
      </c>
      <c r="T136" s="5">
        <f t="shared" si="9"/>
        <v>0.84732833573087196</v>
      </c>
      <c r="V136" s="5"/>
      <c r="W136" s="5"/>
    </row>
    <row r="137" spans="1:23" x14ac:dyDescent="0.25">
      <c r="A137" s="1" t="s">
        <v>51</v>
      </c>
      <c r="B137" s="3">
        <v>12</v>
      </c>
      <c r="C137" s="4">
        <v>500</v>
      </c>
      <c r="D137" s="4">
        <v>3</v>
      </c>
      <c r="E137" s="3">
        <v>142</v>
      </c>
      <c r="F137" s="5">
        <v>3.2690000000000001</v>
      </c>
      <c r="G137" s="3">
        <v>25</v>
      </c>
      <c r="H137" s="3">
        <v>31</v>
      </c>
      <c r="I137" s="2">
        <v>1.9527117912145901E-2</v>
      </c>
      <c r="J137" s="5">
        <v>101.336175860561</v>
      </c>
      <c r="K137" s="5">
        <v>0.18</v>
      </c>
      <c r="L137" s="6">
        <f t="shared" si="5"/>
        <v>5.0668087930280496E-4</v>
      </c>
      <c r="P137" s="5">
        <f t="shared" si="6"/>
        <v>0.11090166141889565</v>
      </c>
      <c r="Q137" s="5">
        <f t="shared" si="7"/>
        <v>0.61612034121608694</v>
      </c>
      <c r="S137" s="5">
        <f t="shared" si="8"/>
        <v>0.10643581239363488</v>
      </c>
      <c r="T137" s="5">
        <f t="shared" si="9"/>
        <v>0.5913100688535271</v>
      </c>
      <c r="V137" s="5"/>
      <c r="W137" s="5"/>
    </row>
    <row r="138" spans="1:23" x14ac:dyDescent="0.25">
      <c r="B138" s="3">
        <v>12</v>
      </c>
      <c r="C138" s="4">
        <v>500</v>
      </c>
      <c r="D138" s="4">
        <v>3</v>
      </c>
      <c r="E138" s="3">
        <v>142</v>
      </c>
      <c r="F138" s="5">
        <v>3.2690000000000001</v>
      </c>
      <c r="G138" s="3">
        <v>25</v>
      </c>
      <c r="H138" s="3">
        <v>31</v>
      </c>
      <c r="I138" s="2">
        <v>1.9527117912145901E-2</v>
      </c>
      <c r="J138" s="5">
        <v>164.10101835243699</v>
      </c>
      <c r="K138" s="5">
        <v>0.23</v>
      </c>
      <c r="L138" s="6">
        <f t="shared" si="5"/>
        <v>8.20505091762185E-4</v>
      </c>
      <c r="P138" s="5">
        <f t="shared" si="6"/>
        <v>0.16610038586939271</v>
      </c>
      <c r="Q138" s="5">
        <f t="shared" si="7"/>
        <v>0.72217559073649007</v>
      </c>
      <c r="S138" s="5">
        <f t="shared" si="8"/>
        <v>0.16064600009884955</v>
      </c>
      <c r="T138" s="5">
        <f t="shared" si="9"/>
        <v>0.69846086999499801</v>
      </c>
      <c r="V138" s="5"/>
      <c r="W138" s="5"/>
    </row>
    <row r="139" spans="1:23" x14ac:dyDescent="0.25">
      <c r="B139" s="3">
        <v>12</v>
      </c>
      <c r="C139" s="4">
        <v>500</v>
      </c>
      <c r="D139" s="4">
        <v>3</v>
      </c>
      <c r="E139" s="3">
        <v>142</v>
      </c>
      <c r="F139" s="5">
        <v>3.2690000000000001</v>
      </c>
      <c r="G139" s="3">
        <v>25</v>
      </c>
      <c r="H139" s="3">
        <v>31</v>
      </c>
      <c r="I139" s="2">
        <v>1.9527117912145901E-2</v>
      </c>
      <c r="J139" s="5">
        <v>226.865860844313</v>
      </c>
      <c r="K139" s="5">
        <v>0.25</v>
      </c>
      <c r="L139" s="6">
        <f t="shared" ref="L139:L202" si="10">J139/200000</f>
        <v>1.1343293042215649E-3</v>
      </c>
      <c r="P139" s="5">
        <f t="shared" ref="P139:P202" si="11">$Q$2*($Q$3*$G139+$Q$4*$B139^$Q$5*$I139^$Q$6)*$L139^$Q$7</f>
        <v>0.21789232726324503</v>
      </c>
      <c r="Q139" s="5">
        <f t="shared" ref="Q139:Q202" si="12">P139/$K139</f>
        <v>0.87156930905298013</v>
      </c>
      <c r="S139" s="5">
        <f t="shared" ref="S139:S202" si="13">$T$2*$B139^$T$3*$L139^$T$4*($T$5*$I139^$T$6+$T$7)</f>
        <v>0.21183208393271799</v>
      </c>
      <c r="T139" s="5">
        <f t="shared" ref="T139:T202" si="14">S139/$K139</f>
        <v>0.84732833573087196</v>
      </c>
      <c r="V139" s="5"/>
      <c r="W139" s="5"/>
    </row>
    <row r="140" spans="1:23" x14ac:dyDescent="0.25">
      <c r="A140" s="1" t="s">
        <v>52</v>
      </c>
      <c r="B140" s="3">
        <v>12</v>
      </c>
      <c r="C140" s="4">
        <v>500</v>
      </c>
      <c r="D140" s="4">
        <v>4</v>
      </c>
      <c r="E140" s="3">
        <v>90.67</v>
      </c>
      <c r="F140" s="5">
        <v>3.2690000000000001</v>
      </c>
      <c r="G140" s="3">
        <v>25</v>
      </c>
      <c r="H140" s="3">
        <v>31</v>
      </c>
      <c r="I140" s="2">
        <v>2.6968773854657999E-2</v>
      </c>
      <c r="J140" s="5">
        <v>150.31764348514901</v>
      </c>
      <c r="K140" s="5">
        <v>0.15</v>
      </c>
      <c r="L140" s="6">
        <f t="shared" si="10"/>
        <v>7.5158821742574503E-4</v>
      </c>
      <c r="P140" s="5">
        <f t="shared" si="11"/>
        <v>0.13170114883701209</v>
      </c>
      <c r="Q140" s="5">
        <f t="shared" si="12"/>
        <v>0.87800765891341392</v>
      </c>
      <c r="S140" s="5">
        <f t="shared" si="13"/>
        <v>0.12509798761072397</v>
      </c>
      <c r="T140" s="5">
        <f t="shared" si="14"/>
        <v>0.83398658407149318</v>
      </c>
      <c r="V140" s="5"/>
      <c r="W140" s="5"/>
    </row>
    <row r="141" spans="1:23" x14ac:dyDescent="0.25">
      <c r="B141" s="3">
        <v>12</v>
      </c>
      <c r="C141" s="4">
        <v>500</v>
      </c>
      <c r="D141" s="4">
        <v>4</v>
      </c>
      <c r="E141" s="3">
        <v>90.67</v>
      </c>
      <c r="F141" s="5">
        <v>3.2690000000000001</v>
      </c>
      <c r="G141" s="3">
        <v>25</v>
      </c>
      <c r="H141" s="3">
        <v>31</v>
      </c>
      <c r="I141" s="2">
        <v>2.6968773854657999E-2</v>
      </c>
      <c r="J141" s="5">
        <v>194.67641883399699</v>
      </c>
      <c r="K141" s="5">
        <v>0.15</v>
      </c>
      <c r="L141" s="6">
        <f t="shared" si="10"/>
        <v>9.7338209416998492E-4</v>
      </c>
      <c r="P141" s="5">
        <f t="shared" si="11"/>
        <v>0.16356855010068205</v>
      </c>
      <c r="Q141" s="5">
        <f t="shared" si="12"/>
        <v>1.0904570006712138</v>
      </c>
      <c r="S141" s="5">
        <f t="shared" si="13"/>
        <v>0.15601178950948966</v>
      </c>
      <c r="T141" s="5">
        <f t="shared" si="14"/>
        <v>1.0400785967299311</v>
      </c>
      <c r="V141" s="5"/>
      <c r="W141" s="5"/>
    </row>
    <row r="142" spans="1:23" x14ac:dyDescent="0.25">
      <c r="B142" s="3">
        <v>12</v>
      </c>
      <c r="C142" s="4">
        <v>500</v>
      </c>
      <c r="D142" s="4">
        <v>4</v>
      </c>
      <c r="E142" s="3">
        <v>90.67</v>
      </c>
      <c r="F142" s="5">
        <v>3.2690000000000001</v>
      </c>
      <c r="G142" s="3">
        <v>25</v>
      </c>
      <c r="H142" s="3">
        <v>31</v>
      </c>
      <c r="I142" s="2">
        <v>2.6968773854657999E-2</v>
      </c>
      <c r="J142" s="5">
        <v>239.035194182845</v>
      </c>
      <c r="K142" s="5">
        <v>0.18</v>
      </c>
      <c r="L142" s="6">
        <f t="shared" si="10"/>
        <v>1.195175970914225E-3</v>
      </c>
      <c r="P142" s="5">
        <f t="shared" si="11"/>
        <v>0.19427022677467329</v>
      </c>
      <c r="Q142" s="5">
        <f t="shared" si="12"/>
        <v>1.0792790376370738</v>
      </c>
      <c r="S142" s="5">
        <f t="shared" si="13"/>
        <v>0.18590464342930452</v>
      </c>
      <c r="T142" s="5">
        <f t="shared" si="14"/>
        <v>1.0328035746072473</v>
      </c>
      <c r="V142" s="5"/>
      <c r="W142" s="5"/>
    </row>
    <row r="143" spans="1:23" x14ac:dyDescent="0.25">
      <c r="A143" s="1" t="s">
        <v>53</v>
      </c>
      <c r="B143" s="3">
        <v>12</v>
      </c>
      <c r="C143" s="4">
        <v>500</v>
      </c>
      <c r="D143" s="4">
        <v>4</v>
      </c>
      <c r="E143" s="3">
        <v>90.67</v>
      </c>
      <c r="F143" s="5">
        <v>3.2690000000000001</v>
      </c>
      <c r="G143" s="3">
        <v>25</v>
      </c>
      <c r="H143" s="3">
        <v>31</v>
      </c>
      <c r="I143" s="2">
        <v>2.6968773854657999E-2</v>
      </c>
      <c r="J143" s="5">
        <v>150.31764348514901</v>
      </c>
      <c r="K143" s="5">
        <v>0.18</v>
      </c>
      <c r="L143" s="6">
        <f t="shared" si="10"/>
        <v>7.5158821742574503E-4</v>
      </c>
      <c r="P143" s="5">
        <f t="shared" si="11"/>
        <v>0.13170114883701209</v>
      </c>
      <c r="Q143" s="5">
        <f t="shared" si="12"/>
        <v>0.73167304909451159</v>
      </c>
      <c r="S143" s="5">
        <f t="shared" si="13"/>
        <v>0.12509798761072397</v>
      </c>
      <c r="T143" s="5">
        <f t="shared" si="14"/>
        <v>0.69498882005957763</v>
      </c>
      <c r="V143" s="5"/>
      <c r="W143" s="5"/>
    </row>
    <row r="144" spans="1:23" x14ac:dyDescent="0.25">
      <c r="B144" s="3">
        <v>12</v>
      </c>
      <c r="C144" s="4">
        <v>500</v>
      </c>
      <c r="D144" s="4">
        <v>4</v>
      </c>
      <c r="E144" s="3">
        <v>90.67</v>
      </c>
      <c r="F144" s="5">
        <v>3.2690000000000001</v>
      </c>
      <c r="G144" s="3">
        <v>25</v>
      </c>
      <c r="H144" s="3">
        <v>31</v>
      </c>
      <c r="I144" s="2">
        <v>2.6968773854657999E-2</v>
      </c>
      <c r="J144" s="5">
        <v>194.67641883399699</v>
      </c>
      <c r="K144" s="5">
        <v>0.2</v>
      </c>
      <c r="L144" s="6">
        <f t="shared" si="10"/>
        <v>9.7338209416998492E-4</v>
      </c>
      <c r="P144" s="5">
        <f t="shared" si="11"/>
        <v>0.16356855010068205</v>
      </c>
      <c r="Q144" s="5">
        <f t="shared" si="12"/>
        <v>0.81784275050341027</v>
      </c>
      <c r="S144" s="5">
        <f t="shared" si="13"/>
        <v>0.15601178950948966</v>
      </c>
      <c r="T144" s="5">
        <f t="shared" si="14"/>
        <v>0.7800589475474482</v>
      </c>
      <c r="V144" s="5"/>
      <c r="W144" s="5"/>
    </row>
    <row r="145" spans="1:23" x14ac:dyDescent="0.25">
      <c r="B145" s="3">
        <v>12</v>
      </c>
      <c r="C145" s="4">
        <v>500</v>
      </c>
      <c r="D145" s="4">
        <v>4</v>
      </c>
      <c r="E145" s="3">
        <v>90.67</v>
      </c>
      <c r="F145" s="5">
        <v>3.2690000000000001</v>
      </c>
      <c r="G145" s="3">
        <v>25</v>
      </c>
      <c r="H145" s="3">
        <v>31</v>
      </c>
      <c r="I145" s="2">
        <v>2.6968773854657999E-2</v>
      </c>
      <c r="J145" s="5">
        <v>239.035194182845</v>
      </c>
      <c r="K145" s="5">
        <v>0.23</v>
      </c>
      <c r="L145" s="6">
        <f t="shared" si="10"/>
        <v>1.195175970914225E-3</v>
      </c>
      <c r="P145" s="5">
        <f t="shared" si="11"/>
        <v>0.19427022677467329</v>
      </c>
      <c r="Q145" s="5">
        <f t="shared" si="12"/>
        <v>0.84465315988988388</v>
      </c>
      <c r="S145" s="5">
        <f t="shared" si="13"/>
        <v>0.18590464342930452</v>
      </c>
      <c r="T145" s="5">
        <f t="shared" si="14"/>
        <v>0.80828105838828046</v>
      </c>
      <c r="V145" s="5"/>
      <c r="W145" s="5"/>
    </row>
    <row r="146" spans="1:23" x14ac:dyDescent="0.25">
      <c r="A146" s="1" t="s">
        <v>54</v>
      </c>
      <c r="B146" s="3">
        <v>10</v>
      </c>
      <c r="C146" s="4">
        <v>528</v>
      </c>
      <c r="D146" s="4">
        <v>1</v>
      </c>
      <c r="E146" s="3">
        <v>45</v>
      </c>
      <c r="F146" s="5">
        <v>2.8</v>
      </c>
      <c r="G146" s="3">
        <v>40</v>
      </c>
      <c r="H146" s="3">
        <v>45</v>
      </c>
      <c r="I146" s="2">
        <v>1.14013751634802E-2</v>
      </c>
      <c r="J146" s="5">
        <v>144.99393119402299</v>
      </c>
      <c r="K146" s="5">
        <v>0.16</v>
      </c>
      <c r="L146" s="6">
        <f t="shared" si="10"/>
        <v>7.2496965597011493E-4</v>
      </c>
      <c r="P146" s="5">
        <f t="shared" si="11"/>
        <v>0.16044907470919642</v>
      </c>
      <c r="Q146" s="5">
        <f t="shared" si="12"/>
        <v>1.0028067169324777</v>
      </c>
      <c r="S146" s="5">
        <f t="shared" si="13"/>
        <v>0.15956940472895853</v>
      </c>
      <c r="T146" s="5">
        <f t="shared" si="14"/>
        <v>0.99730877955599084</v>
      </c>
      <c r="V146" s="5"/>
      <c r="W146" s="5"/>
    </row>
    <row r="147" spans="1:23" x14ac:dyDescent="0.25">
      <c r="B147" s="3">
        <v>10</v>
      </c>
      <c r="C147" s="4">
        <v>528</v>
      </c>
      <c r="D147" s="4">
        <v>1</v>
      </c>
      <c r="E147" s="3">
        <v>45</v>
      </c>
      <c r="F147" s="5">
        <v>2.8</v>
      </c>
      <c r="G147" s="3">
        <v>40</v>
      </c>
      <c r="H147" s="3">
        <v>45</v>
      </c>
      <c r="I147" s="2">
        <v>1.14013751634802E-2</v>
      </c>
      <c r="J147" s="5">
        <v>175.09750810638201</v>
      </c>
      <c r="K147" s="5">
        <v>0.18</v>
      </c>
      <c r="L147" s="6">
        <f t="shared" si="10"/>
        <v>8.7548754053191002E-4</v>
      </c>
      <c r="P147" s="5">
        <f t="shared" si="11"/>
        <v>0.18792937726998615</v>
      </c>
      <c r="Q147" s="5">
        <f t="shared" si="12"/>
        <v>1.0440520959443675</v>
      </c>
      <c r="S147" s="5">
        <f t="shared" si="13"/>
        <v>0.18746403686249438</v>
      </c>
      <c r="T147" s="5">
        <f t="shared" si="14"/>
        <v>1.0414668714583022</v>
      </c>
      <c r="V147" s="5"/>
      <c r="W147" s="5"/>
    </row>
    <row r="148" spans="1:23" x14ac:dyDescent="0.25">
      <c r="B148" s="3">
        <v>10</v>
      </c>
      <c r="C148" s="4">
        <v>528</v>
      </c>
      <c r="D148" s="4">
        <v>1</v>
      </c>
      <c r="E148" s="3">
        <v>45</v>
      </c>
      <c r="F148" s="5">
        <v>2.8</v>
      </c>
      <c r="G148" s="3">
        <v>40</v>
      </c>
      <c r="H148" s="3">
        <v>45</v>
      </c>
      <c r="I148" s="2">
        <v>1.14013751634802E-2</v>
      </c>
      <c r="J148" s="5">
        <v>209.21489527372299</v>
      </c>
      <c r="K148" s="5">
        <v>0.2</v>
      </c>
      <c r="L148" s="6">
        <f t="shared" si="10"/>
        <v>1.046074476368615E-3</v>
      </c>
      <c r="P148" s="5">
        <f t="shared" si="11"/>
        <v>0.2181637869065928</v>
      </c>
      <c r="Q148" s="5">
        <f t="shared" si="12"/>
        <v>1.090818934532964</v>
      </c>
      <c r="S148" s="5">
        <f t="shared" si="13"/>
        <v>0.21824432317347012</v>
      </c>
      <c r="T148" s="5">
        <f t="shared" si="14"/>
        <v>1.0912216158673504</v>
      </c>
      <c r="V148" s="5"/>
      <c r="W148" s="5"/>
    </row>
    <row r="149" spans="1:23" x14ac:dyDescent="0.25">
      <c r="B149" s="3">
        <v>10</v>
      </c>
      <c r="C149" s="4">
        <v>528</v>
      </c>
      <c r="D149" s="4">
        <v>1</v>
      </c>
      <c r="E149" s="3">
        <v>45</v>
      </c>
      <c r="F149" s="5">
        <v>2.8</v>
      </c>
      <c r="G149" s="3">
        <v>40</v>
      </c>
      <c r="H149" s="3">
        <v>45</v>
      </c>
      <c r="I149" s="2">
        <v>1.14013751634802E-2</v>
      </c>
      <c r="J149" s="5">
        <v>239.318472186082</v>
      </c>
      <c r="K149" s="5">
        <v>0.22</v>
      </c>
      <c r="L149" s="6">
        <f t="shared" si="10"/>
        <v>1.1965923609304099E-3</v>
      </c>
      <c r="P149" s="5">
        <f t="shared" si="11"/>
        <v>0.24417890245697302</v>
      </c>
      <c r="Q149" s="5">
        <f t="shared" si="12"/>
        <v>1.1099041020771501</v>
      </c>
      <c r="S149" s="5">
        <f t="shared" si="13"/>
        <v>0.24479501391171435</v>
      </c>
      <c r="T149" s="5">
        <f t="shared" si="14"/>
        <v>1.1127046086896106</v>
      </c>
      <c r="V149" s="5"/>
      <c r="W149" s="5"/>
    </row>
    <row r="150" spans="1:23" x14ac:dyDescent="0.25">
      <c r="B150" s="3">
        <v>10</v>
      </c>
      <c r="C150" s="4">
        <v>528</v>
      </c>
      <c r="D150" s="4">
        <v>1</v>
      </c>
      <c r="E150" s="3">
        <v>45</v>
      </c>
      <c r="F150" s="5">
        <v>2.8</v>
      </c>
      <c r="G150" s="3">
        <v>40</v>
      </c>
      <c r="H150" s="3">
        <v>45</v>
      </c>
      <c r="I150" s="2">
        <v>1.14013751634802E-2</v>
      </c>
      <c r="J150" s="5">
        <v>273.43585935342202</v>
      </c>
      <c r="K150" s="5">
        <v>0.24</v>
      </c>
      <c r="L150" s="6">
        <f t="shared" si="10"/>
        <v>1.3671792967671101E-3</v>
      </c>
      <c r="P150" s="5">
        <f t="shared" si="11"/>
        <v>0.27303036302137462</v>
      </c>
      <c r="Q150" s="5">
        <f t="shared" si="12"/>
        <v>1.137626512589061</v>
      </c>
      <c r="S150" s="5">
        <f t="shared" si="13"/>
        <v>0.2743035604892573</v>
      </c>
      <c r="T150" s="5">
        <f t="shared" si="14"/>
        <v>1.1429315020385722</v>
      </c>
      <c r="V150" s="5"/>
      <c r="W150" s="5"/>
    </row>
    <row r="151" spans="1:23" x14ac:dyDescent="0.25">
      <c r="B151" s="3">
        <v>10</v>
      </c>
      <c r="C151" s="4">
        <v>528</v>
      </c>
      <c r="D151" s="4">
        <v>1</v>
      </c>
      <c r="E151" s="3">
        <v>45</v>
      </c>
      <c r="F151" s="5">
        <v>2.8</v>
      </c>
      <c r="G151" s="3">
        <v>40</v>
      </c>
      <c r="H151" s="3">
        <v>45</v>
      </c>
      <c r="I151" s="2">
        <v>1.14013751634802E-2</v>
      </c>
      <c r="J151" s="5">
        <v>303.539436265782</v>
      </c>
      <c r="K151" s="5">
        <v>0.26</v>
      </c>
      <c r="L151" s="6">
        <f t="shared" si="10"/>
        <v>1.5176971813289099E-3</v>
      </c>
      <c r="P151" s="5">
        <f t="shared" si="11"/>
        <v>0.29800416698748816</v>
      </c>
      <c r="Q151" s="5">
        <f t="shared" si="12"/>
        <v>1.1461698730288006</v>
      </c>
      <c r="S151" s="5">
        <f t="shared" si="13"/>
        <v>0.29989456122152119</v>
      </c>
      <c r="T151" s="5">
        <f t="shared" si="14"/>
        <v>1.1534406200827738</v>
      </c>
      <c r="V151" s="5"/>
      <c r="W151" s="5"/>
    </row>
    <row r="152" spans="1:23" x14ac:dyDescent="0.25">
      <c r="B152" s="3">
        <v>10</v>
      </c>
      <c r="C152" s="4">
        <v>528</v>
      </c>
      <c r="D152" s="4">
        <v>1</v>
      </c>
      <c r="E152" s="3">
        <v>45</v>
      </c>
      <c r="F152" s="5">
        <v>2.8</v>
      </c>
      <c r="G152" s="3">
        <v>40</v>
      </c>
      <c r="H152" s="3">
        <v>45</v>
      </c>
      <c r="I152" s="2">
        <v>1.14013751634802E-2</v>
      </c>
      <c r="J152" s="5">
        <v>339.66372856061298</v>
      </c>
      <c r="K152" s="5">
        <v>0.28000000000000003</v>
      </c>
      <c r="L152" s="6">
        <f t="shared" si="10"/>
        <v>1.698318642803065E-3</v>
      </c>
      <c r="P152" s="5">
        <f t="shared" si="11"/>
        <v>0.32745020772034311</v>
      </c>
      <c r="Q152" s="5">
        <f t="shared" si="12"/>
        <v>1.1694650275726539</v>
      </c>
      <c r="S152" s="5">
        <f t="shared" si="13"/>
        <v>0.33012078399003847</v>
      </c>
      <c r="T152" s="5">
        <f t="shared" si="14"/>
        <v>1.179002799964423</v>
      </c>
      <c r="V152" s="5"/>
      <c r="W152" s="5"/>
    </row>
    <row r="153" spans="1:23" x14ac:dyDescent="0.25">
      <c r="A153" s="1" t="s">
        <v>55</v>
      </c>
      <c r="B153" s="3">
        <v>10</v>
      </c>
      <c r="C153" s="4">
        <v>528</v>
      </c>
      <c r="D153" s="4">
        <v>1</v>
      </c>
      <c r="E153" s="3">
        <v>45</v>
      </c>
      <c r="F153" s="5">
        <v>2.8</v>
      </c>
      <c r="G153" s="3">
        <v>40</v>
      </c>
      <c r="H153" s="3">
        <v>45</v>
      </c>
      <c r="I153" s="2">
        <v>1.14013751634802E-2</v>
      </c>
      <c r="J153" s="5">
        <v>110.87654402668301</v>
      </c>
      <c r="K153" s="5">
        <v>0.15</v>
      </c>
      <c r="L153" s="6">
        <f t="shared" si="10"/>
        <v>5.54382720133415E-4</v>
      </c>
      <c r="P153" s="5">
        <f t="shared" si="11"/>
        <v>0.12814501493301272</v>
      </c>
      <c r="Q153" s="5">
        <f t="shared" si="12"/>
        <v>0.85430009955341824</v>
      </c>
      <c r="S153" s="5">
        <f t="shared" si="13"/>
        <v>0.12689659290722397</v>
      </c>
      <c r="T153" s="5">
        <f t="shared" si="14"/>
        <v>0.8459772860481598</v>
      </c>
      <c r="V153" s="5"/>
      <c r="W153" s="5"/>
    </row>
    <row r="154" spans="1:23" x14ac:dyDescent="0.25">
      <c r="B154" s="3">
        <v>10</v>
      </c>
      <c r="C154" s="4">
        <v>528</v>
      </c>
      <c r="D154" s="4">
        <v>1</v>
      </c>
      <c r="E154" s="3">
        <v>45</v>
      </c>
      <c r="F154" s="5">
        <v>2.8</v>
      </c>
      <c r="G154" s="3">
        <v>40</v>
      </c>
      <c r="H154" s="3">
        <v>45</v>
      </c>
      <c r="I154" s="2">
        <v>1.14013751634802E-2</v>
      </c>
      <c r="J154" s="5">
        <v>144.99393119402299</v>
      </c>
      <c r="K154" s="5">
        <v>0.17</v>
      </c>
      <c r="L154" s="6">
        <f t="shared" si="10"/>
        <v>7.2496965597011493E-4</v>
      </c>
      <c r="P154" s="5">
        <f t="shared" si="11"/>
        <v>0.16044907470919642</v>
      </c>
      <c r="Q154" s="5">
        <f t="shared" si="12"/>
        <v>0.9438180865246848</v>
      </c>
      <c r="S154" s="5">
        <f t="shared" si="13"/>
        <v>0.15956940472895853</v>
      </c>
      <c r="T154" s="5">
        <f t="shared" si="14"/>
        <v>0.93864355722916781</v>
      </c>
      <c r="V154" s="5"/>
      <c r="W154" s="5"/>
    </row>
    <row r="155" spans="1:23" x14ac:dyDescent="0.25">
      <c r="B155" s="3">
        <v>10</v>
      </c>
      <c r="C155" s="4">
        <v>528</v>
      </c>
      <c r="D155" s="4">
        <v>1</v>
      </c>
      <c r="E155" s="3">
        <v>45</v>
      </c>
      <c r="F155" s="5">
        <v>2.8</v>
      </c>
      <c r="G155" s="3">
        <v>40</v>
      </c>
      <c r="H155" s="3">
        <v>45</v>
      </c>
      <c r="I155" s="2">
        <v>1.14013751634802E-2</v>
      </c>
      <c r="J155" s="5">
        <v>177.104413233873</v>
      </c>
      <c r="K155" s="5">
        <v>0.19</v>
      </c>
      <c r="L155" s="6">
        <f t="shared" si="10"/>
        <v>8.8552206616936504E-4</v>
      </c>
      <c r="P155" s="5">
        <f t="shared" si="11"/>
        <v>0.18973274364506351</v>
      </c>
      <c r="Q155" s="5">
        <f t="shared" si="12"/>
        <v>0.99859338760559746</v>
      </c>
      <c r="S155" s="5">
        <f t="shared" si="13"/>
        <v>0.18929745181522845</v>
      </c>
      <c r="T155" s="5">
        <f t="shared" si="14"/>
        <v>0.99630237797488652</v>
      </c>
      <c r="V155" s="5"/>
      <c r="W155" s="5"/>
    </row>
    <row r="156" spans="1:23" x14ac:dyDescent="0.25">
      <c r="B156" s="3">
        <v>10</v>
      </c>
      <c r="C156" s="4">
        <v>528</v>
      </c>
      <c r="D156" s="4">
        <v>1</v>
      </c>
      <c r="E156" s="3">
        <v>45</v>
      </c>
      <c r="F156" s="5">
        <v>2.8</v>
      </c>
      <c r="G156" s="3">
        <v>40</v>
      </c>
      <c r="H156" s="3">
        <v>45</v>
      </c>
      <c r="I156" s="2">
        <v>1.14013751634802E-2</v>
      </c>
      <c r="J156" s="5">
        <v>206.20453758248701</v>
      </c>
      <c r="K156" s="5">
        <v>0.2</v>
      </c>
      <c r="L156" s="6">
        <f t="shared" si="10"/>
        <v>1.0310226879124351E-3</v>
      </c>
      <c r="P156" s="5">
        <f t="shared" si="11"/>
        <v>0.21553011970262798</v>
      </c>
      <c r="Q156" s="5">
        <f t="shared" si="12"/>
        <v>1.0776505985131397</v>
      </c>
      <c r="S156" s="5">
        <f t="shared" si="13"/>
        <v>0.21555969101612582</v>
      </c>
      <c r="T156" s="5">
        <f t="shared" si="14"/>
        <v>1.077798455080629</v>
      </c>
      <c r="V156" s="5"/>
      <c r="W156" s="5"/>
    </row>
    <row r="157" spans="1:23" x14ac:dyDescent="0.25">
      <c r="B157" s="3">
        <v>10</v>
      </c>
      <c r="C157" s="4">
        <v>528</v>
      </c>
      <c r="D157" s="4">
        <v>1</v>
      </c>
      <c r="E157" s="3">
        <v>45</v>
      </c>
      <c r="F157" s="5">
        <v>2.8</v>
      </c>
      <c r="G157" s="3">
        <v>40</v>
      </c>
      <c r="H157" s="3">
        <v>45</v>
      </c>
      <c r="I157" s="2">
        <v>1.14013751634802E-2</v>
      </c>
      <c r="J157" s="5">
        <v>239.318472186082</v>
      </c>
      <c r="K157" s="5">
        <v>0.22</v>
      </c>
      <c r="L157" s="6">
        <f t="shared" si="10"/>
        <v>1.1965923609304099E-3</v>
      </c>
      <c r="P157" s="5">
        <f t="shared" si="11"/>
        <v>0.24417890245697302</v>
      </c>
      <c r="Q157" s="5">
        <f t="shared" si="12"/>
        <v>1.1099041020771501</v>
      </c>
      <c r="S157" s="5">
        <f t="shared" si="13"/>
        <v>0.24479501391171435</v>
      </c>
      <c r="T157" s="5">
        <f t="shared" si="14"/>
        <v>1.1127046086896106</v>
      </c>
      <c r="V157" s="5"/>
      <c r="W157" s="5"/>
    </row>
    <row r="158" spans="1:23" x14ac:dyDescent="0.25">
      <c r="B158" s="3">
        <v>10</v>
      </c>
      <c r="C158" s="4">
        <v>528</v>
      </c>
      <c r="D158" s="4">
        <v>1</v>
      </c>
      <c r="E158" s="3">
        <v>45</v>
      </c>
      <c r="F158" s="5">
        <v>2.8</v>
      </c>
      <c r="G158" s="3">
        <v>40</v>
      </c>
      <c r="H158" s="3">
        <v>45</v>
      </c>
      <c r="I158" s="2">
        <v>1.14013751634802E-2</v>
      </c>
      <c r="J158" s="5">
        <v>272.43240678967697</v>
      </c>
      <c r="K158" s="5">
        <v>0.24</v>
      </c>
      <c r="L158" s="6">
        <f t="shared" si="10"/>
        <v>1.3621620339483848E-3</v>
      </c>
      <c r="P158" s="5">
        <f t="shared" si="11"/>
        <v>0.27219046684689574</v>
      </c>
      <c r="Q158" s="5">
        <f t="shared" si="12"/>
        <v>1.134126945195399</v>
      </c>
      <c r="S158" s="5">
        <f t="shared" si="13"/>
        <v>0.27344366199883968</v>
      </c>
      <c r="T158" s="5">
        <f t="shared" si="14"/>
        <v>1.139348591661832</v>
      </c>
      <c r="V158" s="5"/>
      <c r="W158" s="5"/>
    </row>
    <row r="159" spans="1:23" x14ac:dyDescent="0.25">
      <c r="B159" s="3">
        <v>10</v>
      </c>
      <c r="C159" s="4">
        <v>528</v>
      </c>
      <c r="D159" s="4">
        <v>1</v>
      </c>
      <c r="E159" s="3">
        <v>45</v>
      </c>
      <c r="F159" s="5">
        <v>2.8</v>
      </c>
      <c r="G159" s="3">
        <v>40</v>
      </c>
      <c r="H159" s="3">
        <v>45</v>
      </c>
      <c r="I159" s="2">
        <v>1.14013751634802E-2</v>
      </c>
      <c r="J159" s="5">
        <v>300.52907857454602</v>
      </c>
      <c r="K159" s="5">
        <v>0.26</v>
      </c>
      <c r="L159" s="6">
        <f t="shared" si="10"/>
        <v>1.5026453928727302E-3</v>
      </c>
      <c r="P159" s="5">
        <f t="shared" si="11"/>
        <v>0.29552549295419778</v>
      </c>
      <c r="Q159" s="5">
        <f t="shared" si="12"/>
        <v>1.1366365113622992</v>
      </c>
      <c r="S159" s="5">
        <f t="shared" si="13"/>
        <v>0.29735274034918574</v>
      </c>
      <c r="T159" s="5">
        <f t="shared" si="14"/>
        <v>1.1436643859584066</v>
      </c>
      <c r="V159" s="5"/>
      <c r="W159" s="5"/>
    </row>
    <row r="160" spans="1:23" x14ac:dyDescent="0.25">
      <c r="B160" s="3">
        <v>10</v>
      </c>
      <c r="C160" s="4">
        <v>528</v>
      </c>
      <c r="D160" s="4">
        <v>1</v>
      </c>
      <c r="E160" s="3">
        <v>45</v>
      </c>
      <c r="F160" s="5">
        <v>2.8</v>
      </c>
      <c r="G160" s="3">
        <v>40</v>
      </c>
      <c r="H160" s="3">
        <v>45</v>
      </c>
      <c r="I160" s="2">
        <v>1.14013751634802E-2</v>
      </c>
      <c r="J160" s="5">
        <v>327.622297795669</v>
      </c>
      <c r="K160" s="5">
        <v>0.28999999999999998</v>
      </c>
      <c r="L160" s="6">
        <f t="shared" si="10"/>
        <v>1.638111488978345E-3</v>
      </c>
      <c r="P160" s="5">
        <f t="shared" si="11"/>
        <v>0.31769400259175101</v>
      </c>
      <c r="Q160" s="5">
        <f t="shared" si="12"/>
        <v>1.0954965606612104</v>
      </c>
      <c r="S160" s="5">
        <f t="shared" si="13"/>
        <v>0.32010009449656962</v>
      </c>
      <c r="T160" s="5">
        <f t="shared" si="14"/>
        <v>1.1037934292985161</v>
      </c>
      <c r="V160" s="5"/>
      <c r="W160" s="5"/>
    </row>
    <row r="161" spans="1:23" x14ac:dyDescent="0.25">
      <c r="A161" s="1" t="s">
        <v>56</v>
      </c>
      <c r="B161" s="3">
        <v>20</v>
      </c>
      <c r="C161" s="4">
        <v>598</v>
      </c>
      <c r="D161" s="4">
        <v>1</v>
      </c>
      <c r="E161" s="3">
        <v>40</v>
      </c>
      <c r="F161" s="5">
        <v>2.8</v>
      </c>
      <c r="G161" s="3">
        <v>40</v>
      </c>
      <c r="H161" s="3">
        <v>50</v>
      </c>
      <c r="I161" s="2">
        <v>5.4123833185813597E-2</v>
      </c>
      <c r="J161" s="5">
        <v>158.12531340890899</v>
      </c>
      <c r="K161" s="5">
        <v>0.17</v>
      </c>
      <c r="L161" s="6">
        <f t="shared" si="10"/>
        <v>7.90626567044545E-4</v>
      </c>
      <c r="P161" s="5">
        <f t="shared" si="11"/>
        <v>0.17132677907285956</v>
      </c>
      <c r="Q161" s="5">
        <f t="shared" si="12"/>
        <v>1.0078045827815267</v>
      </c>
      <c r="S161" s="5">
        <f t="shared" si="13"/>
        <v>0.16592397026654734</v>
      </c>
      <c r="T161" s="5">
        <f t="shared" si="14"/>
        <v>0.97602335450910194</v>
      </c>
      <c r="V161" s="5"/>
      <c r="W161" s="5"/>
    </row>
    <row r="162" spans="1:23" x14ac:dyDescent="0.25">
      <c r="B162" s="3">
        <v>20</v>
      </c>
      <c r="C162" s="4">
        <v>598</v>
      </c>
      <c r="D162" s="4">
        <v>1</v>
      </c>
      <c r="E162" s="3">
        <v>40</v>
      </c>
      <c r="F162" s="5">
        <v>2.8</v>
      </c>
      <c r="G162" s="3">
        <v>40</v>
      </c>
      <c r="H162" s="3">
        <v>50</v>
      </c>
      <c r="I162" s="2">
        <v>5.4123833185813597E-2</v>
      </c>
      <c r="J162" s="5">
        <v>195.989693456471</v>
      </c>
      <c r="K162" s="5">
        <v>0.2</v>
      </c>
      <c r="L162" s="6">
        <f t="shared" si="10"/>
        <v>9.7994846728235497E-4</v>
      </c>
      <c r="P162" s="5">
        <f t="shared" si="11"/>
        <v>0.20509427017991055</v>
      </c>
      <c r="Q162" s="5">
        <f t="shared" si="12"/>
        <v>1.0254713508995528</v>
      </c>
      <c r="S162" s="5">
        <f t="shared" si="13"/>
        <v>0.19931001305252458</v>
      </c>
      <c r="T162" s="5">
        <f t="shared" si="14"/>
        <v>0.9965500652626228</v>
      </c>
      <c r="V162" s="5"/>
      <c r="W162" s="5"/>
    </row>
    <row r="163" spans="1:23" x14ac:dyDescent="0.25">
      <c r="B163" s="3">
        <v>20</v>
      </c>
      <c r="C163" s="4">
        <v>598</v>
      </c>
      <c r="D163" s="4">
        <v>1</v>
      </c>
      <c r="E163" s="3">
        <v>40</v>
      </c>
      <c r="F163" s="5">
        <v>2.8</v>
      </c>
      <c r="G163" s="3">
        <v>40</v>
      </c>
      <c r="H163" s="3">
        <v>50</v>
      </c>
      <c r="I163" s="2">
        <v>5.4123833185813597E-2</v>
      </c>
      <c r="J163" s="5">
        <v>233.418982342947</v>
      </c>
      <c r="K163" s="5">
        <v>0.24</v>
      </c>
      <c r="L163" s="6">
        <f t="shared" si="10"/>
        <v>1.167094911714735E-3</v>
      </c>
      <c r="P163" s="5">
        <f t="shared" si="11"/>
        <v>0.23744344745711315</v>
      </c>
      <c r="Q163" s="5">
        <f t="shared" si="12"/>
        <v>0.98934769773797149</v>
      </c>
      <c r="S163" s="5">
        <f t="shared" si="13"/>
        <v>0.23139300512542924</v>
      </c>
      <c r="T163" s="5">
        <f t="shared" si="14"/>
        <v>0.96413752135595521</v>
      </c>
      <c r="V163" s="5"/>
      <c r="W163" s="5"/>
    </row>
    <row r="164" spans="1:23" x14ac:dyDescent="0.25">
      <c r="B164" s="3">
        <v>20</v>
      </c>
      <c r="C164" s="4">
        <v>598</v>
      </c>
      <c r="D164" s="4">
        <v>1</v>
      </c>
      <c r="E164" s="3">
        <v>40</v>
      </c>
      <c r="F164" s="5">
        <v>2.8</v>
      </c>
      <c r="G164" s="3">
        <v>40</v>
      </c>
      <c r="H164" s="3">
        <v>50</v>
      </c>
      <c r="I164" s="2">
        <v>5.4123833185813597E-2</v>
      </c>
      <c r="J164" s="5">
        <v>270.64147957811599</v>
      </c>
      <c r="K164" s="5">
        <v>0.27</v>
      </c>
      <c r="L164" s="6">
        <f t="shared" si="10"/>
        <v>1.35320739789058E-3</v>
      </c>
      <c r="P164" s="5">
        <f t="shared" si="11"/>
        <v>0.26878717977910027</v>
      </c>
      <c r="Q164" s="5">
        <f t="shared" si="12"/>
        <v>0.99550807325592683</v>
      </c>
      <c r="S164" s="5">
        <f t="shared" si="13"/>
        <v>0.26255888456152049</v>
      </c>
      <c r="T164" s="5">
        <f t="shared" si="14"/>
        <v>0.97244031319081659</v>
      </c>
      <c r="V164" s="5"/>
      <c r="W164" s="5"/>
    </row>
    <row r="165" spans="1:23" x14ac:dyDescent="0.25">
      <c r="B165" s="3">
        <v>20</v>
      </c>
      <c r="C165" s="4">
        <v>598</v>
      </c>
      <c r="D165" s="4">
        <v>1</v>
      </c>
      <c r="E165" s="3">
        <v>40</v>
      </c>
      <c r="F165" s="5">
        <v>2.8</v>
      </c>
      <c r="G165" s="3">
        <v>40</v>
      </c>
      <c r="H165" s="3">
        <v>50</v>
      </c>
      <c r="I165" s="2">
        <v>5.4123833185813597E-2</v>
      </c>
      <c r="J165" s="5">
        <v>307.450393510673</v>
      </c>
      <c r="K165" s="5">
        <v>0.32</v>
      </c>
      <c r="L165" s="6">
        <f t="shared" si="10"/>
        <v>1.537251967553365E-3</v>
      </c>
      <c r="P165" s="5">
        <f t="shared" si="11"/>
        <v>0.29910079836909992</v>
      </c>
      <c r="Q165" s="5">
        <f t="shared" si="12"/>
        <v>0.93468999490343718</v>
      </c>
      <c r="S165" s="5">
        <f t="shared" si="13"/>
        <v>0.29276680384742443</v>
      </c>
      <c r="T165" s="5">
        <f t="shared" si="14"/>
        <v>0.91489626202320129</v>
      </c>
      <c r="V165" s="5"/>
      <c r="W165" s="5"/>
    </row>
    <row r="166" spans="1:23" x14ac:dyDescent="0.25">
      <c r="B166" s="3">
        <v>20</v>
      </c>
      <c r="C166" s="4">
        <v>598</v>
      </c>
      <c r="D166" s="4">
        <v>1</v>
      </c>
      <c r="E166" s="3">
        <v>40</v>
      </c>
      <c r="F166" s="5">
        <v>2.8</v>
      </c>
      <c r="G166" s="3">
        <v>40</v>
      </c>
      <c r="H166" s="3">
        <v>50</v>
      </c>
      <c r="I166" s="2">
        <v>5.4123833185813597E-2</v>
      </c>
      <c r="J166" s="5">
        <v>345.293265699762</v>
      </c>
      <c r="K166" s="5">
        <v>0.34</v>
      </c>
      <c r="L166" s="6">
        <f t="shared" si="10"/>
        <v>1.72646632849881E-3</v>
      </c>
      <c r="P166" s="5">
        <f t="shared" si="11"/>
        <v>0.32965807055328761</v>
      </c>
      <c r="Q166" s="5">
        <f t="shared" si="12"/>
        <v>0.96958256045084579</v>
      </c>
      <c r="S166" s="5">
        <f t="shared" si="13"/>
        <v>0.32327683129446622</v>
      </c>
      <c r="T166" s="5">
        <f t="shared" si="14"/>
        <v>0.9508142096896065</v>
      </c>
      <c r="V166" s="5"/>
      <c r="W166" s="5"/>
    </row>
    <row r="167" spans="1:23" x14ac:dyDescent="0.25">
      <c r="A167" s="1" t="s">
        <v>57</v>
      </c>
      <c r="B167" s="3">
        <v>20</v>
      </c>
      <c r="C167" s="4">
        <v>598</v>
      </c>
      <c r="D167" s="4">
        <v>1</v>
      </c>
      <c r="E167" s="3">
        <v>40</v>
      </c>
      <c r="F167" s="5">
        <v>2.8</v>
      </c>
      <c r="G167" s="3">
        <v>40</v>
      </c>
      <c r="H167" s="3">
        <v>50</v>
      </c>
      <c r="I167" s="2">
        <v>5.4123833185813597E-2</v>
      </c>
      <c r="J167" s="5">
        <v>126.536596314205</v>
      </c>
      <c r="K167" s="5">
        <v>0.16</v>
      </c>
      <c r="L167" s="6">
        <f t="shared" si="10"/>
        <v>6.3268298157102495E-4</v>
      </c>
      <c r="P167" s="5">
        <f t="shared" si="11"/>
        <v>0.14214094874708219</v>
      </c>
      <c r="Q167" s="5">
        <f t="shared" si="12"/>
        <v>0.88838092966926363</v>
      </c>
      <c r="S167" s="5">
        <f t="shared" si="13"/>
        <v>0.13716854334206588</v>
      </c>
      <c r="T167" s="5">
        <f t="shared" si="14"/>
        <v>0.85730339588791171</v>
      </c>
      <c r="V167" s="5"/>
      <c r="W167" s="5"/>
    </row>
    <row r="168" spans="1:23" x14ac:dyDescent="0.25">
      <c r="B168" s="3">
        <v>20</v>
      </c>
      <c r="C168" s="4">
        <v>598</v>
      </c>
      <c r="D168" s="4">
        <v>1</v>
      </c>
      <c r="E168" s="3">
        <v>40</v>
      </c>
      <c r="F168" s="5">
        <v>2.8</v>
      </c>
      <c r="G168" s="3">
        <v>40</v>
      </c>
      <c r="H168" s="3">
        <v>50</v>
      </c>
      <c r="I168" s="2">
        <v>5.4123833185813597E-2</v>
      </c>
      <c r="J168" s="5">
        <v>158.66994646226601</v>
      </c>
      <c r="K168" s="5">
        <v>0.2</v>
      </c>
      <c r="L168" s="6">
        <f t="shared" si="10"/>
        <v>7.9334973231133001E-4</v>
      </c>
      <c r="P168" s="5">
        <f t="shared" si="11"/>
        <v>0.17182114763501682</v>
      </c>
      <c r="Q168" s="5">
        <f t="shared" si="12"/>
        <v>0.85910573817508407</v>
      </c>
      <c r="S168" s="5">
        <f t="shared" si="13"/>
        <v>0.16641190364717715</v>
      </c>
      <c r="T168" s="5">
        <f t="shared" si="14"/>
        <v>0.83205951823588564</v>
      </c>
      <c r="V168" s="5"/>
      <c r="W168" s="5"/>
    </row>
    <row r="169" spans="1:23" x14ac:dyDescent="0.25">
      <c r="B169" s="3">
        <v>20</v>
      </c>
      <c r="C169" s="4">
        <v>598</v>
      </c>
      <c r="D169" s="4">
        <v>1</v>
      </c>
      <c r="E169" s="3">
        <v>40</v>
      </c>
      <c r="F169" s="5">
        <v>2.8</v>
      </c>
      <c r="G169" s="3">
        <v>40</v>
      </c>
      <c r="H169" s="3">
        <v>50</v>
      </c>
      <c r="I169" s="2">
        <v>5.4123833185813597E-2</v>
      </c>
      <c r="J169" s="5">
        <v>195.36931850255101</v>
      </c>
      <c r="K169" s="5">
        <v>0.24</v>
      </c>
      <c r="L169" s="6">
        <f t="shared" si="10"/>
        <v>9.7684659251275497E-4</v>
      </c>
      <c r="P169" s="5">
        <f t="shared" si="11"/>
        <v>0.20455010588686606</v>
      </c>
      <c r="Q169" s="5">
        <f t="shared" si="12"/>
        <v>0.85229210786194198</v>
      </c>
      <c r="S169" s="5">
        <f t="shared" si="13"/>
        <v>0.19877111269339789</v>
      </c>
      <c r="T169" s="5">
        <f t="shared" si="14"/>
        <v>0.82821296955582457</v>
      </c>
      <c r="V169" s="5"/>
      <c r="W169" s="5"/>
    </row>
    <row r="170" spans="1:23" x14ac:dyDescent="0.25">
      <c r="B170" s="3">
        <v>20</v>
      </c>
      <c r="C170" s="4">
        <v>598</v>
      </c>
      <c r="D170" s="4">
        <v>1</v>
      </c>
      <c r="E170" s="3">
        <v>40</v>
      </c>
      <c r="F170" s="5">
        <v>2.8</v>
      </c>
      <c r="G170" s="3">
        <v>40</v>
      </c>
      <c r="H170" s="3">
        <v>50</v>
      </c>
      <c r="I170" s="2">
        <v>5.4123833185813597E-2</v>
      </c>
      <c r="J170" s="5">
        <v>232.38502408641401</v>
      </c>
      <c r="K170" s="5">
        <v>0.27</v>
      </c>
      <c r="L170" s="6">
        <f t="shared" si="10"/>
        <v>1.16192512043207E-3</v>
      </c>
      <c r="P170" s="5">
        <f t="shared" si="11"/>
        <v>0.23656173473605074</v>
      </c>
      <c r="Q170" s="5">
        <f t="shared" si="12"/>
        <v>0.87615457309648415</v>
      </c>
      <c r="S170" s="5">
        <f t="shared" si="13"/>
        <v>0.23051738530976063</v>
      </c>
      <c r="T170" s="5">
        <f t="shared" si="14"/>
        <v>0.85376809373985407</v>
      </c>
      <c r="V170" s="5"/>
      <c r="W170" s="5"/>
    </row>
    <row r="171" spans="1:23" x14ac:dyDescent="0.25">
      <c r="B171" s="3">
        <v>20</v>
      </c>
      <c r="C171" s="4">
        <v>598</v>
      </c>
      <c r="D171" s="4">
        <v>1</v>
      </c>
      <c r="E171" s="3">
        <v>40</v>
      </c>
      <c r="F171" s="5">
        <v>2.8</v>
      </c>
      <c r="G171" s="3">
        <v>40</v>
      </c>
      <c r="H171" s="3">
        <v>50</v>
      </c>
      <c r="I171" s="2">
        <v>5.4123833185813597E-2</v>
      </c>
      <c r="J171" s="5">
        <v>270.84827122942301</v>
      </c>
      <c r="K171" s="5">
        <v>0.28999999999999998</v>
      </c>
      <c r="L171" s="6">
        <f t="shared" si="10"/>
        <v>1.354241356147115E-3</v>
      </c>
      <c r="P171" s="5">
        <f t="shared" si="11"/>
        <v>0.26895927322858398</v>
      </c>
      <c r="Q171" s="5">
        <f t="shared" si="12"/>
        <v>0.92744576975373794</v>
      </c>
      <c r="S171" s="5">
        <f t="shared" si="13"/>
        <v>0.26273020099082439</v>
      </c>
      <c r="T171" s="5">
        <f t="shared" si="14"/>
        <v>0.90596621031318758</v>
      </c>
      <c r="V171" s="5"/>
      <c r="W171" s="5"/>
    </row>
    <row r="172" spans="1:23" x14ac:dyDescent="0.25">
      <c r="B172" s="3">
        <v>20</v>
      </c>
      <c r="C172" s="4">
        <v>598</v>
      </c>
      <c r="D172" s="4">
        <v>1</v>
      </c>
      <c r="E172" s="3">
        <v>40</v>
      </c>
      <c r="F172" s="5">
        <v>2.8</v>
      </c>
      <c r="G172" s="3">
        <v>40</v>
      </c>
      <c r="H172" s="3">
        <v>50</v>
      </c>
      <c r="I172" s="2">
        <v>5.4123833185813597E-2</v>
      </c>
      <c r="J172" s="5">
        <v>307.450393510673</v>
      </c>
      <c r="K172" s="5">
        <v>0.32</v>
      </c>
      <c r="L172" s="6">
        <f t="shared" si="10"/>
        <v>1.537251967553365E-3</v>
      </c>
      <c r="P172" s="5">
        <f t="shared" si="11"/>
        <v>0.29910079836909992</v>
      </c>
      <c r="Q172" s="5">
        <f t="shared" si="12"/>
        <v>0.93468999490343718</v>
      </c>
      <c r="S172" s="5">
        <f t="shared" si="13"/>
        <v>0.29276680384742443</v>
      </c>
      <c r="T172" s="5">
        <f t="shared" si="14"/>
        <v>0.91489626202320129</v>
      </c>
      <c r="V172" s="5"/>
      <c r="W172" s="5"/>
    </row>
    <row r="173" spans="1:23" x14ac:dyDescent="0.25">
      <c r="B173" s="3">
        <v>20</v>
      </c>
      <c r="C173" s="4">
        <v>598</v>
      </c>
      <c r="D173" s="4">
        <v>1</v>
      </c>
      <c r="E173" s="3">
        <v>40</v>
      </c>
      <c r="F173" s="5">
        <v>2.8</v>
      </c>
      <c r="G173" s="3">
        <v>40</v>
      </c>
      <c r="H173" s="3">
        <v>50</v>
      </c>
      <c r="I173" s="2">
        <v>5.4123833185813597E-2</v>
      </c>
      <c r="J173" s="5">
        <v>325.23447552303202</v>
      </c>
      <c r="K173" s="5">
        <v>0.33</v>
      </c>
      <c r="L173" s="6">
        <f t="shared" si="10"/>
        <v>1.62617237761516E-3</v>
      </c>
      <c r="P173" s="5">
        <f t="shared" si="11"/>
        <v>0.31353267507336596</v>
      </c>
      <c r="Q173" s="5">
        <f t="shared" si="12"/>
        <v>0.95009901537383623</v>
      </c>
      <c r="S173" s="5">
        <f t="shared" si="13"/>
        <v>0.30716930247179913</v>
      </c>
      <c r="T173" s="5">
        <f t="shared" si="14"/>
        <v>0.93081606809636097</v>
      </c>
      <c r="V173" s="5"/>
      <c r="W173" s="5"/>
    </row>
    <row r="174" spans="1:23" x14ac:dyDescent="0.25">
      <c r="A174" s="1" t="s">
        <v>58</v>
      </c>
      <c r="B174" s="3">
        <v>10</v>
      </c>
      <c r="C174" s="4">
        <v>528</v>
      </c>
      <c r="D174" s="4">
        <v>1</v>
      </c>
      <c r="E174" s="3">
        <v>45</v>
      </c>
      <c r="F174" s="5">
        <v>2.8</v>
      </c>
      <c r="G174" s="3">
        <v>40</v>
      </c>
      <c r="H174" s="3">
        <v>45</v>
      </c>
      <c r="I174" s="2">
        <v>7.9598096831560508E-3</v>
      </c>
      <c r="J174" s="5">
        <v>155.01440265260501</v>
      </c>
      <c r="K174" s="5">
        <v>0.15</v>
      </c>
      <c r="L174" s="6">
        <f t="shared" si="10"/>
        <v>7.7507201326302503E-4</v>
      </c>
      <c r="P174" s="5">
        <f t="shared" si="11"/>
        <v>0.2023577851652977</v>
      </c>
      <c r="Q174" s="5">
        <f t="shared" si="12"/>
        <v>1.3490519011019848</v>
      </c>
      <c r="S174" s="5">
        <f t="shared" si="13"/>
        <v>0.20953338209159142</v>
      </c>
      <c r="T174" s="5">
        <f t="shared" si="14"/>
        <v>1.3968892139439428</v>
      </c>
      <c r="V174" s="5"/>
      <c r="W174" s="5"/>
    </row>
    <row r="175" spans="1:23" x14ac:dyDescent="0.25">
      <c r="B175" s="3">
        <v>10</v>
      </c>
      <c r="C175" s="4">
        <v>528</v>
      </c>
      <c r="D175" s="4">
        <v>1</v>
      </c>
      <c r="E175" s="3">
        <v>45</v>
      </c>
      <c r="F175" s="5">
        <v>2.8</v>
      </c>
      <c r="G175" s="3">
        <v>40</v>
      </c>
      <c r="H175" s="3">
        <v>45</v>
      </c>
      <c r="I175" s="2">
        <v>7.9598096831560508E-3</v>
      </c>
      <c r="J175" s="5">
        <v>188.98127924359699</v>
      </c>
      <c r="K175" s="5">
        <v>0.19</v>
      </c>
      <c r="L175" s="6">
        <f t="shared" si="10"/>
        <v>9.4490639621798499E-4</v>
      </c>
      <c r="P175" s="5">
        <f t="shared" si="11"/>
        <v>0.23890601262840502</v>
      </c>
      <c r="Q175" s="5">
        <f t="shared" si="12"/>
        <v>1.2574000664652896</v>
      </c>
      <c r="S175" s="5">
        <f t="shared" si="13"/>
        <v>0.24816305869529234</v>
      </c>
      <c r="T175" s="5">
        <f t="shared" si="14"/>
        <v>1.3061213615541702</v>
      </c>
      <c r="V175" s="5"/>
      <c r="W175" s="5"/>
    </row>
    <row r="176" spans="1:23" x14ac:dyDescent="0.25">
      <c r="B176" s="3">
        <v>10</v>
      </c>
      <c r="C176" s="4">
        <v>528</v>
      </c>
      <c r="D176" s="4">
        <v>1</v>
      </c>
      <c r="E176" s="3">
        <v>45</v>
      </c>
      <c r="F176" s="5">
        <v>2.8</v>
      </c>
      <c r="G176" s="3">
        <v>40</v>
      </c>
      <c r="H176" s="3">
        <v>45</v>
      </c>
      <c r="I176" s="2">
        <v>7.9598096831560508E-3</v>
      </c>
      <c r="J176" s="5">
        <v>195.77465456179601</v>
      </c>
      <c r="K176" s="5">
        <v>0.2</v>
      </c>
      <c r="L176" s="6">
        <f t="shared" si="10"/>
        <v>9.7887327280898016E-4</v>
      </c>
      <c r="P176" s="5">
        <f t="shared" si="11"/>
        <v>0.24608211872091437</v>
      </c>
      <c r="Q176" s="5">
        <f t="shared" si="12"/>
        <v>1.2304105936045717</v>
      </c>
      <c r="S176" s="5">
        <f t="shared" si="13"/>
        <v>0.25576170218053612</v>
      </c>
      <c r="T176" s="5">
        <f t="shared" si="14"/>
        <v>1.2788085109026806</v>
      </c>
      <c r="V176" s="5"/>
      <c r="W176" s="5"/>
    </row>
    <row r="177" spans="1:23" x14ac:dyDescent="0.25">
      <c r="B177" s="3">
        <v>10</v>
      </c>
      <c r="C177" s="4">
        <v>528</v>
      </c>
      <c r="D177" s="4">
        <v>1</v>
      </c>
      <c r="E177" s="3">
        <v>45</v>
      </c>
      <c r="F177" s="5">
        <v>2.8</v>
      </c>
      <c r="G177" s="3">
        <v>40</v>
      </c>
      <c r="H177" s="3">
        <v>45</v>
      </c>
      <c r="I177" s="2">
        <v>7.9598096831560508E-3</v>
      </c>
      <c r="J177" s="5">
        <v>224.457794794189</v>
      </c>
      <c r="K177" s="5">
        <v>0.23</v>
      </c>
      <c r="L177" s="6">
        <f t="shared" si="10"/>
        <v>1.1222889739709451E-3</v>
      </c>
      <c r="P177" s="5">
        <f t="shared" si="11"/>
        <v>0.27595547203891019</v>
      </c>
      <c r="Q177" s="5">
        <f t="shared" si="12"/>
        <v>1.1998064001691746</v>
      </c>
      <c r="S177" s="5">
        <f t="shared" si="13"/>
        <v>0.28743822228068666</v>
      </c>
      <c r="T177" s="5">
        <f t="shared" si="14"/>
        <v>1.2497314012203766</v>
      </c>
      <c r="V177" s="5"/>
      <c r="W177" s="5"/>
    </row>
    <row r="178" spans="1:23" x14ac:dyDescent="0.25">
      <c r="B178" s="3">
        <v>10</v>
      </c>
      <c r="C178" s="4">
        <v>528</v>
      </c>
      <c r="D178" s="4">
        <v>1</v>
      </c>
      <c r="E178" s="3">
        <v>45</v>
      </c>
      <c r="F178" s="5">
        <v>2.8</v>
      </c>
      <c r="G178" s="3">
        <v>40</v>
      </c>
      <c r="H178" s="3">
        <v>45</v>
      </c>
      <c r="I178" s="2">
        <v>7.9598096831560508E-3</v>
      </c>
      <c r="J178" s="5">
        <v>244.083101268984</v>
      </c>
      <c r="K178" s="5">
        <v>0.25</v>
      </c>
      <c r="L178" s="6">
        <f t="shared" si="10"/>
        <v>1.2204155063449201E-3</v>
      </c>
      <c r="P178" s="5">
        <f t="shared" si="11"/>
        <v>0.29603614611426488</v>
      </c>
      <c r="Q178" s="5">
        <f t="shared" si="12"/>
        <v>1.1841445844570595</v>
      </c>
      <c r="S178" s="5">
        <f t="shared" si="13"/>
        <v>0.30876829386945814</v>
      </c>
      <c r="T178" s="5">
        <f t="shared" si="14"/>
        <v>1.2350731754778326</v>
      </c>
      <c r="V178" s="5"/>
      <c r="W178" s="5"/>
    </row>
    <row r="179" spans="1:23" x14ac:dyDescent="0.25">
      <c r="B179" s="3">
        <v>10</v>
      </c>
      <c r="C179" s="4">
        <v>528</v>
      </c>
      <c r="D179" s="4">
        <v>1</v>
      </c>
      <c r="E179" s="3">
        <v>45</v>
      </c>
      <c r="F179" s="5">
        <v>2.8</v>
      </c>
      <c r="G179" s="3">
        <v>40</v>
      </c>
      <c r="H179" s="3">
        <v>45</v>
      </c>
      <c r="I179" s="2">
        <v>7.9598096831560508E-3</v>
      </c>
      <c r="J179" s="5">
        <v>265.97286618317901</v>
      </c>
      <c r="K179" s="5">
        <v>0.28000000000000003</v>
      </c>
      <c r="L179" s="6">
        <f t="shared" si="10"/>
        <v>1.329864330915895E-3</v>
      </c>
      <c r="P179" s="5">
        <f t="shared" si="11"/>
        <v>0.31812794779388515</v>
      </c>
      <c r="Q179" s="5">
        <f t="shared" si="12"/>
        <v>1.1361712421210182</v>
      </c>
      <c r="S179" s="5">
        <f t="shared" si="13"/>
        <v>0.33226651326597828</v>
      </c>
      <c r="T179" s="5">
        <f t="shared" si="14"/>
        <v>1.1866661188070651</v>
      </c>
      <c r="V179" s="5"/>
      <c r="W179" s="5"/>
    </row>
    <row r="180" spans="1:23" x14ac:dyDescent="0.25">
      <c r="B180" s="3">
        <v>10</v>
      </c>
      <c r="C180" s="4">
        <v>528</v>
      </c>
      <c r="D180" s="4">
        <v>1</v>
      </c>
      <c r="E180" s="3">
        <v>45</v>
      </c>
      <c r="F180" s="5">
        <v>2.8</v>
      </c>
      <c r="G180" s="3">
        <v>40</v>
      </c>
      <c r="H180" s="3">
        <v>45</v>
      </c>
      <c r="I180" s="2">
        <v>7.9598096831560508E-3</v>
      </c>
      <c r="J180" s="5">
        <v>285.59817265797398</v>
      </c>
      <c r="K180" s="5">
        <v>0.31</v>
      </c>
      <c r="L180" s="6">
        <f t="shared" si="10"/>
        <v>1.4279908632898698E-3</v>
      </c>
      <c r="P180" s="5">
        <f t="shared" si="11"/>
        <v>0.33768454474283166</v>
      </c>
      <c r="Q180" s="5">
        <f t="shared" si="12"/>
        <v>1.0893049830413926</v>
      </c>
      <c r="S180" s="5">
        <f t="shared" si="13"/>
        <v>0.35309423251771066</v>
      </c>
      <c r="T180" s="5">
        <f t="shared" si="14"/>
        <v>1.1390136532829376</v>
      </c>
      <c r="V180" s="5"/>
      <c r="W180" s="5"/>
    </row>
    <row r="181" spans="1:23" x14ac:dyDescent="0.25">
      <c r="B181" s="3">
        <v>10</v>
      </c>
      <c r="C181" s="4">
        <v>528</v>
      </c>
      <c r="D181" s="4">
        <v>1</v>
      </c>
      <c r="E181" s="3">
        <v>45</v>
      </c>
      <c r="F181" s="5">
        <v>2.8</v>
      </c>
      <c r="G181" s="3">
        <v>40</v>
      </c>
      <c r="H181" s="3">
        <v>45</v>
      </c>
      <c r="I181" s="2">
        <v>7.9598096831560508E-3</v>
      </c>
      <c r="J181" s="5">
        <v>308.99757653176903</v>
      </c>
      <c r="K181" s="5">
        <v>0.36</v>
      </c>
      <c r="L181" s="6">
        <f t="shared" si="10"/>
        <v>1.5449878826588452E-3</v>
      </c>
      <c r="P181" s="5">
        <f t="shared" si="11"/>
        <v>0.36072022229555961</v>
      </c>
      <c r="Q181" s="5">
        <f t="shared" si="12"/>
        <v>1.0020006174876657</v>
      </c>
      <c r="S181" s="5">
        <f t="shared" si="13"/>
        <v>0.37765663917449172</v>
      </c>
      <c r="T181" s="5">
        <f t="shared" si="14"/>
        <v>1.0490462199291437</v>
      </c>
      <c r="V181" s="5"/>
      <c r="W181" s="5"/>
    </row>
    <row r="182" spans="1:23" x14ac:dyDescent="0.25">
      <c r="A182" s="1" t="s">
        <v>59</v>
      </c>
      <c r="B182" s="3">
        <v>10</v>
      </c>
      <c r="C182" s="4">
        <v>528</v>
      </c>
      <c r="D182" s="4">
        <v>1</v>
      </c>
      <c r="E182" s="3">
        <v>45</v>
      </c>
      <c r="F182" s="5">
        <v>2.8</v>
      </c>
      <c r="G182" s="3">
        <v>40</v>
      </c>
      <c r="H182" s="3">
        <v>45</v>
      </c>
      <c r="I182" s="2">
        <v>7.9598096831560508E-3</v>
      </c>
      <c r="J182" s="5">
        <v>152.74994421320599</v>
      </c>
      <c r="K182" s="5">
        <v>0.16</v>
      </c>
      <c r="L182" s="6">
        <f t="shared" si="10"/>
        <v>7.6374972106603E-4</v>
      </c>
      <c r="P182" s="5">
        <f t="shared" si="11"/>
        <v>0.19987766489082331</v>
      </c>
      <c r="Q182" s="5">
        <f t="shared" si="12"/>
        <v>1.2492354055676458</v>
      </c>
      <c r="S182" s="5">
        <f t="shared" si="13"/>
        <v>0.2069165920491175</v>
      </c>
      <c r="T182" s="5">
        <f t="shared" si="14"/>
        <v>1.2932287003069844</v>
      </c>
      <c r="V182" s="5"/>
      <c r="W182" s="5"/>
    </row>
    <row r="183" spans="1:23" x14ac:dyDescent="0.25">
      <c r="B183" s="3">
        <v>10</v>
      </c>
      <c r="C183" s="4">
        <v>528</v>
      </c>
      <c r="D183" s="4">
        <v>1</v>
      </c>
      <c r="E183" s="3">
        <v>45</v>
      </c>
      <c r="F183" s="5">
        <v>2.8</v>
      </c>
      <c r="G183" s="3">
        <v>40</v>
      </c>
      <c r="H183" s="3">
        <v>45</v>
      </c>
      <c r="I183" s="2">
        <v>7.9598096831560508E-3</v>
      </c>
      <c r="J183" s="5">
        <v>175.39452860719999</v>
      </c>
      <c r="K183" s="5">
        <v>0.18</v>
      </c>
      <c r="L183" s="6">
        <f t="shared" si="10"/>
        <v>8.7697264303599994E-4</v>
      </c>
      <c r="P183" s="5">
        <f t="shared" si="11"/>
        <v>0.22442621308060795</v>
      </c>
      <c r="Q183" s="5">
        <f t="shared" si="12"/>
        <v>1.2468122948922664</v>
      </c>
      <c r="S183" s="5">
        <f t="shared" si="13"/>
        <v>0.23284407478311692</v>
      </c>
      <c r="T183" s="5">
        <f t="shared" si="14"/>
        <v>1.2935781932395385</v>
      </c>
      <c r="V183" s="5"/>
      <c r="W183" s="5"/>
    </row>
    <row r="184" spans="1:23" x14ac:dyDescent="0.25">
      <c r="B184" s="3">
        <v>10</v>
      </c>
      <c r="C184" s="4">
        <v>528</v>
      </c>
      <c r="D184" s="4">
        <v>1</v>
      </c>
      <c r="E184" s="3">
        <v>45</v>
      </c>
      <c r="F184" s="5">
        <v>2.8</v>
      </c>
      <c r="G184" s="3">
        <v>40</v>
      </c>
      <c r="H184" s="3">
        <v>45</v>
      </c>
      <c r="I184" s="2">
        <v>7.9598096831560508E-3</v>
      </c>
      <c r="J184" s="5">
        <v>196.52947404159499</v>
      </c>
      <c r="K184" s="5">
        <v>0.2</v>
      </c>
      <c r="L184" s="6">
        <f t="shared" si="10"/>
        <v>9.8264737020797507E-4</v>
      </c>
      <c r="P184" s="5">
        <f t="shared" si="11"/>
        <v>0.24687695056831213</v>
      </c>
      <c r="Q184" s="5">
        <f t="shared" si="12"/>
        <v>1.2343847528415606</v>
      </c>
      <c r="S184" s="5">
        <f t="shared" si="13"/>
        <v>0.25660359721022441</v>
      </c>
      <c r="T184" s="5">
        <f t="shared" si="14"/>
        <v>1.2830179860511219</v>
      </c>
      <c r="V184" s="5"/>
      <c r="W184" s="5"/>
    </row>
    <row r="185" spans="1:23" x14ac:dyDescent="0.25">
      <c r="B185" s="3">
        <v>10</v>
      </c>
      <c r="C185" s="4">
        <v>528</v>
      </c>
      <c r="D185" s="4">
        <v>1</v>
      </c>
      <c r="E185" s="3">
        <v>45</v>
      </c>
      <c r="F185" s="5">
        <v>2.8</v>
      </c>
      <c r="G185" s="3">
        <v>40</v>
      </c>
      <c r="H185" s="3">
        <v>45</v>
      </c>
      <c r="I185" s="2">
        <v>7.9598096831560508E-3</v>
      </c>
      <c r="J185" s="5">
        <v>218.41923895579001</v>
      </c>
      <c r="K185" s="5">
        <v>0.23</v>
      </c>
      <c r="L185" s="6">
        <f t="shared" si="10"/>
        <v>1.09209619477895E-3</v>
      </c>
      <c r="P185" s="5">
        <f t="shared" si="11"/>
        <v>0.26972046763698665</v>
      </c>
      <c r="Q185" s="5">
        <f t="shared" si="12"/>
        <v>1.1726976853782027</v>
      </c>
      <c r="S185" s="5">
        <f t="shared" si="13"/>
        <v>0.28082121308277708</v>
      </c>
      <c r="T185" s="5">
        <f t="shared" si="14"/>
        <v>1.2209617960120742</v>
      </c>
      <c r="V185" s="5"/>
      <c r="W185" s="5"/>
    </row>
    <row r="186" spans="1:23" x14ac:dyDescent="0.25">
      <c r="B186" s="3">
        <v>10</v>
      </c>
      <c r="C186" s="4">
        <v>528</v>
      </c>
      <c r="D186" s="4">
        <v>1</v>
      </c>
      <c r="E186" s="3">
        <v>45</v>
      </c>
      <c r="F186" s="5">
        <v>2.8</v>
      </c>
      <c r="G186" s="3">
        <v>40</v>
      </c>
      <c r="H186" s="3">
        <v>45</v>
      </c>
      <c r="I186" s="2">
        <v>7.9598096831560508E-3</v>
      </c>
      <c r="J186" s="5">
        <v>241.818642829585</v>
      </c>
      <c r="K186" s="5">
        <v>0.24</v>
      </c>
      <c r="L186" s="6">
        <f t="shared" si="10"/>
        <v>1.2090932141479249E-3</v>
      </c>
      <c r="P186" s="5">
        <f t="shared" si="11"/>
        <v>0.29373288690393251</v>
      </c>
      <c r="Q186" s="5">
        <f t="shared" si="12"/>
        <v>1.2238870287663854</v>
      </c>
      <c r="S186" s="5">
        <f t="shared" si="13"/>
        <v>0.30632028896299474</v>
      </c>
      <c r="T186" s="5">
        <f t="shared" si="14"/>
        <v>1.2763345373458115</v>
      </c>
      <c r="V186" s="5"/>
      <c r="W186" s="5"/>
    </row>
    <row r="187" spans="1:23" x14ac:dyDescent="0.25">
      <c r="B187" s="3">
        <v>10</v>
      </c>
      <c r="C187" s="4">
        <v>528</v>
      </c>
      <c r="D187" s="4">
        <v>1</v>
      </c>
      <c r="E187" s="3">
        <v>45</v>
      </c>
      <c r="F187" s="5">
        <v>2.8</v>
      </c>
      <c r="G187" s="3">
        <v>40</v>
      </c>
      <c r="H187" s="3">
        <v>45</v>
      </c>
      <c r="I187" s="2">
        <v>7.9598096831560508E-3</v>
      </c>
      <c r="J187" s="5">
        <v>265.97286618317901</v>
      </c>
      <c r="K187" s="5">
        <v>0.25</v>
      </c>
      <c r="L187" s="6">
        <f t="shared" si="10"/>
        <v>1.329864330915895E-3</v>
      </c>
      <c r="P187" s="5">
        <f t="shared" si="11"/>
        <v>0.31812794779388515</v>
      </c>
      <c r="Q187" s="5">
        <f t="shared" si="12"/>
        <v>1.2725117911755406</v>
      </c>
      <c r="S187" s="5">
        <f t="shared" si="13"/>
        <v>0.33226651326597828</v>
      </c>
      <c r="T187" s="5">
        <f t="shared" si="14"/>
        <v>1.3290660530639131</v>
      </c>
      <c r="V187" s="5"/>
      <c r="W187" s="5"/>
    </row>
    <row r="188" spans="1:23" x14ac:dyDescent="0.25">
      <c r="B188" s="3">
        <v>10</v>
      </c>
      <c r="C188" s="4">
        <v>528</v>
      </c>
      <c r="D188" s="4">
        <v>1</v>
      </c>
      <c r="E188" s="3">
        <v>45</v>
      </c>
      <c r="F188" s="5">
        <v>2.8</v>
      </c>
      <c r="G188" s="3">
        <v>40</v>
      </c>
      <c r="H188" s="3">
        <v>45</v>
      </c>
      <c r="I188" s="2">
        <v>7.9598096831560508E-3</v>
      </c>
      <c r="J188" s="5">
        <v>287.86263109737399</v>
      </c>
      <c r="K188" s="5">
        <v>0.27</v>
      </c>
      <c r="L188" s="6">
        <f t="shared" si="10"/>
        <v>1.4393131554868699E-3</v>
      </c>
      <c r="P188" s="5">
        <f t="shared" si="11"/>
        <v>0.33992680478381981</v>
      </c>
      <c r="Q188" s="5">
        <f t="shared" si="12"/>
        <v>1.2589881658659992</v>
      </c>
      <c r="S188" s="5">
        <f t="shared" si="13"/>
        <v>0.35548373088814045</v>
      </c>
      <c r="T188" s="5">
        <f t="shared" si="14"/>
        <v>1.3166064106968163</v>
      </c>
      <c r="V188" s="5"/>
      <c r="W188" s="5"/>
    </row>
    <row r="189" spans="1:23" x14ac:dyDescent="0.25">
      <c r="B189" s="3">
        <v>10</v>
      </c>
      <c r="C189" s="4">
        <v>528</v>
      </c>
      <c r="D189" s="4">
        <v>1</v>
      </c>
      <c r="E189" s="3">
        <v>45</v>
      </c>
      <c r="F189" s="5">
        <v>2.8</v>
      </c>
      <c r="G189" s="3">
        <v>40</v>
      </c>
      <c r="H189" s="3">
        <v>45</v>
      </c>
      <c r="I189" s="2">
        <v>7.9598096831560508E-3</v>
      </c>
      <c r="J189" s="5">
        <v>307.48793757216902</v>
      </c>
      <c r="K189" s="5">
        <v>0.28999999999999998</v>
      </c>
      <c r="L189" s="6">
        <f t="shared" si="10"/>
        <v>1.5374396878608451E-3</v>
      </c>
      <c r="P189" s="5">
        <f t="shared" si="11"/>
        <v>0.3592427998678055</v>
      </c>
      <c r="Q189" s="5">
        <f t="shared" si="12"/>
        <v>1.2387682754062259</v>
      </c>
      <c r="S189" s="5">
        <f t="shared" si="13"/>
        <v>0.3760803780327458</v>
      </c>
      <c r="T189" s="5">
        <f t="shared" si="14"/>
        <v>1.2968288897680891</v>
      </c>
      <c r="V189" s="5"/>
      <c r="W189" s="5"/>
    </row>
    <row r="190" spans="1:23" x14ac:dyDescent="0.25">
      <c r="A190" s="1" t="s">
        <v>60</v>
      </c>
      <c r="B190" s="3">
        <v>10</v>
      </c>
      <c r="C190" s="4">
        <v>528</v>
      </c>
      <c r="D190" s="4">
        <v>1</v>
      </c>
      <c r="E190" s="3">
        <v>45</v>
      </c>
      <c r="F190" s="5">
        <v>2.8</v>
      </c>
      <c r="G190" s="3">
        <v>40</v>
      </c>
      <c r="H190" s="3">
        <v>45</v>
      </c>
      <c r="I190" s="2">
        <v>7.9598096831560508E-3</v>
      </c>
      <c r="J190" s="5">
        <v>177.6589870466</v>
      </c>
      <c r="K190" s="5">
        <v>0.15</v>
      </c>
      <c r="L190" s="6">
        <f t="shared" si="10"/>
        <v>8.8829493523300007E-4</v>
      </c>
      <c r="P190" s="5">
        <f t="shared" si="11"/>
        <v>0.22685178280810883</v>
      </c>
      <c r="Q190" s="5">
        <f t="shared" si="12"/>
        <v>1.5123452187207256</v>
      </c>
      <c r="S190" s="5">
        <f t="shared" si="13"/>
        <v>0.23540893602592303</v>
      </c>
      <c r="T190" s="5">
        <f t="shared" si="14"/>
        <v>1.569392906839487</v>
      </c>
      <c r="V190" s="5"/>
      <c r="W190" s="5"/>
    </row>
    <row r="191" spans="1:23" x14ac:dyDescent="0.25">
      <c r="B191" s="3">
        <v>10</v>
      </c>
      <c r="C191" s="4">
        <v>528</v>
      </c>
      <c r="D191" s="4">
        <v>1</v>
      </c>
      <c r="E191" s="3">
        <v>45</v>
      </c>
      <c r="F191" s="5">
        <v>2.8</v>
      </c>
      <c r="G191" s="3">
        <v>40</v>
      </c>
      <c r="H191" s="3">
        <v>45</v>
      </c>
      <c r="I191" s="2">
        <v>7.9598096831560508E-3</v>
      </c>
      <c r="J191" s="5">
        <v>199.54875196079499</v>
      </c>
      <c r="K191" s="5">
        <v>0.16</v>
      </c>
      <c r="L191" s="6">
        <f t="shared" si="10"/>
        <v>9.9774375980397488E-4</v>
      </c>
      <c r="P191" s="5">
        <f t="shared" si="11"/>
        <v>0.25005135591754402</v>
      </c>
      <c r="Q191" s="5">
        <f t="shared" si="12"/>
        <v>1.56282097448465</v>
      </c>
      <c r="S191" s="5">
        <f t="shared" si="13"/>
        <v>0.25996647832837255</v>
      </c>
      <c r="T191" s="5">
        <f t="shared" si="14"/>
        <v>1.6247904895523284</v>
      </c>
      <c r="V191" s="5"/>
      <c r="W191" s="5"/>
    </row>
    <row r="192" spans="1:23" x14ac:dyDescent="0.25">
      <c r="B192" s="3">
        <v>10</v>
      </c>
      <c r="C192" s="4">
        <v>528</v>
      </c>
      <c r="D192" s="4">
        <v>1</v>
      </c>
      <c r="E192" s="3">
        <v>45</v>
      </c>
      <c r="F192" s="5">
        <v>2.8</v>
      </c>
      <c r="G192" s="3">
        <v>40</v>
      </c>
      <c r="H192" s="3">
        <v>45</v>
      </c>
      <c r="I192" s="2">
        <v>7.9598096831560508E-3</v>
      </c>
      <c r="J192" s="5">
        <v>230.496350632587</v>
      </c>
      <c r="K192" s="5">
        <v>0.18</v>
      </c>
      <c r="L192" s="6">
        <f t="shared" si="10"/>
        <v>1.1524817531629349E-3</v>
      </c>
      <c r="P192" s="5">
        <f t="shared" si="11"/>
        <v>0.28216335825364086</v>
      </c>
      <c r="Q192" s="5">
        <f t="shared" si="12"/>
        <v>1.567574212520227</v>
      </c>
      <c r="S192" s="5">
        <f t="shared" si="13"/>
        <v>0.29402928870122796</v>
      </c>
      <c r="T192" s="5">
        <f t="shared" si="14"/>
        <v>1.6334960483401555</v>
      </c>
      <c r="V192" s="5"/>
      <c r="W192" s="5"/>
    </row>
    <row r="193" spans="1:23" x14ac:dyDescent="0.25">
      <c r="B193" s="3">
        <v>10</v>
      </c>
      <c r="C193" s="4">
        <v>528</v>
      </c>
      <c r="D193" s="4">
        <v>1</v>
      </c>
      <c r="E193" s="3">
        <v>45</v>
      </c>
      <c r="F193" s="5">
        <v>2.8</v>
      </c>
      <c r="G193" s="3">
        <v>40</v>
      </c>
      <c r="H193" s="3">
        <v>45</v>
      </c>
      <c r="I193" s="2">
        <v>7.9598096831560508E-3</v>
      </c>
      <c r="J193" s="5">
        <v>248.612018147783</v>
      </c>
      <c r="K193" s="5">
        <v>0.18</v>
      </c>
      <c r="L193" s="6">
        <f t="shared" si="10"/>
        <v>1.2430600907389151E-3</v>
      </c>
      <c r="P193" s="5">
        <f t="shared" si="11"/>
        <v>0.3006323241139392</v>
      </c>
      <c r="Q193" s="5">
        <f t="shared" si="12"/>
        <v>1.6701795784107734</v>
      </c>
      <c r="S193" s="5">
        <f t="shared" si="13"/>
        <v>0.31365439766823094</v>
      </c>
      <c r="T193" s="5">
        <f t="shared" si="14"/>
        <v>1.742524431490172</v>
      </c>
      <c r="V193" s="5"/>
      <c r="W193" s="5"/>
    </row>
    <row r="194" spans="1:23" x14ac:dyDescent="0.25">
      <c r="B194" s="3">
        <v>10</v>
      </c>
      <c r="C194" s="4">
        <v>528</v>
      </c>
      <c r="D194" s="4">
        <v>1</v>
      </c>
      <c r="E194" s="3">
        <v>45</v>
      </c>
      <c r="F194" s="5">
        <v>2.8</v>
      </c>
      <c r="G194" s="3">
        <v>40</v>
      </c>
      <c r="H194" s="3">
        <v>45</v>
      </c>
      <c r="I194" s="2">
        <v>7.9598096831560508E-3</v>
      </c>
      <c r="J194" s="5">
        <v>265.97286618317901</v>
      </c>
      <c r="K194" s="5">
        <v>0.19</v>
      </c>
      <c r="L194" s="6">
        <f t="shared" si="10"/>
        <v>1.329864330915895E-3</v>
      </c>
      <c r="P194" s="5">
        <f t="shared" si="11"/>
        <v>0.31812794779388515</v>
      </c>
      <c r="Q194" s="5">
        <f t="shared" si="12"/>
        <v>1.6743576199678165</v>
      </c>
      <c r="S194" s="5">
        <f t="shared" si="13"/>
        <v>0.33226651326597828</v>
      </c>
      <c r="T194" s="5">
        <f t="shared" si="14"/>
        <v>1.7487711224525173</v>
      </c>
      <c r="V194" s="5"/>
      <c r="W194" s="5"/>
    </row>
    <row r="195" spans="1:23" x14ac:dyDescent="0.25">
      <c r="B195" s="3">
        <v>10</v>
      </c>
      <c r="C195" s="4">
        <v>528</v>
      </c>
      <c r="D195" s="4">
        <v>1</v>
      </c>
      <c r="E195" s="3">
        <v>45</v>
      </c>
      <c r="F195" s="5">
        <v>2.8</v>
      </c>
      <c r="G195" s="3">
        <v>40</v>
      </c>
      <c r="H195" s="3">
        <v>45</v>
      </c>
      <c r="I195" s="2">
        <v>7.9598096831560508E-3</v>
      </c>
      <c r="J195" s="5">
        <v>284.84335317817499</v>
      </c>
      <c r="K195" s="5">
        <v>0.2</v>
      </c>
      <c r="L195" s="6">
        <f t="shared" si="10"/>
        <v>1.4242167658908749E-3</v>
      </c>
      <c r="P195" s="5">
        <f t="shared" si="11"/>
        <v>0.33693648559812817</v>
      </c>
      <c r="Q195" s="5">
        <f t="shared" si="12"/>
        <v>1.6846824279906407</v>
      </c>
      <c r="S195" s="5">
        <f t="shared" si="13"/>
        <v>0.35229711925194823</v>
      </c>
      <c r="T195" s="5">
        <f t="shared" si="14"/>
        <v>1.7614855962597411</v>
      </c>
      <c r="V195" s="5"/>
      <c r="W195" s="5"/>
    </row>
    <row r="196" spans="1:23" x14ac:dyDescent="0.25">
      <c r="B196" s="3">
        <v>10</v>
      </c>
      <c r="C196" s="4">
        <v>528</v>
      </c>
      <c r="D196" s="4">
        <v>1</v>
      </c>
      <c r="E196" s="3">
        <v>45</v>
      </c>
      <c r="F196" s="5">
        <v>2.8</v>
      </c>
      <c r="G196" s="3">
        <v>40</v>
      </c>
      <c r="H196" s="3">
        <v>45</v>
      </c>
      <c r="I196" s="2">
        <v>7.9598096831560508E-3</v>
      </c>
      <c r="J196" s="5">
        <v>309.75239601156898</v>
      </c>
      <c r="K196" s="5">
        <v>0.22</v>
      </c>
      <c r="L196" s="6">
        <f t="shared" si="10"/>
        <v>1.5487619800578448E-3</v>
      </c>
      <c r="P196" s="5">
        <f t="shared" si="11"/>
        <v>0.36145849476745656</v>
      </c>
      <c r="Q196" s="5">
        <f t="shared" si="12"/>
        <v>1.6429931580338935</v>
      </c>
      <c r="S196" s="5">
        <f t="shared" si="13"/>
        <v>0.37844434787226805</v>
      </c>
      <c r="T196" s="5">
        <f t="shared" si="14"/>
        <v>1.7202015812375819</v>
      </c>
      <c r="V196" s="5"/>
      <c r="W196" s="5"/>
    </row>
    <row r="197" spans="1:23" x14ac:dyDescent="0.25">
      <c r="A197" s="1" t="s">
        <v>61</v>
      </c>
      <c r="B197" s="3">
        <v>20</v>
      </c>
      <c r="C197" s="4">
        <v>598</v>
      </c>
      <c r="D197" s="4">
        <v>1</v>
      </c>
      <c r="E197" s="3">
        <v>40</v>
      </c>
      <c r="F197" s="5">
        <v>2.8</v>
      </c>
      <c r="G197" s="3">
        <v>40</v>
      </c>
      <c r="H197" s="3">
        <v>50</v>
      </c>
      <c r="I197" s="2">
        <v>3.7261485294905403E-2</v>
      </c>
      <c r="J197" s="5">
        <v>170.96444225131501</v>
      </c>
      <c r="K197" s="5">
        <v>0.16</v>
      </c>
      <c r="L197" s="6">
        <f t="shared" si="10"/>
        <v>8.5482221125657504E-4</v>
      </c>
      <c r="P197" s="5">
        <f t="shared" si="11"/>
        <v>0.21962013347988502</v>
      </c>
      <c r="Q197" s="5">
        <f t="shared" si="12"/>
        <v>1.3726258342492814</v>
      </c>
      <c r="S197" s="5">
        <f t="shared" si="13"/>
        <v>0.21244434353732311</v>
      </c>
      <c r="T197" s="5">
        <f t="shared" si="14"/>
        <v>1.3277771471082693</v>
      </c>
      <c r="V197" s="5"/>
      <c r="W197" s="5"/>
    </row>
    <row r="198" spans="1:23" x14ac:dyDescent="0.25">
      <c r="B198" s="3">
        <v>20</v>
      </c>
      <c r="C198" s="4">
        <v>598</v>
      </c>
      <c r="D198" s="4">
        <v>1</v>
      </c>
      <c r="E198" s="3">
        <v>40</v>
      </c>
      <c r="F198" s="5">
        <v>2.8</v>
      </c>
      <c r="G198" s="3">
        <v>40</v>
      </c>
      <c r="H198" s="3">
        <v>50</v>
      </c>
      <c r="I198" s="2">
        <v>3.7261485294905403E-2</v>
      </c>
      <c r="J198" s="5">
        <v>212.36828721088801</v>
      </c>
      <c r="K198" s="5">
        <v>0.2</v>
      </c>
      <c r="L198" s="6">
        <f t="shared" si="10"/>
        <v>1.0618414360544402E-3</v>
      </c>
      <c r="P198" s="5">
        <f t="shared" si="11"/>
        <v>0.26338936468171503</v>
      </c>
      <c r="Q198" s="5">
        <f t="shared" si="12"/>
        <v>1.3169468234085751</v>
      </c>
      <c r="S198" s="5">
        <f t="shared" si="13"/>
        <v>0.25566907355051577</v>
      </c>
      <c r="T198" s="5">
        <f t="shared" si="14"/>
        <v>1.2783453677525787</v>
      </c>
      <c r="V198" s="5"/>
      <c r="W198" s="5"/>
    </row>
    <row r="199" spans="1:23" x14ac:dyDescent="0.25">
      <c r="B199" s="3">
        <v>20</v>
      </c>
      <c r="C199" s="4">
        <v>598</v>
      </c>
      <c r="D199" s="4">
        <v>1</v>
      </c>
      <c r="E199" s="3">
        <v>40</v>
      </c>
      <c r="F199" s="5">
        <v>2.8</v>
      </c>
      <c r="G199" s="3">
        <v>40</v>
      </c>
      <c r="H199" s="3">
        <v>50</v>
      </c>
      <c r="I199" s="2">
        <v>3.7261485294905403E-2</v>
      </c>
      <c r="J199" s="5">
        <v>253.63178015364801</v>
      </c>
      <c r="K199" s="5">
        <v>0.23</v>
      </c>
      <c r="L199" s="6">
        <f t="shared" si="10"/>
        <v>1.2681589007682401E-3</v>
      </c>
      <c r="P199" s="5">
        <f t="shared" si="11"/>
        <v>0.30564674233657874</v>
      </c>
      <c r="Q199" s="5">
        <f t="shared" si="12"/>
        <v>1.3288988797242554</v>
      </c>
      <c r="S199" s="5">
        <f t="shared" si="13"/>
        <v>0.29753191560950448</v>
      </c>
      <c r="T199" s="5">
        <f t="shared" si="14"/>
        <v>1.2936170243891498</v>
      </c>
      <c r="V199" s="5"/>
      <c r="W199" s="5"/>
    </row>
    <row r="200" spans="1:23" x14ac:dyDescent="0.25">
      <c r="A200" s="1" t="s">
        <v>62</v>
      </c>
      <c r="B200" s="3">
        <v>20</v>
      </c>
      <c r="C200" s="4">
        <v>598</v>
      </c>
      <c r="D200" s="4">
        <v>1</v>
      </c>
      <c r="E200" s="3">
        <v>40</v>
      </c>
      <c r="F200" s="5">
        <v>2.8</v>
      </c>
      <c r="G200" s="3">
        <v>40</v>
      </c>
      <c r="H200" s="3">
        <v>50</v>
      </c>
      <c r="I200" s="2">
        <v>3.7261485294905403E-2</v>
      </c>
      <c r="J200" s="5">
        <v>179.90822357375399</v>
      </c>
      <c r="K200" s="5">
        <v>0.14000000000000001</v>
      </c>
      <c r="L200" s="6">
        <f t="shared" si="10"/>
        <v>8.9954111786876988E-4</v>
      </c>
      <c r="P200" s="5">
        <f t="shared" si="11"/>
        <v>0.22920803966799336</v>
      </c>
      <c r="Q200" s="5">
        <f t="shared" si="12"/>
        <v>1.6372002833428096</v>
      </c>
      <c r="S200" s="5">
        <f t="shared" si="13"/>
        <v>0.22189994337826846</v>
      </c>
      <c r="T200" s="5">
        <f t="shared" si="14"/>
        <v>1.5849995955590603</v>
      </c>
      <c r="V200" s="5"/>
      <c r="W200" s="5"/>
    </row>
    <row r="201" spans="1:23" x14ac:dyDescent="0.25">
      <c r="B201" s="3">
        <v>20</v>
      </c>
      <c r="C201" s="4">
        <v>598</v>
      </c>
      <c r="D201" s="4">
        <v>1</v>
      </c>
      <c r="E201" s="3">
        <v>40</v>
      </c>
      <c r="F201" s="5">
        <v>2.8</v>
      </c>
      <c r="G201" s="3">
        <v>40</v>
      </c>
      <c r="H201" s="3">
        <v>50</v>
      </c>
      <c r="I201" s="2">
        <v>3.7261485294905403E-2</v>
      </c>
      <c r="J201" s="5">
        <v>219.74815493493099</v>
      </c>
      <c r="K201" s="5">
        <v>0.17</v>
      </c>
      <c r="L201" s="6">
        <f t="shared" si="10"/>
        <v>1.0987407746746549E-3</v>
      </c>
      <c r="P201" s="5">
        <f t="shared" si="11"/>
        <v>0.27103816279177229</v>
      </c>
      <c r="Q201" s="5">
        <f t="shared" si="12"/>
        <v>1.5943421340692485</v>
      </c>
      <c r="S201" s="5">
        <f t="shared" si="13"/>
        <v>0.26323751175224658</v>
      </c>
      <c r="T201" s="5">
        <f t="shared" si="14"/>
        <v>1.5484559514838032</v>
      </c>
      <c r="V201" s="5"/>
      <c r="W201" s="5"/>
    </row>
    <row r="202" spans="1:23" x14ac:dyDescent="0.25">
      <c r="B202" s="3">
        <v>20</v>
      </c>
      <c r="C202" s="4">
        <v>598</v>
      </c>
      <c r="D202" s="4">
        <v>1</v>
      </c>
      <c r="E202" s="3">
        <v>40</v>
      </c>
      <c r="F202" s="5">
        <v>2.8</v>
      </c>
      <c r="G202" s="3">
        <v>40</v>
      </c>
      <c r="H202" s="3">
        <v>50</v>
      </c>
      <c r="I202" s="2">
        <v>3.7261485294905403E-2</v>
      </c>
      <c r="J202" s="5">
        <v>259.21917671157701</v>
      </c>
      <c r="K202" s="5">
        <v>0.21</v>
      </c>
      <c r="L202" s="6">
        <f t="shared" si="10"/>
        <v>1.296095883557885E-3</v>
      </c>
      <c r="P202" s="5">
        <f t="shared" si="11"/>
        <v>0.31127923348140873</v>
      </c>
      <c r="Q202" s="5">
        <f t="shared" si="12"/>
        <v>1.4822820641971846</v>
      </c>
      <c r="S202" s="5">
        <f t="shared" si="13"/>
        <v>0.30312052938621165</v>
      </c>
      <c r="T202" s="5">
        <f t="shared" si="14"/>
        <v>1.4434310923152935</v>
      </c>
      <c r="V202" s="5"/>
      <c r="W202" s="5"/>
    </row>
    <row r="203" spans="1:23" x14ac:dyDescent="0.25">
      <c r="A203" s="1" t="s">
        <v>63</v>
      </c>
      <c r="B203" s="3">
        <v>20</v>
      </c>
      <c r="C203" s="4">
        <v>598</v>
      </c>
      <c r="D203" s="4">
        <v>1</v>
      </c>
      <c r="E203" s="3">
        <v>40</v>
      </c>
      <c r="F203" s="5">
        <v>2.8</v>
      </c>
      <c r="G203" s="3">
        <v>40</v>
      </c>
      <c r="H203" s="3">
        <v>50</v>
      </c>
      <c r="I203" s="2">
        <v>3.7261485294905403E-2</v>
      </c>
      <c r="J203" s="5">
        <v>97.048902003038194</v>
      </c>
      <c r="K203" s="5">
        <v>0.21</v>
      </c>
      <c r="L203" s="6">
        <f t="shared" ref="L203:L266" si="15">J203/200000</f>
        <v>4.8524451001519096E-4</v>
      </c>
      <c r="P203" s="5">
        <f t="shared" ref="P203:P266" si="16">$Q$2*($Q$3*$G203+$Q$4*$B203^$Q$5*$I203^$Q$6)*$L203^$Q$7</f>
        <v>0.13664547062053084</v>
      </c>
      <c r="Q203" s="5">
        <f t="shared" ref="Q203:Q266" si="17">P203/$K203</f>
        <v>0.65069271724062305</v>
      </c>
      <c r="S203" s="5">
        <f t="shared" ref="S203:S266" si="18">$T$2*$B203^$T$3*$L203^$T$4*($T$5*$I203^$T$6+$T$7)</f>
        <v>0.13098863579024492</v>
      </c>
      <c r="T203" s="5">
        <f t="shared" ref="T203:T266" si="19">S203/$K203</f>
        <v>0.6237554085249758</v>
      </c>
      <c r="V203" s="5"/>
      <c r="W203" s="5"/>
    </row>
    <row r="204" spans="1:23" x14ac:dyDescent="0.25">
      <c r="B204" s="3">
        <v>20</v>
      </c>
      <c r="C204" s="4">
        <v>598</v>
      </c>
      <c r="D204" s="4">
        <v>1</v>
      </c>
      <c r="E204" s="3">
        <v>40</v>
      </c>
      <c r="F204" s="5">
        <v>2.8</v>
      </c>
      <c r="G204" s="3">
        <v>40</v>
      </c>
      <c r="H204" s="3">
        <v>50</v>
      </c>
      <c r="I204" s="2">
        <v>3.7261485294905403E-2</v>
      </c>
      <c r="J204" s="5">
        <v>133.076664271053</v>
      </c>
      <c r="K204" s="5">
        <v>0.25</v>
      </c>
      <c r="L204" s="6">
        <f t="shared" si="15"/>
        <v>6.6538332135526507E-4</v>
      </c>
      <c r="P204" s="5">
        <f t="shared" si="16"/>
        <v>0.17803053353836859</v>
      </c>
      <c r="Q204" s="5">
        <f t="shared" si="17"/>
        <v>0.71212213415347436</v>
      </c>
      <c r="S204" s="5">
        <f t="shared" si="18"/>
        <v>0.17152469361053538</v>
      </c>
      <c r="T204" s="5">
        <f t="shared" si="19"/>
        <v>0.68609877444214151</v>
      </c>
      <c r="V204" s="5"/>
      <c r="W204" s="5"/>
    </row>
    <row r="205" spans="1:23" x14ac:dyDescent="0.25">
      <c r="B205" s="3">
        <v>20</v>
      </c>
      <c r="C205" s="4">
        <v>598</v>
      </c>
      <c r="D205" s="4">
        <v>1</v>
      </c>
      <c r="E205" s="3">
        <v>40</v>
      </c>
      <c r="F205" s="5">
        <v>2.8</v>
      </c>
      <c r="G205" s="3">
        <v>40</v>
      </c>
      <c r="H205" s="3">
        <v>50</v>
      </c>
      <c r="I205" s="2">
        <v>3.7261485294905403E-2</v>
      </c>
      <c r="J205" s="5">
        <v>170.26268216725401</v>
      </c>
      <c r="K205" s="5">
        <v>0.28999999999999998</v>
      </c>
      <c r="L205" s="6">
        <f t="shared" si="15"/>
        <v>8.5131341083627009E-4</v>
      </c>
      <c r="P205" s="5">
        <f t="shared" si="16"/>
        <v>0.21886444354289811</v>
      </c>
      <c r="Q205" s="5">
        <f t="shared" si="17"/>
        <v>0.75470497773413148</v>
      </c>
      <c r="S205" s="5">
        <f t="shared" si="18"/>
        <v>0.21169941222475136</v>
      </c>
      <c r="T205" s="5">
        <f t="shared" si="19"/>
        <v>0.72999797318879789</v>
      </c>
      <c r="V205" s="5"/>
      <c r="W205" s="5"/>
    </row>
    <row r="206" spans="1:23" x14ac:dyDescent="0.25">
      <c r="B206" s="3">
        <v>20</v>
      </c>
      <c r="C206" s="4">
        <v>598</v>
      </c>
      <c r="D206" s="4">
        <v>1</v>
      </c>
      <c r="E206" s="3">
        <v>40</v>
      </c>
      <c r="F206" s="5">
        <v>2.8</v>
      </c>
      <c r="G206" s="3">
        <v>40</v>
      </c>
      <c r="H206" s="3">
        <v>50</v>
      </c>
      <c r="I206" s="2">
        <v>3.7261485294905403E-2</v>
      </c>
      <c r="J206" s="5">
        <v>210.68406300914199</v>
      </c>
      <c r="K206" s="5">
        <v>0.33</v>
      </c>
      <c r="L206" s="6">
        <f t="shared" si="15"/>
        <v>1.05342031504571E-3</v>
      </c>
      <c r="P206" s="5">
        <f t="shared" si="16"/>
        <v>0.26163777552733214</v>
      </c>
      <c r="Q206" s="5">
        <f t="shared" si="17"/>
        <v>0.79284174402221852</v>
      </c>
      <c r="S206" s="5">
        <f t="shared" si="18"/>
        <v>0.25393647307322748</v>
      </c>
      <c r="T206" s="5">
        <f t="shared" si="19"/>
        <v>0.76950446385826499</v>
      </c>
      <c r="V206" s="5"/>
      <c r="W206" s="5"/>
    </row>
    <row r="207" spans="1:23" x14ac:dyDescent="0.25">
      <c r="B207" s="3">
        <v>20</v>
      </c>
      <c r="C207" s="4">
        <v>598</v>
      </c>
      <c r="D207" s="4">
        <v>1</v>
      </c>
      <c r="E207" s="3">
        <v>40</v>
      </c>
      <c r="F207" s="5">
        <v>2.8</v>
      </c>
      <c r="G207" s="3">
        <v>40</v>
      </c>
      <c r="H207" s="3">
        <v>50</v>
      </c>
      <c r="I207" s="2">
        <v>3.7261485294905403E-2</v>
      </c>
      <c r="J207" s="5">
        <v>267.80733385167099</v>
      </c>
      <c r="K207" s="5">
        <v>0.37</v>
      </c>
      <c r="L207" s="6">
        <f t="shared" si="15"/>
        <v>1.3390366692583549E-3</v>
      </c>
      <c r="P207" s="5">
        <f t="shared" si="16"/>
        <v>0.31989858744432476</v>
      </c>
      <c r="Q207" s="5">
        <f t="shared" si="17"/>
        <v>0.86459077687655339</v>
      </c>
      <c r="S207" s="5">
        <f t="shared" si="18"/>
        <v>0.31167646550674816</v>
      </c>
      <c r="T207" s="5">
        <f t="shared" si="19"/>
        <v>0.84236882569391391</v>
      </c>
      <c r="V207" s="5"/>
      <c r="W207" s="5"/>
    </row>
    <row r="208" spans="1:23" x14ac:dyDescent="0.25">
      <c r="A208" s="1" t="s">
        <v>64</v>
      </c>
      <c r="B208" s="3">
        <v>20</v>
      </c>
      <c r="C208" s="4">
        <v>430</v>
      </c>
      <c r="D208" s="4">
        <v>6</v>
      </c>
      <c r="E208" s="3">
        <v>84</v>
      </c>
      <c r="F208" s="5">
        <v>3.50882128585544</v>
      </c>
      <c r="G208" s="3">
        <v>50</v>
      </c>
      <c r="H208" s="3">
        <v>64</v>
      </c>
      <c r="I208" s="2">
        <v>3.1012448894699399E-2</v>
      </c>
      <c r="J208" s="5">
        <v>99.048548598782901</v>
      </c>
      <c r="K208" s="5">
        <v>0.15</v>
      </c>
      <c r="L208" s="6">
        <f t="shared" si="15"/>
        <v>4.9524274299391445E-4</v>
      </c>
      <c r="P208" s="5">
        <f t="shared" si="16"/>
        <v>0.15242343556522853</v>
      </c>
      <c r="Q208" s="5">
        <f t="shared" si="17"/>
        <v>1.0161562371015236</v>
      </c>
      <c r="S208" s="5">
        <f t="shared" si="18"/>
        <v>0.14636425528769481</v>
      </c>
      <c r="T208" s="5">
        <f t="shared" si="19"/>
        <v>0.97576170191796541</v>
      </c>
      <c r="V208" s="5"/>
      <c r="W208" s="5"/>
    </row>
    <row r="209" spans="1:23" x14ac:dyDescent="0.25">
      <c r="B209" s="3">
        <v>20</v>
      </c>
      <c r="C209" s="4">
        <v>430</v>
      </c>
      <c r="D209" s="4">
        <v>6</v>
      </c>
      <c r="E209" s="3">
        <v>84</v>
      </c>
      <c r="F209" s="5">
        <v>3.50882128585544</v>
      </c>
      <c r="G209" s="3">
        <v>50</v>
      </c>
      <c r="H209" s="3">
        <v>64</v>
      </c>
      <c r="I209" s="2">
        <v>3.1012448894699399E-2</v>
      </c>
      <c r="J209" s="5">
        <v>151.41829365606199</v>
      </c>
      <c r="K209" s="5">
        <v>0.23</v>
      </c>
      <c r="L209" s="6">
        <f t="shared" si="15"/>
        <v>7.5709146828030992E-4</v>
      </c>
      <c r="P209" s="5">
        <f t="shared" si="16"/>
        <v>0.21753066146527616</v>
      </c>
      <c r="Q209" s="5">
        <f t="shared" si="17"/>
        <v>0.94578548463163548</v>
      </c>
      <c r="S209" s="5">
        <f t="shared" si="18"/>
        <v>0.21030666926135153</v>
      </c>
      <c r="T209" s="5">
        <f t="shared" si="19"/>
        <v>0.91437682287544142</v>
      </c>
      <c r="V209" s="5"/>
      <c r="W209" s="5"/>
    </row>
    <row r="210" spans="1:23" x14ac:dyDescent="0.25">
      <c r="B210" s="3">
        <v>20</v>
      </c>
      <c r="C210" s="4">
        <v>430</v>
      </c>
      <c r="D210" s="4">
        <v>6</v>
      </c>
      <c r="E210" s="3">
        <v>84</v>
      </c>
      <c r="F210" s="5">
        <v>3.50882128585544</v>
      </c>
      <c r="G210" s="3">
        <v>50</v>
      </c>
      <c r="H210" s="3">
        <v>64</v>
      </c>
      <c r="I210" s="2">
        <v>3.1012448894699399E-2</v>
      </c>
      <c r="J210" s="5">
        <v>209.092094228452</v>
      </c>
      <c r="K210" s="5">
        <v>0.28000000000000003</v>
      </c>
      <c r="L210" s="6">
        <f t="shared" si="15"/>
        <v>1.04546047114226E-3</v>
      </c>
      <c r="P210" s="5">
        <f t="shared" si="16"/>
        <v>0.28508472241091903</v>
      </c>
      <c r="Q210" s="5">
        <f t="shared" si="17"/>
        <v>1.0181597228961392</v>
      </c>
      <c r="S210" s="5">
        <f t="shared" si="18"/>
        <v>0.27704419668707697</v>
      </c>
      <c r="T210" s="5">
        <f t="shared" si="19"/>
        <v>0.98944355959670338</v>
      </c>
      <c r="V210" s="5"/>
      <c r="W210" s="5"/>
    </row>
    <row r="211" spans="1:23" x14ac:dyDescent="0.25">
      <c r="A211" s="1" t="s">
        <v>65</v>
      </c>
      <c r="B211" s="3">
        <v>20</v>
      </c>
      <c r="C211" s="4">
        <v>430</v>
      </c>
      <c r="D211" s="4">
        <v>9</v>
      </c>
      <c r="E211" s="3">
        <v>45</v>
      </c>
      <c r="F211" s="5">
        <v>3.50882128585544</v>
      </c>
      <c r="G211" s="3">
        <v>50</v>
      </c>
      <c r="H211" s="3">
        <v>64</v>
      </c>
      <c r="I211" s="2">
        <v>4.9328037963777903E-2</v>
      </c>
      <c r="J211" s="5">
        <v>121.206056256298</v>
      </c>
      <c r="K211" s="5">
        <v>0.18</v>
      </c>
      <c r="L211" s="6">
        <f t="shared" si="15"/>
        <v>6.0603028128148999E-4</v>
      </c>
      <c r="P211" s="5">
        <f t="shared" si="16"/>
        <v>0.14386000354447853</v>
      </c>
      <c r="Q211" s="5">
        <f t="shared" si="17"/>
        <v>0.79922224191376967</v>
      </c>
      <c r="S211" s="5">
        <f t="shared" si="18"/>
        <v>0.13810663278736127</v>
      </c>
      <c r="T211" s="5">
        <f t="shared" si="19"/>
        <v>0.76725907104089597</v>
      </c>
      <c r="V211" s="5"/>
      <c r="W211" s="5"/>
    </row>
    <row r="212" spans="1:23" x14ac:dyDescent="0.25">
      <c r="B212" s="3">
        <v>20</v>
      </c>
      <c r="C212" s="4">
        <v>430</v>
      </c>
      <c r="D212" s="4">
        <v>9</v>
      </c>
      <c r="E212" s="3">
        <v>45</v>
      </c>
      <c r="F212" s="5">
        <v>3.50882128585544</v>
      </c>
      <c r="G212" s="3">
        <v>50</v>
      </c>
      <c r="H212" s="3">
        <v>64</v>
      </c>
      <c r="I212" s="2">
        <v>4.9328037963777903E-2</v>
      </c>
      <c r="J212" s="5">
        <v>169.06520538520999</v>
      </c>
      <c r="K212" s="5">
        <v>0.26</v>
      </c>
      <c r="L212" s="6">
        <f t="shared" si="15"/>
        <v>8.4532602692605002E-4</v>
      </c>
      <c r="P212" s="5">
        <f t="shared" si="16"/>
        <v>0.19013240258131253</v>
      </c>
      <c r="Q212" s="5">
        <f t="shared" si="17"/>
        <v>0.73127847146658664</v>
      </c>
      <c r="S212" s="5">
        <f t="shared" si="18"/>
        <v>0.18350296457621346</v>
      </c>
      <c r="T212" s="5">
        <f t="shared" si="19"/>
        <v>0.70578063298543636</v>
      </c>
      <c r="V212" s="5"/>
      <c r="W212" s="5"/>
    </row>
    <row r="213" spans="1:23" x14ac:dyDescent="0.25">
      <c r="B213" s="3">
        <v>20</v>
      </c>
      <c r="C213" s="4">
        <v>430</v>
      </c>
      <c r="D213" s="4">
        <v>9</v>
      </c>
      <c r="E213" s="3">
        <v>45</v>
      </c>
      <c r="F213" s="5">
        <v>3.50882128585544</v>
      </c>
      <c r="G213" s="3">
        <v>50</v>
      </c>
      <c r="H213" s="3">
        <v>64</v>
      </c>
      <c r="I213" s="2">
        <v>4.9328037963777903E-2</v>
      </c>
      <c r="J213" s="5">
        <v>221.141260100343</v>
      </c>
      <c r="K213" s="5">
        <v>0.34</v>
      </c>
      <c r="L213" s="6">
        <f t="shared" si="15"/>
        <v>1.105706300501715E-3</v>
      </c>
      <c r="P213" s="5">
        <f t="shared" si="16"/>
        <v>0.23811127559118345</v>
      </c>
      <c r="Q213" s="5">
        <f t="shared" si="17"/>
        <v>0.70032728115053955</v>
      </c>
      <c r="S213" s="5">
        <f t="shared" si="18"/>
        <v>0.23079838154365107</v>
      </c>
      <c r="T213" s="5">
        <f t="shared" si="19"/>
        <v>0.67881876924603246</v>
      </c>
      <c r="V213" s="5"/>
      <c r="W213" s="5"/>
    </row>
    <row r="214" spans="1:23" x14ac:dyDescent="0.25">
      <c r="A214" s="1" t="s">
        <v>66</v>
      </c>
      <c r="B214" s="3">
        <v>16</v>
      </c>
      <c r="C214" s="4">
        <v>528</v>
      </c>
      <c r="D214" s="4">
        <v>2</v>
      </c>
      <c r="E214" s="3">
        <v>52</v>
      </c>
      <c r="F214" s="5">
        <v>3.42</v>
      </c>
      <c r="G214" s="3">
        <v>27</v>
      </c>
      <c r="H214" s="3">
        <v>35</v>
      </c>
      <c r="I214" s="2">
        <v>4.8680193563528699E-2</v>
      </c>
      <c r="J214" s="5">
        <v>187.08312132303499</v>
      </c>
      <c r="K214" s="5">
        <v>0.15</v>
      </c>
      <c r="L214" s="6">
        <f t="shared" si="15"/>
        <v>9.3541560661517496E-4</v>
      </c>
      <c r="P214" s="5">
        <f t="shared" si="16"/>
        <v>0.16223414872028266</v>
      </c>
      <c r="Q214" s="5">
        <f t="shared" si="17"/>
        <v>1.0815609914685511</v>
      </c>
      <c r="S214" s="5">
        <f t="shared" si="18"/>
        <v>0.15583919049188968</v>
      </c>
      <c r="T214" s="5">
        <f t="shared" si="19"/>
        <v>1.0389279366125979</v>
      </c>
      <c r="V214" s="5"/>
      <c r="W214" s="5"/>
    </row>
    <row r="215" spans="1:23" x14ac:dyDescent="0.25">
      <c r="B215" s="3">
        <v>16</v>
      </c>
      <c r="C215" s="4">
        <v>528</v>
      </c>
      <c r="D215" s="4">
        <v>2</v>
      </c>
      <c r="E215" s="3">
        <v>52</v>
      </c>
      <c r="F215" s="5">
        <v>3.42</v>
      </c>
      <c r="G215" s="3">
        <v>27</v>
      </c>
      <c r="H215" s="3">
        <v>35</v>
      </c>
      <c r="I215" s="2">
        <v>4.8680193563528699E-2</v>
      </c>
      <c r="J215" s="5">
        <v>284.06540901800201</v>
      </c>
      <c r="K215" s="5">
        <v>0.19</v>
      </c>
      <c r="L215" s="6">
        <f t="shared" si="15"/>
        <v>1.4203270450900102E-3</v>
      </c>
      <c r="P215" s="5">
        <f t="shared" si="16"/>
        <v>0.23021936559243533</v>
      </c>
      <c r="Q215" s="5">
        <f t="shared" si="17"/>
        <v>1.2116808715391334</v>
      </c>
      <c r="S215" s="5">
        <f t="shared" si="18"/>
        <v>0.22262729117224561</v>
      </c>
      <c r="T215" s="5">
        <f t="shared" si="19"/>
        <v>1.171722585117082</v>
      </c>
      <c r="V215" s="5"/>
      <c r="W215" s="5"/>
    </row>
    <row r="216" spans="1:23" x14ac:dyDescent="0.25">
      <c r="B216" s="3">
        <v>16</v>
      </c>
      <c r="C216" s="4">
        <v>528</v>
      </c>
      <c r="D216" s="4">
        <v>2</v>
      </c>
      <c r="E216" s="3">
        <v>52</v>
      </c>
      <c r="F216" s="5">
        <v>3.42</v>
      </c>
      <c r="G216" s="3">
        <v>27</v>
      </c>
      <c r="H216" s="3">
        <v>35</v>
      </c>
      <c r="I216" s="2">
        <v>4.8680193563528699E-2</v>
      </c>
      <c r="J216" s="5">
        <v>342.25478163498298</v>
      </c>
      <c r="K216" s="5">
        <v>0.22</v>
      </c>
      <c r="L216" s="6">
        <f t="shared" si="15"/>
        <v>1.711273908174915E-3</v>
      </c>
      <c r="P216" s="5">
        <f t="shared" si="16"/>
        <v>0.2691300393737508</v>
      </c>
      <c r="Q216" s="5">
        <f t="shared" si="17"/>
        <v>1.2233183607897764</v>
      </c>
      <c r="S216" s="5">
        <f t="shared" si="18"/>
        <v>0.26103192306968337</v>
      </c>
      <c r="T216" s="5">
        <f t="shared" si="19"/>
        <v>1.1865087412258335</v>
      </c>
      <c r="V216" s="5"/>
      <c r="W216" s="5"/>
    </row>
    <row r="217" spans="1:23" x14ac:dyDescent="0.25">
      <c r="B217" s="3">
        <v>16</v>
      </c>
      <c r="C217" s="4">
        <v>528</v>
      </c>
      <c r="D217" s="4">
        <v>2</v>
      </c>
      <c r="E217" s="3">
        <v>52</v>
      </c>
      <c r="F217" s="5">
        <v>3.42</v>
      </c>
      <c r="G217" s="3">
        <v>27</v>
      </c>
      <c r="H217" s="3">
        <v>35</v>
      </c>
      <c r="I217" s="2">
        <v>4.8680193563528699E-2</v>
      </c>
      <c r="J217" s="5">
        <v>390.74592548246602</v>
      </c>
      <c r="K217" s="5">
        <v>0.22</v>
      </c>
      <c r="L217" s="6">
        <f t="shared" si="15"/>
        <v>1.95372962741233E-3</v>
      </c>
      <c r="P217" s="5">
        <f t="shared" si="16"/>
        <v>0.30073559171101683</v>
      </c>
      <c r="Q217" s="5">
        <f t="shared" si="17"/>
        <v>1.3669799623228038</v>
      </c>
      <c r="S217" s="5">
        <f t="shared" si="18"/>
        <v>0.29230550620944035</v>
      </c>
      <c r="T217" s="5">
        <f t="shared" si="19"/>
        <v>1.3286613918610926</v>
      </c>
      <c r="V217" s="5"/>
      <c r="W217" s="5"/>
    </row>
    <row r="218" spans="1:23" x14ac:dyDescent="0.25">
      <c r="B218" s="3">
        <v>16</v>
      </c>
      <c r="C218" s="4">
        <v>528</v>
      </c>
      <c r="D218" s="4">
        <v>2</v>
      </c>
      <c r="E218" s="3">
        <v>52</v>
      </c>
      <c r="F218" s="5">
        <v>3.42</v>
      </c>
      <c r="G218" s="3">
        <v>27</v>
      </c>
      <c r="H218" s="3">
        <v>35</v>
      </c>
      <c r="I218" s="2">
        <v>4.8680193563528699E-2</v>
      </c>
      <c r="J218" s="5">
        <v>468.33175563843997</v>
      </c>
      <c r="K218" s="5">
        <v>0.25</v>
      </c>
      <c r="L218" s="6">
        <f t="shared" si="15"/>
        <v>2.3416587781921998E-3</v>
      </c>
      <c r="P218" s="5">
        <f t="shared" si="16"/>
        <v>0.35002671789338596</v>
      </c>
      <c r="Q218" s="5">
        <f t="shared" si="17"/>
        <v>1.4001068715735439</v>
      </c>
      <c r="S218" s="5">
        <f t="shared" si="18"/>
        <v>0.34120226780428697</v>
      </c>
      <c r="T218" s="5">
        <f t="shared" si="19"/>
        <v>1.3648090712171479</v>
      </c>
      <c r="V218" s="5"/>
      <c r="W218" s="5"/>
    </row>
    <row r="219" spans="1:23" x14ac:dyDescent="0.25">
      <c r="B219" s="3">
        <v>16</v>
      </c>
      <c r="C219" s="4">
        <v>528</v>
      </c>
      <c r="D219" s="4">
        <v>2</v>
      </c>
      <c r="E219" s="3">
        <v>52</v>
      </c>
      <c r="F219" s="5">
        <v>3.42</v>
      </c>
      <c r="G219" s="3">
        <v>27</v>
      </c>
      <c r="H219" s="3">
        <v>35</v>
      </c>
      <c r="I219" s="2">
        <v>4.8680193563528699E-2</v>
      </c>
      <c r="J219" s="5">
        <v>526.10180870720399</v>
      </c>
      <c r="K219" s="5">
        <v>0.28999999999999998</v>
      </c>
      <c r="L219" s="6">
        <f t="shared" si="15"/>
        <v>2.6305090435360199E-3</v>
      </c>
      <c r="P219" s="5">
        <f t="shared" si="16"/>
        <v>0.38586355538787931</v>
      </c>
      <c r="Q219" s="5">
        <f t="shared" si="17"/>
        <v>1.3305639840961356</v>
      </c>
      <c r="S219" s="5">
        <f t="shared" si="18"/>
        <v>0.37683630255526607</v>
      </c>
      <c r="T219" s="5">
        <f t="shared" si="19"/>
        <v>1.2994355260526418</v>
      </c>
      <c r="V219" s="5"/>
      <c r="W219" s="5"/>
    </row>
    <row r="220" spans="1:23" x14ac:dyDescent="0.25">
      <c r="A220" s="1" t="s">
        <v>67</v>
      </c>
      <c r="B220" s="3">
        <v>20</v>
      </c>
      <c r="C220" s="4">
        <v>528</v>
      </c>
      <c r="D220" s="4">
        <v>2</v>
      </c>
      <c r="E220" s="3">
        <v>44</v>
      </c>
      <c r="F220" s="5">
        <v>3.42</v>
      </c>
      <c r="G220" s="3">
        <v>25</v>
      </c>
      <c r="H220" s="3">
        <v>35</v>
      </c>
      <c r="I220" s="2">
        <v>8.2535915718449093E-2</v>
      </c>
      <c r="J220" s="5">
        <v>242.78254560699</v>
      </c>
      <c r="K220" s="5">
        <v>0.17</v>
      </c>
      <c r="L220" s="6">
        <f t="shared" si="15"/>
        <v>1.21391272803495E-3</v>
      </c>
      <c r="P220" s="5">
        <f t="shared" si="16"/>
        <v>0.19863145950036745</v>
      </c>
      <c r="Q220" s="5">
        <f t="shared" si="17"/>
        <v>1.1684203500021615</v>
      </c>
      <c r="S220" s="5">
        <f t="shared" si="18"/>
        <v>0.19853984145791403</v>
      </c>
      <c r="T220" s="5">
        <f t="shared" si="19"/>
        <v>1.1678814203406707</v>
      </c>
      <c r="V220" s="5"/>
      <c r="W220" s="5"/>
    </row>
    <row r="221" spans="1:23" x14ac:dyDescent="0.25">
      <c r="B221" s="3">
        <v>20</v>
      </c>
      <c r="C221" s="4">
        <v>528</v>
      </c>
      <c r="D221" s="4">
        <v>2</v>
      </c>
      <c r="E221" s="3">
        <v>44</v>
      </c>
      <c r="F221" s="5">
        <v>3.42</v>
      </c>
      <c r="G221" s="3">
        <v>25</v>
      </c>
      <c r="H221" s="3">
        <v>35</v>
      </c>
      <c r="I221" s="2">
        <v>8.2535915718449093E-2</v>
      </c>
      <c r="J221" s="5">
        <v>285.074914966108</v>
      </c>
      <c r="K221" s="5">
        <v>0.19</v>
      </c>
      <c r="L221" s="6">
        <f t="shared" si="15"/>
        <v>1.42537457483054E-3</v>
      </c>
      <c r="P221" s="5">
        <f t="shared" si="16"/>
        <v>0.22724348788694557</v>
      </c>
      <c r="Q221" s="5">
        <f t="shared" si="17"/>
        <v>1.1960183572997134</v>
      </c>
      <c r="S221" s="5">
        <f t="shared" si="18"/>
        <v>0.22772302710111952</v>
      </c>
      <c r="T221" s="5">
        <f t="shared" si="19"/>
        <v>1.1985422479006291</v>
      </c>
      <c r="V221" s="5"/>
      <c r="W221" s="5"/>
    </row>
    <row r="222" spans="1:23" x14ac:dyDescent="0.25">
      <c r="B222" s="3">
        <v>20</v>
      </c>
      <c r="C222" s="4">
        <v>528</v>
      </c>
      <c r="D222" s="4">
        <v>2</v>
      </c>
      <c r="E222" s="3">
        <v>44</v>
      </c>
      <c r="F222" s="5">
        <v>3.42</v>
      </c>
      <c r="G222" s="3">
        <v>25</v>
      </c>
      <c r="H222" s="3">
        <v>35</v>
      </c>
      <c r="I222" s="2">
        <v>8.2535915718449093E-2</v>
      </c>
      <c r="J222" s="5">
        <v>339.450818427831</v>
      </c>
      <c r="K222" s="5">
        <v>0.21</v>
      </c>
      <c r="L222" s="6">
        <f t="shared" si="15"/>
        <v>1.6972540921391551E-3</v>
      </c>
      <c r="P222" s="5">
        <f t="shared" si="16"/>
        <v>0.26304303717386723</v>
      </c>
      <c r="Q222" s="5">
        <f t="shared" si="17"/>
        <v>1.2525858913041297</v>
      </c>
      <c r="S222" s="5">
        <f t="shared" si="18"/>
        <v>0.26433544243814339</v>
      </c>
      <c r="T222" s="5">
        <f t="shared" si="19"/>
        <v>1.2587402020863971</v>
      </c>
      <c r="V222" s="5"/>
      <c r="W222" s="5"/>
    </row>
    <row r="223" spans="1:23" x14ac:dyDescent="0.25">
      <c r="B223" s="3">
        <v>20</v>
      </c>
      <c r="C223" s="4">
        <v>528</v>
      </c>
      <c r="D223" s="4">
        <v>2</v>
      </c>
      <c r="E223" s="3">
        <v>44</v>
      </c>
      <c r="F223" s="5">
        <v>3.42</v>
      </c>
      <c r="G223" s="3">
        <v>25</v>
      </c>
      <c r="H223" s="3">
        <v>35</v>
      </c>
      <c r="I223" s="2">
        <v>8.2535915718449093E-2</v>
      </c>
      <c r="J223" s="5">
        <v>363.617886633041</v>
      </c>
      <c r="K223" s="5">
        <v>0.23</v>
      </c>
      <c r="L223" s="6">
        <f t="shared" si="15"/>
        <v>1.818089433165205E-3</v>
      </c>
      <c r="P223" s="5">
        <f t="shared" si="16"/>
        <v>0.27864837283566124</v>
      </c>
      <c r="Q223" s="5">
        <f t="shared" si="17"/>
        <v>1.2115146645028749</v>
      </c>
      <c r="S223" s="5">
        <f t="shared" si="18"/>
        <v>0.28032575003142257</v>
      </c>
      <c r="T223" s="5">
        <f t="shared" si="19"/>
        <v>1.2188076088322719</v>
      </c>
      <c r="V223" s="5"/>
      <c r="W223" s="5"/>
    </row>
    <row r="224" spans="1:23" x14ac:dyDescent="0.25">
      <c r="B224" s="3">
        <v>20</v>
      </c>
      <c r="C224" s="4">
        <v>528</v>
      </c>
      <c r="D224" s="4">
        <v>2</v>
      </c>
      <c r="E224" s="3">
        <v>44</v>
      </c>
      <c r="F224" s="5">
        <v>3.42</v>
      </c>
      <c r="G224" s="3">
        <v>25</v>
      </c>
      <c r="H224" s="3">
        <v>35</v>
      </c>
      <c r="I224" s="2">
        <v>8.2535915718449093E-2</v>
      </c>
      <c r="J224" s="5">
        <v>417.99379009476303</v>
      </c>
      <c r="K224" s="5">
        <v>0.25</v>
      </c>
      <c r="L224" s="6">
        <f t="shared" si="15"/>
        <v>2.0899689504738153E-3</v>
      </c>
      <c r="P224" s="5">
        <f t="shared" si="16"/>
        <v>0.31316709155056988</v>
      </c>
      <c r="Q224" s="5">
        <f t="shared" si="17"/>
        <v>1.2526683662022795</v>
      </c>
      <c r="S224" s="5">
        <f t="shared" si="18"/>
        <v>0.3157555507498756</v>
      </c>
      <c r="T224" s="5">
        <f t="shared" si="19"/>
        <v>1.2630222029995024</v>
      </c>
      <c r="V224" s="5"/>
      <c r="W224" s="5"/>
    </row>
    <row r="225" spans="1:23" x14ac:dyDescent="0.25">
      <c r="B225" s="3">
        <v>20</v>
      </c>
      <c r="C225" s="4">
        <v>528</v>
      </c>
      <c r="D225" s="4">
        <v>2</v>
      </c>
      <c r="E225" s="3">
        <v>44</v>
      </c>
      <c r="F225" s="5">
        <v>3.42</v>
      </c>
      <c r="G225" s="3">
        <v>25</v>
      </c>
      <c r="H225" s="3">
        <v>35</v>
      </c>
      <c r="I225" s="2">
        <v>8.2535915718449093E-2</v>
      </c>
      <c r="J225" s="5">
        <v>525.80672936788005</v>
      </c>
      <c r="K225" s="5">
        <v>0.25</v>
      </c>
      <c r="L225" s="6">
        <f t="shared" si="15"/>
        <v>2.6290336468394004E-3</v>
      </c>
      <c r="P225" s="5">
        <f t="shared" si="16"/>
        <v>0.37956670248831725</v>
      </c>
      <c r="Q225" s="5">
        <f t="shared" si="17"/>
        <v>1.518266809953269</v>
      </c>
      <c r="S225" s="5">
        <f t="shared" si="18"/>
        <v>0.38411165302223133</v>
      </c>
      <c r="T225" s="5">
        <f t="shared" si="19"/>
        <v>1.5364466120889253</v>
      </c>
      <c r="V225" s="5"/>
      <c r="W225" s="5"/>
    </row>
    <row r="226" spans="1:23" x14ac:dyDescent="0.25">
      <c r="A226" s="1" t="s">
        <v>68</v>
      </c>
      <c r="B226" s="3">
        <v>20</v>
      </c>
      <c r="C226" s="4">
        <v>528</v>
      </c>
      <c r="D226" s="4">
        <v>3</v>
      </c>
      <c r="E226" s="3">
        <v>12</v>
      </c>
      <c r="F226" s="5">
        <v>3.42</v>
      </c>
      <c r="G226" s="3">
        <v>25</v>
      </c>
      <c r="H226" s="3">
        <v>35</v>
      </c>
      <c r="I226" s="2">
        <v>0.13524934868327301</v>
      </c>
      <c r="J226" s="5">
        <v>223.295734302368</v>
      </c>
      <c r="K226" s="5">
        <v>0.18</v>
      </c>
      <c r="L226" s="6">
        <f t="shared" si="15"/>
        <v>1.11647867151184E-3</v>
      </c>
      <c r="P226" s="5">
        <f t="shared" si="16"/>
        <v>0.14536478282943477</v>
      </c>
      <c r="Q226" s="5">
        <f t="shared" si="17"/>
        <v>0.80758212683019315</v>
      </c>
      <c r="S226" s="5">
        <f t="shared" si="18"/>
        <v>0.15236484642167317</v>
      </c>
      <c r="T226" s="5">
        <f t="shared" si="19"/>
        <v>0.84647136900929543</v>
      </c>
      <c r="V226" s="5"/>
      <c r="W226" s="5"/>
    </row>
    <row r="227" spans="1:23" x14ac:dyDescent="0.25">
      <c r="B227" s="3">
        <v>20</v>
      </c>
      <c r="C227" s="4">
        <v>528</v>
      </c>
      <c r="D227" s="4">
        <v>3</v>
      </c>
      <c r="E227" s="3">
        <v>12</v>
      </c>
      <c r="F227" s="5">
        <v>3.42</v>
      </c>
      <c r="G227" s="3">
        <v>25</v>
      </c>
      <c r="H227" s="3">
        <v>35</v>
      </c>
      <c r="I227" s="2">
        <v>0.13524934868327301</v>
      </c>
      <c r="J227" s="5">
        <v>263.36829755996001</v>
      </c>
      <c r="K227" s="5">
        <v>0.19</v>
      </c>
      <c r="L227" s="6">
        <f t="shared" si="15"/>
        <v>1.3168414877998001E-3</v>
      </c>
      <c r="P227" s="5">
        <f t="shared" si="16"/>
        <v>0.16692816382628148</v>
      </c>
      <c r="Q227" s="5">
        <f t="shared" si="17"/>
        <v>0.87856928329621831</v>
      </c>
      <c r="S227" s="5">
        <f t="shared" si="18"/>
        <v>0.17542929570658961</v>
      </c>
      <c r="T227" s="5">
        <f t="shared" si="19"/>
        <v>0.92331208266626108</v>
      </c>
      <c r="V227" s="5"/>
      <c r="W227" s="5"/>
    </row>
    <row r="228" spans="1:23" x14ac:dyDescent="0.25">
      <c r="B228" s="3">
        <v>20</v>
      </c>
      <c r="C228" s="4">
        <v>528</v>
      </c>
      <c r="D228" s="4">
        <v>3</v>
      </c>
      <c r="E228" s="3">
        <v>12</v>
      </c>
      <c r="F228" s="5">
        <v>3.42</v>
      </c>
      <c r="G228" s="3">
        <v>25</v>
      </c>
      <c r="H228" s="3">
        <v>35</v>
      </c>
      <c r="I228" s="2">
        <v>0.13524934868327301</v>
      </c>
      <c r="J228" s="5">
        <v>299.43360449179301</v>
      </c>
      <c r="K228" s="5">
        <v>0.21</v>
      </c>
      <c r="L228" s="6">
        <f t="shared" si="15"/>
        <v>1.4971680224589649E-3</v>
      </c>
      <c r="P228" s="5">
        <f t="shared" si="16"/>
        <v>0.18588196604846369</v>
      </c>
      <c r="Q228" s="5">
        <f t="shared" si="17"/>
        <v>0.88515221927839849</v>
      </c>
      <c r="S228" s="5">
        <f t="shared" si="18"/>
        <v>0.19574990210399781</v>
      </c>
      <c r="T228" s="5">
        <f t="shared" si="19"/>
        <v>0.93214239097141816</v>
      </c>
      <c r="V228" s="5"/>
      <c r="W228" s="5"/>
    </row>
    <row r="229" spans="1:23" x14ac:dyDescent="0.25">
      <c r="B229" s="3">
        <v>20</v>
      </c>
      <c r="C229" s="4">
        <v>528</v>
      </c>
      <c r="D229" s="4">
        <v>3</v>
      </c>
      <c r="E229" s="3">
        <v>12</v>
      </c>
      <c r="F229" s="5">
        <v>3.42</v>
      </c>
      <c r="G229" s="3">
        <v>25</v>
      </c>
      <c r="H229" s="3">
        <v>35</v>
      </c>
      <c r="I229" s="2">
        <v>0.13524934868327301</v>
      </c>
      <c r="J229" s="5">
        <v>343.51342407514397</v>
      </c>
      <c r="K229" s="5">
        <v>0.23</v>
      </c>
      <c r="L229" s="6">
        <f t="shared" si="15"/>
        <v>1.7175671203757199E-3</v>
      </c>
      <c r="P229" s="5">
        <f t="shared" si="16"/>
        <v>0.20855386275587856</v>
      </c>
      <c r="Q229" s="5">
        <f t="shared" si="17"/>
        <v>0.90675592502555891</v>
      </c>
      <c r="S229" s="5">
        <f t="shared" si="18"/>
        <v>0.22010850555615455</v>
      </c>
      <c r="T229" s="5">
        <f t="shared" si="19"/>
        <v>0.95699350241806325</v>
      </c>
      <c r="V229" s="5"/>
      <c r="W229" s="5"/>
    </row>
    <row r="230" spans="1:23" x14ac:dyDescent="0.25">
      <c r="B230" s="3">
        <v>20</v>
      </c>
      <c r="C230" s="4">
        <v>528</v>
      </c>
      <c r="D230" s="4">
        <v>3</v>
      </c>
      <c r="E230" s="3">
        <v>12</v>
      </c>
      <c r="F230" s="5">
        <v>3.42</v>
      </c>
      <c r="G230" s="3">
        <v>25</v>
      </c>
      <c r="H230" s="3">
        <v>35</v>
      </c>
      <c r="I230" s="2">
        <v>0.13524934868327301</v>
      </c>
      <c r="J230" s="5">
        <v>387.59324365849602</v>
      </c>
      <c r="K230" s="5">
        <v>0.25</v>
      </c>
      <c r="L230" s="6">
        <f t="shared" si="15"/>
        <v>1.9379662182924802E-3</v>
      </c>
      <c r="P230" s="5">
        <f t="shared" si="16"/>
        <v>0.23075794366196342</v>
      </c>
      <c r="Q230" s="5">
        <f t="shared" si="17"/>
        <v>0.92303177464785369</v>
      </c>
      <c r="S230" s="5">
        <f t="shared" si="18"/>
        <v>0.24401367571044946</v>
      </c>
      <c r="T230" s="5">
        <f t="shared" si="19"/>
        <v>0.97605470284179785</v>
      </c>
      <c r="V230" s="5"/>
      <c r="W230" s="5"/>
    </row>
    <row r="231" spans="1:23" x14ac:dyDescent="0.25">
      <c r="B231" s="3">
        <v>20</v>
      </c>
      <c r="C231" s="4">
        <v>528</v>
      </c>
      <c r="D231" s="4">
        <v>3</v>
      </c>
      <c r="E231" s="3">
        <v>12</v>
      </c>
      <c r="F231" s="5">
        <v>3.42</v>
      </c>
      <c r="G231" s="3">
        <v>25</v>
      </c>
      <c r="H231" s="3">
        <v>35</v>
      </c>
      <c r="I231" s="2">
        <v>0.13524934868327301</v>
      </c>
      <c r="J231" s="5">
        <v>427.665806916088</v>
      </c>
      <c r="K231" s="5">
        <v>0.28999999999999998</v>
      </c>
      <c r="L231" s="6">
        <f t="shared" si="15"/>
        <v>2.1383290345804401E-3</v>
      </c>
      <c r="P231" s="5">
        <f t="shared" si="16"/>
        <v>0.25058957594756265</v>
      </c>
      <c r="Q231" s="5">
        <f t="shared" si="17"/>
        <v>0.86410198602607813</v>
      </c>
      <c r="S231" s="5">
        <f t="shared" si="18"/>
        <v>0.26540198167321022</v>
      </c>
      <c r="T231" s="5">
        <f t="shared" si="19"/>
        <v>0.91517924714900079</v>
      </c>
      <c r="V231" s="5"/>
      <c r="W231" s="5"/>
    </row>
    <row r="232" spans="1:23" x14ac:dyDescent="0.25">
      <c r="B232" s="3">
        <v>20</v>
      </c>
      <c r="C232" s="4">
        <v>528</v>
      </c>
      <c r="D232" s="4">
        <v>3</v>
      </c>
      <c r="E232" s="3">
        <v>12</v>
      </c>
      <c r="F232" s="5">
        <v>3.42</v>
      </c>
      <c r="G232" s="3">
        <v>25</v>
      </c>
      <c r="H232" s="3">
        <v>35</v>
      </c>
      <c r="I232" s="2">
        <v>0.13524934868327301</v>
      </c>
      <c r="J232" s="5">
        <v>467.73837017367998</v>
      </c>
      <c r="K232" s="5">
        <v>0.31</v>
      </c>
      <c r="L232" s="6">
        <f t="shared" si="15"/>
        <v>2.3386918508684E-3</v>
      </c>
      <c r="P232" s="5">
        <f t="shared" si="16"/>
        <v>0.27012197636394342</v>
      </c>
      <c r="Q232" s="5">
        <f t="shared" si="17"/>
        <v>0.87136121407723688</v>
      </c>
      <c r="S232" s="5">
        <f t="shared" si="18"/>
        <v>0.2864992267683058</v>
      </c>
      <c r="T232" s="5">
        <f t="shared" si="19"/>
        <v>0.92419105409130908</v>
      </c>
      <c r="V232" s="5"/>
      <c r="W232" s="5"/>
    </row>
    <row r="233" spans="1:23" x14ac:dyDescent="0.25">
      <c r="B233" s="3">
        <v>20</v>
      </c>
      <c r="C233" s="4">
        <v>528</v>
      </c>
      <c r="D233" s="4">
        <v>3</v>
      </c>
      <c r="E233" s="3">
        <v>12</v>
      </c>
      <c r="F233" s="5">
        <v>3.42</v>
      </c>
      <c r="G233" s="3">
        <v>25</v>
      </c>
      <c r="H233" s="3">
        <v>35</v>
      </c>
      <c r="I233" s="2">
        <v>0.13524934868327301</v>
      </c>
      <c r="J233" s="5">
        <v>501.10623509507298</v>
      </c>
      <c r="K233" s="5">
        <v>0.37</v>
      </c>
      <c r="L233" s="6">
        <f t="shared" si="15"/>
        <v>2.5055311754753648E-3</v>
      </c>
      <c r="P233" s="5">
        <f t="shared" si="16"/>
        <v>0.28617954189917549</v>
      </c>
      <c r="Q233" s="5">
        <f t="shared" si="17"/>
        <v>0.77345822134912301</v>
      </c>
      <c r="S233" s="5">
        <f t="shared" si="18"/>
        <v>0.30386518816719976</v>
      </c>
      <c r="T233" s="5">
        <f t="shared" si="19"/>
        <v>0.82125726531675614</v>
      </c>
      <c r="V233" s="5"/>
      <c r="W233" s="5"/>
    </row>
    <row r="234" spans="1:23" x14ac:dyDescent="0.25">
      <c r="A234" s="1" t="s">
        <v>69</v>
      </c>
      <c r="B234" s="3">
        <v>16</v>
      </c>
      <c r="C234" s="4">
        <v>528</v>
      </c>
      <c r="D234" s="4">
        <v>2</v>
      </c>
      <c r="E234" s="3">
        <v>52</v>
      </c>
      <c r="F234" s="5">
        <v>2.98</v>
      </c>
      <c r="G234" s="3">
        <v>27</v>
      </c>
      <c r="H234" s="3">
        <v>35</v>
      </c>
      <c r="I234" s="2">
        <v>4.8026966994220002E-2</v>
      </c>
      <c r="J234" s="5">
        <v>352.91029281373</v>
      </c>
      <c r="K234" s="5">
        <v>0.16</v>
      </c>
      <c r="L234" s="6">
        <f t="shared" si="15"/>
        <v>1.7645514640686499E-3</v>
      </c>
      <c r="P234" s="5">
        <f t="shared" si="16"/>
        <v>0.27796985292032561</v>
      </c>
      <c r="Q234" s="5">
        <f t="shared" si="17"/>
        <v>1.737311580752035</v>
      </c>
      <c r="S234" s="5">
        <f t="shared" si="18"/>
        <v>0.26968638198623274</v>
      </c>
      <c r="T234" s="5">
        <f t="shared" si="19"/>
        <v>1.6855398874139547</v>
      </c>
      <c r="V234" s="5"/>
      <c r="W234" s="5"/>
    </row>
    <row r="235" spans="1:23" x14ac:dyDescent="0.25">
      <c r="B235" s="3">
        <v>16</v>
      </c>
      <c r="C235" s="4">
        <v>528</v>
      </c>
      <c r="D235" s="4">
        <v>2</v>
      </c>
      <c r="E235" s="3">
        <v>52</v>
      </c>
      <c r="F235" s="5">
        <v>2.98</v>
      </c>
      <c r="G235" s="3">
        <v>27</v>
      </c>
      <c r="H235" s="3">
        <v>35</v>
      </c>
      <c r="I235" s="2">
        <v>4.8026966994220002E-2</v>
      </c>
      <c r="J235" s="5">
        <v>437.85145690880501</v>
      </c>
      <c r="K235" s="5">
        <v>0.2</v>
      </c>
      <c r="L235" s="6">
        <f t="shared" si="15"/>
        <v>2.1892572845440251E-3</v>
      </c>
      <c r="P235" s="5">
        <f t="shared" si="16"/>
        <v>0.33303267873728304</v>
      </c>
      <c r="Q235" s="5">
        <f t="shared" si="17"/>
        <v>1.6651633936864152</v>
      </c>
      <c r="S235" s="5">
        <f t="shared" si="18"/>
        <v>0.324225202303351</v>
      </c>
      <c r="T235" s="5">
        <f t="shared" si="19"/>
        <v>1.621126011516755</v>
      </c>
      <c r="V235" s="5"/>
      <c r="W235" s="5"/>
    </row>
    <row r="236" spans="1:23" x14ac:dyDescent="0.25">
      <c r="B236" s="3">
        <v>16</v>
      </c>
      <c r="C236" s="4">
        <v>528</v>
      </c>
      <c r="D236" s="4">
        <v>2</v>
      </c>
      <c r="E236" s="3">
        <v>52</v>
      </c>
      <c r="F236" s="5">
        <v>2.98</v>
      </c>
      <c r="G236" s="3">
        <v>27</v>
      </c>
      <c r="H236" s="3">
        <v>35</v>
      </c>
      <c r="I236" s="2">
        <v>4.8026966994220002E-2</v>
      </c>
      <c r="J236" s="5">
        <v>523.88203180799201</v>
      </c>
      <c r="K236" s="5">
        <v>0.26</v>
      </c>
      <c r="L236" s="6">
        <f t="shared" si="15"/>
        <v>2.61941015903996E-3</v>
      </c>
      <c r="P236" s="5">
        <f t="shared" si="16"/>
        <v>0.38705498802929972</v>
      </c>
      <c r="Q236" s="5">
        <f t="shared" si="17"/>
        <v>1.488673030881922</v>
      </c>
      <c r="S236" s="5">
        <f t="shared" si="18"/>
        <v>0.37790191717801014</v>
      </c>
      <c r="T236" s="5">
        <f t="shared" si="19"/>
        <v>1.4534689122231159</v>
      </c>
      <c r="V236" s="5"/>
      <c r="W236" s="5"/>
    </row>
    <row r="237" spans="1:23" x14ac:dyDescent="0.25">
      <c r="A237" s="1" t="s">
        <v>70</v>
      </c>
      <c r="B237" s="3">
        <v>20</v>
      </c>
      <c r="C237" s="4">
        <v>528</v>
      </c>
      <c r="D237" s="4">
        <v>2</v>
      </c>
      <c r="E237" s="3">
        <v>44</v>
      </c>
      <c r="F237" s="5">
        <v>2.98</v>
      </c>
      <c r="G237" s="3">
        <v>25</v>
      </c>
      <c r="H237" s="3">
        <v>35</v>
      </c>
      <c r="I237" s="2">
        <v>8.1200522425266902E-2</v>
      </c>
      <c r="J237" s="5">
        <v>239.48479683343299</v>
      </c>
      <c r="K237" s="5">
        <v>0.17</v>
      </c>
      <c r="L237" s="6">
        <f t="shared" si="15"/>
        <v>1.1974239841671651E-3</v>
      </c>
      <c r="P237" s="5">
        <f t="shared" si="16"/>
        <v>0.19794625026201898</v>
      </c>
      <c r="Q237" s="5">
        <f t="shared" si="17"/>
        <v>1.1643897074236409</v>
      </c>
      <c r="S237" s="5">
        <f t="shared" si="18"/>
        <v>0.19758477635123878</v>
      </c>
      <c r="T237" s="5">
        <f t="shared" si="19"/>
        <v>1.1622633903014046</v>
      </c>
      <c r="V237" s="5"/>
      <c r="W237" s="5"/>
    </row>
    <row r="238" spans="1:23" x14ac:dyDescent="0.25">
      <c r="B238" s="3">
        <v>20</v>
      </c>
      <c r="C238" s="4">
        <v>528</v>
      </c>
      <c r="D238" s="4">
        <v>2</v>
      </c>
      <c r="E238" s="3">
        <v>44</v>
      </c>
      <c r="F238" s="5">
        <v>2.98</v>
      </c>
      <c r="G238" s="3">
        <v>25</v>
      </c>
      <c r="H238" s="3">
        <v>35</v>
      </c>
      <c r="I238" s="2">
        <v>8.1200522425266902E-2</v>
      </c>
      <c r="J238" s="5">
        <v>280.83646091543699</v>
      </c>
      <c r="K238" s="5">
        <v>0.19</v>
      </c>
      <c r="L238" s="6">
        <f t="shared" si="15"/>
        <v>1.404182304577185E-3</v>
      </c>
      <c r="P238" s="5">
        <f t="shared" si="16"/>
        <v>0.22621238796457827</v>
      </c>
      <c r="Q238" s="5">
        <f t="shared" si="17"/>
        <v>1.1905915156030435</v>
      </c>
      <c r="S238" s="5">
        <f t="shared" si="18"/>
        <v>0.22637548484468414</v>
      </c>
      <c r="T238" s="5">
        <f t="shared" si="19"/>
        <v>1.1914499202351796</v>
      </c>
      <c r="V238" s="5"/>
      <c r="W238" s="5"/>
    </row>
    <row r="239" spans="1:23" x14ac:dyDescent="0.25">
      <c r="B239" s="3">
        <v>20</v>
      </c>
      <c r="C239" s="4">
        <v>528</v>
      </c>
      <c r="D239" s="4">
        <v>2</v>
      </c>
      <c r="E239" s="3">
        <v>44</v>
      </c>
      <c r="F239" s="5">
        <v>2.98</v>
      </c>
      <c r="G239" s="3">
        <v>25</v>
      </c>
      <c r="H239" s="3">
        <v>35</v>
      </c>
      <c r="I239" s="2">
        <v>8.1200522425266902E-2</v>
      </c>
      <c r="J239" s="5">
        <v>334.00288616372802</v>
      </c>
      <c r="K239" s="5">
        <v>0.23</v>
      </c>
      <c r="L239" s="6">
        <f t="shared" si="15"/>
        <v>1.6700144308186401E-3</v>
      </c>
      <c r="P239" s="5">
        <f t="shared" si="16"/>
        <v>0.26158632860033693</v>
      </c>
      <c r="Q239" s="5">
        <f t="shared" si="17"/>
        <v>1.1373318634797258</v>
      </c>
      <c r="S239" s="5">
        <f t="shared" si="18"/>
        <v>0.26250211043587934</v>
      </c>
      <c r="T239" s="5">
        <f t="shared" si="19"/>
        <v>1.141313523634258</v>
      </c>
      <c r="V239" s="5"/>
      <c r="W239" s="5"/>
    </row>
    <row r="240" spans="1:23" x14ac:dyDescent="0.25">
      <c r="B240" s="3">
        <v>20</v>
      </c>
      <c r="C240" s="4">
        <v>528</v>
      </c>
      <c r="D240" s="4">
        <v>2</v>
      </c>
      <c r="E240" s="3">
        <v>44</v>
      </c>
      <c r="F240" s="5">
        <v>2.98</v>
      </c>
      <c r="G240" s="3">
        <v>25</v>
      </c>
      <c r="H240" s="3">
        <v>35</v>
      </c>
      <c r="I240" s="2">
        <v>8.1200522425266902E-2</v>
      </c>
      <c r="J240" s="5">
        <v>357.63240849630199</v>
      </c>
      <c r="K240" s="5">
        <v>0.25</v>
      </c>
      <c r="L240" s="6">
        <f t="shared" si="15"/>
        <v>1.7881620424815099E-3</v>
      </c>
      <c r="P240" s="5">
        <f t="shared" si="16"/>
        <v>0.27700809041289604</v>
      </c>
      <c r="Q240" s="5">
        <f t="shared" si="17"/>
        <v>1.1080323616515841</v>
      </c>
      <c r="S240" s="5">
        <f t="shared" si="18"/>
        <v>0.27828205169287185</v>
      </c>
      <c r="T240" s="5">
        <f t="shared" si="19"/>
        <v>1.1131282067714874</v>
      </c>
      <c r="V240" s="5"/>
      <c r="W240" s="5"/>
    </row>
    <row r="241" spans="1:23" x14ac:dyDescent="0.25">
      <c r="B241" s="3">
        <v>20</v>
      </c>
      <c r="C241" s="4">
        <v>528</v>
      </c>
      <c r="D241" s="4">
        <v>2</v>
      </c>
      <c r="E241" s="3">
        <v>44</v>
      </c>
      <c r="F241" s="5">
        <v>2.98</v>
      </c>
      <c r="G241" s="3">
        <v>25</v>
      </c>
      <c r="H241" s="3">
        <v>35</v>
      </c>
      <c r="I241" s="2">
        <v>8.1200522425266902E-2</v>
      </c>
      <c r="J241" s="5">
        <v>393.07669199516198</v>
      </c>
      <c r="K241" s="5">
        <v>0.3</v>
      </c>
      <c r="L241" s="6">
        <f t="shared" si="15"/>
        <v>1.9653834599758098E-3</v>
      </c>
      <c r="P241" s="5">
        <f t="shared" si="16"/>
        <v>0.29983638256410355</v>
      </c>
      <c r="Q241" s="5">
        <f t="shared" si="17"/>
        <v>0.99945460854701185</v>
      </c>
      <c r="S241" s="5">
        <f t="shared" si="18"/>
        <v>0.3016711088286676</v>
      </c>
      <c r="T241" s="5">
        <f t="shared" si="19"/>
        <v>1.0055703627622254</v>
      </c>
      <c r="V241" s="5"/>
      <c r="W241" s="5"/>
    </row>
    <row r="242" spans="1:23" x14ac:dyDescent="0.25">
      <c r="B242" s="3">
        <v>20</v>
      </c>
      <c r="C242" s="4">
        <v>528</v>
      </c>
      <c r="D242" s="4">
        <v>2</v>
      </c>
      <c r="E242" s="3">
        <v>44</v>
      </c>
      <c r="F242" s="5">
        <v>2.98</v>
      </c>
      <c r="G242" s="3">
        <v>25</v>
      </c>
      <c r="H242" s="3">
        <v>35</v>
      </c>
      <c r="I242" s="2">
        <v>8.1200522425266902E-2</v>
      </c>
      <c r="J242" s="5">
        <v>416.70621432773601</v>
      </c>
      <c r="K242" s="5">
        <v>0.32</v>
      </c>
      <c r="L242" s="6">
        <f t="shared" si="15"/>
        <v>2.0835310716386802E-3</v>
      </c>
      <c r="P242" s="5">
        <f t="shared" si="16"/>
        <v>0.31486898147140258</v>
      </c>
      <c r="Q242" s="5">
        <f t="shared" si="17"/>
        <v>0.98396556709813299</v>
      </c>
      <c r="S242" s="5">
        <f t="shared" si="18"/>
        <v>0.31709172767871224</v>
      </c>
      <c r="T242" s="5">
        <f t="shared" si="19"/>
        <v>0.99091164899597572</v>
      </c>
      <c r="V242" s="5"/>
      <c r="W242" s="5"/>
    </row>
    <row r="243" spans="1:23" x14ac:dyDescent="0.25">
      <c r="B243" s="3">
        <v>20</v>
      </c>
      <c r="C243" s="4">
        <v>528</v>
      </c>
      <c r="D243" s="4">
        <v>2</v>
      </c>
      <c r="E243" s="3">
        <v>44</v>
      </c>
      <c r="F243" s="5">
        <v>2.98</v>
      </c>
      <c r="G243" s="3">
        <v>25</v>
      </c>
      <c r="H243" s="3">
        <v>35</v>
      </c>
      <c r="I243" s="2">
        <v>8.1200522425266902E-2</v>
      </c>
      <c r="J243" s="5">
        <v>474.59854404254099</v>
      </c>
      <c r="K243" s="5">
        <v>0.36</v>
      </c>
      <c r="L243" s="6">
        <f t="shared" si="15"/>
        <v>2.372992720212705E-3</v>
      </c>
      <c r="P243" s="5">
        <f t="shared" si="16"/>
        <v>0.35113480781802342</v>
      </c>
      <c r="Q243" s="5">
        <f t="shared" si="17"/>
        <v>0.97537446616117618</v>
      </c>
      <c r="S243" s="5">
        <f t="shared" si="18"/>
        <v>0.35435034401918775</v>
      </c>
      <c r="T243" s="5">
        <f t="shared" si="19"/>
        <v>0.98430651116441048</v>
      </c>
      <c r="V243" s="5"/>
      <c r="W243" s="5"/>
    </row>
    <row r="244" spans="1:23" x14ac:dyDescent="0.25">
      <c r="B244" s="3">
        <v>20</v>
      </c>
      <c r="C244" s="4">
        <v>528</v>
      </c>
      <c r="D244" s="4">
        <v>2</v>
      </c>
      <c r="E244" s="3">
        <v>44</v>
      </c>
      <c r="F244" s="5">
        <v>2.98</v>
      </c>
      <c r="G244" s="3">
        <v>25</v>
      </c>
      <c r="H244" s="3">
        <v>35</v>
      </c>
      <c r="I244" s="2">
        <v>8.1200522425266902E-2</v>
      </c>
      <c r="J244" s="5">
        <v>526.44594786447101</v>
      </c>
      <c r="K244" s="5">
        <v>0.47</v>
      </c>
      <c r="L244" s="6">
        <f t="shared" si="15"/>
        <v>2.6322297393223549E-3</v>
      </c>
      <c r="P244" s="5">
        <f t="shared" si="16"/>
        <v>0.38300710650149306</v>
      </c>
      <c r="Q244" s="5">
        <f t="shared" si="17"/>
        <v>0.81490873723721935</v>
      </c>
      <c r="S244" s="5">
        <f t="shared" si="18"/>
        <v>0.3871562245370927</v>
      </c>
      <c r="T244" s="5">
        <f t="shared" si="19"/>
        <v>0.82373664795126111</v>
      </c>
      <c r="V244" s="5"/>
      <c r="W244" s="5"/>
    </row>
    <row r="245" spans="1:23" x14ac:dyDescent="0.25">
      <c r="A245" s="1" t="s">
        <v>71</v>
      </c>
      <c r="B245" s="3">
        <v>20</v>
      </c>
      <c r="C245" s="4">
        <v>528</v>
      </c>
      <c r="D245" s="4">
        <v>3</v>
      </c>
      <c r="E245" s="3">
        <v>12</v>
      </c>
      <c r="F245" s="5">
        <v>2.98</v>
      </c>
      <c r="G245" s="3">
        <v>25</v>
      </c>
      <c r="H245" s="3">
        <v>35</v>
      </c>
      <c r="I245" s="2">
        <v>0.13268666951969799</v>
      </c>
      <c r="J245" s="5">
        <v>288.35506662539098</v>
      </c>
      <c r="K245" s="5">
        <v>0.16</v>
      </c>
      <c r="L245" s="6">
        <f t="shared" si="15"/>
        <v>1.4417753331269548E-3</v>
      </c>
      <c r="P245" s="5">
        <f t="shared" si="16"/>
        <v>0.18179594607968533</v>
      </c>
      <c r="Q245" s="5">
        <f t="shared" si="17"/>
        <v>1.1362246629980333</v>
      </c>
      <c r="S245" s="5">
        <f t="shared" si="18"/>
        <v>0.19087161760812787</v>
      </c>
      <c r="T245" s="5">
        <f t="shared" si="19"/>
        <v>1.1929476100507992</v>
      </c>
      <c r="V245" s="5"/>
      <c r="W245" s="5"/>
    </row>
    <row r="246" spans="1:23" x14ac:dyDescent="0.25">
      <c r="B246" s="3">
        <v>20</v>
      </c>
      <c r="C246" s="4">
        <v>528</v>
      </c>
      <c r="D246" s="4">
        <v>3</v>
      </c>
      <c r="E246" s="3">
        <v>12</v>
      </c>
      <c r="F246" s="5">
        <v>2.98</v>
      </c>
      <c r="G246" s="3">
        <v>25</v>
      </c>
      <c r="H246" s="3">
        <v>35</v>
      </c>
      <c r="I246" s="2">
        <v>0.13268666951969799</v>
      </c>
      <c r="J246" s="5">
        <v>304.06930248173501</v>
      </c>
      <c r="K246" s="5">
        <v>0.18</v>
      </c>
      <c r="L246" s="6">
        <f t="shared" si="15"/>
        <v>1.5203465124086751E-3</v>
      </c>
      <c r="P246" s="5">
        <f t="shared" si="16"/>
        <v>0.19006226351943814</v>
      </c>
      <c r="Q246" s="5">
        <f t="shared" si="17"/>
        <v>1.0559014639968787</v>
      </c>
      <c r="S246" s="5">
        <f t="shared" si="18"/>
        <v>0.19972010078921604</v>
      </c>
      <c r="T246" s="5">
        <f t="shared" si="19"/>
        <v>1.1095561154956446</v>
      </c>
      <c r="V246" s="5"/>
      <c r="W246" s="5"/>
    </row>
    <row r="247" spans="1:23" x14ac:dyDescent="0.25">
      <c r="B247" s="3">
        <v>20</v>
      </c>
      <c r="C247" s="4">
        <v>528</v>
      </c>
      <c r="D247" s="4">
        <v>3</v>
      </c>
      <c r="E247" s="3">
        <v>12</v>
      </c>
      <c r="F247" s="5">
        <v>2.98</v>
      </c>
      <c r="G247" s="3">
        <v>25</v>
      </c>
      <c r="H247" s="3">
        <v>35</v>
      </c>
      <c r="I247" s="2">
        <v>0.13268666951969799</v>
      </c>
      <c r="J247" s="5">
        <v>343.35489212259603</v>
      </c>
      <c r="K247" s="5">
        <v>0.18</v>
      </c>
      <c r="L247" s="6">
        <f t="shared" si="15"/>
        <v>1.7167744606129802E-3</v>
      </c>
      <c r="P247" s="5">
        <f t="shared" si="16"/>
        <v>0.21043487275087847</v>
      </c>
      <c r="Q247" s="5">
        <f t="shared" si="17"/>
        <v>1.1690826263937693</v>
      </c>
      <c r="S247" s="5">
        <f t="shared" si="18"/>
        <v>0.22155824770581842</v>
      </c>
      <c r="T247" s="5">
        <f t="shared" si="19"/>
        <v>1.2308791539212134</v>
      </c>
      <c r="V247" s="5"/>
      <c r="W247" s="5"/>
    </row>
    <row r="248" spans="1:23" x14ac:dyDescent="0.25">
      <c r="B248" s="3">
        <v>20</v>
      </c>
      <c r="C248" s="4">
        <v>528</v>
      </c>
      <c r="D248" s="4">
        <v>3</v>
      </c>
      <c r="E248" s="3">
        <v>12</v>
      </c>
      <c r="F248" s="5">
        <v>2.98</v>
      </c>
      <c r="G248" s="3">
        <v>25</v>
      </c>
      <c r="H248" s="3">
        <v>35</v>
      </c>
      <c r="I248" s="2">
        <v>0.13268666951969799</v>
      </c>
      <c r="J248" s="5">
        <v>386.56904072754202</v>
      </c>
      <c r="K248" s="5">
        <v>0.2</v>
      </c>
      <c r="L248" s="6">
        <f t="shared" si="15"/>
        <v>1.9328452036377101E-3</v>
      </c>
      <c r="P248" s="5">
        <f t="shared" si="16"/>
        <v>0.23241339846658096</v>
      </c>
      <c r="Q248" s="5">
        <f t="shared" si="17"/>
        <v>1.1620669923329048</v>
      </c>
      <c r="S248" s="5">
        <f t="shared" si="18"/>
        <v>0.24516310467655988</v>
      </c>
      <c r="T248" s="5">
        <f t="shared" si="19"/>
        <v>1.2258155233827994</v>
      </c>
      <c r="V248" s="5"/>
      <c r="W248" s="5"/>
    </row>
    <row r="249" spans="1:23" x14ac:dyDescent="0.25">
      <c r="B249" s="3">
        <v>20</v>
      </c>
      <c r="C249" s="4">
        <v>528</v>
      </c>
      <c r="D249" s="4">
        <v>3</v>
      </c>
      <c r="E249" s="3">
        <v>12</v>
      </c>
      <c r="F249" s="5">
        <v>2.98</v>
      </c>
      <c r="G249" s="3">
        <v>25</v>
      </c>
      <c r="H249" s="3">
        <v>35</v>
      </c>
      <c r="I249" s="2">
        <v>0.13268666951969799</v>
      </c>
      <c r="J249" s="5">
        <v>425.85463036840201</v>
      </c>
      <c r="K249" s="5">
        <v>0.2</v>
      </c>
      <c r="L249" s="6">
        <f t="shared" si="15"/>
        <v>2.12927315184201E-3</v>
      </c>
      <c r="P249" s="5">
        <f t="shared" si="16"/>
        <v>0.25204953936096031</v>
      </c>
      <c r="Q249" s="5">
        <f t="shared" si="17"/>
        <v>1.2602476968048015</v>
      </c>
      <c r="S249" s="5">
        <f t="shared" si="18"/>
        <v>0.26628849811779881</v>
      </c>
      <c r="T249" s="5">
        <f t="shared" si="19"/>
        <v>1.3314424905889939</v>
      </c>
      <c r="V249" s="5"/>
      <c r="W249" s="5"/>
    </row>
    <row r="250" spans="1:23" x14ac:dyDescent="0.25">
      <c r="B250" s="3">
        <v>20</v>
      </c>
      <c r="C250" s="4">
        <v>528</v>
      </c>
      <c r="D250" s="4">
        <v>3</v>
      </c>
      <c r="E250" s="3">
        <v>12</v>
      </c>
      <c r="F250" s="5">
        <v>2.98</v>
      </c>
      <c r="G250" s="3">
        <v>25</v>
      </c>
      <c r="H250" s="3">
        <v>35</v>
      </c>
      <c r="I250" s="2">
        <v>0.13268666951969799</v>
      </c>
      <c r="J250" s="5">
        <v>461.21166104517698</v>
      </c>
      <c r="K250" s="5">
        <v>0.2</v>
      </c>
      <c r="L250" s="6">
        <f t="shared" si="15"/>
        <v>2.3060583052258851E-3</v>
      </c>
      <c r="P250" s="5">
        <f t="shared" si="16"/>
        <v>0.26947179226720402</v>
      </c>
      <c r="Q250" s="5">
        <f t="shared" si="17"/>
        <v>1.34735896133602</v>
      </c>
      <c r="S250" s="5">
        <f t="shared" si="18"/>
        <v>0.28505852494803868</v>
      </c>
      <c r="T250" s="5">
        <f t="shared" si="19"/>
        <v>1.4252926247401934</v>
      </c>
      <c r="V250" s="5"/>
      <c r="W250" s="5"/>
    </row>
    <row r="251" spans="1:23" x14ac:dyDescent="0.25">
      <c r="B251" s="3">
        <v>20</v>
      </c>
      <c r="C251" s="4">
        <v>528</v>
      </c>
      <c r="D251" s="4">
        <v>3</v>
      </c>
      <c r="E251" s="3">
        <v>12</v>
      </c>
      <c r="F251" s="5">
        <v>2.98</v>
      </c>
      <c r="G251" s="3">
        <v>25</v>
      </c>
      <c r="H251" s="3">
        <v>35</v>
      </c>
      <c r="I251" s="2">
        <v>0.13268666951969799</v>
      </c>
      <c r="J251" s="5">
        <v>502.05901185324399</v>
      </c>
      <c r="K251" s="5">
        <v>0.22</v>
      </c>
      <c r="L251" s="6">
        <f t="shared" si="15"/>
        <v>2.51029505926622E-3</v>
      </c>
      <c r="P251" s="5">
        <f t="shared" si="16"/>
        <v>0.28933260126002813</v>
      </c>
      <c r="Q251" s="5">
        <f t="shared" si="17"/>
        <v>1.3151481875455824</v>
      </c>
      <c r="S251" s="5">
        <f t="shared" si="18"/>
        <v>0.30648397103107661</v>
      </c>
      <c r="T251" s="5">
        <f t="shared" si="19"/>
        <v>1.3931089592321664</v>
      </c>
      <c r="V251" s="5"/>
      <c r="W251" s="5"/>
    </row>
    <row r="252" spans="1:23" x14ac:dyDescent="0.25">
      <c r="A252" s="1" t="s">
        <v>72</v>
      </c>
      <c r="B252" s="3">
        <v>28</v>
      </c>
      <c r="C252" s="4">
        <v>400</v>
      </c>
      <c r="D252" s="4">
        <v>4</v>
      </c>
      <c r="E252" s="3">
        <v>16</v>
      </c>
      <c r="F252" s="5">
        <v>5.3084743571011099</v>
      </c>
      <c r="G252" s="3">
        <v>30</v>
      </c>
      <c r="H252" s="3">
        <v>44</v>
      </c>
      <c r="I252" s="2">
        <v>0.22188311816029299</v>
      </c>
      <c r="J252" s="5">
        <v>118.005970112131</v>
      </c>
      <c r="K252" s="5">
        <v>0.22</v>
      </c>
      <c r="L252" s="6">
        <f t="shared" si="15"/>
        <v>5.9002985056065495E-4</v>
      </c>
      <c r="P252" s="5">
        <f t="shared" si="16"/>
        <v>9.6659340703956861E-2</v>
      </c>
      <c r="Q252" s="5">
        <f t="shared" si="17"/>
        <v>0.43936063956344029</v>
      </c>
      <c r="S252" s="5">
        <f t="shared" si="18"/>
        <v>0.11025116734288484</v>
      </c>
      <c r="T252" s="5">
        <f t="shared" si="19"/>
        <v>0.50114166974038565</v>
      </c>
      <c r="V252" s="5"/>
      <c r="W252" s="5"/>
    </row>
    <row r="253" spans="1:23" x14ac:dyDescent="0.25">
      <c r="B253" s="3">
        <v>28</v>
      </c>
      <c r="C253" s="4">
        <v>400</v>
      </c>
      <c r="D253" s="4">
        <v>4</v>
      </c>
      <c r="E253" s="3">
        <v>16</v>
      </c>
      <c r="F253" s="5">
        <v>5.3084743571011099</v>
      </c>
      <c r="G253" s="3">
        <v>30</v>
      </c>
      <c r="H253" s="3">
        <v>44</v>
      </c>
      <c r="I253" s="2">
        <v>0.22188311816029299</v>
      </c>
      <c r="J253" s="5">
        <v>169.89998557407699</v>
      </c>
      <c r="K253" s="5">
        <v>0.25</v>
      </c>
      <c r="L253" s="6">
        <f t="shared" si="15"/>
        <v>8.49499927870385E-4</v>
      </c>
      <c r="P253" s="5">
        <f t="shared" si="16"/>
        <v>0.13118685308621941</v>
      </c>
      <c r="Q253" s="5">
        <f t="shared" si="17"/>
        <v>0.52474741234487765</v>
      </c>
      <c r="S253" s="5">
        <f t="shared" si="18"/>
        <v>0.15050894517054614</v>
      </c>
      <c r="T253" s="5">
        <f t="shared" si="19"/>
        <v>0.60203578068218455</v>
      </c>
      <c r="V253" s="5"/>
      <c r="W253" s="5"/>
    </row>
    <row r="254" spans="1:23" x14ac:dyDescent="0.25">
      <c r="B254" s="3">
        <v>28</v>
      </c>
      <c r="C254" s="4">
        <v>400</v>
      </c>
      <c r="D254" s="4">
        <v>4</v>
      </c>
      <c r="E254" s="3">
        <v>16</v>
      </c>
      <c r="F254" s="5">
        <v>5.3084743571011099</v>
      </c>
      <c r="G254" s="3">
        <v>30</v>
      </c>
      <c r="H254" s="3">
        <v>44</v>
      </c>
      <c r="I254" s="2">
        <v>0.22188311816029299</v>
      </c>
      <c r="J254" s="5">
        <v>202.20584357213099</v>
      </c>
      <c r="K254" s="5">
        <v>0.28999999999999998</v>
      </c>
      <c r="L254" s="6">
        <f t="shared" si="15"/>
        <v>1.011029217860655E-3</v>
      </c>
      <c r="P254" s="5">
        <f t="shared" si="16"/>
        <v>0.1517900891876944</v>
      </c>
      <c r="Q254" s="5">
        <f t="shared" si="17"/>
        <v>0.52341410064722216</v>
      </c>
      <c r="S254" s="5">
        <f t="shared" si="18"/>
        <v>0.17463247921800901</v>
      </c>
      <c r="T254" s="5">
        <f t="shared" si="19"/>
        <v>0.60218096282072076</v>
      </c>
      <c r="V254" s="5"/>
      <c r="W254" s="5"/>
    </row>
    <row r="255" spans="1:23" x14ac:dyDescent="0.25">
      <c r="B255" s="3">
        <v>28</v>
      </c>
      <c r="C255" s="4">
        <v>400</v>
      </c>
      <c r="D255" s="4">
        <v>4</v>
      </c>
      <c r="E255" s="3">
        <v>16</v>
      </c>
      <c r="F255" s="5">
        <v>5.3084743571011099</v>
      </c>
      <c r="G255" s="3">
        <v>30</v>
      </c>
      <c r="H255" s="3">
        <v>44</v>
      </c>
      <c r="I255" s="2">
        <v>0.22188311816029299</v>
      </c>
      <c r="J255" s="5">
        <v>239.33347142064201</v>
      </c>
      <c r="K255" s="5">
        <v>0.31</v>
      </c>
      <c r="L255" s="6">
        <f t="shared" si="15"/>
        <v>1.1966673571032101E-3</v>
      </c>
      <c r="P255" s="5">
        <f t="shared" si="16"/>
        <v>0.17482082948417271</v>
      </c>
      <c r="Q255" s="5">
        <f t="shared" si="17"/>
        <v>0.56393815962636362</v>
      </c>
      <c r="S255" s="5">
        <f t="shared" si="18"/>
        <v>0.20167224637726866</v>
      </c>
      <c r="T255" s="5">
        <f t="shared" si="19"/>
        <v>0.65055563347506018</v>
      </c>
      <c r="V255" s="5"/>
      <c r="W255" s="5"/>
    </row>
    <row r="256" spans="1:23" x14ac:dyDescent="0.25">
      <c r="B256" s="3">
        <v>28</v>
      </c>
      <c r="C256" s="4">
        <v>400</v>
      </c>
      <c r="D256" s="4">
        <v>4</v>
      </c>
      <c r="E256" s="3">
        <v>16</v>
      </c>
      <c r="F256" s="5">
        <v>5.3084743571011099</v>
      </c>
      <c r="G256" s="3">
        <v>30</v>
      </c>
      <c r="H256" s="3">
        <v>44</v>
      </c>
      <c r="I256" s="2">
        <v>0.22188311816029299</v>
      </c>
      <c r="J256" s="5">
        <v>297.194709626112</v>
      </c>
      <c r="K256" s="5">
        <v>0.33</v>
      </c>
      <c r="L256" s="6">
        <f t="shared" si="15"/>
        <v>1.4859735481305601E-3</v>
      </c>
      <c r="P256" s="5">
        <f t="shared" si="16"/>
        <v>0.2096026233815233</v>
      </c>
      <c r="Q256" s="5">
        <f t="shared" si="17"/>
        <v>0.63515946479249485</v>
      </c>
      <c r="S256" s="5">
        <f t="shared" si="18"/>
        <v>0.24263546234220762</v>
      </c>
      <c r="T256" s="5">
        <f t="shared" si="19"/>
        <v>0.73525897679456853</v>
      </c>
      <c r="V256" s="5"/>
      <c r="W256" s="5"/>
    </row>
    <row r="257" spans="1:23" x14ac:dyDescent="0.25">
      <c r="B257" s="3">
        <v>28</v>
      </c>
      <c r="C257" s="4">
        <v>400</v>
      </c>
      <c r="D257" s="4">
        <v>4</v>
      </c>
      <c r="E257" s="3">
        <v>16</v>
      </c>
      <c r="F257" s="5">
        <v>5.3084743571011099</v>
      </c>
      <c r="G257" s="3">
        <v>30</v>
      </c>
      <c r="H257" s="3">
        <v>44</v>
      </c>
      <c r="I257" s="2">
        <v>0.22188311816029299</v>
      </c>
      <c r="J257" s="5">
        <v>326.607505713894</v>
      </c>
      <c r="K257" s="5">
        <v>0.34</v>
      </c>
      <c r="L257" s="6">
        <f t="shared" si="15"/>
        <v>1.63303752856947E-3</v>
      </c>
      <c r="P257" s="5">
        <f t="shared" si="16"/>
        <v>0.22685179321482402</v>
      </c>
      <c r="Q257" s="5">
        <f t="shared" si="17"/>
        <v>0.66721115651418827</v>
      </c>
      <c r="S257" s="5">
        <f t="shared" si="18"/>
        <v>0.26299987340584963</v>
      </c>
      <c r="T257" s="5">
        <f t="shared" si="19"/>
        <v>0.77352903942896944</v>
      </c>
      <c r="V257" s="5"/>
      <c r="W257" s="5"/>
    </row>
    <row r="258" spans="1:23" x14ac:dyDescent="0.25">
      <c r="B258" s="3">
        <v>28</v>
      </c>
      <c r="C258" s="4">
        <v>400</v>
      </c>
      <c r="D258" s="4">
        <v>4</v>
      </c>
      <c r="E258" s="3">
        <v>16</v>
      </c>
      <c r="F258" s="5">
        <v>5.3084743571011099</v>
      </c>
      <c r="G258" s="3">
        <v>30</v>
      </c>
      <c r="H258" s="3">
        <v>44</v>
      </c>
      <c r="I258" s="2">
        <v>0.22188311816029299</v>
      </c>
      <c r="J258" s="5">
        <v>369.52125738295098</v>
      </c>
      <c r="K258" s="5">
        <v>0.37</v>
      </c>
      <c r="L258" s="6">
        <f t="shared" si="15"/>
        <v>1.8476062869147549E-3</v>
      </c>
      <c r="P258" s="5">
        <f t="shared" si="16"/>
        <v>0.25157653636383082</v>
      </c>
      <c r="Q258" s="5">
        <f t="shared" si="17"/>
        <v>0.67993658476711027</v>
      </c>
      <c r="S258" s="5">
        <f t="shared" si="18"/>
        <v>0.29224108301853918</v>
      </c>
      <c r="T258" s="5">
        <f t="shared" si="19"/>
        <v>0.78984076491497079</v>
      </c>
      <c r="V258" s="5"/>
      <c r="W258" s="5"/>
    </row>
    <row r="259" spans="1:23" x14ac:dyDescent="0.25">
      <c r="A259" s="1" t="s">
        <v>73</v>
      </c>
      <c r="B259" s="3">
        <v>15.9</v>
      </c>
      <c r="C259" s="4">
        <v>392</v>
      </c>
      <c r="D259" s="4">
        <v>2</v>
      </c>
      <c r="E259" s="3">
        <v>46</v>
      </c>
      <c r="F259" s="5">
        <v>2.8258773978663201</v>
      </c>
      <c r="G259" s="3">
        <v>30</v>
      </c>
      <c r="H259" s="3">
        <v>38</v>
      </c>
      <c r="I259" s="2">
        <v>4.4148388230368402E-2</v>
      </c>
      <c r="J259" s="5">
        <v>341.98722674400699</v>
      </c>
      <c r="K259" s="5">
        <v>0.2</v>
      </c>
      <c r="L259" s="6">
        <f t="shared" si="15"/>
        <v>1.7099361337200351E-3</v>
      </c>
      <c r="P259" s="5">
        <f t="shared" si="16"/>
        <v>0.28050842070461213</v>
      </c>
      <c r="Q259" s="5">
        <f t="shared" si="17"/>
        <v>1.4025421035230605</v>
      </c>
      <c r="S259" s="5">
        <f t="shared" si="18"/>
        <v>0.27143631848323668</v>
      </c>
      <c r="T259" s="5">
        <f t="shared" si="19"/>
        <v>1.3571815924161834</v>
      </c>
      <c r="V259" s="5"/>
      <c r="W259" s="5"/>
    </row>
    <row r="260" spans="1:23" x14ac:dyDescent="0.25">
      <c r="B260" s="3">
        <v>15.9</v>
      </c>
      <c r="C260" s="4">
        <v>392</v>
      </c>
      <c r="D260" s="4">
        <v>2</v>
      </c>
      <c r="E260" s="3">
        <v>46</v>
      </c>
      <c r="F260" s="5">
        <v>2.8258773978663201</v>
      </c>
      <c r="G260" s="3">
        <v>30</v>
      </c>
      <c r="H260" s="3">
        <v>38</v>
      </c>
      <c r="I260" s="2">
        <v>4.4148388230368402E-2</v>
      </c>
      <c r="J260" s="5">
        <v>377.934520636081</v>
      </c>
      <c r="K260" s="5">
        <v>0.35</v>
      </c>
      <c r="L260" s="6">
        <f t="shared" si="15"/>
        <v>1.8896726031804049E-3</v>
      </c>
      <c r="P260" s="5">
        <f t="shared" si="16"/>
        <v>0.30501464934592065</v>
      </c>
      <c r="Q260" s="5">
        <f t="shared" si="17"/>
        <v>0.87147042670263053</v>
      </c>
      <c r="S260" s="5">
        <f t="shared" si="18"/>
        <v>0.29562234546108851</v>
      </c>
      <c r="T260" s="5">
        <f t="shared" si="19"/>
        <v>0.84463527274596717</v>
      </c>
      <c r="V260" s="5"/>
      <c r="W260" s="5"/>
    </row>
    <row r="261" spans="1:23" x14ac:dyDescent="0.25">
      <c r="A261" s="1" t="s">
        <v>74</v>
      </c>
      <c r="B261" s="3">
        <v>15.9</v>
      </c>
      <c r="C261" s="4">
        <v>392</v>
      </c>
      <c r="D261" s="4">
        <v>2</v>
      </c>
      <c r="E261" s="3">
        <v>46</v>
      </c>
      <c r="F261" s="5">
        <v>2.8258773978663201</v>
      </c>
      <c r="G261" s="3">
        <v>30</v>
      </c>
      <c r="H261" s="3">
        <v>38</v>
      </c>
      <c r="I261" s="2">
        <v>4.4148388230368402E-2</v>
      </c>
      <c r="J261" s="5">
        <v>343.553457893271</v>
      </c>
      <c r="K261" s="5">
        <v>0.2</v>
      </c>
      <c r="L261" s="6">
        <f t="shared" si="15"/>
        <v>1.717767289466355E-3</v>
      </c>
      <c r="P261" s="5">
        <f t="shared" si="16"/>
        <v>0.28158457623339012</v>
      </c>
      <c r="Q261" s="5">
        <f t="shared" si="17"/>
        <v>1.4079228811669504</v>
      </c>
      <c r="S261" s="5">
        <f t="shared" si="18"/>
        <v>0.27249759079128227</v>
      </c>
      <c r="T261" s="5">
        <f t="shared" si="19"/>
        <v>1.3624879539564112</v>
      </c>
      <c r="V261" s="5"/>
      <c r="W261" s="5"/>
    </row>
    <row r="262" spans="1:23" x14ac:dyDescent="0.25">
      <c r="B262" s="3">
        <v>15.9</v>
      </c>
      <c r="C262" s="4">
        <v>392</v>
      </c>
      <c r="D262" s="4">
        <v>2</v>
      </c>
      <c r="E262" s="3">
        <v>46</v>
      </c>
      <c r="F262" s="5">
        <v>2.8258773978663201</v>
      </c>
      <c r="G262" s="3">
        <v>30</v>
      </c>
      <c r="H262" s="3">
        <v>38</v>
      </c>
      <c r="I262" s="2">
        <v>4.4148388230368402E-2</v>
      </c>
      <c r="J262" s="5">
        <v>377.934520636081</v>
      </c>
      <c r="K262" s="5">
        <v>0.25</v>
      </c>
      <c r="L262" s="6">
        <f t="shared" si="15"/>
        <v>1.8896726031804049E-3</v>
      </c>
      <c r="P262" s="5">
        <f t="shared" si="16"/>
        <v>0.30501464934592065</v>
      </c>
      <c r="Q262" s="5">
        <f t="shared" si="17"/>
        <v>1.2200585973836826</v>
      </c>
      <c r="S262" s="5">
        <f t="shared" si="18"/>
        <v>0.29562234546108851</v>
      </c>
      <c r="T262" s="5">
        <f t="shared" si="19"/>
        <v>1.182489381844354</v>
      </c>
      <c r="V262" s="5"/>
      <c r="W262" s="5"/>
    </row>
    <row r="263" spans="1:23" x14ac:dyDescent="0.25">
      <c r="A263" s="1" t="s">
        <v>75</v>
      </c>
      <c r="B263" s="3">
        <v>15.9</v>
      </c>
      <c r="C263" s="4">
        <v>392</v>
      </c>
      <c r="D263" s="4">
        <v>2</v>
      </c>
      <c r="E263" s="3">
        <v>46</v>
      </c>
      <c r="F263" s="5">
        <v>2.8258773978663201</v>
      </c>
      <c r="G263" s="3">
        <v>30</v>
      </c>
      <c r="H263" s="3">
        <v>38</v>
      </c>
      <c r="I263" s="2">
        <v>4.4148388230368402E-2</v>
      </c>
      <c r="J263" s="5">
        <v>343.553457893271</v>
      </c>
      <c r="K263" s="5">
        <v>0.2</v>
      </c>
      <c r="L263" s="6">
        <f t="shared" si="15"/>
        <v>1.717767289466355E-3</v>
      </c>
      <c r="P263" s="5">
        <f t="shared" si="16"/>
        <v>0.28158457623339012</v>
      </c>
      <c r="Q263" s="5">
        <f t="shared" si="17"/>
        <v>1.4079228811669504</v>
      </c>
      <c r="S263" s="5">
        <f t="shared" si="18"/>
        <v>0.27249759079128227</v>
      </c>
      <c r="T263" s="5">
        <f t="shared" si="19"/>
        <v>1.3624879539564112</v>
      </c>
      <c r="V263" s="5"/>
      <c r="W263" s="5"/>
    </row>
    <row r="264" spans="1:23" x14ac:dyDescent="0.25">
      <c r="B264" s="3">
        <v>15.9</v>
      </c>
      <c r="C264" s="4">
        <v>392</v>
      </c>
      <c r="D264" s="4">
        <v>2</v>
      </c>
      <c r="E264" s="3">
        <v>46</v>
      </c>
      <c r="F264" s="5">
        <v>2.8258773978663201</v>
      </c>
      <c r="G264" s="3">
        <v>30</v>
      </c>
      <c r="H264" s="3">
        <v>38</v>
      </c>
      <c r="I264" s="2">
        <v>4.4148388230368402E-2</v>
      </c>
      <c r="J264" s="5">
        <v>377.934520636081</v>
      </c>
      <c r="K264" s="5">
        <v>0.25</v>
      </c>
      <c r="L264" s="6">
        <f t="shared" si="15"/>
        <v>1.8896726031804049E-3</v>
      </c>
      <c r="P264" s="5">
        <f t="shared" si="16"/>
        <v>0.30501464934592065</v>
      </c>
      <c r="Q264" s="5">
        <f t="shared" si="17"/>
        <v>1.2200585973836826</v>
      </c>
      <c r="S264" s="5">
        <f t="shared" si="18"/>
        <v>0.29562234546108851</v>
      </c>
      <c r="T264" s="5">
        <f t="shared" si="19"/>
        <v>1.182489381844354</v>
      </c>
      <c r="V264" s="5"/>
      <c r="W264" s="5"/>
    </row>
    <row r="265" spans="1:23" x14ac:dyDescent="0.25">
      <c r="A265" s="1" t="s">
        <v>76</v>
      </c>
      <c r="B265" s="3">
        <v>15.9</v>
      </c>
      <c r="C265" s="4">
        <v>392</v>
      </c>
      <c r="D265" s="4">
        <v>2</v>
      </c>
      <c r="E265" s="3">
        <v>46</v>
      </c>
      <c r="F265" s="5">
        <v>2.8258773978663201</v>
      </c>
      <c r="G265" s="3">
        <v>30</v>
      </c>
      <c r="H265" s="3">
        <v>38</v>
      </c>
      <c r="I265" s="2">
        <v>4.4148388230368402E-2</v>
      </c>
      <c r="J265" s="5">
        <v>345.11968904253501</v>
      </c>
      <c r="K265" s="5">
        <v>0.2</v>
      </c>
      <c r="L265" s="6">
        <f t="shared" si="15"/>
        <v>1.7255984452126752E-3</v>
      </c>
      <c r="P265" s="5">
        <f t="shared" si="16"/>
        <v>0.28265993726408933</v>
      </c>
      <c r="Q265" s="5">
        <f t="shared" si="17"/>
        <v>1.4132996863204466</v>
      </c>
      <c r="S265" s="5">
        <f t="shared" si="18"/>
        <v>0.27355815694714025</v>
      </c>
      <c r="T265" s="5">
        <f t="shared" si="19"/>
        <v>1.3677907847357011</v>
      </c>
      <c r="V265" s="5"/>
      <c r="W265" s="5"/>
    </row>
    <row r="266" spans="1:23" x14ac:dyDescent="0.25">
      <c r="B266" s="3">
        <v>15.9</v>
      </c>
      <c r="C266" s="4">
        <v>392</v>
      </c>
      <c r="D266" s="4">
        <v>2</v>
      </c>
      <c r="E266" s="3">
        <v>46</v>
      </c>
      <c r="F266" s="5">
        <v>2.8258773978663201</v>
      </c>
      <c r="G266" s="3">
        <v>30</v>
      </c>
      <c r="H266" s="3">
        <v>38</v>
      </c>
      <c r="I266" s="2">
        <v>4.4148388230368402E-2</v>
      </c>
      <c r="J266" s="5">
        <v>377.934520636081</v>
      </c>
      <c r="K266" s="5">
        <v>0.3</v>
      </c>
      <c r="L266" s="6">
        <f t="shared" si="15"/>
        <v>1.8896726031804049E-3</v>
      </c>
      <c r="P266" s="5">
        <f t="shared" si="16"/>
        <v>0.30501464934592065</v>
      </c>
      <c r="Q266" s="5">
        <f t="shared" si="17"/>
        <v>1.0167154978197355</v>
      </c>
      <c r="S266" s="5">
        <f t="shared" si="18"/>
        <v>0.29562234546108851</v>
      </c>
      <c r="T266" s="5">
        <f t="shared" si="19"/>
        <v>0.98540781820362844</v>
      </c>
      <c r="V266" s="5"/>
      <c r="W266" s="5"/>
    </row>
    <row r="267" spans="1:23" x14ac:dyDescent="0.25">
      <c r="A267" s="1" t="s">
        <v>77</v>
      </c>
      <c r="B267" s="3">
        <v>12.7</v>
      </c>
      <c r="C267" s="4">
        <v>392</v>
      </c>
      <c r="D267" s="4">
        <v>2</v>
      </c>
      <c r="E267" s="3">
        <v>52</v>
      </c>
      <c r="F267" s="5">
        <v>2.9208758709847902</v>
      </c>
      <c r="G267" s="3">
        <v>30</v>
      </c>
      <c r="H267" s="3">
        <v>36.5</v>
      </c>
      <c r="I267" s="2">
        <v>2.6406277928437898E-2</v>
      </c>
      <c r="J267" s="5">
        <v>274.08621769744002</v>
      </c>
      <c r="K267" s="5">
        <v>0.15</v>
      </c>
      <c r="L267" s="6">
        <f t="shared" ref="L267:L330" si="20">J267/200000</f>
        <v>1.3704310884872001E-3</v>
      </c>
      <c r="P267" s="5">
        <f t="shared" ref="P267:P330" si="21">$Q$2*($Q$3*$G267+$Q$4*$B267^$Q$5*$I267^$Q$6)*$L267^$Q$7</f>
        <v>0.2345883081026556</v>
      </c>
      <c r="Q267" s="5">
        <f t="shared" ref="Q267:Q330" si="22">P267/$K267</f>
        <v>1.5639220540177041</v>
      </c>
      <c r="S267" s="5">
        <f t="shared" ref="S267:S330" si="23">$T$2*$B267^$T$3*$L267^$T$4*($T$5*$I267^$T$6+$T$7)</f>
        <v>0.22550873420747758</v>
      </c>
      <c r="T267" s="5">
        <f t="shared" ref="T267:T330" si="24">S267/$K267</f>
        <v>1.5033915613831839</v>
      </c>
      <c r="V267" s="5"/>
      <c r="W267" s="5"/>
    </row>
    <row r="268" spans="1:23" x14ac:dyDescent="0.25">
      <c r="B268" s="3">
        <v>12.7</v>
      </c>
      <c r="C268" s="4">
        <v>392</v>
      </c>
      <c r="D268" s="4">
        <v>2</v>
      </c>
      <c r="E268" s="3">
        <v>52</v>
      </c>
      <c r="F268" s="5">
        <v>2.9208758709847902</v>
      </c>
      <c r="G268" s="3">
        <v>30</v>
      </c>
      <c r="H268" s="3">
        <v>36.5</v>
      </c>
      <c r="I268" s="2">
        <v>2.6406277928437898E-2</v>
      </c>
      <c r="J268" s="5">
        <v>369.762065941581</v>
      </c>
      <c r="K268" s="5">
        <v>0.2</v>
      </c>
      <c r="L268" s="6">
        <f t="shared" si="20"/>
        <v>1.8488103297079051E-3</v>
      </c>
      <c r="P268" s="5">
        <f t="shared" si="21"/>
        <v>0.30149202203537251</v>
      </c>
      <c r="Q268" s="5">
        <f t="shared" si="22"/>
        <v>1.5074601101768625</v>
      </c>
      <c r="S268" s="5">
        <f t="shared" si="23"/>
        <v>0.29121476544632824</v>
      </c>
      <c r="T268" s="5">
        <f t="shared" si="24"/>
        <v>1.4560738272316411</v>
      </c>
      <c r="V268" s="5"/>
      <c r="W268" s="5"/>
    </row>
    <row r="269" spans="1:23" x14ac:dyDescent="0.25">
      <c r="A269" s="1" t="s">
        <v>78</v>
      </c>
      <c r="B269" s="3">
        <v>12.7</v>
      </c>
      <c r="C269" s="4">
        <v>392</v>
      </c>
      <c r="D269" s="4">
        <v>2</v>
      </c>
      <c r="E269" s="3">
        <v>52</v>
      </c>
      <c r="F269" s="5">
        <v>2.9208758709847902</v>
      </c>
      <c r="G269" s="3">
        <v>30</v>
      </c>
      <c r="H269" s="3">
        <v>36.5</v>
      </c>
      <c r="I269" s="2">
        <v>2.6406277928437898E-2</v>
      </c>
      <c r="J269" s="5">
        <v>276.67249686035302</v>
      </c>
      <c r="K269" s="5">
        <v>0.15</v>
      </c>
      <c r="L269" s="6">
        <f t="shared" si="20"/>
        <v>1.3833624843017651E-3</v>
      </c>
      <c r="P269" s="5">
        <f t="shared" si="21"/>
        <v>0.236441872705937</v>
      </c>
      <c r="Q269" s="5">
        <f t="shared" si="22"/>
        <v>1.5762791513729133</v>
      </c>
      <c r="S269" s="5">
        <f t="shared" si="23"/>
        <v>0.22732471502684426</v>
      </c>
      <c r="T269" s="5">
        <f t="shared" si="24"/>
        <v>1.5154981001789618</v>
      </c>
      <c r="V269" s="5"/>
      <c r="W269" s="5"/>
    </row>
    <row r="270" spans="1:23" x14ac:dyDescent="0.25">
      <c r="B270" s="3">
        <v>12.7</v>
      </c>
      <c r="C270" s="4">
        <v>392</v>
      </c>
      <c r="D270" s="4">
        <v>2</v>
      </c>
      <c r="E270" s="3">
        <v>52</v>
      </c>
      <c r="F270" s="5">
        <v>2.9208758709847902</v>
      </c>
      <c r="G270" s="3">
        <v>30</v>
      </c>
      <c r="H270" s="3">
        <v>36.5</v>
      </c>
      <c r="I270" s="2">
        <v>2.6406277928437898E-2</v>
      </c>
      <c r="J270" s="5">
        <v>369.762065941581</v>
      </c>
      <c r="K270" s="5">
        <v>0.2</v>
      </c>
      <c r="L270" s="6">
        <f t="shared" si="20"/>
        <v>1.8488103297079051E-3</v>
      </c>
      <c r="P270" s="5">
        <f t="shared" si="21"/>
        <v>0.30149202203537251</v>
      </c>
      <c r="Q270" s="5">
        <f t="shared" si="22"/>
        <v>1.5074601101768625</v>
      </c>
      <c r="S270" s="5">
        <f t="shared" si="23"/>
        <v>0.29121476544632824</v>
      </c>
      <c r="T270" s="5">
        <f t="shared" si="24"/>
        <v>1.4560738272316411</v>
      </c>
      <c r="V270" s="5"/>
      <c r="W270" s="5"/>
    </row>
    <row r="271" spans="1:23" x14ac:dyDescent="0.25">
      <c r="A271" s="1" t="s">
        <v>79</v>
      </c>
      <c r="B271" s="3">
        <v>15.9</v>
      </c>
      <c r="C271" s="4">
        <v>392</v>
      </c>
      <c r="D271" s="4">
        <v>2</v>
      </c>
      <c r="E271" s="3">
        <v>46</v>
      </c>
      <c r="F271" s="5">
        <v>2.9208758709847902</v>
      </c>
      <c r="G271" s="3">
        <v>30</v>
      </c>
      <c r="H271" s="3">
        <v>38</v>
      </c>
      <c r="I271" s="2">
        <v>4.40349805383329E-2</v>
      </c>
      <c r="J271" s="5">
        <v>221.513431356377</v>
      </c>
      <c r="K271" s="5">
        <v>0.15</v>
      </c>
      <c r="L271" s="6">
        <f t="shared" si="20"/>
        <v>1.1075671567818851E-3</v>
      </c>
      <c r="P271" s="5">
        <f t="shared" si="21"/>
        <v>0.19518139519269989</v>
      </c>
      <c r="Q271" s="5">
        <f t="shared" si="22"/>
        <v>1.3012093012846659</v>
      </c>
      <c r="S271" s="5">
        <f t="shared" si="23"/>
        <v>0.18755877534476909</v>
      </c>
      <c r="T271" s="5">
        <f t="shared" si="24"/>
        <v>1.250391835631794</v>
      </c>
      <c r="V271" s="5"/>
      <c r="W271" s="5"/>
    </row>
    <row r="272" spans="1:23" x14ac:dyDescent="0.25">
      <c r="B272" s="3">
        <v>15.9</v>
      </c>
      <c r="C272" s="4">
        <v>392</v>
      </c>
      <c r="D272" s="4">
        <v>2</v>
      </c>
      <c r="E272" s="3">
        <v>46</v>
      </c>
      <c r="F272" s="5">
        <v>2.9208758709847902</v>
      </c>
      <c r="G272" s="3">
        <v>30</v>
      </c>
      <c r="H272" s="3">
        <v>38</v>
      </c>
      <c r="I272" s="2">
        <v>4.40349805383329E-2</v>
      </c>
      <c r="J272" s="5">
        <v>345.72761805151799</v>
      </c>
      <c r="K272" s="5">
        <v>0.25</v>
      </c>
      <c r="L272" s="6">
        <f t="shared" si="20"/>
        <v>1.72863809025759E-3</v>
      </c>
      <c r="P272" s="5">
        <f t="shared" si="21"/>
        <v>0.28343424287822305</v>
      </c>
      <c r="Q272" s="5">
        <f t="shared" si="22"/>
        <v>1.1337369715128922</v>
      </c>
      <c r="S272" s="5">
        <f t="shared" si="23"/>
        <v>0.27431189001121986</v>
      </c>
      <c r="T272" s="5">
        <f t="shared" si="24"/>
        <v>1.0972475600448794</v>
      </c>
      <c r="V272" s="5"/>
      <c r="W272" s="5"/>
    </row>
    <row r="273" spans="1:23" x14ac:dyDescent="0.25">
      <c r="B273" s="3">
        <v>15.9</v>
      </c>
      <c r="C273" s="4">
        <v>392</v>
      </c>
      <c r="D273" s="4">
        <v>2</v>
      </c>
      <c r="E273" s="3">
        <v>46</v>
      </c>
      <c r="F273" s="5">
        <v>2.9208758709847902</v>
      </c>
      <c r="G273" s="3">
        <v>30</v>
      </c>
      <c r="H273" s="3">
        <v>38</v>
      </c>
      <c r="I273" s="2">
        <v>4.40349805383329E-2</v>
      </c>
      <c r="J273" s="5">
        <v>377.47638851959101</v>
      </c>
      <c r="K273" s="5">
        <v>0.3</v>
      </c>
      <c r="L273" s="6">
        <f t="shared" si="20"/>
        <v>1.887381942597955E-3</v>
      </c>
      <c r="P273" s="5">
        <f t="shared" si="21"/>
        <v>0.30508918242070659</v>
      </c>
      <c r="Q273" s="5">
        <f t="shared" si="22"/>
        <v>1.0169639414023555</v>
      </c>
      <c r="S273" s="5">
        <f t="shared" si="23"/>
        <v>0.29568521890648741</v>
      </c>
      <c r="T273" s="5">
        <f t="shared" si="24"/>
        <v>0.98561739635495804</v>
      </c>
      <c r="V273" s="5"/>
      <c r="W273" s="5"/>
    </row>
    <row r="274" spans="1:23" x14ac:dyDescent="0.25">
      <c r="A274" s="1" t="s">
        <v>80</v>
      </c>
      <c r="B274" s="3">
        <v>15.9</v>
      </c>
      <c r="C274" s="4">
        <v>392</v>
      </c>
      <c r="D274" s="4">
        <v>2</v>
      </c>
      <c r="E274" s="3">
        <v>46</v>
      </c>
      <c r="F274" s="5">
        <v>2.9208758709847902</v>
      </c>
      <c r="G274" s="3">
        <v>30</v>
      </c>
      <c r="H274" s="3">
        <v>38</v>
      </c>
      <c r="I274" s="2">
        <v>4.40349805383329E-2</v>
      </c>
      <c r="J274" s="5">
        <v>223.08576283353</v>
      </c>
      <c r="K274" s="5">
        <v>0.15</v>
      </c>
      <c r="L274" s="6">
        <f t="shared" si="20"/>
        <v>1.1154288141676501E-3</v>
      </c>
      <c r="P274" s="5">
        <f t="shared" si="21"/>
        <v>0.19634171417296234</v>
      </c>
      <c r="Q274" s="5">
        <f t="shared" si="22"/>
        <v>1.3089447611530822</v>
      </c>
      <c r="S274" s="5">
        <f t="shared" si="23"/>
        <v>0.18869513241282082</v>
      </c>
      <c r="T274" s="5">
        <f t="shared" si="24"/>
        <v>1.2579675494188056</v>
      </c>
      <c r="V274" s="5"/>
      <c r="W274" s="5"/>
    </row>
    <row r="275" spans="1:23" x14ac:dyDescent="0.25">
      <c r="B275" s="3">
        <v>15.9</v>
      </c>
      <c r="C275" s="4">
        <v>392</v>
      </c>
      <c r="D275" s="4">
        <v>2</v>
      </c>
      <c r="E275" s="3">
        <v>46</v>
      </c>
      <c r="F275" s="5">
        <v>2.9208758709847902</v>
      </c>
      <c r="G275" s="3">
        <v>30</v>
      </c>
      <c r="H275" s="3">
        <v>38</v>
      </c>
      <c r="I275" s="2">
        <v>4.40349805383329E-2</v>
      </c>
      <c r="J275" s="5">
        <v>347.29994952867099</v>
      </c>
      <c r="K275" s="5">
        <v>0.25</v>
      </c>
      <c r="L275" s="6">
        <f t="shared" si="20"/>
        <v>1.7364997476433551E-3</v>
      </c>
      <c r="P275" s="5">
        <f t="shared" si="21"/>
        <v>0.28451405112050121</v>
      </c>
      <c r="Q275" s="5">
        <f t="shared" si="22"/>
        <v>1.1380562044820048</v>
      </c>
      <c r="S275" s="5">
        <f t="shared" si="23"/>
        <v>0.27537693653669776</v>
      </c>
      <c r="T275" s="5">
        <f t="shared" si="24"/>
        <v>1.101507746146791</v>
      </c>
      <c r="V275" s="5"/>
      <c r="W275" s="5"/>
    </row>
    <row r="276" spans="1:23" x14ac:dyDescent="0.25">
      <c r="A276" s="1" t="s">
        <v>81</v>
      </c>
      <c r="B276" s="3">
        <v>19.100000000000001</v>
      </c>
      <c r="C276" s="4">
        <v>392</v>
      </c>
      <c r="D276" s="4">
        <v>2</v>
      </c>
      <c r="E276" s="3">
        <v>40</v>
      </c>
      <c r="F276" s="5">
        <v>2.9208758709847902</v>
      </c>
      <c r="G276" s="3">
        <v>30</v>
      </c>
      <c r="H276" s="3">
        <v>39.5</v>
      </c>
      <c r="I276" s="2">
        <v>6.7418833961836497E-2</v>
      </c>
      <c r="J276" s="5">
        <v>149.77490172315601</v>
      </c>
      <c r="K276" s="5">
        <v>0.15</v>
      </c>
      <c r="L276" s="6">
        <f t="shared" si="20"/>
        <v>7.4887450861577999E-4</v>
      </c>
      <c r="P276" s="5">
        <f t="shared" si="21"/>
        <v>0.13939291295652345</v>
      </c>
      <c r="Q276" s="5">
        <f t="shared" si="22"/>
        <v>0.92928608637682308</v>
      </c>
      <c r="S276" s="5">
        <f t="shared" si="23"/>
        <v>0.13601293537066497</v>
      </c>
      <c r="T276" s="5">
        <f t="shared" si="24"/>
        <v>0.90675290247109985</v>
      </c>
      <c r="V276" s="5"/>
      <c r="W276" s="5"/>
    </row>
    <row r="277" spans="1:23" x14ac:dyDescent="0.25">
      <c r="B277" s="3">
        <v>19.100000000000001</v>
      </c>
      <c r="C277" s="4">
        <v>392</v>
      </c>
      <c r="D277" s="4">
        <v>2</v>
      </c>
      <c r="E277" s="3">
        <v>40</v>
      </c>
      <c r="F277" s="5">
        <v>2.9208758709847902</v>
      </c>
      <c r="G277" s="3">
        <v>30</v>
      </c>
      <c r="H277" s="3">
        <v>39.5</v>
      </c>
      <c r="I277" s="2">
        <v>6.7418833961836497E-2</v>
      </c>
      <c r="J277" s="5">
        <v>233.11147365998301</v>
      </c>
      <c r="K277" s="5">
        <v>0.2</v>
      </c>
      <c r="L277" s="6">
        <f t="shared" si="20"/>
        <v>1.1655573682999151E-3</v>
      </c>
      <c r="P277" s="5">
        <f t="shared" si="21"/>
        <v>0.20194872431691732</v>
      </c>
      <c r="Q277" s="5">
        <f t="shared" si="22"/>
        <v>1.0097436215845865</v>
      </c>
      <c r="S277" s="5">
        <f t="shared" si="23"/>
        <v>0.19845161039595474</v>
      </c>
      <c r="T277" s="5">
        <f t="shared" si="24"/>
        <v>0.99225805197977368</v>
      </c>
      <c r="V277" s="5"/>
      <c r="W277" s="5"/>
    </row>
    <row r="278" spans="1:23" x14ac:dyDescent="0.25">
      <c r="B278" s="3">
        <v>19.100000000000001</v>
      </c>
      <c r="C278" s="4">
        <v>392</v>
      </c>
      <c r="D278" s="4">
        <v>2</v>
      </c>
      <c r="E278" s="3">
        <v>40</v>
      </c>
      <c r="F278" s="5">
        <v>2.9208758709847902</v>
      </c>
      <c r="G278" s="3">
        <v>30</v>
      </c>
      <c r="H278" s="3">
        <v>39.5</v>
      </c>
      <c r="I278" s="2">
        <v>6.7418833961836497E-2</v>
      </c>
      <c r="J278" s="5">
        <v>317.91329183951802</v>
      </c>
      <c r="K278" s="5">
        <v>0.3</v>
      </c>
      <c r="L278" s="6">
        <f t="shared" si="20"/>
        <v>1.58956645919759E-3</v>
      </c>
      <c r="P278" s="5">
        <f t="shared" si="21"/>
        <v>0.26191324082702194</v>
      </c>
      <c r="Q278" s="5">
        <f t="shared" si="22"/>
        <v>0.87304413609007314</v>
      </c>
      <c r="S278" s="5">
        <f t="shared" si="23"/>
        <v>0.25865857958302074</v>
      </c>
      <c r="T278" s="5">
        <f t="shared" si="24"/>
        <v>0.86219526527673584</v>
      </c>
      <c r="V278" s="5"/>
      <c r="W278" s="5"/>
    </row>
    <row r="279" spans="1:23" x14ac:dyDescent="0.25">
      <c r="B279" s="3">
        <v>19.100000000000001</v>
      </c>
      <c r="C279" s="4">
        <v>392</v>
      </c>
      <c r="D279" s="4">
        <v>2</v>
      </c>
      <c r="E279" s="3">
        <v>40</v>
      </c>
      <c r="F279" s="5">
        <v>2.9208758709847902</v>
      </c>
      <c r="G279" s="3">
        <v>30</v>
      </c>
      <c r="H279" s="3">
        <v>39.5</v>
      </c>
      <c r="I279" s="2">
        <v>6.7418833961836497E-2</v>
      </c>
      <c r="J279" s="5">
        <v>381.48431251174497</v>
      </c>
      <c r="K279" s="5">
        <v>0.33</v>
      </c>
      <c r="L279" s="6">
        <f t="shared" si="20"/>
        <v>1.9074215625587249E-3</v>
      </c>
      <c r="P279" s="5">
        <f t="shared" si="21"/>
        <v>0.30514076895775116</v>
      </c>
      <c r="Q279" s="5">
        <f t="shared" si="22"/>
        <v>0.92466899684167014</v>
      </c>
      <c r="S279" s="5">
        <f t="shared" si="23"/>
        <v>0.30222915589805538</v>
      </c>
      <c r="T279" s="5">
        <f t="shared" si="24"/>
        <v>0.91584592696380418</v>
      </c>
      <c r="V279" s="5"/>
      <c r="W279" s="5"/>
    </row>
    <row r="280" spans="1:23" x14ac:dyDescent="0.25">
      <c r="A280" s="1" t="s">
        <v>82</v>
      </c>
      <c r="B280" s="3">
        <v>19.100000000000001</v>
      </c>
      <c r="C280" s="4">
        <v>392</v>
      </c>
      <c r="D280" s="4">
        <v>2</v>
      </c>
      <c r="E280" s="3">
        <v>40</v>
      </c>
      <c r="F280" s="5">
        <v>2.9208758709847902</v>
      </c>
      <c r="G280" s="3">
        <v>30</v>
      </c>
      <c r="H280" s="3">
        <v>39.5</v>
      </c>
      <c r="I280" s="2">
        <v>6.7418833961836497E-2</v>
      </c>
      <c r="J280" s="5">
        <v>148.82553248944299</v>
      </c>
      <c r="K280" s="5">
        <v>0.15</v>
      </c>
      <c r="L280" s="6">
        <f t="shared" si="20"/>
        <v>7.4412766244721495E-4</v>
      </c>
      <c r="P280" s="5">
        <f t="shared" si="21"/>
        <v>0.13865210729258071</v>
      </c>
      <c r="Q280" s="5">
        <f t="shared" si="22"/>
        <v>0.92434738195053812</v>
      </c>
      <c r="S280" s="5">
        <f t="shared" si="23"/>
        <v>0.1352763287926336</v>
      </c>
      <c r="T280" s="5">
        <f t="shared" si="24"/>
        <v>0.90184219195089066</v>
      </c>
      <c r="V280" s="5"/>
      <c r="W280" s="5"/>
    </row>
    <row r="281" spans="1:23" x14ac:dyDescent="0.25">
      <c r="B281" s="3">
        <v>19.100000000000001</v>
      </c>
      <c r="C281" s="4">
        <v>392</v>
      </c>
      <c r="D281" s="4">
        <v>2</v>
      </c>
      <c r="E281" s="3">
        <v>40</v>
      </c>
      <c r="F281" s="5">
        <v>2.9208758709847902</v>
      </c>
      <c r="G281" s="3">
        <v>30</v>
      </c>
      <c r="H281" s="3">
        <v>39.5</v>
      </c>
      <c r="I281" s="2">
        <v>6.7418833961836497E-2</v>
      </c>
      <c r="J281" s="5">
        <v>230.96459218708301</v>
      </c>
      <c r="K281" s="5">
        <v>0.25</v>
      </c>
      <c r="L281" s="6">
        <f t="shared" si="20"/>
        <v>1.154822960935415E-3</v>
      </c>
      <c r="P281" s="5">
        <f t="shared" si="21"/>
        <v>0.20038897584951865</v>
      </c>
      <c r="Q281" s="5">
        <f t="shared" si="22"/>
        <v>0.80155590339807459</v>
      </c>
      <c r="S281" s="5">
        <f t="shared" si="23"/>
        <v>0.1968897226091591</v>
      </c>
      <c r="T281" s="5">
        <f t="shared" si="24"/>
        <v>0.78755889043663641</v>
      </c>
      <c r="V281" s="5"/>
      <c r="W281" s="5"/>
    </row>
    <row r="282" spans="1:23" x14ac:dyDescent="0.25">
      <c r="B282" s="3">
        <v>19.100000000000001</v>
      </c>
      <c r="C282" s="4">
        <v>392</v>
      </c>
      <c r="D282" s="4">
        <v>2</v>
      </c>
      <c r="E282" s="3">
        <v>40</v>
      </c>
      <c r="F282" s="5">
        <v>2.9208758709847902</v>
      </c>
      <c r="G282" s="3">
        <v>30</v>
      </c>
      <c r="H282" s="3">
        <v>39.5</v>
      </c>
      <c r="I282" s="2">
        <v>6.7418833961836497E-2</v>
      </c>
      <c r="J282" s="5">
        <v>314.69296963016899</v>
      </c>
      <c r="K282" s="5">
        <v>0.28000000000000003</v>
      </c>
      <c r="L282" s="6">
        <f t="shared" si="20"/>
        <v>1.573464848150845E-3</v>
      </c>
      <c r="P282" s="5">
        <f t="shared" si="21"/>
        <v>0.25968813992896228</v>
      </c>
      <c r="Q282" s="5">
        <f t="shared" si="22"/>
        <v>0.92745764260343666</v>
      </c>
      <c r="S282" s="5">
        <f t="shared" si="23"/>
        <v>0.25641935490059359</v>
      </c>
      <c r="T282" s="5">
        <f t="shared" si="24"/>
        <v>0.9157834103592627</v>
      </c>
      <c r="V282" s="5"/>
      <c r="W282" s="5"/>
    </row>
    <row r="283" spans="1:23" x14ac:dyDescent="0.25">
      <c r="A283" s="1" t="s">
        <v>83</v>
      </c>
      <c r="B283" s="3">
        <v>15.9</v>
      </c>
      <c r="C283" s="4">
        <v>392</v>
      </c>
      <c r="D283" s="4">
        <v>2</v>
      </c>
      <c r="E283" s="3">
        <v>46</v>
      </c>
      <c r="F283" s="5">
        <v>3.3538794827423901</v>
      </c>
      <c r="G283" s="3">
        <v>30</v>
      </c>
      <c r="H283" s="3">
        <v>38</v>
      </c>
      <c r="I283" s="2">
        <v>4.35727310809325E-2</v>
      </c>
      <c r="J283" s="5">
        <v>343.07945374924998</v>
      </c>
      <c r="K283" s="5">
        <v>0.2</v>
      </c>
      <c r="L283" s="6">
        <f t="shared" si="20"/>
        <v>1.7153972687462499E-3</v>
      </c>
      <c r="P283" s="5">
        <f t="shared" si="21"/>
        <v>0.28307432332140692</v>
      </c>
      <c r="Q283" s="5">
        <f t="shared" si="22"/>
        <v>1.4153716166070345</v>
      </c>
      <c r="S283" s="5">
        <f t="shared" si="23"/>
        <v>0.2739178698739852</v>
      </c>
      <c r="T283" s="5">
        <f t="shared" si="24"/>
        <v>1.3695893493699258</v>
      </c>
      <c r="V283" s="5"/>
      <c r="W283" s="5"/>
    </row>
    <row r="284" spans="1:23" x14ac:dyDescent="0.25">
      <c r="B284" s="3">
        <v>15.9</v>
      </c>
      <c r="C284" s="4">
        <v>392</v>
      </c>
      <c r="D284" s="4">
        <v>2</v>
      </c>
      <c r="E284" s="3">
        <v>46</v>
      </c>
      <c r="F284" s="5">
        <v>3.3538794827423901</v>
      </c>
      <c r="G284" s="3">
        <v>30</v>
      </c>
      <c r="H284" s="3">
        <v>38</v>
      </c>
      <c r="I284" s="2">
        <v>4.35727310809325E-2</v>
      </c>
      <c r="J284" s="5">
        <v>375.38872626125499</v>
      </c>
      <c r="K284" s="5">
        <v>0.22</v>
      </c>
      <c r="L284" s="6">
        <f t="shared" si="20"/>
        <v>1.8769436313062749E-3</v>
      </c>
      <c r="P284" s="5">
        <f t="shared" si="21"/>
        <v>0.30524951179524679</v>
      </c>
      <c r="Q284" s="5">
        <f t="shared" si="22"/>
        <v>1.3874977808874853</v>
      </c>
      <c r="S284" s="5">
        <f t="shared" si="23"/>
        <v>0.29580141704464075</v>
      </c>
      <c r="T284" s="5">
        <f t="shared" si="24"/>
        <v>1.344551895657458</v>
      </c>
      <c r="V284" s="5"/>
      <c r="W284" s="5"/>
    </row>
    <row r="285" spans="1:23" x14ac:dyDescent="0.25">
      <c r="A285" s="1" t="s">
        <v>84</v>
      </c>
      <c r="B285" s="3">
        <v>15.9</v>
      </c>
      <c r="C285" s="4">
        <v>392</v>
      </c>
      <c r="D285" s="4">
        <v>2</v>
      </c>
      <c r="E285" s="3">
        <v>46</v>
      </c>
      <c r="F285" s="5">
        <v>3.3538794827423901</v>
      </c>
      <c r="G285" s="3">
        <v>30</v>
      </c>
      <c r="H285" s="3">
        <v>38</v>
      </c>
      <c r="I285" s="2">
        <v>4.35727310809325E-2</v>
      </c>
      <c r="J285" s="5">
        <v>343.07945374924998</v>
      </c>
      <c r="K285" s="5">
        <v>0.17</v>
      </c>
      <c r="L285" s="6">
        <f t="shared" si="20"/>
        <v>1.7153972687462499E-3</v>
      </c>
      <c r="P285" s="5">
        <f t="shared" si="21"/>
        <v>0.28307432332140692</v>
      </c>
      <c r="Q285" s="5">
        <f t="shared" si="22"/>
        <v>1.6651430783612171</v>
      </c>
      <c r="S285" s="5">
        <f t="shared" si="23"/>
        <v>0.2739178698739852</v>
      </c>
      <c r="T285" s="5">
        <f t="shared" si="24"/>
        <v>1.6112815874940305</v>
      </c>
      <c r="V285" s="5"/>
      <c r="W285" s="5"/>
    </row>
    <row r="286" spans="1:23" x14ac:dyDescent="0.25">
      <c r="B286" s="3">
        <v>15.9</v>
      </c>
      <c r="C286" s="4">
        <v>392</v>
      </c>
      <c r="D286" s="4">
        <v>2</v>
      </c>
      <c r="E286" s="3">
        <v>46</v>
      </c>
      <c r="F286" s="5">
        <v>3.3538794827423901</v>
      </c>
      <c r="G286" s="3">
        <v>30</v>
      </c>
      <c r="H286" s="3">
        <v>38</v>
      </c>
      <c r="I286" s="2">
        <v>4.35727310809325E-2</v>
      </c>
      <c r="J286" s="5">
        <v>375.38872626125499</v>
      </c>
      <c r="K286" s="5">
        <v>0.21</v>
      </c>
      <c r="L286" s="6">
        <f t="shared" si="20"/>
        <v>1.8769436313062749E-3</v>
      </c>
      <c r="P286" s="5">
        <f t="shared" si="21"/>
        <v>0.30524951179524679</v>
      </c>
      <c r="Q286" s="5">
        <f t="shared" si="22"/>
        <v>1.4535691037868894</v>
      </c>
      <c r="S286" s="5">
        <f t="shared" si="23"/>
        <v>0.29580141704464075</v>
      </c>
      <c r="T286" s="5">
        <f t="shared" si="24"/>
        <v>1.4085781764030512</v>
      </c>
      <c r="V286" s="5"/>
      <c r="W286" s="5"/>
    </row>
    <row r="287" spans="1:23" x14ac:dyDescent="0.25">
      <c r="A287" s="1" t="s">
        <v>85</v>
      </c>
      <c r="B287" s="3">
        <v>19.100000000000001</v>
      </c>
      <c r="C287" s="4">
        <v>392</v>
      </c>
      <c r="D287" s="4">
        <v>2</v>
      </c>
      <c r="E287" s="3">
        <v>40</v>
      </c>
      <c r="F287" s="5">
        <v>3.3538794827423901</v>
      </c>
      <c r="G287" s="3">
        <v>30</v>
      </c>
      <c r="H287" s="3">
        <v>39.5</v>
      </c>
      <c r="I287" s="2">
        <v>6.6596536025101197E-2</v>
      </c>
      <c r="J287" s="5">
        <v>183.67228765737099</v>
      </c>
      <c r="K287" s="5">
        <v>0.17</v>
      </c>
      <c r="L287" s="6">
        <f t="shared" si="20"/>
        <v>9.1836143828685497E-4</v>
      </c>
      <c r="P287" s="5">
        <f t="shared" si="21"/>
        <v>0.16638096389483339</v>
      </c>
      <c r="Q287" s="5">
        <f t="shared" si="22"/>
        <v>0.97871155232254936</v>
      </c>
      <c r="S287" s="5">
        <f t="shared" si="23"/>
        <v>0.1627819586173864</v>
      </c>
      <c r="T287" s="5">
        <f t="shared" si="24"/>
        <v>0.95754093304344934</v>
      </c>
      <c r="V287" s="5"/>
      <c r="W287" s="5"/>
    </row>
    <row r="288" spans="1:23" x14ac:dyDescent="0.25">
      <c r="B288" s="3">
        <v>19.100000000000001</v>
      </c>
      <c r="C288" s="4">
        <v>392</v>
      </c>
      <c r="D288" s="4">
        <v>2</v>
      </c>
      <c r="E288" s="3">
        <v>40</v>
      </c>
      <c r="F288" s="5">
        <v>3.3538794827423901</v>
      </c>
      <c r="G288" s="3">
        <v>30</v>
      </c>
      <c r="H288" s="3">
        <v>39.5</v>
      </c>
      <c r="I288" s="2">
        <v>6.6596536025101197E-2</v>
      </c>
      <c r="J288" s="5">
        <v>227.11440414404299</v>
      </c>
      <c r="K288" s="5">
        <v>0.18</v>
      </c>
      <c r="L288" s="6">
        <f t="shared" si="20"/>
        <v>1.1355720207202149E-3</v>
      </c>
      <c r="P288" s="5">
        <f t="shared" si="21"/>
        <v>0.19877790575956938</v>
      </c>
      <c r="Q288" s="5">
        <f t="shared" si="22"/>
        <v>1.1043216986642743</v>
      </c>
      <c r="S288" s="5">
        <f t="shared" si="23"/>
        <v>0.19513984745424665</v>
      </c>
      <c r="T288" s="5">
        <f t="shared" si="24"/>
        <v>1.0841102636347035</v>
      </c>
      <c r="V288" s="5"/>
      <c r="W288" s="5"/>
    </row>
    <row r="289" spans="1:23" x14ac:dyDescent="0.25">
      <c r="B289" s="3">
        <v>19.100000000000001</v>
      </c>
      <c r="C289" s="4">
        <v>392</v>
      </c>
      <c r="D289" s="4">
        <v>2</v>
      </c>
      <c r="E289" s="3">
        <v>40</v>
      </c>
      <c r="F289" s="5">
        <v>3.3538794827423901</v>
      </c>
      <c r="G289" s="3">
        <v>30</v>
      </c>
      <c r="H289" s="3">
        <v>39.5</v>
      </c>
      <c r="I289" s="2">
        <v>6.6596536025101197E-2</v>
      </c>
      <c r="J289" s="5">
        <v>269.47046771854701</v>
      </c>
      <c r="K289" s="5">
        <v>0.2</v>
      </c>
      <c r="L289" s="6">
        <f t="shared" si="20"/>
        <v>1.347352338592735E-3</v>
      </c>
      <c r="P289" s="5">
        <f t="shared" si="21"/>
        <v>0.22940529366576379</v>
      </c>
      <c r="Q289" s="5">
        <f t="shared" si="22"/>
        <v>1.1470264683288189</v>
      </c>
      <c r="S289" s="5">
        <f t="shared" si="23"/>
        <v>0.22582371603806242</v>
      </c>
      <c r="T289" s="5">
        <f t="shared" si="24"/>
        <v>1.1291185801903121</v>
      </c>
      <c r="V289" s="5"/>
      <c r="W289" s="5"/>
    </row>
    <row r="290" spans="1:23" x14ac:dyDescent="0.25">
      <c r="B290" s="3">
        <v>19.100000000000001</v>
      </c>
      <c r="C290" s="4">
        <v>392</v>
      </c>
      <c r="D290" s="4">
        <v>2</v>
      </c>
      <c r="E290" s="3">
        <v>40</v>
      </c>
      <c r="F290" s="5">
        <v>3.3538794827423901</v>
      </c>
      <c r="G290" s="3">
        <v>30</v>
      </c>
      <c r="H290" s="3">
        <v>39.5</v>
      </c>
      <c r="I290" s="2">
        <v>6.6596536025101197E-2</v>
      </c>
      <c r="J290" s="5">
        <v>312.91258420521802</v>
      </c>
      <c r="K290" s="5">
        <v>0.2</v>
      </c>
      <c r="L290" s="6">
        <f t="shared" si="20"/>
        <v>1.5645629210260901E-3</v>
      </c>
      <c r="P290" s="5">
        <f t="shared" si="21"/>
        <v>0.26001569777329264</v>
      </c>
      <c r="Q290" s="5">
        <f t="shared" si="22"/>
        <v>1.3000784888664632</v>
      </c>
      <c r="S290" s="5">
        <f t="shared" si="23"/>
        <v>0.25656905357386173</v>
      </c>
      <c r="T290" s="5">
        <f t="shared" si="24"/>
        <v>1.2828452678693085</v>
      </c>
      <c r="V290" s="5"/>
      <c r="W290" s="5"/>
    </row>
    <row r="291" spans="1:23" x14ac:dyDescent="0.25">
      <c r="B291" s="3">
        <v>19.100000000000001</v>
      </c>
      <c r="C291" s="4">
        <v>392</v>
      </c>
      <c r="D291" s="4">
        <v>2</v>
      </c>
      <c r="E291" s="3">
        <v>40</v>
      </c>
      <c r="F291" s="5">
        <v>3.3538794827423901</v>
      </c>
      <c r="G291" s="3">
        <v>30</v>
      </c>
      <c r="H291" s="3">
        <v>39.5</v>
      </c>
      <c r="I291" s="2">
        <v>6.6596536025101197E-2</v>
      </c>
      <c r="J291" s="5">
        <v>354.18259486755602</v>
      </c>
      <c r="K291" s="5">
        <v>0.25</v>
      </c>
      <c r="L291" s="6">
        <f t="shared" si="20"/>
        <v>1.7709129743377801E-3</v>
      </c>
      <c r="P291" s="5">
        <f t="shared" si="21"/>
        <v>0.28846124671259338</v>
      </c>
      <c r="Q291" s="5">
        <f t="shared" si="22"/>
        <v>1.1538449868503735</v>
      </c>
      <c r="S291" s="5">
        <f t="shared" si="23"/>
        <v>0.28520231551571351</v>
      </c>
      <c r="T291" s="5">
        <f t="shared" si="24"/>
        <v>1.140809262062854</v>
      </c>
      <c r="V291" s="5"/>
      <c r="W291" s="5"/>
    </row>
    <row r="292" spans="1:23" x14ac:dyDescent="0.25">
      <c r="B292" s="3">
        <v>19.100000000000001</v>
      </c>
      <c r="C292" s="4">
        <v>392</v>
      </c>
      <c r="D292" s="4">
        <v>2</v>
      </c>
      <c r="E292" s="3">
        <v>40</v>
      </c>
      <c r="F292" s="5">
        <v>3.3538794827423901</v>
      </c>
      <c r="G292" s="3">
        <v>30</v>
      </c>
      <c r="H292" s="3">
        <v>39.5</v>
      </c>
      <c r="I292" s="2">
        <v>6.6596536025101197E-2</v>
      </c>
      <c r="J292" s="5">
        <v>380.02455591704501</v>
      </c>
      <c r="K292" s="5">
        <v>0.27</v>
      </c>
      <c r="L292" s="6">
        <f t="shared" si="20"/>
        <v>1.9001227795852251E-3</v>
      </c>
      <c r="P292" s="5">
        <f t="shared" si="21"/>
        <v>0.30599705088654539</v>
      </c>
      <c r="Q292" s="5">
        <f t="shared" si="22"/>
        <v>1.1333224106909088</v>
      </c>
      <c r="S292" s="5">
        <f t="shared" si="23"/>
        <v>0.30288109240686584</v>
      </c>
      <c r="T292" s="5">
        <f t="shared" si="24"/>
        <v>1.1217818237291326</v>
      </c>
      <c r="V292" s="5"/>
      <c r="W292" s="5"/>
    </row>
    <row r="293" spans="1:23" x14ac:dyDescent="0.25">
      <c r="A293" s="1" t="s">
        <v>86</v>
      </c>
      <c r="B293" s="3">
        <v>19.100000000000001</v>
      </c>
      <c r="C293" s="4">
        <v>392</v>
      </c>
      <c r="D293" s="4">
        <v>2</v>
      </c>
      <c r="E293" s="3">
        <v>40</v>
      </c>
      <c r="F293" s="5">
        <v>3.3538794827423901</v>
      </c>
      <c r="G293" s="3">
        <v>30</v>
      </c>
      <c r="H293" s="3">
        <v>39.5</v>
      </c>
      <c r="I293" s="2">
        <v>6.6596536025101197E-2</v>
      </c>
      <c r="J293" s="5">
        <v>269.47046771854701</v>
      </c>
      <c r="K293" s="5">
        <v>0.18</v>
      </c>
      <c r="L293" s="6">
        <f t="shared" si="20"/>
        <v>1.347352338592735E-3</v>
      </c>
      <c r="P293" s="5">
        <f t="shared" si="21"/>
        <v>0.22940529366576379</v>
      </c>
      <c r="Q293" s="5">
        <f t="shared" si="22"/>
        <v>1.2744738536986877</v>
      </c>
      <c r="S293" s="5">
        <f t="shared" si="23"/>
        <v>0.22582371603806242</v>
      </c>
      <c r="T293" s="5">
        <f t="shared" si="24"/>
        <v>1.254576200211458</v>
      </c>
      <c r="V293" s="5"/>
      <c r="W293" s="5"/>
    </row>
    <row r="294" spans="1:23" x14ac:dyDescent="0.25">
      <c r="B294" s="3">
        <v>19.100000000000001</v>
      </c>
      <c r="C294" s="4">
        <v>392</v>
      </c>
      <c r="D294" s="4">
        <v>2</v>
      </c>
      <c r="E294" s="3">
        <v>40</v>
      </c>
      <c r="F294" s="5">
        <v>3.3538794827423901</v>
      </c>
      <c r="G294" s="3">
        <v>30</v>
      </c>
      <c r="H294" s="3">
        <v>39.5</v>
      </c>
      <c r="I294" s="2">
        <v>6.6596536025101197E-2</v>
      </c>
      <c r="J294" s="5">
        <v>310.74047838088501</v>
      </c>
      <c r="K294" s="5">
        <v>0.19</v>
      </c>
      <c r="L294" s="6">
        <f t="shared" si="20"/>
        <v>1.553702391904425E-3</v>
      </c>
      <c r="P294" s="5">
        <f t="shared" si="21"/>
        <v>0.25850232360278341</v>
      </c>
      <c r="Q294" s="5">
        <f t="shared" si="22"/>
        <v>1.3605385452778074</v>
      </c>
      <c r="S294" s="5">
        <f t="shared" si="23"/>
        <v>0.25504731273597914</v>
      </c>
      <c r="T294" s="5">
        <f t="shared" si="24"/>
        <v>1.342354277557785</v>
      </c>
      <c r="V294" s="5"/>
      <c r="W294" s="5"/>
    </row>
    <row r="295" spans="1:23" x14ac:dyDescent="0.25">
      <c r="B295" s="3">
        <v>19.100000000000001</v>
      </c>
      <c r="C295" s="4">
        <v>392</v>
      </c>
      <c r="D295" s="4">
        <v>2</v>
      </c>
      <c r="E295" s="3">
        <v>40</v>
      </c>
      <c r="F295" s="5">
        <v>3.3538794827423901</v>
      </c>
      <c r="G295" s="3">
        <v>30</v>
      </c>
      <c r="H295" s="3">
        <v>39.5</v>
      </c>
      <c r="I295" s="2">
        <v>6.6596536025101197E-2</v>
      </c>
      <c r="J295" s="5">
        <v>354.18259486755602</v>
      </c>
      <c r="K295" s="5">
        <v>0.21</v>
      </c>
      <c r="L295" s="6">
        <f t="shared" si="20"/>
        <v>1.7709129743377801E-3</v>
      </c>
      <c r="P295" s="5">
        <f t="shared" si="21"/>
        <v>0.28846124671259338</v>
      </c>
      <c r="Q295" s="5">
        <f t="shared" si="22"/>
        <v>1.3736249843456827</v>
      </c>
      <c r="S295" s="5">
        <f t="shared" si="23"/>
        <v>0.28520231551571351</v>
      </c>
      <c r="T295" s="5">
        <f t="shared" si="24"/>
        <v>1.3581062643605406</v>
      </c>
      <c r="V295" s="5"/>
      <c r="W295" s="5"/>
    </row>
    <row r="296" spans="1:23" x14ac:dyDescent="0.25">
      <c r="B296" s="3">
        <v>19.100000000000001</v>
      </c>
      <c r="C296" s="4">
        <v>392</v>
      </c>
      <c r="D296" s="4">
        <v>2</v>
      </c>
      <c r="E296" s="3">
        <v>40</v>
      </c>
      <c r="F296" s="5">
        <v>3.3538794827423901</v>
      </c>
      <c r="G296" s="3">
        <v>30</v>
      </c>
      <c r="H296" s="3">
        <v>39.5</v>
      </c>
      <c r="I296" s="2">
        <v>6.6596536025101197E-2</v>
      </c>
      <c r="J296" s="5">
        <v>380.02455591704501</v>
      </c>
      <c r="K296" s="5">
        <v>0.26</v>
      </c>
      <c r="L296" s="6">
        <f t="shared" si="20"/>
        <v>1.9001227795852251E-3</v>
      </c>
      <c r="P296" s="5">
        <f t="shared" si="21"/>
        <v>0.30599705088654539</v>
      </c>
      <c r="Q296" s="5">
        <f t="shared" si="22"/>
        <v>1.1769117341790207</v>
      </c>
      <c r="S296" s="5">
        <f t="shared" si="23"/>
        <v>0.30288109240686584</v>
      </c>
      <c r="T296" s="5">
        <f t="shared" si="24"/>
        <v>1.1649272784879454</v>
      </c>
      <c r="V296" s="5"/>
      <c r="W296" s="5"/>
    </row>
    <row r="297" spans="1:23" x14ac:dyDescent="0.25">
      <c r="A297" s="1" t="s">
        <v>87</v>
      </c>
      <c r="B297" s="3">
        <v>19.100000000000001</v>
      </c>
      <c r="C297" s="4">
        <v>276</v>
      </c>
      <c r="D297" s="4">
        <v>2</v>
      </c>
      <c r="E297" s="3">
        <v>69.8</v>
      </c>
      <c r="F297" s="5">
        <v>2.9003288251790802</v>
      </c>
      <c r="G297" s="3">
        <v>31.8</v>
      </c>
      <c r="H297" s="3">
        <v>41.4</v>
      </c>
      <c r="I297" s="2">
        <v>4.0651443689720498E-2</v>
      </c>
      <c r="J297" s="5">
        <v>151.461875554264</v>
      </c>
      <c r="K297" s="5">
        <v>0.17</v>
      </c>
      <c r="L297" s="6">
        <f t="shared" si="20"/>
        <v>7.5730937777132004E-4</v>
      </c>
      <c r="P297" s="5">
        <f t="shared" si="21"/>
        <v>0.18043637630184448</v>
      </c>
      <c r="Q297" s="5">
        <f t="shared" si="22"/>
        <v>1.0613904488343793</v>
      </c>
      <c r="S297" s="5">
        <f t="shared" si="23"/>
        <v>0.17400421008877603</v>
      </c>
      <c r="T297" s="5">
        <f t="shared" si="24"/>
        <v>1.0235541769928</v>
      </c>
      <c r="V297" s="5"/>
      <c r="W297" s="5"/>
    </row>
    <row r="298" spans="1:23" x14ac:dyDescent="0.25">
      <c r="B298" s="3">
        <v>19.100000000000001</v>
      </c>
      <c r="C298" s="4">
        <v>276</v>
      </c>
      <c r="D298" s="4">
        <v>2</v>
      </c>
      <c r="E298" s="3">
        <v>69.8</v>
      </c>
      <c r="F298" s="5">
        <v>2.9003288251790802</v>
      </c>
      <c r="G298" s="3">
        <v>31.8</v>
      </c>
      <c r="H298" s="3">
        <v>41.4</v>
      </c>
      <c r="I298" s="2">
        <v>4.0651443689720498E-2</v>
      </c>
      <c r="J298" s="5">
        <v>200.80108379018299</v>
      </c>
      <c r="K298" s="5">
        <v>0.23</v>
      </c>
      <c r="L298" s="6">
        <f t="shared" si="20"/>
        <v>1.0040054189509148E-3</v>
      </c>
      <c r="P298" s="5">
        <f t="shared" si="21"/>
        <v>0.22853244062173264</v>
      </c>
      <c r="Q298" s="5">
        <f t="shared" si="22"/>
        <v>0.99361930705101142</v>
      </c>
      <c r="S298" s="5">
        <f t="shared" si="23"/>
        <v>0.22138231318110549</v>
      </c>
      <c r="T298" s="5">
        <f t="shared" si="24"/>
        <v>0.96253179643958908</v>
      </c>
      <c r="V298" s="5"/>
      <c r="W298" s="5"/>
    </row>
    <row r="299" spans="1:23" x14ac:dyDescent="0.25">
      <c r="B299" s="3">
        <v>19.100000000000001</v>
      </c>
      <c r="C299" s="4">
        <v>276</v>
      </c>
      <c r="D299" s="4">
        <v>2</v>
      </c>
      <c r="E299" s="3">
        <v>69.8</v>
      </c>
      <c r="F299" s="5">
        <v>2.9003288251790802</v>
      </c>
      <c r="G299" s="3">
        <v>31.8</v>
      </c>
      <c r="H299" s="3">
        <v>41.4</v>
      </c>
      <c r="I299" s="2">
        <v>4.0651443689720498E-2</v>
      </c>
      <c r="J299" s="5">
        <v>238.03329547717601</v>
      </c>
      <c r="K299" s="5">
        <v>0.27</v>
      </c>
      <c r="L299" s="6">
        <f t="shared" si="20"/>
        <v>1.1901664773858801E-3</v>
      </c>
      <c r="P299" s="5">
        <f t="shared" si="21"/>
        <v>0.2635434980556971</v>
      </c>
      <c r="Q299" s="5">
        <f t="shared" si="22"/>
        <v>0.97608702983591511</v>
      </c>
      <c r="S299" s="5">
        <f t="shared" si="23"/>
        <v>0.25599372264333908</v>
      </c>
      <c r="T299" s="5">
        <f t="shared" si="24"/>
        <v>0.9481248986790336</v>
      </c>
      <c r="V299" s="5"/>
      <c r="W299" s="5"/>
    </row>
    <row r="300" spans="1:23" x14ac:dyDescent="0.25">
      <c r="A300" s="1" t="s">
        <v>88</v>
      </c>
      <c r="B300" s="3">
        <v>19.100000000000001</v>
      </c>
      <c r="C300" s="4">
        <v>276</v>
      </c>
      <c r="D300" s="4">
        <v>2</v>
      </c>
      <c r="E300" s="3">
        <v>69.8</v>
      </c>
      <c r="F300" s="5">
        <v>2.8466918957142102</v>
      </c>
      <c r="G300" s="3">
        <v>31.8</v>
      </c>
      <c r="H300" s="3">
        <v>41.4</v>
      </c>
      <c r="I300" s="2">
        <v>4.0711184462321998E-2</v>
      </c>
      <c r="J300" s="5">
        <v>238.702665173241</v>
      </c>
      <c r="K300" s="5">
        <v>0.16</v>
      </c>
      <c r="L300" s="6">
        <f t="shared" si="20"/>
        <v>1.1935133258662051E-3</v>
      </c>
      <c r="P300" s="5">
        <f t="shared" si="21"/>
        <v>0.2639740096320547</v>
      </c>
      <c r="Q300" s="5">
        <f t="shared" si="22"/>
        <v>1.6498375602003419</v>
      </c>
      <c r="S300" s="5">
        <f t="shared" si="23"/>
        <v>0.25642260256059018</v>
      </c>
      <c r="T300" s="5">
        <f t="shared" si="24"/>
        <v>1.6026412660036886</v>
      </c>
      <c r="V300" s="5"/>
      <c r="W300" s="5"/>
    </row>
    <row r="301" spans="1:23" x14ac:dyDescent="0.25">
      <c r="A301" s="1" t="s">
        <v>89</v>
      </c>
      <c r="B301" s="3">
        <v>19.100000000000001</v>
      </c>
      <c r="C301" s="4">
        <v>276</v>
      </c>
      <c r="D301" s="4">
        <v>2</v>
      </c>
      <c r="E301" s="3">
        <v>69.8</v>
      </c>
      <c r="F301" s="5">
        <v>2.7113214734883302</v>
      </c>
      <c r="G301" s="3">
        <v>38.200000000000003</v>
      </c>
      <c r="H301" s="3">
        <v>47.7</v>
      </c>
      <c r="I301" s="2">
        <v>4.0691908981937697E-2</v>
      </c>
      <c r="J301" s="5">
        <v>209.57139801392</v>
      </c>
      <c r="K301" s="5">
        <v>0.16</v>
      </c>
      <c r="L301" s="6">
        <f t="shared" si="20"/>
        <v>1.0478569900696001E-3</v>
      </c>
      <c r="P301" s="5">
        <f t="shared" si="21"/>
        <v>0.2371395516977248</v>
      </c>
      <c r="Q301" s="5">
        <f t="shared" si="22"/>
        <v>1.4821221981107799</v>
      </c>
      <c r="S301" s="5">
        <f t="shared" si="23"/>
        <v>0.22950130142324524</v>
      </c>
      <c r="T301" s="5">
        <f t="shared" si="24"/>
        <v>1.4343831338952826</v>
      </c>
      <c r="V301" s="5"/>
      <c r="W301" s="5"/>
    </row>
    <row r="302" spans="1:23" x14ac:dyDescent="0.25">
      <c r="B302" s="3">
        <v>19.100000000000001</v>
      </c>
      <c r="C302" s="4">
        <v>276</v>
      </c>
      <c r="D302" s="4">
        <v>2</v>
      </c>
      <c r="E302" s="3">
        <v>69.8</v>
      </c>
      <c r="F302" s="5">
        <v>2.7113214734883302</v>
      </c>
      <c r="G302" s="3">
        <v>38.200000000000003</v>
      </c>
      <c r="H302" s="3">
        <v>47.7</v>
      </c>
      <c r="I302" s="2">
        <v>4.0691908981937697E-2</v>
      </c>
      <c r="J302" s="5">
        <v>240.27108848769799</v>
      </c>
      <c r="K302" s="5">
        <v>0.2</v>
      </c>
      <c r="L302" s="6">
        <f t="shared" si="20"/>
        <v>1.20135544243849E-3</v>
      </c>
      <c r="P302" s="5">
        <f t="shared" si="21"/>
        <v>0.26592283981146492</v>
      </c>
      <c r="Q302" s="5">
        <f t="shared" si="22"/>
        <v>1.3296141990573245</v>
      </c>
      <c r="S302" s="5">
        <f t="shared" si="23"/>
        <v>0.2579210036961489</v>
      </c>
      <c r="T302" s="5">
        <f t="shared" si="24"/>
        <v>1.2896050184807444</v>
      </c>
      <c r="V302" s="5"/>
      <c r="W302" s="5"/>
    </row>
    <row r="303" spans="1:23" x14ac:dyDescent="0.25">
      <c r="A303" s="1" t="s">
        <v>90</v>
      </c>
      <c r="B303" s="3">
        <v>22.2</v>
      </c>
      <c r="C303" s="4">
        <v>276</v>
      </c>
      <c r="D303" s="4">
        <v>2</v>
      </c>
      <c r="E303" s="3">
        <v>63.6</v>
      </c>
      <c r="F303" s="5">
        <v>2.6879866270061701</v>
      </c>
      <c r="G303" s="3">
        <v>12.8</v>
      </c>
      <c r="H303" s="3">
        <v>23.9</v>
      </c>
      <c r="I303" s="2">
        <v>8.4999835271637098E-2</v>
      </c>
      <c r="J303" s="5">
        <v>250.00547954530401</v>
      </c>
      <c r="K303" s="5">
        <v>0.17</v>
      </c>
      <c r="L303" s="6">
        <f t="shared" si="20"/>
        <v>1.25002739772652E-3</v>
      </c>
      <c r="P303" s="5">
        <f t="shared" si="21"/>
        <v>0.22404003373697784</v>
      </c>
      <c r="Q303" s="5">
        <f t="shared" si="22"/>
        <v>1.3178825513939871</v>
      </c>
      <c r="S303" s="5">
        <f t="shared" si="23"/>
        <v>0.22668025878111661</v>
      </c>
      <c r="T303" s="5">
        <f t="shared" si="24"/>
        <v>1.3334132869477446</v>
      </c>
      <c r="V303" s="5"/>
      <c r="W303" s="5"/>
    </row>
    <row r="304" spans="1:23" x14ac:dyDescent="0.25">
      <c r="A304" s="1" t="s">
        <v>91</v>
      </c>
      <c r="B304" s="3">
        <v>22.2</v>
      </c>
      <c r="C304" s="4">
        <v>276</v>
      </c>
      <c r="D304" s="4">
        <v>2</v>
      </c>
      <c r="E304" s="3">
        <v>63.6</v>
      </c>
      <c r="F304" s="5">
        <v>2.3846015710371402</v>
      </c>
      <c r="G304" s="3">
        <v>38</v>
      </c>
      <c r="H304" s="3">
        <v>49.1</v>
      </c>
      <c r="I304" s="2">
        <v>5.9022388890402303E-2</v>
      </c>
      <c r="J304" s="5">
        <v>161.31645797841799</v>
      </c>
      <c r="K304" s="5">
        <v>0.15</v>
      </c>
      <c r="L304" s="6">
        <f t="shared" si="20"/>
        <v>8.0658228989208996E-4</v>
      </c>
      <c r="P304" s="5">
        <f t="shared" si="21"/>
        <v>0.18700519931175086</v>
      </c>
      <c r="Q304" s="5">
        <f t="shared" si="22"/>
        <v>1.2467013287450057</v>
      </c>
      <c r="S304" s="5">
        <f t="shared" si="23"/>
        <v>0.18282116651475483</v>
      </c>
      <c r="T304" s="5">
        <f t="shared" si="24"/>
        <v>1.2188077767650323</v>
      </c>
      <c r="V304" s="5"/>
      <c r="W304" s="5"/>
    </row>
    <row r="305" spans="1:23" x14ac:dyDescent="0.25">
      <c r="B305" s="3">
        <v>22.2</v>
      </c>
      <c r="C305" s="4">
        <v>276</v>
      </c>
      <c r="D305" s="4">
        <v>2</v>
      </c>
      <c r="E305" s="3">
        <v>63.6</v>
      </c>
      <c r="F305" s="5">
        <v>2.3846015710371402</v>
      </c>
      <c r="G305" s="3">
        <v>38</v>
      </c>
      <c r="H305" s="3">
        <v>49.1</v>
      </c>
      <c r="I305" s="2">
        <v>5.9022388890402303E-2</v>
      </c>
      <c r="J305" s="5">
        <v>196.99313775302801</v>
      </c>
      <c r="K305" s="5">
        <v>0.19</v>
      </c>
      <c r="L305" s="6">
        <f t="shared" si="20"/>
        <v>9.8496568876513995E-4</v>
      </c>
      <c r="P305" s="5">
        <f t="shared" si="21"/>
        <v>0.22108993372068872</v>
      </c>
      <c r="Q305" s="5">
        <f t="shared" si="22"/>
        <v>1.163631230108888</v>
      </c>
      <c r="S305" s="5">
        <f t="shared" si="23"/>
        <v>0.21683536855594326</v>
      </c>
      <c r="T305" s="5">
        <f t="shared" si="24"/>
        <v>1.1412387818733856</v>
      </c>
      <c r="V305" s="5"/>
      <c r="W305" s="5"/>
    </row>
    <row r="306" spans="1:23" x14ac:dyDescent="0.25">
      <c r="B306" s="3">
        <v>22.2</v>
      </c>
      <c r="C306" s="4">
        <v>276</v>
      </c>
      <c r="D306" s="4">
        <v>2</v>
      </c>
      <c r="E306" s="3">
        <v>63.6</v>
      </c>
      <c r="F306" s="5">
        <v>2.3846015710371402</v>
      </c>
      <c r="G306" s="3">
        <v>38</v>
      </c>
      <c r="H306" s="3">
        <v>49.1</v>
      </c>
      <c r="I306" s="2">
        <v>5.9022388890402303E-2</v>
      </c>
      <c r="J306" s="5">
        <v>235.05964296708501</v>
      </c>
      <c r="K306" s="5">
        <v>0.22</v>
      </c>
      <c r="L306" s="6">
        <f t="shared" si="20"/>
        <v>1.175298214835425E-3</v>
      </c>
      <c r="P306" s="5">
        <f t="shared" si="21"/>
        <v>0.25636939234827394</v>
      </c>
      <c r="Q306" s="5">
        <f t="shared" si="22"/>
        <v>1.1653154197648816</v>
      </c>
      <c r="S306" s="5">
        <f t="shared" si="23"/>
        <v>0.25214766956043572</v>
      </c>
      <c r="T306" s="5">
        <f t="shared" si="24"/>
        <v>1.1461257707292531</v>
      </c>
      <c r="V306" s="5"/>
      <c r="W306" s="5"/>
    </row>
    <row r="307" spans="1:23" x14ac:dyDescent="0.25">
      <c r="B307" s="3">
        <v>22.2</v>
      </c>
      <c r="C307" s="4">
        <v>276</v>
      </c>
      <c r="D307" s="4">
        <v>2</v>
      </c>
      <c r="E307" s="3">
        <v>63.6</v>
      </c>
      <c r="F307" s="5">
        <v>2.3846015710371402</v>
      </c>
      <c r="G307" s="3">
        <v>38</v>
      </c>
      <c r="H307" s="3">
        <v>49.1</v>
      </c>
      <c r="I307" s="2">
        <v>5.9022388890402303E-2</v>
      </c>
      <c r="J307" s="5">
        <v>251.74398079944601</v>
      </c>
      <c r="K307" s="5">
        <v>0.27</v>
      </c>
      <c r="L307" s="6">
        <f t="shared" si="20"/>
        <v>1.2587199039972301E-3</v>
      </c>
      <c r="P307" s="5">
        <f t="shared" si="21"/>
        <v>0.27153303349014241</v>
      </c>
      <c r="Q307" s="5">
        <f t="shared" si="22"/>
        <v>1.0056779018153421</v>
      </c>
      <c r="S307" s="5">
        <f t="shared" si="23"/>
        <v>0.26735477952124642</v>
      </c>
      <c r="T307" s="5">
        <f t="shared" si="24"/>
        <v>0.99020288711572746</v>
      </c>
      <c r="V307" s="5"/>
      <c r="W307" s="5"/>
    </row>
    <row r="308" spans="1:23" x14ac:dyDescent="0.25">
      <c r="A308" s="1" t="s">
        <v>92</v>
      </c>
      <c r="B308" s="3">
        <v>22.2</v>
      </c>
      <c r="C308" s="4">
        <v>276</v>
      </c>
      <c r="D308" s="4">
        <v>2</v>
      </c>
      <c r="E308" s="3">
        <v>63.6</v>
      </c>
      <c r="F308" s="5">
        <v>2.8648423476200802</v>
      </c>
      <c r="G308" s="3">
        <v>38</v>
      </c>
      <c r="H308" s="3">
        <v>49.1</v>
      </c>
      <c r="I308" s="2">
        <v>5.8054054206432497E-2</v>
      </c>
      <c r="J308" s="5">
        <v>228.82881043536599</v>
      </c>
      <c r="K308" s="5">
        <v>0.17</v>
      </c>
      <c r="L308" s="6">
        <f t="shared" si="20"/>
        <v>1.1441440521768301E-3</v>
      </c>
      <c r="P308" s="5">
        <f t="shared" si="21"/>
        <v>0.25270284332900472</v>
      </c>
      <c r="Q308" s="5">
        <f t="shared" si="22"/>
        <v>1.4864873137000276</v>
      </c>
      <c r="S308" s="5">
        <f t="shared" si="23"/>
        <v>0.24829752830452059</v>
      </c>
      <c r="T308" s="5">
        <f t="shared" si="24"/>
        <v>1.4605736959089446</v>
      </c>
      <c r="V308" s="5"/>
      <c r="W308" s="5"/>
    </row>
    <row r="309" spans="1:23" x14ac:dyDescent="0.25">
      <c r="B309" s="3">
        <v>22.2</v>
      </c>
      <c r="C309" s="4">
        <v>276</v>
      </c>
      <c r="D309" s="4">
        <v>2</v>
      </c>
      <c r="E309" s="3">
        <v>63.6</v>
      </c>
      <c r="F309" s="5">
        <v>2.8648423476200802</v>
      </c>
      <c r="G309" s="3">
        <v>38</v>
      </c>
      <c r="H309" s="3">
        <v>49.1</v>
      </c>
      <c r="I309" s="2">
        <v>5.8054054206432497E-2</v>
      </c>
      <c r="J309" s="5">
        <v>247.308454379583</v>
      </c>
      <c r="K309" s="5">
        <v>0.2</v>
      </c>
      <c r="L309" s="6">
        <f t="shared" si="20"/>
        <v>1.236542271897915E-3</v>
      </c>
      <c r="P309" s="5">
        <f t="shared" si="21"/>
        <v>0.26969594122607249</v>
      </c>
      <c r="Q309" s="5">
        <f t="shared" si="22"/>
        <v>1.3484797061303624</v>
      </c>
      <c r="S309" s="5">
        <f t="shared" si="23"/>
        <v>0.26532387451013267</v>
      </c>
      <c r="T309" s="5">
        <f t="shared" si="24"/>
        <v>1.3266193725506632</v>
      </c>
      <c r="V309" s="5"/>
      <c r="W309" s="5"/>
    </row>
    <row r="310" spans="1:23" x14ac:dyDescent="0.25">
      <c r="A310" s="1" t="s">
        <v>93</v>
      </c>
      <c r="B310" s="3">
        <v>22.2</v>
      </c>
      <c r="C310" s="4">
        <v>276</v>
      </c>
      <c r="D310" s="4">
        <v>2</v>
      </c>
      <c r="E310" s="3">
        <v>63.6</v>
      </c>
      <c r="F310" s="5">
        <v>2.8336917902498899</v>
      </c>
      <c r="G310" s="3">
        <v>38</v>
      </c>
      <c r="H310" s="3">
        <v>49.1</v>
      </c>
      <c r="I310" s="2">
        <v>5.8110239594394403E-2</v>
      </c>
      <c r="J310" s="5">
        <v>154.459326102517</v>
      </c>
      <c r="K310" s="5">
        <v>0.15</v>
      </c>
      <c r="L310" s="6">
        <f t="shared" si="20"/>
        <v>7.7229663051258497E-4</v>
      </c>
      <c r="P310" s="5">
        <f t="shared" si="21"/>
        <v>0.18170232635203221</v>
      </c>
      <c r="Q310" s="5">
        <f t="shared" si="22"/>
        <v>1.2113488423468814</v>
      </c>
      <c r="S310" s="5">
        <f t="shared" si="23"/>
        <v>0.17742111364617158</v>
      </c>
      <c r="T310" s="5">
        <f t="shared" si="24"/>
        <v>1.1828074243078106</v>
      </c>
      <c r="V310" s="5"/>
      <c r="W310" s="5"/>
    </row>
    <row r="311" spans="1:23" x14ac:dyDescent="0.25">
      <c r="B311" s="3">
        <v>22.2</v>
      </c>
      <c r="C311" s="4">
        <v>276</v>
      </c>
      <c r="D311" s="4">
        <v>2</v>
      </c>
      <c r="E311" s="3">
        <v>63.6</v>
      </c>
      <c r="F311" s="5">
        <v>2.8336917902498899</v>
      </c>
      <c r="G311" s="3">
        <v>38</v>
      </c>
      <c r="H311" s="3">
        <v>49.1</v>
      </c>
      <c r="I311" s="2">
        <v>5.8110239594394403E-2</v>
      </c>
      <c r="J311" s="5">
        <v>190.63079573768701</v>
      </c>
      <c r="K311" s="5">
        <v>0.18</v>
      </c>
      <c r="L311" s="6">
        <f t="shared" si="20"/>
        <v>9.5315397868843508E-4</v>
      </c>
      <c r="P311" s="5">
        <f t="shared" si="21"/>
        <v>0.21673848175367824</v>
      </c>
      <c r="Q311" s="5">
        <f t="shared" si="22"/>
        <v>1.2041026764093237</v>
      </c>
      <c r="S311" s="5">
        <f t="shared" si="23"/>
        <v>0.21234542224764011</v>
      </c>
      <c r="T311" s="5">
        <f t="shared" si="24"/>
        <v>1.1796967902646673</v>
      </c>
      <c r="V311" s="5"/>
      <c r="W311" s="5"/>
    </row>
    <row r="312" spans="1:23" x14ac:dyDescent="0.25">
      <c r="B312" s="3">
        <v>22.2</v>
      </c>
      <c r="C312" s="4">
        <v>276</v>
      </c>
      <c r="D312" s="4">
        <v>2</v>
      </c>
      <c r="E312" s="3">
        <v>63.6</v>
      </c>
      <c r="F312" s="5">
        <v>2.8336917902498899</v>
      </c>
      <c r="G312" s="3">
        <v>38</v>
      </c>
      <c r="H312" s="3">
        <v>49.1</v>
      </c>
      <c r="I312" s="2">
        <v>5.8110239594394403E-2</v>
      </c>
      <c r="J312" s="5">
        <v>229.225234630714</v>
      </c>
      <c r="K312" s="5">
        <v>0.22</v>
      </c>
      <c r="L312" s="6">
        <f t="shared" si="20"/>
        <v>1.14612617315357E-3</v>
      </c>
      <c r="P312" s="5">
        <f t="shared" si="21"/>
        <v>0.25294969196474709</v>
      </c>
      <c r="Q312" s="5">
        <f t="shared" si="22"/>
        <v>1.1497713271124868</v>
      </c>
      <c r="S312" s="5">
        <f t="shared" si="23"/>
        <v>0.24855479215194795</v>
      </c>
      <c r="T312" s="5">
        <f t="shared" si="24"/>
        <v>1.1297945097815816</v>
      </c>
      <c r="V312" s="5"/>
      <c r="W312" s="5"/>
    </row>
    <row r="313" spans="1:23" x14ac:dyDescent="0.25">
      <c r="B313" s="3">
        <v>22.2</v>
      </c>
      <c r="C313" s="4">
        <v>276</v>
      </c>
      <c r="D313" s="4">
        <v>2</v>
      </c>
      <c r="E313" s="3">
        <v>63.6</v>
      </c>
      <c r="F313" s="5">
        <v>2.8336917902498899</v>
      </c>
      <c r="G313" s="3">
        <v>38</v>
      </c>
      <c r="H313" s="3">
        <v>49.1</v>
      </c>
      <c r="I313" s="2">
        <v>5.8110239594394403E-2</v>
      </c>
      <c r="J313" s="5">
        <v>247.59579686335999</v>
      </c>
      <c r="K313" s="5">
        <v>0.25</v>
      </c>
      <c r="L313" s="6">
        <f t="shared" si="20"/>
        <v>1.2379789843168E-3</v>
      </c>
      <c r="P313" s="5">
        <f t="shared" si="21"/>
        <v>0.26983053872607016</v>
      </c>
      <c r="Q313" s="5">
        <f t="shared" si="22"/>
        <v>1.0793221549042806</v>
      </c>
      <c r="S313" s="5">
        <f t="shared" si="23"/>
        <v>0.26546959045540702</v>
      </c>
      <c r="T313" s="5">
        <f t="shared" si="24"/>
        <v>1.0618783618216281</v>
      </c>
      <c r="V313" s="5"/>
      <c r="W313" s="5"/>
    </row>
    <row r="314" spans="1:23" x14ac:dyDescent="0.25">
      <c r="A314" s="1" t="s">
        <v>94</v>
      </c>
      <c r="B314" s="3">
        <v>22.2</v>
      </c>
      <c r="C314" s="4">
        <v>276</v>
      </c>
      <c r="D314" s="4">
        <v>2</v>
      </c>
      <c r="E314" s="3">
        <v>63.6</v>
      </c>
      <c r="F314" s="5">
        <v>2.7563734268389202</v>
      </c>
      <c r="G314" s="3">
        <v>38</v>
      </c>
      <c r="H314" s="3">
        <v>49.1</v>
      </c>
      <c r="I314" s="2">
        <v>5.8253253556272699E-2</v>
      </c>
      <c r="J314" s="5">
        <v>155.627184524337</v>
      </c>
      <c r="K314" s="5">
        <v>0.2</v>
      </c>
      <c r="L314" s="6">
        <f t="shared" si="20"/>
        <v>7.78135922621685E-4</v>
      </c>
      <c r="P314" s="5">
        <f t="shared" si="21"/>
        <v>0.1826327329928954</v>
      </c>
      <c r="Q314" s="5">
        <f t="shared" si="22"/>
        <v>0.91316366496447698</v>
      </c>
      <c r="S314" s="5">
        <f t="shared" si="23"/>
        <v>0.17836545555510472</v>
      </c>
      <c r="T314" s="5">
        <f t="shared" si="24"/>
        <v>0.89182727777552351</v>
      </c>
      <c r="V314" s="5"/>
      <c r="W314" s="5"/>
    </row>
    <row r="315" spans="1:23" x14ac:dyDescent="0.25">
      <c r="B315" s="3">
        <v>22.2</v>
      </c>
      <c r="C315" s="4">
        <v>276</v>
      </c>
      <c r="D315" s="4">
        <v>2</v>
      </c>
      <c r="E315" s="3">
        <v>63.6</v>
      </c>
      <c r="F315" s="5">
        <v>2.7563734268389202</v>
      </c>
      <c r="G315" s="3">
        <v>38</v>
      </c>
      <c r="H315" s="3">
        <v>49.1</v>
      </c>
      <c r="I315" s="2">
        <v>5.8253253556272699E-2</v>
      </c>
      <c r="J315" s="5">
        <v>191.71169709468501</v>
      </c>
      <c r="K315" s="5">
        <v>0.25</v>
      </c>
      <c r="L315" s="6">
        <f t="shared" si="20"/>
        <v>9.58558485473425E-4</v>
      </c>
      <c r="P315" s="5">
        <f t="shared" si="21"/>
        <v>0.21750564795883337</v>
      </c>
      <c r="Q315" s="5">
        <f t="shared" si="22"/>
        <v>0.87002259183533348</v>
      </c>
      <c r="S315" s="5">
        <f t="shared" si="23"/>
        <v>0.21313348114716016</v>
      </c>
      <c r="T315" s="5">
        <f t="shared" si="24"/>
        <v>0.85253392458864063</v>
      </c>
      <c r="V315" s="5"/>
      <c r="W315" s="5"/>
    </row>
    <row r="316" spans="1:23" x14ac:dyDescent="0.25">
      <c r="B316" s="3">
        <v>22.2</v>
      </c>
      <c r="C316" s="4">
        <v>276</v>
      </c>
      <c r="D316" s="4">
        <v>2</v>
      </c>
      <c r="E316" s="3">
        <v>63.6</v>
      </c>
      <c r="F316" s="5">
        <v>2.7563734268389202</v>
      </c>
      <c r="G316" s="3">
        <v>38</v>
      </c>
      <c r="H316" s="3">
        <v>49.1</v>
      </c>
      <c r="I316" s="2">
        <v>5.8253253556272699E-2</v>
      </c>
      <c r="J316" s="5">
        <v>230.213354047737</v>
      </c>
      <c r="K316" s="5">
        <v>0.3</v>
      </c>
      <c r="L316" s="6">
        <f t="shared" si="20"/>
        <v>1.151066770238685E-3</v>
      </c>
      <c r="P316" s="5">
        <f t="shared" si="21"/>
        <v>0.25355744761938526</v>
      </c>
      <c r="Q316" s="5">
        <f t="shared" si="22"/>
        <v>0.84519149206461752</v>
      </c>
      <c r="S316" s="5">
        <f t="shared" si="23"/>
        <v>0.2491892032371677</v>
      </c>
      <c r="T316" s="5">
        <f t="shared" si="24"/>
        <v>0.83063067745722574</v>
      </c>
      <c r="V316" s="5"/>
      <c r="W316" s="5"/>
    </row>
    <row r="317" spans="1:23" x14ac:dyDescent="0.25">
      <c r="B317" s="3">
        <v>22.2</v>
      </c>
      <c r="C317" s="4">
        <v>276</v>
      </c>
      <c r="D317" s="4">
        <v>2</v>
      </c>
      <c r="E317" s="3">
        <v>63.6</v>
      </c>
      <c r="F317" s="5">
        <v>2.7563734268389202</v>
      </c>
      <c r="G317" s="3">
        <v>38</v>
      </c>
      <c r="H317" s="3">
        <v>49.1</v>
      </c>
      <c r="I317" s="2">
        <v>5.8253253556272699E-2</v>
      </c>
      <c r="J317" s="5">
        <v>248.309196586263</v>
      </c>
      <c r="K317" s="5">
        <v>0.35</v>
      </c>
      <c r="L317" s="6">
        <f t="shared" si="20"/>
        <v>1.241545982931315E-3</v>
      </c>
      <c r="P317" s="5">
        <f t="shared" si="21"/>
        <v>0.27015622088947217</v>
      </c>
      <c r="Q317" s="5">
        <f t="shared" si="22"/>
        <v>0.77187491682706333</v>
      </c>
      <c r="S317" s="5">
        <f t="shared" si="23"/>
        <v>0.26582365139842767</v>
      </c>
      <c r="T317" s="5">
        <f t="shared" si="24"/>
        <v>0.75949614685265054</v>
      </c>
      <c r="V317" s="5"/>
      <c r="W317" s="5"/>
    </row>
    <row r="318" spans="1:23" x14ac:dyDescent="0.25">
      <c r="A318" s="1" t="s">
        <v>95</v>
      </c>
      <c r="B318" s="3">
        <v>28.7</v>
      </c>
      <c r="C318" s="4">
        <v>276</v>
      </c>
      <c r="D318" s="4">
        <v>2</v>
      </c>
      <c r="E318" s="3">
        <v>50.6</v>
      </c>
      <c r="F318" s="5">
        <v>2.7748174021560699</v>
      </c>
      <c r="G318" s="3">
        <v>22.2</v>
      </c>
      <c r="H318" s="3">
        <v>36.6</v>
      </c>
      <c r="I318" s="2">
        <v>0.108992850321706</v>
      </c>
      <c r="J318" s="5">
        <v>211.929446768129</v>
      </c>
      <c r="K318" s="5">
        <v>0.17</v>
      </c>
      <c r="L318" s="6">
        <f t="shared" si="20"/>
        <v>1.0596472338406449E-3</v>
      </c>
      <c r="P318" s="5">
        <f t="shared" si="21"/>
        <v>0.22933935039063852</v>
      </c>
      <c r="Q318" s="5">
        <f t="shared" si="22"/>
        <v>1.3490550022978736</v>
      </c>
      <c r="S318" s="5">
        <f t="shared" si="23"/>
        <v>0.23919456280380108</v>
      </c>
      <c r="T318" s="5">
        <f t="shared" si="24"/>
        <v>1.4070268400223591</v>
      </c>
      <c r="V318" s="5"/>
      <c r="W318" s="5"/>
    </row>
    <row r="319" spans="1:23" x14ac:dyDescent="0.25">
      <c r="B319" s="3">
        <v>28.7</v>
      </c>
      <c r="C319" s="4">
        <v>276</v>
      </c>
      <c r="D319" s="4">
        <v>2</v>
      </c>
      <c r="E319" s="3">
        <v>50.6</v>
      </c>
      <c r="F319" s="5">
        <v>2.7748174021560699</v>
      </c>
      <c r="G319" s="3">
        <v>22.2</v>
      </c>
      <c r="H319" s="3">
        <v>36.6</v>
      </c>
      <c r="I319" s="2">
        <v>0.108992850321706</v>
      </c>
      <c r="J319" s="5">
        <v>256.411515370833</v>
      </c>
      <c r="K319" s="5">
        <v>0.2</v>
      </c>
      <c r="L319" s="6">
        <f t="shared" si="20"/>
        <v>1.282057576854165E-3</v>
      </c>
      <c r="P319" s="5">
        <f t="shared" si="21"/>
        <v>0.26904189367913584</v>
      </c>
      <c r="Q319" s="5">
        <f t="shared" si="22"/>
        <v>1.345209468395679</v>
      </c>
      <c r="S319" s="5">
        <f t="shared" si="23"/>
        <v>0.28145993045209361</v>
      </c>
      <c r="T319" s="5">
        <f t="shared" si="24"/>
        <v>1.4072996522604679</v>
      </c>
      <c r="V319" s="5"/>
      <c r="W319" s="5"/>
    </row>
    <row r="320" spans="1:23" x14ac:dyDescent="0.25">
      <c r="A320" s="1" t="s">
        <v>96</v>
      </c>
      <c r="B320" s="3">
        <v>28.7</v>
      </c>
      <c r="C320" s="4">
        <v>276</v>
      </c>
      <c r="D320" s="4">
        <v>2</v>
      </c>
      <c r="E320" s="3">
        <v>50.6</v>
      </c>
      <c r="F320" s="5">
        <v>2.8017146470593901</v>
      </c>
      <c r="G320" s="3">
        <v>38.200000000000003</v>
      </c>
      <c r="H320" s="3">
        <v>52.5</v>
      </c>
      <c r="I320" s="2">
        <v>0.106860667703036</v>
      </c>
      <c r="J320" s="5">
        <v>152.74032544508</v>
      </c>
      <c r="K320" s="5">
        <v>0.17</v>
      </c>
      <c r="L320" s="6">
        <f t="shared" si="20"/>
        <v>7.6370162722539997E-4</v>
      </c>
      <c r="P320" s="5">
        <f t="shared" si="21"/>
        <v>0.17674007999001184</v>
      </c>
      <c r="Q320" s="5">
        <f t="shared" si="22"/>
        <v>1.0396475293530107</v>
      </c>
      <c r="S320" s="5">
        <f t="shared" si="23"/>
        <v>0.18222911276146936</v>
      </c>
      <c r="T320" s="5">
        <f t="shared" si="24"/>
        <v>1.0719359574204079</v>
      </c>
      <c r="V320" s="5"/>
      <c r="W320" s="5"/>
    </row>
    <row r="321" spans="1:23" x14ac:dyDescent="0.25">
      <c r="B321" s="3">
        <v>28.7</v>
      </c>
      <c r="C321" s="4">
        <v>276</v>
      </c>
      <c r="D321" s="4">
        <v>2</v>
      </c>
      <c r="E321" s="3">
        <v>50.6</v>
      </c>
      <c r="F321" s="5">
        <v>2.8017146470593901</v>
      </c>
      <c r="G321" s="3">
        <v>38.200000000000003</v>
      </c>
      <c r="H321" s="3">
        <v>52.5</v>
      </c>
      <c r="I321" s="2">
        <v>0.106860667703036</v>
      </c>
      <c r="J321" s="5">
        <v>188.119799289414</v>
      </c>
      <c r="K321" s="5">
        <v>0.2</v>
      </c>
      <c r="L321" s="6">
        <f t="shared" si="20"/>
        <v>9.4059899644706999E-4</v>
      </c>
      <c r="P321" s="5">
        <f t="shared" si="21"/>
        <v>0.21045437260288732</v>
      </c>
      <c r="Q321" s="5">
        <f t="shared" si="22"/>
        <v>1.0522718630144365</v>
      </c>
      <c r="S321" s="5">
        <f t="shared" si="23"/>
        <v>0.21771500393553395</v>
      </c>
      <c r="T321" s="5">
        <f t="shared" si="24"/>
        <v>1.0885750196776696</v>
      </c>
      <c r="V321" s="5"/>
      <c r="W321" s="5"/>
    </row>
    <row r="322" spans="1:23" x14ac:dyDescent="0.25">
      <c r="B322" s="3">
        <v>28.7</v>
      </c>
      <c r="C322" s="4">
        <v>276</v>
      </c>
      <c r="D322" s="4">
        <v>2</v>
      </c>
      <c r="E322" s="3">
        <v>50.6</v>
      </c>
      <c r="F322" s="5">
        <v>2.8017146470593901</v>
      </c>
      <c r="G322" s="3">
        <v>38.200000000000003</v>
      </c>
      <c r="H322" s="3">
        <v>52.5</v>
      </c>
      <c r="I322" s="2">
        <v>0.106860667703036</v>
      </c>
      <c r="J322" s="5">
        <v>223.65861939682901</v>
      </c>
      <c r="K322" s="5">
        <v>0.25</v>
      </c>
      <c r="L322" s="6">
        <f t="shared" si="20"/>
        <v>1.1182930969841451E-3</v>
      </c>
      <c r="P322" s="5">
        <f t="shared" si="21"/>
        <v>0.24329579506325677</v>
      </c>
      <c r="Q322" s="5">
        <f t="shared" si="22"/>
        <v>0.97318318025302708</v>
      </c>
      <c r="S322" s="5">
        <f t="shared" si="23"/>
        <v>0.25238725912116611</v>
      </c>
      <c r="T322" s="5">
        <f t="shared" si="24"/>
        <v>1.0095490364846644</v>
      </c>
      <c r="V322" s="5"/>
      <c r="W322" s="5"/>
    </row>
    <row r="323" spans="1:23" x14ac:dyDescent="0.25">
      <c r="B323" s="3">
        <v>28.7</v>
      </c>
      <c r="C323" s="4">
        <v>276</v>
      </c>
      <c r="D323" s="4">
        <v>2</v>
      </c>
      <c r="E323" s="3">
        <v>50.6</v>
      </c>
      <c r="F323" s="5">
        <v>2.8017146470593901</v>
      </c>
      <c r="G323" s="3">
        <v>38.200000000000003</v>
      </c>
      <c r="H323" s="3">
        <v>52.5</v>
      </c>
      <c r="I323" s="2">
        <v>0.106860667703036</v>
      </c>
      <c r="J323" s="5">
        <v>257.09623458349398</v>
      </c>
      <c r="K323" s="5">
        <v>0.28999999999999998</v>
      </c>
      <c r="L323" s="6">
        <f t="shared" si="20"/>
        <v>1.2854811729174698E-3</v>
      </c>
      <c r="P323" s="5">
        <f t="shared" si="21"/>
        <v>0.27342740887980477</v>
      </c>
      <c r="Q323" s="5">
        <f t="shared" si="22"/>
        <v>0.94285313406829241</v>
      </c>
      <c r="S323" s="5">
        <f t="shared" si="23"/>
        <v>0.28427785670824685</v>
      </c>
      <c r="T323" s="5">
        <f t="shared" si="24"/>
        <v>0.98026847140774787</v>
      </c>
      <c r="V323" s="5"/>
      <c r="W323" s="5"/>
    </row>
    <row r="324" spans="1:23" x14ac:dyDescent="0.25">
      <c r="A324" s="1" t="s">
        <v>97</v>
      </c>
      <c r="B324" s="3">
        <v>28.7</v>
      </c>
      <c r="C324" s="4">
        <v>276</v>
      </c>
      <c r="D324" s="4">
        <v>2</v>
      </c>
      <c r="E324" s="3">
        <v>50.6</v>
      </c>
      <c r="F324" s="5">
        <v>2.7153116457984501</v>
      </c>
      <c r="G324" s="3">
        <v>38.200000000000003</v>
      </c>
      <c r="H324" s="3">
        <v>52.5</v>
      </c>
      <c r="I324" s="2">
        <v>0.107226386910195</v>
      </c>
      <c r="J324" s="5">
        <v>188.995464493697</v>
      </c>
      <c r="K324" s="5">
        <v>0.17</v>
      </c>
      <c r="L324" s="6">
        <f t="shared" si="20"/>
        <v>9.4497732246848502E-4</v>
      </c>
      <c r="P324" s="5">
        <f t="shared" si="21"/>
        <v>0.21092157074864404</v>
      </c>
      <c r="Q324" s="5">
        <f t="shared" si="22"/>
        <v>1.2407151220508472</v>
      </c>
      <c r="S324" s="5">
        <f t="shared" si="23"/>
        <v>0.2182891905010278</v>
      </c>
      <c r="T324" s="5">
        <f t="shared" si="24"/>
        <v>1.2840540617707517</v>
      </c>
      <c r="V324" s="5"/>
      <c r="W324" s="5"/>
    </row>
    <row r="325" spans="1:23" x14ac:dyDescent="0.25">
      <c r="A325" s="1" t="s">
        <v>98</v>
      </c>
      <c r="B325" s="3">
        <v>28.7</v>
      </c>
      <c r="C325" s="4">
        <v>276</v>
      </c>
      <c r="D325" s="4">
        <v>2</v>
      </c>
      <c r="E325" s="3">
        <v>50.6</v>
      </c>
      <c r="F325" s="5">
        <v>2.8017146470593901</v>
      </c>
      <c r="G325" s="3">
        <v>38.200000000000003</v>
      </c>
      <c r="H325" s="3">
        <v>52.5</v>
      </c>
      <c r="I325" s="2">
        <v>0.106860667703036</v>
      </c>
      <c r="J325" s="5">
        <v>152.74032544508</v>
      </c>
      <c r="K325" s="5">
        <v>0.15</v>
      </c>
      <c r="L325" s="6">
        <f t="shared" si="20"/>
        <v>7.6370162722539997E-4</v>
      </c>
      <c r="P325" s="5">
        <f t="shared" si="21"/>
        <v>0.17674007999001184</v>
      </c>
      <c r="Q325" s="5">
        <f t="shared" si="22"/>
        <v>1.1782671999334124</v>
      </c>
      <c r="S325" s="5">
        <f t="shared" si="23"/>
        <v>0.18222911276146936</v>
      </c>
      <c r="T325" s="5">
        <f t="shared" si="24"/>
        <v>1.2148607517431291</v>
      </c>
      <c r="V325" s="5"/>
      <c r="W325" s="5"/>
    </row>
    <row r="326" spans="1:23" x14ac:dyDescent="0.25">
      <c r="B326" s="3">
        <v>28.7</v>
      </c>
      <c r="C326" s="4">
        <v>276</v>
      </c>
      <c r="D326" s="4">
        <v>2</v>
      </c>
      <c r="E326" s="3">
        <v>50.6</v>
      </c>
      <c r="F326" s="5">
        <v>2.8017146470593901</v>
      </c>
      <c r="G326" s="3">
        <v>38.200000000000003</v>
      </c>
      <c r="H326" s="3">
        <v>52.5</v>
      </c>
      <c r="I326" s="2">
        <v>0.106860667703036</v>
      </c>
      <c r="J326" s="5">
        <v>188.119799289414</v>
      </c>
      <c r="K326" s="5">
        <v>0.16</v>
      </c>
      <c r="L326" s="6">
        <f t="shared" si="20"/>
        <v>9.4059899644706999E-4</v>
      </c>
      <c r="P326" s="5">
        <f t="shared" si="21"/>
        <v>0.21045437260288732</v>
      </c>
      <c r="Q326" s="5">
        <f t="shared" si="22"/>
        <v>1.3153398287680458</v>
      </c>
      <c r="S326" s="5">
        <f t="shared" si="23"/>
        <v>0.21771500393553395</v>
      </c>
      <c r="T326" s="5">
        <f t="shared" si="24"/>
        <v>1.3607187745970872</v>
      </c>
      <c r="V326" s="5"/>
      <c r="W326" s="5"/>
    </row>
    <row r="327" spans="1:23" x14ac:dyDescent="0.25">
      <c r="B327" s="3">
        <v>28.7</v>
      </c>
      <c r="C327" s="4">
        <v>276</v>
      </c>
      <c r="D327" s="4">
        <v>2</v>
      </c>
      <c r="E327" s="3">
        <v>50.6</v>
      </c>
      <c r="F327" s="5">
        <v>2.8017146470593901</v>
      </c>
      <c r="G327" s="3">
        <v>38.200000000000003</v>
      </c>
      <c r="H327" s="3">
        <v>52.5</v>
      </c>
      <c r="I327" s="2">
        <v>0.106860667703036</v>
      </c>
      <c r="J327" s="5">
        <v>223.65861939682901</v>
      </c>
      <c r="K327" s="5">
        <v>0.22</v>
      </c>
      <c r="L327" s="6">
        <f t="shared" si="20"/>
        <v>1.1182930969841451E-3</v>
      </c>
      <c r="P327" s="5">
        <f t="shared" si="21"/>
        <v>0.24329579506325677</v>
      </c>
      <c r="Q327" s="5">
        <f t="shared" si="22"/>
        <v>1.105889977560258</v>
      </c>
      <c r="S327" s="5">
        <f t="shared" si="23"/>
        <v>0.25238725912116611</v>
      </c>
      <c r="T327" s="5">
        <f t="shared" si="24"/>
        <v>1.1472148141871186</v>
      </c>
      <c r="V327" s="5"/>
      <c r="W327" s="5"/>
    </row>
    <row r="328" spans="1:23" x14ac:dyDescent="0.25">
      <c r="B328" s="3">
        <v>28.7</v>
      </c>
      <c r="C328" s="4">
        <v>276</v>
      </c>
      <c r="D328" s="4">
        <v>2</v>
      </c>
      <c r="E328" s="3">
        <v>50.6</v>
      </c>
      <c r="F328" s="5">
        <v>2.8017146470593901</v>
      </c>
      <c r="G328" s="3">
        <v>38.200000000000003</v>
      </c>
      <c r="H328" s="3">
        <v>52.5</v>
      </c>
      <c r="I328" s="2">
        <v>0.106860667703036</v>
      </c>
      <c r="J328" s="5">
        <v>257.09623458349398</v>
      </c>
      <c r="K328" s="5">
        <v>0.26</v>
      </c>
      <c r="L328" s="6">
        <f t="shared" si="20"/>
        <v>1.2854811729174698E-3</v>
      </c>
      <c r="P328" s="5">
        <f t="shared" si="21"/>
        <v>0.27342740887980477</v>
      </c>
      <c r="Q328" s="5">
        <f t="shared" si="22"/>
        <v>1.0516438803069414</v>
      </c>
      <c r="S328" s="5">
        <f t="shared" si="23"/>
        <v>0.28427785670824685</v>
      </c>
      <c r="T328" s="5">
        <f t="shared" si="24"/>
        <v>1.0933763719547955</v>
      </c>
      <c r="V328" s="5"/>
      <c r="W328" s="5"/>
    </row>
    <row r="329" spans="1:23" x14ac:dyDescent="0.25">
      <c r="A329" s="1" t="s">
        <v>99</v>
      </c>
      <c r="B329" s="3">
        <v>28.7</v>
      </c>
      <c r="C329" s="4">
        <v>276</v>
      </c>
      <c r="D329" s="4">
        <v>2</v>
      </c>
      <c r="E329" s="3">
        <v>50.6</v>
      </c>
      <c r="F329" s="5">
        <v>2.5244480681033798</v>
      </c>
      <c r="G329" s="3">
        <v>38.200000000000003</v>
      </c>
      <c r="H329" s="3">
        <v>52.5</v>
      </c>
      <c r="I329" s="2">
        <v>0.108091118039397</v>
      </c>
      <c r="J329" s="5">
        <v>190.96053805034401</v>
      </c>
      <c r="K329" s="5">
        <v>0.17</v>
      </c>
      <c r="L329" s="6">
        <f t="shared" si="20"/>
        <v>9.5480269025172008E-4</v>
      </c>
      <c r="P329" s="5">
        <f t="shared" si="21"/>
        <v>0.21192205962193181</v>
      </c>
      <c r="Q329" s="5">
        <f t="shared" si="22"/>
        <v>1.2466003507172458</v>
      </c>
      <c r="S329" s="5">
        <f t="shared" si="23"/>
        <v>0.21953854715662874</v>
      </c>
      <c r="T329" s="5">
        <f t="shared" si="24"/>
        <v>1.2914032185684043</v>
      </c>
      <c r="V329" s="5"/>
      <c r="W329" s="5"/>
    </row>
    <row r="330" spans="1:23" x14ac:dyDescent="0.25">
      <c r="B330" s="3">
        <v>28.7</v>
      </c>
      <c r="C330" s="4">
        <v>276</v>
      </c>
      <c r="D330" s="4">
        <v>2</v>
      </c>
      <c r="E330" s="3">
        <v>50.6</v>
      </c>
      <c r="F330" s="5">
        <v>2.5244480681033798</v>
      </c>
      <c r="G330" s="3">
        <v>38.200000000000003</v>
      </c>
      <c r="H330" s="3">
        <v>52.5</v>
      </c>
      <c r="I330" s="2">
        <v>0.108091118039397</v>
      </c>
      <c r="J330" s="5">
        <v>226.35341088864899</v>
      </c>
      <c r="K330" s="5">
        <v>0.2</v>
      </c>
      <c r="L330" s="6">
        <f t="shared" si="20"/>
        <v>1.1317670544432449E-3</v>
      </c>
      <c r="P330" s="5">
        <f t="shared" si="21"/>
        <v>0.24437509673943841</v>
      </c>
      <c r="Q330" s="5">
        <f t="shared" si="22"/>
        <v>1.2218754836971919</v>
      </c>
      <c r="S330" s="5">
        <f t="shared" si="23"/>
        <v>0.25384759957716596</v>
      </c>
      <c r="T330" s="5">
        <f t="shared" si="24"/>
        <v>1.2692379978858297</v>
      </c>
      <c r="V330" s="5"/>
      <c r="W330" s="5"/>
    </row>
    <row r="331" spans="1:23" x14ac:dyDescent="0.25">
      <c r="B331" s="3">
        <v>28.7</v>
      </c>
      <c r="C331" s="4">
        <v>276</v>
      </c>
      <c r="D331" s="4">
        <v>2</v>
      </c>
      <c r="E331" s="3">
        <v>50.6</v>
      </c>
      <c r="F331" s="5">
        <v>2.5244480681033798</v>
      </c>
      <c r="G331" s="3">
        <v>38.200000000000003</v>
      </c>
      <c r="H331" s="3">
        <v>52.5</v>
      </c>
      <c r="I331" s="2">
        <v>0.108091118039397</v>
      </c>
      <c r="J331" s="5">
        <v>258.68860744130302</v>
      </c>
      <c r="K331" s="5">
        <v>0.24</v>
      </c>
      <c r="L331" s="6">
        <f t="shared" ref="L331:L351" si="25">J331/200000</f>
        <v>1.293443037206515E-3</v>
      </c>
      <c r="P331" s="5">
        <f t="shared" ref="P331:P351" si="26">$Q$2*($Q$3*$G331+$Q$4*$B331^$Q$5*$I331^$Q$6)*$L331^$Q$7</f>
        <v>0.27330827703594923</v>
      </c>
      <c r="Q331" s="5">
        <f t="shared" ref="Q331:Q351" si="27">P331/$K331</f>
        <v>1.1387844876497886</v>
      </c>
      <c r="S331" s="5">
        <f t="shared" ref="S331:S351" si="28">$T$2*$B331^$T$3*$L331^$T$4*($T$5*$I331^$T$6+$T$7)</f>
        <v>0.28450948061975251</v>
      </c>
      <c r="T331" s="5">
        <f t="shared" ref="T331:T351" si="29">S331/$K331</f>
        <v>1.1854561692489689</v>
      </c>
      <c r="V331" s="5"/>
      <c r="W331" s="5"/>
    </row>
    <row r="332" spans="1:23" x14ac:dyDescent="0.25">
      <c r="A332" s="1" t="s">
        <v>100</v>
      </c>
      <c r="B332" s="3">
        <v>32.299999999999997</v>
      </c>
      <c r="C332" s="4">
        <v>276</v>
      </c>
      <c r="D332" s="4">
        <v>1</v>
      </c>
      <c r="E332" s="3">
        <v>60</v>
      </c>
      <c r="F332" s="5">
        <v>2.5382184533279299</v>
      </c>
      <c r="G332" s="3">
        <v>38.299999999999997</v>
      </c>
      <c r="H332" s="3">
        <v>54.4</v>
      </c>
      <c r="I332" s="2">
        <v>6.2449543908879301E-2</v>
      </c>
      <c r="J332" s="5">
        <v>135.923676780504</v>
      </c>
      <c r="K332" s="5">
        <v>0.17</v>
      </c>
      <c r="L332" s="6">
        <f t="shared" si="25"/>
        <v>6.7961838390252001E-4</v>
      </c>
      <c r="P332" s="5">
        <f t="shared" si="26"/>
        <v>0.23740842724501005</v>
      </c>
      <c r="Q332" s="5">
        <f t="shared" si="27"/>
        <v>1.3965201602647648</v>
      </c>
      <c r="S332" s="5">
        <f t="shared" si="28"/>
        <v>0.23678398281448923</v>
      </c>
      <c r="T332" s="5">
        <f t="shared" si="29"/>
        <v>1.3928469577322895</v>
      </c>
      <c r="V332" s="5"/>
      <c r="W332" s="5"/>
    </row>
    <row r="333" spans="1:23" x14ac:dyDescent="0.25">
      <c r="B333" s="3">
        <v>32.299999999999997</v>
      </c>
      <c r="C333" s="4">
        <v>276</v>
      </c>
      <c r="D333" s="4">
        <v>1</v>
      </c>
      <c r="E333" s="3">
        <v>60</v>
      </c>
      <c r="F333" s="5">
        <v>2.5382184533279299</v>
      </c>
      <c r="G333" s="3">
        <v>38.299999999999997</v>
      </c>
      <c r="H333" s="3">
        <v>54.4</v>
      </c>
      <c r="I333" s="2">
        <v>6.2449543908879301E-2</v>
      </c>
      <c r="J333" s="5">
        <v>177.83647215960201</v>
      </c>
      <c r="K333" s="5">
        <v>0.23</v>
      </c>
      <c r="L333" s="6">
        <f t="shared" si="25"/>
        <v>8.8918236079801004E-4</v>
      </c>
      <c r="P333" s="5">
        <f t="shared" si="26"/>
        <v>0.29738036135027646</v>
      </c>
      <c r="Q333" s="5">
        <f t="shared" si="27"/>
        <v>1.2929580928272888</v>
      </c>
      <c r="S333" s="5">
        <f t="shared" si="28"/>
        <v>0.29787639327837101</v>
      </c>
      <c r="T333" s="5">
        <f t="shared" si="29"/>
        <v>1.2951147533842218</v>
      </c>
      <c r="V333" s="5"/>
      <c r="W333" s="5"/>
    </row>
    <row r="334" spans="1:23" x14ac:dyDescent="0.25">
      <c r="B334" s="3">
        <v>32.299999999999997</v>
      </c>
      <c r="C334" s="4">
        <v>276</v>
      </c>
      <c r="D334" s="4">
        <v>1</v>
      </c>
      <c r="E334" s="3">
        <v>60</v>
      </c>
      <c r="F334" s="5">
        <v>2.5382184533279299</v>
      </c>
      <c r="G334" s="3">
        <v>38.299999999999997</v>
      </c>
      <c r="H334" s="3">
        <v>54.4</v>
      </c>
      <c r="I334" s="2">
        <v>6.2449543908879301E-2</v>
      </c>
      <c r="J334" s="5">
        <v>217.00011505761</v>
      </c>
      <c r="K334" s="5">
        <v>0.27</v>
      </c>
      <c r="L334" s="6">
        <f t="shared" si="25"/>
        <v>1.0850005752880501E-3</v>
      </c>
      <c r="P334" s="5">
        <f t="shared" si="26"/>
        <v>0.35135672914294247</v>
      </c>
      <c r="Q334" s="5">
        <f t="shared" si="27"/>
        <v>1.3013212190479351</v>
      </c>
      <c r="S334" s="5">
        <f t="shared" si="28"/>
        <v>0.3530653546143197</v>
      </c>
      <c r="T334" s="5">
        <f t="shared" si="29"/>
        <v>1.3076494615345173</v>
      </c>
      <c r="V334" s="5"/>
      <c r="W334" s="5"/>
    </row>
    <row r="335" spans="1:23" x14ac:dyDescent="0.25">
      <c r="B335" s="3">
        <v>32.299999999999997</v>
      </c>
      <c r="C335" s="4">
        <v>276</v>
      </c>
      <c r="D335" s="4">
        <v>1</v>
      </c>
      <c r="E335" s="3">
        <v>60</v>
      </c>
      <c r="F335" s="5">
        <v>2.5382184533279299</v>
      </c>
      <c r="G335" s="3">
        <v>38.299999999999997</v>
      </c>
      <c r="H335" s="3">
        <v>54.4</v>
      </c>
      <c r="I335" s="2">
        <v>6.2449543908879301E-2</v>
      </c>
      <c r="J335" s="5">
        <v>244.97414569904299</v>
      </c>
      <c r="K335" s="5">
        <v>0.31</v>
      </c>
      <c r="L335" s="6">
        <f t="shared" si="25"/>
        <v>1.224870728495215E-3</v>
      </c>
      <c r="P335" s="5">
        <f t="shared" si="26"/>
        <v>0.38893551031461426</v>
      </c>
      <c r="Q335" s="5">
        <f t="shared" si="27"/>
        <v>1.2546306784342396</v>
      </c>
      <c r="S335" s="5">
        <f t="shared" si="28"/>
        <v>0.3915858491254432</v>
      </c>
      <c r="T335" s="5">
        <f t="shared" si="29"/>
        <v>1.2631801584691715</v>
      </c>
      <c r="V335" s="5"/>
      <c r="W335" s="5"/>
    </row>
    <row r="336" spans="1:23" x14ac:dyDescent="0.25">
      <c r="B336" s="3">
        <v>32.299999999999997</v>
      </c>
      <c r="C336" s="4">
        <v>276</v>
      </c>
      <c r="D336" s="4">
        <v>1</v>
      </c>
      <c r="E336" s="3">
        <v>60</v>
      </c>
      <c r="F336" s="5">
        <v>2.5382184533279299</v>
      </c>
      <c r="G336" s="3">
        <v>38.299999999999997</v>
      </c>
      <c r="H336" s="3">
        <v>54.4</v>
      </c>
      <c r="I336" s="2">
        <v>6.2449543908879301E-2</v>
      </c>
      <c r="J336" s="5">
        <v>251.416760519588</v>
      </c>
      <c r="K336" s="5">
        <v>0.35</v>
      </c>
      <c r="L336" s="6">
        <f t="shared" si="25"/>
        <v>1.2570838025979399E-3</v>
      </c>
      <c r="P336" s="5">
        <f t="shared" si="26"/>
        <v>0.3974890664099251</v>
      </c>
      <c r="Q336" s="5">
        <f t="shared" si="27"/>
        <v>1.1356830468855004</v>
      </c>
      <c r="S336" s="5">
        <f t="shared" si="28"/>
        <v>0.40036394812302956</v>
      </c>
      <c r="T336" s="5">
        <f t="shared" si="29"/>
        <v>1.1438969946372273</v>
      </c>
      <c r="V336" s="5"/>
      <c r="W336" s="5"/>
    </row>
    <row r="337" spans="1:23" x14ac:dyDescent="0.25">
      <c r="A337" s="1" t="s">
        <v>101</v>
      </c>
      <c r="B337" s="3">
        <v>32.299999999999997</v>
      </c>
      <c r="C337" s="4">
        <v>276</v>
      </c>
      <c r="D337" s="4">
        <v>1</v>
      </c>
      <c r="E337" s="3">
        <v>60</v>
      </c>
      <c r="F337" s="5">
        <v>2.8108695189494299</v>
      </c>
      <c r="G337" s="3">
        <v>38.299999999999997</v>
      </c>
      <c r="H337" s="3">
        <v>54.4</v>
      </c>
      <c r="I337" s="2">
        <v>6.1876058158271997E-2</v>
      </c>
      <c r="J337" s="5">
        <v>132.029040346747</v>
      </c>
      <c r="K337" s="5">
        <v>0.19</v>
      </c>
      <c r="L337" s="6">
        <f t="shared" si="25"/>
        <v>6.6014520173373497E-4</v>
      </c>
      <c r="P337" s="5">
        <f t="shared" si="26"/>
        <v>0.23274785059235545</v>
      </c>
      <c r="Q337" s="5">
        <f t="shared" si="27"/>
        <v>1.2249886873281866</v>
      </c>
      <c r="S337" s="5">
        <f t="shared" si="28"/>
        <v>0.23193946438869234</v>
      </c>
      <c r="T337" s="5">
        <f t="shared" si="29"/>
        <v>1.2207340230983807</v>
      </c>
      <c r="V337" s="5"/>
      <c r="W337" s="5"/>
    </row>
    <row r="338" spans="1:23" x14ac:dyDescent="0.25">
      <c r="B338" s="3">
        <v>32.299999999999997</v>
      </c>
      <c r="C338" s="4">
        <v>276</v>
      </c>
      <c r="D338" s="4">
        <v>1</v>
      </c>
      <c r="E338" s="3">
        <v>60</v>
      </c>
      <c r="F338" s="5">
        <v>2.8108695189494299</v>
      </c>
      <c r="G338" s="3">
        <v>38.299999999999997</v>
      </c>
      <c r="H338" s="3">
        <v>54.4</v>
      </c>
      <c r="I338" s="2">
        <v>6.1876058158271997E-2</v>
      </c>
      <c r="J338" s="5">
        <v>173.99589379245299</v>
      </c>
      <c r="K338" s="5">
        <v>0.24</v>
      </c>
      <c r="L338" s="6">
        <f t="shared" si="25"/>
        <v>8.6997946896226496E-4</v>
      </c>
      <c r="P338" s="5">
        <f t="shared" si="26"/>
        <v>0.29331640087965044</v>
      </c>
      <c r="Q338" s="5">
        <f t="shared" si="27"/>
        <v>1.2221516703318769</v>
      </c>
      <c r="S338" s="5">
        <f t="shared" si="28"/>
        <v>0.29359133302275009</v>
      </c>
      <c r="T338" s="5">
        <f t="shared" si="29"/>
        <v>1.2232972209281254</v>
      </c>
      <c r="V338" s="5"/>
      <c r="W338" s="5"/>
    </row>
    <row r="339" spans="1:23" x14ac:dyDescent="0.25">
      <c r="B339" s="3">
        <v>32.299999999999997</v>
      </c>
      <c r="C339" s="4">
        <v>276</v>
      </c>
      <c r="D339" s="4">
        <v>1</v>
      </c>
      <c r="E339" s="3">
        <v>60</v>
      </c>
      <c r="F339" s="5">
        <v>2.8108695189494299</v>
      </c>
      <c r="G339" s="3">
        <v>38.299999999999997</v>
      </c>
      <c r="H339" s="3">
        <v>54.4</v>
      </c>
      <c r="I339" s="2">
        <v>6.1876058158271997E-2</v>
      </c>
      <c r="J339" s="5">
        <v>213.46788518576599</v>
      </c>
      <c r="K339" s="5">
        <v>0.28999999999999998</v>
      </c>
      <c r="L339" s="6">
        <f t="shared" si="25"/>
        <v>1.06733942592883E-3</v>
      </c>
      <c r="P339" s="5">
        <f t="shared" si="26"/>
        <v>0.34813311882783421</v>
      </c>
      <c r="Q339" s="5">
        <f t="shared" si="27"/>
        <v>1.2004590304408076</v>
      </c>
      <c r="S339" s="5">
        <f t="shared" si="28"/>
        <v>0.34960120513959447</v>
      </c>
      <c r="T339" s="5">
        <f t="shared" si="29"/>
        <v>1.2055213970330845</v>
      </c>
      <c r="V339" s="5"/>
      <c r="W339" s="5"/>
    </row>
    <row r="340" spans="1:23" x14ac:dyDescent="0.25">
      <c r="B340" s="3">
        <v>32.299999999999997</v>
      </c>
      <c r="C340" s="4">
        <v>276</v>
      </c>
      <c r="D340" s="4">
        <v>1</v>
      </c>
      <c r="E340" s="3">
        <v>60</v>
      </c>
      <c r="F340" s="5">
        <v>2.8108695189494299</v>
      </c>
      <c r="G340" s="3">
        <v>38.299999999999997</v>
      </c>
      <c r="H340" s="3">
        <v>54.4</v>
      </c>
      <c r="I340" s="2">
        <v>6.1876058158271997E-2</v>
      </c>
      <c r="J340" s="5">
        <v>241.66216475241799</v>
      </c>
      <c r="K340" s="5">
        <v>0.36</v>
      </c>
      <c r="L340" s="6">
        <f t="shared" si="25"/>
        <v>1.20831082376209E-3</v>
      </c>
      <c r="P340" s="5">
        <f t="shared" si="26"/>
        <v>0.38627226330366615</v>
      </c>
      <c r="Q340" s="5">
        <f t="shared" si="27"/>
        <v>1.0729785091768504</v>
      </c>
      <c r="S340" s="5">
        <f t="shared" si="28"/>
        <v>0.38867188116662565</v>
      </c>
      <c r="T340" s="5">
        <f t="shared" si="29"/>
        <v>1.0796441143517379</v>
      </c>
      <c r="V340" s="5"/>
      <c r="W340" s="5"/>
    </row>
    <row r="341" spans="1:23" x14ac:dyDescent="0.25">
      <c r="B341" s="3">
        <v>32.299999999999997</v>
      </c>
      <c r="C341" s="4">
        <v>276</v>
      </c>
      <c r="D341" s="4">
        <v>1</v>
      </c>
      <c r="E341" s="3">
        <v>60</v>
      </c>
      <c r="F341" s="5">
        <v>2.8108695189494299</v>
      </c>
      <c r="G341" s="3">
        <v>38.299999999999997</v>
      </c>
      <c r="H341" s="3">
        <v>54.4</v>
      </c>
      <c r="I341" s="2">
        <v>6.1876058158271997E-2</v>
      </c>
      <c r="J341" s="5">
        <v>249.026599960336</v>
      </c>
      <c r="K341" s="5">
        <v>0.42</v>
      </c>
      <c r="L341" s="6">
        <f t="shared" si="25"/>
        <v>1.24513299980168E-3</v>
      </c>
      <c r="P341" s="5">
        <f t="shared" si="26"/>
        <v>0.39611254357998243</v>
      </c>
      <c r="Q341" s="5">
        <f t="shared" si="27"/>
        <v>0.94312510376186298</v>
      </c>
      <c r="S341" s="5">
        <f t="shared" si="28"/>
        <v>0.3987647738761117</v>
      </c>
      <c r="T341" s="5">
        <f t="shared" si="29"/>
        <v>0.94943993780026603</v>
      </c>
      <c r="V341" s="5"/>
      <c r="W341" s="5"/>
    </row>
    <row r="342" spans="1:23" x14ac:dyDescent="0.25">
      <c r="A342" s="1" t="s">
        <v>102</v>
      </c>
      <c r="B342" s="3">
        <v>28.7</v>
      </c>
      <c r="C342" s="4">
        <v>276</v>
      </c>
      <c r="D342" s="4">
        <v>2</v>
      </c>
      <c r="E342" s="3">
        <v>50.6</v>
      </c>
      <c r="F342" s="5">
        <v>2.5765786179080399</v>
      </c>
      <c r="G342" s="3">
        <v>38</v>
      </c>
      <c r="H342" s="3">
        <v>52.3</v>
      </c>
      <c r="I342" s="2">
        <v>6.5570477718494405E-2</v>
      </c>
      <c r="J342" s="5">
        <v>149.081395774833</v>
      </c>
      <c r="K342" s="5">
        <v>0.18</v>
      </c>
      <c r="L342" s="6">
        <f t="shared" si="25"/>
        <v>7.4540697887416499E-4</v>
      </c>
      <c r="P342" s="5">
        <f t="shared" si="26"/>
        <v>0.22006447030423104</v>
      </c>
      <c r="Q342" s="5">
        <f t="shared" si="27"/>
        <v>1.2225803905790613</v>
      </c>
      <c r="S342" s="5">
        <f t="shared" si="28"/>
        <v>0.21889304509919197</v>
      </c>
      <c r="T342" s="5">
        <f t="shared" si="29"/>
        <v>1.2160724727732888</v>
      </c>
      <c r="V342" s="5"/>
      <c r="W342" s="5"/>
    </row>
    <row r="343" spans="1:23" x14ac:dyDescent="0.25">
      <c r="B343" s="3">
        <v>28.7</v>
      </c>
      <c r="C343" s="4">
        <v>276</v>
      </c>
      <c r="D343" s="4">
        <v>2</v>
      </c>
      <c r="E343" s="3">
        <v>50.6</v>
      </c>
      <c r="F343" s="5">
        <v>2.5765786179080399</v>
      </c>
      <c r="G343" s="3">
        <v>38</v>
      </c>
      <c r="H343" s="3">
        <v>52.3</v>
      </c>
      <c r="I343" s="2">
        <v>6.5570477718494405E-2</v>
      </c>
      <c r="J343" s="5">
        <v>189.319610776324</v>
      </c>
      <c r="K343" s="5">
        <v>0.22</v>
      </c>
      <c r="L343" s="6">
        <f t="shared" si="25"/>
        <v>9.4659805388161997E-4</v>
      </c>
      <c r="P343" s="5">
        <f t="shared" si="26"/>
        <v>0.26885059056726773</v>
      </c>
      <c r="Q343" s="5">
        <f t="shared" si="27"/>
        <v>1.222048138942126</v>
      </c>
      <c r="S343" s="5">
        <f t="shared" si="28"/>
        <v>0.26844380213471752</v>
      </c>
      <c r="T343" s="5">
        <f t="shared" si="29"/>
        <v>1.2201991006123525</v>
      </c>
      <c r="V343" s="5"/>
      <c r="W343" s="5"/>
    </row>
    <row r="344" spans="1:23" x14ac:dyDescent="0.25">
      <c r="B344" s="3">
        <v>28.7</v>
      </c>
      <c r="C344" s="4">
        <v>276</v>
      </c>
      <c r="D344" s="4">
        <v>2</v>
      </c>
      <c r="E344" s="3">
        <v>50.6</v>
      </c>
      <c r="F344" s="5">
        <v>2.5765786179080399</v>
      </c>
      <c r="G344" s="3">
        <v>38</v>
      </c>
      <c r="H344" s="3">
        <v>52.3</v>
      </c>
      <c r="I344" s="2">
        <v>6.5570477718494405E-2</v>
      </c>
      <c r="J344" s="5">
        <v>220.98838067588599</v>
      </c>
      <c r="K344" s="5">
        <v>0.27</v>
      </c>
      <c r="L344" s="6">
        <f t="shared" si="25"/>
        <v>1.10494190337943E-3</v>
      </c>
      <c r="P344" s="5">
        <f t="shared" si="26"/>
        <v>0.30605724874071172</v>
      </c>
      <c r="Q344" s="5">
        <f t="shared" si="27"/>
        <v>1.1335453657063397</v>
      </c>
      <c r="S344" s="5">
        <f t="shared" si="28"/>
        <v>0.30635137777486265</v>
      </c>
      <c r="T344" s="5">
        <f t="shared" si="29"/>
        <v>1.1346347324994912</v>
      </c>
      <c r="V344" s="5"/>
      <c r="W344" s="5"/>
    </row>
    <row r="345" spans="1:23" x14ac:dyDescent="0.25">
      <c r="B345" s="3">
        <v>28.7</v>
      </c>
      <c r="C345" s="4">
        <v>276</v>
      </c>
      <c r="D345" s="4">
        <v>2</v>
      </c>
      <c r="E345" s="3">
        <v>50.6</v>
      </c>
      <c r="F345" s="5">
        <v>2.5765786179080399</v>
      </c>
      <c r="G345" s="3">
        <v>38</v>
      </c>
      <c r="H345" s="3">
        <v>52.3</v>
      </c>
      <c r="I345" s="2">
        <v>6.5570477718494405E-2</v>
      </c>
      <c r="J345" s="5">
        <v>251.92757860899701</v>
      </c>
      <c r="K345" s="5">
        <v>0.32</v>
      </c>
      <c r="L345" s="6">
        <f t="shared" si="25"/>
        <v>1.2596378930449851E-3</v>
      </c>
      <c r="P345" s="5">
        <f t="shared" si="26"/>
        <v>0.3415781850503003</v>
      </c>
      <c r="Q345" s="5">
        <f t="shared" si="27"/>
        <v>1.0674318282821884</v>
      </c>
      <c r="S345" s="5">
        <f t="shared" si="28"/>
        <v>0.34262401099311302</v>
      </c>
      <c r="T345" s="5">
        <f t="shared" si="29"/>
        <v>1.070700034353478</v>
      </c>
      <c r="V345" s="5"/>
      <c r="W345" s="5"/>
    </row>
    <row r="346" spans="1:23" x14ac:dyDescent="0.25">
      <c r="A346" s="1" t="s">
        <v>103</v>
      </c>
      <c r="B346" s="3">
        <v>28.7</v>
      </c>
      <c r="C346" s="4">
        <v>276</v>
      </c>
      <c r="D346" s="4">
        <v>2</v>
      </c>
      <c r="E346" s="3">
        <v>50.6</v>
      </c>
      <c r="F346" s="5">
        <v>2.5765786179080399</v>
      </c>
      <c r="G346" s="3">
        <v>38</v>
      </c>
      <c r="H346" s="3">
        <v>52.3</v>
      </c>
      <c r="I346" s="2">
        <v>6.5570477718494405E-2</v>
      </c>
      <c r="J346" s="5">
        <v>189.319610776324</v>
      </c>
      <c r="K346" s="5">
        <v>0.16</v>
      </c>
      <c r="L346" s="6">
        <f t="shared" si="25"/>
        <v>9.4659805388161997E-4</v>
      </c>
      <c r="P346" s="5">
        <f t="shared" si="26"/>
        <v>0.26885059056726773</v>
      </c>
      <c r="Q346" s="5">
        <f t="shared" si="27"/>
        <v>1.6803161910454234</v>
      </c>
      <c r="S346" s="5">
        <f t="shared" si="28"/>
        <v>0.26844380213471752</v>
      </c>
      <c r="T346" s="5">
        <f t="shared" si="29"/>
        <v>1.6777737633419845</v>
      </c>
      <c r="V346" s="5"/>
      <c r="W346" s="5"/>
    </row>
    <row r="347" spans="1:23" x14ac:dyDescent="0.25">
      <c r="B347" s="3">
        <v>28.7</v>
      </c>
      <c r="C347" s="4">
        <v>276</v>
      </c>
      <c r="D347" s="4">
        <v>2</v>
      </c>
      <c r="E347" s="3">
        <v>50.6</v>
      </c>
      <c r="F347" s="5">
        <v>2.5765786179080399</v>
      </c>
      <c r="G347" s="3">
        <v>38</v>
      </c>
      <c r="H347" s="3">
        <v>52.3</v>
      </c>
      <c r="I347" s="2">
        <v>6.5570477718494405E-2</v>
      </c>
      <c r="J347" s="5">
        <v>220.98838067588599</v>
      </c>
      <c r="K347" s="5">
        <v>0.19</v>
      </c>
      <c r="L347" s="6">
        <f t="shared" si="25"/>
        <v>1.10494190337943E-3</v>
      </c>
      <c r="P347" s="5">
        <f t="shared" si="26"/>
        <v>0.30605724874071172</v>
      </c>
      <c r="Q347" s="5">
        <f t="shared" si="27"/>
        <v>1.6108276249511142</v>
      </c>
      <c r="S347" s="5">
        <f t="shared" si="28"/>
        <v>0.30635137777486265</v>
      </c>
      <c r="T347" s="5">
        <f t="shared" si="29"/>
        <v>1.612375672499277</v>
      </c>
      <c r="V347" s="5"/>
      <c r="W347" s="5"/>
    </row>
    <row r="348" spans="1:23" x14ac:dyDescent="0.25">
      <c r="B348" s="3">
        <v>28.7</v>
      </c>
      <c r="C348" s="4">
        <v>276</v>
      </c>
      <c r="D348" s="4">
        <v>2</v>
      </c>
      <c r="E348" s="3">
        <v>50.6</v>
      </c>
      <c r="F348" s="5">
        <v>2.5765786179080399</v>
      </c>
      <c r="G348" s="3">
        <v>38</v>
      </c>
      <c r="H348" s="3">
        <v>52.3</v>
      </c>
      <c r="I348" s="2">
        <v>6.5570477718494405E-2</v>
      </c>
      <c r="J348" s="5">
        <v>251.92757860899701</v>
      </c>
      <c r="K348" s="5">
        <v>0.22</v>
      </c>
      <c r="L348" s="6">
        <f t="shared" si="25"/>
        <v>1.2596378930449851E-3</v>
      </c>
      <c r="P348" s="5">
        <f t="shared" si="26"/>
        <v>0.3415781850503003</v>
      </c>
      <c r="Q348" s="5">
        <f t="shared" si="27"/>
        <v>1.5526281138650013</v>
      </c>
      <c r="S348" s="5">
        <f t="shared" si="28"/>
        <v>0.34262401099311302</v>
      </c>
      <c r="T348" s="5">
        <f t="shared" si="29"/>
        <v>1.5573818681505136</v>
      </c>
      <c r="V348" s="5"/>
      <c r="W348" s="5"/>
    </row>
    <row r="349" spans="1:23" x14ac:dyDescent="0.25">
      <c r="A349" s="1" t="s">
        <v>104</v>
      </c>
      <c r="B349" s="3">
        <v>35.799999999999997</v>
      </c>
      <c r="C349" s="4">
        <v>276</v>
      </c>
      <c r="D349" s="4">
        <v>2</v>
      </c>
      <c r="E349" s="3">
        <v>36.4</v>
      </c>
      <c r="F349" s="5">
        <v>2.5478355335404399</v>
      </c>
      <c r="G349" s="3">
        <v>38</v>
      </c>
      <c r="H349" s="3">
        <v>55.9</v>
      </c>
      <c r="I349" s="2">
        <v>0.11244349085135601</v>
      </c>
      <c r="J349" s="5">
        <v>159.97829778788801</v>
      </c>
      <c r="K349" s="5">
        <v>0.17</v>
      </c>
      <c r="L349" s="6">
        <f t="shared" si="25"/>
        <v>7.998914889394401E-4</v>
      </c>
      <c r="P349" s="5">
        <f t="shared" si="26"/>
        <v>0.22811629619537532</v>
      </c>
      <c r="Q349" s="5">
        <f t="shared" si="27"/>
        <v>1.3418605658551488</v>
      </c>
      <c r="S349" s="5">
        <f t="shared" si="28"/>
        <v>0.23957203003929856</v>
      </c>
      <c r="T349" s="5">
        <f t="shared" si="29"/>
        <v>1.4092472355252854</v>
      </c>
      <c r="V349" s="5"/>
      <c r="W349" s="5"/>
    </row>
    <row r="350" spans="1:23" x14ac:dyDescent="0.25">
      <c r="A350" s="1" t="s">
        <v>105</v>
      </c>
      <c r="B350" s="3">
        <v>35.799999999999997</v>
      </c>
      <c r="C350" s="4">
        <v>276</v>
      </c>
      <c r="D350" s="4">
        <v>2</v>
      </c>
      <c r="E350" s="3">
        <v>36.4</v>
      </c>
      <c r="F350" s="5">
        <v>2.7563734268389202</v>
      </c>
      <c r="G350" s="3">
        <v>38</v>
      </c>
      <c r="H350" s="3">
        <v>55.9</v>
      </c>
      <c r="I350" s="2">
        <v>0.111410061904879</v>
      </c>
      <c r="J350" s="5">
        <v>118.01372804983301</v>
      </c>
      <c r="K350" s="5">
        <v>0.19</v>
      </c>
      <c r="L350" s="6">
        <f t="shared" si="25"/>
        <v>5.9006864024916501E-4</v>
      </c>
      <c r="P350" s="5">
        <f t="shared" si="26"/>
        <v>0.17758307512698637</v>
      </c>
      <c r="Q350" s="5">
        <f t="shared" si="27"/>
        <v>0.93464776382624404</v>
      </c>
      <c r="S350" s="5">
        <f t="shared" si="28"/>
        <v>0.18541341070682618</v>
      </c>
      <c r="T350" s="5">
        <f t="shared" si="29"/>
        <v>0.97586005635171669</v>
      </c>
      <c r="V350" s="5"/>
      <c r="W350" s="5"/>
    </row>
    <row r="351" spans="1:23" x14ac:dyDescent="0.25">
      <c r="B351" s="3">
        <v>35.799999999999997</v>
      </c>
      <c r="C351" s="4">
        <v>276</v>
      </c>
      <c r="D351" s="4">
        <v>2</v>
      </c>
      <c r="E351" s="3">
        <v>36.4</v>
      </c>
      <c r="F351" s="5">
        <v>2.7563734268389202</v>
      </c>
      <c r="G351" s="3">
        <v>38</v>
      </c>
      <c r="H351" s="3">
        <v>55.9</v>
      </c>
      <c r="I351" s="2">
        <v>0.111410061904879</v>
      </c>
      <c r="J351" s="5">
        <v>157.86384135739399</v>
      </c>
      <c r="K351" s="5">
        <v>0.25</v>
      </c>
      <c r="L351" s="6">
        <f t="shared" si="25"/>
        <v>7.8931920678696995E-4</v>
      </c>
      <c r="P351" s="5">
        <f t="shared" si="26"/>
        <v>0.22661204323319004</v>
      </c>
      <c r="Q351" s="5">
        <f t="shared" si="27"/>
        <v>0.90644817293276014</v>
      </c>
      <c r="S351" s="5">
        <f t="shared" si="28"/>
        <v>0.23770819782683555</v>
      </c>
      <c r="T351" s="5">
        <f t="shared" si="29"/>
        <v>0.95083279130734222</v>
      </c>
      <c r="V351" s="5"/>
      <c r="W351" s="5"/>
    </row>
    <row r="352" spans="1:23" x14ac:dyDescent="0.25">
      <c r="S352" s="1"/>
      <c r="T352" s="1"/>
      <c r="V352" s="1"/>
      <c r="W352" s="1"/>
    </row>
    <row r="353" spans="16:23" x14ac:dyDescent="0.25">
      <c r="P353" s="1" t="s">
        <v>106</v>
      </c>
      <c r="Q353" s="5">
        <f>AVERAGE(Q11:Q351)</f>
        <v>1.0431715182865391</v>
      </c>
      <c r="S353" s="1" t="s">
        <v>106</v>
      </c>
      <c r="T353" s="5">
        <f>AVERAGE(T11:T351)</f>
        <v>1.0395579697172666</v>
      </c>
      <c r="V353" s="1"/>
      <c r="W353" s="5"/>
    </row>
    <row r="354" spans="16:23" x14ac:dyDescent="0.25">
      <c r="P354" s="1" t="s">
        <v>107</v>
      </c>
      <c r="Q354" s="5">
        <f>_xlfn.STDEV.S(Q11:Q351)</f>
        <v>0.29509471667257287</v>
      </c>
      <c r="S354" s="1" t="s">
        <v>107</v>
      </c>
      <c r="T354" s="5">
        <f>_xlfn.STDEV.S(T11:T351)</f>
        <v>0.29456637407721781</v>
      </c>
      <c r="V354" s="1"/>
      <c r="W354" s="5"/>
    </row>
    <row r="355" spans="16:23" x14ac:dyDescent="0.25">
      <c r="P355" s="1" t="s">
        <v>108</v>
      </c>
      <c r="Q355" s="9">
        <f>Q354/Q353</f>
        <v>0.28288226001154687</v>
      </c>
      <c r="S355" s="1" t="s">
        <v>108</v>
      </c>
      <c r="T355" s="9">
        <f>T354/T353</f>
        <v>0.28335733326861262</v>
      </c>
      <c r="V355" s="1"/>
      <c r="W355" s="9"/>
    </row>
  </sheetData>
  <mergeCells count="1">
    <mergeCell ref="B9:J9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3"/>
  <sheetViews>
    <sheetView topLeftCell="E18" zoomScale="120" zoomScaleNormal="120" workbookViewId="0">
      <selection activeCell="F34" sqref="F34"/>
    </sheetView>
  </sheetViews>
  <sheetFormatPr defaultColWidth="8.5703125" defaultRowHeight="15" x14ac:dyDescent="0.25"/>
  <cols>
    <col min="1" max="1" width="33.140625" customWidth="1"/>
    <col min="2" max="2" width="24.85546875" style="1" customWidth="1"/>
    <col min="3" max="3" width="24.85546875" style="4" customWidth="1"/>
    <col min="4" max="4" width="29.5703125" style="1" customWidth="1"/>
    <col min="5" max="5" width="29.42578125" style="3" customWidth="1"/>
    <col min="6" max="6" width="36.85546875" style="5" customWidth="1"/>
    <col min="7" max="7" width="16.42578125" style="1" customWidth="1"/>
    <col min="8" max="8" width="44.5703125" style="1" customWidth="1"/>
    <col min="9" max="9" width="16.42578125" style="2" customWidth="1"/>
    <col min="10" max="10" width="22.5703125" style="5" customWidth="1"/>
    <col min="11" max="11" width="9.5703125" style="5" customWidth="1"/>
  </cols>
  <sheetData>
    <row r="1" spans="1:11" x14ac:dyDescent="0.25">
      <c r="A1" t="s">
        <v>8</v>
      </c>
      <c r="B1" s="47" t="s">
        <v>9</v>
      </c>
      <c r="C1" s="47"/>
      <c r="D1" s="47"/>
      <c r="E1" s="47"/>
      <c r="F1" s="47"/>
      <c r="G1" s="47"/>
      <c r="H1" s="47"/>
      <c r="I1" s="47"/>
      <c r="J1" s="47"/>
      <c r="K1" s="5" t="s">
        <v>10</v>
      </c>
    </row>
    <row r="2" spans="1:11" ht="18" x14ac:dyDescent="0.25">
      <c r="B2" s="1" t="s">
        <v>109</v>
      </c>
      <c r="C2" s="4" t="s">
        <v>12</v>
      </c>
      <c r="D2" s="1" t="s">
        <v>13</v>
      </c>
      <c r="E2" s="3" t="s">
        <v>14</v>
      </c>
      <c r="F2" s="5" t="s">
        <v>110</v>
      </c>
      <c r="G2" s="1" t="s">
        <v>111</v>
      </c>
      <c r="H2" s="1" t="s">
        <v>112</v>
      </c>
      <c r="I2" s="2" t="s">
        <v>113</v>
      </c>
      <c r="J2" s="5" t="s">
        <v>114</v>
      </c>
      <c r="K2" s="5" t="s">
        <v>115</v>
      </c>
    </row>
    <row r="3" spans="1:11" x14ac:dyDescent="0.25">
      <c r="A3" t="s">
        <v>22</v>
      </c>
      <c r="B3" s="1">
        <v>20</v>
      </c>
      <c r="C3" s="4">
        <v>500</v>
      </c>
      <c r="D3" s="1">
        <v>2</v>
      </c>
      <c r="E3" s="3">
        <v>126</v>
      </c>
      <c r="F3" s="5">
        <v>4.1203405239014401</v>
      </c>
      <c r="G3" s="1">
        <v>25</v>
      </c>
      <c r="H3" s="1">
        <v>39</v>
      </c>
      <c r="I3" s="2">
        <v>6.0723545689225202E-2</v>
      </c>
      <c r="J3" s="5">
        <v>231.81100493873399</v>
      </c>
      <c r="K3" s="5">
        <v>0.16</v>
      </c>
    </row>
    <row r="4" spans="1:11" x14ac:dyDescent="0.25">
      <c r="B4" s="1">
        <v>20</v>
      </c>
      <c r="C4" s="4">
        <v>500</v>
      </c>
      <c r="D4" s="1">
        <v>2</v>
      </c>
      <c r="E4" s="3">
        <v>126</v>
      </c>
      <c r="F4" s="5">
        <v>4.1203405239014401</v>
      </c>
      <c r="G4" s="1">
        <v>25</v>
      </c>
      <c r="H4" s="1">
        <v>39</v>
      </c>
      <c r="I4" s="2">
        <v>6.0723545689225202E-2</v>
      </c>
      <c r="J4" s="5">
        <v>304.25194398208799</v>
      </c>
      <c r="K4" s="5">
        <v>0.23</v>
      </c>
    </row>
    <row r="5" spans="1:11" x14ac:dyDescent="0.25">
      <c r="B5" s="1">
        <v>20</v>
      </c>
      <c r="C5" s="4">
        <v>500</v>
      </c>
      <c r="D5" s="1">
        <v>2</v>
      </c>
      <c r="E5" s="3">
        <v>126</v>
      </c>
      <c r="F5" s="5">
        <v>4.1203405239014401</v>
      </c>
      <c r="G5" s="1">
        <v>25</v>
      </c>
      <c r="H5" s="1">
        <v>39</v>
      </c>
      <c r="I5" s="2">
        <v>6.0723545689225202E-2</v>
      </c>
      <c r="J5" s="5">
        <v>314.28222784962901</v>
      </c>
      <c r="K5" s="5">
        <v>0.24</v>
      </c>
    </row>
    <row r="6" spans="1:11" x14ac:dyDescent="0.25">
      <c r="B6" s="1">
        <v>20</v>
      </c>
      <c r="C6" s="4">
        <v>500</v>
      </c>
      <c r="D6" s="1">
        <v>2</v>
      </c>
      <c r="E6" s="3">
        <v>126</v>
      </c>
      <c r="F6" s="5">
        <v>4.1203405239014401</v>
      </c>
      <c r="G6" s="1">
        <v>25</v>
      </c>
      <c r="H6" s="1">
        <v>39</v>
      </c>
      <c r="I6" s="2">
        <v>6.0723545689225202E-2</v>
      </c>
      <c r="J6" s="5">
        <v>363.31917120205401</v>
      </c>
      <c r="K6" s="5">
        <v>0.27</v>
      </c>
    </row>
    <row r="7" spans="1:11" x14ac:dyDescent="0.25">
      <c r="B7" s="1">
        <v>20</v>
      </c>
      <c r="C7" s="4">
        <v>500</v>
      </c>
      <c r="D7" s="1">
        <v>2</v>
      </c>
      <c r="E7" s="3">
        <v>126</v>
      </c>
      <c r="F7" s="5">
        <v>4.1203405239014401</v>
      </c>
      <c r="G7" s="1">
        <v>25</v>
      </c>
      <c r="H7" s="1">
        <v>39</v>
      </c>
      <c r="I7" s="2">
        <v>6.0723545689225202E-2</v>
      </c>
      <c r="J7" s="5">
        <v>459.16410593633799</v>
      </c>
      <c r="K7" s="5">
        <v>0.35</v>
      </c>
    </row>
    <row r="8" spans="1:11" x14ac:dyDescent="0.25">
      <c r="B8" s="1">
        <v>20</v>
      </c>
      <c r="C8" s="4">
        <v>500</v>
      </c>
      <c r="D8" s="1">
        <v>2</v>
      </c>
      <c r="E8" s="3">
        <v>126</v>
      </c>
      <c r="F8" s="5">
        <v>4.1203405239014401</v>
      </c>
      <c r="G8" s="1">
        <v>25</v>
      </c>
      <c r="H8" s="1">
        <v>39</v>
      </c>
      <c r="I8" s="2">
        <v>6.0723545689225202E-2</v>
      </c>
      <c r="J8" s="5">
        <v>500</v>
      </c>
      <c r="K8" s="5">
        <v>0.4</v>
      </c>
    </row>
    <row r="9" spans="1:11" x14ac:dyDescent="0.25">
      <c r="A9" t="s">
        <v>23</v>
      </c>
      <c r="B9" s="1">
        <v>10</v>
      </c>
      <c r="C9" s="4">
        <v>500</v>
      </c>
      <c r="D9" s="1">
        <v>8</v>
      </c>
      <c r="E9" s="3">
        <v>87.7</v>
      </c>
      <c r="F9" s="5">
        <v>4.1311267633290099</v>
      </c>
      <c r="G9" s="1">
        <v>25</v>
      </c>
      <c r="H9" s="1">
        <v>53</v>
      </c>
      <c r="I9" s="2">
        <v>1.5388385199705999E-2</v>
      </c>
      <c r="J9" s="5">
        <v>322.91971563781198</v>
      </c>
      <c r="K9" s="5">
        <v>0.16</v>
      </c>
    </row>
    <row r="10" spans="1:11" x14ac:dyDescent="0.25">
      <c r="B10" s="1">
        <v>10</v>
      </c>
      <c r="C10" s="4">
        <v>500</v>
      </c>
      <c r="D10" s="1">
        <v>8</v>
      </c>
      <c r="E10" s="3">
        <v>87.7</v>
      </c>
      <c r="F10" s="5">
        <v>4.1311267633290099</v>
      </c>
      <c r="G10" s="1">
        <v>25</v>
      </c>
      <c r="H10" s="1">
        <v>53</v>
      </c>
      <c r="I10" s="2">
        <v>1.5388385199705999E-2</v>
      </c>
      <c r="J10" s="5">
        <v>367.82093324078397</v>
      </c>
      <c r="K10" s="5">
        <v>0.18</v>
      </c>
    </row>
    <row r="11" spans="1:11" x14ac:dyDescent="0.25">
      <c r="B11" s="1">
        <v>10</v>
      </c>
      <c r="C11" s="4">
        <v>500</v>
      </c>
      <c r="D11" s="1">
        <v>8</v>
      </c>
      <c r="E11" s="3">
        <v>87.7</v>
      </c>
      <c r="F11" s="5">
        <v>4.1311267633290099</v>
      </c>
      <c r="G11" s="1">
        <v>25</v>
      </c>
      <c r="H11" s="1">
        <v>53</v>
      </c>
      <c r="I11" s="2">
        <v>1.5388385199705999E-2</v>
      </c>
      <c r="J11" s="5">
        <v>500</v>
      </c>
      <c r="K11" s="5">
        <v>0.26</v>
      </c>
    </row>
    <row r="12" spans="1:11" x14ac:dyDescent="0.25">
      <c r="A12" t="s">
        <v>24</v>
      </c>
      <c r="B12" s="1">
        <v>10</v>
      </c>
      <c r="C12" s="4">
        <v>628</v>
      </c>
      <c r="D12" s="1">
        <v>4</v>
      </c>
      <c r="E12" s="3">
        <v>32.466666666666697</v>
      </c>
      <c r="F12" s="5">
        <v>3.262</v>
      </c>
      <c r="G12" s="1">
        <v>25</v>
      </c>
      <c r="H12" s="1">
        <v>36</v>
      </c>
      <c r="I12" s="2">
        <v>1.7444444444444401E-2</v>
      </c>
      <c r="J12" s="5">
        <v>285.04803218471699</v>
      </c>
      <c r="K12" s="5">
        <v>0.16</v>
      </c>
    </row>
    <row r="13" spans="1:11" x14ac:dyDescent="0.25">
      <c r="B13" s="1">
        <v>10</v>
      </c>
      <c r="C13" s="4">
        <v>628</v>
      </c>
      <c r="D13" s="1">
        <v>4</v>
      </c>
      <c r="E13" s="3">
        <v>32.466666666666697</v>
      </c>
      <c r="F13" s="5">
        <v>3.262</v>
      </c>
      <c r="G13" s="1">
        <v>25</v>
      </c>
      <c r="H13" s="1">
        <v>36</v>
      </c>
      <c r="I13" s="2">
        <v>1.7444444444444401E-2</v>
      </c>
      <c r="J13" s="5">
        <v>324.99964614446401</v>
      </c>
      <c r="K13" s="5">
        <v>0.2</v>
      </c>
    </row>
    <row r="14" spans="1:11" x14ac:dyDescent="0.25">
      <c r="B14" s="1">
        <v>10</v>
      </c>
      <c r="C14" s="4">
        <v>628</v>
      </c>
      <c r="D14" s="1">
        <v>4</v>
      </c>
      <c r="E14" s="3">
        <v>32.466666666666697</v>
      </c>
      <c r="F14" s="5">
        <v>3.262</v>
      </c>
      <c r="G14" s="1">
        <v>25</v>
      </c>
      <c r="H14" s="1">
        <v>36</v>
      </c>
      <c r="I14" s="2">
        <v>1.7444444444444401E-2</v>
      </c>
      <c r="J14" s="5">
        <v>367.64462733745302</v>
      </c>
      <c r="K14" s="5">
        <v>0.2</v>
      </c>
    </row>
    <row r="15" spans="1:11" x14ac:dyDescent="0.25">
      <c r="B15" s="1">
        <v>10</v>
      </c>
      <c r="C15" s="4">
        <v>628</v>
      </c>
      <c r="D15" s="1">
        <v>4</v>
      </c>
      <c r="E15" s="3">
        <v>32.466666666666697</v>
      </c>
      <c r="F15" s="5">
        <v>3.262</v>
      </c>
      <c r="G15" s="1">
        <v>25</v>
      </c>
      <c r="H15" s="1">
        <v>36</v>
      </c>
      <c r="I15" s="2">
        <v>1.7444444444444401E-2</v>
      </c>
      <c r="J15" s="5">
        <v>410.73850306931598</v>
      </c>
      <c r="K15" s="5">
        <v>0.24</v>
      </c>
    </row>
    <row r="16" spans="1:11" x14ac:dyDescent="0.25">
      <c r="B16" s="1">
        <v>10</v>
      </c>
      <c r="C16" s="4">
        <v>628</v>
      </c>
      <c r="D16" s="1">
        <v>4</v>
      </c>
      <c r="E16" s="3">
        <v>32.466666666666697</v>
      </c>
      <c r="F16" s="5">
        <v>3.262</v>
      </c>
      <c r="G16" s="1">
        <v>25</v>
      </c>
      <c r="H16" s="1">
        <v>36</v>
      </c>
      <c r="I16" s="2">
        <v>1.7444444444444401E-2</v>
      </c>
      <c r="J16" s="5">
        <v>438.56996447947699</v>
      </c>
      <c r="K16" s="5">
        <v>0.3</v>
      </c>
    </row>
    <row r="17" spans="1:11" x14ac:dyDescent="0.25">
      <c r="B17" s="1">
        <v>10</v>
      </c>
      <c r="C17" s="4">
        <v>628</v>
      </c>
      <c r="D17" s="1">
        <v>4</v>
      </c>
      <c r="E17" s="3">
        <v>32.466666666666697</v>
      </c>
      <c r="F17" s="5">
        <v>3.262</v>
      </c>
      <c r="G17" s="1">
        <v>25</v>
      </c>
      <c r="H17" s="1">
        <v>36</v>
      </c>
      <c r="I17" s="2">
        <v>1.7444444444444401E-2</v>
      </c>
      <c r="J17" s="5">
        <v>498.27293814966202</v>
      </c>
      <c r="K17" s="5">
        <v>0.32</v>
      </c>
    </row>
    <row r="18" spans="1:11" x14ac:dyDescent="0.25">
      <c r="B18" s="1">
        <v>10</v>
      </c>
      <c r="C18" s="4">
        <v>628</v>
      </c>
      <c r="D18" s="1">
        <v>4</v>
      </c>
      <c r="E18" s="3">
        <v>32.466666666666697</v>
      </c>
      <c r="F18" s="5">
        <v>3.262</v>
      </c>
      <c r="G18" s="1">
        <v>25</v>
      </c>
      <c r="H18" s="1">
        <v>36</v>
      </c>
      <c r="I18" s="2">
        <v>1.7444444444444401E-2</v>
      </c>
      <c r="J18" s="5">
        <v>502.76188353839802</v>
      </c>
      <c r="K18" s="5">
        <v>0.38</v>
      </c>
    </row>
    <row r="19" spans="1:11" x14ac:dyDescent="0.25">
      <c r="B19" s="1">
        <v>10</v>
      </c>
      <c r="C19" s="4">
        <v>628</v>
      </c>
      <c r="D19" s="1">
        <v>4</v>
      </c>
      <c r="E19" s="3">
        <v>32.466666666666697</v>
      </c>
      <c r="F19" s="5">
        <v>3.262</v>
      </c>
      <c r="G19" s="1">
        <v>25</v>
      </c>
      <c r="H19" s="1">
        <v>36</v>
      </c>
      <c r="I19" s="2">
        <v>1.7444444444444401E-2</v>
      </c>
      <c r="J19" s="5">
        <v>538.67344664828295</v>
      </c>
      <c r="K19" s="5">
        <v>0.42</v>
      </c>
    </row>
    <row r="20" spans="1:11" x14ac:dyDescent="0.25">
      <c r="B20" s="1">
        <v>10</v>
      </c>
      <c r="C20" s="4">
        <v>628</v>
      </c>
      <c r="D20" s="1">
        <v>4</v>
      </c>
      <c r="E20" s="3">
        <v>32.466666666666697</v>
      </c>
      <c r="F20" s="5">
        <v>3.262</v>
      </c>
      <c r="G20" s="1">
        <v>25</v>
      </c>
      <c r="H20" s="1">
        <v>36</v>
      </c>
      <c r="I20" s="2">
        <v>1.7444444444444401E-2</v>
      </c>
      <c r="J20" s="5">
        <v>628</v>
      </c>
      <c r="K20" s="5">
        <v>0.44</v>
      </c>
    </row>
    <row r="21" spans="1:11" x14ac:dyDescent="0.25">
      <c r="B21" s="1">
        <v>10</v>
      </c>
      <c r="C21" s="4">
        <v>628</v>
      </c>
      <c r="D21" s="1">
        <v>4</v>
      </c>
      <c r="E21" s="3">
        <v>32.466666666666697</v>
      </c>
      <c r="F21" s="5">
        <v>3.262</v>
      </c>
      <c r="G21" s="1">
        <v>25</v>
      </c>
      <c r="H21" s="1">
        <v>36</v>
      </c>
      <c r="I21" s="2">
        <v>1.7444444444444401E-2</v>
      </c>
      <c r="J21" s="5">
        <v>628</v>
      </c>
      <c r="K21" s="5">
        <v>0.5</v>
      </c>
    </row>
    <row r="22" spans="1:11" x14ac:dyDescent="0.25">
      <c r="A22" t="s">
        <v>25</v>
      </c>
      <c r="B22" s="1">
        <v>10</v>
      </c>
      <c r="C22" s="4">
        <v>628</v>
      </c>
      <c r="D22" s="1">
        <v>4</v>
      </c>
      <c r="E22" s="3">
        <v>32.466666666666697</v>
      </c>
      <c r="F22" s="5">
        <v>3.5139999999999998</v>
      </c>
      <c r="G22" s="1">
        <v>25</v>
      </c>
      <c r="H22" s="1">
        <v>36</v>
      </c>
      <c r="I22" s="2">
        <v>1.7444444444444401E-2</v>
      </c>
      <c r="J22" s="5">
        <v>321.47187644259401</v>
      </c>
      <c r="K22" s="5">
        <v>0.24</v>
      </c>
    </row>
    <row r="23" spans="1:11" x14ac:dyDescent="0.25">
      <c r="B23" s="1">
        <v>10</v>
      </c>
      <c r="C23" s="4">
        <v>628</v>
      </c>
      <c r="D23" s="1">
        <v>4</v>
      </c>
      <c r="E23" s="3">
        <v>32.466666666666697</v>
      </c>
      <c r="F23" s="5">
        <v>3.5139999999999998</v>
      </c>
      <c r="G23" s="1">
        <v>25</v>
      </c>
      <c r="H23" s="1">
        <v>36</v>
      </c>
      <c r="I23" s="2">
        <v>1.7444444444444401E-2</v>
      </c>
      <c r="J23" s="5">
        <v>357.19097382510398</v>
      </c>
      <c r="K23" s="5">
        <v>0.3</v>
      </c>
    </row>
    <row r="24" spans="1:11" x14ac:dyDescent="0.25">
      <c r="B24" s="1">
        <v>10</v>
      </c>
      <c r="C24" s="4">
        <v>628</v>
      </c>
      <c r="D24" s="1">
        <v>4</v>
      </c>
      <c r="E24" s="3">
        <v>32.466666666666697</v>
      </c>
      <c r="F24" s="5">
        <v>3.5139999999999998</v>
      </c>
      <c r="G24" s="1">
        <v>25</v>
      </c>
      <c r="H24" s="1">
        <v>36</v>
      </c>
      <c r="I24" s="2">
        <v>1.7444444444444401E-2</v>
      </c>
      <c r="J24" s="5">
        <v>370.58563534354499</v>
      </c>
      <c r="K24" s="5">
        <v>0.3</v>
      </c>
    </row>
    <row r="25" spans="1:11" x14ac:dyDescent="0.25">
      <c r="B25" s="1">
        <v>10</v>
      </c>
      <c r="C25" s="4">
        <v>628</v>
      </c>
      <c r="D25" s="1">
        <v>4</v>
      </c>
      <c r="E25" s="3">
        <v>32.466666666666697</v>
      </c>
      <c r="F25" s="5">
        <v>3.5139999999999998</v>
      </c>
      <c r="G25" s="1">
        <v>25</v>
      </c>
      <c r="H25" s="1">
        <v>36</v>
      </c>
      <c r="I25" s="2">
        <v>1.7444444444444401E-2</v>
      </c>
      <c r="J25" s="5">
        <v>392.91007120761401</v>
      </c>
      <c r="K25" s="5">
        <v>0.3</v>
      </c>
    </row>
    <row r="26" spans="1:11" x14ac:dyDescent="0.25">
      <c r="B26" s="1">
        <v>10</v>
      </c>
      <c r="C26" s="4">
        <v>628</v>
      </c>
      <c r="D26" s="1">
        <v>4</v>
      </c>
      <c r="E26" s="3">
        <v>32.466666666666697</v>
      </c>
      <c r="F26" s="5">
        <v>3.5139999999999998</v>
      </c>
      <c r="G26" s="1">
        <v>25</v>
      </c>
      <c r="H26" s="1">
        <v>36</v>
      </c>
      <c r="I26" s="2">
        <v>1.7444444444444401E-2</v>
      </c>
      <c r="J26" s="5">
        <v>424.16428141731097</v>
      </c>
      <c r="K26" s="5">
        <v>0.38</v>
      </c>
    </row>
    <row r="27" spans="1:11" x14ac:dyDescent="0.25">
      <c r="B27" s="1">
        <v>10</v>
      </c>
      <c r="C27" s="4">
        <v>628</v>
      </c>
      <c r="D27" s="1">
        <v>4</v>
      </c>
      <c r="E27" s="3">
        <v>32.466666666666697</v>
      </c>
      <c r="F27" s="5">
        <v>3.5139999999999998</v>
      </c>
      <c r="G27" s="1">
        <v>25</v>
      </c>
      <c r="H27" s="1">
        <v>36</v>
      </c>
      <c r="I27" s="2">
        <v>1.7444444444444401E-2</v>
      </c>
      <c r="J27" s="5">
        <v>491.13758900951802</v>
      </c>
      <c r="K27" s="5">
        <v>0.44</v>
      </c>
    </row>
    <row r="28" spans="1:11" x14ac:dyDescent="0.25">
      <c r="A28" t="s">
        <v>26</v>
      </c>
      <c r="B28" s="1">
        <v>16</v>
      </c>
      <c r="C28" s="4">
        <v>571</v>
      </c>
      <c r="D28" s="1">
        <v>4</v>
      </c>
      <c r="E28" s="3">
        <v>37</v>
      </c>
      <c r="F28" s="5">
        <v>4.2587999999999999</v>
      </c>
      <c r="G28" s="1">
        <v>33</v>
      </c>
      <c r="H28" s="1">
        <v>59</v>
      </c>
      <c r="I28" s="2">
        <v>0.1168</v>
      </c>
      <c r="J28" s="5">
        <v>140.041965597591</v>
      </c>
      <c r="K28" s="5">
        <v>0.18</v>
      </c>
    </row>
    <row r="29" spans="1:11" x14ac:dyDescent="0.25">
      <c r="B29" s="1">
        <v>16</v>
      </c>
      <c r="C29" s="4">
        <v>571</v>
      </c>
      <c r="D29" s="1">
        <v>4</v>
      </c>
      <c r="E29" s="3">
        <v>37</v>
      </c>
      <c r="F29" s="5">
        <v>4.2587999999999999</v>
      </c>
      <c r="G29" s="1">
        <v>33</v>
      </c>
      <c r="H29" s="1">
        <v>59</v>
      </c>
      <c r="I29" s="2">
        <v>0.1168</v>
      </c>
      <c r="J29" s="5">
        <v>201.59887355257601</v>
      </c>
      <c r="K29" s="5">
        <v>0.2</v>
      </c>
    </row>
    <row r="30" spans="1:11" x14ac:dyDescent="0.25">
      <c r="B30" s="1">
        <v>16</v>
      </c>
      <c r="C30" s="4">
        <v>571</v>
      </c>
      <c r="D30" s="1">
        <v>4</v>
      </c>
      <c r="E30" s="3">
        <v>37</v>
      </c>
      <c r="F30" s="5">
        <v>4.2587999999999999</v>
      </c>
      <c r="G30" s="1">
        <v>33</v>
      </c>
      <c r="H30" s="1">
        <v>59</v>
      </c>
      <c r="I30" s="2">
        <v>0.1168</v>
      </c>
      <c r="J30" s="5">
        <v>243.91924777162799</v>
      </c>
      <c r="K30" s="5">
        <v>0.26</v>
      </c>
    </row>
    <row r="31" spans="1:11" x14ac:dyDescent="0.25">
      <c r="B31" s="1">
        <v>16</v>
      </c>
      <c r="C31" s="4">
        <v>571</v>
      </c>
      <c r="D31" s="1">
        <v>4</v>
      </c>
      <c r="E31" s="3">
        <v>37</v>
      </c>
      <c r="F31" s="5">
        <v>4.2587999999999999</v>
      </c>
      <c r="G31" s="1">
        <v>33</v>
      </c>
      <c r="H31" s="1">
        <v>59</v>
      </c>
      <c r="I31" s="2">
        <v>0.1168</v>
      </c>
      <c r="J31" s="5">
        <v>313.94023057042398</v>
      </c>
      <c r="K31" s="5">
        <v>0.44</v>
      </c>
    </row>
    <row r="32" spans="1:11" x14ac:dyDescent="0.25">
      <c r="B32" s="1">
        <v>16</v>
      </c>
      <c r="C32" s="4">
        <v>571</v>
      </c>
      <c r="D32" s="1">
        <v>4</v>
      </c>
      <c r="E32" s="3">
        <v>37</v>
      </c>
      <c r="F32" s="5">
        <v>4.2587999999999999</v>
      </c>
      <c r="G32" s="1">
        <v>33</v>
      </c>
      <c r="H32" s="1">
        <v>59</v>
      </c>
      <c r="I32" s="2">
        <v>0.1168</v>
      </c>
      <c r="J32" s="5">
        <v>416.27859004558701</v>
      </c>
      <c r="K32" s="5">
        <v>0.6</v>
      </c>
    </row>
    <row r="33" spans="1:11" x14ac:dyDescent="0.25">
      <c r="A33" t="s">
        <v>27</v>
      </c>
      <c r="B33" s="1">
        <v>12</v>
      </c>
      <c r="C33" s="4">
        <v>500</v>
      </c>
      <c r="D33" s="1">
        <v>4</v>
      </c>
      <c r="E33" s="3">
        <v>79.3</v>
      </c>
      <c r="F33" s="5">
        <v>2.6933292113182898</v>
      </c>
      <c r="G33" s="1">
        <v>20</v>
      </c>
      <c r="H33" s="1">
        <v>38</v>
      </c>
      <c r="I33" s="2">
        <v>1.3593984962406E-2</v>
      </c>
      <c r="J33" s="5">
        <v>300.43295624924099</v>
      </c>
      <c r="K33" s="5">
        <v>0.36</v>
      </c>
    </row>
    <row r="34" spans="1:11" x14ac:dyDescent="0.25">
      <c r="B34" s="1">
        <v>12</v>
      </c>
      <c r="C34" s="4">
        <v>500</v>
      </c>
      <c r="D34" s="1">
        <v>4</v>
      </c>
      <c r="E34" s="3">
        <v>79.3</v>
      </c>
      <c r="F34" s="5">
        <v>2.6933292113182898</v>
      </c>
      <c r="G34" s="1">
        <v>20</v>
      </c>
      <c r="H34" s="1">
        <v>38</v>
      </c>
      <c r="I34" s="2">
        <v>1.3593984962406E-2</v>
      </c>
      <c r="J34" s="5">
        <v>386.27094374902401</v>
      </c>
      <c r="K34" s="5">
        <v>0.43</v>
      </c>
    </row>
    <row r="35" spans="1:11" x14ac:dyDescent="0.25">
      <c r="B35" s="1">
        <v>12</v>
      </c>
      <c r="C35" s="4">
        <v>500</v>
      </c>
      <c r="D35" s="1">
        <v>4</v>
      </c>
      <c r="E35" s="3">
        <v>79.3</v>
      </c>
      <c r="F35" s="5">
        <v>2.6933292113182898</v>
      </c>
      <c r="G35" s="1">
        <v>20</v>
      </c>
      <c r="H35" s="1">
        <v>38</v>
      </c>
      <c r="I35" s="2">
        <v>1.3593984962406E-2</v>
      </c>
      <c r="J35" s="5">
        <v>500</v>
      </c>
      <c r="K35" s="5">
        <v>0.56000000000000005</v>
      </c>
    </row>
    <row r="36" spans="1:11" x14ac:dyDescent="0.25">
      <c r="B36" s="1">
        <v>12</v>
      </c>
      <c r="C36" s="4">
        <v>500</v>
      </c>
      <c r="D36" s="1">
        <v>4</v>
      </c>
      <c r="E36" s="3">
        <v>79.3</v>
      </c>
      <c r="F36" s="5">
        <v>2.6933292113182898</v>
      </c>
      <c r="G36" s="1">
        <v>20</v>
      </c>
      <c r="H36" s="1">
        <v>38</v>
      </c>
      <c r="I36" s="2">
        <v>1.3593984962406E-2</v>
      </c>
      <c r="J36" s="5">
        <v>500</v>
      </c>
      <c r="K36" s="5">
        <v>0.71</v>
      </c>
    </row>
    <row r="37" spans="1:11" x14ac:dyDescent="0.25">
      <c r="B37" s="1">
        <v>12</v>
      </c>
      <c r="C37" s="4">
        <v>500</v>
      </c>
      <c r="D37" s="1">
        <v>4</v>
      </c>
      <c r="E37" s="3">
        <v>79.3</v>
      </c>
      <c r="F37" s="5">
        <v>2.6933292113182898</v>
      </c>
      <c r="G37" s="1">
        <v>20</v>
      </c>
      <c r="H37" s="1">
        <v>38</v>
      </c>
      <c r="I37" s="2">
        <v>1.3593984962406E-2</v>
      </c>
      <c r="J37" s="5">
        <v>500</v>
      </c>
      <c r="K37" s="5">
        <v>0.79</v>
      </c>
    </row>
    <row r="38" spans="1:11" x14ac:dyDescent="0.25">
      <c r="A38" t="s">
        <v>28</v>
      </c>
      <c r="B38" s="1">
        <v>25</v>
      </c>
      <c r="C38" s="4">
        <v>500</v>
      </c>
      <c r="D38" s="1">
        <v>4</v>
      </c>
      <c r="E38" s="3">
        <v>62</v>
      </c>
      <c r="F38" s="5">
        <v>2.6933292113182898</v>
      </c>
      <c r="G38" s="1">
        <v>20</v>
      </c>
      <c r="H38" s="1">
        <v>44.5</v>
      </c>
      <c r="I38" s="2">
        <v>5.4467051199458903E-2</v>
      </c>
      <c r="J38" s="5">
        <v>106.512655225995</v>
      </c>
      <c r="K38" s="5">
        <v>0.2</v>
      </c>
    </row>
    <row r="39" spans="1:11" x14ac:dyDescent="0.25">
      <c r="B39" s="1">
        <v>25</v>
      </c>
      <c r="C39" s="4">
        <v>500</v>
      </c>
      <c r="D39" s="1">
        <v>4</v>
      </c>
      <c r="E39" s="3">
        <v>62</v>
      </c>
      <c r="F39" s="5">
        <v>2.6933292113182898</v>
      </c>
      <c r="G39" s="1">
        <v>20</v>
      </c>
      <c r="H39" s="1">
        <v>44.5</v>
      </c>
      <c r="I39" s="2">
        <v>5.4467051199458903E-2</v>
      </c>
      <c r="J39" s="5">
        <v>191.72277940679001</v>
      </c>
      <c r="K39" s="5">
        <v>0.25</v>
      </c>
    </row>
    <row r="40" spans="1:11" x14ac:dyDescent="0.25">
      <c r="B40" s="1">
        <v>25</v>
      </c>
      <c r="C40" s="4">
        <v>500</v>
      </c>
      <c r="D40" s="1">
        <v>4</v>
      </c>
      <c r="E40" s="3">
        <v>62</v>
      </c>
      <c r="F40" s="5">
        <v>2.6933292113182898</v>
      </c>
      <c r="G40" s="1">
        <v>20</v>
      </c>
      <c r="H40" s="1">
        <v>44.5</v>
      </c>
      <c r="I40" s="2">
        <v>5.4467051199458903E-2</v>
      </c>
      <c r="J40" s="5">
        <v>276.932903587586</v>
      </c>
      <c r="K40" s="5">
        <v>0.36</v>
      </c>
    </row>
    <row r="41" spans="1:11" x14ac:dyDescent="0.25">
      <c r="B41" s="1">
        <v>25</v>
      </c>
      <c r="C41" s="4">
        <v>500</v>
      </c>
      <c r="D41" s="1">
        <v>4</v>
      </c>
      <c r="E41" s="3">
        <v>62</v>
      </c>
      <c r="F41" s="5">
        <v>2.6933292113182898</v>
      </c>
      <c r="G41" s="1">
        <v>20</v>
      </c>
      <c r="H41" s="1">
        <v>44.5</v>
      </c>
      <c r="I41" s="2">
        <v>5.4467051199458903E-2</v>
      </c>
      <c r="J41" s="5">
        <v>362.14302776838201</v>
      </c>
      <c r="K41" s="5">
        <v>0.47</v>
      </c>
    </row>
    <row r="42" spans="1:11" x14ac:dyDescent="0.25">
      <c r="B42" s="1">
        <v>25</v>
      </c>
      <c r="C42" s="4">
        <v>500</v>
      </c>
      <c r="D42" s="1">
        <v>4</v>
      </c>
      <c r="E42" s="3">
        <v>62</v>
      </c>
      <c r="F42" s="5">
        <v>2.6933292113182898</v>
      </c>
      <c r="G42" s="1">
        <v>20</v>
      </c>
      <c r="H42" s="1">
        <v>44.5</v>
      </c>
      <c r="I42" s="2">
        <v>5.4467051199458903E-2</v>
      </c>
      <c r="J42" s="5">
        <v>426.05062090397797</v>
      </c>
      <c r="K42" s="5">
        <v>0.56999999999999995</v>
      </c>
    </row>
    <row r="43" spans="1:11" x14ac:dyDescent="0.25">
      <c r="B43" s="1">
        <v>25</v>
      </c>
      <c r="C43" s="4">
        <v>500</v>
      </c>
      <c r="D43" s="1">
        <v>4</v>
      </c>
      <c r="E43" s="3">
        <v>62</v>
      </c>
      <c r="F43" s="5">
        <v>2.6933292113182898</v>
      </c>
      <c r="G43" s="1">
        <v>20</v>
      </c>
      <c r="H43" s="1">
        <v>44.5</v>
      </c>
      <c r="I43" s="2">
        <v>5.4467051199458903E-2</v>
      </c>
      <c r="J43" s="5">
        <v>500</v>
      </c>
      <c r="K43" s="5">
        <v>0.78</v>
      </c>
    </row>
    <row r="44" spans="1:11" x14ac:dyDescent="0.25">
      <c r="A44" t="s">
        <v>29</v>
      </c>
      <c r="B44" s="1">
        <v>12</v>
      </c>
      <c r="C44" s="4">
        <v>500</v>
      </c>
      <c r="D44" s="1">
        <v>4</v>
      </c>
      <c r="E44" s="3">
        <v>79.3</v>
      </c>
      <c r="F44" s="5">
        <v>2.6933292113182898</v>
      </c>
      <c r="G44" s="1">
        <v>20</v>
      </c>
      <c r="H44" s="1">
        <v>34</v>
      </c>
      <c r="I44" s="2">
        <v>1.5193277310924401E-2</v>
      </c>
      <c r="J44" s="5">
        <v>212.47112712609001</v>
      </c>
      <c r="K44" s="5">
        <v>0.21</v>
      </c>
    </row>
    <row r="45" spans="1:11" x14ac:dyDescent="0.25">
      <c r="B45" s="1">
        <v>12</v>
      </c>
      <c r="C45" s="4">
        <v>500</v>
      </c>
      <c r="D45" s="1">
        <v>4</v>
      </c>
      <c r="E45" s="3">
        <v>79.3</v>
      </c>
      <c r="F45" s="5">
        <v>2.6933292113182898</v>
      </c>
      <c r="G45" s="1">
        <v>20</v>
      </c>
      <c r="H45" s="1">
        <v>34</v>
      </c>
      <c r="I45" s="2">
        <v>1.5193277310924401E-2</v>
      </c>
      <c r="J45" s="5">
        <v>254.965352551308</v>
      </c>
      <c r="K45" s="5">
        <v>0.31</v>
      </c>
    </row>
    <row r="46" spans="1:11" x14ac:dyDescent="0.25">
      <c r="B46" s="1">
        <v>12</v>
      </c>
      <c r="C46" s="4">
        <v>500</v>
      </c>
      <c r="D46" s="1">
        <v>4</v>
      </c>
      <c r="E46" s="3">
        <v>79.3</v>
      </c>
      <c r="F46" s="5">
        <v>2.6933292113182898</v>
      </c>
      <c r="G46" s="1">
        <v>20</v>
      </c>
      <c r="H46" s="1">
        <v>34</v>
      </c>
      <c r="I46" s="2">
        <v>1.5193277310924401E-2</v>
      </c>
      <c r="J46" s="5">
        <v>297.459577976525</v>
      </c>
      <c r="K46" s="5">
        <v>0.38</v>
      </c>
    </row>
    <row r="47" spans="1:11" x14ac:dyDescent="0.25">
      <c r="B47" s="1">
        <v>12</v>
      </c>
      <c r="C47" s="4">
        <v>500</v>
      </c>
      <c r="D47" s="1">
        <v>4</v>
      </c>
      <c r="E47" s="3">
        <v>79.3</v>
      </c>
      <c r="F47" s="5">
        <v>2.6933292113182898</v>
      </c>
      <c r="G47" s="1">
        <v>20</v>
      </c>
      <c r="H47" s="1">
        <v>34</v>
      </c>
      <c r="I47" s="2">
        <v>1.5193277310924401E-2</v>
      </c>
      <c r="J47" s="5">
        <v>382.44802882696098</v>
      </c>
      <c r="K47" s="5">
        <v>0.52</v>
      </c>
    </row>
    <row r="48" spans="1:11" x14ac:dyDescent="0.25">
      <c r="B48" s="1">
        <v>12</v>
      </c>
      <c r="C48" s="4">
        <v>500</v>
      </c>
      <c r="D48" s="1">
        <v>4</v>
      </c>
      <c r="E48" s="3">
        <v>79.3</v>
      </c>
      <c r="F48" s="5">
        <v>2.6933292113182898</v>
      </c>
      <c r="G48" s="1">
        <v>20</v>
      </c>
      <c r="H48" s="1">
        <v>34</v>
      </c>
      <c r="I48" s="2">
        <v>1.5193277310924401E-2</v>
      </c>
      <c r="J48" s="5">
        <v>500</v>
      </c>
      <c r="K48" s="5">
        <v>0.74</v>
      </c>
    </row>
    <row r="49" spans="1:11" x14ac:dyDescent="0.25">
      <c r="A49" t="s">
        <v>30</v>
      </c>
      <c r="B49" s="1">
        <v>12</v>
      </c>
      <c r="C49" s="4">
        <v>500</v>
      </c>
      <c r="D49" s="1">
        <v>4</v>
      </c>
      <c r="E49" s="3">
        <v>79.3</v>
      </c>
      <c r="F49" s="5">
        <v>2.6933292113182898</v>
      </c>
      <c r="G49" s="1">
        <v>20</v>
      </c>
      <c r="H49" s="1">
        <v>34</v>
      </c>
      <c r="I49" s="2">
        <v>1.5193277310924401E-2</v>
      </c>
      <c r="J49" s="5">
        <v>212.47112712609001</v>
      </c>
      <c r="K49" s="5">
        <v>0.17</v>
      </c>
    </row>
    <row r="50" spans="1:11" x14ac:dyDescent="0.25">
      <c r="B50" s="1">
        <v>12</v>
      </c>
      <c r="C50" s="4">
        <v>500</v>
      </c>
      <c r="D50" s="1">
        <v>4</v>
      </c>
      <c r="E50" s="3">
        <v>79.3</v>
      </c>
      <c r="F50" s="5">
        <v>2.6933292113182898</v>
      </c>
      <c r="G50" s="1">
        <v>20</v>
      </c>
      <c r="H50" s="1">
        <v>34</v>
      </c>
      <c r="I50" s="2">
        <v>1.5193277310924401E-2</v>
      </c>
      <c r="J50" s="5">
        <v>297.459577976525</v>
      </c>
      <c r="K50" s="5">
        <v>0.36</v>
      </c>
    </row>
    <row r="51" spans="1:11" x14ac:dyDescent="0.25">
      <c r="B51" s="1">
        <v>12</v>
      </c>
      <c r="C51" s="4">
        <v>500</v>
      </c>
      <c r="D51" s="1">
        <v>4</v>
      </c>
      <c r="E51" s="3">
        <v>79.3</v>
      </c>
      <c r="F51" s="5">
        <v>2.6933292113182898</v>
      </c>
      <c r="G51" s="1">
        <v>20</v>
      </c>
      <c r="H51" s="1">
        <v>34</v>
      </c>
      <c r="I51" s="2">
        <v>1.5193277310924401E-2</v>
      </c>
      <c r="J51" s="5">
        <v>382.44802882696098</v>
      </c>
      <c r="K51" s="5">
        <v>0.56000000000000005</v>
      </c>
    </row>
    <row r="52" spans="1:11" x14ac:dyDescent="0.25">
      <c r="B52" s="1">
        <v>12</v>
      </c>
      <c r="C52" s="4">
        <v>500</v>
      </c>
      <c r="D52" s="1">
        <v>4</v>
      </c>
      <c r="E52" s="3">
        <v>79.3</v>
      </c>
      <c r="F52" s="5">
        <v>2.6933292113182898</v>
      </c>
      <c r="G52" s="1">
        <v>20</v>
      </c>
      <c r="H52" s="1">
        <v>34</v>
      </c>
      <c r="I52" s="2">
        <v>1.5193277310924401E-2</v>
      </c>
      <c r="J52" s="5">
        <v>500</v>
      </c>
      <c r="K52" s="5">
        <v>0.78</v>
      </c>
    </row>
    <row r="53" spans="1:11" x14ac:dyDescent="0.25">
      <c r="A53" t="s">
        <v>31</v>
      </c>
      <c r="B53" s="1">
        <v>12</v>
      </c>
      <c r="C53" s="4">
        <v>500</v>
      </c>
      <c r="D53" s="1">
        <v>4</v>
      </c>
      <c r="E53" s="3">
        <v>46</v>
      </c>
      <c r="F53" s="5">
        <v>2.6933292113182898</v>
      </c>
      <c r="G53" s="1">
        <v>70</v>
      </c>
      <c r="H53" s="1">
        <v>88</v>
      </c>
      <c r="I53" s="2">
        <v>1.02200677657071E-2</v>
      </c>
      <c r="J53" s="5">
        <v>245.19477048546599</v>
      </c>
      <c r="K53" s="5">
        <v>0.31</v>
      </c>
    </row>
    <row r="54" spans="1:11" x14ac:dyDescent="0.25">
      <c r="B54" s="1">
        <v>12</v>
      </c>
      <c r="C54" s="4">
        <v>500</v>
      </c>
      <c r="D54" s="1">
        <v>4</v>
      </c>
      <c r="E54" s="3">
        <v>46</v>
      </c>
      <c r="F54" s="5">
        <v>2.6933292113182898</v>
      </c>
      <c r="G54" s="1">
        <v>70</v>
      </c>
      <c r="H54" s="1">
        <v>88</v>
      </c>
      <c r="I54" s="2">
        <v>1.02200677657071E-2</v>
      </c>
      <c r="J54" s="5">
        <v>294.23372458256</v>
      </c>
      <c r="K54" s="5">
        <v>0.44</v>
      </c>
    </row>
    <row r="55" spans="1:11" x14ac:dyDescent="0.25">
      <c r="A55" t="s">
        <v>32</v>
      </c>
      <c r="B55" s="1">
        <v>12</v>
      </c>
      <c r="C55" s="4">
        <v>500</v>
      </c>
      <c r="D55" s="1">
        <v>4</v>
      </c>
      <c r="E55" s="3">
        <v>46</v>
      </c>
      <c r="F55" s="5">
        <v>2.6933292113182898</v>
      </c>
      <c r="G55" s="1">
        <v>70</v>
      </c>
      <c r="H55" s="1">
        <v>84</v>
      </c>
      <c r="I55" s="2">
        <v>1.0231758789687699E-2</v>
      </c>
      <c r="J55" s="5">
        <v>193.94581491041399</v>
      </c>
      <c r="K55" s="5">
        <v>0.14000000000000001</v>
      </c>
    </row>
    <row r="56" spans="1:11" x14ac:dyDescent="0.25">
      <c r="B56" s="1">
        <v>12</v>
      </c>
      <c r="C56" s="4">
        <v>500</v>
      </c>
      <c r="D56" s="1">
        <v>4</v>
      </c>
      <c r="E56" s="3">
        <v>46</v>
      </c>
      <c r="F56" s="5">
        <v>2.6933292113182898</v>
      </c>
      <c r="G56" s="1">
        <v>70</v>
      </c>
      <c r="H56" s="1">
        <v>84</v>
      </c>
      <c r="I56" s="2">
        <v>1.0231758789687699E-2</v>
      </c>
      <c r="J56" s="5">
        <v>242.432268638018</v>
      </c>
      <c r="K56" s="5">
        <v>0.31</v>
      </c>
    </row>
    <row r="57" spans="1:11" x14ac:dyDescent="0.25">
      <c r="B57" s="1">
        <v>12</v>
      </c>
      <c r="C57" s="4">
        <v>500</v>
      </c>
      <c r="D57" s="1">
        <v>4</v>
      </c>
      <c r="E57" s="3">
        <v>46</v>
      </c>
      <c r="F57" s="5">
        <v>2.6933292113182898</v>
      </c>
      <c r="G57" s="1">
        <v>70</v>
      </c>
      <c r="H57" s="1">
        <v>84</v>
      </c>
      <c r="I57" s="2">
        <v>1.0231758789687699E-2</v>
      </c>
      <c r="J57" s="5">
        <v>290.91872236562199</v>
      </c>
      <c r="K57" s="5">
        <v>0.4</v>
      </c>
    </row>
    <row r="58" spans="1:11" x14ac:dyDescent="0.25">
      <c r="A58" t="s">
        <v>33</v>
      </c>
      <c r="B58" s="1">
        <v>12</v>
      </c>
      <c r="C58" s="4">
        <v>500</v>
      </c>
      <c r="D58" s="1">
        <v>4</v>
      </c>
      <c r="E58" s="3">
        <v>46</v>
      </c>
      <c r="F58" s="5">
        <v>2.6933292113182898</v>
      </c>
      <c r="G58" s="1">
        <v>70</v>
      </c>
      <c r="H58" s="1">
        <v>84</v>
      </c>
      <c r="I58" s="2">
        <v>1.0231758789687699E-2</v>
      </c>
      <c r="J58" s="5">
        <v>193.94581491041399</v>
      </c>
      <c r="K58" s="5">
        <v>0.25</v>
      </c>
    </row>
    <row r="59" spans="1:11" x14ac:dyDescent="0.25">
      <c r="B59" s="1">
        <v>12</v>
      </c>
      <c r="C59" s="4">
        <v>500</v>
      </c>
      <c r="D59" s="1">
        <v>4</v>
      </c>
      <c r="E59" s="3">
        <v>46</v>
      </c>
      <c r="F59" s="5">
        <v>2.6933292113182898</v>
      </c>
      <c r="G59" s="1">
        <v>70</v>
      </c>
      <c r="H59" s="1">
        <v>84</v>
      </c>
      <c r="I59" s="2">
        <v>1.0231758789687699E-2</v>
      </c>
      <c r="J59" s="5">
        <v>242.432268638018</v>
      </c>
      <c r="K59" s="5">
        <v>0.44</v>
      </c>
    </row>
    <row r="60" spans="1:11" x14ac:dyDescent="0.25">
      <c r="B60" s="1">
        <v>12</v>
      </c>
      <c r="C60" s="4">
        <v>500</v>
      </c>
      <c r="D60" s="1">
        <v>4</v>
      </c>
      <c r="E60" s="3">
        <v>46</v>
      </c>
      <c r="F60" s="5">
        <v>2.6933292113182898</v>
      </c>
      <c r="G60" s="1">
        <v>70</v>
      </c>
      <c r="H60" s="1">
        <v>84</v>
      </c>
      <c r="I60" s="2">
        <v>1.0231758789687699E-2</v>
      </c>
      <c r="J60" s="5">
        <v>290.91872236562199</v>
      </c>
      <c r="K60" s="5">
        <v>0.56000000000000005</v>
      </c>
    </row>
    <row r="61" spans="1:11" x14ac:dyDescent="0.25">
      <c r="A61" t="s">
        <v>34</v>
      </c>
      <c r="B61" s="1">
        <v>25</v>
      </c>
      <c r="C61" s="4">
        <v>500</v>
      </c>
      <c r="D61" s="1">
        <v>4</v>
      </c>
      <c r="E61" s="3">
        <v>62</v>
      </c>
      <c r="F61" s="5">
        <v>2.6933292113182898</v>
      </c>
      <c r="G61" s="1">
        <v>20</v>
      </c>
      <c r="H61" s="1">
        <v>40.5</v>
      </c>
      <c r="I61" s="2">
        <v>5.5421516754850103E-2</v>
      </c>
      <c r="J61" s="5">
        <v>210.83754926858899</v>
      </c>
      <c r="K61" s="5">
        <v>0.23</v>
      </c>
    </row>
    <row r="62" spans="1:11" x14ac:dyDescent="0.25">
      <c r="B62" s="1">
        <v>25</v>
      </c>
      <c r="C62" s="4">
        <v>500</v>
      </c>
      <c r="D62" s="1">
        <v>4</v>
      </c>
      <c r="E62" s="3">
        <v>62</v>
      </c>
      <c r="F62" s="5">
        <v>2.6933292113182898</v>
      </c>
      <c r="G62" s="1">
        <v>20</v>
      </c>
      <c r="H62" s="1">
        <v>40.5</v>
      </c>
      <c r="I62" s="2">
        <v>5.5421516754850103E-2</v>
      </c>
      <c r="J62" s="5">
        <v>316.25632390288399</v>
      </c>
      <c r="K62" s="5">
        <v>0.35</v>
      </c>
    </row>
    <row r="63" spans="1:11" x14ac:dyDescent="0.25">
      <c r="B63" s="1">
        <v>25</v>
      </c>
      <c r="C63" s="4">
        <v>500</v>
      </c>
      <c r="D63" s="1">
        <v>4</v>
      </c>
      <c r="E63" s="3">
        <v>62</v>
      </c>
      <c r="F63" s="5">
        <v>2.6933292113182898</v>
      </c>
      <c r="G63" s="1">
        <v>20</v>
      </c>
      <c r="H63" s="1">
        <v>40.5</v>
      </c>
      <c r="I63" s="2">
        <v>5.5421516754850103E-2</v>
      </c>
      <c r="J63" s="5">
        <v>421.675098537179</v>
      </c>
      <c r="K63" s="5">
        <v>0.49</v>
      </c>
    </row>
    <row r="64" spans="1:11" x14ac:dyDescent="0.25">
      <c r="B64" s="1">
        <v>25</v>
      </c>
      <c r="C64" s="4">
        <v>500</v>
      </c>
      <c r="D64" s="1">
        <v>4</v>
      </c>
      <c r="E64" s="3">
        <v>62</v>
      </c>
      <c r="F64" s="5">
        <v>2.6933292113182898</v>
      </c>
      <c r="G64" s="1">
        <v>20</v>
      </c>
      <c r="H64" s="1">
        <v>40.5</v>
      </c>
      <c r="I64" s="2">
        <v>5.5421516754850103E-2</v>
      </c>
      <c r="J64" s="5">
        <v>500</v>
      </c>
      <c r="K64" s="5">
        <v>0.67</v>
      </c>
    </row>
    <row r="65" spans="1:11" x14ac:dyDescent="0.25">
      <c r="A65" t="s">
        <v>35</v>
      </c>
      <c r="B65" s="1">
        <v>25</v>
      </c>
      <c r="C65" s="4">
        <v>500</v>
      </c>
      <c r="D65" s="1">
        <v>4</v>
      </c>
      <c r="E65" s="3">
        <v>62</v>
      </c>
      <c r="F65" s="5">
        <v>2.6933292113182898</v>
      </c>
      <c r="G65" s="1">
        <v>20</v>
      </c>
      <c r="H65" s="1">
        <v>40.5</v>
      </c>
      <c r="I65" s="2">
        <v>5.5421516754850103E-2</v>
      </c>
      <c r="J65" s="5">
        <v>210.83754926858899</v>
      </c>
      <c r="K65" s="5">
        <v>0.27</v>
      </c>
    </row>
    <row r="66" spans="1:11" x14ac:dyDescent="0.25">
      <c r="B66" s="1">
        <v>25</v>
      </c>
      <c r="C66" s="4">
        <v>500</v>
      </c>
      <c r="D66" s="1">
        <v>4</v>
      </c>
      <c r="E66" s="3">
        <v>62</v>
      </c>
      <c r="F66" s="5">
        <v>2.6933292113182898</v>
      </c>
      <c r="G66" s="1">
        <v>20</v>
      </c>
      <c r="H66" s="1">
        <v>40.5</v>
      </c>
      <c r="I66" s="2">
        <v>5.5421516754850103E-2</v>
      </c>
      <c r="J66" s="5">
        <v>316.25632390288399</v>
      </c>
      <c r="K66" s="5">
        <v>0.4</v>
      </c>
    </row>
    <row r="67" spans="1:11" x14ac:dyDescent="0.25">
      <c r="B67" s="1">
        <v>25</v>
      </c>
      <c r="C67" s="4">
        <v>500</v>
      </c>
      <c r="D67" s="1">
        <v>4</v>
      </c>
      <c r="E67" s="3">
        <v>62</v>
      </c>
      <c r="F67" s="5">
        <v>2.6933292113182898</v>
      </c>
      <c r="G67" s="1">
        <v>20</v>
      </c>
      <c r="H67" s="1">
        <v>40.5</v>
      </c>
      <c r="I67" s="2">
        <v>5.5421516754850103E-2</v>
      </c>
      <c r="J67" s="5">
        <v>421.675098537179</v>
      </c>
      <c r="K67" s="5">
        <v>0.53</v>
      </c>
    </row>
    <row r="68" spans="1:11" x14ac:dyDescent="0.25">
      <c r="B68" s="1">
        <v>25</v>
      </c>
      <c r="C68" s="4">
        <v>500</v>
      </c>
      <c r="D68" s="1">
        <v>4</v>
      </c>
      <c r="E68" s="3">
        <v>62</v>
      </c>
      <c r="F68" s="5">
        <v>2.6933292113182898</v>
      </c>
      <c r="G68" s="1">
        <v>20</v>
      </c>
      <c r="H68" s="1">
        <v>40.5</v>
      </c>
      <c r="I68" s="2">
        <v>5.5421516754850103E-2</v>
      </c>
      <c r="J68" s="5">
        <v>500</v>
      </c>
      <c r="K68" s="5">
        <v>0.72</v>
      </c>
    </row>
    <row r="69" spans="1:11" x14ac:dyDescent="0.25">
      <c r="A69" t="s">
        <v>36</v>
      </c>
      <c r="B69" s="1">
        <v>25</v>
      </c>
      <c r="C69" s="4">
        <v>500</v>
      </c>
      <c r="D69" s="1">
        <v>4</v>
      </c>
      <c r="E69" s="3">
        <v>28.7</v>
      </c>
      <c r="F69" s="5">
        <v>2.6933292113182898</v>
      </c>
      <c r="G69" s="1">
        <v>70</v>
      </c>
      <c r="H69" s="1">
        <v>94.5</v>
      </c>
      <c r="I69" s="2">
        <v>5.2620596145749599E-2</v>
      </c>
      <c r="J69" s="5">
        <v>122.340765829723</v>
      </c>
      <c r="K69" s="5">
        <v>0.3</v>
      </c>
    </row>
    <row r="70" spans="1:11" x14ac:dyDescent="0.25">
      <c r="B70" s="1">
        <v>25</v>
      </c>
      <c r="C70" s="4">
        <v>500</v>
      </c>
      <c r="D70" s="1">
        <v>4</v>
      </c>
      <c r="E70" s="3">
        <v>28.7</v>
      </c>
      <c r="F70" s="5">
        <v>2.6933292113182898</v>
      </c>
      <c r="G70" s="1">
        <v>70</v>
      </c>
      <c r="H70" s="1">
        <v>94.5</v>
      </c>
      <c r="I70" s="2">
        <v>5.2620596145749599E-2</v>
      </c>
      <c r="J70" s="5">
        <v>244.68153165944599</v>
      </c>
      <c r="K70" s="5">
        <v>0.56999999999999995</v>
      </c>
    </row>
    <row r="71" spans="1:11" x14ac:dyDescent="0.25">
      <c r="A71" t="s">
        <v>37</v>
      </c>
      <c r="B71" s="1">
        <v>25</v>
      </c>
      <c r="C71" s="4">
        <v>500</v>
      </c>
      <c r="D71" s="1">
        <v>4</v>
      </c>
      <c r="E71" s="3">
        <v>28.7</v>
      </c>
      <c r="F71" s="5">
        <v>2.6933292113182898</v>
      </c>
      <c r="G71" s="1">
        <v>70</v>
      </c>
      <c r="H71" s="1">
        <v>90.5</v>
      </c>
      <c r="I71" s="2">
        <v>5.2767941707515101E-2</v>
      </c>
      <c r="J71" s="5">
        <v>120.90671371296</v>
      </c>
      <c r="K71" s="5">
        <v>0.26</v>
      </c>
    </row>
    <row r="72" spans="1:11" x14ac:dyDescent="0.25">
      <c r="B72" s="1">
        <v>25</v>
      </c>
      <c r="C72" s="4">
        <v>500</v>
      </c>
      <c r="D72" s="1">
        <v>4</v>
      </c>
      <c r="E72" s="3">
        <v>28.7</v>
      </c>
      <c r="F72" s="5">
        <v>2.6933292113182898</v>
      </c>
      <c r="G72" s="1">
        <v>70</v>
      </c>
      <c r="H72" s="1">
        <v>90.5</v>
      </c>
      <c r="I72" s="2">
        <v>5.2767941707515101E-2</v>
      </c>
      <c r="J72" s="5">
        <v>241.81342742592</v>
      </c>
      <c r="K72" s="5">
        <v>0.6</v>
      </c>
    </row>
    <row r="73" spans="1:11" x14ac:dyDescent="0.25">
      <c r="A73" t="s">
        <v>38</v>
      </c>
      <c r="B73" s="1">
        <v>25</v>
      </c>
      <c r="C73" s="4">
        <v>500</v>
      </c>
      <c r="D73" s="1">
        <v>4</v>
      </c>
      <c r="E73" s="3">
        <v>28.7</v>
      </c>
      <c r="F73" s="5">
        <v>2.6933292113182898</v>
      </c>
      <c r="G73" s="1">
        <v>70</v>
      </c>
      <c r="H73" s="1">
        <v>90.5</v>
      </c>
      <c r="I73" s="2">
        <v>5.2767941707515101E-2</v>
      </c>
      <c r="J73" s="5">
        <v>120.90671371296</v>
      </c>
      <c r="K73" s="5">
        <v>0.27</v>
      </c>
    </row>
    <row r="74" spans="1:11" x14ac:dyDescent="0.25">
      <c r="B74" s="1">
        <v>25</v>
      </c>
      <c r="C74" s="4">
        <v>500</v>
      </c>
      <c r="D74" s="1">
        <v>4</v>
      </c>
      <c r="E74" s="3">
        <v>28.7</v>
      </c>
      <c r="F74" s="5">
        <v>2.6933292113182898</v>
      </c>
      <c r="G74" s="1">
        <v>70</v>
      </c>
      <c r="H74" s="1">
        <v>90.5</v>
      </c>
      <c r="I74" s="2">
        <v>5.2767941707515101E-2</v>
      </c>
      <c r="J74" s="5">
        <v>241.81342742592</v>
      </c>
      <c r="K74" s="5">
        <v>0.59</v>
      </c>
    </row>
    <row r="75" spans="1:11" x14ac:dyDescent="0.25">
      <c r="A75" t="s">
        <v>39</v>
      </c>
      <c r="B75" s="1">
        <v>9.52</v>
      </c>
      <c r="C75" s="4">
        <v>434</v>
      </c>
      <c r="D75" s="1">
        <v>3</v>
      </c>
      <c r="E75" s="3">
        <v>22.2</v>
      </c>
      <c r="F75" s="5">
        <v>3.5641600019995101</v>
      </c>
      <c r="G75" s="1">
        <v>20.64</v>
      </c>
      <c r="H75" s="1">
        <v>25.4</v>
      </c>
      <c r="I75" s="2">
        <v>3.2448510099947502E-2</v>
      </c>
      <c r="J75" s="5">
        <v>295.47063165326</v>
      </c>
      <c r="K75" s="5">
        <v>0.15</v>
      </c>
    </row>
    <row r="76" spans="1:11" x14ac:dyDescent="0.25">
      <c r="B76" s="1">
        <v>9.52</v>
      </c>
      <c r="C76" s="4">
        <v>434</v>
      </c>
      <c r="D76" s="1">
        <v>3</v>
      </c>
      <c r="E76" s="3">
        <v>22.2</v>
      </c>
      <c r="F76" s="5">
        <v>3.5641600019995101</v>
      </c>
      <c r="G76" s="1">
        <v>20.64</v>
      </c>
      <c r="H76" s="1">
        <v>25.4</v>
      </c>
      <c r="I76" s="2">
        <v>3.2448510099947502E-2</v>
      </c>
      <c r="J76" s="5">
        <v>343.866683389569</v>
      </c>
      <c r="K76" s="5">
        <v>0.17</v>
      </c>
    </row>
    <row r="77" spans="1:11" x14ac:dyDescent="0.25">
      <c r="A77" t="s">
        <v>40</v>
      </c>
      <c r="B77" s="1">
        <v>12.7</v>
      </c>
      <c r="C77" s="4">
        <v>434</v>
      </c>
      <c r="D77" s="1">
        <v>3</v>
      </c>
      <c r="E77" s="3">
        <v>19.05</v>
      </c>
      <c r="F77" s="5">
        <v>3.9766081638229398</v>
      </c>
      <c r="G77" s="1">
        <v>19.05</v>
      </c>
      <c r="H77" s="1">
        <v>25.4</v>
      </c>
      <c r="I77" s="2">
        <v>6.42124745559393E-2</v>
      </c>
      <c r="J77" s="5">
        <v>303.25602523129697</v>
      </c>
      <c r="K77" s="5">
        <v>0.15</v>
      </c>
    </row>
    <row r="78" spans="1:11" x14ac:dyDescent="0.25">
      <c r="B78" s="1">
        <v>12.7</v>
      </c>
      <c r="C78" s="4">
        <v>434</v>
      </c>
      <c r="D78" s="1">
        <v>3</v>
      </c>
      <c r="E78" s="3">
        <v>19.05</v>
      </c>
      <c r="F78" s="5">
        <v>3.9766081638229398</v>
      </c>
      <c r="G78" s="1">
        <v>19.05</v>
      </c>
      <c r="H78" s="1">
        <v>25.4</v>
      </c>
      <c r="I78" s="2">
        <v>6.42124745559393E-2</v>
      </c>
      <c r="J78" s="5">
        <v>347.810227990398</v>
      </c>
      <c r="K78" s="5">
        <v>0.17</v>
      </c>
    </row>
    <row r="79" spans="1:11" x14ac:dyDescent="0.25">
      <c r="B79" s="1">
        <v>12.7</v>
      </c>
      <c r="C79" s="4">
        <v>434</v>
      </c>
      <c r="D79" s="1">
        <v>3</v>
      </c>
      <c r="E79" s="3">
        <v>19.05</v>
      </c>
      <c r="F79" s="5">
        <v>3.9766081638229398</v>
      </c>
      <c r="G79" s="1">
        <v>19.05</v>
      </c>
      <c r="H79" s="1">
        <v>25.4</v>
      </c>
      <c r="I79" s="2">
        <v>6.42124745559393E-2</v>
      </c>
      <c r="J79" s="5">
        <v>411.048451261379</v>
      </c>
      <c r="K79" s="5">
        <v>0.2</v>
      </c>
    </row>
    <row r="80" spans="1:11" x14ac:dyDescent="0.25">
      <c r="A80" t="s">
        <v>41</v>
      </c>
      <c r="B80" s="1">
        <v>15.9</v>
      </c>
      <c r="C80" s="4">
        <v>540</v>
      </c>
      <c r="D80" s="1">
        <v>3</v>
      </c>
      <c r="E80" s="3">
        <v>15.9</v>
      </c>
      <c r="F80" s="5">
        <v>3.9766081638229398</v>
      </c>
      <c r="G80" s="1">
        <v>17.46</v>
      </c>
      <c r="H80" s="1">
        <v>25.4</v>
      </c>
      <c r="I80" s="2">
        <v>0.10835067563565499</v>
      </c>
      <c r="J80" s="5">
        <v>289.73492291565401</v>
      </c>
      <c r="K80" s="5">
        <v>0.16</v>
      </c>
    </row>
    <row r="81" spans="1:11" x14ac:dyDescent="0.25">
      <c r="B81" s="1">
        <v>15.9</v>
      </c>
      <c r="C81" s="4">
        <v>540</v>
      </c>
      <c r="D81" s="1">
        <v>3</v>
      </c>
      <c r="E81" s="3">
        <v>15.9</v>
      </c>
      <c r="F81" s="5">
        <v>3.9766081638229398</v>
      </c>
      <c r="G81" s="1">
        <v>17.46</v>
      </c>
      <c r="H81" s="1">
        <v>25.4</v>
      </c>
      <c r="I81" s="2">
        <v>0.10835067563565499</v>
      </c>
      <c r="J81" s="5">
        <v>379.98022677462899</v>
      </c>
      <c r="K81" s="5">
        <v>0.21</v>
      </c>
    </row>
    <row r="82" spans="1:11" x14ac:dyDescent="0.25">
      <c r="A82" t="s">
        <v>42</v>
      </c>
      <c r="B82" s="1">
        <v>16</v>
      </c>
      <c r="C82" s="4">
        <v>500</v>
      </c>
      <c r="D82" s="1">
        <v>2</v>
      </c>
      <c r="E82" s="3">
        <v>138</v>
      </c>
      <c r="F82" s="5">
        <v>3.2690000000000001</v>
      </c>
      <c r="G82" s="1">
        <v>40</v>
      </c>
      <c r="H82" s="1">
        <v>48</v>
      </c>
      <c r="I82" s="2">
        <v>1.7479097888417901E-2</v>
      </c>
      <c r="J82" s="5">
        <v>185.27396447016599</v>
      </c>
      <c r="K82" s="5">
        <v>0.15</v>
      </c>
    </row>
    <row r="83" spans="1:11" x14ac:dyDescent="0.25">
      <c r="B83" s="1">
        <v>16</v>
      </c>
      <c r="C83" s="4">
        <v>500</v>
      </c>
      <c r="D83" s="1">
        <v>2</v>
      </c>
      <c r="E83" s="3">
        <v>138</v>
      </c>
      <c r="F83" s="5">
        <v>3.2690000000000001</v>
      </c>
      <c r="G83" s="1">
        <v>40</v>
      </c>
      <c r="H83" s="1">
        <v>48</v>
      </c>
      <c r="I83" s="2">
        <v>1.7479097888417901E-2</v>
      </c>
      <c r="J83" s="5">
        <v>211.76759699969</v>
      </c>
      <c r="K83" s="5">
        <v>0.2</v>
      </c>
    </row>
    <row r="84" spans="1:11" x14ac:dyDescent="0.25">
      <c r="B84" s="1">
        <v>16</v>
      </c>
      <c r="C84" s="4">
        <v>500</v>
      </c>
      <c r="D84" s="1">
        <v>2</v>
      </c>
      <c r="E84" s="3">
        <v>138</v>
      </c>
      <c r="F84" s="5">
        <v>3.2690000000000001</v>
      </c>
      <c r="G84" s="1">
        <v>40</v>
      </c>
      <c r="H84" s="1">
        <v>48</v>
      </c>
      <c r="I84" s="2">
        <v>1.7479097888417901E-2</v>
      </c>
      <c r="J84" s="5">
        <v>238.26122952921401</v>
      </c>
      <c r="K84" s="5">
        <v>0.25</v>
      </c>
    </row>
    <row r="85" spans="1:11" x14ac:dyDescent="0.25">
      <c r="B85" s="1">
        <v>16</v>
      </c>
      <c r="C85" s="4">
        <v>500</v>
      </c>
      <c r="D85" s="1">
        <v>2</v>
      </c>
      <c r="E85" s="3">
        <v>138</v>
      </c>
      <c r="F85" s="5">
        <v>3.2690000000000001</v>
      </c>
      <c r="G85" s="1">
        <v>40</v>
      </c>
      <c r="H85" s="1">
        <v>48</v>
      </c>
      <c r="I85" s="2">
        <v>1.7479097888417901E-2</v>
      </c>
      <c r="J85" s="5">
        <v>264.70949624961202</v>
      </c>
      <c r="K85" s="5">
        <v>0.28000000000000003</v>
      </c>
    </row>
    <row r="86" spans="1:11" x14ac:dyDescent="0.25">
      <c r="B86" s="1">
        <v>16</v>
      </c>
      <c r="C86" s="4">
        <v>500</v>
      </c>
      <c r="D86" s="1">
        <v>2</v>
      </c>
      <c r="E86" s="3">
        <v>138</v>
      </c>
      <c r="F86" s="5">
        <v>3.2690000000000001</v>
      </c>
      <c r="G86" s="1">
        <v>40</v>
      </c>
      <c r="H86" s="1">
        <v>48</v>
      </c>
      <c r="I86" s="2">
        <v>1.7479097888417901E-2</v>
      </c>
      <c r="J86" s="5">
        <v>291.15776297001099</v>
      </c>
      <c r="K86" s="5">
        <v>0.28000000000000003</v>
      </c>
    </row>
    <row r="87" spans="1:11" x14ac:dyDescent="0.25">
      <c r="B87" s="1">
        <v>16</v>
      </c>
      <c r="C87" s="4">
        <v>500</v>
      </c>
      <c r="D87" s="1">
        <v>2</v>
      </c>
      <c r="E87" s="3">
        <v>138</v>
      </c>
      <c r="F87" s="5">
        <v>3.2690000000000001</v>
      </c>
      <c r="G87" s="1">
        <v>40</v>
      </c>
      <c r="H87" s="1">
        <v>48</v>
      </c>
      <c r="I87" s="2">
        <v>1.7479097888417901E-2</v>
      </c>
      <c r="J87" s="5">
        <v>317.651395499535</v>
      </c>
      <c r="K87" s="5">
        <v>0.3</v>
      </c>
    </row>
    <row r="88" spans="1:11" x14ac:dyDescent="0.25">
      <c r="B88" s="1">
        <v>16</v>
      </c>
      <c r="C88" s="4">
        <v>500</v>
      </c>
      <c r="D88" s="1">
        <v>2</v>
      </c>
      <c r="E88" s="3">
        <v>138</v>
      </c>
      <c r="F88" s="5">
        <v>3.2690000000000001</v>
      </c>
      <c r="G88" s="1">
        <v>40</v>
      </c>
      <c r="H88" s="1">
        <v>48</v>
      </c>
      <c r="I88" s="2">
        <v>1.7479097888417901E-2</v>
      </c>
      <c r="J88" s="5">
        <v>344.14502802905901</v>
      </c>
      <c r="K88" s="5">
        <v>0.33</v>
      </c>
    </row>
    <row r="89" spans="1:11" x14ac:dyDescent="0.25">
      <c r="B89" s="1">
        <v>16</v>
      </c>
      <c r="C89" s="4">
        <v>500</v>
      </c>
      <c r="D89" s="1">
        <v>2</v>
      </c>
      <c r="E89" s="3">
        <v>138</v>
      </c>
      <c r="F89" s="5">
        <v>3.2690000000000001</v>
      </c>
      <c r="G89" s="1">
        <v>40</v>
      </c>
      <c r="H89" s="1">
        <v>48</v>
      </c>
      <c r="I89" s="2">
        <v>1.7479097888417901E-2</v>
      </c>
      <c r="J89" s="5">
        <v>370.54792894033199</v>
      </c>
      <c r="K89" s="5">
        <v>0.33</v>
      </c>
    </row>
    <row r="90" spans="1:11" x14ac:dyDescent="0.25">
      <c r="A90" t="s">
        <v>43</v>
      </c>
      <c r="B90" s="1">
        <v>16</v>
      </c>
      <c r="C90" s="4">
        <v>500</v>
      </c>
      <c r="D90" s="1">
        <v>2</v>
      </c>
      <c r="E90" s="3">
        <v>138</v>
      </c>
      <c r="F90" s="5">
        <v>3.2690000000000001</v>
      </c>
      <c r="G90" s="1">
        <v>40</v>
      </c>
      <c r="H90" s="1">
        <v>48</v>
      </c>
      <c r="I90" s="2">
        <v>1.7479097888417901E-2</v>
      </c>
      <c r="J90" s="5">
        <v>211.76759699969</v>
      </c>
      <c r="K90" s="5">
        <v>0.15</v>
      </c>
    </row>
    <row r="91" spans="1:11" x14ac:dyDescent="0.25">
      <c r="B91" s="1">
        <v>16</v>
      </c>
      <c r="C91" s="4">
        <v>500</v>
      </c>
      <c r="D91" s="1">
        <v>2</v>
      </c>
      <c r="E91" s="3">
        <v>138</v>
      </c>
      <c r="F91" s="5">
        <v>3.2690000000000001</v>
      </c>
      <c r="G91" s="1">
        <v>40</v>
      </c>
      <c r="H91" s="1">
        <v>48</v>
      </c>
      <c r="I91" s="2">
        <v>1.7479097888417901E-2</v>
      </c>
      <c r="J91" s="5">
        <v>238.26122952921401</v>
      </c>
      <c r="K91" s="5">
        <v>0.18</v>
      </c>
    </row>
    <row r="92" spans="1:11" x14ac:dyDescent="0.25">
      <c r="B92" s="1">
        <v>16</v>
      </c>
      <c r="C92" s="4">
        <v>500</v>
      </c>
      <c r="D92" s="1">
        <v>2</v>
      </c>
      <c r="E92" s="3">
        <v>138</v>
      </c>
      <c r="F92" s="5">
        <v>3.2690000000000001</v>
      </c>
      <c r="G92" s="1">
        <v>40</v>
      </c>
      <c r="H92" s="1">
        <v>48</v>
      </c>
      <c r="I92" s="2">
        <v>1.7479097888417901E-2</v>
      </c>
      <c r="J92" s="5">
        <v>264.70949624961202</v>
      </c>
      <c r="K92" s="5">
        <v>0.2</v>
      </c>
    </row>
    <row r="93" spans="1:11" x14ac:dyDescent="0.25">
      <c r="B93" s="1">
        <v>16</v>
      </c>
      <c r="C93" s="4">
        <v>500</v>
      </c>
      <c r="D93" s="1">
        <v>2</v>
      </c>
      <c r="E93" s="3">
        <v>138</v>
      </c>
      <c r="F93" s="5">
        <v>3.2690000000000001</v>
      </c>
      <c r="G93" s="1">
        <v>40</v>
      </c>
      <c r="H93" s="1">
        <v>48</v>
      </c>
      <c r="I93" s="2">
        <v>1.7479097888417901E-2</v>
      </c>
      <c r="J93" s="5">
        <v>291.15776297001099</v>
      </c>
      <c r="K93" s="5">
        <v>0.25</v>
      </c>
    </row>
    <row r="94" spans="1:11" x14ac:dyDescent="0.25">
      <c r="B94" s="1">
        <v>16</v>
      </c>
      <c r="C94" s="4">
        <v>500</v>
      </c>
      <c r="D94" s="1">
        <v>2</v>
      </c>
      <c r="E94" s="3">
        <v>138</v>
      </c>
      <c r="F94" s="5">
        <v>3.2690000000000001</v>
      </c>
      <c r="G94" s="1">
        <v>40</v>
      </c>
      <c r="H94" s="1">
        <v>48</v>
      </c>
      <c r="I94" s="2">
        <v>1.7479097888417901E-2</v>
      </c>
      <c r="J94" s="5">
        <v>317.651395499535</v>
      </c>
      <c r="K94" s="5">
        <v>0.3</v>
      </c>
    </row>
    <row r="95" spans="1:11" x14ac:dyDescent="0.25">
      <c r="B95" s="1">
        <v>16</v>
      </c>
      <c r="C95" s="4">
        <v>500</v>
      </c>
      <c r="D95" s="1">
        <v>2</v>
      </c>
      <c r="E95" s="3">
        <v>138</v>
      </c>
      <c r="F95" s="5">
        <v>3.2690000000000001</v>
      </c>
      <c r="G95" s="1">
        <v>40</v>
      </c>
      <c r="H95" s="1">
        <v>48</v>
      </c>
      <c r="I95" s="2">
        <v>1.7479097888417901E-2</v>
      </c>
      <c r="J95" s="5">
        <v>344.14502802905901</v>
      </c>
      <c r="K95" s="5">
        <v>0.33</v>
      </c>
    </row>
    <row r="96" spans="1:11" x14ac:dyDescent="0.25">
      <c r="B96" s="1">
        <v>16</v>
      </c>
      <c r="C96" s="4">
        <v>500</v>
      </c>
      <c r="D96" s="1">
        <v>2</v>
      </c>
      <c r="E96" s="3">
        <v>138</v>
      </c>
      <c r="F96" s="5">
        <v>3.2690000000000001</v>
      </c>
      <c r="G96" s="1">
        <v>40</v>
      </c>
      <c r="H96" s="1">
        <v>48</v>
      </c>
      <c r="I96" s="2">
        <v>1.7479097888417901E-2</v>
      </c>
      <c r="J96" s="5">
        <v>370.54792894033199</v>
      </c>
      <c r="K96" s="5">
        <v>0.38</v>
      </c>
    </row>
    <row r="97" spans="1:11" x14ac:dyDescent="0.25">
      <c r="A97" t="s">
        <v>44</v>
      </c>
      <c r="B97" s="1">
        <v>16</v>
      </c>
      <c r="C97" s="4">
        <v>500</v>
      </c>
      <c r="D97" s="1">
        <v>2</v>
      </c>
      <c r="E97" s="3">
        <v>168</v>
      </c>
      <c r="F97" s="5">
        <v>3.2690000000000001</v>
      </c>
      <c r="G97" s="1">
        <v>25</v>
      </c>
      <c r="H97" s="1">
        <v>33</v>
      </c>
      <c r="I97" s="2">
        <v>1.9393939393939401E-2</v>
      </c>
      <c r="J97" s="5">
        <v>211.76759699969</v>
      </c>
      <c r="K97" s="5">
        <v>0.15</v>
      </c>
    </row>
    <row r="98" spans="1:11" x14ac:dyDescent="0.25">
      <c r="B98" s="1">
        <v>16</v>
      </c>
      <c r="C98" s="4">
        <v>500</v>
      </c>
      <c r="D98" s="1">
        <v>2</v>
      </c>
      <c r="E98" s="3">
        <v>168</v>
      </c>
      <c r="F98" s="5">
        <v>3.2690000000000001</v>
      </c>
      <c r="G98" s="1">
        <v>25</v>
      </c>
      <c r="H98" s="1">
        <v>33</v>
      </c>
      <c r="I98" s="2">
        <v>1.9393939393939401E-2</v>
      </c>
      <c r="J98" s="5">
        <v>238.26122952921401</v>
      </c>
      <c r="K98" s="5">
        <v>0.18</v>
      </c>
    </row>
    <row r="99" spans="1:11" x14ac:dyDescent="0.25">
      <c r="B99" s="1">
        <v>16</v>
      </c>
      <c r="C99" s="4">
        <v>500</v>
      </c>
      <c r="D99" s="1">
        <v>2</v>
      </c>
      <c r="E99" s="3">
        <v>168</v>
      </c>
      <c r="F99" s="5">
        <v>3.2690000000000001</v>
      </c>
      <c r="G99" s="1">
        <v>25</v>
      </c>
      <c r="H99" s="1">
        <v>33</v>
      </c>
      <c r="I99" s="2">
        <v>1.9393939393939401E-2</v>
      </c>
      <c r="J99" s="5">
        <v>264.70949624961202</v>
      </c>
      <c r="K99" s="5">
        <v>0.2</v>
      </c>
    </row>
    <row r="100" spans="1:11" x14ac:dyDescent="0.25">
      <c r="B100" s="1">
        <v>16</v>
      </c>
      <c r="C100" s="4">
        <v>500</v>
      </c>
      <c r="D100" s="1">
        <v>2</v>
      </c>
      <c r="E100" s="3">
        <v>168</v>
      </c>
      <c r="F100" s="5">
        <v>3.2690000000000001</v>
      </c>
      <c r="G100" s="1">
        <v>25</v>
      </c>
      <c r="H100" s="1">
        <v>33</v>
      </c>
      <c r="I100" s="2">
        <v>1.9393939393939401E-2</v>
      </c>
      <c r="J100" s="5">
        <v>291.15776297001099</v>
      </c>
      <c r="K100" s="5">
        <v>0.23</v>
      </c>
    </row>
    <row r="101" spans="1:11" x14ac:dyDescent="0.25">
      <c r="B101" s="1">
        <v>16</v>
      </c>
      <c r="C101" s="4">
        <v>500</v>
      </c>
      <c r="D101" s="1">
        <v>2</v>
      </c>
      <c r="E101" s="3">
        <v>168</v>
      </c>
      <c r="F101" s="5">
        <v>3.2690000000000001</v>
      </c>
      <c r="G101" s="1">
        <v>25</v>
      </c>
      <c r="H101" s="1">
        <v>33</v>
      </c>
      <c r="I101" s="2">
        <v>1.9393939393939401E-2</v>
      </c>
      <c r="J101" s="5">
        <v>317.651395499535</v>
      </c>
      <c r="K101" s="5">
        <v>0.25</v>
      </c>
    </row>
    <row r="102" spans="1:11" x14ac:dyDescent="0.25">
      <c r="B102" s="1">
        <v>16</v>
      </c>
      <c r="C102" s="4">
        <v>500</v>
      </c>
      <c r="D102" s="1">
        <v>2</v>
      </c>
      <c r="E102" s="3">
        <v>168</v>
      </c>
      <c r="F102" s="5">
        <v>3.2690000000000001</v>
      </c>
      <c r="G102" s="1">
        <v>25</v>
      </c>
      <c r="H102" s="1">
        <v>33</v>
      </c>
      <c r="I102" s="2">
        <v>1.9393939393939401E-2</v>
      </c>
      <c r="J102" s="5">
        <v>344.14502802905901</v>
      </c>
      <c r="K102" s="5">
        <v>0.3</v>
      </c>
    </row>
    <row r="103" spans="1:11" x14ac:dyDescent="0.25">
      <c r="B103" s="1">
        <v>16</v>
      </c>
      <c r="C103" s="4">
        <v>500</v>
      </c>
      <c r="D103" s="1">
        <v>2</v>
      </c>
      <c r="E103" s="3">
        <v>168</v>
      </c>
      <c r="F103" s="5">
        <v>3.2690000000000001</v>
      </c>
      <c r="G103" s="1">
        <v>25</v>
      </c>
      <c r="H103" s="1">
        <v>33</v>
      </c>
      <c r="I103" s="2">
        <v>1.9393939393939401E-2</v>
      </c>
      <c r="J103" s="5">
        <v>370.54792894033199</v>
      </c>
      <c r="K103" s="5">
        <v>0.3</v>
      </c>
    </row>
    <row r="104" spans="1:11" x14ac:dyDescent="0.25">
      <c r="A104" t="s">
        <v>45</v>
      </c>
      <c r="B104" s="1">
        <v>16</v>
      </c>
      <c r="C104" s="4">
        <v>500</v>
      </c>
      <c r="D104" s="1">
        <v>2</v>
      </c>
      <c r="E104" s="3">
        <v>168</v>
      </c>
      <c r="F104" s="5">
        <v>3.2690000000000001</v>
      </c>
      <c r="G104" s="1">
        <v>25</v>
      </c>
      <c r="H104" s="1">
        <v>33</v>
      </c>
      <c r="I104" s="2">
        <v>1.9393939393939401E-2</v>
      </c>
      <c r="J104" s="5">
        <v>185.27396447016599</v>
      </c>
      <c r="K104" s="5">
        <v>0.15</v>
      </c>
    </row>
    <row r="105" spans="1:11" x14ac:dyDescent="0.25">
      <c r="B105" s="1">
        <v>16</v>
      </c>
      <c r="C105" s="4">
        <v>500</v>
      </c>
      <c r="D105" s="1">
        <v>2</v>
      </c>
      <c r="E105" s="3">
        <v>168</v>
      </c>
      <c r="F105" s="5">
        <v>3.2690000000000001</v>
      </c>
      <c r="G105" s="1">
        <v>25</v>
      </c>
      <c r="H105" s="1">
        <v>33</v>
      </c>
      <c r="I105" s="2">
        <v>1.9393939393939401E-2</v>
      </c>
      <c r="J105" s="5">
        <v>211.76759699969</v>
      </c>
      <c r="K105" s="5">
        <v>0.18</v>
      </c>
    </row>
    <row r="106" spans="1:11" x14ac:dyDescent="0.25">
      <c r="B106" s="1">
        <v>16</v>
      </c>
      <c r="C106" s="4">
        <v>500</v>
      </c>
      <c r="D106" s="1">
        <v>2</v>
      </c>
      <c r="E106" s="3">
        <v>168</v>
      </c>
      <c r="F106" s="5">
        <v>3.2690000000000001</v>
      </c>
      <c r="G106" s="1">
        <v>25</v>
      </c>
      <c r="H106" s="1">
        <v>33</v>
      </c>
      <c r="I106" s="2">
        <v>1.9393939393939401E-2</v>
      </c>
      <c r="J106" s="5">
        <v>238.26122952921401</v>
      </c>
      <c r="K106" s="5">
        <v>0.18</v>
      </c>
    </row>
    <row r="107" spans="1:11" x14ac:dyDescent="0.25">
      <c r="B107" s="1">
        <v>16</v>
      </c>
      <c r="C107" s="4">
        <v>500</v>
      </c>
      <c r="D107" s="1">
        <v>2</v>
      </c>
      <c r="E107" s="3">
        <v>168</v>
      </c>
      <c r="F107" s="5">
        <v>3.2690000000000001</v>
      </c>
      <c r="G107" s="1">
        <v>25</v>
      </c>
      <c r="H107" s="1">
        <v>33</v>
      </c>
      <c r="I107" s="2">
        <v>1.9393939393939401E-2</v>
      </c>
      <c r="J107" s="5">
        <v>264.70949624961202</v>
      </c>
      <c r="K107" s="5">
        <v>0.25</v>
      </c>
    </row>
    <row r="108" spans="1:11" x14ac:dyDescent="0.25">
      <c r="B108" s="1">
        <v>16</v>
      </c>
      <c r="C108" s="4">
        <v>500</v>
      </c>
      <c r="D108" s="1">
        <v>2</v>
      </c>
      <c r="E108" s="3">
        <v>168</v>
      </c>
      <c r="F108" s="5">
        <v>3.2690000000000001</v>
      </c>
      <c r="G108" s="1">
        <v>25</v>
      </c>
      <c r="H108" s="1">
        <v>33</v>
      </c>
      <c r="I108" s="2">
        <v>1.9393939393939401E-2</v>
      </c>
      <c r="J108" s="5">
        <v>291.15776297001099</v>
      </c>
      <c r="K108" s="5">
        <v>0.28000000000000003</v>
      </c>
    </row>
    <row r="109" spans="1:11" x14ac:dyDescent="0.25">
      <c r="B109" s="1">
        <v>16</v>
      </c>
      <c r="C109" s="4">
        <v>500</v>
      </c>
      <c r="D109" s="1">
        <v>2</v>
      </c>
      <c r="E109" s="3">
        <v>168</v>
      </c>
      <c r="F109" s="5">
        <v>3.2690000000000001</v>
      </c>
      <c r="G109" s="1">
        <v>25</v>
      </c>
      <c r="H109" s="1">
        <v>33</v>
      </c>
      <c r="I109" s="2">
        <v>1.9393939393939401E-2</v>
      </c>
      <c r="J109" s="5">
        <v>317.651395499535</v>
      </c>
      <c r="K109" s="5">
        <v>0.33</v>
      </c>
    </row>
    <row r="110" spans="1:11" x14ac:dyDescent="0.25">
      <c r="B110" s="1">
        <v>16</v>
      </c>
      <c r="C110" s="4">
        <v>500</v>
      </c>
      <c r="D110" s="1">
        <v>2</v>
      </c>
      <c r="E110" s="3">
        <v>168</v>
      </c>
      <c r="F110" s="5">
        <v>3.2690000000000001</v>
      </c>
      <c r="G110" s="1">
        <v>25</v>
      </c>
      <c r="H110" s="1">
        <v>33</v>
      </c>
      <c r="I110" s="2">
        <v>1.9393939393939401E-2</v>
      </c>
      <c r="J110" s="5">
        <v>344.14502802905901</v>
      </c>
      <c r="K110" s="5">
        <v>0.38</v>
      </c>
    </row>
    <row r="111" spans="1:11" x14ac:dyDescent="0.25">
      <c r="B111" s="1">
        <v>16</v>
      </c>
      <c r="C111" s="4">
        <v>500</v>
      </c>
      <c r="D111" s="1">
        <v>2</v>
      </c>
      <c r="E111" s="3">
        <v>168</v>
      </c>
      <c r="F111" s="5">
        <v>3.2690000000000001</v>
      </c>
      <c r="G111" s="1">
        <v>25</v>
      </c>
      <c r="H111" s="1">
        <v>33</v>
      </c>
      <c r="I111" s="2">
        <v>1.9393939393939401E-2</v>
      </c>
      <c r="J111" s="5">
        <v>370.54792894033199</v>
      </c>
      <c r="K111" s="5">
        <v>0.43</v>
      </c>
    </row>
    <row r="112" spans="1:11" x14ac:dyDescent="0.25">
      <c r="A112" t="s">
        <v>46</v>
      </c>
      <c r="B112" s="1">
        <v>16</v>
      </c>
      <c r="C112" s="4">
        <v>500</v>
      </c>
      <c r="D112" s="1">
        <v>3</v>
      </c>
      <c r="E112" s="3">
        <v>76</v>
      </c>
      <c r="F112" s="5">
        <v>3.2690000000000001</v>
      </c>
      <c r="G112" s="1">
        <v>25</v>
      </c>
      <c r="H112" s="1">
        <v>33</v>
      </c>
      <c r="I112" s="2">
        <v>2.9281922513849101E-2</v>
      </c>
      <c r="J112" s="5">
        <v>233.30469206437201</v>
      </c>
      <c r="K112" s="5">
        <v>0.15</v>
      </c>
    </row>
    <row r="113" spans="1:11" x14ac:dyDescent="0.25">
      <c r="B113" s="1">
        <v>16</v>
      </c>
      <c r="C113" s="4">
        <v>500</v>
      </c>
      <c r="D113" s="1">
        <v>3</v>
      </c>
      <c r="E113" s="3">
        <v>76</v>
      </c>
      <c r="F113" s="5">
        <v>3.2690000000000001</v>
      </c>
      <c r="G113" s="1">
        <v>25</v>
      </c>
      <c r="H113" s="1">
        <v>33</v>
      </c>
      <c r="I113" s="2">
        <v>2.9281922513849101E-2</v>
      </c>
      <c r="J113" s="5">
        <v>251.20389200919999</v>
      </c>
      <c r="K113" s="5">
        <v>0.18</v>
      </c>
    </row>
    <row r="114" spans="1:11" x14ac:dyDescent="0.25">
      <c r="B114" s="1">
        <v>16</v>
      </c>
      <c r="C114" s="4">
        <v>500</v>
      </c>
      <c r="D114" s="1">
        <v>3</v>
      </c>
      <c r="E114" s="3">
        <v>76</v>
      </c>
      <c r="F114" s="5">
        <v>3.2690000000000001</v>
      </c>
      <c r="G114" s="1">
        <v>25</v>
      </c>
      <c r="H114" s="1">
        <v>33</v>
      </c>
      <c r="I114" s="2">
        <v>2.9281922513849101E-2</v>
      </c>
      <c r="J114" s="5">
        <v>269.164601232189</v>
      </c>
      <c r="K114" s="5">
        <v>0.18</v>
      </c>
    </row>
    <row r="115" spans="1:11" x14ac:dyDescent="0.25">
      <c r="B115" s="1">
        <v>16</v>
      </c>
      <c r="C115" s="4">
        <v>500</v>
      </c>
      <c r="D115" s="1">
        <v>3</v>
      </c>
      <c r="E115" s="3">
        <v>76</v>
      </c>
      <c r="F115" s="5">
        <v>3.2690000000000001</v>
      </c>
      <c r="G115" s="1">
        <v>25</v>
      </c>
      <c r="H115" s="1">
        <v>33</v>
      </c>
      <c r="I115" s="2">
        <v>2.9281922513849101E-2</v>
      </c>
      <c r="J115" s="5">
        <v>287.12531045517801</v>
      </c>
      <c r="K115" s="5">
        <v>0.2</v>
      </c>
    </row>
    <row r="116" spans="1:11" x14ac:dyDescent="0.25">
      <c r="B116" s="1">
        <v>16</v>
      </c>
      <c r="C116" s="4">
        <v>500</v>
      </c>
      <c r="D116" s="1">
        <v>3</v>
      </c>
      <c r="E116" s="3">
        <v>76</v>
      </c>
      <c r="F116" s="5">
        <v>3.2690000000000001</v>
      </c>
      <c r="G116" s="1">
        <v>25</v>
      </c>
      <c r="H116" s="1">
        <v>33</v>
      </c>
      <c r="I116" s="2">
        <v>2.9281922513849101E-2</v>
      </c>
      <c r="J116" s="5">
        <v>305.08601967816702</v>
      </c>
      <c r="K116" s="5">
        <v>0.2</v>
      </c>
    </row>
    <row r="117" spans="1:11" x14ac:dyDescent="0.25">
      <c r="A117" t="s">
        <v>47</v>
      </c>
      <c r="B117" s="1">
        <v>16</v>
      </c>
      <c r="C117" s="4">
        <v>500</v>
      </c>
      <c r="D117" s="1">
        <v>3</v>
      </c>
      <c r="E117" s="3">
        <v>76</v>
      </c>
      <c r="F117" s="5">
        <v>3.2690000000000001</v>
      </c>
      <c r="G117" s="1">
        <v>25</v>
      </c>
      <c r="H117" s="1">
        <v>33</v>
      </c>
      <c r="I117" s="2">
        <v>2.9281922513849101E-2</v>
      </c>
      <c r="J117" s="5">
        <v>251.20389200919999</v>
      </c>
      <c r="K117" s="5">
        <v>0.15</v>
      </c>
    </row>
    <row r="118" spans="1:11" x14ac:dyDescent="0.25">
      <c r="B118" s="1">
        <v>16</v>
      </c>
      <c r="C118" s="4">
        <v>500</v>
      </c>
      <c r="D118" s="1">
        <v>3</v>
      </c>
      <c r="E118" s="3">
        <v>76</v>
      </c>
      <c r="F118" s="5">
        <v>3.2690000000000001</v>
      </c>
      <c r="G118" s="1">
        <v>25</v>
      </c>
      <c r="H118" s="1">
        <v>33</v>
      </c>
      <c r="I118" s="2">
        <v>2.9281922513849101E-2</v>
      </c>
      <c r="J118" s="5">
        <v>269.164601232189</v>
      </c>
      <c r="K118" s="5">
        <v>0.18</v>
      </c>
    </row>
    <row r="119" spans="1:11" x14ac:dyDescent="0.25">
      <c r="B119" s="1">
        <v>16</v>
      </c>
      <c r="C119" s="4">
        <v>500</v>
      </c>
      <c r="D119" s="1">
        <v>3</v>
      </c>
      <c r="E119" s="3">
        <v>76</v>
      </c>
      <c r="F119" s="5">
        <v>3.2690000000000001</v>
      </c>
      <c r="G119" s="1">
        <v>25</v>
      </c>
      <c r="H119" s="1">
        <v>33</v>
      </c>
      <c r="I119" s="2">
        <v>2.9281922513849101E-2</v>
      </c>
      <c r="J119" s="5">
        <v>287.12531045517801</v>
      </c>
      <c r="K119" s="5">
        <v>0.2</v>
      </c>
    </row>
    <row r="120" spans="1:11" x14ac:dyDescent="0.25">
      <c r="B120" s="1">
        <v>16</v>
      </c>
      <c r="C120" s="4">
        <v>500</v>
      </c>
      <c r="D120" s="1">
        <v>3</v>
      </c>
      <c r="E120" s="3">
        <v>76</v>
      </c>
      <c r="F120" s="5">
        <v>3.2690000000000001</v>
      </c>
      <c r="G120" s="1">
        <v>25</v>
      </c>
      <c r="H120" s="1">
        <v>33</v>
      </c>
      <c r="I120" s="2">
        <v>2.9281922513849101E-2</v>
      </c>
      <c r="J120" s="5">
        <v>305.08601967816702</v>
      </c>
      <c r="K120" s="5">
        <v>0.2</v>
      </c>
    </row>
    <row r="121" spans="1:11" x14ac:dyDescent="0.25">
      <c r="A121" t="s">
        <v>48</v>
      </c>
      <c r="B121" s="1">
        <v>12</v>
      </c>
      <c r="C121" s="4">
        <v>500</v>
      </c>
      <c r="D121" s="1">
        <v>2</v>
      </c>
      <c r="E121" s="3">
        <v>296</v>
      </c>
      <c r="F121" s="5">
        <v>3.2690000000000001</v>
      </c>
      <c r="G121" s="1">
        <v>25</v>
      </c>
      <c r="H121" s="1">
        <v>31</v>
      </c>
      <c r="I121" s="2">
        <v>1.24772064696725E-2</v>
      </c>
      <c r="J121" s="5">
        <v>176.28617352026799</v>
      </c>
      <c r="K121" s="5">
        <v>0.2</v>
      </c>
    </row>
    <row r="122" spans="1:11" x14ac:dyDescent="0.25">
      <c r="B122" s="1">
        <v>12</v>
      </c>
      <c r="C122" s="4">
        <v>500</v>
      </c>
      <c r="D122" s="1">
        <v>2</v>
      </c>
      <c r="E122" s="3">
        <v>296</v>
      </c>
      <c r="F122" s="5">
        <v>3.2690000000000001</v>
      </c>
      <c r="G122" s="1">
        <v>25</v>
      </c>
      <c r="H122" s="1">
        <v>31</v>
      </c>
      <c r="I122" s="2">
        <v>1.24772064696725E-2</v>
      </c>
      <c r="J122" s="5">
        <v>242.34630278375201</v>
      </c>
      <c r="K122" s="5">
        <v>0.25</v>
      </c>
    </row>
    <row r="123" spans="1:11" x14ac:dyDescent="0.25">
      <c r="B123" s="1">
        <v>12</v>
      </c>
      <c r="C123" s="4">
        <v>500</v>
      </c>
      <c r="D123" s="1">
        <v>2</v>
      </c>
      <c r="E123" s="3">
        <v>296</v>
      </c>
      <c r="F123" s="5">
        <v>3.2690000000000001</v>
      </c>
      <c r="G123" s="1">
        <v>25</v>
      </c>
      <c r="H123" s="1">
        <v>31</v>
      </c>
      <c r="I123" s="2">
        <v>1.24772064696725E-2</v>
      </c>
      <c r="J123" s="5">
        <v>308.40643204723602</v>
      </c>
      <c r="K123" s="5">
        <v>0.33</v>
      </c>
    </row>
    <row r="124" spans="1:11" x14ac:dyDescent="0.25">
      <c r="A124" t="s">
        <v>49</v>
      </c>
      <c r="B124" s="1">
        <v>12</v>
      </c>
      <c r="C124" s="4">
        <v>500</v>
      </c>
      <c r="D124" s="1">
        <v>2</v>
      </c>
      <c r="E124" s="3">
        <v>296</v>
      </c>
      <c r="F124" s="5">
        <v>3.2690000000000001</v>
      </c>
      <c r="G124" s="1">
        <v>25</v>
      </c>
      <c r="H124" s="1">
        <v>31</v>
      </c>
      <c r="I124" s="2">
        <v>1.24772064696725E-2</v>
      </c>
      <c r="J124" s="5">
        <v>242.34630278375201</v>
      </c>
      <c r="K124" s="5">
        <v>0.23</v>
      </c>
    </row>
    <row r="125" spans="1:11" x14ac:dyDescent="0.25">
      <c r="B125" s="1">
        <v>12</v>
      </c>
      <c r="C125" s="4">
        <v>500</v>
      </c>
      <c r="D125" s="1">
        <v>2</v>
      </c>
      <c r="E125" s="3">
        <v>296</v>
      </c>
      <c r="F125" s="5">
        <v>3.2690000000000001</v>
      </c>
      <c r="G125" s="1">
        <v>25</v>
      </c>
      <c r="H125" s="1">
        <v>31</v>
      </c>
      <c r="I125" s="2">
        <v>1.24772064696725E-2</v>
      </c>
      <c r="J125" s="5">
        <v>308.40643204723602</v>
      </c>
      <c r="K125" s="5">
        <v>0.28000000000000003</v>
      </c>
    </row>
    <row r="126" spans="1:11" x14ac:dyDescent="0.25">
      <c r="A126" t="s">
        <v>50</v>
      </c>
      <c r="B126" s="1">
        <v>12</v>
      </c>
      <c r="C126" s="4">
        <v>500</v>
      </c>
      <c r="D126" s="1">
        <v>3</v>
      </c>
      <c r="E126" s="3">
        <v>142</v>
      </c>
      <c r="F126" s="5">
        <v>3.2690000000000001</v>
      </c>
      <c r="G126" s="1">
        <v>25</v>
      </c>
      <c r="H126" s="1">
        <v>31</v>
      </c>
      <c r="I126" s="2">
        <v>1.9527117912145901E-2</v>
      </c>
      <c r="J126" s="5">
        <v>208.77973928930399</v>
      </c>
      <c r="K126" s="5">
        <v>0.18</v>
      </c>
    </row>
    <row r="127" spans="1:11" x14ac:dyDescent="0.25">
      <c r="B127" s="1">
        <v>12</v>
      </c>
      <c r="C127" s="4">
        <v>500</v>
      </c>
      <c r="D127" s="1">
        <v>3</v>
      </c>
      <c r="E127" s="3">
        <v>142</v>
      </c>
      <c r="F127" s="5">
        <v>3.2690000000000001</v>
      </c>
      <c r="G127" s="1">
        <v>25</v>
      </c>
      <c r="H127" s="1">
        <v>31</v>
      </c>
      <c r="I127" s="2">
        <v>1.9527117912145901E-2</v>
      </c>
      <c r="J127" s="5">
        <v>253.50000168297299</v>
      </c>
      <c r="K127" s="5">
        <v>0.23</v>
      </c>
    </row>
    <row r="128" spans="1:11" x14ac:dyDescent="0.25">
      <c r="B128" s="1">
        <v>12</v>
      </c>
      <c r="C128" s="4">
        <v>500</v>
      </c>
      <c r="D128" s="1">
        <v>3</v>
      </c>
      <c r="E128" s="3">
        <v>142</v>
      </c>
      <c r="F128" s="5">
        <v>3.2690000000000001</v>
      </c>
      <c r="G128" s="1">
        <v>25</v>
      </c>
      <c r="H128" s="1">
        <v>31</v>
      </c>
      <c r="I128" s="2">
        <v>1.9527117912145901E-2</v>
      </c>
      <c r="J128" s="5">
        <v>298.22026407664299</v>
      </c>
      <c r="K128" s="5">
        <v>0.25</v>
      </c>
    </row>
    <row r="129" spans="1:11" x14ac:dyDescent="0.25">
      <c r="A129" t="s">
        <v>51</v>
      </c>
      <c r="B129" s="1">
        <v>12</v>
      </c>
      <c r="C129" s="4">
        <v>500</v>
      </c>
      <c r="D129" s="1">
        <v>3</v>
      </c>
      <c r="E129" s="3">
        <v>142</v>
      </c>
      <c r="F129" s="5">
        <v>3.2690000000000001</v>
      </c>
      <c r="G129" s="1">
        <v>25</v>
      </c>
      <c r="H129" s="1">
        <v>31</v>
      </c>
      <c r="I129" s="2">
        <v>1.9527117912145901E-2</v>
      </c>
      <c r="J129" s="5">
        <v>208.77973928930399</v>
      </c>
      <c r="K129" s="5">
        <v>0.18</v>
      </c>
    </row>
    <row r="130" spans="1:11" x14ac:dyDescent="0.25">
      <c r="B130" s="1">
        <v>12</v>
      </c>
      <c r="C130" s="4">
        <v>500</v>
      </c>
      <c r="D130" s="1">
        <v>3</v>
      </c>
      <c r="E130" s="3">
        <v>142</v>
      </c>
      <c r="F130" s="5">
        <v>3.2690000000000001</v>
      </c>
      <c r="G130" s="1">
        <v>25</v>
      </c>
      <c r="H130" s="1">
        <v>31</v>
      </c>
      <c r="I130" s="2">
        <v>1.9527117912145901E-2</v>
      </c>
      <c r="J130" s="5">
        <v>253.50000168297299</v>
      </c>
      <c r="K130" s="5">
        <v>0.23</v>
      </c>
    </row>
    <row r="131" spans="1:11" x14ac:dyDescent="0.25">
      <c r="B131" s="1">
        <v>12</v>
      </c>
      <c r="C131" s="4">
        <v>500</v>
      </c>
      <c r="D131" s="1">
        <v>3</v>
      </c>
      <c r="E131" s="3">
        <v>142</v>
      </c>
      <c r="F131" s="5">
        <v>3.2690000000000001</v>
      </c>
      <c r="G131" s="1">
        <v>25</v>
      </c>
      <c r="H131" s="1">
        <v>31</v>
      </c>
      <c r="I131" s="2">
        <v>1.9527117912145901E-2</v>
      </c>
      <c r="J131" s="5">
        <v>298.22026407664299</v>
      </c>
      <c r="K131" s="5">
        <v>0.25</v>
      </c>
    </row>
    <row r="132" spans="1:11" x14ac:dyDescent="0.25">
      <c r="A132" t="s">
        <v>52</v>
      </c>
      <c r="B132" s="1">
        <v>12</v>
      </c>
      <c r="C132" s="4">
        <v>500</v>
      </c>
      <c r="D132" s="1">
        <v>4</v>
      </c>
      <c r="E132" s="3">
        <v>90.67</v>
      </c>
      <c r="F132" s="5">
        <v>3.2690000000000001</v>
      </c>
      <c r="G132" s="1">
        <v>25</v>
      </c>
      <c r="H132" s="1">
        <v>31</v>
      </c>
      <c r="I132" s="2">
        <v>2.6968773854657999E-2</v>
      </c>
      <c r="J132" s="5">
        <v>226.45530266576</v>
      </c>
      <c r="K132" s="5">
        <v>0.15</v>
      </c>
    </row>
    <row r="133" spans="1:11" x14ac:dyDescent="0.25">
      <c r="B133" s="1">
        <v>12</v>
      </c>
      <c r="C133" s="4">
        <v>500</v>
      </c>
      <c r="D133" s="1">
        <v>4</v>
      </c>
      <c r="E133" s="3">
        <v>90.67</v>
      </c>
      <c r="F133" s="5">
        <v>3.2690000000000001</v>
      </c>
      <c r="G133" s="1">
        <v>25</v>
      </c>
      <c r="H133" s="1">
        <v>31</v>
      </c>
      <c r="I133" s="2">
        <v>2.6968773854657999E-2</v>
      </c>
      <c r="J133" s="5">
        <v>260.41389561049601</v>
      </c>
      <c r="K133" s="5">
        <v>0.15</v>
      </c>
    </row>
    <row r="134" spans="1:11" x14ac:dyDescent="0.25">
      <c r="B134" s="1">
        <v>12</v>
      </c>
      <c r="C134" s="4">
        <v>500</v>
      </c>
      <c r="D134" s="1">
        <v>4</v>
      </c>
      <c r="E134" s="3">
        <v>90.67</v>
      </c>
      <c r="F134" s="5">
        <v>3.2690000000000001</v>
      </c>
      <c r="G134" s="1">
        <v>25</v>
      </c>
      <c r="H134" s="1">
        <v>31</v>
      </c>
      <c r="I134" s="2">
        <v>2.6968773854657999E-2</v>
      </c>
      <c r="J134" s="5">
        <v>294.37248855523302</v>
      </c>
      <c r="K134" s="5">
        <v>0.18</v>
      </c>
    </row>
    <row r="135" spans="1:11" x14ac:dyDescent="0.25">
      <c r="A135" t="s">
        <v>53</v>
      </c>
      <c r="B135" s="1">
        <v>12</v>
      </c>
      <c r="C135" s="4">
        <v>500</v>
      </c>
      <c r="D135" s="1">
        <v>4</v>
      </c>
      <c r="E135" s="3">
        <v>90.67</v>
      </c>
      <c r="F135" s="5">
        <v>3.2690000000000001</v>
      </c>
      <c r="G135" s="1">
        <v>25</v>
      </c>
      <c r="H135" s="1">
        <v>31</v>
      </c>
      <c r="I135" s="2">
        <v>2.6968773854657999E-2</v>
      </c>
      <c r="J135" s="5">
        <v>226.45530266576</v>
      </c>
      <c r="K135" s="5">
        <v>0.18</v>
      </c>
    </row>
    <row r="136" spans="1:11" x14ac:dyDescent="0.25">
      <c r="B136" s="1">
        <v>12</v>
      </c>
      <c r="C136" s="4">
        <v>500</v>
      </c>
      <c r="D136" s="1">
        <v>4</v>
      </c>
      <c r="E136" s="3">
        <v>90.67</v>
      </c>
      <c r="F136" s="5">
        <v>3.2690000000000001</v>
      </c>
      <c r="G136" s="1">
        <v>25</v>
      </c>
      <c r="H136" s="1">
        <v>31</v>
      </c>
      <c r="I136" s="2">
        <v>2.6968773854657999E-2</v>
      </c>
      <c r="J136" s="5">
        <v>260.41389561049601</v>
      </c>
      <c r="K136" s="5">
        <v>0.2</v>
      </c>
    </row>
    <row r="137" spans="1:11" x14ac:dyDescent="0.25">
      <c r="B137" s="1">
        <v>12</v>
      </c>
      <c r="C137" s="4">
        <v>500</v>
      </c>
      <c r="D137" s="1">
        <v>4</v>
      </c>
      <c r="E137" s="3">
        <v>90.67</v>
      </c>
      <c r="F137" s="5">
        <v>3.2690000000000001</v>
      </c>
      <c r="G137" s="1">
        <v>25</v>
      </c>
      <c r="H137" s="1">
        <v>31</v>
      </c>
      <c r="I137" s="2">
        <v>2.6968773854657999E-2</v>
      </c>
      <c r="J137" s="5">
        <v>294.37248855523302</v>
      </c>
      <c r="K137" s="5">
        <v>0.23</v>
      </c>
    </row>
    <row r="138" spans="1:11" x14ac:dyDescent="0.25">
      <c r="A138" t="s">
        <v>54</v>
      </c>
      <c r="B138" s="1">
        <v>10</v>
      </c>
      <c r="C138" s="4">
        <v>528</v>
      </c>
      <c r="D138" s="1">
        <v>1</v>
      </c>
      <c r="E138" s="3">
        <v>45</v>
      </c>
      <c r="F138" s="5">
        <v>2.8</v>
      </c>
      <c r="G138" s="1">
        <v>40</v>
      </c>
      <c r="H138" s="1">
        <v>45</v>
      </c>
      <c r="I138" s="2">
        <v>1.14013751634802E-2</v>
      </c>
      <c r="J138" s="5">
        <v>274.14363221273101</v>
      </c>
      <c r="K138" s="5">
        <v>0.16</v>
      </c>
    </row>
    <row r="139" spans="1:11" x14ac:dyDescent="0.25">
      <c r="B139" s="1">
        <v>10</v>
      </c>
      <c r="C139" s="4">
        <v>528</v>
      </c>
      <c r="D139" s="1">
        <v>1</v>
      </c>
      <c r="E139" s="3">
        <v>45</v>
      </c>
      <c r="F139" s="5">
        <v>2.8</v>
      </c>
      <c r="G139" s="1">
        <v>40</v>
      </c>
      <c r="H139" s="1">
        <v>45</v>
      </c>
      <c r="I139" s="2">
        <v>1.14013751634802E-2</v>
      </c>
      <c r="J139" s="5">
        <v>294.202922374639</v>
      </c>
      <c r="K139" s="5">
        <v>0.18</v>
      </c>
    </row>
    <row r="140" spans="1:11" x14ac:dyDescent="0.25">
      <c r="B140" s="1">
        <v>10</v>
      </c>
      <c r="C140" s="4">
        <v>528</v>
      </c>
      <c r="D140" s="1">
        <v>1</v>
      </c>
      <c r="E140" s="3">
        <v>45</v>
      </c>
      <c r="F140" s="5">
        <v>2.8</v>
      </c>
      <c r="G140" s="1">
        <v>40</v>
      </c>
      <c r="H140" s="1">
        <v>45</v>
      </c>
      <c r="I140" s="2">
        <v>1.14013751634802E-2</v>
      </c>
      <c r="J140" s="5">
        <v>316.93678455813301</v>
      </c>
      <c r="K140" s="5">
        <v>0.2</v>
      </c>
    </row>
    <row r="141" spans="1:11" x14ac:dyDescent="0.25">
      <c r="B141" s="1">
        <v>10</v>
      </c>
      <c r="C141" s="4">
        <v>528</v>
      </c>
      <c r="D141" s="1">
        <v>1</v>
      </c>
      <c r="E141" s="3">
        <v>45</v>
      </c>
      <c r="F141" s="5">
        <v>2.8</v>
      </c>
      <c r="G141" s="1">
        <v>40</v>
      </c>
      <c r="H141" s="1">
        <v>45</v>
      </c>
      <c r="I141" s="2">
        <v>1.14013751634802E-2</v>
      </c>
      <c r="J141" s="5">
        <v>336.99607472004101</v>
      </c>
      <c r="K141" s="5">
        <v>0.22</v>
      </c>
    </row>
    <row r="142" spans="1:11" x14ac:dyDescent="0.25">
      <c r="B142" s="1">
        <v>10</v>
      </c>
      <c r="C142" s="4">
        <v>528</v>
      </c>
      <c r="D142" s="1">
        <v>1</v>
      </c>
      <c r="E142" s="3">
        <v>45</v>
      </c>
      <c r="F142" s="5">
        <v>2.8</v>
      </c>
      <c r="G142" s="1">
        <v>40</v>
      </c>
      <c r="H142" s="1">
        <v>45</v>
      </c>
      <c r="I142" s="2">
        <v>1.14013751634802E-2</v>
      </c>
      <c r="J142" s="5">
        <v>359.72993690353502</v>
      </c>
      <c r="K142" s="5">
        <v>0.24</v>
      </c>
    </row>
    <row r="143" spans="1:11" x14ac:dyDescent="0.25">
      <c r="B143" s="1">
        <v>10</v>
      </c>
      <c r="C143" s="4">
        <v>528</v>
      </c>
      <c r="D143" s="1">
        <v>1</v>
      </c>
      <c r="E143" s="3">
        <v>45</v>
      </c>
      <c r="F143" s="5">
        <v>2.8</v>
      </c>
      <c r="G143" s="1">
        <v>40</v>
      </c>
      <c r="H143" s="1">
        <v>45</v>
      </c>
      <c r="I143" s="2">
        <v>1.14013751634802E-2</v>
      </c>
      <c r="J143" s="5">
        <v>379.78922706544199</v>
      </c>
      <c r="K143" s="5">
        <v>0.26</v>
      </c>
    </row>
    <row r="144" spans="1:11" x14ac:dyDescent="0.25">
      <c r="B144" s="1">
        <v>10</v>
      </c>
      <c r="C144" s="4">
        <v>528</v>
      </c>
      <c r="D144" s="1">
        <v>1</v>
      </c>
      <c r="E144" s="3">
        <v>45</v>
      </c>
      <c r="F144" s="5">
        <v>2.8</v>
      </c>
      <c r="G144" s="1">
        <v>40</v>
      </c>
      <c r="H144" s="1">
        <v>45</v>
      </c>
      <c r="I144" s="2">
        <v>1.14013751634802E-2</v>
      </c>
      <c r="J144" s="5">
        <v>403.86037525973097</v>
      </c>
      <c r="K144" s="5">
        <v>0.28000000000000003</v>
      </c>
    </row>
    <row r="145" spans="1:11" x14ac:dyDescent="0.25">
      <c r="A145" t="s">
        <v>55</v>
      </c>
      <c r="B145" s="1">
        <v>10</v>
      </c>
      <c r="C145" s="4">
        <v>528</v>
      </c>
      <c r="D145" s="1">
        <v>1</v>
      </c>
      <c r="E145" s="3">
        <v>45</v>
      </c>
      <c r="F145" s="5">
        <v>2.8</v>
      </c>
      <c r="G145" s="1">
        <v>40</v>
      </c>
      <c r="H145" s="1">
        <v>45</v>
      </c>
      <c r="I145" s="2">
        <v>1.14013751634802E-2</v>
      </c>
      <c r="J145" s="5">
        <v>251.409770029237</v>
      </c>
      <c r="K145" s="5">
        <v>0.15</v>
      </c>
    </row>
    <row r="146" spans="1:11" x14ac:dyDescent="0.25">
      <c r="B146" s="1">
        <v>10</v>
      </c>
      <c r="C146" s="4">
        <v>528</v>
      </c>
      <c r="D146" s="1">
        <v>1</v>
      </c>
      <c r="E146" s="3">
        <v>45</v>
      </c>
      <c r="F146" s="5">
        <v>2.8</v>
      </c>
      <c r="G146" s="1">
        <v>40</v>
      </c>
      <c r="H146" s="1">
        <v>45</v>
      </c>
      <c r="I146" s="2">
        <v>1.14013751634802E-2</v>
      </c>
      <c r="J146" s="5">
        <v>274.14363221273101</v>
      </c>
      <c r="K146" s="5">
        <v>0.17</v>
      </c>
    </row>
    <row r="147" spans="1:11" x14ac:dyDescent="0.25">
      <c r="B147" s="1">
        <v>10</v>
      </c>
      <c r="C147" s="4">
        <v>528</v>
      </c>
      <c r="D147" s="1">
        <v>1</v>
      </c>
      <c r="E147" s="3">
        <v>45</v>
      </c>
      <c r="F147" s="5">
        <v>2.8</v>
      </c>
      <c r="G147" s="1">
        <v>40</v>
      </c>
      <c r="H147" s="1">
        <v>45</v>
      </c>
      <c r="I147" s="2">
        <v>1.14013751634802E-2</v>
      </c>
      <c r="J147" s="5">
        <v>295.54020838543198</v>
      </c>
      <c r="K147" s="5">
        <v>0.19</v>
      </c>
    </row>
    <row r="148" spans="1:11" x14ac:dyDescent="0.25">
      <c r="B148" s="1">
        <v>10</v>
      </c>
      <c r="C148" s="4">
        <v>528</v>
      </c>
      <c r="D148" s="1">
        <v>1</v>
      </c>
      <c r="E148" s="3">
        <v>45</v>
      </c>
      <c r="F148" s="5">
        <v>2.8</v>
      </c>
      <c r="G148" s="1">
        <v>40</v>
      </c>
      <c r="H148" s="1">
        <v>45</v>
      </c>
      <c r="I148" s="2">
        <v>1.14013751634802E-2</v>
      </c>
      <c r="J148" s="5">
        <v>314.930855541943</v>
      </c>
      <c r="K148" s="5">
        <v>0.2</v>
      </c>
    </row>
    <row r="149" spans="1:11" x14ac:dyDescent="0.25">
      <c r="B149" s="1">
        <v>10</v>
      </c>
      <c r="C149" s="4">
        <v>528</v>
      </c>
      <c r="D149" s="1">
        <v>1</v>
      </c>
      <c r="E149" s="3">
        <v>45</v>
      </c>
      <c r="F149" s="5">
        <v>2.8</v>
      </c>
      <c r="G149" s="1">
        <v>40</v>
      </c>
      <c r="H149" s="1">
        <v>45</v>
      </c>
      <c r="I149" s="2">
        <v>1.14013751634802E-2</v>
      </c>
      <c r="J149" s="5">
        <v>336.99607472004101</v>
      </c>
      <c r="K149" s="5">
        <v>0.22</v>
      </c>
    </row>
    <row r="150" spans="1:11" x14ac:dyDescent="0.25">
      <c r="B150" s="1">
        <v>10</v>
      </c>
      <c r="C150" s="4">
        <v>528</v>
      </c>
      <c r="D150" s="1">
        <v>1</v>
      </c>
      <c r="E150" s="3">
        <v>45</v>
      </c>
      <c r="F150" s="5">
        <v>2.8</v>
      </c>
      <c r="G150" s="1">
        <v>40</v>
      </c>
      <c r="H150" s="1">
        <v>45</v>
      </c>
      <c r="I150" s="2">
        <v>1.14013751634802E-2</v>
      </c>
      <c r="J150" s="5">
        <v>359.06129389813799</v>
      </c>
      <c r="K150" s="5">
        <v>0.24</v>
      </c>
    </row>
    <row r="151" spans="1:11" x14ac:dyDescent="0.25">
      <c r="B151" s="1">
        <v>10</v>
      </c>
      <c r="C151" s="4">
        <v>528</v>
      </c>
      <c r="D151" s="1">
        <v>1</v>
      </c>
      <c r="E151" s="3">
        <v>45</v>
      </c>
      <c r="F151" s="5">
        <v>2.8</v>
      </c>
      <c r="G151" s="1">
        <v>40</v>
      </c>
      <c r="H151" s="1">
        <v>45</v>
      </c>
      <c r="I151" s="2">
        <v>1.14013751634802E-2</v>
      </c>
      <c r="J151" s="5">
        <v>377.78329804925198</v>
      </c>
      <c r="K151" s="5">
        <v>0.26</v>
      </c>
    </row>
    <row r="152" spans="1:11" x14ac:dyDescent="0.25">
      <c r="B152" s="1">
        <v>10</v>
      </c>
      <c r="C152" s="4">
        <v>528</v>
      </c>
      <c r="D152" s="1">
        <v>1</v>
      </c>
      <c r="E152" s="3">
        <v>45</v>
      </c>
      <c r="F152" s="5">
        <v>2.8</v>
      </c>
      <c r="G152" s="1">
        <v>40</v>
      </c>
      <c r="H152" s="1">
        <v>45</v>
      </c>
      <c r="I152" s="2">
        <v>1.14013751634802E-2</v>
      </c>
      <c r="J152" s="5">
        <v>395.83665919496798</v>
      </c>
      <c r="K152" s="5">
        <v>0.28999999999999998</v>
      </c>
    </row>
    <row r="153" spans="1:11" x14ac:dyDescent="0.25">
      <c r="A153" t="s">
        <v>56</v>
      </c>
      <c r="B153" s="1">
        <v>20</v>
      </c>
      <c r="C153" s="4">
        <v>598</v>
      </c>
      <c r="D153" s="1">
        <v>1</v>
      </c>
      <c r="E153" s="3">
        <v>40</v>
      </c>
      <c r="F153" s="5">
        <v>2.8</v>
      </c>
      <c r="G153" s="1">
        <v>40</v>
      </c>
      <c r="H153" s="1">
        <v>50</v>
      </c>
      <c r="I153" s="2">
        <v>5.4123833185813597E-2</v>
      </c>
      <c r="J153" s="5">
        <v>201.33268539095999</v>
      </c>
      <c r="K153" s="5">
        <v>0.17</v>
      </c>
    </row>
    <row r="154" spans="1:11" x14ac:dyDescent="0.25">
      <c r="B154" s="1">
        <v>20</v>
      </c>
      <c r="C154" s="4">
        <v>598</v>
      </c>
      <c r="D154" s="1">
        <v>1</v>
      </c>
      <c r="E154" s="3">
        <v>40</v>
      </c>
      <c r="F154" s="5">
        <v>2.8</v>
      </c>
      <c r="G154" s="1">
        <v>40</v>
      </c>
      <c r="H154" s="1">
        <v>50</v>
      </c>
      <c r="I154" s="2">
        <v>5.4123833185813597E-2</v>
      </c>
      <c r="J154" s="5">
        <v>235.281479050211</v>
      </c>
      <c r="K154" s="5">
        <v>0.2</v>
      </c>
    </row>
    <row r="155" spans="1:11" x14ac:dyDescent="0.25">
      <c r="B155" s="1">
        <v>20</v>
      </c>
      <c r="C155" s="4">
        <v>598</v>
      </c>
      <c r="D155" s="1">
        <v>1</v>
      </c>
      <c r="E155" s="3">
        <v>40</v>
      </c>
      <c r="F155" s="5">
        <v>2.8</v>
      </c>
      <c r="G155" s="1">
        <v>40</v>
      </c>
      <c r="H155" s="1">
        <v>50</v>
      </c>
      <c r="I155" s="2">
        <v>5.4123833185813597E-2</v>
      </c>
      <c r="J155" s="5">
        <v>268.14100660274801</v>
      </c>
      <c r="K155" s="5">
        <v>0.24</v>
      </c>
    </row>
    <row r="156" spans="1:11" x14ac:dyDescent="0.25">
      <c r="B156" s="1">
        <v>20</v>
      </c>
      <c r="C156" s="4">
        <v>598</v>
      </c>
      <c r="D156" s="1">
        <v>1</v>
      </c>
      <c r="E156" s="3">
        <v>40</v>
      </c>
      <c r="F156" s="5">
        <v>2.8</v>
      </c>
      <c r="G156" s="1">
        <v>40</v>
      </c>
      <c r="H156" s="1">
        <v>50</v>
      </c>
      <c r="I156" s="2">
        <v>5.4123833185813597E-2</v>
      </c>
      <c r="J156" s="5">
        <v>300.81898980416599</v>
      </c>
      <c r="K156" s="5">
        <v>0.27</v>
      </c>
    </row>
    <row r="157" spans="1:11" x14ac:dyDescent="0.25">
      <c r="B157" s="1">
        <v>20</v>
      </c>
      <c r="C157" s="4">
        <v>598</v>
      </c>
      <c r="D157" s="1">
        <v>1</v>
      </c>
      <c r="E157" s="3">
        <v>40</v>
      </c>
      <c r="F157" s="5">
        <v>2.8</v>
      </c>
      <c r="G157" s="1">
        <v>40</v>
      </c>
      <c r="H157" s="1">
        <v>50</v>
      </c>
      <c r="I157" s="2">
        <v>5.4123833185813597E-2</v>
      </c>
      <c r="J157" s="5">
        <v>333.13388430334601</v>
      </c>
      <c r="K157" s="5">
        <v>0.32</v>
      </c>
    </row>
    <row r="158" spans="1:11" x14ac:dyDescent="0.25">
      <c r="B158" s="1">
        <v>20</v>
      </c>
      <c r="C158" s="4">
        <v>598</v>
      </c>
      <c r="D158" s="1">
        <v>1</v>
      </c>
      <c r="E158" s="3">
        <v>40</v>
      </c>
      <c r="F158" s="5">
        <v>2.8</v>
      </c>
      <c r="G158" s="1">
        <v>40</v>
      </c>
      <c r="H158" s="1">
        <v>50</v>
      </c>
      <c r="I158" s="2">
        <v>5.4123833185813597E-2</v>
      </c>
      <c r="J158" s="5">
        <v>366.35650055812101</v>
      </c>
      <c r="K158" s="5">
        <v>0.34</v>
      </c>
    </row>
    <row r="159" spans="1:11" x14ac:dyDescent="0.25">
      <c r="A159" t="s">
        <v>57</v>
      </c>
      <c r="B159" s="1">
        <v>20</v>
      </c>
      <c r="C159" s="4">
        <v>598</v>
      </c>
      <c r="D159" s="1">
        <v>1</v>
      </c>
      <c r="E159" s="3">
        <v>40</v>
      </c>
      <c r="F159" s="5">
        <v>2.8</v>
      </c>
      <c r="G159" s="1">
        <v>40</v>
      </c>
      <c r="H159" s="1">
        <v>50</v>
      </c>
      <c r="I159" s="2">
        <v>5.4123833185813597E-2</v>
      </c>
      <c r="J159" s="5">
        <v>169.74396829625499</v>
      </c>
      <c r="K159" s="5">
        <v>0.16</v>
      </c>
    </row>
    <row r="160" spans="1:11" x14ac:dyDescent="0.25">
      <c r="B160" s="1">
        <v>20</v>
      </c>
      <c r="C160" s="4">
        <v>598</v>
      </c>
      <c r="D160" s="1">
        <v>1</v>
      </c>
      <c r="E160" s="3">
        <v>40</v>
      </c>
      <c r="F160" s="5">
        <v>2.8</v>
      </c>
      <c r="G160" s="1">
        <v>40</v>
      </c>
      <c r="H160" s="1">
        <v>50</v>
      </c>
      <c r="I160" s="2">
        <v>5.4123833185813597E-2</v>
      </c>
      <c r="J160" s="5">
        <v>201.87731844431701</v>
      </c>
      <c r="K160" s="5">
        <v>0.2</v>
      </c>
    </row>
    <row r="161" spans="1:11" x14ac:dyDescent="0.25">
      <c r="B161" s="1">
        <v>20</v>
      </c>
      <c r="C161" s="4">
        <v>598</v>
      </c>
      <c r="D161" s="1">
        <v>1</v>
      </c>
      <c r="E161" s="3">
        <v>40</v>
      </c>
      <c r="F161" s="5">
        <v>2.8</v>
      </c>
      <c r="G161" s="1">
        <v>40</v>
      </c>
      <c r="H161" s="1">
        <v>50</v>
      </c>
      <c r="I161" s="2">
        <v>5.4123833185813597E-2</v>
      </c>
      <c r="J161" s="5">
        <v>234.73684599685399</v>
      </c>
      <c r="K161" s="5">
        <v>0.24</v>
      </c>
    </row>
    <row r="162" spans="1:11" x14ac:dyDescent="0.25">
      <c r="B162" s="1">
        <v>20</v>
      </c>
      <c r="C162" s="4">
        <v>598</v>
      </c>
      <c r="D162" s="1">
        <v>1</v>
      </c>
      <c r="E162" s="3">
        <v>40</v>
      </c>
      <c r="F162" s="5">
        <v>2.8</v>
      </c>
      <c r="G162" s="1">
        <v>40</v>
      </c>
      <c r="H162" s="1">
        <v>50</v>
      </c>
      <c r="I162" s="2">
        <v>5.4123833185813597E-2</v>
      </c>
      <c r="J162" s="5">
        <v>267.23328484715302</v>
      </c>
      <c r="K162" s="5">
        <v>0.27</v>
      </c>
    </row>
    <row r="163" spans="1:11" x14ac:dyDescent="0.25">
      <c r="B163" s="1">
        <v>20</v>
      </c>
      <c r="C163" s="4">
        <v>598</v>
      </c>
      <c r="D163" s="1">
        <v>1</v>
      </c>
      <c r="E163" s="3">
        <v>40</v>
      </c>
      <c r="F163" s="5">
        <v>2.8</v>
      </c>
      <c r="G163" s="1">
        <v>40</v>
      </c>
      <c r="H163" s="1">
        <v>50</v>
      </c>
      <c r="I163" s="2">
        <v>5.4123833185813597E-2</v>
      </c>
      <c r="J163" s="5">
        <v>301.00053415528498</v>
      </c>
      <c r="K163" s="5">
        <v>0.28999999999999998</v>
      </c>
    </row>
    <row r="164" spans="1:11" x14ac:dyDescent="0.25">
      <c r="B164" s="1">
        <v>20</v>
      </c>
      <c r="C164" s="4">
        <v>598</v>
      </c>
      <c r="D164" s="1">
        <v>1</v>
      </c>
      <c r="E164" s="3">
        <v>40</v>
      </c>
      <c r="F164" s="5">
        <v>2.8</v>
      </c>
      <c r="G164" s="1">
        <v>40</v>
      </c>
      <c r="H164" s="1">
        <v>50</v>
      </c>
      <c r="I164" s="2">
        <v>5.4123833185813597E-2</v>
      </c>
      <c r="J164" s="5">
        <v>333.13388430334601</v>
      </c>
      <c r="K164" s="5">
        <v>0.32</v>
      </c>
    </row>
    <row r="165" spans="1:11" x14ac:dyDescent="0.25">
      <c r="B165" s="1">
        <v>20</v>
      </c>
      <c r="C165" s="4">
        <v>598</v>
      </c>
      <c r="D165" s="1">
        <v>1</v>
      </c>
      <c r="E165" s="3">
        <v>40</v>
      </c>
      <c r="F165" s="5">
        <v>2.8</v>
      </c>
      <c r="G165" s="1">
        <v>40</v>
      </c>
      <c r="H165" s="1">
        <v>50</v>
      </c>
      <c r="I165" s="2">
        <v>5.4123833185813597E-2</v>
      </c>
      <c r="J165" s="5">
        <v>348.746698499579</v>
      </c>
      <c r="K165" s="5">
        <v>0.33</v>
      </c>
    </row>
    <row r="166" spans="1:11" x14ac:dyDescent="0.25">
      <c r="A166" t="s">
        <v>58</v>
      </c>
      <c r="B166" s="1">
        <v>10</v>
      </c>
      <c r="C166" s="4">
        <v>528</v>
      </c>
      <c r="D166" s="1">
        <v>1</v>
      </c>
      <c r="E166" s="3">
        <v>45</v>
      </c>
      <c r="F166" s="5">
        <v>2.8</v>
      </c>
      <c r="G166" s="1">
        <v>40</v>
      </c>
      <c r="H166" s="1">
        <v>45</v>
      </c>
      <c r="I166" s="2">
        <v>7.9598096831560508E-3</v>
      </c>
      <c r="J166" s="5">
        <v>310.30985357473799</v>
      </c>
      <c r="K166" s="5">
        <v>0.15</v>
      </c>
    </row>
    <row r="167" spans="1:11" x14ac:dyDescent="0.25">
      <c r="B167" s="1">
        <v>10</v>
      </c>
      <c r="C167" s="4">
        <v>528</v>
      </c>
      <c r="D167" s="1">
        <v>1</v>
      </c>
      <c r="E167" s="3">
        <v>45</v>
      </c>
      <c r="F167" s="5">
        <v>2.8</v>
      </c>
      <c r="G167" s="1">
        <v>40</v>
      </c>
      <c r="H167" s="1">
        <v>45</v>
      </c>
      <c r="I167" s="2">
        <v>7.9598096831560508E-3</v>
      </c>
      <c r="J167" s="5">
        <v>330.286882774829</v>
      </c>
      <c r="K167" s="5">
        <v>0.19</v>
      </c>
    </row>
    <row r="168" spans="1:11" x14ac:dyDescent="0.25">
      <c r="B168" s="1">
        <v>10</v>
      </c>
      <c r="C168" s="4">
        <v>528</v>
      </c>
      <c r="D168" s="1">
        <v>1</v>
      </c>
      <c r="E168" s="3">
        <v>45</v>
      </c>
      <c r="F168" s="5">
        <v>2.8</v>
      </c>
      <c r="G168" s="1">
        <v>40</v>
      </c>
      <c r="H168" s="1">
        <v>45</v>
      </c>
      <c r="I168" s="2">
        <v>7.9598096831560508E-3</v>
      </c>
      <c r="J168" s="5">
        <v>334.282288614847</v>
      </c>
      <c r="K168" s="5">
        <v>0.2</v>
      </c>
    </row>
    <row r="169" spans="1:11" x14ac:dyDescent="0.25">
      <c r="B169" s="1">
        <v>10</v>
      </c>
      <c r="C169" s="4">
        <v>528</v>
      </c>
      <c r="D169" s="1">
        <v>1</v>
      </c>
      <c r="E169" s="3">
        <v>45</v>
      </c>
      <c r="F169" s="5">
        <v>2.8</v>
      </c>
      <c r="G169" s="1">
        <v>40</v>
      </c>
      <c r="H169" s="1">
        <v>45</v>
      </c>
      <c r="I169" s="2">
        <v>7.9598096831560508E-3</v>
      </c>
      <c r="J169" s="5">
        <v>351.151779939368</v>
      </c>
      <c r="K169" s="5">
        <v>0.23</v>
      </c>
    </row>
    <row r="170" spans="1:11" x14ac:dyDescent="0.25">
      <c r="B170" s="1">
        <v>10</v>
      </c>
      <c r="C170" s="4">
        <v>528</v>
      </c>
      <c r="D170" s="1">
        <v>1</v>
      </c>
      <c r="E170" s="3">
        <v>45</v>
      </c>
      <c r="F170" s="5">
        <v>2.8</v>
      </c>
      <c r="G170" s="1">
        <v>40</v>
      </c>
      <c r="H170" s="1">
        <v>45</v>
      </c>
      <c r="I170" s="2">
        <v>7.9598096831560508E-3</v>
      </c>
      <c r="J170" s="5">
        <v>362.69406347719797</v>
      </c>
      <c r="K170" s="5">
        <v>0.25</v>
      </c>
    </row>
    <row r="171" spans="1:11" x14ac:dyDescent="0.25">
      <c r="B171" s="1">
        <v>10</v>
      </c>
      <c r="C171" s="4">
        <v>528</v>
      </c>
      <c r="D171" s="1">
        <v>1</v>
      </c>
      <c r="E171" s="3">
        <v>45</v>
      </c>
      <c r="F171" s="5">
        <v>2.8</v>
      </c>
      <c r="G171" s="1">
        <v>40</v>
      </c>
      <c r="H171" s="1">
        <v>45</v>
      </c>
      <c r="I171" s="2">
        <v>7.9598096831560508E-3</v>
      </c>
      <c r="J171" s="5">
        <v>375.56814896170101</v>
      </c>
      <c r="K171" s="5">
        <v>0.28000000000000003</v>
      </c>
    </row>
    <row r="172" spans="1:11" x14ac:dyDescent="0.25">
      <c r="B172" s="1">
        <v>10</v>
      </c>
      <c r="C172" s="4">
        <v>528</v>
      </c>
      <c r="D172" s="1">
        <v>1</v>
      </c>
      <c r="E172" s="3">
        <v>45</v>
      </c>
      <c r="F172" s="5">
        <v>2.8</v>
      </c>
      <c r="G172" s="1">
        <v>40</v>
      </c>
      <c r="H172" s="1">
        <v>45</v>
      </c>
      <c r="I172" s="2">
        <v>7.9598096831560508E-3</v>
      </c>
      <c r="J172" s="5">
        <v>387.11043249953099</v>
      </c>
      <c r="K172" s="5">
        <v>0.31</v>
      </c>
    </row>
    <row r="173" spans="1:11" x14ac:dyDescent="0.25">
      <c r="B173" s="1">
        <v>10</v>
      </c>
      <c r="C173" s="4">
        <v>528</v>
      </c>
      <c r="D173" s="1">
        <v>1</v>
      </c>
      <c r="E173" s="3">
        <v>45</v>
      </c>
      <c r="F173" s="5">
        <v>2.8</v>
      </c>
      <c r="G173" s="1">
        <v>40</v>
      </c>
      <c r="H173" s="1">
        <v>45</v>
      </c>
      <c r="I173" s="2">
        <v>7.9598096831560508E-3</v>
      </c>
      <c r="J173" s="5">
        <v>400.87238594848202</v>
      </c>
      <c r="K173" s="5">
        <v>0.36</v>
      </c>
    </row>
    <row r="174" spans="1:11" x14ac:dyDescent="0.25">
      <c r="A174" t="s">
        <v>59</v>
      </c>
      <c r="B174" s="1">
        <v>10</v>
      </c>
      <c r="C174" s="4">
        <v>528</v>
      </c>
      <c r="D174" s="1">
        <v>1</v>
      </c>
      <c r="E174" s="3">
        <v>45</v>
      </c>
      <c r="F174" s="5">
        <v>2.8</v>
      </c>
      <c r="G174" s="1">
        <v>40</v>
      </c>
      <c r="H174" s="1">
        <v>45</v>
      </c>
      <c r="I174" s="2">
        <v>7.9598096831560508E-3</v>
      </c>
      <c r="J174" s="5">
        <v>308.978051628066</v>
      </c>
      <c r="K174" s="5">
        <v>0.16</v>
      </c>
    </row>
    <row r="175" spans="1:11" x14ac:dyDescent="0.25">
      <c r="B175" s="1">
        <v>10</v>
      </c>
      <c r="C175" s="4">
        <v>528</v>
      </c>
      <c r="D175" s="1">
        <v>1</v>
      </c>
      <c r="E175" s="3">
        <v>45</v>
      </c>
      <c r="F175" s="5">
        <v>2.8</v>
      </c>
      <c r="G175" s="1">
        <v>40</v>
      </c>
      <c r="H175" s="1">
        <v>45</v>
      </c>
      <c r="I175" s="2">
        <v>7.9598096831560508E-3</v>
      </c>
      <c r="J175" s="5">
        <v>322.29607109479298</v>
      </c>
      <c r="K175" s="5">
        <v>0.18</v>
      </c>
    </row>
    <row r="176" spans="1:11" x14ac:dyDescent="0.25">
      <c r="B176" s="1">
        <v>10</v>
      </c>
      <c r="C176" s="4">
        <v>528</v>
      </c>
      <c r="D176" s="1">
        <v>1</v>
      </c>
      <c r="E176" s="3">
        <v>45</v>
      </c>
      <c r="F176" s="5">
        <v>2.8</v>
      </c>
      <c r="G176" s="1">
        <v>40</v>
      </c>
      <c r="H176" s="1">
        <v>45</v>
      </c>
      <c r="I176" s="2">
        <v>7.9598096831560508E-3</v>
      </c>
      <c r="J176" s="5">
        <v>334.726222597071</v>
      </c>
      <c r="K176" s="5">
        <v>0.2</v>
      </c>
    </row>
    <row r="177" spans="1:11" x14ac:dyDescent="0.25">
      <c r="B177" s="1">
        <v>10</v>
      </c>
      <c r="C177" s="4">
        <v>528</v>
      </c>
      <c r="D177" s="1">
        <v>1</v>
      </c>
      <c r="E177" s="3">
        <v>45</v>
      </c>
      <c r="F177" s="5">
        <v>2.8</v>
      </c>
      <c r="G177" s="1">
        <v>40</v>
      </c>
      <c r="H177" s="1">
        <v>45</v>
      </c>
      <c r="I177" s="2">
        <v>7.9598096831560508E-3</v>
      </c>
      <c r="J177" s="5">
        <v>347.60030808157398</v>
      </c>
      <c r="K177" s="5">
        <v>0.23</v>
      </c>
    </row>
    <row r="178" spans="1:11" x14ac:dyDescent="0.25">
      <c r="B178" s="1">
        <v>10</v>
      </c>
      <c r="C178" s="4">
        <v>528</v>
      </c>
      <c r="D178" s="1">
        <v>1</v>
      </c>
      <c r="E178" s="3">
        <v>45</v>
      </c>
      <c r="F178" s="5">
        <v>2.8</v>
      </c>
      <c r="G178" s="1">
        <v>40</v>
      </c>
      <c r="H178" s="1">
        <v>45</v>
      </c>
      <c r="I178" s="2">
        <v>7.9598096831560508E-3</v>
      </c>
      <c r="J178" s="5">
        <v>361.36226153052502</v>
      </c>
      <c r="K178" s="5">
        <v>0.24</v>
      </c>
    </row>
    <row r="179" spans="1:11" x14ac:dyDescent="0.25">
      <c r="B179" s="1">
        <v>10</v>
      </c>
      <c r="C179" s="4">
        <v>528</v>
      </c>
      <c r="D179" s="1">
        <v>1</v>
      </c>
      <c r="E179" s="3">
        <v>45</v>
      </c>
      <c r="F179" s="5">
        <v>2.8</v>
      </c>
      <c r="G179" s="1">
        <v>40</v>
      </c>
      <c r="H179" s="1">
        <v>45</v>
      </c>
      <c r="I179" s="2">
        <v>7.9598096831560508E-3</v>
      </c>
      <c r="J179" s="5">
        <v>375.56814896170101</v>
      </c>
      <c r="K179" s="5">
        <v>0.25</v>
      </c>
    </row>
    <row r="180" spans="1:11" x14ac:dyDescent="0.25">
      <c r="B180" s="1">
        <v>10</v>
      </c>
      <c r="C180" s="4">
        <v>528</v>
      </c>
      <c r="D180" s="1">
        <v>1</v>
      </c>
      <c r="E180" s="3">
        <v>45</v>
      </c>
      <c r="F180" s="5">
        <v>2.8</v>
      </c>
      <c r="G180" s="1">
        <v>40</v>
      </c>
      <c r="H180" s="1">
        <v>45</v>
      </c>
      <c r="I180" s="2">
        <v>7.9598096831560508E-3</v>
      </c>
      <c r="J180" s="5">
        <v>388.44223444620297</v>
      </c>
      <c r="K180" s="5">
        <v>0.27</v>
      </c>
    </row>
    <row r="181" spans="1:11" x14ac:dyDescent="0.25">
      <c r="B181" s="1">
        <v>10</v>
      </c>
      <c r="C181" s="4">
        <v>528</v>
      </c>
      <c r="D181" s="1">
        <v>1</v>
      </c>
      <c r="E181" s="3">
        <v>45</v>
      </c>
      <c r="F181" s="5">
        <v>2.8</v>
      </c>
      <c r="G181" s="1">
        <v>40</v>
      </c>
      <c r="H181" s="1">
        <v>45</v>
      </c>
      <c r="I181" s="2">
        <v>7.9598096831560508E-3</v>
      </c>
      <c r="J181" s="5">
        <v>399.984517984033</v>
      </c>
      <c r="K181" s="5">
        <v>0.28999999999999998</v>
      </c>
    </row>
    <row r="182" spans="1:11" x14ac:dyDescent="0.25">
      <c r="A182" t="s">
        <v>60</v>
      </c>
      <c r="B182" s="1">
        <v>10</v>
      </c>
      <c r="C182" s="4">
        <v>528</v>
      </c>
      <c r="D182" s="1">
        <v>1</v>
      </c>
      <c r="E182" s="3">
        <v>45</v>
      </c>
      <c r="F182" s="5">
        <v>2.8</v>
      </c>
      <c r="G182" s="1">
        <v>40</v>
      </c>
      <c r="H182" s="1">
        <v>45</v>
      </c>
      <c r="I182" s="2">
        <v>7.9598096831560508E-3</v>
      </c>
      <c r="J182" s="5">
        <v>323.62787304146502</v>
      </c>
      <c r="K182" s="5">
        <v>0.15</v>
      </c>
    </row>
    <row r="183" spans="1:11" x14ac:dyDescent="0.25">
      <c r="B183" s="1">
        <v>10</v>
      </c>
      <c r="C183" s="4">
        <v>528</v>
      </c>
      <c r="D183" s="1">
        <v>1</v>
      </c>
      <c r="E183" s="3">
        <v>45</v>
      </c>
      <c r="F183" s="5">
        <v>2.8</v>
      </c>
      <c r="G183" s="1">
        <v>40</v>
      </c>
      <c r="H183" s="1">
        <v>45</v>
      </c>
      <c r="I183" s="2">
        <v>7.9598096831560508E-3</v>
      </c>
      <c r="J183" s="5">
        <v>336.50195852596801</v>
      </c>
      <c r="K183" s="5">
        <v>0.16</v>
      </c>
    </row>
    <row r="184" spans="1:11" x14ac:dyDescent="0.25">
      <c r="B184" s="1">
        <v>10</v>
      </c>
      <c r="C184" s="4">
        <v>528</v>
      </c>
      <c r="D184" s="1">
        <v>1</v>
      </c>
      <c r="E184" s="3">
        <v>45</v>
      </c>
      <c r="F184" s="5">
        <v>2.8</v>
      </c>
      <c r="G184" s="1">
        <v>40</v>
      </c>
      <c r="H184" s="1">
        <v>45</v>
      </c>
      <c r="I184" s="2">
        <v>7.9598096831560508E-3</v>
      </c>
      <c r="J184" s="5">
        <v>354.70325179716201</v>
      </c>
      <c r="K184" s="5">
        <v>0.18</v>
      </c>
    </row>
    <row r="185" spans="1:11" x14ac:dyDescent="0.25">
      <c r="B185" s="1">
        <v>10</v>
      </c>
      <c r="C185" s="4">
        <v>528</v>
      </c>
      <c r="D185" s="1">
        <v>1</v>
      </c>
      <c r="E185" s="3">
        <v>45</v>
      </c>
      <c r="F185" s="5">
        <v>2.8</v>
      </c>
      <c r="G185" s="1">
        <v>40</v>
      </c>
      <c r="H185" s="1">
        <v>45</v>
      </c>
      <c r="I185" s="2">
        <v>7.9598096831560508E-3</v>
      </c>
      <c r="J185" s="5">
        <v>365.35766737054303</v>
      </c>
      <c r="K185" s="5">
        <v>0.18</v>
      </c>
    </row>
    <row r="186" spans="1:11" x14ac:dyDescent="0.25">
      <c r="B186" s="1">
        <v>10</v>
      </c>
      <c r="C186" s="4">
        <v>528</v>
      </c>
      <c r="D186" s="1">
        <v>1</v>
      </c>
      <c r="E186" s="3">
        <v>45</v>
      </c>
      <c r="F186" s="5">
        <v>2.8</v>
      </c>
      <c r="G186" s="1">
        <v>40</v>
      </c>
      <c r="H186" s="1">
        <v>45</v>
      </c>
      <c r="I186" s="2">
        <v>7.9598096831560508E-3</v>
      </c>
      <c r="J186" s="5">
        <v>375.56814896170101</v>
      </c>
      <c r="K186" s="5">
        <v>0.19</v>
      </c>
    </row>
    <row r="187" spans="1:11" x14ac:dyDescent="0.25">
      <c r="B187" s="1">
        <v>10</v>
      </c>
      <c r="C187" s="4">
        <v>528</v>
      </c>
      <c r="D187" s="1">
        <v>1</v>
      </c>
      <c r="E187" s="3">
        <v>45</v>
      </c>
      <c r="F187" s="5">
        <v>2.8</v>
      </c>
      <c r="G187" s="1">
        <v>40</v>
      </c>
      <c r="H187" s="1">
        <v>45</v>
      </c>
      <c r="I187" s="2">
        <v>7.9598096831560508E-3</v>
      </c>
      <c r="J187" s="5">
        <v>386.66649851730602</v>
      </c>
      <c r="K187" s="5">
        <v>0.2</v>
      </c>
    </row>
    <row r="188" spans="1:11" x14ac:dyDescent="0.25">
      <c r="B188" s="1">
        <v>10</v>
      </c>
      <c r="C188" s="4">
        <v>528</v>
      </c>
      <c r="D188" s="1">
        <v>1</v>
      </c>
      <c r="E188" s="3">
        <v>45</v>
      </c>
      <c r="F188" s="5">
        <v>2.8</v>
      </c>
      <c r="G188" s="1">
        <v>40</v>
      </c>
      <c r="H188" s="1">
        <v>45</v>
      </c>
      <c r="I188" s="2">
        <v>7.9598096831560508E-3</v>
      </c>
      <c r="J188" s="5">
        <v>401.31631993070602</v>
      </c>
      <c r="K188" s="5">
        <v>0.22</v>
      </c>
    </row>
    <row r="189" spans="1:11" x14ac:dyDescent="0.25">
      <c r="A189" t="s">
        <v>61</v>
      </c>
      <c r="B189" s="1">
        <v>20</v>
      </c>
      <c r="C189" s="4">
        <v>598</v>
      </c>
      <c r="D189" s="1">
        <v>1</v>
      </c>
      <c r="E189" s="3">
        <v>40</v>
      </c>
      <c r="F189" s="5">
        <v>2.8</v>
      </c>
      <c r="G189" s="1">
        <v>40</v>
      </c>
      <c r="H189" s="1">
        <v>50</v>
      </c>
      <c r="I189" s="2">
        <v>3.7261485294905403E-2</v>
      </c>
      <c r="J189" s="5">
        <v>224.93648942333201</v>
      </c>
      <c r="K189" s="5">
        <v>0.16</v>
      </c>
    </row>
    <row r="190" spans="1:11" x14ac:dyDescent="0.25">
      <c r="B190" s="1">
        <v>20</v>
      </c>
      <c r="C190" s="4">
        <v>598</v>
      </c>
      <c r="D190" s="1">
        <v>1</v>
      </c>
      <c r="E190" s="3">
        <v>40</v>
      </c>
      <c r="F190" s="5">
        <v>2.8</v>
      </c>
      <c r="G190" s="1">
        <v>40</v>
      </c>
      <c r="H190" s="1">
        <v>50</v>
      </c>
      <c r="I190" s="2">
        <v>3.7261485294905403E-2</v>
      </c>
      <c r="J190" s="5">
        <v>259.89764030841201</v>
      </c>
      <c r="K190" s="5">
        <v>0.2</v>
      </c>
    </row>
    <row r="191" spans="1:11" x14ac:dyDescent="0.25">
      <c r="B191" s="1">
        <v>20</v>
      </c>
      <c r="C191" s="4">
        <v>598</v>
      </c>
      <c r="D191" s="1">
        <v>1</v>
      </c>
      <c r="E191" s="3">
        <v>40</v>
      </c>
      <c r="F191" s="5">
        <v>2.8</v>
      </c>
      <c r="G191" s="1">
        <v>40</v>
      </c>
      <c r="H191" s="1">
        <v>50</v>
      </c>
      <c r="I191" s="2">
        <v>3.7261485294905403E-2</v>
      </c>
      <c r="J191" s="5">
        <v>294.740278817611</v>
      </c>
      <c r="K191" s="5">
        <v>0.23</v>
      </c>
    </row>
    <row r="192" spans="1:11" x14ac:dyDescent="0.25">
      <c r="A192" t="s">
        <v>62</v>
      </c>
      <c r="B192" s="1">
        <v>20</v>
      </c>
      <c r="C192" s="4">
        <v>598</v>
      </c>
      <c r="D192" s="1">
        <v>1</v>
      </c>
      <c r="E192" s="3">
        <v>40</v>
      </c>
      <c r="F192" s="5">
        <v>2.8</v>
      </c>
      <c r="G192" s="1">
        <v>40</v>
      </c>
      <c r="H192" s="1">
        <v>50</v>
      </c>
      <c r="I192" s="2">
        <v>3.7261485294905403E-2</v>
      </c>
      <c r="J192" s="5">
        <v>224.93648942333201</v>
      </c>
      <c r="K192" s="5">
        <v>0.14000000000000001</v>
      </c>
    </row>
    <row r="193" spans="1:11" x14ac:dyDescent="0.25">
      <c r="B193" s="1">
        <v>20</v>
      </c>
      <c r="C193" s="4">
        <v>598</v>
      </c>
      <c r="D193" s="1">
        <v>1</v>
      </c>
      <c r="E193" s="3">
        <v>40</v>
      </c>
      <c r="F193" s="5">
        <v>2.8</v>
      </c>
      <c r="G193" s="1">
        <v>40</v>
      </c>
      <c r="H193" s="1">
        <v>50</v>
      </c>
      <c r="I193" s="2">
        <v>3.7261485294905403E-2</v>
      </c>
      <c r="J193" s="5">
        <v>259.42359080488598</v>
      </c>
      <c r="K193" s="5">
        <v>0.17</v>
      </c>
    </row>
    <row r="194" spans="1:11" x14ac:dyDescent="0.25">
      <c r="B194" s="1">
        <v>20</v>
      </c>
      <c r="C194" s="4">
        <v>598</v>
      </c>
      <c r="D194" s="1">
        <v>1</v>
      </c>
      <c r="E194" s="3">
        <v>40</v>
      </c>
      <c r="F194" s="5">
        <v>2.8</v>
      </c>
      <c r="G194" s="1">
        <v>40</v>
      </c>
      <c r="H194" s="1">
        <v>50</v>
      </c>
      <c r="I194" s="2">
        <v>3.7261485294905403E-2</v>
      </c>
      <c r="J194" s="5">
        <v>294.14771693820302</v>
      </c>
      <c r="K194" s="5">
        <v>0.21</v>
      </c>
    </row>
    <row r="195" spans="1:11" x14ac:dyDescent="0.25">
      <c r="A195" t="s">
        <v>63</v>
      </c>
      <c r="B195" s="1">
        <v>20</v>
      </c>
      <c r="C195" s="4">
        <v>598</v>
      </c>
      <c r="D195" s="1">
        <v>1</v>
      </c>
      <c r="E195" s="3">
        <v>40</v>
      </c>
      <c r="F195" s="5">
        <v>2.8</v>
      </c>
      <c r="G195" s="1">
        <v>40</v>
      </c>
      <c r="H195" s="1">
        <v>50</v>
      </c>
      <c r="I195" s="2">
        <v>3.7261485294905403E-2</v>
      </c>
      <c r="J195" s="5">
        <v>154.30311339788099</v>
      </c>
      <c r="K195" s="5">
        <v>0.21</v>
      </c>
    </row>
    <row r="196" spans="1:11" x14ac:dyDescent="0.25">
      <c r="B196" s="1">
        <v>20</v>
      </c>
      <c r="C196" s="4">
        <v>598</v>
      </c>
      <c r="D196" s="1">
        <v>1</v>
      </c>
      <c r="E196" s="3">
        <v>40</v>
      </c>
      <c r="F196" s="5">
        <v>2.8</v>
      </c>
      <c r="G196" s="1">
        <v>40</v>
      </c>
      <c r="H196" s="1">
        <v>50</v>
      </c>
      <c r="I196" s="2">
        <v>3.7261485294905403E-2</v>
      </c>
      <c r="J196" s="5">
        <v>190.330875665896</v>
      </c>
      <c r="K196" s="5">
        <v>0.25</v>
      </c>
    </row>
    <row r="197" spans="1:11" x14ac:dyDescent="0.25">
      <c r="B197" s="1">
        <v>20</v>
      </c>
      <c r="C197" s="4">
        <v>598</v>
      </c>
      <c r="D197" s="1">
        <v>1</v>
      </c>
      <c r="E197" s="3">
        <v>40</v>
      </c>
      <c r="F197" s="5">
        <v>2.8</v>
      </c>
      <c r="G197" s="1">
        <v>40</v>
      </c>
      <c r="H197" s="1">
        <v>50</v>
      </c>
      <c r="I197" s="2">
        <v>3.7261485294905403E-2</v>
      </c>
      <c r="J197" s="5">
        <v>224.343927543924</v>
      </c>
      <c r="K197" s="5">
        <v>0.28999999999999998</v>
      </c>
    </row>
    <row r="198" spans="1:11" x14ac:dyDescent="0.25">
      <c r="B198" s="1">
        <v>20</v>
      </c>
      <c r="C198" s="4">
        <v>598</v>
      </c>
      <c r="D198" s="1">
        <v>1</v>
      </c>
      <c r="E198" s="3">
        <v>40</v>
      </c>
      <c r="F198" s="5">
        <v>2.8</v>
      </c>
      <c r="G198" s="1">
        <v>40</v>
      </c>
      <c r="H198" s="1">
        <v>50</v>
      </c>
      <c r="I198" s="2">
        <v>3.7261485294905403E-2</v>
      </c>
      <c r="J198" s="5">
        <v>258.475491797833</v>
      </c>
      <c r="K198" s="5">
        <v>0.33</v>
      </c>
    </row>
    <row r="199" spans="1:11" x14ac:dyDescent="0.25">
      <c r="B199" s="1">
        <v>20</v>
      </c>
      <c r="C199" s="4">
        <v>598</v>
      </c>
      <c r="D199" s="1">
        <v>1</v>
      </c>
      <c r="E199" s="3">
        <v>40</v>
      </c>
      <c r="F199" s="5">
        <v>2.8</v>
      </c>
      <c r="G199" s="1">
        <v>40</v>
      </c>
      <c r="H199" s="1">
        <v>50</v>
      </c>
      <c r="I199" s="2">
        <v>3.7261485294905403E-2</v>
      </c>
      <c r="J199" s="5">
        <v>306.71002878165598</v>
      </c>
      <c r="K199" s="5">
        <v>0.37</v>
      </c>
    </row>
    <row r="200" spans="1:11" x14ac:dyDescent="0.25">
      <c r="A200" t="s">
        <v>64</v>
      </c>
      <c r="B200" s="1">
        <v>20</v>
      </c>
      <c r="C200" s="4">
        <v>430</v>
      </c>
      <c r="D200" s="1">
        <v>6</v>
      </c>
      <c r="E200" s="3">
        <v>84</v>
      </c>
      <c r="F200" s="5">
        <v>3.50882128585544</v>
      </c>
      <c r="G200" s="1">
        <v>50</v>
      </c>
      <c r="H200" s="1">
        <v>64</v>
      </c>
      <c r="I200" s="2">
        <v>3.1012448894699399E-2</v>
      </c>
      <c r="J200" s="5">
        <v>179.888040262956</v>
      </c>
      <c r="K200" s="5">
        <v>0.15</v>
      </c>
    </row>
    <row r="201" spans="1:11" x14ac:dyDescent="0.25">
      <c r="B201" s="1">
        <v>20</v>
      </c>
      <c r="C201" s="4">
        <v>430</v>
      </c>
      <c r="D201" s="1">
        <v>6</v>
      </c>
      <c r="E201" s="3">
        <v>84</v>
      </c>
      <c r="F201" s="5">
        <v>3.50882128585544</v>
      </c>
      <c r="G201" s="1">
        <v>50</v>
      </c>
      <c r="H201" s="1">
        <v>64</v>
      </c>
      <c r="I201" s="2">
        <v>3.1012448894699399E-2</v>
      </c>
      <c r="J201" s="5">
        <v>225.29667178564301</v>
      </c>
      <c r="K201" s="5">
        <v>0.23</v>
      </c>
    </row>
    <row r="202" spans="1:11" x14ac:dyDescent="0.25">
      <c r="B202" s="1">
        <v>20</v>
      </c>
      <c r="C202" s="4">
        <v>430</v>
      </c>
      <c r="D202" s="1">
        <v>6</v>
      </c>
      <c r="E202" s="3">
        <v>84</v>
      </c>
      <c r="F202" s="5">
        <v>3.50882128585544</v>
      </c>
      <c r="G202" s="1">
        <v>50</v>
      </c>
      <c r="H202" s="1">
        <v>64</v>
      </c>
      <c r="I202" s="2">
        <v>3.1012448894699399E-2</v>
      </c>
      <c r="J202" s="5">
        <v>270.705303308331</v>
      </c>
      <c r="K202" s="5">
        <v>0.28000000000000003</v>
      </c>
    </row>
    <row r="203" spans="1:11" x14ac:dyDescent="0.25">
      <c r="A203" t="s">
        <v>65</v>
      </c>
      <c r="B203" s="1">
        <v>20</v>
      </c>
      <c r="C203" s="4">
        <v>430</v>
      </c>
      <c r="D203" s="1">
        <v>9</v>
      </c>
      <c r="E203" s="3">
        <v>45</v>
      </c>
      <c r="F203" s="5">
        <v>3.50882128585544</v>
      </c>
      <c r="G203" s="1">
        <v>50</v>
      </c>
      <c r="H203" s="1">
        <v>64</v>
      </c>
      <c r="I203" s="2">
        <v>4.9328037963777903E-2</v>
      </c>
      <c r="J203" s="5">
        <v>176.83957373352101</v>
      </c>
      <c r="K203" s="5">
        <v>0.18</v>
      </c>
    </row>
    <row r="204" spans="1:11" x14ac:dyDescent="0.25">
      <c r="B204" s="1">
        <v>20</v>
      </c>
      <c r="C204" s="4">
        <v>430</v>
      </c>
      <c r="D204" s="1">
        <v>9</v>
      </c>
      <c r="E204" s="3">
        <v>45</v>
      </c>
      <c r="F204" s="5">
        <v>3.50882128585544</v>
      </c>
      <c r="G204" s="1">
        <v>50</v>
      </c>
      <c r="H204" s="1">
        <v>64</v>
      </c>
      <c r="I204" s="2">
        <v>4.9328037963777903E-2</v>
      </c>
      <c r="J204" s="5">
        <v>220.752756472718</v>
      </c>
      <c r="K204" s="5">
        <v>0.26</v>
      </c>
    </row>
    <row r="205" spans="1:11" x14ac:dyDescent="0.25">
      <c r="B205" s="1">
        <v>20</v>
      </c>
      <c r="C205" s="4">
        <v>430</v>
      </c>
      <c r="D205" s="1">
        <v>9</v>
      </c>
      <c r="E205" s="3">
        <v>45</v>
      </c>
      <c r="F205" s="5">
        <v>3.50882128585544</v>
      </c>
      <c r="G205" s="1">
        <v>50</v>
      </c>
      <c r="H205" s="1">
        <v>64</v>
      </c>
      <c r="I205" s="2">
        <v>4.9328037963777903E-2</v>
      </c>
      <c r="J205" s="5">
        <v>264.66593921191401</v>
      </c>
      <c r="K205" s="5">
        <v>0.34</v>
      </c>
    </row>
    <row r="206" spans="1:11" x14ac:dyDescent="0.25">
      <c r="A206" t="s">
        <v>66</v>
      </c>
      <c r="B206" s="1">
        <v>16</v>
      </c>
      <c r="C206" s="4">
        <v>528</v>
      </c>
      <c r="D206" s="1">
        <v>2</v>
      </c>
      <c r="E206" s="3">
        <v>52</v>
      </c>
      <c r="F206" s="5">
        <v>3.42</v>
      </c>
      <c r="G206" s="1">
        <v>27</v>
      </c>
      <c r="H206" s="1">
        <v>35</v>
      </c>
      <c r="I206" s="2">
        <v>4.8680193563528699E-2</v>
      </c>
      <c r="J206" s="5">
        <v>234.72234542321399</v>
      </c>
      <c r="K206" s="5">
        <v>0.15</v>
      </c>
    </row>
    <row r="207" spans="1:11" x14ac:dyDescent="0.25">
      <c r="B207" s="1">
        <v>16</v>
      </c>
      <c r="C207" s="4">
        <v>528</v>
      </c>
      <c r="D207" s="1">
        <v>2</v>
      </c>
      <c r="E207" s="3">
        <v>52</v>
      </c>
      <c r="F207" s="5">
        <v>3.42</v>
      </c>
      <c r="G207" s="1">
        <v>27</v>
      </c>
      <c r="H207" s="1">
        <v>35</v>
      </c>
      <c r="I207" s="2">
        <v>4.8680193563528699E-2</v>
      </c>
      <c r="J207" s="5">
        <v>315.66108522432199</v>
      </c>
      <c r="K207" s="5">
        <v>0.19</v>
      </c>
    </row>
    <row r="208" spans="1:11" x14ac:dyDescent="0.25">
      <c r="B208" s="1">
        <v>16</v>
      </c>
      <c r="C208" s="4">
        <v>528</v>
      </c>
      <c r="D208" s="1">
        <v>2</v>
      </c>
      <c r="E208" s="3">
        <v>52</v>
      </c>
      <c r="F208" s="5">
        <v>3.42</v>
      </c>
      <c r="G208" s="1">
        <v>27</v>
      </c>
      <c r="H208" s="1">
        <v>35</v>
      </c>
      <c r="I208" s="2">
        <v>4.8680193563528699E-2</v>
      </c>
      <c r="J208" s="5">
        <v>364.22432910498702</v>
      </c>
      <c r="K208" s="5">
        <v>0.22</v>
      </c>
    </row>
    <row r="209" spans="1:11" x14ac:dyDescent="0.25">
      <c r="B209" s="1">
        <v>16</v>
      </c>
      <c r="C209" s="4">
        <v>528</v>
      </c>
      <c r="D209" s="1">
        <v>2</v>
      </c>
      <c r="E209" s="3">
        <v>52</v>
      </c>
      <c r="F209" s="5">
        <v>3.42</v>
      </c>
      <c r="G209" s="1">
        <v>27</v>
      </c>
      <c r="H209" s="1">
        <v>35</v>
      </c>
      <c r="I209" s="2">
        <v>4.8680193563528699E-2</v>
      </c>
      <c r="J209" s="5">
        <v>404.69369900554102</v>
      </c>
      <c r="K209" s="5">
        <v>0.22</v>
      </c>
    </row>
    <row r="210" spans="1:11" x14ac:dyDescent="0.25">
      <c r="B210" s="1">
        <v>16</v>
      </c>
      <c r="C210" s="4">
        <v>528</v>
      </c>
      <c r="D210" s="1">
        <v>2</v>
      </c>
      <c r="E210" s="3">
        <v>52</v>
      </c>
      <c r="F210" s="5">
        <v>3.42</v>
      </c>
      <c r="G210" s="1">
        <v>27</v>
      </c>
      <c r="H210" s="1">
        <v>35</v>
      </c>
      <c r="I210" s="2">
        <v>4.8680193563528699E-2</v>
      </c>
      <c r="J210" s="5">
        <v>469.44469084642799</v>
      </c>
      <c r="K210" s="5">
        <v>0.25</v>
      </c>
    </row>
    <row r="211" spans="1:11" x14ac:dyDescent="0.25">
      <c r="B211" s="1">
        <v>16</v>
      </c>
      <c r="C211" s="4">
        <v>528</v>
      </c>
      <c r="D211" s="1">
        <v>2</v>
      </c>
      <c r="E211" s="3">
        <v>52</v>
      </c>
      <c r="F211" s="5">
        <v>3.42</v>
      </c>
      <c r="G211" s="1">
        <v>27</v>
      </c>
      <c r="H211" s="1">
        <v>35</v>
      </c>
      <c r="I211" s="2">
        <v>4.8680193563528699E-2</v>
      </c>
      <c r="J211" s="5">
        <v>526.10180870720399</v>
      </c>
      <c r="K211" s="5">
        <v>0.28999999999999998</v>
      </c>
    </row>
    <row r="212" spans="1:11" x14ac:dyDescent="0.25">
      <c r="A212" t="s">
        <v>67</v>
      </c>
      <c r="B212" s="1">
        <v>20</v>
      </c>
      <c r="C212" s="4">
        <v>528</v>
      </c>
      <c r="D212" s="1">
        <v>2</v>
      </c>
      <c r="E212" s="3">
        <v>44</v>
      </c>
      <c r="F212" s="5">
        <v>3.42</v>
      </c>
      <c r="G212" s="1">
        <v>25</v>
      </c>
      <c r="H212" s="1">
        <v>35</v>
      </c>
      <c r="I212" s="2">
        <v>8.2535915718449093E-2</v>
      </c>
      <c r="J212" s="5">
        <v>270.87013331072598</v>
      </c>
      <c r="K212" s="5">
        <v>0.17</v>
      </c>
    </row>
    <row r="213" spans="1:11" x14ac:dyDescent="0.25">
      <c r="B213" s="1">
        <v>20</v>
      </c>
      <c r="C213" s="4">
        <v>528</v>
      </c>
      <c r="D213" s="1">
        <v>2</v>
      </c>
      <c r="E213" s="3">
        <v>44</v>
      </c>
      <c r="F213" s="5">
        <v>3.42</v>
      </c>
      <c r="G213" s="1">
        <v>25</v>
      </c>
      <c r="H213" s="1">
        <v>35</v>
      </c>
      <c r="I213" s="2">
        <v>8.2535915718449093E-2</v>
      </c>
      <c r="J213" s="5">
        <v>308.04838690239399</v>
      </c>
      <c r="K213" s="5">
        <v>0.19</v>
      </c>
    </row>
    <row r="214" spans="1:11" x14ac:dyDescent="0.25">
      <c r="B214" s="1">
        <v>20</v>
      </c>
      <c r="C214" s="4">
        <v>528</v>
      </c>
      <c r="D214" s="1">
        <v>2</v>
      </c>
      <c r="E214" s="3">
        <v>44</v>
      </c>
      <c r="F214" s="5">
        <v>3.42</v>
      </c>
      <c r="G214" s="1">
        <v>25</v>
      </c>
      <c r="H214" s="1">
        <v>35</v>
      </c>
      <c r="I214" s="2">
        <v>8.2535915718449093E-2</v>
      </c>
      <c r="J214" s="5">
        <v>355.84899866311099</v>
      </c>
      <c r="K214" s="5">
        <v>0.21</v>
      </c>
    </row>
    <row r="215" spans="1:11" x14ac:dyDescent="0.25">
      <c r="B215" s="1">
        <v>20</v>
      </c>
      <c r="C215" s="4">
        <v>528</v>
      </c>
      <c r="D215" s="1">
        <v>2</v>
      </c>
      <c r="E215" s="3">
        <v>44</v>
      </c>
      <c r="F215" s="5">
        <v>3.42</v>
      </c>
      <c r="G215" s="1">
        <v>25</v>
      </c>
      <c r="H215" s="1">
        <v>35</v>
      </c>
      <c r="I215" s="2">
        <v>8.2535915718449093E-2</v>
      </c>
      <c r="J215" s="5">
        <v>377.09371500120699</v>
      </c>
      <c r="K215" s="5">
        <v>0.23</v>
      </c>
    </row>
    <row r="216" spans="1:11" x14ac:dyDescent="0.25">
      <c r="B216" s="1">
        <v>20</v>
      </c>
      <c r="C216" s="4">
        <v>528</v>
      </c>
      <c r="D216" s="1">
        <v>2</v>
      </c>
      <c r="E216" s="3">
        <v>44</v>
      </c>
      <c r="F216" s="5">
        <v>3.42</v>
      </c>
      <c r="G216" s="1">
        <v>25</v>
      </c>
      <c r="H216" s="1">
        <v>35</v>
      </c>
      <c r="I216" s="2">
        <v>8.2535915718449093E-2</v>
      </c>
      <c r="J216" s="5">
        <v>424.89432676192303</v>
      </c>
      <c r="K216" s="5">
        <v>0.25</v>
      </c>
    </row>
    <row r="217" spans="1:11" x14ac:dyDescent="0.25">
      <c r="B217" s="1">
        <v>20</v>
      </c>
      <c r="C217" s="4">
        <v>528</v>
      </c>
      <c r="D217" s="1">
        <v>2</v>
      </c>
      <c r="E217" s="3">
        <v>44</v>
      </c>
      <c r="F217" s="5">
        <v>3.42</v>
      </c>
      <c r="G217" s="1">
        <v>25</v>
      </c>
      <c r="H217" s="1">
        <v>35</v>
      </c>
      <c r="I217" s="2">
        <v>8.2535915718449093E-2</v>
      </c>
      <c r="J217" s="5">
        <v>525.80672936788005</v>
      </c>
      <c r="K217" s="5">
        <v>0.25</v>
      </c>
    </row>
    <row r="218" spans="1:11" x14ac:dyDescent="0.25">
      <c r="A218" t="s">
        <v>68</v>
      </c>
      <c r="B218" s="1">
        <v>20</v>
      </c>
      <c r="C218" s="4">
        <v>528</v>
      </c>
      <c r="D218" s="1">
        <v>3</v>
      </c>
      <c r="E218" s="3">
        <v>12</v>
      </c>
      <c r="F218" s="5">
        <v>3.42</v>
      </c>
      <c r="G218" s="1">
        <v>25</v>
      </c>
      <c r="H218" s="1">
        <v>35</v>
      </c>
      <c r="I218" s="2">
        <v>0.13524934868327301</v>
      </c>
      <c r="J218" s="5">
        <v>246.92191294539799</v>
      </c>
      <c r="K218" s="5">
        <v>0.18</v>
      </c>
    </row>
    <row r="219" spans="1:11" x14ac:dyDescent="0.25">
      <c r="B219" s="1">
        <v>20</v>
      </c>
      <c r="C219" s="4">
        <v>528</v>
      </c>
      <c r="D219" s="1">
        <v>3</v>
      </c>
      <c r="E219" s="3">
        <v>12</v>
      </c>
      <c r="F219" s="5">
        <v>3.42</v>
      </c>
      <c r="G219" s="1">
        <v>25</v>
      </c>
      <c r="H219" s="1">
        <v>35</v>
      </c>
      <c r="I219" s="2">
        <v>0.13524934868327301</v>
      </c>
      <c r="J219" s="5">
        <v>283.23395896677999</v>
      </c>
      <c r="K219" s="5">
        <v>0.19</v>
      </c>
    </row>
    <row r="220" spans="1:11" x14ac:dyDescent="0.25">
      <c r="B220" s="1">
        <v>20</v>
      </c>
      <c r="C220" s="4">
        <v>528</v>
      </c>
      <c r="D220" s="1">
        <v>3</v>
      </c>
      <c r="E220" s="3">
        <v>12</v>
      </c>
      <c r="F220" s="5">
        <v>3.42</v>
      </c>
      <c r="G220" s="1">
        <v>25</v>
      </c>
      <c r="H220" s="1">
        <v>35</v>
      </c>
      <c r="I220" s="2">
        <v>0.13524934868327301</v>
      </c>
      <c r="J220" s="5">
        <v>315.91480038602401</v>
      </c>
      <c r="K220" s="5">
        <v>0.21</v>
      </c>
    </row>
    <row r="221" spans="1:11" x14ac:dyDescent="0.25">
      <c r="B221" s="1">
        <v>20</v>
      </c>
      <c r="C221" s="4">
        <v>528</v>
      </c>
      <c r="D221" s="1">
        <v>3</v>
      </c>
      <c r="E221" s="3">
        <v>12</v>
      </c>
      <c r="F221" s="5">
        <v>3.42</v>
      </c>
      <c r="G221" s="1">
        <v>25</v>
      </c>
      <c r="H221" s="1">
        <v>35</v>
      </c>
      <c r="I221" s="2">
        <v>0.13524934868327301</v>
      </c>
      <c r="J221" s="5">
        <v>355.85805100954502</v>
      </c>
      <c r="K221" s="5">
        <v>0.23</v>
      </c>
    </row>
    <row r="222" spans="1:11" x14ac:dyDescent="0.25">
      <c r="B222" s="1">
        <v>20</v>
      </c>
      <c r="C222" s="4">
        <v>528</v>
      </c>
      <c r="D222" s="1">
        <v>3</v>
      </c>
      <c r="E222" s="3">
        <v>12</v>
      </c>
      <c r="F222" s="5">
        <v>3.42</v>
      </c>
      <c r="G222" s="1">
        <v>25</v>
      </c>
      <c r="H222" s="1">
        <v>35</v>
      </c>
      <c r="I222" s="2">
        <v>0.13524934868327301</v>
      </c>
      <c r="J222" s="5">
        <v>395.80130163306501</v>
      </c>
      <c r="K222" s="5">
        <v>0.25</v>
      </c>
    </row>
    <row r="223" spans="1:11" x14ac:dyDescent="0.25">
      <c r="B223" s="1">
        <v>20</v>
      </c>
      <c r="C223" s="4">
        <v>528</v>
      </c>
      <c r="D223" s="1">
        <v>3</v>
      </c>
      <c r="E223" s="3">
        <v>12</v>
      </c>
      <c r="F223" s="5">
        <v>3.42</v>
      </c>
      <c r="G223" s="1">
        <v>25</v>
      </c>
      <c r="H223" s="1">
        <v>35</v>
      </c>
      <c r="I223" s="2">
        <v>0.13524934868327301</v>
      </c>
      <c r="J223" s="5">
        <v>432.11334765444701</v>
      </c>
      <c r="K223" s="5">
        <v>0.28999999999999998</v>
      </c>
    </row>
    <row r="224" spans="1:11" x14ac:dyDescent="0.25">
      <c r="B224" s="1">
        <v>20</v>
      </c>
      <c r="C224" s="4">
        <v>528</v>
      </c>
      <c r="D224" s="1">
        <v>3</v>
      </c>
      <c r="E224" s="3">
        <v>12</v>
      </c>
      <c r="F224" s="5">
        <v>3.42</v>
      </c>
      <c r="G224" s="1">
        <v>25</v>
      </c>
      <c r="H224" s="1">
        <v>35</v>
      </c>
      <c r="I224" s="2">
        <v>0.13524934868327301</v>
      </c>
      <c r="J224" s="5">
        <v>468.42539367582901</v>
      </c>
      <c r="K224" s="5">
        <v>0.31</v>
      </c>
    </row>
    <row r="225" spans="1:11" x14ac:dyDescent="0.25">
      <c r="B225" s="1">
        <v>20</v>
      </c>
      <c r="C225" s="4">
        <v>528</v>
      </c>
      <c r="D225" s="1">
        <v>3</v>
      </c>
      <c r="E225" s="3">
        <v>12</v>
      </c>
      <c r="F225" s="5">
        <v>3.42</v>
      </c>
      <c r="G225" s="1">
        <v>25</v>
      </c>
      <c r="H225" s="1">
        <v>35</v>
      </c>
      <c r="I225" s="2">
        <v>0.13524934868327301</v>
      </c>
      <c r="J225" s="5">
        <v>501.10623509507298</v>
      </c>
      <c r="K225" s="5">
        <v>0.37</v>
      </c>
    </row>
    <row r="226" spans="1:11" x14ac:dyDescent="0.25">
      <c r="A226" t="s">
        <v>69</v>
      </c>
      <c r="B226" s="1">
        <v>16</v>
      </c>
      <c r="C226" s="4">
        <v>528</v>
      </c>
      <c r="D226" s="1">
        <v>2</v>
      </c>
      <c r="E226" s="3">
        <v>52</v>
      </c>
      <c r="F226" s="5">
        <v>2.98</v>
      </c>
      <c r="G226" s="1">
        <v>27</v>
      </c>
      <c r="H226" s="1">
        <v>35</v>
      </c>
      <c r="I226" s="2">
        <v>4.8026966994220002E-2</v>
      </c>
      <c r="J226" s="5">
        <v>370.74728404873298</v>
      </c>
      <c r="K226" s="5">
        <v>0.16</v>
      </c>
    </row>
    <row r="227" spans="1:11" x14ac:dyDescent="0.25">
      <c r="B227" s="1">
        <v>16</v>
      </c>
      <c r="C227" s="4">
        <v>528</v>
      </c>
      <c r="D227" s="1">
        <v>2</v>
      </c>
      <c r="E227" s="3">
        <v>52</v>
      </c>
      <c r="F227" s="5">
        <v>2.98</v>
      </c>
      <c r="G227" s="1">
        <v>27</v>
      </c>
      <c r="H227" s="1">
        <v>35</v>
      </c>
      <c r="I227" s="2">
        <v>4.8026966994220002E-2</v>
      </c>
      <c r="J227" s="5">
        <v>443.28479614522399</v>
      </c>
      <c r="K227" s="5">
        <v>0.2</v>
      </c>
    </row>
    <row r="228" spans="1:11" x14ac:dyDescent="0.25">
      <c r="B228" s="1">
        <v>16</v>
      </c>
      <c r="C228" s="4">
        <v>528</v>
      </c>
      <c r="D228" s="1">
        <v>2</v>
      </c>
      <c r="E228" s="3">
        <v>52</v>
      </c>
      <c r="F228" s="5">
        <v>2.98</v>
      </c>
      <c r="G228" s="1">
        <v>27</v>
      </c>
      <c r="H228" s="1">
        <v>35</v>
      </c>
      <c r="I228" s="2">
        <v>4.8026966994220002E-2</v>
      </c>
      <c r="J228" s="5">
        <v>523.88203180799201</v>
      </c>
      <c r="K228" s="5">
        <v>0.26</v>
      </c>
    </row>
    <row r="229" spans="1:11" x14ac:dyDescent="0.25">
      <c r="A229" t="s">
        <v>70</v>
      </c>
      <c r="B229" s="1">
        <v>20</v>
      </c>
      <c r="C229" s="4">
        <v>528</v>
      </c>
      <c r="D229" s="1">
        <v>2</v>
      </c>
      <c r="E229" s="3">
        <v>44</v>
      </c>
      <c r="F229" s="5">
        <v>2.98</v>
      </c>
      <c r="G229" s="1">
        <v>25</v>
      </c>
      <c r="H229" s="1">
        <v>35</v>
      </c>
      <c r="I229" s="2">
        <v>8.1200522425266902E-2</v>
      </c>
      <c r="J229" s="5">
        <v>264.28009430947401</v>
      </c>
      <c r="K229" s="5">
        <v>0.17</v>
      </c>
    </row>
    <row r="230" spans="1:11" x14ac:dyDescent="0.25">
      <c r="B230" s="1">
        <v>20</v>
      </c>
      <c r="C230" s="4">
        <v>528</v>
      </c>
      <c r="D230" s="1">
        <v>2</v>
      </c>
      <c r="E230" s="3">
        <v>44</v>
      </c>
      <c r="F230" s="5">
        <v>2.98</v>
      </c>
      <c r="G230" s="1">
        <v>25</v>
      </c>
      <c r="H230" s="1">
        <v>35</v>
      </c>
      <c r="I230" s="2">
        <v>8.1200522425266902E-2</v>
      </c>
      <c r="J230" s="5">
        <v>301.27930751280002</v>
      </c>
      <c r="K230" s="5">
        <v>0.19</v>
      </c>
    </row>
    <row r="231" spans="1:11" x14ac:dyDescent="0.25">
      <c r="B231" s="1">
        <v>20</v>
      </c>
      <c r="C231" s="4">
        <v>528</v>
      </c>
      <c r="D231" s="1">
        <v>2</v>
      </c>
      <c r="E231" s="3">
        <v>44</v>
      </c>
      <c r="F231" s="5">
        <v>2.98</v>
      </c>
      <c r="G231" s="1">
        <v>25</v>
      </c>
      <c r="H231" s="1">
        <v>35</v>
      </c>
      <c r="I231" s="2">
        <v>8.1200522425266902E-2</v>
      </c>
      <c r="J231" s="5">
        <v>348.84972448850499</v>
      </c>
      <c r="K231" s="5">
        <v>0.23</v>
      </c>
    </row>
    <row r="232" spans="1:11" x14ac:dyDescent="0.25">
      <c r="B232" s="1">
        <v>20</v>
      </c>
      <c r="C232" s="4">
        <v>528</v>
      </c>
      <c r="D232" s="1">
        <v>2</v>
      </c>
      <c r="E232" s="3">
        <v>44</v>
      </c>
      <c r="F232" s="5">
        <v>2.98</v>
      </c>
      <c r="G232" s="1">
        <v>25</v>
      </c>
      <c r="H232" s="1">
        <v>35</v>
      </c>
      <c r="I232" s="2">
        <v>8.1200522425266902E-2</v>
      </c>
      <c r="J232" s="5">
        <v>369.99213203326298</v>
      </c>
      <c r="K232" s="5">
        <v>0.25</v>
      </c>
    </row>
    <row r="233" spans="1:11" x14ac:dyDescent="0.25">
      <c r="B233" s="1">
        <v>20</v>
      </c>
      <c r="C233" s="4">
        <v>528</v>
      </c>
      <c r="D233" s="1">
        <v>2</v>
      </c>
      <c r="E233" s="3">
        <v>44</v>
      </c>
      <c r="F233" s="5">
        <v>2.98</v>
      </c>
      <c r="G233" s="1">
        <v>25</v>
      </c>
      <c r="H233" s="1">
        <v>35</v>
      </c>
      <c r="I233" s="2">
        <v>8.1200522425266902E-2</v>
      </c>
      <c r="J233" s="5">
        <v>401.70574335039998</v>
      </c>
      <c r="K233" s="5">
        <v>0.3</v>
      </c>
    </row>
    <row r="234" spans="1:11" x14ac:dyDescent="0.25">
      <c r="B234" s="1">
        <v>20</v>
      </c>
      <c r="C234" s="4">
        <v>528</v>
      </c>
      <c r="D234" s="1">
        <v>2</v>
      </c>
      <c r="E234" s="3">
        <v>44</v>
      </c>
      <c r="F234" s="5">
        <v>2.98</v>
      </c>
      <c r="G234" s="1">
        <v>25</v>
      </c>
      <c r="H234" s="1">
        <v>35</v>
      </c>
      <c r="I234" s="2">
        <v>8.1200522425266902E-2</v>
      </c>
      <c r="J234" s="5">
        <v>422.84815089515803</v>
      </c>
      <c r="K234" s="5">
        <v>0.32</v>
      </c>
    </row>
    <row r="235" spans="1:11" x14ac:dyDescent="0.25">
      <c r="B235" s="1">
        <v>20</v>
      </c>
      <c r="C235" s="4">
        <v>528</v>
      </c>
      <c r="D235" s="1">
        <v>2</v>
      </c>
      <c r="E235" s="3">
        <v>44</v>
      </c>
      <c r="F235" s="5">
        <v>2.98</v>
      </c>
      <c r="G235" s="1">
        <v>25</v>
      </c>
      <c r="H235" s="1">
        <v>35</v>
      </c>
      <c r="I235" s="2">
        <v>8.1200522425266902E-2</v>
      </c>
      <c r="J235" s="5">
        <v>474.64704937981401</v>
      </c>
      <c r="K235" s="5">
        <v>0.36</v>
      </c>
    </row>
    <row r="236" spans="1:11" x14ac:dyDescent="0.25">
      <c r="B236" s="1">
        <v>20</v>
      </c>
      <c r="C236" s="4">
        <v>528</v>
      </c>
      <c r="D236" s="1">
        <v>2</v>
      </c>
      <c r="E236" s="3">
        <v>44</v>
      </c>
      <c r="F236" s="5">
        <v>2.98</v>
      </c>
      <c r="G236" s="1">
        <v>25</v>
      </c>
      <c r="H236" s="1">
        <v>35</v>
      </c>
      <c r="I236" s="2">
        <v>8.1200522425266902E-2</v>
      </c>
      <c r="J236" s="5">
        <v>526.44594786447101</v>
      </c>
      <c r="K236" s="5">
        <v>0.47</v>
      </c>
    </row>
    <row r="237" spans="1:11" x14ac:dyDescent="0.25">
      <c r="A237" t="s">
        <v>71</v>
      </c>
      <c r="B237" s="1">
        <v>20</v>
      </c>
      <c r="C237" s="4">
        <v>528</v>
      </c>
      <c r="D237" s="1">
        <v>3</v>
      </c>
      <c r="E237" s="3">
        <v>12</v>
      </c>
      <c r="F237" s="5">
        <v>2.98</v>
      </c>
      <c r="G237" s="1">
        <v>25</v>
      </c>
      <c r="H237" s="1">
        <v>35</v>
      </c>
      <c r="I237" s="2">
        <v>0.13268666951969799</v>
      </c>
      <c r="J237" s="5">
        <v>303.402568314191</v>
      </c>
      <c r="K237" s="5">
        <v>0.16</v>
      </c>
    </row>
    <row r="238" spans="1:11" x14ac:dyDescent="0.25">
      <c r="B238" s="1">
        <v>20</v>
      </c>
      <c r="C238" s="4">
        <v>528</v>
      </c>
      <c r="D238" s="1">
        <v>3</v>
      </c>
      <c r="E238" s="3">
        <v>12</v>
      </c>
      <c r="F238" s="5">
        <v>2.98</v>
      </c>
      <c r="G238" s="1">
        <v>25</v>
      </c>
      <c r="H238" s="1">
        <v>35</v>
      </c>
      <c r="I238" s="2">
        <v>0.13268666951969799</v>
      </c>
      <c r="J238" s="5">
        <v>317.85030966248502</v>
      </c>
      <c r="K238" s="5">
        <v>0.18</v>
      </c>
    </row>
    <row r="239" spans="1:11" x14ac:dyDescent="0.25">
      <c r="B239" s="1">
        <v>20</v>
      </c>
      <c r="C239" s="4">
        <v>528</v>
      </c>
      <c r="D239" s="1">
        <v>3</v>
      </c>
      <c r="E239" s="3">
        <v>12</v>
      </c>
      <c r="F239" s="5">
        <v>2.98</v>
      </c>
      <c r="G239" s="1">
        <v>25</v>
      </c>
      <c r="H239" s="1">
        <v>35</v>
      </c>
      <c r="I239" s="2">
        <v>0.13268666951969799</v>
      </c>
      <c r="J239" s="5">
        <v>353.96966303322199</v>
      </c>
      <c r="K239" s="5">
        <v>0.18</v>
      </c>
    </row>
    <row r="240" spans="1:11" x14ac:dyDescent="0.25">
      <c r="B240" s="1">
        <v>20</v>
      </c>
      <c r="C240" s="4">
        <v>528</v>
      </c>
      <c r="D240" s="1">
        <v>3</v>
      </c>
      <c r="E240" s="3">
        <v>12</v>
      </c>
      <c r="F240" s="5">
        <v>2.98</v>
      </c>
      <c r="G240" s="1">
        <v>25</v>
      </c>
      <c r="H240" s="1">
        <v>35</v>
      </c>
      <c r="I240" s="2">
        <v>0.13268666951969799</v>
      </c>
      <c r="J240" s="5">
        <v>393.70095174103301</v>
      </c>
      <c r="K240" s="5">
        <v>0.2</v>
      </c>
    </row>
    <row r="241" spans="1:11" x14ac:dyDescent="0.25">
      <c r="B241" s="1">
        <v>20</v>
      </c>
      <c r="C241" s="4">
        <v>528</v>
      </c>
      <c r="D241" s="1">
        <v>3</v>
      </c>
      <c r="E241" s="3">
        <v>12</v>
      </c>
      <c r="F241" s="5">
        <v>2.98</v>
      </c>
      <c r="G241" s="1">
        <v>25</v>
      </c>
      <c r="H241" s="1">
        <v>35</v>
      </c>
      <c r="I241" s="2">
        <v>0.13268666951969799</v>
      </c>
      <c r="J241" s="5">
        <v>429.82030511176998</v>
      </c>
      <c r="K241" s="5">
        <v>0.2</v>
      </c>
    </row>
    <row r="242" spans="1:11" x14ac:dyDescent="0.25">
      <c r="B242" s="1">
        <v>20</v>
      </c>
      <c r="C242" s="4">
        <v>528</v>
      </c>
      <c r="D242" s="1">
        <v>3</v>
      </c>
      <c r="E242" s="3">
        <v>12</v>
      </c>
      <c r="F242" s="5">
        <v>2.98</v>
      </c>
      <c r="G242" s="1">
        <v>25</v>
      </c>
      <c r="H242" s="1">
        <v>35</v>
      </c>
      <c r="I242" s="2">
        <v>0.13268666951969799</v>
      </c>
      <c r="J242" s="5">
        <v>462.32772314543303</v>
      </c>
      <c r="K242" s="5">
        <v>0.2</v>
      </c>
    </row>
    <row r="243" spans="1:11" x14ac:dyDescent="0.25">
      <c r="B243" s="1">
        <v>20</v>
      </c>
      <c r="C243" s="4">
        <v>528</v>
      </c>
      <c r="D243" s="1">
        <v>3</v>
      </c>
      <c r="E243" s="3">
        <v>12</v>
      </c>
      <c r="F243" s="5">
        <v>2.98</v>
      </c>
      <c r="G243" s="1">
        <v>25</v>
      </c>
      <c r="H243" s="1">
        <v>35</v>
      </c>
      <c r="I243" s="2">
        <v>0.13268666951969799</v>
      </c>
      <c r="J243" s="5">
        <v>502.05901185324399</v>
      </c>
      <c r="K243" s="5">
        <v>0.22</v>
      </c>
    </row>
    <row r="244" spans="1:11" x14ac:dyDescent="0.25">
      <c r="A244" t="s">
        <v>72</v>
      </c>
      <c r="B244" s="1">
        <v>28</v>
      </c>
      <c r="C244" s="4">
        <v>400</v>
      </c>
      <c r="D244" s="1">
        <v>4</v>
      </c>
      <c r="E244" s="3">
        <v>16</v>
      </c>
      <c r="F244" s="5">
        <v>5.3084743571011099</v>
      </c>
      <c r="G244" s="1">
        <v>30</v>
      </c>
      <c r="H244" s="1">
        <v>44</v>
      </c>
      <c r="I244" s="2">
        <v>0.22188311816029299</v>
      </c>
      <c r="J244" s="5">
        <v>151.17196997745901</v>
      </c>
      <c r="K244" s="5">
        <v>0.22</v>
      </c>
    </row>
    <row r="245" spans="1:11" x14ac:dyDescent="0.25">
      <c r="B245" s="1">
        <v>28</v>
      </c>
      <c r="C245" s="4">
        <v>400</v>
      </c>
      <c r="D245" s="1">
        <v>4</v>
      </c>
      <c r="E245" s="3">
        <v>16</v>
      </c>
      <c r="F245" s="5">
        <v>5.3084743571011099</v>
      </c>
      <c r="G245" s="1">
        <v>30</v>
      </c>
      <c r="H245" s="1">
        <v>44</v>
      </c>
      <c r="I245" s="2">
        <v>0.22188311816029299</v>
      </c>
      <c r="J245" s="5">
        <v>201.70659994135201</v>
      </c>
      <c r="K245" s="5">
        <v>0.25</v>
      </c>
    </row>
    <row r="246" spans="1:11" x14ac:dyDescent="0.25">
      <c r="B246" s="1">
        <v>28</v>
      </c>
      <c r="C246" s="4">
        <v>400</v>
      </c>
      <c r="D246" s="1">
        <v>4</v>
      </c>
      <c r="E246" s="3">
        <v>16</v>
      </c>
      <c r="F246" s="5">
        <v>5.3084743571011099</v>
      </c>
      <c r="G246" s="1">
        <v>30</v>
      </c>
      <c r="H246" s="1">
        <v>44</v>
      </c>
      <c r="I246" s="2">
        <v>0.22188311816029299</v>
      </c>
      <c r="J246" s="5">
        <v>230.64523419418001</v>
      </c>
      <c r="K246" s="5">
        <v>0.28999999999999998</v>
      </c>
    </row>
    <row r="247" spans="1:11" x14ac:dyDescent="0.25">
      <c r="B247" s="1">
        <v>28</v>
      </c>
      <c r="C247" s="4">
        <v>400</v>
      </c>
      <c r="D247" s="1">
        <v>4</v>
      </c>
      <c r="E247" s="3">
        <v>16</v>
      </c>
      <c r="F247" s="5">
        <v>5.3084743571011099</v>
      </c>
      <c r="G247" s="1">
        <v>30</v>
      </c>
      <c r="H247" s="1">
        <v>44</v>
      </c>
      <c r="I247" s="2">
        <v>0.22188311816029299</v>
      </c>
      <c r="J247" s="5">
        <v>263.903067589221</v>
      </c>
      <c r="K247" s="5">
        <v>0.31</v>
      </c>
    </row>
    <row r="248" spans="1:11" x14ac:dyDescent="0.25">
      <c r="B248" s="1">
        <v>28</v>
      </c>
      <c r="C248" s="4">
        <v>400</v>
      </c>
      <c r="D248" s="1">
        <v>4</v>
      </c>
      <c r="E248" s="3">
        <v>16</v>
      </c>
      <c r="F248" s="5">
        <v>5.3084743571011099</v>
      </c>
      <c r="G248" s="1">
        <v>30</v>
      </c>
      <c r="H248" s="1">
        <v>44</v>
      </c>
      <c r="I248" s="2">
        <v>0.22188311816029299</v>
      </c>
      <c r="J248" s="5">
        <v>315.73345729577801</v>
      </c>
      <c r="K248" s="5">
        <v>0.33</v>
      </c>
    </row>
    <row r="249" spans="1:11" x14ac:dyDescent="0.25">
      <c r="B249" s="1">
        <v>28</v>
      </c>
      <c r="C249" s="4">
        <v>400</v>
      </c>
      <c r="D249" s="1">
        <v>4</v>
      </c>
      <c r="E249" s="3">
        <v>16</v>
      </c>
      <c r="F249" s="5">
        <v>5.3084743571011099</v>
      </c>
      <c r="G249" s="1">
        <v>30</v>
      </c>
      <c r="H249" s="1">
        <v>44</v>
      </c>
      <c r="I249" s="2">
        <v>0.22188311816029299</v>
      </c>
      <c r="J249" s="5">
        <v>342.080572063278</v>
      </c>
      <c r="K249" s="5">
        <v>0.34</v>
      </c>
    </row>
    <row r="250" spans="1:11" x14ac:dyDescent="0.25">
      <c r="B250" s="1">
        <v>28</v>
      </c>
      <c r="C250" s="4">
        <v>400</v>
      </c>
      <c r="D250" s="1">
        <v>4</v>
      </c>
      <c r="E250" s="3">
        <v>16</v>
      </c>
      <c r="F250" s="5">
        <v>5.3084743571011099</v>
      </c>
      <c r="G250" s="1">
        <v>30</v>
      </c>
      <c r="H250" s="1">
        <v>44</v>
      </c>
      <c r="I250" s="2">
        <v>0.22188311816029299</v>
      </c>
      <c r="J250" s="5">
        <v>380.52144442897497</v>
      </c>
      <c r="K250" s="5">
        <v>0.37</v>
      </c>
    </row>
    <row r="251" spans="1:11" x14ac:dyDescent="0.25">
      <c r="A251" t="s">
        <v>73</v>
      </c>
      <c r="B251" s="1">
        <v>15.9</v>
      </c>
      <c r="C251" s="4">
        <v>392</v>
      </c>
      <c r="D251" s="1">
        <v>2</v>
      </c>
      <c r="E251" s="3">
        <v>46</v>
      </c>
      <c r="F251" s="5">
        <v>2.8258773978663201</v>
      </c>
      <c r="G251" s="1">
        <v>30</v>
      </c>
      <c r="H251" s="1">
        <v>38</v>
      </c>
      <c r="I251" s="2">
        <v>4.4148388230368402E-2</v>
      </c>
      <c r="J251" s="5">
        <v>361.669574509028</v>
      </c>
      <c r="K251" s="5">
        <v>0.2</v>
      </c>
    </row>
    <row r="252" spans="1:11" x14ac:dyDescent="0.25">
      <c r="B252" s="1">
        <v>15.9</v>
      </c>
      <c r="C252" s="4">
        <v>392</v>
      </c>
      <c r="D252" s="1">
        <v>2</v>
      </c>
      <c r="E252" s="3">
        <v>46</v>
      </c>
      <c r="F252" s="5">
        <v>2.8258773978663201</v>
      </c>
      <c r="G252" s="1">
        <v>30</v>
      </c>
      <c r="H252" s="1">
        <v>38</v>
      </c>
      <c r="I252" s="2">
        <v>4.4148388230368402E-2</v>
      </c>
      <c r="J252" s="5">
        <v>392.3</v>
      </c>
      <c r="K252" s="5">
        <v>0.35</v>
      </c>
    </row>
    <row r="253" spans="1:11" x14ac:dyDescent="0.25">
      <c r="A253" t="s">
        <v>74</v>
      </c>
      <c r="B253" s="1">
        <v>15.9</v>
      </c>
      <c r="C253" s="4">
        <v>392</v>
      </c>
      <c r="D253" s="1">
        <v>2</v>
      </c>
      <c r="E253" s="3">
        <v>46</v>
      </c>
      <c r="F253" s="5">
        <v>2.8258773978663201</v>
      </c>
      <c r="G253" s="1">
        <v>30</v>
      </c>
      <c r="H253" s="1">
        <v>38</v>
      </c>
      <c r="I253" s="2">
        <v>4.4148388230368402E-2</v>
      </c>
      <c r="J253" s="5">
        <v>363.00414858470702</v>
      </c>
      <c r="K253" s="5">
        <v>0.2</v>
      </c>
    </row>
    <row r="254" spans="1:11" x14ac:dyDescent="0.25">
      <c r="B254" s="1">
        <v>15.9</v>
      </c>
      <c r="C254" s="4">
        <v>392</v>
      </c>
      <c r="D254" s="1">
        <v>2</v>
      </c>
      <c r="E254" s="3">
        <v>46</v>
      </c>
      <c r="F254" s="5">
        <v>2.8258773978663201</v>
      </c>
      <c r="G254" s="1">
        <v>30</v>
      </c>
      <c r="H254" s="1">
        <v>38</v>
      </c>
      <c r="I254" s="2">
        <v>4.4148388230368402E-2</v>
      </c>
      <c r="J254" s="5">
        <v>392.3</v>
      </c>
      <c r="K254" s="5">
        <v>0.25</v>
      </c>
    </row>
    <row r="255" spans="1:11" x14ac:dyDescent="0.25">
      <c r="A255" t="s">
        <v>75</v>
      </c>
      <c r="B255" s="1">
        <v>15.9</v>
      </c>
      <c r="C255" s="4">
        <v>392</v>
      </c>
      <c r="D255" s="1">
        <v>2</v>
      </c>
      <c r="E255" s="3">
        <v>46</v>
      </c>
      <c r="F255" s="5">
        <v>2.8258773978663201</v>
      </c>
      <c r="G255" s="1">
        <v>30</v>
      </c>
      <c r="H255" s="1">
        <v>38</v>
      </c>
      <c r="I255" s="2">
        <v>4.4148388230368402E-2</v>
      </c>
      <c r="J255" s="5">
        <v>363.00414858470702</v>
      </c>
      <c r="K255" s="5">
        <v>0.2</v>
      </c>
    </row>
    <row r="256" spans="1:11" x14ac:dyDescent="0.25">
      <c r="B256" s="1">
        <v>15.9</v>
      </c>
      <c r="C256" s="4">
        <v>392</v>
      </c>
      <c r="D256" s="1">
        <v>2</v>
      </c>
      <c r="E256" s="3">
        <v>46</v>
      </c>
      <c r="F256" s="5">
        <v>2.8258773978663201</v>
      </c>
      <c r="G256" s="1">
        <v>30</v>
      </c>
      <c r="H256" s="1">
        <v>38</v>
      </c>
      <c r="I256" s="2">
        <v>4.4148388230368402E-2</v>
      </c>
      <c r="J256" s="5">
        <v>392.3</v>
      </c>
      <c r="K256" s="5">
        <v>0.25</v>
      </c>
    </row>
    <row r="257" spans="1:11" x14ac:dyDescent="0.25">
      <c r="A257" t="s">
        <v>76</v>
      </c>
      <c r="B257" s="1">
        <v>15.9</v>
      </c>
      <c r="C257" s="4">
        <v>392</v>
      </c>
      <c r="D257" s="1">
        <v>2</v>
      </c>
      <c r="E257" s="3">
        <v>46</v>
      </c>
      <c r="F257" s="5">
        <v>2.8258773978663201</v>
      </c>
      <c r="G257" s="1">
        <v>30</v>
      </c>
      <c r="H257" s="1">
        <v>38</v>
      </c>
      <c r="I257" s="2">
        <v>4.4148388230368402E-2</v>
      </c>
      <c r="J257" s="5">
        <v>364.338722660386</v>
      </c>
      <c r="K257" s="5">
        <v>0.2</v>
      </c>
    </row>
    <row r="258" spans="1:11" x14ac:dyDescent="0.25">
      <c r="B258" s="1">
        <v>15.9</v>
      </c>
      <c r="C258" s="4">
        <v>392</v>
      </c>
      <c r="D258" s="1">
        <v>2</v>
      </c>
      <c r="E258" s="3">
        <v>46</v>
      </c>
      <c r="F258" s="5">
        <v>2.8258773978663201</v>
      </c>
      <c r="G258" s="1">
        <v>30</v>
      </c>
      <c r="H258" s="1">
        <v>38</v>
      </c>
      <c r="I258" s="2">
        <v>4.4148388230368402E-2</v>
      </c>
      <c r="J258" s="5">
        <v>392.3</v>
      </c>
      <c r="K258" s="5">
        <v>0.3</v>
      </c>
    </row>
    <row r="259" spans="1:11" x14ac:dyDescent="0.25">
      <c r="A259" t="s">
        <v>77</v>
      </c>
      <c r="B259" s="1">
        <v>12.7</v>
      </c>
      <c r="C259" s="4">
        <v>392</v>
      </c>
      <c r="D259" s="1">
        <v>2</v>
      </c>
      <c r="E259" s="3">
        <v>52</v>
      </c>
      <c r="F259" s="5">
        <v>2.9208758709847902</v>
      </c>
      <c r="G259" s="1">
        <v>30</v>
      </c>
      <c r="H259" s="1">
        <v>36.5</v>
      </c>
      <c r="I259" s="2">
        <v>2.6406277928437898E-2</v>
      </c>
      <c r="J259" s="5">
        <v>317.102697940788</v>
      </c>
      <c r="K259" s="5">
        <v>0.15</v>
      </c>
    </row>
    <row r="260" spans="1:11" x14ac:dyDescent="0.25">
      <c r="B260" s="1">
        <v>12.7</v>
      </c>
      <c r="C260" s="4">
        <v>392</v>
      </c>
      <c r="D260" s="1">
        <v>2</v>
      </c>
      <c r="E260" s="3">
        <v>52</v>
      </c>
      <c r="F260" s="5">
        <v>2.9208758709847902</v>
      </c>
      <c r="G260" s="1">
        <v>30</v>
      </c>
      <c r="H260" s="1">
        <v>36.5</v>
      </c>
      <c r="I260" s="2">
        <v>2.6406277928437898E-2</v>
      </c>
      <c r="J260" s="5">
        <v>392.3</v>
      </c>
      <c r="K260" s="5">
        <v>0.2</v>
      </c>
    </row>
    <row r="261" spans="1:11" x14ac:dyDescent="0.25">
      <c r="A261" t="s">
        <v>78</v>
      </c>
      <c r="B261" s="1">
        <v>12.7</v>
      </c>
      <c r="C261" s="4">
        <v>392</v>
      </c>
      <c r="D261" s="1">
        <v>2</v>
      </c>
      <c r="E261" s="3">
        <v>52</v>
      </c>
      <c r="F261" s="5">
        <v>2.9208758709847902</v>
      </c>
      <c r="G261" s="1">
        <v>30</v>
      </c>
      <c r="H261" s="1">
        <v>36.5</v>
      </c>
      <c r="I261" s="2">
        <v>2.6406277928437898E-2</v>
      </c>
      <c r="J261" s="5">
        <v>319.13540754297298</v>
      </c>
      <c r="K261" s="5">
        <v>0.15</v>
      </c>
    </row>
    <row r="262" spans="1:11" x14ac:dyDescent="0.25">
      <c r="B262" s="1">
        <v>12.7</v>
      </c>
      <c r="C262" s="4">
        <v>392</v>
      </c>
      <c r="D262" s="1">
        <v>2</v>
      </c>
      <c r="E262" s="3">
        <v>52</v>
      </c>
      <c r="F262" s="5">
        <v>2.9208758709847902</v>
      </c>
      <c r="G262" s="1">
        <v>30</v>
      </c>
      <c r="H262" s="1">
        <v>36.5</v>
      </c>
      <c r="I262" s="2">
        <v>2.6406277928437898E-2</v>
      </c>
      <c r="J262" s="5">
        <v>392.3</v>
      </c>
      <c r="K262" s="5">
        <v>0.2</v>
      </c>
    </row>
    <row r="263" spans="1:11" x14ac:dyDescent="0.25">
      <c r="A263" t="s">
        <v>79</v>
      </c>
      <c r="B263" s="1">
        <v>15.9</v>
      </c>
      <c r="C263" s="4">
        <v>392</v>
      </c>
      <c r="D263" s="1">
        <v>2</v>
      </c>
      <c r="E263" s="3">
        <v>46</v>
      </c>
      <c r="F263" s="5">
        <v>2.9208758709847902</v>
      </c>
      <c r="G263" s="1">
        <v>30</v>
      </c>
      <c r="H263" s="1">
        <v>38</v>
      </c>
      <c r="I263" s="2">
        <v>4.40349805383329E-2</v>
      </c>
      <c r="J263" s="5">
        <v>260.02902224680798</v>
      </c>
      <c r="K263" s="5">
        <v>0.15</v>
      </c>
    </row>
    <row r="264" spans="1:11" x14ac:dyDescent="0.25">
      <c r="B264" s="1">
        <v>15.9</v>
      </c>
      <c r="C264" s="4">
        <v>392</v>
      </c>
      <c r="D264" s="1">
        <v>2</v>
      </c>
      <c r="E264" s="3">
        <v>46</v>
      </c>
      <c r="F264" s="5">
        <v>2.9208758709847902</v>
      </c>
      <c r="G264" s="1">
        <v>30</v>
      </c>
      <c r="H264" s="1">
        <v>38</v>
      </c>
      <c r="I264" s="2">
        <v>4.40349805383329E-2</v>
      </c>
      <c r="J264" s="5">
        <v>365.37411331089999</v>
      </c>
      <c r="K264" s="5">
        <v>0.25</v>
      </c>
    </row>
    <row r="265" spans="1:11" x14ac:dyDescent="0.25">
      <c r="B265" s="1">
        <v>15.9</v>
      </c>
      <c r="C265" s="4">
        <v>392</v>
      </c>
      <c r="D265" s="1">
        <v>2</v>
      </c>
      <c r="E265" s="3">
        <v>46</v>
      </c>
      <c r="F265" s="5">
        <v>2.9208758709847902</v>
      </c>
      <c r="G265" s="1">
        <v>30</v>
      </c>
      <c r="H265" s="1">
        <v>38</v>
      </c>
      <c r="I265" s="2">
        <v>4.40349805383329E-2</v>
      </c>
      <c r="J265" s="5">
        <v>392.3</v>
      </c>
      <c r="K265" s="5">
        <v>0.3</v>
      </c>
    </row>
    <row r="266" spans="1:11" x14ac:dyDescent="0.25">
      <c r="A266" t="s">
        <v>80</v>
      </c>
      <c r="B266" s="1">
        <v>15.9</v>
      </c>
      <c r="C266" s="4">
        <v>392</v>
      </c>
      <c r="D266" s="1">
        <v>2</v>
      </c>
      <c r="E266" s="3">
        <v>46</v>
      </c>
      <c r="F266" s="5">
        <v>2.9208758709847902</v>
      </c>
      <c r="G266" s="1">
        <v>30</v>
      </c>
      <c r="H266" s="1">
        <v>38</v>
      </c>
      <c r="I266" s="2">
        <v>4.40349805383329E-2</v>
      </c>
      <c r="J266" s="5">
        <v>261.36250441217697</v>
      </c>
      <c r="K266" s="5">
        <v>0.15</v>
      </c>
    </row>
    <row r="267" spans="1:11" x14ac:dyDescent="0.25">
      <c r="B267" s="1">
        <v>15.9</v>
      </c>
      <c r="C267" s="4">
        <v>392</v>
      </c>
      <c r="D267" s="1">
        <v>2</v>
      </c>
      <c r="E267" s="3">
        <v>46</v>
      </c>
      <c r="F267" s="5">
        <v>2.9208758709847902</v>
      </c>
      <c r="G267" s="1">
        <v>30</v>
      </c>
      <c r="H267" s="1">
        <v>38</v>
      </c>
      <c r="I267" s="2">
        <v>4.40349805383329E-2</v>
      </c>
      <c r="J267" s="5">
        <v>366.70759547626801</v>
      </c>
      <c r="K267" s="5">
        <v>0.25</v>
      </c>
    </row>
    <row r="268" spans="1:11" x14ac:dyDescent="0.25">
      <c r="A268" t="s">
        <v>81</v>
      </c>
      <c r="B268" s="1">
        <v>19.100000000000001</v>
      </c>
      <c r="C268" s="4">
        <v>392</v>
      </c>
      <c r="D268" s="1">
        <v>2</v>
      </c>
      <c r="E268" s="3">
        <v>40</v>
      </c>
      <c r="F268" s="5">
        <v>2.9208758709847902</v>
      </c>
      <c r="G268" s="1">
        <v>30</v>
      </c>
      <c r="H268" s="1">
        <v>39.5</v>
      </c>
      <c r="I268" s="2">
        <v>6.7418833961836497E-2</v>
      </c>
      <c r="J268" s="5">
        <v>187.025739041386</v>
      </c>
      <c r="K268" s="5">
        <v>0.15</v>
      </c>
    </row>
    <row r="269" spans="1:11" x14ac:dyDescent="0.25">
      <c r="B269" s="1">
        <v>19.100000000000001</v>
      </c>
      <c r="C269" s="4">
        <v>392</v>
      </c>
      <c r="D269" s="1">
        <v>2</v>
      </c>
      <c r="E269" s="3">
        <v>40</v>
      </c>
      <c r="F269" s="5">
        <v>2.9208758709847902</v>
      </c>
      <c r="G269" s="1">
        <v>30</v>
      </c>
      <c r="H269" s="1">
        <v>39.5</v>
      </c>
      <c r="I269" s="2">
        <v>6.7418833961836497E-2</v>
      </c>
      <c r="J269" s="5">
        <v>261.07653927096999</v>
      </c>
      <c r="K269" s="5">
        <v>0.2</v>
      </c>
    </row>
    <row r="270" spans="1:11" x14ac:dyDescent="0.25">
      <c r="B270" s="1">
        <v>19.100000000000001</v>
      </c>
      <c r="C270" s="4">
        <v>392</v>
      </c>
      <c r="D270" s="1">
        <v>2</v>
      </c>
      <c r="E270" s="3">
        <v>40</v>
      </c>
      <c r="F270" s="5">
        <v>2.9208758709847902</v>
      </c>
      <c r="G270" s="1">
        <v>30</v>
      </c>
      <c r="H270" s="1">
        <v>39.5</v>
      </c>
      <c r="I270" s="2">
        <v>6.7418833961836497E-2</v>
      </c>
      <c r="J270" s="5">
        <v>336.07670873426702</v>
      </c>
      <c r="K270" s="5">
        <v>0.3</v>
      </c>
    </row>
    <row r="271" spans="1:11" x14ac:dyDescent="0.25">
      <c r="B271" s="1">
        <v>19.100000000000001</v>
      </c>
      <c r="C271" s="4">
        <v>392</v>
      </c>
      <c r="D271" s="1">
        <v>2</v>
      </c>
      <c r="E271" s="3">
        <v>40</v>
      </c>
      <c r="F271" s="5">
        <v>2.9208758709847902</v>
      </c>
      <c r="G271" s="1">
        <v>30</v>
      </c>
      <c r="H271" s="1">
        <v>39.5</v>
      </c>
      <c r="I271" s="2">
        <v>6.7418833961836497E-2</v>
      </c>
      <c r="J271" s="5">
        <v>392.3</v>
      </c>
      <c r="K271" s="5">
        <v>0.33</v>
      </c>
    </row>
    <row r="272" spans="1:11" x14ac:dyDescent="0.25">
      <c r="A272" t="s">
        <v>82</v>
      </c>
      <c r="B272" s="1">
        <v>19.100000000000001</v>
      </c>
      <c r="C272" s="4">
        <v>392</v>
      </c>
      <c r="D272" s="1">
        <v>2</v>
      </c>
      <c r="E272" s="3">
        <v>40</v>
      </c>
      <c r="F272" s="5">
        <v>2.9208758709847902</v>
      </c>
      <c r="G272" s="1">
        <v>30</v>
      </c>
      <c r="H272" s="1">
        <v>39.5</v>
      </c>
      <c r="I272" s="2">
        <v>6.7418833961836497E-2</v>
      </c>
      <c r="J272" s="5">
        <v>186.07636980767299</v>
      </c>
      <c r="K272" s="5">
        <v>0.15</v>
      </c>
    </row>
    <row r="273" spans="1:11" x14ac:dyDescent="0.25">
      <c r="B273" s="1">
        <v>19.100000000000001</v>
      </c>
      <c r="C273" s="4">
        <v>392</v>
      </c>
      <c r="D273" s="1">
        <v>2</v>
      </c>
      <c r="E273" s="3">
        <v>40</v>
      </c>
      <c r="F273" s="5">
        <v>2.9208758709847902</v>
      </c>
      <c r="G273" s="1">
        <v>30</v>
      </c>
      <c r="H273" s="1">
        <v>39.5</v>
      </c>
      <c r="I273" s="2">
        <v>6.7418833961836497E-2</v>
      </c>
      <c r="J273" s="5">
        <v>259.17780080354498</v>
      </c>
      <c r="K273" s="5">
        <v>0.25</v>
      </c>
    </row>
    <row r="274" spans="1:11" x14ac:dyDescent="0.25">
      <c r="B274" s="1">
        <v>19.100000000000001</v>
      </c>
      <c r="C274" s="4">
        <v>392</v>
      </c>
      <c r="D274" s="1">
        <v>2</v>
      </c>
      <c r="E274" s="3">
        <v>40</v>
      </c>
      <c r="F274" s="5">
        <v>2.9208758709847902</v>
      </c>
      <c r="G274" s="1">
        <v>30</v>
      </c>
      <c r="H274" s="1">
        <v>39.5</v>
      </c>
      <c r="I274" s="2">
        <v>6.7418833961836497E-2</v>
      </c>
      <c r="J274" s="5">
        <v>333.228601033129</v>
      </c>
      <c r="K274" s="5">
        <v>0.28000000000000003</v>
      </c>
    </row>
    <row r="275" spans="1:11" x14ac:dyDescent="0.25">
      <c r="A275" t="s">
        <v>83</v>
      </c>
      <c r="B275" s="1">
        <v>15.9</v>
      </c>
      <c r="C275" s="4">
        <v>392</v>
      </c>
      <c r="D275" s="1">
        <v>2</v>
      </c>
      <c r="E275" s="3">
        <v>46</v>
      </c>
      <c r="F275" s="5">
        <v>3.3538794827423901</v>
      </c>
      <c r="G275" s="1">
        <v>30</v>
      </c>
      <c r="H275" s="1">
        <v>38</v>
      </c>
      <c r="I275" s="2">
        <v>4.35727310809325E-2</v>
      </c>
      <c r="J275" s="5">
        <v>365.47269151625102</v>
      </c>
      <c r="K275" s="5">
        <v>0.2</v>
      </c>
    </row>
    <row r="276" spans="1:11" x14ac:dyDescent="0.25">
      <c r="B276" s="1">
        <v>15.9</v>
      </c>
      <c r="C276" s="4">
        <v>392</v>
      </c>
      <c r="D276" s="1">
        <v>2</v>
      </c>
      <c r="E276" s="3">
        <v>46</v>
      </c>
      <c r="F276" s="5">
        <v>3.3538794827423901</v>
      </c>
      <c r="G276" s="1">
        <v>30</v>
      </c>
      <c r="H276" s="1">
        <v>38</v>
      </c>
      <c r="I276" s="2">
        <v>4.35727310809325E-2</v>
      </c>
      <c r="J276" s="5">
        <v>392.3</v>
      </c>
      <c r="K276" s="5">
        <v>0.22</v>
      </c>
    </row>
    <row r="277" spans="1:11" x14ac:dyDescent="0.25">
      <c r="A277" t="s">
        <v>84</v>
      </c>
      <c r="B277" s="1">
        <v>15.9</v>
      </c>
      <c r="C277" s="4">
        <v>392</v>
      </c>
      <c r="D277" s="1">
        <v>2</v>
      </c>
      <c r="E277" s="3">
        <v>46</v>
      </c>
      <c r="F277" s="5">
        <v>3.3538794827423901</v>
      </c>
      <c r="G277" s="1">
        <v>30</v>
      </c>
      <c r="H277" s="1">
        <v>38</v>
      </c>
      <c r="I277" s="2">
        <v>4.35727310809325E-2</v>
      </c>
      <c r="J277" s="5">
        <v>365.47269151625102</v>
      </c>
      <c r="K277" s="5">
        <v>0.17</v>
      </c>
    </row>
    <row r="278" spans="1:11" x14ac:dyDescent="0.25">
      <c r="B278" s="1">
        <v>15.9</v>
      </c>
      <c r="C278" s="4">
        <v>392</v>
      </c>
      <c r="D278" s="1">
        <v>2</v>
      </c>
      <c r="E278" s="3">
        <v>46</v>
      </c>
      <c r="F278" s="5">
        <v>3.3538794827423901</v>
      </c>
      <c r="G278" s="1">
        <v>30</v>
      </c>
      <c r="H278" s="1">
        <v>38</v>
      </c>
      <c r="I278" s="2">
        <v>4.35727310809325E-2</v>
      </c>
      <c r="J278" s="5">
        <v>392.3</v>
      </c>
      <c r="K278" s="5">
        <v>0.21</v>
      </c>
    </row>
    <row r="279" spans="1:11" x14ac:dyDescent="0.25">
      <c r="A279" t="s">
        <v>85</v>
      </c>
      <c r="B279" s="1">
        <v>19.100000000000001</v>
      </c>
      <c r="C279" s="4">
        <v>392</v>
      </c>
      <c r="D279" s="1">
        <v>2</v>
      </c>
      <c r="E279" s="3">
        <v>40</v>
      </c>
      <c r="F279" s="5">
        <v>3.3538794827423901</v>
      </c>
      <c r="G279" s="1">
        <v>30</v>
      </c>
      <c r="H279" s="1">
        <v>39.5</v>
      </c>
      <c r="I279" s="2">
        <v>6.6596536025101197E-2</v>
      </c>
      <c r="J279" s="5">
        <v>221.31013180149799</v>
      </c>
      <c r="K279" s="5">
        <v>0.17</v>
      </c>
    </row>
    <row r="280" spans="1:11" x14ac:dyDescent="0.25">
      <c r="B280" s="1">
        <v>19.100000000000001</v>
      </c>
      <c r="C280" s="4">
        <v>392</v>
      </c>
      <c r="D280" s="1">
        <v>2</v>
      </c>
      <c r="E280" s="3">
        <v>40</v>
      </c>
      <c r="F280" s="5">
        <v>3.3538794827423901</v>
      </c>
      <c r="G280" s="1">
        <v>30</v>
      </c>
      <c r="H280" s="1">
        <v>39.5</v>
      </c>
      <c r="I280" s="2">
        <v>6.6596536025101197E-2</v>
      </c>
      <c r="J280" s="5">
        <v>259.14092356243799</v>
      </c>
      <c r="K280" s="5">
        <v>0.18</v>
      </c>
    </row>
    <row r="281" spans="1:11" x14ac:dyDescent="0.25">
      <c r="B281" s="1">
        <v>19.100000000000001</v>
      </c>
      <c r="C281" s="4">
        <v>392</v>
      </c>
      <c r="D281" s="1">
        <v>2</v>
      </c>
      <c r="E281" s="3">
        <v>40</v>
      </c>
      <c r="F281" s="5">
        <v>3.3538794827423901</v>
      </c>
      <c r="G281" s="1">
        <v>30</v>
      </c>
      <c r="H281" s="1">
        <v>39.5</v>
      </c>
      <c r="I281" s="2">
        <v>6.6596536025101197E-2</v>
      </c>
      <c r="J281" s="5">
        <v>296.02594552935398</v>
      </c>
      <c r="K281" s="5">
        <v>0.2</v>
      </c>
    </row>
    <row r="282" spans="1:11" x14ac:dyDescent="0.25">
      <c r="B282" s="1">
        <v>19.100000000000001</v>
      </c>
      <c r="C282" s="4">
        <v>392</v>
      </c>
      <c r="D282" s="1">
        <v>2</v>
      </c>
      <c r="E282" s="3">
        <v>40</v>
      </c>
      <c r="F282" s="5">
        <v>3.3538794827423901</v>
      </c>
      <c r="G282" s="1">
        <v>30</v>
      </c>
      <c r="H282" s="1">
        <v>39.5</v>
      </c>
      <c r="I282" s="2">
        <v>6.6596536025101197E-2</v>
      </c>
      <c r="J282" s="5">
        <v>333.85673729029401</v>
      </c>
      <c r="K282" s="5">
        <v>0.2</v>
      </c>
    </row>
    <row r="283" spans="1:11" x14ac:dyDescent="0.25">
      <c r="B283" s="1">
        <v>19.100000000000001</v>
      </c>
      <c r="C283" s="4">
        <v>392</v>
      </c>
      <c r="D283" s="1">
        <v>2</v>
      </c>
      <c r="E283" s="3">
        <v>40</v>
      </c>
      <c r="F283" s="5">
        <v>3.3538794827423901</v>
      </c>
      <c r="G283" s="1">
        <v>30</v>
      </c>
      <c r="H283" s="1">
        <v>39.5</v>
      </c>
      <c r="I283" s="2">
        <v>6.6596536025101197E-2</v>
      </c>
      <c r="J283" s="5">
        <v>369.79598946318703</v>
      </c>
      <c r="K283" s="5">
        <v>0.25</v>
      </c>
    </row>
    <row r="284" spans="1:11" x14ac:dyDescent="0.25">
      <c r="B284" s="1">
        <v>19.100000000000001</v>
      </c>
      <c r="C284" s="4">
        <v>392</v>
      </c>
      <c r="D284" s="1">
        <v>2</v>
      </c>
      <c r="E284" s="3">
        <v>40</v>
      </c>
      <c r="F284" s="5">
        <v>3.3538794827423901</v>
      </c>
      <c r="G284" s="1">
        <v>30</v>
      </c>
      <c r="H284" s="1">
        <v>39.5</v>
      </c>
      <c r="I284" s="2">
        <v>6.6596536025101197E-2</v>
      </c>
      <c r="J284" s="5">
        <v>392.3</v>
      </c>
      <c r="K284" s="5">
        <v>0.27</v>
      </c>
    </row>
    <row r="285" spans="1:11" x14ac:dyDescent="0.25">
      <c r="A285" t="s">
        <v>86</v>
      </c>
      <c r="B285" s="1">
        <v>19.100000000000001</v>
      </c>
      <c r="C285" s="4">
        <v>392</v>
      </c>
      <c r="D285" s="1">
        <v>2</v>
      </c>
      <c r="E285" s="3">
        <v>40</v>
      </c>
      <c r="F285" s="5">
        <v>3.3538794827423901</v>
      </c>
      <c r="G285" s="1">
        <v>30</v>
      </c>
      <c r="H285" s="1">
        <v>39.5</v>
      </c>
      <c r="I285" s="2">
        <v>6.6596536025101197E-2</v>
      </c>
      <c r="J285" s="5">
        <v>296.02594552935398</v>
      </c>
      <c r="K285" s="5">
        <v>0.18</v>
      </c>
    </row>
    <row r="286" spans="1:11" x14ac:dyDescent="0.25">
      <c r="B286" s="1">
        <v>19.100000000000001</v>
      </c>
      <c r="C286" s="4">
        <v>392</v>
      </c>
      <c r="D286" s="1">
        <v>2</v>
      </c>
      <c r="E286" s="3">
        <v>40</v>
      </c>
      <c r="F286" s="5">
        <v>3.3538794827423901</v>
      </c>
      <c r="G286" s="1">
        <v>30</v>
      </c>
      <c r="H286" s="1">
        <v>39.5</v>
      </c>
      <c r="I286" s="2">
        <v>6.6596536025101197E-2</v>
      </c>
      <c r="J286" s="5">
        <v>331.965197702247</v>
      </c>
      <c r="K286" s="5">
        <v>0.19</v>
      </c>
    </row>
    <row r="287" spans="1:11" x14ac:dyDescent="0.25">
      <c r="B287" s="1">
        <v>19.100000000000001</v>
      </c>
      <c r="C287" s="4">
        <v>392</v>
      </c>
      <c r="D287" s="1">
        <v>2</v>
      </c>
      <c r="E287" s="3">
        <v>40</v>
      </c>
      <c r="F287" s="5">
        <v>3.3538794827423901</v>
      </c>
      <c r="G287" s="1">
        <v>30</v>
      </c>
      <c r="H287" s="1">
        <v>39.5</v>
      </c>
      <c r="I287" s="2">
        <v>6.6596536025101197E-2</v>
      </c>
      <c r="J287" s="5">
        <v>369.79598946318703</v>
      </c>
      <c r="K287" s="5">
        <v>0.21</v>
      </c>
    </row>
    <row r="288" spans="1:11" x14ac:dyDescent="0.25">
      <c r="B288" s="1">
        <v>19.100000000000001</v>
      </c>
      <c r="C288" s="4">
        <v>392</v>
      </c>
      <c r="D288" s="1">
        <v>2</v>
      </c>
      <c r="E288" s="3">
        <v>40</v>
      </c>
      <c r="F288" s="5">
        <v>3.3538794827423901</v>
      </c>
      <c r="G288" s="1">
        <v>30</v>
      </c>
      <c r="H288" s="1">
        <v>39.5</v>
      </c>
      <c r="I288" s="2">
        <v>6.6596536025101197E-2</v>
      </c>
      <c r="J288" s="5">
        <v>392.3</v>
      </c>
      <c r="K288" s="5">
        <v>0.26</v>
      </c>
    </row>
    <row r="289" spans="1:11" x14ac:dyDescent="0.25">
      <c r="A289" t="s">
        <v>87</v>
      </c>
      <c r="B289" s="1">
        <v>19.100000000000001</v>
      </c>
      <c r="C289" s="4">
        <v>276</v>
      </c>
      <c r="D289" s="1">
        <v>2</v>
      </c>
      <c r="E289" s="3">
        <v>69.8</v>
      </c>
      <c r="F289" s="5">
        <v>2.9003288251790802</v>
      </c>
      <c r="G289" s="1">
        <v>31.8</v>
      </c>
      <c r="H289" s="1">
        <v>41.4</v>
      </c>
      <c r="I289" s="2">
        <v>4.0651443689720498E-2</v>
      </c>
      <c r="J289" s="5">
        <v>203.022493137384</v>
      </c>
      <c r="K289" s="5">
        <v>0.17</v>
      </c>
    </row>
    <row r="290" spans="1:11" x14ac:dyDescent="0.25">
      <c r="B290" s="1">
        <v>19.100000000000001</v>
      </c>
      <c r="C290" s="4">
        <v>276</v>
      </c>
      <c r="D290" s="1">
        <v>2</v>
      </c>
      <c r="E290" s="3">
        <v>69.8</v>
      </c>
      <c r="F290" s="5">
        <v>2.9003288251790802</v>
      </c>
      <c r="G290" s="1">
        <v>31.8</v>
      </c>
      <c r="H290" s="1">
        <v>41.4</v>
      </c>
      <c r="I290" s="2">
        <v>4.0651443689720498E-2</v>
      </c>
      <c r="J290" s="5">
        <v>244.50020678910701</v>
      </c>
      <c r="K290" s="5">
        <v>0.23</v>
      </c>
    </row>
    <row r="291" spans="1:11" x14ac:dyDescent="0.25">
      <c r="B291" s="1">
        <v>19.100000000000001</v>
      </c>
      <c r="C291" s="4">
        <v>276</v>
      </c>
      <c r="D291" s="1">
        <v>2</v>
      </c>
      <c r="E291" s="3">
        <v>69.8</v>
      </c>
      <c r="F291" s="5">
        <v>2.9003288251790802</v>
      </c>
      <c r="G291" s="1">
        <v>31.8</v>
      </c>
      <c r="H291" s="1">
        <v>41.4</v>
      </c>
      <c r="I291" s="2">
        <v>4.0651443689720498E-2</v>
      </c>
      <c r="J291" s="5">
        <v>275.8</v>
      </c>
      <c r="K291" s="5">
        <v>0.27</v>
      </c>
    </row>
    <row r="292" spans="1:11" x14ac:dyDescent="0.25">
      <c r="A292" t="s">
        <v>88</v>
      </c>
      <c r="B292" s="1">
        <v>19.100000000000001</v>
      </c>
      <c r="C292" s="4">
        <v>276</v>
      </c>
      <c r="D292" s="1">
        <v>2</v>
      </c>
      <c r="E292" s="3">
        <v>69.8</v>
      </c>
      <c r="F292" s="5">
        <v>2.8466918957142102</v>
      </c>
      <c r="G292" s="1">
        <v>31.8</v>
      </c>
      <c r="H292" s="1">
        <v>41.4</v>
      </c>
      <c r="I292" s="2">
        <v>4.0711184462321998E-2</v>
      </c>
      <c r="J292" s="5">
        <v>275.8</v>
      </c>
      <c r="K292" s="5">
        <v>0.16</v>
      </c>
    </row>
    <row r="293" spans="1:11" x14ac:dyDescent="0.25">
      <c r="A293" t="s">
        <v>89</v>
      </c>
      <c r="B293" s="1">
        <v>19.100000000000001</v>
      </c>
      <c r="C293" s="4">
        <v>276</v>
      </c>
      <c r="D293" s="1">
        <v>2</v>
      </c>
      <c r="E293" s="3">
        <v>69.8</v>
      </c>
      <c r="F293" s="5">
        <v>2.7113214734883302</v>
      </c>
      <c r="G293" s="1">
        <v>38.200000000000003</v>
      </c>
      <c r="H293" s="1">
        <v>47.7</v>
      </c>
      <c r="I293" s="2">
        <v>4.0691908981937697E-2</v>
      </c>
      <c r="J293" s="5">
        <v>249.74588434606099</v>
      </c>
      <c r="K293" s="5">
        <v>0.16</v>
      </c>
    </row>
    <row r="294" spans="1:11" x14ac:dyDescent="0.25">
      <c r="B294" s="1">
        <v>19.100000000000001</v>
      </c>
      <c r="C294" s="4">
        <v>276</v>
      </c>
      <c r="D294" s="1">
        <v>2</v>
      </c>
      <c r="E294" s="3">
        <v>69.8</v>
      </c>
      <c r="F294" s="5">
        <v>2.7113214734883302</v>
      </c>
      <c r="G294" s="1">
        <v>38.200000000000003</v>
      </c>
      <c r="H294" s="1">
        <v>47.7</v>
      </c>
      <c r="I294" s="2">
        <v>4.0691908981937697E-2</v>
      </c>
      <c r="J294" s="5">
        <v>275.8</v>
      </c>
      <c r="K294" s="5">
        <v>0.2</v>
      </c>
    </row>
    <row r="295" spans="1:11" x14ac:dyDescent="0.25">
      <c r="A295" t="s">
        <v>90</v>
      </c>
      <c r="B295" s="1">
        <v>22.2</v>
      </c>
      <c r="C295" s="4">
        <v>276</v>
      </c>
      <c r="D295" s="1">
        <v>2</v>
      </c>
      <c r="E295" s="3">
        <v>63.6</v>
      </c>
      <c r="F295" s="5">
        <v>2.6879866270061701</v>
      </c>
      <c r="G295" s="1">
        <v>12.8</v>
      </c>
      <c r="H295" s="1">
        <v>23.9</v>
      </c>
      <c r="I295" s="2">
        <v>8.4999835271637098E-2</v>
      </c>
      <c r="J295" s="5">
        <v>271.28943756037398</v>
      </c>
      <c r="K295" s="5">
        <v>0.17</v>
      </c>
    </row>
    <row r="296" spans="1:11" x14ac:dyDescent="0.25">
      <c r="A296" t="s">
        <v>91</v>
      </c>
      <c r="B296" s="1">
        <v>22.2</v>
      </c>
      <c r="C296" s="4">
        <v>276</v>
      </c>
      <c r="D296" s="1">
        <v>2</v>
      </c>
      <c r="E296" s="3">
        <v>63.6</v>
      </c>
      <c r="F296" s="5">
        <v>2.3846015710371402</v>
      </c>
      <c r="G296" s="1">
        <v>38</v>
      </c>
      <c r="H296" s="1">
        <v>49.1</v>
      </c>
      <c r="I296" s="2">
        <v>5.9022388890402303E-2</v>
      </c>
      <c r="J296" s="5">
        <v>195.113525980031</v>
      </c>
      <c r="K296" s="5">
        <v>0.15</v>
      </c>
    </row>
    <row r="297" spans="1:11" x14ac:dyDescent="0.25">
      <c r="B297" s="1">
        <v>22.2</v>
      </c>
      <c r="C297" s="4">
        <v>276</v>
      </c>
      <c r="D297" s="1">
        <v>2</v>
      </c>
      <c r="E297" s="3">
        <v>63.6</v>
      </c>
      <c r="F297" s="5">
        <v>2.3846015710371402</v>
      </c>
      <c r="G297" s="1">
        <v>38</v>
      </c>
      <c r="H297" s="1">
        <v>49.1</v>
      </c>
      <c r="I297" s="2">
        <v>5.9022388890402303E-2</v>
      </c>
      <c r="J297" s="5">
        <v>226.947036463892</v>
      </c>
      <c r="K297" s="5">
        <v>0.19</v>
      </c>
    </row>
    <row r="298" spans="1:11" x14ac:dyDescent="0.25">
      <c r="B298" s="1">
        <v>22.2</v>
      </c>
      <c r="C298" s="4">
        <v>276</v>
      </c>
      <c r="D298" s="1">
        <v>2</v>
      </c>
      <c r="E298" s="3">
        <v>63.6</v>
      </c>
      <c r="F298" s="5">
        <v>2.3846015710371402</v>
      </c>
      <c r="G298" s="1">
        <v>38</v>
      </c>
      <c r="H298" s="1">
        <v>49.1</v>
      </c>
      <c r="I298" s="2">
        <v>5.9022388890402303E-2</v>
      </c>
      <c r="J298" s="5">
        <v>260.91293520982998</v>
      </c>
      <c r="K298" s="5">
        <v>0.22</v>
      </c>
    </row>
    <row r="299" spans="1:11" x14ac:dyDescent="0.25">
      <c r="B299" s="1">
        <v>22.2</v>
      </c>
      <c r="C299" s="4">
        <v>276</v>
      </c>
      <c r="D299" s="1">
        <v>2</v>
      </c>
      <c r="E299" s="3">
        <v>63.6</v>
      </c>
      <c r="F299" s="5">
        <v>2.3846015710371402</v>
      </c>
      <c r="G299" s="1">
        <v>38</v>
      </c>
      <c r="H299" s="1">
        <v>49.1</v>
      </c>
      <c r="I299" s="2">
        <v>5.9022388890402303E-2</v>
      </c>
      <c r="J299" s="5">
        <v>275.8</v>
      </c>
      <c r="K299" s="5">
        <v>0.27</v>
      </c>
    </row>
    <row r="300" spans="1:11" x14ac:dyDescent="0.25">
      <c r="A300" t="s">
        <v>92</v>
      </c>
      <c r="B300" s="1">
        <v>22.2</v>
      </c>
      <c r="C300" s="4">
        <v>276</v>
      </c>
      <c r="D300" s="1">
        <v>2</v>
      </c>
      <c r="E300" s="3">
        <v>63.6</v>
      </c>
      <c r="F300" s="5">
        <v>2.8648423476200802</v>
      </c>
      <c r="G300" s="1">
        <v>38</v>
      </c>
      <c r="H300" s="1">
        <v>49.1</v>
      </c>
      <c r="I300" s="2">
        <v>5.8054054206432497E-2</v>
      </c>
      <c r="J300" s="5">
        <v>259.63215176616501</v>
      </c>
      <c r="K300" s="5">
        <v>0.17</v>
      </c>
    </row>
    <row r="301" spans="1:11" x14ac:dyDescent="0.25">
      <c r="B301" s="1">
        <v>22.2</v>
      </c>
      <c r="C301" s="4">
        <v>276</v>
      </c>
      <c r="D301" s="1">
        <v>2</v>
      </c>
      <c r="E301" s="3">
        <v>63.6</v>
      </c>
      <c r="F301" s="5">
        <v>2.8648423476200802</v>
      </c>
      <c r="G301" s="1">
        <v>38</v>
      </c>
      <c r="H301" s="1">
        <v>49.1</v>
      </c>
      <c r="I301" s="2">
        <v>5.8054054206432497E-2</v>
      </c>
      <c r="J301" s="5">
        <v>275.8</v>
      </c>
      <c r="K301" s="5">
        <v>0.2</v>
      </c>
    </row>
    <row r="302" spans="1:11" x14ac:dyDescent="0.25">
      <c r="A302" t="s">
        <v>93</v>
      </c>
      <c r="B302" s="1">
        <v>22.2</v>
      </c>
      <c r="C302" s="4">
        <v>276</v>
      </c>
      <c r="D302" s="1">
        <v>2</v>
      </c>
      <c r="E302" s="3">
        <v>63.6</v>
      </c>
      <c r="F302" s="5">
        <v>2.8336917902498899</v>
      </c>
      <c r="G302" s="1">
        <v>38</v>
      </c>
      <c r="H302" s="1">
        <v>49.1</v>
      </c>
      <c r="I302" s="2">
        <v>5.8110239594394403E-2</v>
      </c>
      <c r="J302" s="5">
        <v>194.21192690601001</v>
      </c>
      <c r="K302" s="5">
        <v>0.15</v>
      </c>
    </row>
    <row r="303" spans="1:11" x14ac:dyDescent="0.25">
      <c r="B303" s="1">
        <v>22.2</v>
      </c>
      <c r="C303" s="4">
        <v>276</v>
      </c>
      <c r="D303" s="1">
        <v>2</v>
      </c>
      <c r="E303" s="3">
        <v>63.6</v>
      </c>
      <c r="F303" s="5">
        <v>2.8336917902498899</v>
      </c>
      <c r="G303" s="1">
        <v>38</v>
      </c>
      <c r="H303" s="1">
        <v>49.1</v>
      </c>
      <c r="I303" s="2">
        <v>5.8110239594394403E-2</v>
      </c>
      <c r="J303" s="5">
        <v>225.89833808739701</v>
      </c>
      <c r="K303" s="5">
        <v>0.18</v>
      </c>
    </row>
    <row r="304" spans="1:11" x14ac:dyDescent="0.25">
      <c r="B304" s="1">
        <v>22.2</v>
      </c>
      <c r="C304" s="4">
        <v>276</v>
      </c>
      <c r="D304" s="1">
        <v>2</v>
      </c>
      <c r="E304" s="3">
        <v>63.6</v>
      </c>
      <c r="F304" s="5">
        <v>2.8336917902498899</v>
      </c>
      <c r="G304" s="1">
        <v>38</v>
      </c>
      <c r="H304" s="1">
        <v>49.1</v>
      </c>
      <c r="I304" s="2">
        <v>5.8110239594394403E-2</v>
      </c>
      <c r="J304" s="5">
        <v>259.70728398906698</v>
      </c>
      <c r="K304" s="5">
        <v>0.22</v>
      </c>
    </row>
    <row r="305" spans="1:11" x14ac:dyDescent="0.25">
      <c r="B305" s="1">
        <v>22.2</v>
      </c>
      <c r="C305" s="4">
        <v>276</v>
      </c>
      <c r="D305" s="1">
        <v>2</v>
      </c>
      <c r="E305" s="3">
        <v>63.6</v>
      </c>
      <c r="F305" s="5">
        <v>2.8336917902498899</v>
      </c>
      <c r="G305" s="1">
        <v>38</v>
      </c>
      <c r="H305" s="1">
        <v>49.1</v>
      </c>
      <c r="I305" s="2">
        <v>5.8110239594394403E-2</v>
      </c>
      <c r="J305" s="5">
        <v>275.8</v>
      </c>
      <c r="K305" s="5">
        <v>0.25</v>
      </c>
    </row>
    <row r="306" spans="1:11" x14ac:dyDescent="0.25">
      <c r="A306" t="s">
        <v>94</v>
      </c>
      <c r="B306" s="1">
        <v>22.2</v>
      </c>
      <c r="C306" s="4">
        <v>276</v>
      </c>
      <c r="D306" s="1">
        <v>2</v>
      </c>
      <c r="E306" s="3">
        <v>63.6</v>
      </c>
      <c r="F306" s="5">
        <v>2.7563734268389202</v>
      </c>
      <c r="G306" s="1">
        <v>38</v>
      </c>
      <c r="H306" s="1">
        <v>49.1</v>
      </c>
      <c r="I306" s="2">
        <v>5.8253253556272699E-2</v>
      </c>
      <c r="J306" s="5">
        <v>194.354596032503</v>
      </c>
      <c r="K306" s="5">
        <v>0.2</v>
      </c>
    </row>
    <row r="307" spans="1:11" x14ac:dyDescent="0.25">
      <c r="B307" s="1">
        <v>22.2</v>
      </c>
      <c r="C307" s="4">
        <v>276</v>
      </c>
      <c r="D307" s="1">
        <v>2</v>
      </c>
      <c r="E307" s="3">
        <v>63.6</v>
      </c>
      <c r="F307" s="5">
        <v>2.7563734268389202</v>
      </c>
      <c r="G307" s="1">
        <v>38</v>
      </c>
      <c r="H307" s="1">
        <v>49.1</v>
      </c>
      <c r="I307" s="2">
        <v>5.8253253556272699E-2</v>
      </c>
      <c r="J307" s="5">
        <v>226.064284222037</v>
      </c>
      <c r="K307" s="5">
        <v>0.25</v>
      </c>
    </row>
    <row r="308" spans="1:11" x14ac:dyDescent="0.25">
      <c r="B308" s="1">
        <v>22.2</v>
      </c>
      <c r="C308" s="4">
        <v>276</v>
      </c>
      <c r="D308" s="1">
        <v>2</v>
      </c>
      <c r="E308" s="3">
        <v>63.6</v>
      </c>
      <c r="F308" s="5">
        <v>2.7563734268389202</v>
      </c>
      <c r="G308" s="1">
        <v>38</v>
      </c>
      <c r="H308" s="1">
        <v>49.1</v>
      </c>
      <c r="I308" s="2">
        <v>5.8253253556272699E-2</v>
      </c>
      <c r="J308" s="5">
        <v>259.89806635728098</v>
      </c>
      <c r="K308" s="5">
        <v>0.3</v>
      </c>
    </row>
    <row r="309" spans="1:11" x14ac:dyDescent="0.25">
      <c r="B309" s="1">
        <v>22.2</v>
      </c>
      <c r="C309" s="4">
        <v>276</v>
      </c>
      <c r="D309" s="1">
        <v>2</v>
      </c>
      <c r="E309" s="3">
        <v>63.6</v>
      </c>
      <c r="F309" s="5">
        <v>2.7563734268389202</v>
      </c>
      <c r="G309" s="1">
        <v>38</v>
      </c>
      <c r="H309" s="1">
        <v>49.1</v>
      </c>
      <c r="I309" s="2">
        <v>5.8253253556272699E-2</v>
      </c>
      <c r="J309" s="5">
        <v>275.8</v>
      </c>
      <c r="K309" s="5">
        <v>0.35</v>
      </c>
    </row>
    <row r="310" spans="1:11" x14ac:dyDescent="0.25">
      <c r="A310" t="s">
        <v>95</v>
      </c>
      <c r="B310" s="1">
        <v>28.7</v>
      </c>
      <c r="C310" s="4">
        <v>276</v>
      </c>
      <c r="D310" s="1">
        <v>2</v>
      </c>
      <c r="E310" s="3">
        <v>50.6</v>
      </c>
      <c r="F310" s="5">
        <v>2.7748174021560699</v>
      </c>
      <c r="G310" s="1">
        <v>22.2</v>
      </c>
      <c r="H310" s="1">
        <v>36.6</v>
      </c>
      <c r="I310" s="2">
        <v>0.108992850321706</v>
      </c>
      <c r="J310" s="5">
        <v>234.11581828988599</v>
      </c>
      <c r="K310" s="5">
        <v>0.17</v>
      </c>
    </row>
    <row r="311" spans="1:11" x14ac:dyDescent="0.25">
      <c r="B311" s="1">
        <v>28.7</v>
      </c>
      <c r="C311" s="4">
        <v>276</v>
      </c>
      <c r="D311" s="1">
        <v>2</v>
      </c>
      <c r="E311" s="3">
        <v>50.6</v>
      </c>
      <c r="F311" s="5">
        <v>2.7748174021560699</v>
      </c>
      <c r="G311" s="1">
        <v>22.2</v>
      </c>
      <c r="H311" s="1">
        <v>36.6</v>
      </c>
      <c r="I311" s="2">
        <v>0.108992850321706</v>
      </c>
      <c r="J311" s="5">
        <v>274.84728475140599</v>
      </c>
      <c r="K311" s="5">
        <v>0.2</v>
      </c>
    </row>
    <row r="312" spans="1:11" x14ac:dyDescent="0.25">
      <c r="A312" t="s">
        <v>96</v>
      </c>
      <c r="B312" s="1">
        <v>28.7</v>
      </c>
      <c r="C312" s="4">
        <v>276</v>
      </c>
      <c r="D312" s="1">
        <v>2</v>
      </c>
      <c r="E312" s="3">
        <v>50.6</v>
      </c>
      <c r="F312" s="5">
        <v>2.8017146470593901</v>
      </c>
      <c r="G312" s="1">
        <v>38.200000000000003</v>
      </c>
      <c r="H312" s="1">
        <v>52.5</v>
      </c>
      <c r="I312" s="2">
        <v>0.106860667703036</v>
      </c>
      <c r="J312" s="5">
        <v>179.49560032260399</v>
      </c>
      <c r="K312" s="5">
        <v>0.17</v>
      </c>
    </row>
    <row r="313" spans="1:11" x14ac:dyDescent="0.25">
      <c r="B313" s="1">
        <v>28.7</v>
      </c>
      <c r="C313" s="4">
        <v>276</v>
      </c>
      <c r="D313" s="1">
        <v>2</v>
      </c>
      <c r="E313" s="3">
        <v>50.6</v>
      </c>
      <c r="F313" s="5">
        <v>2.8017146470593901</v>
      </c>
      <c r="G313" s="1">
        <v>38.200000000000003</v>
      </c>
      <c r="H313" s="1">
        <v>52.5</v>
      </c>
      <c r="I313" s="2">
        <v>0.106860667703036</v>
      </c>
      <c r="J313" s="5">
        <v>212.74254265148801</v>
      </c>
      <c r="K313" s="5">
        <v>0.2</v>
      </c>
    </row>
    <row r="314" spans="1:11" x14ac:dyDescent="0.25">
      <c r="B314" s="1">
        <v>28.7</v>
      </c>
      <c r="C314" s="4">
        <v>276</v>
      </c>
      <c r="D314" s="1">
        <v>2</v>
      </c>
      <c r="E314" s="3">
        <v>50.6</v>
      </c>
      <c r="F314" s="5">
        <v>2.8017146470593901</v>
      </c>
      <c r="G314" s="1">
        <v>38.200000000000003</v>
      </c>
      <c r="H314" s="1">
        <v>52.5</v>
      </c>
      <c r="I314" s="2">
        <v>0.106860667703036</v>
      </c>
      <c r="J314" s="5">
        <v>245.23171991304599</v>
      </c>
      <c r="K314" s="5">
        <v>0.25</v>
      </c>
    </row>
    <row r="315" spans="1:11" x14ac:dyDescent="0.25">
      <c r="B315" s="1">
        <v>28.7</v>
      </c>
      <c r="C315" s="4">
        <v>276</v>
      </c>
      <c r="D315" s="1">
        <v>2</v>
      </c>
      <c r="E315" s="3">
        <v>50.6</v>
      </c>
      <c r="F315" s="5">
        <v>2.8017146470593901</v>
      </c>
      <c r="G315" s="1">
        <v>38.200000000000003</v>
      </c>
      <c r="H315" s="1">
        <v>52.5</v>
      </c>
      <c r="I315" s="2">
        <v>0.106860667703036</v>
      </c>
      <c r="J315" s="5">
        <v>275.8</v>
      </c>
      <c r="K315" s="5">
        <v>0.28999999999999998</v>
      </c>
    </row>
    <row r="316" spans="1:11" x14ac:dyDescent="0.25">
      <c r="A316" t="s">
        <v>97</v>
      </c>
      <c r="B316" s="1">
        <v>28.7</v>
      </c>
      <c r="C316" s="4">
        <v>276</v>
      </c>
      <c r="D316" s="1">
        <v>2</v>
      </c>
      <c r="E316" s="3">
        <v>50.6</v>
      </c>
      <c r="F316" s="5">
        <v>2.7153116457984501</v>
      </c>
      <c r="G316" s="1">
        <v>38.200000000000003</v>
      </c>
      <c r="H316" s="1">
        <v>52.5</v>
      </c>
      <c r="I316" s="2">
        <v>0.107226386910195</v>
      </c>
      <c r="J316" s="5">
        <v>212.947491588265</v>
      </c>
      <c r="K316" s="5">
        <v>0.17</v>
      </c>
    </row>
    <row r="317" spans="1:11" x14ac:dyDescent="0.25">
      <c r="A317" t="s">
        <v>98</v>
      </c>
      <c r="B317" s="1">
        <v>28.7</v>
      </c>
      <c r="C317" s="4">
        <v>276</v>
      </c>
      <c r="D317" s="1">
        <v>2</v>
      </c>
      <c r="E317" s="3">
        <v>50.6</v>
      </c>
      <c r="F317" s="5">
        <v>2.8017146470593901</v>
      </c>
      <c r="G317" s="1">
        <v>38.200000000000003</v>
      </c>
      <c r="H317" s="1">
        <v>52.5</v>
      </c>
      <c r="I317" s="2">
        <v>0.106860667703036</v>
      </c>
      <c r="J317" s="5">
        <v>179.49560032260399</v>
      </c>
      <c r="K317" s="5">
        <v>0.15</v>
      </c>
    </row>
    <row r="318" spans="1:11" x14ac:dyDescent="0.25">
      <c r="B318" s="1">
        <v>28.7</v>
      </c>
      <c r="C318" s="4">
        <v>276</v>
      </c>
      <c r="D318" s="1">
        <v>2</v>
      </c>
      <c r="E318" s="3">
        <v>50.6</v>
      </c>
      <c r="F318" s="5">
        <v>2.8017146470593901</v>
      </c>
      <c r="G318" s="1">
        <v>38.200000000000003</v>
      </c>
      <c r="H318" s="1">
        <v>52.5</v>
      </c>
      <c r="I318" s="2">
        <v>0.106860667703036</v>
      </c>
      <c r="J318" s="5">
        <v>212.74254265148801</v>
      </c>
      <c r="K318" s="5">
        <v>0.16</v>
      </c>
    </row>
    <row r="319" spans="1:11" x14ac:dyDescent="0.25">
      <c r="B319" s="1">
        <v>28.7</v>
      </c>
      <c r="C319" s="4">
        <v>276</v>
      </c>
      <c r="D319" s="1">
        <v>2</v>
      </c>
      <c r="E319" s="3">
        <v>50.6</v>
      </c>
      <c r="F319" s="5">
        <v>2.8017146470593901</v>
      </c>
      <c r="G319" s="1">
        <v>38.200000000000003</v>
      </c>
      <c r="H319" s="1">
        <v>52.5</v>
      </c>
      <c r="I319" s="2">
        <v>0.106860667703036</v>
      </c>
      <c r="J319" s="5">
        <v>245.23171991304599</v>
      </c>
      <c r="K319" s="5">
        <v>0.22</v>
      </c>
    </row>
    <row r="320" spans="1:11" x14ac:dyDescent="0.25">
      <c r="B320" s="1">
        <v>28.7</v>
      </c>
      <c r="C320" s="4">
        <v>276</v>
      </c>
      <c r="D320" s="1">
        <v>2</v>
      </c>
      <c r="E320" s="3">
        <v>50.6</v>
      </c>
      <c r="F320" s="5">
        <v>2.8017146470593901</v>
      </c>
      <c r="G320" s="1">
        <v>38.200000000000003</v>
      </c>
      <c r="H320" s="1">
        <v>52.5</v>
      </c>
      <c r="I320" s="2">
        <v>0.106860667703036</v>
      </c>
      <c r="J320" s="5">
        <v>275.8</v>
      </c>
      <c r="K320" s="5">
        <v>0.26</v>
      </c>
    </row>
    <row r="321" spans="1:11" x14ac:dyDescent="0.25">
      <c r="A321" t="s">
        <v>99</v>
      </c>
      <c r="B321" s="1">
        <v>28.7</v>
      </c>
      <c r="C321" s="4">
        <v>276</v>
      </c>
      <c r="D321" s="1">
        <v>2</v>
      </c>
      <c r="E321" s="3">
        <v>50.6</v>
      </c>
      <c r="F321" s="5">
        <v>2.5244480681033798</v>
      </c>
      <c r="G321" s="1">
        <v>38.200000000000003</v>
      </c>
      <c r="H321" s="1">
        <v>52.5</v>
      </c>
      <c r="I321" s="2">
        <v>0.108091118039397</v>
      </c>
      <c r="J321" s="5">
        <v>213.42811414487301</v>
      </c>
      <c r="K321" s="5">
        <v>0.17</v>
      </c>
    </row>
    <row r="322" spans="1:11" x14ac:dyDescent="0.25">
      <c r="B322" s="1">
        <v>28.7</v>
      </c>
      <c r="C322" s="4">
        <v>276</v>
      </c>
      <c r="D322" s="1">
        <v>2</v>
      </c>
      <c r="E322" s="3">
        <v>50.6</v>
      </c>
      <c r="F322" s="5">
        <v>2.5244480681033798</v>
      </c>
      <c r="G322" s="1">
        <v>38.200000000000003</v>
      </c>
      <c r="H322" s="1">
        <v>52.5</v>
      </c>
      <c r="I322" s="2">
        <v>0.108091118039397</v>
      </c>
      <c r="J322" s="5">
        <v>246.021989101103</v>
      </c>
      <c r="K322" s="5">
        <v>0.2</v>
      </c>
    </row>
    <row r="323" spans="1:11" x14ac:dyDescent="0.25">
      <c r="B323" s="1">
        <v>28.7</v>
      </c>
      <c r="C323" s="4">
        <v>276</v>
      </c>
      <c r="D323" s="1">
        <v>2</v>
      </c>
      <c r="E323" s="3">
        <v>50.6</v>
      </c>
      <c r="F323" s="5">
        <v>2.5244480681033798</v>
      </c>
      <c r="G323" s="1">
        <v>38.200000000000003</v>
      </c>
      <c r="H323" s="1">
        <v>52.5</v>
      </c>
      <c r="I323" s="2">
        <v>0.108091118039397</v>
      </c>
      <c r="J323" s="5">
        <v>275.8</v>
      </c>
      <c r="K323" s="5">
        <v>0.24</v>
      </c>
    </row>
    <row r="324" spans="1:11" x14ac:dyDescent="0.25">
      <c r="A324" t="s">
        <v>100</v>
      </c>
      <c r="B324" s="1">
        <v>32.299999999999997</v>
      </c>
      <c r="C324" s="4">
        <v>276</v>
      </c>
      <c r="D324" s="1">
        <v>1</v>
      </c>
      <c r="E324" s="3">
        <v>60</v>
      </c>
      <c r="F324" s="5">
        <v>2.5382184533279299</v>
      </c>
      <c r="G324" s="1">
        <v>38.299999999999997</v>
      </c>
      <c r="H324" s="1">
        <v>54.4</v>
      </c>
      <c r="I324" s="2">
        <v>6.2449543908879301E-2</v>
      </c>
      <c r="J324" s="5">
        <v>170.80329915468201</v>
      </c>
      <c r="K324" s="5">
        <v>0.17</v>
      </c>
    </row>
    <row r="325" spans="1:11" x14ac:dyDescent="0.25">
      <c r="B325" s="1">
        <v>32.299999999999997</v>
      </c>
      <c r="C325" s="4">
        <v>276</v>
      </c>
      <c r="D325" s="1">
        <v>1</v>
      </c>
      <c r="E325" s="3">
        <v>60</v>
      </c>
      <c r="F325" s="5">
        <v>2.5382184533279299</v>
      </c>
      <c r="G325" s="1">
        <v>38.299999999999997</v>
      </c>
      <c r="H325" s="1">
        <v>54.4</v>
      </c>
      <c r="I325" s="2">
        <v>6.2449543908879301E-2</v>
      </c>
      <c r="J325" s="5">
        <v>210.242000847909</v>
      </c>
      <c r="K325" s="5">
        <v>0.23</v>
      </c>
    </row>
    <row r="326" spans="1:11" x14ac:dyDescent="0.25">
      <c r="B326" s="1">
        <v>32.299999999999997</v>
      </c>
      <c r="C326" s="4">
        <v>276</v>
      </c>
      <c r="D326" s="1">
        <v>1</v>
      </c>
      <c r="E326" s="3">
        <v>60</v>
      </c>
      <c r="F326" s="5">
        <v>2.5382184533279299</v>
      </c>
      <c r="G326" s="1">
        <v>38.299999999999997</v>
      </c>
      <c r="H326" s="1">
        <v>54.4</v>
      </c>
      <c r="I326" s="2">
        <v>6.2449543908879301E-2</v>
      </c>
      <c r="J326" s="5">
        <v>245.13572204860799</v>
      </c>
      <c r="K326" s="5">
        <v>0.27</v>
      </c>
    </row>
    <row r="327" spans="1:11" x14ac:dyDescent="0.25">
      <c r="B327" s="1">
        <v>32.299999999999997</v>
      </c>
      <c r="C327" s="4">
        <v>276</v>
      </c>
      <c r="D327" s="1">
        <v>1</v>
      </c>
      <c r="E327" s="3">
        <v>60</v>
      </c>
      <c r="F327" s="5">
        <v>2.5382184533279299</v>
      </c>
      <c r="G327" s="1">
        <v>38.299999999999997</v>
      </c>
      <c r="H327" s="1">
        <v>54.4</v>
      </c>
      <c r="I327" s="2">
        <v>6.2449543908879301E-2</v>
      </c>
      <c r="J327" s="5">
        <v>270.05980862053599</v>
      </c>
      <c r="K327" s="5">
        <v>0.31</v>
      </c>
    </row>
    <row r="328" spans="1:11" x14ac:dyDescent="0.25">
      <c r="B328" s="1">
        <v>32.299999999999997</v>
      </c>
      <c r="C328" s="4">
        <v>276</v>
      </c>
      <c r="D328" s="1">
        <v>1</v>
      </c>
      <c r="E328" s="3">
        <v>60</v>
      </c>
      <c r="F328" s="5">
        <v>2.5382184533279299</v>
      </c>
      <c r="G328" s="1">
        <v>38.299999999999997</v>
      </c>
      <c r="H328" s="1">
        <v>54.4</v>
      </c>
      <c r="I328" s="2">
        <v>6.2449543908879301E-2</v>
      </c>
      <c r="J328" s="5">
        <v>275.8</v>
      </c>
      <c r="K328" s="5">
        <v>0.35</v>
      </c>
    </row>
    <row r="329" spans="1:11" x14ac:dyDescent="0.25">
      <c r="A329" t="s">
        <v>101</v>
      </c>
      <c r="B329" s="1">
        <v>32.299999999999997</v>
      </c>
      <c r="C329" s="4">
        <v>276</v>
      </c>
      <c r="D329" s="1">
        <v>1</v>
      </c>
      <c r="E329" s="3">
        <v>60</v>
      </c>
      <c r="F329" s="5">
        <v>2.8108695189494299</v>
      </c>
      <c r="G329" s="1">
        <v>38.299999999999997</v>
      </c>
      <c r="H329" s="1">
        <v>54.4</v>
      </c>
      <c r="I329" s="2">
        <v>6.1876058158271997E-2</v>
      </c>
      <c r="J329" s="5">
        <v>170.327728419202</v>
      </c>
      <c r="K329" s="5">
        <v>0.19</v>
      </c>
    </row>
    <row r="330" spans="1:11" x14ac:dyDescent="0.25">
      <c r="B330" s="1">
        <v>32.299999999999997</v>
      </c>
      <c r="C330" s="4">
        <v>276</v>
      </c>
      <c r="D330" s="1">
        <v>1</v>
      </c>
      <c r="E330" s="3">
        <v>60</v>
      </c>
      <c r="F330" s="5">
        <v>2.8108695189494299</v>
      </c>
      <c r="G330" s="1">
        <v>38.299999999999997</v>
      </c>
      <c r="H330" s="1">
        <v>54.4</v>
      </c>
      <c r="I330" s="2">
        <v>6.1876058158271997E-2</v>
      </c>
      <c r="J330" s="5">
        <v>209.656620217284</v>
      </c>
      <c r="K330" s="5">
        <v>0.24</v>
      </c>
    </row>
    <row r="331" spans="1:11" x14ac:dyDescent="0.25">
      <c r="B331" s="1">
        <v>32.299999999999997</v>
      </c>
      <c r="C331" s="4">
        <v>276</v>
      </c>
      <c r="D331" s="1">
        <v>1</v>
      </c>
      <c r="E331" s="3">
        <v>60</v>
      </c>
      <c r="F331" s="5">
        <v>2.8108695189494299</v>
      </c>
      <c r="G331" s="1">
        <v>38.299999999999997</v>
      </c>
      <c r="H331" s="1">
        <v>54.4</v>
      </c>
      <c r="I331" s="2">
        <v>6.1876058158271997E-2</v>
      </c>
      <c r="J331" s="5">
        <v>244.45318619476899</v>
      </c>
      <c r="K331" s="5">
        <v>0.28999999999999998</v>
      </c>
    </row>
    <row r="332" spans="1:11" x14ac:dyDescent="0.25">
      <c r="B332" s="1">
        <v>32.299999999999997</v>
      </c>
      <c r="C332" s="4">
        <v>276</v>
      </c>
      <c r="D332" s="1">
        <v>1</v>
      </c>
      <c r="E332" s="3">
        <v>60</v>
      </c>
      <c r="F332" s="5">
        <v>2.8108695189494299</v>
      </c>
      <c r="G332" s="1">
        <v>38.299999999999997</v>
      </c>
      <c r="H332" s="1">
        <v>54.4</v>
      </c>
      <c r="I332" s="2">
        <v>6.1876058158271997E-2</v>
      </c>
      <c r="J332" s="5">
        <v>269.307876178686</v>
      </c>
      <c r="K332" s="5">
        <v>0.36</v>
      </c>
    </row>
    <row r="333" spans="1:11" x14ac:dyDescent="0.25">
      <c r="B333" s="1">
        <v>32.299999999999997</v>
      </c>
      <c r="C333" s="4">
        <v>276</v>
      </c>
      <c r="D333" s="1">
        <v>1</v>
      </c>
      <c r="E333" s="3">
        <v>60</v>
      </c>
      <c r="F333" s="5">
        <v>2.8108695189494299</v>
      </c>
      <c r="G333" s="1">
        <v>38.299999999999997</v>
      </c>
      <c r="H333" s="1">
        <v>54.4</v>
      </c>
      <c r="I333" s="2">
        <v>6.1876058158271997E-2</v>
      </c>
      <c r="J333" s="5">
        <v>275.8</v>
      </c>
      <c r="K333" s="5">
        <v>0.42</v>
      </c>
    </row>
    <row r="334" spans="1:11" x14ac:dyDescent="0.25">
      <c r="A334" t="s">
        <v>102</v>
      </c>
      <c r="B334" s="1">
        <v>28.7</v>
      </c>
      <c r="C334" s="4">
        <v>276</v>
      </c>
      <c r="D334" s="1">
        <v>2</v>
      </c>
      <c r="E334" s="3">
        <v>50.6</v>
      </c>
      <c r="F334" s="5">
        <v>2.5765786179080399</v>
      </c>
      <c r="G334" s="1">
        <v>38</v>
      </c>
      <c r="H334" s="1">
        <v>52.3</v>
      </c>
      <c r="I334" s="2">
        <v>6.5570477718494405E-2</v>
      </c>
      <c r="J334" s="5">
        <v>183.23030547751301</v>
      </c>
      <c r="K334" s="5">
        <v>0.18</v>
      </c>
    </row>
    <row r="335" spans="1:11" x14ac:dyDescent="0.25">
      <c r="B335" s="1">
        <v>28.7</v>
      </c>
      <c r="C335" s="4">
        <v>276</v>
      </c>
      <c r="D335" s="1">
        <v>2</v>
      </c>
      <c r="E335" s="3">
        <v>50.6</v>
      </c>
      <c r="F335" s="5">
        <v>2.5765786179080399</v>
      </c>
      <c r="G335" s="1">
        <v>38</v>
      </c>
      <c r="H335" s="1">
        <v>52.3</v>
      </c>
      <c r="I335" s="2">
        <v>6.5570477718494405E-2</v>
      </c>
      <c r="J335" s="5">
        <v>219.890332297519</v>
      </c>
      <c r="K335" s="5">
        <v>0.22</v>
      </c>
    </row>
    <row r="336" spans="1:11" x14ac:dyDescent="0.25">
      <c r="B336" s="1">
        <v>28.7</v>
      </c>
      <c r="C336" s="4">
        <v>276</v>
      </c>
      <c r="D336" s="1">
        <v>2</v>
      </c>
      <c r="E336" s="3">
        <v>50.6</v>
      </c>
      <c r="F336" s="5">
        <v>2.5765786179080399</v>
      </c>
      <c r="G336" s="1">
        <v>38</v>
      </c>
      <c r="H336" s="1">
        <v>52.3</v>
      </c>
      <c r="I336" s="2">
        <v>6.5570477718494405E-2</v>
      </c>
      <c r="J336" s="5">
        <v>248.170924415809</v>
      </c>
      <c r="K336" s="5">
        <v>0.27</v>
      </c>
    </row>
    <row r="337" spans="1:11" x14ac:dyDescent="0.25">
      <c r="B337" s="1">
        <v>28.7</v>
      </c>
      <c r="C337" s="4">
        <v>276</v>
      </c>
      <c r="D337" s="1">
        <v>2</v>
      </c>
      <c r="E337" s="3">
        <v>50.6</v>
      </c>
      <c r="F337" s="5">
        <v>2.5765786179080399</v>
      </c>
      <c r="G337" s="1">
        <v>38</v>
      </c>
      <c r="H337" s="1">
        <v>52.3</v>
      </c>
      <c r="I337" s="2">
        <v>6.5570477718494405E-2</v>
      </c>
      <c r="J337" s="5">
        <v>275.8</v>
      </c>
      <c r="K337" s="5">
        <v>0.32</v>
      </c>
    </row>
    <row r="338" spans="1:11" x14ac:dyDescent="0.25">
      <c r="A338" t="s">
        <v>103</v>
      </c>
      <c r="B338" s="1">
        <v>28.7</v>
      </c>
      <c r="C338" s="4">
        <v>276</v>
      </c>
      <c r="D338" s="1">
        <v>2</v>
      </c>
      <c r="E338" s="3">
        <v>50.6</v>
      </c>
      <c r="F338" s="5">
        <v>2.5765786179080399</v>
      </c>
      <c r="G338" s="1">
        <v>38</v>
      </c>
      <c r="H338" s="1">
        <v>52.3</v>
      </c>
      <c r="I338" s="2">
        <v>6.5570477718494405E-2</v>
      </c>
      <c r="J338" s="5">
        <v>219.890332297519</v>
      </c>
      <c r="K338" s="5">
        <v>0.16</v>
      </c>
    </row>
    <row r="339" spans="1:11" x14ac:dyDescent="0.25">
      <c r="B339" s="1">
        <v>28.7</v>
      </c>
      <c r="C339" s="4">
        <v>276</v>
      </c>
      <c r="D339" s="1">
        <v>2</v>
      </c>
      <c r="E339" s="3">
        <v>50.6</v>
      </c>
      <c r="F339" s="5">
        <v>2.5765786179080399</v>
      </c>
      <c r="G339" s="1">
        <v>38</v>
      </c>
      <c r="H339" s="1">
        <v>52.3</v>
      </c>
      <c r="I339" s="2">
        <v>6.5570477718494405E-2</v>
      </c>
      <c r="J339" s="5">
        <v>248.170924415809</v>
      </c>
      <c r="K339" s="5">
        <v>0.19</v>
      </c>
    </row>
    <row r="340" spans="1:11" x14ac:dyDescent="0.25">
      <c r="B340" s="1">
        <v>28.7</v>
      </c>
      <c r="C340" s="4">
        <v>276</v>
      </c>
      <c r="D340" s="1">
        <v>2</v>
      </c>
      <c r="E340" s="3">
        <v>50.6</v>
      </c>
      <c r="F340" s="5">
        <v>2.5765786179080399</v>
      </c>
      <c r="G340" s="1">
        <v>38</v>
      </c>
      <c r="H340" s="1">
        <v>52.3</v>
      </c>
      <c r="I340" s="2">
        <v>6.5570477718494405E-2</v>
      </c>
      <c r="J340" s="5">
        <v>275.8</v>
      </c>
      <c r="K340" s="5">
        <v>0.22</v>
      </c>
    </row>
    <row r="341" spans="1:11" x14ac:dyDescent="0.25">
      <c r="A341" t="s">
        <v>104</v>
      </c>
      <c r="B341" s="1">
        <v>35.799999999999997</v>
      </c>
      <c r="C341" s="4">
        <v>276</v>
      </c>
      <c r="D341" s="1">
        <v>2</v>
      </c>
      <c r="E341" s="3">
        <v>36.4</v>
      </c>
      <c r="F341" s="5">
        <v>2.5478355335404399</v>
      </c>
      <c r="G341" s="1">
        <v>38</v>
      </c>
      <c r="H341" s="1">
        <v>55.9</v>
      </c>
      <c r="I341" s="2">
        <v>0.11244349085135601</v>
      </c>
      <c r="J341" s="5">
        <v>184.08648071345601</v>
      </c>
      <c r="K341" s="5">
        <v>0.17</v>
      </c>
    </row>
    <row r="342" spans="1:11" x14ac:dyDescent="0.25">
      <c r="A342" t="s">
        <v>105</v>
      </c>
      <c r="B342" s="1">
        <v>35.799999999999997</v>
      </c>
      <c r="C342" s="4">
        <v>276</v>
      </c>
      <c r="D342" s="1">
        <v>2</v>
      </c>
      <c r="E342" s="3">
        <v>36.4</v>
      </c>
      <c r="F342" s="5">
        <v>2.7563734268389202</v>
      </c>
      <c r="G342" s="1">
        <v>38</v>
      </c>
      <c r="H342" s="1">
        <v>55.9</v>
      </c>
      <c r="I342" s="2">
        <v>0.111410061904879</v>
      </c>
      <c r="J342" s="5">
        <v>143.792876986957</v>
      </c>
      <c r="K342" s="5">
        <v>0.19</v>
      </c>
    </row>
    <row r="343" spans="1:11" x14ac:dyDescent="0.25">
      <c r="B343" s="1">
        <v>35.799999999999997</v>
      </c>
      <c r="C343" s="4">
        <v>276</v>
      </c>
      <c r="D343" s="1">
        <v>2</v>
      </c>
      <c r="E343" s="3">
        <v>36.4</v>
      </c>
      <c r="F343" s="5">
        <v>2.7563734268389202</v>
      </c>
      <c r="G343" s="1">
        <v>38</v>
      </c>
      <c r="H343" s="1">
        <v>55.9</v>
      </c>
      <c r="I343" s="2">
        <v>0.111410061904879</v>
      </c>
      <c r="J343" s="5">
        <v>183.642990294518</v>
      </c>
      <c r="K343" s="5">
        <v>0.25</v>
      </c>
    </row>
  </sheetData>
  <mergeCells count="1">
    <mergeCell ref="B1:J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355"/>
  <sheetViews>
    <sheetView topLeftCell="L9" zoomScale="120" zoomScaleNormal="120" workbookViewId="0">
      <selection activeCell="A20" sqref="A20"/>
    </sheetView>
  </sheetViews>
  <sheetFormatPr defaultColWidth="8.5703125" defaultRowHeight="15" x14ac:dyDescent="0.25"/>
  <cols>
    <col min="1" max="1" width="32.85546875" style="1" customWidth="1"/>
    <col min="2" max="2" width="24.85546875" style="3" customWidth="1"/>
    <col min="3" max="3" width="24.85546875" style="4" customWidth="1"/>
    <col min="4" max="4" width="29.5703125" style="4" customWidth="1"/>
    <col min="5" max="5" width="29.42578125" style="3" customWidth="1"/>
    <col min="6" max="6" width="36.85546875" style="5" customWidth="1"/>
    <col min="7" max="7" width="16.42578125" style="3" customWidth="1"/>
    <col min="8" max="8" width="44.5703125" style="3" customWidth="1"/>
    <col min="9" max="9" width="20.42578125" style="3" customWidth="1"/>
    <col min="10" max="10" width="19.85546875" style="3" customWidth="1"/>
    <col min="11" max="11" width="29.85546875" style="4" customWidth="1"/>
    <col min="12" max="12" width="31.140625" style="5" customWidth="1"/>
    <col min="13" max="13" width="30.5703125" style="4" customWidth="1"/>
    <col min="14" max="14" width="16.42578125" style="10" customWidth="1"/>
    <col min="15" max="15" width="22.5703125" style="10" customWidth="1"/>
    <col min="16" max="16" width="42.85546875" style="4" customWidth="1"/>
    <col min="17" max="17" width="9.5703125" style="5" customWidth="1"/>
    <col min="18" max="18" width="42.85546875" style="11" customWidth="1"/>
    <col min="22" max="23" width="8.85546875" style="1" customWidth="1"/>
    <col min="28" max="28" width="66.42578125" customWidth="1"/>
    <col min="31" max="31" width="10.5703125" customWidth="1"/>
    <col min="32" max="32" width="15.42578125" customWidth="1"/>
    <col min="33" max="33" width="8.85546875" style="6" customWidth="1"/>
    <col min="41" max="41" width="80.5703125" customWidth="1"/>
    <col min="42" max="42" width="17.85546875" customWidth="1"/>
  </cols>
  <sheetData>
    <row r="1" spans="1:44" ht="61.5" customHeight="1" x14ac:dyDescent="0.25">
      <c r="V1" s="7" t="s">
        <v>0</v>
      </c>
      <c r="X1" s="12"/>
      <c r="Y1" s="7" t="s">
        <v>1</v>
      </c>
      <c r="AB1" s="13" t="s">
        <v>116</v>
      </c>
      <c r="AO1" s="14" t="s">
        <v>117</v>
      </c>
    </row>
    <row r="2" spans="1:44" x14ac:dyDescent="0.25">
      <c r="V2" s="1" t="s">
        <v>2</v>
      </c>
      <c r="W2" s="1">
        <v>0.51500000000000001</v>
      </c>
      <c r="Y2" s="1" t="s">
        <v>2</v>
      </c>
      <c r="Z2" s="1">
        <v>0.39100000000000001</v>
      </c>
      <c r="AB2" s="15" t="s">
        <v>2</v>
      </c>
      <c r="AC2" s="1">
        <v>1.22</v>
      </c>
      <c r="AO2" s="15" t="s">
        <v>2</v>
      </c>
      <c r="AP2" s="5">
        <v>7.37</v>
      </c>
    </row>
    <row r="3" spans="1:44" x14ac:dyDescent="0.25">
      <c r="V3" s="1" t="s">
        <v>3</v>
      </c>
      <c r="W3" s="1">
        <v>-1.6900000000000001E-3</v>
      </c>
      <c r="Y3" s="1" t="s">
        <v>3</v>
      </c>
      <c r="Z3" s="1">
        <v>0.70099999999999996</v>
      </c>
      <c r="AB3" s="15" t="s">
        <v>3</v>
      </c>
      <c r="AC3" s="1">
        <v>1.93</v>
      </c>
      <c r="AO3" s="15" t="s">
        <v>3</v>
      </c>
      <c r="AP3" s="5">
        <v>4.87</v>
      </c>
    </row>
    <row r="4" spans="1:44" x14ac:dyDescent="0.25">
      <c r="V4" s="1" t="s">
        <v>4</v>
      </c>
      <c r="W4" s="1">
        <v>1</v>
      </c>
      <c r="Y4" s="1" t="s">
        <v>4</v>
      </c>
      <c r="Z4" s="1">
        <v>0.628</v>
      </c>
      <c r="AB4" s="15" t="s">
        <v>4</v>
      </c>
      <c r="AC4" s="1">
        <v>-1.05</v>
      </c>
      <c r="AO4" s="15" t="s">
        <v>4</v>
      </c>
      <c r="AP4" s="5">
        <v>-2.7</v>
      </c>
    </row>
    <row r="5" spans="1:44" x14ac:dyDescent="0.25">
      <c r="V5" s="1" t="s">
        <v>5</v>
      </c>
      <c r="W5" s="1">
        <v>0.67200000000000004</v>
      </c>
      <c r="Y5" s="1" t="s">
        <v>5</v>
      </c>
      <c r="Z5" s="1">
        <v>0.38900000000000001</v>
      </c>
      <c r="AB5" s="15" t="s">
        <v>5</v>
      </c>
      <c r="AC5" s="1">
        <v>0.56799999999999995</v>
      </c>
      <c r="AO5" s="15" t="s">
        <v>5</v>
      </c>
      <c r="AP5" s="5">
        <v>0.09</v>
      </c>
    </row>
    <row r="6" spans="1:44" x14ac:dyDescent="0.25">
      <c r="V6" s="1" t="s">
        <v>6</v>
      </c>
      <c r="W6" s="1">
        <v>-0.41699999999999998</v>
      </c>
      <c r="Y6" s="1" t="s">
        <v>6</v>
      </c>
      <c r="Z6" s="1">
        <v>-0.63100000000000001</v>
      </c>
      <c r="AB6" s="15" t="s">
        <v>6</v>
      </c>
      <c r="AC6" s="1">
        <v>0.08</v>
      </c>
      <c r="AO6" s="15" t="s">
        <v>6</v>
      </c>
      <c r="AP6" s="5">
        <v>1.6E-2</v>
      </c>
      <c r="AR6" s="12"/>
    </row>
    <row r="7" spans="1:44" x14ac:dyDescent="0.25">
      <c r="V7" s="1" t="s">
        <v>7</v>
      </c>
      <c r="W7" s="1">
        <v>0.61699999999999999</v>
      </c>
      <c r="Y7" s="1" t="s">
        <v>7</v>
      </c>
      <c r="Z7" s="1">
        <v>2.0110000000000001</v>
      </c>
      <c r="AB7" s="1"/>
      <c r="AC7" s="1"/>
      <c r="AO7" s="15" t="s">
        <v>7</v>
      </c>
      <c r="AP7" s="5">
        <v>0.82</v>
      </c>
    </row>
    <row r="8" spans="1:44" x14ac:dyDescent="0.25">
      <c r="Y8" s="1"/>
      <c r="Z8" s="1"/>
      <c r="AB8" s="1"/>
      <c r="AC8" s="1"/>
      <c r="AO8" s="15" t="s">
        <v>118</v>
      </c>
      <c r="AP8" s="5">
        <v>2</v>
      </c>
    </row>
    <row r="9" spans="1:44" x14ac:dyDescent="0.25">
      <c r="A9" s="1" t="s">
        <v>8</v>
      </c>
      <c r="B9" s="46" t="s">
        <v>9</v>
      </c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5" t="s">
        <v>10</v>
      </c>
    </row>
    <row r="10" spans="1:44" ht="30" x14ac:dyDescent="0.35">
      <c r="B10" s="3" t="s">
        <v>11</v>
      </c>
      <c r="C10" s="4" t="s">
        <v>12</v>
      </c>
      <c r="D10" s="4" t="s">
        <v>13</v>
      </c>
      <c r="E10" s="3" t="s">
        <v>14</v>
      </c>
      <c r="F10" s="5" t="s">
        <v>15</v>
      </c>
      <c r="G10" s="3" t="s">
        <v>16</v>
      </c>
      <c r="H10" s="3" t="s">
        <v>17</v>
      </c>
      <c r="I10" s="1" t="s">
        <v>119</v>
      </c>
      <c r="J10" s="16" t="s">
        <v>120</v>
      </c>
      <c r="K10" s="17" t="s">
        <v>121</v>
      </c>
      <c r="L10" s="18" t="s">
        <v>122</v>
      </c>
      <c r="M10" s="17" t="s">
        <v>123</v>
      </c>
      <c r="N10" s="10" t="s">
        <v>18</v>
      </c>
      <c r="O10" s="10" t="s">
        <v>124</v>
      </c>
      <c r="P10" s="4" t="s">
        <v>19</v>
      </c>
      <c r="Q10" s="5" t="s">
        <v>20</v>
      </c>
      <c r="R10" s="19" t="s">
        <v>125</v>
      </c>
      <c r="AB10" s="8"/>
      <c r="AD10" s="6" t="s">
        <v>126</v>
      </c>
      <c r="AE10" s="6" t="s">
        <v>127</v>
      </c>
      <c r="AF10" t="s">
        <v>128</v>
      </c>
      <c r="AQ10" s="6" t="s">
        <v>126</v>
      </c>
    </row>
    <row r="11" spans="1:44" x14ac:dyDescent="0.25">
      <c r="A11" s="1" t="s">
        <v>22</v>
      </c>
      <c r="B11" s="3">
        <v>20</v>
      </c>
      <c r="C11" s="4">
        <v>500</v>
      </c>
      <c r="D11" s="4">
        <v>2</v>
      </c>
      <c r="E11" s="3">
        <v>126</v>
      </c>
      <c r="F11" s="5">
        <v>4.1203405239014401</v>
      </c>
      <c r="G11" s="3">
        <v>25</v>
      </c>
      <c r="H11" s="3">
        <v>39</v>
      </c>
      <c r="I11" s="1">
        <v>216</v>
      </c>
      <c r="J11" s="3">
        <v>201</v>
      </c>
      <c r="K11" s="4">
        <v>628</v>
      </c>
      <c r="L11" s="5">
        <v>29484</v>
      </c>
      <c r="M11" s="4">
        <v>57.361776585620298</v>
      </c>
      <c r="N11" s="10">
        <v>2.1299687966354602E-2</v>
      </c>
      <c r="O11" s="5">
        <v>20.8</v>
      </c>
      <c r="P11" s="4">
        <v>120.527745920491</v>
      </c>
      <c r="Q11" s="5">
        <v>0.16</v>
      </c>
      <c r="R11" s="11">
        <f t="shared" ref="R11:R74" si="0">P11/200000</f>
        <v>6.0263872960245502E-4</v>
      </c>
      <c r="V11" s="5">
        <f t="shared" ref="V11:V74" si="1">$W$2*($W$3*$G11+$W$4*$B11^$W$5*$N11^$W$6)*$R11^$W$7</f>
        <v>0.19768346047824803</v>
      </c>
      <c r="W11" s="5">
        <f t="shared" ref="W11:W74" si="2">V11/$Q11</f>
        <v>1.2355216279890502</v>
      </c>
      <c r="Y11" s="5">
        <f t="shared" ref="Y11:Y74" si="3">$Z$2*$B11^$Z$3*$R11^$Z$4*($Z$5*$N11^$Z$6+$Z$7)</f>
        <v>0.19493440174973181</v>
      </c>
      <c r="Z11" s="5">
        <f t="shared" ref="Z11:Z74" si="4">Y11/$Q11</f>
        <v>1.2183400109358238</v>
      </c>
      <c r="AB11" s="5">
        <f>$AC$2*($AC$3+$AC$4*$F11/($N11*'Sem TS MC2020'!P3))*($AC$5*$G11+$AC$6*$B11/$N11)*'Sem TS MC2020'!R3*($J11-$M11)/($J11-$M11-$H11)</f>
        <v>0.1826977333170775</v>
      </c>
      <c r="AC11" s="5">
        <f t="shared" ref="AC11:AC74" si="5">AB11/$Q11</f>
        <v>1.1418608332317344</v>
      </c>
      <c r="AD11" s="20">
        <f t="shared" ref="AD11:AD74" si="6">AB11-$Q11</f>
        <v>2.2697733317077501E-2</v>
      </c>
      <c r="AE11" s="21">
        <f t="shared" ref="AE11:AE74" si="7">1/AC11</f>
        <v>0.87576346512364833</v>
      </c>
      <c r="AF11" s="21">
        <f>AB11*(14.068*'Sem TS MC2020'!$P3^-0.457)/$Q11</f>
        <v>1.3334577980813502</v>
      </c>
      <c r="AG11" s="21"/>
      <c r="AO11" s="5">
        <f>$AP$2*($AP$3+$AP$4*$F11/($N11*'Sem TS MC2020'!P3))*($AP$5*$G11+$AP$6*$B11/$N11)*('Sem TS MC2020'!P3^$AP$7/200000)*($J11-$M11)/($J11-$M11-$H11)+('Sem TS MC2020'!P3-$C11/$AP$8)*($AP$5*$G11+$AP$6*$B11/$N11)/200000</f>
        <v>0.19730926261359455</v>
      </c>
      <c r="AP11" s="5">
        <f t="shared" ref="AP11:AP74" si="8">AO11/$Q11</f>
        <v>1.2331828913349658</v>
      </c>
      <c r="AQ11" s="20">
        <f t="shared" ref="AQ11:AQ74" si="9">AO11-$Q11</f>
        <v>3.7309262613594546E-2</v>
      </c>
    </row>
    <row r="12" spans="1:44" x14ac:dyDescent="0.25">
      <c r="B12" s="3">
        <v>20</v>
      </c>
      <c r="C12" s="4">
        <v>500</v>
      </c>
      <c r="D12" s="4">
        <v>2</v>
      </c>
      <c r="E12" s="3">
        <v>126</v>
      </c>
      <c r="F12" s="5">
        <v>4.1203405239014401</v>
      </c>
      <c r="G12" s="3">
        <v>25</v>
      </c>
      <c r="H12" s="3">
        <v>39</v>
      </c>
      <c r="I12" s="1">
        <v>216</v>
      </c>
      <c r="J12" s="3">
        <v>201</v>
      </c>
      <c r="K12" s="4">
        <v>628</v>
      </c>
      <c r="L12" s="5">
        <v>29484</v>
      </c>
      <c r="M12" s="4">
        <v>57.361776585620298</v>
      </c>
      <c r="N12" s="10">
        <v>2.1299687966354602E-2</v>
      </c>
      <c r="O12" s="5">
        <v>27.3</v>
      </c>
      <c r="P12" s="4">
        <v>223.84798261989101</v>
      </c>
      <c r="Q12" s="5">
        <v>0.23</v>
      </c>
      <c r="R12" s="11">
        <f t="shared" si="0"/>
        <v>1.1192399130994552E-3</v>
      </c>
      <c r="V12" s="5">
        <f t="shared" si="1"/>
        <v>0.28964147436836934</v>
      </c>
      <c r="W12" s="5">
        <f t="shared" si="2"/>
        <v>1.2593107581233449</v>
      </c>
      <c r="Y12" s="5">
        <f t="shared" si="3"/>
        <v>0.2875652685864602</v>
      </c>
      <c r="Z12" s="5">
        <f t="shared" si="4"/>
        <v>1.2502837764628705</v>
      </c>
      <c r="AB12" s="5">
        <f>$AC$2*($AC$3+$AC$4*$F12/($N12*'Sem TS MC2020'!P4))*($AC$5*$G12+$AC$6*$B12/$N12)*'Sem TS MC2020'!R4*($J12-$M12)/($J12-$M12-$H12)</f>
        <v>0.28726413526460975</v>
      </c>
      <c r="AC12" s="5">
        <f t="shared" si="5"/>
        <v>1.2489745011504771</v>
      </c>
      <c r="AD12" s="20">
        <f t="shared" si="6"/>
        <v>5.7264135264609745E-2</v>
      </c>
      <c r="AE12" s="21">
        <f t="shared" si="7"/>
        <v>0.80065685814951593</v>
      </c>
      <c r="AF12" s="21">
        <f>AB12*(14.068*'Sem TS MC2020'!$P4^-0.457)/$Q12</f>
        <v>1.2880961592705142</v>
      </c>
      <c r="AG12" s="21"/>
      <c r="AO12" s="5">
        <f>$AP$2*($AP$3+$AP$4*$F12/($N12*'Sem TS MC2020'!P4))*($AP$5*$G12+$AP$6*$B12/$N12)*('Sem TS MC2020'!P4^$AP$7/200000)*($J12-$M12)/($J12-$M12-$H12)+('Sem TS MC2020'!P4-$C12/$AP$8)*($AP$5*$G12+$AP$6*$B12/$N12)/200000</f>
        <v>0.30420252679311832</v>
      </c>
      <c r="AP12" s="5">
        <f t="shared" si="8"/>
        <v>1.32261968170921</v>
      </c>
      <c r="AQ12" s="20">
        <f t="shared" si="9"/>
        <v>7.4202526793118312E-2</v>
      </c>
    </row>
    <row r="13" spans="1:44" x14ac:dyDescent="0.25">
      <c r="B13" s="3">
        <v>20</v>
      </c>
      <c r="C13" s="4">
        <v>500</v>
      </c>
      <c r="D13" s="4">
        <v>2</v>
      </c>
      <c r="E13" s="3">
        <v>126</v>
      </c>
      <c r="F13" s="5">
        <v>4.1203405239014401</v>
      </c>
      <c r="G13" s="3">
        <v>25</v>
      </c>
      <c r="H13" s="3">
        <v>39</v>
      </c>
      <c r="I13" s="1">
        <v>216</v>
      </c>
      <c r="J13" s="3">
        <v>201</v>
      </c>
      <c r="K13" s="4">
        <v>628</v>
      </c>
      <c r="L13" s="5">
        <v>29484</v>
      </c>
      <c r="M13" s="4">
        <v>57.361776585620298</v>
      </c>
      <c r="N13" s="10">
        <v>2.1299687966354602E-2</v>
      </c>
      <c r="O13" s="5">
        <v>28.2</v>
      </c>
      <c r="P13" s="4">
        <v>242.052198219915</v>
      </c>
      <c r="Q13" s="5">
        <v>0.24</v>
      </c>
      <c r="R13" s="11">
        <f t="shared" si="0"/>
        <v>1.2102609910995749E-3</v>
      </c>
      <c r="V13" s="5">
        <f t="shared" si="1"/>
        <v>0.30395655014392897</v>
      </c>
      <c r="W13" s="5">
        <f t="shared" si="2"/>
        <v>1.2664856255997041</v>
      </c>
      <c r="Y13" s="5">
        <f t="shared" si="3"/>
        <v>0.30203738626763854</v>
      </c>
      <c r="Z13" s="5">
        <f t="shared" si="4"/>
        <v>1.258489109448494</v>
      </c>
      <c r="AB13" s="5">
        <f>$AC$2*($AC$3+$AC$4*$F13/($N13*'Sem TS MC2020'!P5))*($AC$5*$G13+$AC$6*$B13/$N13)*'Sem TS MC2020'!R5*($J13-$M13)/($J13-$M13-$H13)</f>
        <v>0.30174256014965228</v>
      </c>
      <c r="AC13" s="5">
        <f t="shared" si="5"/>
        <v>1.2572606672902178</v>
      </c>
      <c r="AD13" s="20">
        <f t="shared" si="6"/>
        <v>6.1742560149652292E-2</v>
      </c>
      <c r="AE13" s="21">
        <f t="shared" si="7"/>
        <v>0.79538000831228306</v>
      </c>
      <c r="AF13" s="21">
        <f>AB13*(14.068*'Sem TS MC2020'!$P5^-0.457)/$Q13</f>
        <v>1.2775636003000228</v>
      </c>
      <c r="AG13" s="21"/>
      <c r="AO13" s="5">
        <f>$AP$2*($AP$3+$AP$4*$F13/($N13*'Sem TS MC2020'!P5))*($AP$5*$G13+$AP$6*$B13/$N13)*('Sem TS MC2020'!P5^$AP$7/200000)*($J13-$M13)/($J13-$M13-$H13)+('Sem TS MC2020'!P5-$C13/$AP$8)*($AP$5*$G13+$AP$6*$B13/$N13)/200000</f>
        <v>0.31848620826748186</v>
      </c>
      <c r="AP13" s="5">
        <f t="shared" si="8"/>
        <v>1.3270258677811744</v>
      </c>
      <c r="AQ13" s="20">
        <f t="shared" si="9"/>
        <v>7.8486208267481872E-2</v>
      </c>
    </row>
    <row r="14" spans="1:44" x14ac:dyDescent="0.25">
      <c r="B14" s="3">
        <v>20</v>
      </c>
      <c r="C14" s="4">
        <v>500</v>
      </c>
      <c r="D14" s="4">
        <v>2</v>
      </c>
      <c r="E14" s="3">
        <v>126</v>
      </c>
      <c r="F14" s="5">
        <v>4.1203405239014401</v>
      </c>
      <c r="G14" s="3">
        <v>25</v>
      </c>
      <c r="H14" s="3">
        <v>39</v>
      </c>
      <c r="I14" s="1">
        <v>216</v>
      </c>
      <c r="J14" s="3">
        <v>201</v>
      </c>
      <c r="K14" s="4">
        <v>628</v>
      </c>
      <c r="L14" s="5">
        <v>29484</v>
      </c>
      <c r="M14" s="4">
        <v>57.361776585620298</v>
      </c>
      <c r="N14" s="10">
        <v>2.1299687966354602E-2</v>
      </c>
      <c r="O14" s="5">
        <v>32.6</v>
      </c>
      <c r="P14" s="4">
        <v>325.14719045768402</v>
      </c>
      <c r="Q14" s="5">
        <v>0.27</v>
      </c>
      <c r="R14" s="11">
        <f t="shared" si="0"/>
        <v>1.6257359522884201E-3</v>
      </c>
      <c r="V14" s="5">
        <f t="shared" si="1"/>
        <v>0.36466408950423423</v>
      </c>
      <c r="W14" s="5">
        <f t="shared" si="2"/>
        <v>1.3506077389045712</v>
      </c>
      <c r="Y14" s="5">
        <f t="shared" si="3"/>
        <v>0.36353989331169512</v>
      </c>
      <c r="Z14" s="5">
        <f t="shared" si="4"/>
        <v>1.3464440493025744</v>
      </c>
      <c r="AB14" s="5">
        <f>$AC$2*($AC$3+$AC$4*$F14/($N14*'Sem TS MC2020'!P6))*($AC$5*$G14+$AC$6*$B14/$N14)*'Sem TS MC2020'!R6*($J14-$M14)/($J14-$M14-$H14)</f>
        <v>0.37252597069875221</v>
      </c>
      <c r="AC14" s="5">
        <f t="shared" si="5"/>
        <v>1.3797258174027858</v>
      </c>
      <c r="AD14" s="20">
        <f t="shared" si="6"/>
        <v>0.10252597069875219</v>
      </c>
      <c r="AE14" s="21">
        <f t="shared" si="7"/>
        <v>0.72478168298859069</v>
      </c>
      <c r="AF14" s="21">
        <f>AB14*(14.068*'Sem TS MC2020'!$P6^-0.457)/$Q14</f>
        <v>1.3121195026272694</v>
      </c>
      <c r="AG14" s="21"/>
      <c r="AO14" s="5">
        <f>$AP$2*($AP$3+$AP$4*$F14/($N14*'Sem TS MC2020'!P6))*($AP$5*$G14+$AP$6*$B14/$N14)*('Sem TS MC2020'!P6^$AP$7/200000)*($J14-$M14)/($J14-$M14-$H14)+('Sem TS MC2020'!P6-$C14/$AP$8)*($AP$5*$G14+$AP$6*$B14/$N14)/200000</f>
        <v>0.38687098192123126</v>
      </c>
      <c r="AP14" s="5">
        <f t="shared" si="8"/>
        <v>1.4328554885971527</v>
      </c>
      <c r="AQ14" s="20">
        <f t="shared" si="9"/>
        <v>0.11687098192123124</v>
      </c>
    </row>
    <row r="15" spans="1:44" x14ac:dyDescent="0.25">
      <c r="B15" s="3">
        <v>20</v>
      </c>
      <c r="C15" s="4">
        <v>500</v>
      </c>
      <c r="D15" s="4">
        <v>2</v>
      </c>
      <c r="E15" s="3">
        <v>126</v>
      </c>
      <c r="F15" s="5">
        <v>4.1203405239014401</v>
      </c>
      <c r="G15" s="3">
        <v>25</v>
      </c>
      <c r="H15" s="3">
        <v>39</v>
      </c>
      <c r="I15" s="1">
        <v>216</v>
      </c>
      <c r="J15" s="3">
        <v>201</v>
      </c>
      <c r="K15" s="4">
        <v>628</v>
      </c>
      <c r="L15" s="5">
        <v>29484</v>
      </c>
      <c r="M15" s="4">
        <v>57.361776585620298</v>
      </c>
      <c r="N15" s="10">
        <v>2.1299687966354602E-2</v>
      </c>
      <c r="O15" s="5">
        <v>41.2</v>
      </c>
      <c r="P15" s="4">
        <v>447.78445698177302</v>
      </c>
      <c r="Q15" s="5">
        <v>0.35</v>
      </c>
      <c r="R15" s="11">
        <f t="shared" si="0"/>
        <v>2.2389222849088651E-3</v>
      </c>
      <c r="V15" s="5">
        <f t="shared" si="1"/>
        <v>0.44427227996804347</v>
      </c>
      <c r="W15" s="5">
        <f t="shared" si="2"/>
        <v>1.2693493713372672</v>
      </c>
      <c r="Y15" s="5">
        <f t="shared" si="3"/>
        <v>0.44446459632476837</v>
      </c>
      <c r="Z15" s="5">
        <f t="shared" si="4"/>
        <v>1.2698988466421954</v>
      </c>
      <c r="AB15" s="5">
        <f>$AC$2*($AC$3+$AC$4*$F15/($N15*'Sem TS MC2020'!P7))*($AC$5*$G15+$AC$6*$B15/$N15)*'Sem TS MC2020'!R7*($J15-$M15)/($J15-$M15-$H15)</f>
        <v>0.51087536404471845</v>
      </c>
      <c r="AC15" s="5">
        <f t="shared" si="5"/>
        <v>1.4596438972706243</v>
      </c>
      <c r="AD15" s="20">
        <f t="shared" si="6"/>
        <v>0.16087536404471847</v>
      </c>
      <c r="AE15" s="21">
        <f t="shared" si="7"/>
        <v>0.68509860649566068</v>
      </c>
      <c r="AF15" s="21">
        <f>AB15*(14.068*'Sem TS MC2020'!$P7^-0.457)/$Q15</f>
        <v>1.247268433456167</v>
      </c>
      <c r="AG15" s="21"/>
      <c r="AO15" s="5">
        <f>$AP$2*($AP$3+$AP$4*$F15/($N15*'Sem TS MC2020'!P7))*($AP$5*$G15+$AP$6*$B15/$N15)*('Sem TS MC2020'!P7^$AP$7/200000)*($J15-$M15)/($J15-$M15-$H15)+('Sem TS MC2020'!P7-$C15/$AP$8)*($AP$5*$G15+$AP$6*$B15/$N15)/200000</f>
        <v>0.51490294805878001</v>
      </c>
      <c r="AP15" s="5">
        <f t="shared" si="8"/>
        <v>1.4711512801679429</v>
      </c>
      <c r="AQ15" s="20">
        <f t="shared" si="9"/>
        <v>0.16490294805878003</v>
      </c>
    </row>
    <row r="16" spans="1:44" x14ac:dyDescent="0.25">
      <c r="B16" s="3">
        <v>20</v>
      </c>
      <c r="C16" s="4">
        <v>500</v>
      </c>
      <c r="D16" s="4">
        <v>2</v>
      </c>
      <c r="E16" s="3">
        <v>126</v>
      </c>
      <c r="F16" s="5">
        <v>4.1203405239014401</v>
      </c>
      <c r="G16" s="3">
        <v>25</v>
      </c>
      <c r="H16" s="3">
        <v>39</v>
      </c>
      <c r="I16" s="1">
        <v>216</v>
      </c>
      <c r="J16" s="3">
        <v>201</v>
      </c>
      <c r="K16" s="4">
        <v>628</v>
      </c>
      <c r="L16" s="5">
        <v>29484</v>
      </c>
      <c r="M16" s="4">
        <v>57.361776585620298</v>
      </c>
      <c r="N16" s="10">
        <v>2.1299687966354602E-2</v>
      </c>
      <c r="O16" s="5">
        <v>44.9</v>
      </c>
      <c r="P16" s="4">
        <v>500</v>
      </c>
      <c r="Q16" s="5">
        <v>0.4</v>
      </c>
      <c r="R16" s="11">
        <f t="shared" si="0"/>
        <v>2.5000000000000001E-3</v>
      </c>
      <c r="V16" s="5">
        <f t="shared" si="1"/>
        <v>0.4755586956310392</v>
      </c>
      <c r="W16" s="5">
        <f t="shared" si="2"/>
        <v>1.188896739077598</v>
      </c>
      <c r="Y16" s="5">
        <f t="shared" si="3"/>
        <v>0.47634213028661559</v>
      </c>
      <c r="Z16" s="5">
        <f t="shared" si="4"/>
        <v>1.1908553257165388</v>
      </c>
      <c r="AB16" s="5">
        <f>$AC$2*($AC$3+$AC$4*$F16/($N16*'Sem TS MC2020'!P8))*($AC$5*$G16+$AC$6*$B16/$N16)*'Sem TS MC2020'!R8*($J16-$M16)/($J16-$M16-$H16)</f>
        <v>0.56982079695789767</v>
      </c>
      <c r="AC16" s="5">
        <f t="shared" si="5"/>
        <v>1.4245519923947441</v>
      </c>
      <c r="AD16" s="20">
        <f t="shared" si="6"/>
        <v>0.16982079695789765</v>
      </c>
      <c r="AE16" s="21">
        <f t="shared" si="7"/>
        <v>0.70197508082449789</v>
      </c>
      <c r="AF16" s="21">
        <f>AB16*(14.068*'Sem TS MC2020'!$P8^-0.457)/$Q16</f>
        <v>1.1707963831521662</v>
      </c>
      <c r="AG16" s="21"/>
      <c r="AO16" s="5">
        <f>$AP$2*($AP$3+$AP$4*$F16/($N16*'Sem TS MC2020'!P8))*($AP$5*$G16+$AP$6*$B16/$N16)*('Sem TS MC2020'!P8^$AP$7/200000)*($J16-$M16)/($J16-$M16-$H16)+('Sem TS MC2020'!P8-$C16/$AP$8)*($AP$5*$G16+$AP$6*$B16/$N16)/200000</f>
        <v>0.56764368831311984</v>
      </c>
      <c r="AP16" s="5">
        <f t="shared" si="8"/>
        <v>1.4191092207827996</v>
      </c>
      <c r="AQ16" s="20">
        <f t="shared" si="9"/>
        <v>0.16764368831311982</v>
      </c>
    </row>
    <row r="17" spans="1:43" x14ac:dyDescent="0.25">
      <c r="A17" s="1" t="s">
        <v>23</v>
      </c>
      <c r="B17" s="3">
        <v>10</v>
      </c>
      <c r="C17" s="4">
        <v>500</v>
      </c>
      <c r="D17" s="4">
        <v>8</v>
      </c>
      <c r="E17" s="3">
        <v>87.7</v>
      </c>
      <c r="F17" s="5">
        <v>4.1311267633290099</v>
      </c>
      <c r="G17" s="3">
        <v>25</v>
      </c>
      <c r="H17" s="3">
        <v>53</v>
      </c>
      <c r="I17" s="1">
        <v>308</v>
      </c>
      <c r="J17" s="3">
        <v>604</v>
      </c>
      <c r="K17" s="4">
        <v>628</v>
      </c>
      <c r="L17" s="5">
        <v>43428</v>
      </c>
      <c r="M17" s="4">
        <v>99.696400381800601</v>
      </c>
      <c r="N17" s="10">
        <v>1.44607165883762E-2</v>
      </c>
      <c r="O17" s="5">
        <v>105</v>
      </c>
      <c r="P17" s="4">
        <v>224.984962100529</v>
      </c>
      <c r="Q17" s="5">
        <v>0.16</v>
      </c>
      <c r="R17" s="11">
        <f t="shared" si="0"/>
        <v>1.1249248105026451E-3</v>
      </c>
      <c r="V17" s="5">
        <f t="shared" si="1"/>
        <v>0.21423149710052633</v>
      </c>
      <c r="W17" s="5">
        <f t="shared" si="2"/>
        <v>1.3389468568782896</v>
      </c>
      <c r="Y17" s="5">
        <f t="shared" si="3"/>
        <v>0.21120240086096029</v>
      </c>
      <c r="Z17" s="5">
        <f t="shared" si="4"/>
        <v>1.3200150053810018</v>
      </c>
      <c r="AB17" s="5">
        <f>$AC$2*($AC$3+$AC$4*$F17/($N17*'Sem TS MC2020'!P9))*($AC$5*$G17+$AC$6*$B17/$N17)*'Sem TS MC2020'!R9*($J17-$M17)/($J17-$M17-$H17)</f>
        <v>0.15319516455233359</v>
      </c>
      <c r="AC17" s="5">
        <f t="shared" si="5"/>
        <v>0.95746977845208492</v>
      </c>
      <c r="AD17" s="20">
        <f t="shared" si="6"/>
        <v>-6.804835447666413E-3</v>
      </c>
      <c r="AE17" s="21">
        <f t="shared" si="7"/>
        <v>1.0444193879588268</v>
      </c>
      <c r="AF17" s="21">
        <f>AB17*(14.068*'Sem TS MC2020'!$P9^-0.457)/$Q17</f>
        <v>0.96095094875375819</v>
      </c>
      <c r="AG17" s="21"/>
      <c r="AO17" s="5">
        <f>$AP$2*($AP$3+$AP$4*$F17/($N17*'Sem TS MC2020'!P9))*($AP$5*$G17+$AP$6*$B17/$N17)*('Sem TS MC2020'!P9^$AP$7/200000)*($J17-$M17)/($J17-$M17-$H17)+('Sem TS MC2020'!P9-$C17/$AP$8)*($AP$5*$G17+$AP$6*$B17/$N17)/200000</f>
        <v>0.16014113895564219</v>
      </c>
      <c r="AP17" s="5">
        <f t="shared" si="8"/>
        <v>1.0008821184727636</v>
      </c>
      <c r="AQ17" s="20">
        <f t="shared" si="9"/>
        <v>1.4113895564218937E-4</v>
      </c>
    </row>
    <row r="18" spans="1:43" x14ac:dyDescent="0.25">
      <c r="B18" s="3">
        <v>10</v>
      </c>
      <c r="C18" s="4">
        <v>500</v>
      </c>
      <c r="D18" s="4">
        <v>8</v>
      </c>
      <c r="E18" s="3">
        <v>87.7</v>
      </c>
      <c r="F18" s="5">
        <v>4.1311267633290099</v>
      </c>
      <c r="G18" s="3">
        <v>25</v>
      </c>
      <c r="H18" s="3">
        <v>53</v>
      </c>
      <c r="I18" s="1">
        <v>308</v>
      </c>
      <c r="J18" s="3">
        <v>604</v>
      </c>
      <c r="K18" s="4">
        <v>628</v>
      </c>
      <c r="L18" s="5">
        <v>43428</v>
      </c>
      <c r="M18" s="4">
        <v>99.696400381800601</v>
      </c>
      <c r="N18" s="10">
        <v>1.44607165883762E-2</v>
      </c>
      <c r="O18" s="5">
        <v>119.6</v>
      </c>
      <c r="P18" s="4">
        <v>301.65383852985201</v>
      </c>
      <c r="Q18" s="5">
        <v>0.18</v>
      </c>
      <c r="R18" s="11">
        <f t="shared" si="0"/>
        <v>1.5082691926492601E-3</v>
      </c>
      <c r="V18" s="5">
        <f t="shared" si="1"/>
        <v>0.25672111065737463</v>
      </c>
      <c r="W18" s="5">
        <f t="shared" si="2"/>
        <v>1.4262283925409702</v>
      </c>
      <c r="Y18" s="5">
        <f t="shared" si="3"/>
        <v>0.2539089561311787</v>
      </c>
      <c r="Z18" s="5">
        <f t="shared" si="4"/>
        <v>1.4106053118398818</v>
      </c>
      <c r="AB18" s="5">
        <f>$AC$2*($AC$3+$AC$4*$F18/($N18*'Sem TS MC2020'!P10))*($AC$5*$G18+$AC$6*$B18/$N18)*'Sem TS MC2020'!R10*($J18-$M18)/($J18-$M18-$H18)</f>
        <v>0.19426213071118692</v>
      </c>
      <c r="AC18" s="5">
        <f t="shared" si="5"/>
        <v>1.0792340595065941</v>
      </c>
      <c r="AD18" s="20">
        <f t="shared" si="6"/>
        <v>1.4262130711186927E-2</v>
      </c>
      <c r="AE18" s="21">
        <f t="shared" si="7"/>
        <v>0.92658306248894839</v>
      </c>
      <c r="AF18" s="21">
        <f>AB18*(14.068*'Sem TS MC2020'!$P10^-0.457)/$Q18</f>
        <v>1.020591973398596</v>
      </c>
      <c r="AG18" s="21"/>
      <c r="AO18" s="5">
        <f>$AP$2*($AP$3+$AP$4*$F18/($N18*'Sem TS MC2020'!P10))*($AP$5*$G18+$AP$6*$B18/$N18)*('Sem TS MC2020'!P10^$AP$7/200000)*($J18-$M18)/($J18-$M18-$H18)+('Sem TS MC2020'!P10-$C18/$AP$8)*($AP$5*$G18+$AP$6*$B18/$N18)/200000</f>
        <v>0.20092938484514658</v>
      </c>
      <c r="AP18" s="5">
        <f t="shared" si="8"/>
        <v>1.1162743602508143</v>
      </c>
      <c r="AQ18" s="20">
        <f t="shared" si="9"/>
        <v>2.0929384845146587E-2</v>
      </c>
    </row>
    <row r="19" spans="1:43" x14ac:dyDescent="0.25">
      <c r="B19" s="3">
        <v>10</v>
      </c>
      <c r="C19" s="4">
        <v>500</v>
      </c>
      <c r="D19" s="4">
        <v>8</v>
      </c>
      <c r="E19" s="3">
        <v>87.7</v>
      </c>
      <c r="F19" s="5">
        <v>4.1311267633290099</v>
      </c>
      <c r="G19" s="3">
        <v>25</v>
      </c>
      <c r="H19" s="3">
        <v>53</v>
      </c>
      <c r="I19" s="1">
        <v>308</v>
      </c>
      <c r="J19" s="3">
        <v>604</v>
      </c>
      <c r="K19" s="4">
        <v>628</v>
      </c>
      <c r="L19" s="5">
        <v>43428</v>
      </c>
      <c r="M19" s="4">
        <v>99.696400381800601</v>
      </c>
      <c r="N19" s="10">
        <v>1.44607165883762E-2</v>
      </c>
      <c r="O19" s="5">
        <v>174.3</v>
      </c>
      <c r="P19" s="4">
        <v>497.36822294177</v>
      </c>
      <c r="Q19" s="5">
        <v>0.26</v>
      </c>
      <c r="R19" s="11">
        <f t="shared" si="0"/>
        <v>2.4868411147088501E-3</v>
      </c>
      <c r="V19" s="5">
        <f t="shared" si="1"/>
        <v>0.3495062659026329</v>
      </c>
      <c r="W19" s="5">
        <f t="shared" si="2"/>
        <v>1.3442548688562803</v>
      </c>
      <c r="Y19" s="5">
        <f t="shared" si="3"/>
        <v>0.34758439003832581</v>
      </c>
      <c r="Z19" s="5">
        <f t="shared" si="4"/>
        <v>1.3368630386089453</v>
      </c>
      <c r="AB19" s="5">
        <f>$AC$2*($AC$3+$AC$4*$F19/($N19*'Sem TS MC2020'!P11))*($AC$5*$G19+$AC$6*$B19/$N19)*'Sem TS MC2020'!R11*($J19-$M19)/($J19-$M19-$H19)</f>
        <v>0.31515402521407099</v>
      </c>
      <c r="AC19" s="5">
        <f t="shared" si="5"/>
        <v>1.2121308662079653</v>
      </c>
      <c r="AD19" s="20">
        <f t="shared" si="6"/>
        <v>5.5154025214070979E-2</v>
      </c>
      <c r="AE19" s="21">
        <f t="shared" si="7"/>
        <v>0.82499342923953722</v>
      </c>
      <c r="AF19" s="21">
        <f>AB19*(14.068*'Sem TS MC2020'!$P11^-0.457)/$Q19</f>
        <v>0.99621385645441474</v>
      </c>
      <c r="AG19" s="21"/>
      <c r="AO19" s="5">
        <f>$AP$2*($AP$3+$AP$4*$F19/($N19*'Sem TS MC2020'!P11))*($AP$5*$G19+$AP$6*$B19/$N19)*('Sem TS MC2020'!P11^$AP$7/200000)*($J19-$M19)/($J19-$M19-$H19)+('Sem TS MC2020'!P11-$C19/$AP$8)*($AP$5*$G19+$AP$6*$B19/$N19)/200000</f>
        <v>0.3146564899374531</v>
      </c>
      <c r="AP19" s="5">
        <f t="shared" si="8"/>
        <v>1.2102172689902042</v>
      </c>
      <c r="AQ19" s="20">
        <f t="shared" si="9"/>
        <v>5.465648993745309E-2</v>
      </c>
    </row>
    <row r="20" spans="1:43" x14ac:dyDescent="0.25">
      <c r="A20" s="1" t="s">
        <v>24</v>
      </c>
      <c r="B20" s="3">
        <v>10</v>
      </c>
      <c r="C20" s="4">
        <v>628</v>
      </c>
      <c r="D20" s="4">
        <v>4</v>
      </c>
      <c r="E20" s="3">
        <v>32.466666666666697</v>
      </c>
      <c r="F20" s="5">
        <v>3.262</v>
      </c>
      <c r="G20" s="3">
        <v>25</v>
      </c>
      <c r="H20" s="3">
        <v>36</v>
      </c>
      <c r="I20" s="1">
        <v>200</v>
      </c>
      <c r="J20" s="3">
        <v>600</v>
      </c>
      <c r="K20" s="4">
        <v>314</v>
      </c>
      <c r="L20" s="5">
        <v>17200</v>
      </c>
      <c r="M20" s="4">
        <v>95.721926864521507</v>
      </c>
      <c r="N20" s="10">
        <v>1.8255813953488399E-2</v>
      </c>
      <c r="O20" s="5">
        <v>47.625</v>
      </c>
      <c r="P20" s="4">
        <v>178.115884475521</v>
      </c>
      <c r="Q20" s="5">
        <v>0.16</v>
      </c>
      <c r="R20" s="11">
        <f t="shared" si="0"/>
        <v>8.9057942237760496E-4</v>
      </c>
      <c r="V20" s="5">
        <f t="shared" si="1"/>
        <v>0.16827313198239724</v>
      </c>
      <c r="W20" s="5">
        <f t="shared" si="2"/>
        <v>1.0517070748899828</v>
      </c>
      <c r="Y20" s="5">
        <f t="shared" si="3"/>
        <v>0.16400318827505961</v>
      </c>
      <c r="Z20" s="5">
        <f t="shared" si="4"/>
        <v>1.0250199267191225</v>
      </c>
      <c r="AB20" s="5">
        <f>$AC$2*($AC$3+$AC$4*$F20/($N20*'Sem TS MC2020'!P12))*($AC$5*$G20+$AC$6*$B20/$N20)*'Sem TS MC2020'!R12*($J20-$M20)/($J20-$M20-$H20)</f>
        <v>0.13817360489879293</v>
      </c>
      <c r="AC20" s="5">
        <f t="shared" si="5"/>
        <v>0.86358503061745584</v>
      </c>
      <c r="AD20" s="20">
        <f t="shared" si="6"/>
        <v>-2.1826395101207069E-2</v>
      </c>
      <c r="AE20" s="21">
        <f t="shared" si="7"/>
        <v>1.1579635641495645</v>
      </c>
      <c r="AF20" s="21">
        <f>AB20*(14.068*'Sem TS MC2020'!$P12^-0.457)/$Q20</f>
        <v>0.91757150406718291</v>
      </c>
      <c r="AG20" s="21"/>
      <c r="AO20" s="5">
        <f>$AP$2*($AP$3+$AP$4*$F20/($N20*'Sem TS MC2020'!P12))*($AP$5*$G20+$AP$6*$B20/$N20)*('Sem TS MC2020'!P12^$AP$7/200000)*($J20-$M20)/($J20-$M20-$H20)+('Sem TS MC2020'!P12-$C20/$AP$8)*($AP$5*$G20+$AP$6*$B20/$N20)/200000</f>
        <v>0.14151898488958303</v>
      </c>
      <c r="AP20" s="5">
        <f t="shared" si="8"/>
        <v>0.8844936555598939</v>
      </c>
      <c r="AQ20" s="20">
        <f t="shared" si="9"/>
        <v>-1.8481015110416971E-2</v>
      </c>
    </row>
    <row r="21" spans="1:43" x14ac:dyDescent="0.25">
      <c r="B21" s="3">
        <v>10</v>
      </c>
      <c r="C21" s="4">
        <v>628</v>
      </c>
      <c r="D21" s="4">
        <v>4</v>
      </c>
      <c r="E21" s="3">
        <v>32.466666666666697</v>
      </c>
      <c r="F21" s="5">
        <v>3.262</v>
      </c>
      <c r="G21" s="3">
        <v>25</v>
      </c>
      <c r="H21" s="3">
        <v>36</v>
      </c>
      <c r="I21" s="1">
        <v>200</v>
      </c>
      <c r="J21" s="3">
        <v>600</v>
      </c>
      <c r="K21" s="4">
        <v>314</v>
      </c>
      <c r="L21" s="5">
        <v>17200</v>
      </c>
      <c r="M21" s="4">
        <v>95.721926864521507</v>
      </c>
      <c r="N21" s="10">
        <v>1.8255813953488399E-2</v>
      </c>
      <c r="O21" s="5">
        <v>54.3</v>
      </c>
      <c r="P21" s="4">
        <v>242.19703933436799</v>
      </c>
      <c r="Q21" s="5">
        <v>0.2</v>
      </c>
      <c r="R21" s="11">
        <f t="shared" si="0"/>
        <v>1.21098519667184E-3</v>
      </c>
      <c r="V21" s="5">
        <f t="shared" si="1"/>
        <v>0.20340583633703829</v>
      </c>
      <c r="W21" s="5">
        <f t="shared" si="2"/>
        <v>1.0170291816851913</v>
      </c>
      <c r="Y21" s="5">
        <f t="shared" si="3"/>
        <v>0.19891569467816975</v>
      </c>
      <c r="Z21" s="5">
        <f t="shared" si="4"/>
        <v>0.99457847339084871</v>
      </c>
      <c r="AB21" s="5">
        <f>$AC$2*($AC$3+$AC$4*$F21/($N21*'Sem TS MC2020'!P13))*($AC$5*$G21+$AC$6*$B21/$N21)*'Sem TS MC2020'!R13*($J21-$M21)/($J21-$M21-$H21)</f>
        <v>0.1675621343223031</v>
      </c>
      <c r="AC21" s="5">
        <f t="shared" si="5"/>
        <v>0.83781067161151546</v>
      </c>
      <c r="AD21" s="20">
        <f t="shared" si="6"/>
        <v>-3.2437865677696909E-2</v>
      </c>
      <c r="AE21" s="21">
        <f t="shared" si="7"/>
        <v>1.1935870882099364</v>
      </c>
      <c r="AF21" s="21">
        <f>AB21*(14.068*'Sem TS MC2020'!$P13^-0.457)/$Q21</f>
        <v>0.83839323949464972</v>
      </c>
      <c r="AG21" s="21"/>
      <c r="AO21" s="5">
        <f>$AP$2*($AP$3+$AP$4*$F21/($N21*'Sem TS MC2020'!P13))*($AP$5*$G21+$AP$6*$B21/$N21)*('Sem TS MC2020'!P13^$AP$7/200000)*($J21-$M21)/($J21-$M21-$H21)+('Sem TS MC2020'!P13-$C21/$AP$8)*($AP$5*$G21+$AP$6*$B21/$N21)/200000</f>
        <v>0.17040508544658178</v>
      </c>
      <c r="AP21" s="5">
        <f t="shared" si="8"/>
        <v>0.85202542723290886</v>
      </c>
      <c r="AQ21" s="20">
        <f t="shared" si="9"/>
        <v>-2.9594914553418228E-2</v>
      </c>
    </row>
    <row r="22" spans="1:43" x14ac:dyDescent="0.25">
      <c r="B22" s="3">
        <v>10</v>
      </c>
      <c r="C22" s="4">
        <v>628</v>
      </c>
      <c r="D22" s="4">
        <v>4</v>
      </c>
      <c r="E22" s="3">
        <v>32.466666666666697</v>
      </c>
      <c r="F22" s="5">
        <v>3.262</v>
      </c>
      <c r="G22" s="3">
        <v>25</v>
      </c>
      <c r="H22" s="3">
        <v>36</v>
      </c>
      <c r="I22" s="1">
        <v>200</v>
      </c>
      <c r="J22" s="3">
        <v>600</v>
      </c>
      <c r="K22" s="4">
        <v>314</v>
      </c>
      <c r="L22" s="5">
        <v>17200</v>
      </c>
      <c r="M22" s="4">
        <v>95.721926864521507</v>
      </c>
      <c r="N22" s="10">
        <v>1.8255813953488399E-2</v>
      </c>
      <c r="O22" s="5">
        <v>61.424999999999997</v>
      </c>
      <c r="P22" s="4">
        <v>308.133730145237</v>
      </c>
      <c r="Q22" s="5">
        <v>0.2</v>
      </c>
      <c r="R22" s="11">
        <f t="shared" si="0"/>
        <v>1.540668650726185E-3</v>
      </c>
      <c r="V22" s="5">
        <f t="shared" si="1"/>
        <v>0.23598443229794958</v>
      </c>
      <c r="W22" s="5">
        <f t="shared" si="2"/>
        <v>1.1799221614897477</v>
      </c>
      <c r="Y22" s="5">
        <f t="shared" si="3"/>
        <v>0.23138716720419869</v>
      </c>
      <c r="Z22" s="5">
        <f t="shared" si="4"/>
        <v>1.1569358360209934</v>
      </c>
      <c r="AB22" s="5">
        <f>$AC$2*($AC$3+$AC$4*$F22/($N22*'Sem TS MC2020'!P14))*($AC$5*$G22+$AC$6*$B22/$N22)*'Sem TS MC2020'!R14*($J22-$M22)/($J22-$M22-$H22)</f>
        <v>0.19893191292043244</v>
      </c>
      <c r="AC22" s="5">
        <f t="shared" si="5"/>
        <v>0.99465956460216221</v>
      </c>
      <c r="AD22" s="20">
        <f t="shared" si="6"/>
        <v>-1.0680870795675701E-3</v>
      </c>
      <c r="AE22" s="21">
        <f t="shared" si="7"/>
        <v>1.0053691087764021</v>
      </c>
      <c r="AF22" s="21">
        <f>AB22*(14.068*'Sem TS MC2020'!$P14^-0.457)/$Q22</f>
        <v>0.94081909768351568</v>
      </c>
      <c r="AG22" s="21"/>
      <c r="AO22" s="5">
        <f>$AP$2*($AP$3+$AP$4*$F22/($N22*'Sem TS MC2020'!P14))*($AP$5*$G22+$AP$6*$B22/$N22)*('Sem TS MC2020'!P14^$AP$7/200000)*($J22-$M22)/($J22-$M22-$H22)+('Sem TS MC2020'!P14-$C22/$AP$8)*($AP$5*$G22+$AP$6*$B22/$N22)/200000</f>
        <v>0.20037278789542792</v>
      </c>
      <c r="AP22" s="5">
        <f t="shared" si="8"/>
        <v>1.0018639394771396</v>
      </c>
      <c r="AQ22" s="20">
        <f t="shared" si="9"/>
        <v>3.727878954279118E-4</v>
      </c>
    </row>
    <row r="23" spans="1:43" x14ac:dyDescent="0.25">
      <c r="B23" s="3">
        <v>10</v>
      </c>
      <c r="C23" s="4">
        <v>628</v>
      </c>
      <c r="D23" s="4">
        <v>4</v>
      </c>
      <c r="E23" s="3">
        <v>32.466666666666697</v>
      </c>
      <c r="F23" s="5">
        <v>3.262</v>
      </c>
      <c r="G23" s="3">
        <v>25</v>
      </c>
      <c r="H23" s="3">
        <v>36</v>
      </c>
      <c r="I23" s="1">
        <v>200</v>
      </c>
      <c r="J23" s="3">
        <v>600</v>
      </c>
      <c r="K23" s="4">
        <v>314</v>
      </c>
      <c r="L23" s="5">
        <v>17200</v>
      </c>
      <c r="M23" s="4">
        <v>95.721926864521507</v>
      </c>
      <c r="N23" s="10">
        <v>1.8255813953488399E-2</v>
      </c>
      <c r="O23" s="5">
        <v>68.625</v>
      </c>
      <c r="P23" s="4">
        <v>368.31936401396001</v>
      </c>
      <c r="Q23" s="5">
        <v>0.24</v>
      </c>
      <c r="R23" s="11">
        <f t="shared" si="0"/>
        <v>1.8415968200698001E-3</v>
      </c>
      <c r="V23" s="5">
        <f t="shared" si="1"/>
        <v>0.26344611018659075</v>
      </c>
      <c r="W23" s="5">
        <f t="shared" si="2"/>
        <v>1.0976921257774614</v>
      </c>
      <c r="Y23" s="5">
        <f t="shared" si="3"/>
        <v>0.2588213179141074</v>
      </c>
      <c r="Z23" s="5">
        <f t="shared" si="4"/>
        <v>1.0784221579754476</v>
      </c>
      <c r="AB23" s="5">
        <f>$AC$2*($AC$3+$AC$4*$F23/($N23*'Sem TS MC2020'!P15))*($AC$5*$G23+$AC$6*$B23/$N23)*'Sem TS MC2020'!R15*($J23-$M23)/($J23-$M23-$H23)</f>
        <v>0.23063189971433182</v>
      </c>
      <c r="AC23" s="5">
        <f t="shared" si="5"/>
        <v>0.96096624880971593</v>
      </c>
      <c r="AD23" s="20">
        <f t="shared" si="6"/>
        <v>-9.3681002856681739E-3</v>
      </c>
      <c r="AE23" s="21">
        <f t="shared" si="7"/>
        <v>1.0406192738180269</v>
      </c>
      <c r="AF23" s="21">
        <f>AB23*(14.068*'Sem TS MC2020'!$P15^-0.457)/$Q23</f>
        <v>0.86405442593459358</v>
      </c>
      <c r="AG23" s="21"/>
      <c r="AO23" s="5">
        <f>$AP$2*($AP$3+$AP$4*$F23/($N23*'Sem TS MC2020'!P15))*($AP$5*$G23+$AP$6*$B23/$N23)*('Sem TS MC2020'!P15^$AP$7/200000)*($J23-$M23)/($J23-$M23-$H23)+('Sem TS MC2020'!P15-$C23/$AP$8)*($AP$5*$G23+$AP$6*$B23/$N23)/200000</f>
        <v>0.22989655125608899</v>
      </c>
      <c r="AP23" s="5">
        <f t="shared" si="8"/>
        <v>0.95790229690037076</v>
      </c>
      <c r="AQ23" s="20">
        <f t="shared" si="9"/>
        <v>-1.0103448743911003E-2</v>
      </c>
    </row>
    <row r="24" spans="1:43" x14ac:dyDescent="0.25">
      <c r="B24" s="3">
        <v>10</v>
      </c>
      <c r="C24" s="4">
        <v>628</v>
      </c>
      <c r="D24" s="4">
        <v>4</v>
      </c>
      <c r="E24" s="3">
        <v>32.466666666666697</v>
      </c>
      <c r="F24" s="5">
        <v>3.262</v>
      </c>
      <c r="G24" s="3">
        <v>25</v>
      </c>
      <c r="H24" s="3">
        <v>36</v>
      </c>
      <c r="I24" s="1">
        <v>200</v>
      </c>
      <c r="J24" s="3">
        <v>600</v>
      </c>
      <c r="K24" s="4">
        <v>314</v>
      </c>
      <c r="L24" s="5">
        <v>17200</v>
      </c>
      <c r="M24" s="4">
        <v>95.721926864521507</v>
      </c>
      <c r="N24" s="10">
        <v>1.8255813953488399E-2</v>
      </c>
      <c r="O24" s="5">
        <v>73.275000000000006</v>
      </c>
      <c r="P24" s="4">
        <v>401.01024685519002</v>
      </c>
      <c r="Q24" s="5">
        <v>0.3</v>
      </c>
      <c r="R24" s="11">
        <f t="shared" si="0"/>
        <v>2.0050512342759501E-3</v>
      </c>
      <c r="V24" s="5">
        <f t="shared" si="1"/>
        <v>0.27763752676941161</v>
      </c>
      <c r="W24" s="5">
        <f t="shared" si="2"/>
        <v>0.92545842256470545</v>
      </c>
      <c r="Y24" s="5">
        <f t="shared" si="3"/>
        <v>0.27301886750187943</v>
      </c>
      <c r="Z24" s="5">
        <f t="shared" si="4"/>
        <v>0.91006289167293142</v>
      </c>
      <c r="AB24" s="5">
        <f>$AC$2*($AC$3+$AC$4*$F24/($N24*'Sem TS MC2020'!P16))*($AC$5*$G24+$AC$6*$B24/$N24)*'Sem TS MC2020'!R16*($J24-$M24)/($J24-$M24-$H24)</f>
        <v>0.25110480785205813</v>
      </c>
      <c r="AC24" s="5">
        <f t="shared" si="5"/>
        <v>0.83701602617352711</v>
      </c>
      <c r="AD24" s="20">
        <f t="shared" si="6"/>
        <v>-4.8895192147941857E-2</v>
      </c>
      <c r="AE24" s="21">
        <f t="shared" si="7"/>
        <v>1.1947202547262621</v>
      </c>
      <c r="AF24" s="21">
        <f>AB24*(14.068*'Sem TS MC2020'!$P16^-0.457)/$Q24</f>
        <v>0.73038923280413059</v>
      </c>
      <c r="AG24" s="21"/>
      <c r="AO24" s="5">
        <f>$AP$2*($AP$3+$AP$4*$F24/($N24*'Sem TS MC2020'!P16))*($AP$5*$G24+$AP$6*$B24/$N24)*('Sem TS MC2020'!P16^$AP$7/200000)*($J24-$M24)/($J24-$M24-$H24)+('Sem TS MC2020'!P16-$C24/$AP$8)*($AP$5*$G24+$AP$6*$B24/$N24)/200000</f>
        <v>0.24861265561382098</v>
      </c>
      <c r="AP24" s="5">
        <f t="shared" si="8"/>
        <v>0.82870885204606992</v>
      </c>
      <c r="AQ24" s="20">
        <f t="shared" si="9"/>
        <v>-5.1387344386179007E-2</v>
      </c>
    </row>
    <row r="25" spans="1:43" x14ac:dyDescent="0.25">
      <c r="B25" s="3">
        <v>10</v>
      </c>
      <c r="C25" s="4">
        <v>628</v>
      </c>
      <c r="D25" s="4">
        <v>4</v>
      </c>
      <c r="E25" s="3">
        <v>32.466666666666697</v>
      </c>
      <c r="F25" s="5">
        <v>3.262</v>
      </c>
      <c r="G25" s="3">
        <v>25</v>
      </c>
      <c r="H25" s="3">
        <v>36</v>
      </c>
      <c r="I25" s="1">
        <v>200</v>
      </c>
      <c r="J25" s="3">
        <v>600</v>
      </c>
      <c r="K25" s="4">
        <v>314</v>
      </c>
      <c r="L25" s="5">
        <v>17200</v>
      </c>
      <c r="M25" s="4">
        <v>95.721926864521507</v>
      </c>
      <c r="N25" s="10">
        <v>1.8255813953488399E-2</v>
      </c>
      <c r="O25" s="5">
        <v>83.25</v>
      </c>
      <c r="P25" s="4">
        <v>498.05772985669199</v>
      </c>
      <c r="Q25" s="5">
        <v>0.32</v>
      </c>
      <c r="R25" s="11">
        <f t="shared" si="0"/>
        <v>2.4902886492834601E-3</v>
      </c>
      <c r="V25" s="5">
        <f t="shared" si="1"/>
        <v>0.31736045302954369</v>
      </c>
      <c r="W25" s="5">
        <f t="shared" si="2"/>
        <v>0.99175141571732406</v>
      </c>
      <c r="Y25" s="5">
        <f t="shared" si="3"/>
        <v>0.31282587473453244</v>
      </c>
      <c r="Z25" s="5">
        <f t="shared" si="4"/>
        <v>0.97758085854541388</v>
      </c>
      <c r="AB25" s="5">
        <f>$AC$2*($AC$3+$AC$4*$F25/($N25*'Sem TS MC2020'!P17))*($AC$5*$G25+$AC$6*$B25/$N25)*'Sem TS MC2020'!R17*($J25-$M25)/($J25-$M25-$H25)</f>
        <v>0.29502249788943952</v>
      </c>
      <c r="AC25" s="5">
        <f t="shared" si="5"/>
        <v>0.92194530590449852</v>
      </c>
      <c r="AD25" s="20">
        <f t="shared" si="6"/>
        <v>-2.497750211056049E-2</v>
      </c>
      <c r="AE25" s="21">
        <f t="shared" si="7"/>
        <v>1.0846630419349268</v>
      </c>
      <c r="AF25" s="21">
        <f>AB25*(14.068*'Sem TS MC2020'!$P17^-0.457)/$Q25</f>
        <v>0.75891818720122328</v>
      </c>
      <c r="AG25" s="21"/>
      <c r="AO25" s="5">
        <f>$AP$2*($AP$3+$AP$4*$F25/($N25*'Sem TS MC2020'!P17))*($AP$5*$G25+$AP$6*$B25/$N25)*('Sem TS MC2020'!P17^$AP$7/200000)*($J25-$M25)/($J25-$M25-$H25)+('Sem TS MC2020'!P17-$C25/$AP$8)*($AP$5*$G25+$AP$6*$B25/$N25)/200000</f>
        <v>0.28795738027453721</v>
      </c>
      <c r="AP25" s="5">
        <f t="shared" si="8"/>
        <v>0.89986681335792873</v>
      </c>
      <c r="AQ25" s="20">
        <f t="shared" si="9"/>
        <v>-3.2042619725462795E-2</v>
      </c>
    </row>
    <row r="26" spans="1:43" x14ac:dyDescent="0.25">
      <c r="B26" s="3">
        <v>10</v>
      </c>
      <c r="C26" s="4">
        <v>628</v>
      </c>
      <c r="D26" s="4">
        <v>4</v>
      </c>
      <c r="E26" s="3">
        <v>32.466666666666697</v>
      </c>
      <c r="F26" s="5">
        <v>3.262</v>
      </c>
      <c r="G26" s="3">
        <v>25</v>
      </c>
      <c r="H26" s="3">
        <v>36</v>
      </c>
      <c r="I26" s="1">
        <v>200</v>
      </c>
      <c r="J26" s="3">
        <v>600</v>
      </c>
      <c r="K26" s="4">
        <v>314</v>
      </c>
      <c r="L26" s="5">
        <v>17200</v>
      </c>
      <c r="M26" s="4">
        <v>95.721926864521507</v>
      </c>
      <c r="N26" s="10">
        <v>1.8255813953488399E-2</v>
      </c>
      <c r="O26" s="5">
        <v>84</v>
      </c>
      <c r="P26" s="4">
        <v>502.76188353839802</v>
      </c>
      <c r="Q26" s="5">
        <v>0.38</v>
      </c>
      <c r="R26" s="11">
        <f t="shared" si="0"/>
        <v>2.51380941769199E-3</v>
      </c>
      <c r="V26" s="5">
        <f t="shared" si="1"/>
        <v>0.31920656045189838</v>
      </c>
      <c r="W26" s="5">
        <f t="shared" si="2"/>
        <v>0.840017264347101</v>
      </c>
      <c r="Y26" s="5">
        <f t="shared" si="3"/>
        <v>0.31467814256809307</v>
      </c>
      <c r="Z26" s="5">
        <f t="shared" si="4"/>
        <v>0.82810037517919222</v>
      </c>
      <c r="AB26" s="5">
        <f>$AC$2*($AC$3+$AC$4*$F26/($N26*'Sem TS MC2020'!P18))*($AC$5*$G26+$AC$6*$B26/$N26)*'Sem TS MC2020'!R18*($J26-$M26)/($J26-$M26-$H26)</f>
        <v>0.29832457984713756</v>
      </c>
      <c r="AC26" s="5">
        <f t="shared" si="5"/>
        <v>0.78506468380825678</v>
      </c>
      <c r="AD26" s="20">
        <f t="shared" si="6"/>
        <v>-8.1675420152862444E-2</v>
      </c>
      <c r="AE26" s="21">
        <f t="shared" si="7"/>
        <v>1.2737803911253747</v>
      </c>
      <c r="AF26" s="21">
        <f>AB26*(14.068*'Sem TS MC2020'!$P18^-0.457)/$Q26</f>
        <v>0.64359877557019995</v>
      </c>
      <c r="AG26" s="21"/>
      <c r="AO26" s="5">
        <f>$AP$2*($AP$3+$AP$4*$F26/($N26*'Sem TS MC2020'!P18))*($AP$5*$G26+$AP$6*$B26/$N26)*('Sem TS MC2020'!P18^$AP$7/200000)*($J26-$M26)/($J26-$M26-$H26)+('Sem TS MC2020'!P18-$C26/$AP$8)*($AP$5*$G26+$AP$6*$B26/$N26)/200000</f>
        <v>0.29087528896681558</v>
      </c>
      <c r="AP26" s="5">
        <f t="shared" si="8"/>
        <v>0.76546128675477787</v>
      </c>
      <c r="AQ26" s="20">
        <f t="shared" si="9"/>
        <v>-8.9124711033184423E-2</v>
      </c>
    </row>
    <row r="27" spans="1:43" x14ac:dyDescent="0.25">
      <c r="B27" s="3">
        <v>10</v>
      </c>
      <c r="C27" s="4">
        <v>628</v>
      </c>
      <c r="D27" s="4">
        <v>4</v>
      </c>
      <c r="E27" s="3">
        <v>32.466666666666697</v>
      </c>
      <c r="F27" s="5">
        <v>3.262</v>
      </c>
      <c r="G27" s="3">
        <v>25</v>
      </c>
      <c r="H27" s="3">
        <v>36</v>
      </c>
      <c r="I27" s="1">
        <v>200</v>
      </c>
      <c r="J27" s="3">
        <v>600</v>
      </c>
      <c r="K27" s="4">
        <v>314</v>
      </c>
      <c r="L27" s="5">
        <v>17200</v>
      </c>
      <c r="M27" s="4">
        <v>95.721926864521507</v>
      </c>
      <c r="N27" s="10">
        <v>1.8255813953488399E-2</v>
      </c>
      <c r="O27" s="5">
        <v>90</v>
      </c>
      <c r="P27" s="4">
        <v>538.67344664828295</v>
      </c>
      <c r="Q27" s="5">
        <v>0.42</v>
      </c>
      <c r="R27" s="11">
        <f t="shared" si="0"/>
        <v>2.6933672332414148E-3</v>
      </c>
      <c r="V27" s="5">
        <f t="shared" si="1"/>
        <v>0.3330881001039529</v>
      </c>
      <c r="W27" s="5">
        <f t="shared" si="2"/>
        <v>0.79306690500941168</v>
      </c>
      <c r="Y27" s="5">
        <f t="shared" si="3"/>
        <v>0.32861204818501066</v>
      </c>
      <c r="Z27" s="5">
        <f t="shared" si="4"/>
        <v>0.78240963853573975</v>
      </c>
      <c r="AB27" s="5">
        <f>$AC$2*($AC$3+$AC$4*$F27/($N27*'Sem TS MC2020'!P19))*($AC$5*$G27+$AC$6*$B27/$N27)*'Sem TS MC2020'!R19*($J27-$M27)/($J27-$M27-$H27)</f>
        <v>0.32474123550871975</v>
      </c>
      <c r="AC27" s="5">
        <f t="shared" si="5"/>
        <v>0.77319341787790419</v>
      </c>
      <c r="AD27" s="20">
        <f t="shared" si="6"/>
        <v>-9.5258764491280234E-2</v>
      </c>
      <c r="AE27" s="21">
        <f t="shared" si="7"/>
        <v>1.2933374455573949</v>
      </c>
      <c r="AF27" s="21">
        <f>AB27*(14.068*'Sem TS MC2020'!$P19^-0.457)/$Q27</f>
        <v>0.61419280327155812</v>
      </c>
      <c r="AG27" s="21"/>
      <c r="AO27" s="5">
        <f>$AP$2*($AP$3+$AP$4*$F27/($N27*'Sem TS MC2020'!P19))*($AP$5*$G27+$AP$6*$B27/$N27)*('Sem TS MC2020'!P19^$AP$7/200000)*($J27-$M27)/($J27-$M27-$H27)+('Sem TS MC2020'!P19-$C27/$AP$8)*($AP$5*$G27+$AP$6*$B27/$N27)/200000</f>
        <v>0.31403393894188653</v>
      </c>
      <c r="AP27" s="5">
        <f t="shared" si="8"/>
        <v>0.74769985462353938</v>
      </c>
      <c r="AQ27" s="20">
        <f t="shared" si="9"/>
        <v>-0.10596606105811346</v>
      </c>
    </row>
    <row r="28" spans="1:43" x14ac:dyDescent="0.25">
      <c r="B28" s="3">
        <v>10</v>
      </c>
      <c r="C28" s="4">
        <v>628</v>
      </c>
      <c r="D28" s="4">
        <v>4</v>
      </c>
      <c r="E28" s="3">
        <v>32.466666666666697</v>
      </c>
      <c r="F28" s="5">
        <v>3.262</v>
      </c>
      <c r="G28" s="3">
        <v>25</v>
      </c>
      <c r="H28" s="3">
        <v>36</v>
      </c>
      <c r="I28" s="1">
        <v>200</v>
      </c>
      <c r="J28" s="3">
        <v>600</v>
      </c>
      <c r="K28" s="4">
        <v>314</v>
      </c>
      <c r="L28" s="5">
        <v>17200</v>
      </c>
      <c r="M28" s="4">
        <v>95.721926864521507</v>
      </c>
      <c r="N28" s="10">
        <v>1.8255813953488399E-2</v>
      </c>
      <c r="O28" s="5">
        <v>108</v>
      </c>
      <c r="P28" s="4">
        <v>628</v>
      </c>
      <c r="Q28" s="5">
        <v>0.44</v>
      </c>
      <c r="R28" s="11">
        <f t="shared" si="0"/>
        <v>3.14E-3</v>
      </c>
      <c r="V28" s="5">
        <f t="shared" si="1"/>
        <v>0.36616121636493915</v>
      </c>
      <c r="W28" s="5">
        <f t="shared" si="2"/>
        <v>0.83218458264758899</v>
      </c>
      <c r="Y28" s="5">
        <f t="shared" si="3"/>
        <v>0.36185092060825608</v>
      </c>
      <c r="Z28" s="5">
        <f t="shared" si="4"/>
        <v>0.8223884559278547</v>
      </c>
      <c r="AB28" s="5">
        <f>$AC$2*($AC$3+$AC$4*$F28/($N28*'Sem TS MC2020'!P20))*($AC$5*$G28+$AC$6*$B28/$N28)*'Sem TS MC2020'!R20*($J28-$M28)/($J28-$M28-$H28)</f>
        <v>0.39045012136556323</v>
      </c>
      <c r="AC28" s="5">
        <f t="shared" si="5"/>
        <v>0.88738663946718921</v>
      </c>
      <c r="AD28" s="20">
        <f t="shared" si="6"/>
        <v>-4.9549878634436773E-2</v>
      </c>
      <c r="AE28" s="21">
        <f t="shared" si="7"/>
        <v>1.1269045030928422</v>
      </c>
      <c r="AF28" s="21">
        <f>AB28*(14.068*'Sem TS MC2020'!$P20^-0.457)/$Q28</f>
        <v>0.65716993732743045</v>
      </c>
      <c r="AG28" s="21"/>
      <c r="AO28" s="5">
        <f>$AP$2*($AP$3+$AP$4*$F28/($N28*'Sem TS MC2020'!P20))*($AP$5*$G28+$AP$6*$B28/$N28)*('Sem TS MC2020'!P20^$AP$7/200000)*($J28-$M28)/($J28-$M28-$H28)+('Sem TS MC2020'!P20-$C28/$AP$8)*($AP$5*$G28+$AP$6*$B28/$N28)/200000</f>
        <v>0.37036258329091032</v>
      </c>
      <c r="AP28" s="5">
        <f t="shared" si="8"/>
        <v>0.84173314384297804</v>
      </c>
      <c r="AQ28" s="20">
        <f t="shared" si="9"/>
        <v>-6.9637416709089683E-2</v>
      </c>
    </row>
    <row r="29" spans="1:43" x14ac:dyDescent="0.25">
      <c r="B29" s="3">
        <v>10</v>
      </c>
      <c r="C29" s="4">
        <v>628</v>
      </c>
      <c r="D29" s="4">
        <v>4</v>
      </c>
      <c r="E29" s="3">
        <v>32.466666666666697</v>
      </c>
      <c r="F29" s="5">
        <v>3.262</v>
      </c>
      <c r="G29" s="3">
        <v>25</v>
      </c>
      <c r="H29" s="3">
        <v>36</v>
      </c>
      <c r="I29" s="1">
        <v>200</v>
      </c>
      <c r="J29" s="3">
        <v>600</v>
      </c>
      <c r="K29" s="4">
        <v>314</v>
      </c>
      <c r="L29" s="5">
        <v>17200</v>
      </c>
      <c r="M29" s="4">
        <v>95.721926864521507</v>
      </c>
      <c r="N29" s="10">
        <v>1.8255813953488399E-2</v>
      </c>
      <c r="O29" s="5">
        <v>120</v>
      </c>
      <c r="P29" s="4">
        <v>628</v>
      </c>
      <c r="Q29" s="5">
        <v>0.5</v>
      </c>
      <c r="R29" s="11">
        <f t="shared" si="0"/>
        <v>3.14E-3</v>
      </c>
      <c r="V29" s="5">
        <f t="shared" si="1"/>
        <v>0.36616121636493915</v>
      </c>
      <c r="W29" s="5">
        <f t="shared" si="2"/>
        <v>0.73232243272987829</v>
      </c>
      <c r="Y29" s="5">
        <f t="shared" si="3"/>
        <v>0.36185092060825608</v>
      </c>
      <c r="Z29" s="5">
        <f t="shared" si="4"/>
        <v>0.72370184121651215</v>
      </c>
      <c r="AB29" s="5">
        <f>$AC$2*($AC$3+$AC$4*$F29/($N29*'Sem TS MC2020'!P21))*($AC$5*$G29+$AC$6*$B29/$N29)*'Sem TS MC2020'!R21*($J29-$M29)/($J29-$M29-$H29)</f>
        <v>0.39045012136556323</v>
      </c>
      <c r="AC29" s="5">
        <f t="shared" si="5"/>
        <v>0.78090024273112646</v>
      </c>
      <c r="AD29" s="20">
        <f t="shared" si="6"/>
        <v>-0.10954987863443677</v>
      </c>
      <c r="AE29" s="21">
        <f t="shared" si="7"/>
        <v>1.280573298969139</v>
      </c>
      <c r="AF29" s="21">
        <f>AB29*(14.068*'Sem TS MC2020'!$P21^-0.457)/$Q29</f>
        <v>0.57830954484813879</v>
      </c>
      <c r="AG29" s="21"/>
      <c r="AO29" s="5">
        <f>$AP$2*($AP$3+$AP$4*$F29/($N29*'Sem TS MC2020'!P21))*($AP$5*$G29+$AP$6*$B29/$N29)*('Sem TS MC2020'!P21^$AP$7/200000)*($J29-$M29)/($J29-$M29-$H29)+('Sem TS MC2020'!P21-$C29/$AP$8)*($AP$5*$G29+$AP$6*$B29/$N29)/200000</f>
        <v>0.37036258329091032</v>
      </c>
      <c r="AP29" s="5">
        <f t="shared" si="8"/>
        <v>0.74072516658182064</v>
      </c>
      <c r="AQ29" s="20">
        <f t="shared" si="9"/>
        <v>-0.12963741670908968</v>
      </c>
    </row>
    <row r="30" spans="1:43" x14ac:dyDescent="0.25">
      <c r="A30" s="1" t="s">
        <v>25</v>
      </c>
      <c r="B30" s="3">
        <v>10</v>
      </c>
      <c r="C30" s="4">
        <v>628</v>
      </c>
      <c r="D30" s="4">
        <v>4</v>
      </c>
      <c r="E30" s="3">
        <v>32.466666666666697</v>
      </c>
      <c r="F30" s="5">
        <v>3.5139999999999998</v>
      </c>
      <c r="G30" s="3">
        <v>25</v>
      </c>
      <c r="H30" s="3">
        <v>36</v>
      </c>
      <c r="I30" s="1">
        <v>200</v>
      </c>
      <c r="J30" s="3">
        <v>600</v>
      </c>
      <c r="K30" s="4">
        <v>314</v>
      </c>
      <c r="L30" s="5">
        <v>17200</v>
      </c>
      <c r="M30" s="4">
        <v>87.120678710097707</v>
      </c>
      <c r="N30" s="10">
        <v>1.8255813953488399E-2</v>
      </c>
      <c r="O30" s="5">
        <v>54</v>
      </c>
      <c r="P30" s="4">
        <v>249.68578408509899</v>
      </c>
      <c r="Q30" s="5">
        <v>0.24</v>
      </c>
      <c r="R30" s="11">
        <f t="shared" si="0"/>
        <v>1.2484289204254949E-3</v>
      </c>
      <c r="V30" s="5">
        <f t="shared" si="1"/>
        <v>0.20726369040432713</v>
      </c>
      <c r="W30" s="5">
        <f t="shared" si="2"/>
        <v>0.86359871001802968</v>
      </c>
      <c r="Y30" s="5">
        <f t="shared" si="3"/>
        <v>0.20275629295844116</v>
      </c>
      <c r="Z30" s="5">
        <f t="shared" si="4"/>
        <v>0.84481788732683827</v>
      </c>
      <c r="AB30" s="5">
        <f>$AC$2*($AC$3+$AC$4*$F30/($N30*'Sem TS MC2020'!P22))*($AC$5*$G30+$AC$6*$B30/$N30)*'Sem TS MC2020'!R22*($J30-$M30)/($J30-$M30-$H30)</f>
        <v>0.15923752597686733</v>
      </c>
      <c r="AC30" s="5">
        <f t="shared" si="5"/>
        <v>0.66348969157028059</v>
      </c>
      <c r="AD30" s="20">
        <f t="shared" si="6"/>
        <v>-8.0762474023132663E-2</v>
      </c>
      <c r="AE30" s="21">
        <f t="shared" si="7"/>
        <v>1.5071824215283598</v>
      </c>
      <c r="AF30" s="21">
        <f>AB30*(14.068*'Sem TS MC2020'!$P22^-0.457)/$Q30</f>
        <v>0.66727091487144907</v>
      </c>
      <c r="AG30" s="21"/>
      <c r="AO30" s="5">
        <f>$AP$2*($AP$3+$AP$4*$F30/($N30*'Sem TS MC2020'!P22))*($AP$5*$G30+$AP$6*$B30/$N30)*('Sem TS MC2020'!P22^$AP$7/200000)*($J30-$M30)/($J30-$M30-$H30)+('Sem TS MC2020'!P22-$C30/$AP$8)*($AP$5*$G30+$AP$6*$B30/$N30)/200000</f>
        <v>0.16191713508131064</v>
      </c>
      <c r="AP30" s="5">
        <f t="shared" si="8"/>
        <v>0.67465472950546101</v>
      </c>
      <c r="AQ30" s="20">
        <f t="shared" si="9"/>
        <v>-7.8082864918689349E-2</v>
      </c>
    </row>
    <row r="31" spans="1:43" x14ac:dyDescent="0.25">
      <c r="B31" s="3">
        <v>10</v>
      </c>
      <c r="C31" s="4">
        <v>628</v>
      </c>
      <c r="D31" s="4">
        <v>4</v>
      </c>
      <c r="E31" s="3">
        <v>32.466666666666697</v>
      </c>
      <c r="F31" s="5">
        <v>3.5139999999999998</v>
      </c>
      <c r="G31" s="3">
        <v>25</v>
      </c>
      <c r="H31" s="3">
        <v>36</v>
      </c>
      <c r="I31" s="1">
        <v>200</v>
      </c>
      <c r="J31" s="3">
        <v>600</v>
      </c>
      <c r="K31" s="4">
        <v>314</v>
      </c>
      <c r="L31" s="5">
        <v>17200</v>
      </c>
      <c r="M31" s="4">
        <v>87.120678710097707</v>
      </c>
      <c r="N31" s="10">
        <v>1.8255813953488399E-2</v>
      </c>
      <c r="O31" s="5">
        <v>60</v>
      </c>
      <c r="P31" s="4">
        <v>336.57379598670002</v>
      </c>
      <c r="Q31" s="5">
        <v>0.3</v>
      </c>
      <c r="R31" s="11">
        <f t="shared" si="0"/>
        <v>1.6828689799335001E-3</v>
      </c>
      <c r="V31" s="5">
        <f t="shared" si="1"/>
        <v>0.24919526592601593</v>
      </c>
      <c r="W31" s="5">
        <f t="shared" si="2"/>
        <v>0.83065088642005314</v>
      </c>
      <c r="Y31" s="5">
        <f t="shared" si="3"/>
        <v>0.24457803675694822</v>
      </c>
      <c r="Z31" s="5">
        <f t="shared" si="4"/>
        <v>0.81526012252316082</v>
      </c>
      <c r="AB31" s="5">
        <f>$AC$2*($AC$3+$AC$4*$F31/($N31*'Sem TS MC2020'!P23))*($AC$5*$G31+$AC$6*$B31/$N31)*'Sem TS MC2020'!R23*($J31-$M31)/($J31-$M31-$H31)</f>
        <v>0.1854787711257222</v>
      </c>
      <c r="AC31" s="5">
        <f t="shared" si="5"/>
        <v>0.61826257041907406</v>
      </c>
      <c r="AD31" s="20">
        <f t="shared" si="6"/>
        <v>-0.11452122887427779</v>
      </c>
      <c r="AE31" s="21">
        <f t="shared" si="7"/>
        <v>1.6174357754217186</v>
      </c>
      <c r="AF31" s="21">
        <f>AB31*(14.068*'Sem TS MC2020'!$P23^-0.457)/$Q31</f>
        <v>0.59255654216057208</v>
      </c>
      <c r="AG31" s="21"/>
      <c r="AO31" s="5">
        <f>$AP$2*($AP$3+$AP$4*$F31/($N31*'Sem TS MC2020'!P23))*($AP$5*$G31+$AP$6*$B31/$N31)*('Sem TS MC2020'!P23^$AP$7/200000)*($J31-$M31)/($J31-$M31-$H31)+('Sem TS MC2020'!P23-$C31/$AP$8)*($AP$5*$G31+$AP$6*$B31/$N31)/200000</f>
        <v>0.18720800034671184</v>
      </c>
      <c r="AP31" s="5">
        <f t="shared" si="8"/>
        <v>0.62402666782237282</v>
      </c>
      <c r="AQ31" s="20">
        <f t="shared" si="9"/>
        <v>-0.11279199965328815</v>
      </c>
    </row>
    <row r="32" spans="1:43" x14ac:dyDescent="0.25">
      <c r="B32" s="3">
        <v>10</v>
      </c>
      <c r="C32" s="4">
        <v>628</v>
      </c>
      <c r="D32" s="4">
        <v>4</v>
      </c>
      <c r="E32" s="3">
        <v>32.466666666666697</v>
      </c>
      <c r="F32" s="5">
        <v>3.5139999999999998</v>
      </c>
      <c r="G32" s="3">
        <v>25</v>
      </c>
      <c r="H32" s="3">
        <v>36</v>
      </c>
      <c r="I32" s="1">
        <v>200</v>
      </c>
      <c r="J32" s="3">
        <v>600</v>
      </c>
      <c r="K32" s="4">
        <v>314</v>
      </c>
      <c r="L32" s="5">
        <v>17200</v>
      </c>
      <c r="M32" s="4">
        <v>87.120678710097707</v>
      </c>
      <c r="N32" s="10">
        <v>1.8255813953488399E-2</v>
      </c>
      <c r="O32" s="5">
        <v>62.25</v>
      </c>
      <c r="P32" s="4">
        <v>361.87936337741297</v>
      </c>
      <c r="Q32" s="5">
        <v>0.3</v>
      </c>
      <c r="R32" s="11">
        <f t="shared" si="0"/>
        <v>1.8093968168870649E-3</v>
      </c>
      <c r="V32" s="5">
        <f t="shared" si="1"/>
        <v>0.26059442318233828</v>
      </c>
      <c r="W32" s="5">
        <f t="shared" si="2"/>
        <v>0.86864807727446092</v>
      </c>
      <c r="Y32" s="5">
        <f t="shared" si="3"/>
        <v>0.2559700204161417</v>
      </c>
      <c r="Z32" s="5">
        <f t="shared" si="4"/>
        <v>0.85323340138713899</v>
      </c>
      <c r="AB32" s="5">
        <f>$AC$2*($AC$3+$AC$4*$F32/($N32*'Sem TS MC2020'!P24))*($AC$5*$G32+$AC$6*$B32/$N32)*'Sem TS MC2020'!R24*($J32-$M32)/($J32-$M32-$H32)</f>
        <v>0.19531923805654261</v>
      </c>
      <c r="AC32" s="5">
        <f t="shared" si="5"/>
        <v>0.65106412685514203</v>
      </c>
      <c r="AD32" s="20">
        <f t="shared" si="6"/>
        <v>-0.10468076194345738</v>
      </c>
      <c r="AE32" s="21">
        <f t="shared" si="7"/>
        <v>1.5359470115952099</v>
      </c>
      <c r="AF32" s="21">
        <f>AB32*(14.068*'Sem TS MC2020'!$P24^-0.457)/$Q32</f>
        <v>0.61358402608315488</v>
      </c>
      <c r="AG32" s="21"/>
      <c r="AO32" s="5">
        <f>$AP$2*($AP$3+$AP$4*$F32/($N32*'Sem TS MC2020'!P24))*($AP$5*$G32+$AP$6*$B32/$N32)*('Sem TS MC2020'!P24^$AP$7/200000)*($J32-$M32)/($J32-$M32-$H32)+('Sem TS MC2020'!P24-$C32/$AP$8)*($AP$5*$G32+$AP$6*$B32/$N32)/200000</f>
        <v>0.19654384630534796</v>
      </c>
      <c r="AP32" s="5">
        <f t="shared" si="8"/>
        <v>0.65514615435115986</v>
      </c>
      <c r="AQ32" s="20">
        <f t="shared" si="9"/>
        <v>-0.10345615369465203</v>
      </c>
    </row>
    <row r="33" spans="1:43" x14ac:dyDescent="0.25">
      <c r="B33" s="3">
        <v>10</v>
      </c>
      <c r="C33" s="4">
        <v>628</v>
      </c>
      <c r="D33" s="4">
        <v>4</v>
      </c>
      <c r="E33" s="3">
        <v>32.466666666666697</v>
      </c>
      <c r="F33" s="5">
        <v>3.5139999999999998</v>
      </c>
      <c r="G33" s="3">
        <v>25</v>
      </c>
      <c r="H33" s="3">
        <v>36</v>
      </c>
      <c r="I33" s="1">
        <v>200</v>
      </c>
      <c r="J33" s="3">
        <v>600</v>
      </c>
      <c r="K33" s="4">
        <v>314</v>
      </c>
      <c r="L33" s="5">
        <v>17200</v>
      </c>
      <c r="M33" s="4">
        <v>87.120678710097707</v>
      </c>
      <c r="N33" s="10">
        <v>1.8255813953488399E-2</v>
      </c>
      <c r="O33" s="5">
        <v>66</v>
      </c>
      <c r="P33" s="4">
        <v>392.91007120761401</v>
      </c>
      <c r="Q33" s="5">
        <v>0.3</v>
      </c>
      <c r="R33" s="11">
        <f t="shared" si="0"/>
        <v>1.9645503560380699E-3</v>
      </c>
      <c r="V33" s="5">
        <f t="shared" si="1"/>
        <v>0.2741638071392517</v>
      </c>
      <c r="W33" s="5">
        <f t="shared" si="2"/>
        <v>0.91387935713083901</v>
      </c>
      <c r="Y33" s="5">
        <f t="shared" si="3"/>
        <v>0.26954242463102218</v>
      </c>
      <c r="Z33" s="5">
        <f t="shared" si="4"/>
        <v>0.89847474877007394</v>
      </c>
      <c r="AB33" s="5">
        <f>$AC$2*($AC$3+$AC$4*$F33/($N33*'Sem TS MC2020'!P25))*($AC$5*$G33+$AC$6*$B33/$N33)*'Sem TS MC2020'!R25*($J33-$M33)/($J33-$M33-$H33)</f>
        <v>0.21172001627457709</v>
      </c>
      <c r="AC33" s="5">
        <f t="shared" si="5"/>
        <v>0.70573338758192372</v>
      </c>
      <c r="AD33" s="20">
        <f t="shared" si="6"/>
        <v>-8.8279983725422895E-2</v>
      </c>
      <c r="AE33" s="21">
        <f t="shared" si="7"/>
        <v>1.4169656949720504</v>
      </c>
      <c r="AF33" s="21">
        <f>AB33*(14.068*'Sem TS MC2020'!$P25^-0.457)/$Q33</f>
        <v>0.64756154278084799</v>
      </c>
      <c r="AG33" s="21"/>
      <c r="AO33" s="5">
        <f>$AP$2*($AP$3+$AP$4*$F33/($N33*'Sem TS MC2020'!P25))*($AP$5*$G33+$AP$6*$B33/$N33)*('Sem TS MC2020'!P25^$AP$7/200000)*($J33-$M33)/($J33-$M33-$H33)+('Sem TS MC2020'!P25-$C33/$AP$8)*($AP$5*$G33+$AP$6*$B33/$N33)/200000</f>
        <v>0.21194075033683232</v>
      </c>
      <c r="AP33" s="5">
        <f t="shared" si="8"/>
        <v>0.70646916778944113</v>
      </c>
      <c r="AQ33" s="20">
        <f t="shared" si="9"/>
        <v>-8.8059249663167666E-2</v>
      </c>
    </row>
    <row r="34" spans="1:43" x14ac:dyDescent="0.25">
      <c r="B34" s="3">
        <v>10</v>
      </c>
      <c r="C34" s="4">
        <v>628</v>
      </c>
      <c r="D34" s="4">
        <v>4</v>
      </c>
      <c r="E34" s="3">
        <v>32.466666666666697</v>
      </c>
      <c r="F34" s="5">
        <v>3.5139999999999998</v>
      </c>
      <c r="G34" s="3">
        <v>25</v>
      </c>
      <c r="H34" s="3">
        <v>36</v>
      </c>
      <c r="I34" s="1">
        <v>200</v>
      </c>
      <c r="J34" s="3">
        <v>600</v>
      </c>
      <c r="K34" s="4">
        <v>314</v>
      </c>
      <c r="L34" s="5">
        <v>17200</v>
      </c>
      <c r="M34" s="4">
        <v>87.120678710097707</v>
      </c>
      <c r="N34" s="10">
        <v>1.8255813953488399E-2</v>
      </c>
      <c r="O34" s="5">
        <v>71.25</v>
      </c>
      <c r="P34" s="4">
        <v>424.16428141731097</v>
      </c>
      <c r="Q34" s="5">
        <v>0.38</v>
      </c>
      <c r="R34" s="11">
        <f t="shared" si="0"/>
        <v>2.1208214070865547E-3</v>
      </c>
      <c r="V34" s="5">
        <f t="shared" si="1"/>
        <v>0.2874218483948171</v>
      </c>
      <c r="W34" s="5">
        <f t="shared" si="2"/>
        <v>0.75637328524951863</v>
      </c>
      <c r="Y34" s="5">
        <f t="shared" si="3"/>
        <v>0.28281499789010467</v>
      </c>
      <c r="Z34" s="5">
        <f t="shared" si="4"/>
        <v>0.74424999444764384</v>
      </c>
      <c r="AB34" s="5">
        <f>$AC$2*($AC$3+$AC$4*$F34/($N34*'Sem TS MC2020'!P26))*($AC$5*$G34+$AC$6*$B34/$N34)*'Sem TS MC2020'!R26*($J34-$M34)/($J34-$M34-$H34)</f>
        <v>0.23468110577982568</v>
      </c>
      <c r="AC34" s="5">
        <f t="shared" si="5"/>
        <v>0.61758185731533077</v>
      </c>
      <c r="AD34" s="20">
        <f t="shared" si="6"/>
        <v>-0.14531889422017433</v>
      </c>
      <c r="AE34" s="21">
        <f t="shared" si="7"/>
        <v>1.6192185507959482</v>
      </c>
      <c r="AF34" s="21">
        <f>AB34*(14.068*'Sem TS MC2020'!$P26^-0.457)/$Q34</f>
        <v>0.54719712625319705</v>
      </c>
      <c r="AG34" s="21"/>
      <c r="AO34" s="5">
        <f>$AP$2*($AP$3+$AP$4*$F34/($N34*'Sem TS MC2020'!P26))*($AP$5*$G34+$AP$6*$B34/$N34)*('Sem TS MC2020'!P26^$AP$7/200000)*($J34-$M34)/($J34-$M34-$H34)+('Sem TS MC2020'!P26-$C34/$AP$8)*($AP$5*$G34+$AP$6*$B34/$N34)/200000</f>
        <v>0.23318211344068565</v>
      </c>
      <c r="AP34" s="5">
        <f t="shared" si="8"/>
        <v>0.61363714063338326</v>
      </c>
      <c r="AQ34" s="20">
        <f t="shared" si="9"/>
        <v>-0.14681788655931435</v>
      </c>
    </row>
    <row r="35" spans="1:43" x14ac:dyDescent="0.25">
      <c r="B35" s="3">
        <v>10</v>
      </c>
      <c r="C35" s="4">
        <v>628</v>
      </c>
      <c r="D35" s="4">
        <v>4</v>
      </c>
      <c r="E35" s="3">
        <v>32.466666666666697</v>
      </c>
      <c r="F35" s="5">
        <v>3.5139999999999998</v>
      </c>
      <c r="G35" s="3">
        <v>25</v>
      </c>
      <c r="H35" s="3">
        <v>36</v>
      </c>
      <c r="I35" s="1">
        <v>200</v>
      </c>
      <c r="J35" s="3">
        <v>600</v>
      </c>
      <c r="K35" s="4">
        <v>314</v>
      </c>
      <c r="L35" s="5">
        <v>17200</v>
      </c>
      <c r="M35" s="4">
        <v>87.120678710097707</v>
      </c>
      <c r="N35" s="10">
        <v>1.8255813953488399E-2</v>
      </c>
      <c r="O35" s="5">
        <v>82.5</v>
      </c>
      <c r="P35" s="4">
        <v>491.13758900951802</v>
      </c>
      <c r="Q35" s="5">
        <v>0.44</v>
      </c>
      <c r="R35" s="11">
        <f t="shared" si="0"/>
        <v>2.4556879450475903E-3</v>
      </c>
      <c r="V35" s="5">
        <f t="shared" si="1"/>
        <v>0.31463251388065466</v>
      </c>
      <c r="W35" s="5">
        <f t="shared" si="2"/>
        <v>0.715073895183306</v>
      </c>
      <c r="Y35" s="5">
        <f t="shared" si="3"/>
        <v>0.31008918447738038</v>
      </c>
      <c r="Z35" s="5">
        <f t="shared" si="4"/>
        <v>0.7047481465395008</v>
      </c>
      <c r="AB35" s="5">
        <f>$AC$2*($AC$3+$AC$4*$F35/($N35*'Sem TS MC2020'!P27))*($AC$5*$G35+$AC$6*$B35/$N35)*'Sem TS MC2020'!R27*($J35-$M35)/($J35-$M35-$H35)</f>
        <v>0.28388344043392916</v>
      </c>
      <c r="AC35" s="5">
        <f t="shared" si="5"/>
        <v>0.64518963734983903</v>
      </c>
      <c r="AD35" s="20">
        <f t="shared" si="6"/>
        <v>-0.15611655956607084</v>
      </c>
      <c r="AE35" s="21">
        <f t="shared" si="7"/>
        <v>1.5499318992592148</v>
      </c>
      <c r="AF35" s="21">
        <f>AB35*(14.068*'Sem TS MC2020'!$P27^-0.457)/$Q35</f>
        <v>0.53461346458446113</v>
      </c>
      <c r="AG35" s="21"/>
      <c r="AO35" s="5">
        <f>$AP$2*($AP$3+$AP$4*$F35/($N35*'Sem TS MC2020'!P27))*($AP$5*$G35+$AP$6*$B35/$N35)*('Sem TS MC2020'!P27^$AP$7/200000)*($J35-$M35)/($J35-$M35-$H35)+('Sem TS MC2020'!P27-$C35/$AP$8)*($AP$5*$G35+$AP$6*$B35/$N35)/200000</f>
        <v>0.27762327956346389</v>
      </c>
      <c r="AP35" s="5">
        <f t="shared" si="8"/>
        <v>0.63096199900787242</v>
      </c>
      <c r="AQ35" s="20">
        <f t="shared" si="9"/>
        <v>-0.16237672043653611</v>
      </c>
    </row>
    <row r="36" spans="1:43" x14ac:dyDescent="0.25">
      <c r="A36" s="1" t="s">
        <v>26</v>
      </c>
      <c r="B36" s="3">
        <v>16</v>
      </c>
      <c r="C36" s="4">
        <v>571</v>
      </c>
      <c r="D36" s="4">
        <v>4</v>
      </c>
      <c r="E36" s="3">
        <v>37</v>
      </c>
      <c r="F36" s="5">
        <v>4.2587999999999999</v>
      </c>
      <c r="G36" s="3">
        <v>33</v>
      </c>
      <c r="H36" s="3">
        <v>59</v>
      </c>
      <c r="I36" s="1">
        <v>125</v>
      </c>
      <c r="J36" s="3">
        <v>250</v>
      </c>
      <c r="K36" s="4">
        <v>800</v>
      </c>
      <c r="L36" s="5">
        <v>19625</v>
      </c>
      <c r="M36" s="4">
        <v>87.082518617971999</v>
      </c>
      <c r="N36" s="10">
        <v>4.0800000000000003E-2</v>
      </c>
      <c r="O36" s="5">
        <v>18.2</v>
      </c>
      <c r="P36" s="4">
        <v>63.4584540622213</v>
      </c>
      <c r="Q36" s="5">
        <v>0.18</v>
      </c>
      <c r="R36" s="11">
        <f t="shared" si="0"/>
        <v>3.172922703111065E-4</v>
      </c>
      <c r="V36" s="5">
        <f t="shared" si="1"/>
        <v>8.724486713537892E-2</v>
      </c>
      <c r="W36" s="5">
        <f t="shared" si="2"/>
        <v>0.48469370630766068</v>
      </c>
      <c r="Y36" s="5">
        <f t="shared" si="3"/>
        <v>8.5674437239192339E-2</v>
      </c>
      <c r="Z36" s="5">
        <f t="shared" si="4"/>
        <v>0.47596909577329077</v>
      </c>
      <c r="AB36" s="5">
        <f>$AC$2*($AC$3+$AC$4*$F36/($N36*'Sem TS MC2020'!P28))*($AC$5*$G36+$AC$6*$B36/$N36)*'Sem TS MC2020'!R28*($J36-$M36)/($J36-$M36-$H36)</f>
        <v>7.7010616881658264E-2</v>
      </c>
      <c r="AC36" s="5">
        <f t="shared" si="5"/>
        <v>0.42783676045365704</v>
      </c>
      <c r="AD36" s="20">
        <f t="shared" si="6"/>
        <v>-0.10298938311834173</v>
      </c>
      <c r="AE36" s="21">
        <f t="shared" si="7"/>
        <v>2.3373400615217101</v>
      </c>
      <c r="AF36" s="21">
        <f>AB36*(14.068*'Sem TS MC2020'!$P28^-0.457)/$Q36</f>
        <v>0.62902869917355508</v>
      </c>
      <c r="AG36" s="21"/>
      <c r="AO36" s="5">
        <f>$AP$2*($AP$3+$AP$4*$F36/($N36*'Sem TS MC2020'!P28))*($AP$5*$G36+$AP$6*$B36/$N36)*('Sem TS MC2020'!P28^$AP$7/200000)*($J36-$M36)/($J36-$M36-$H36)+('Sem TS MC2020'!P28-$C36/$AP$8)*($AP$5*$G36+$AP$6*$B36/$N36)/200000</f>
        <v>8.1081852215713374E-2</v>
      </c>
      <c r="AP36" s="5">
        <f t="shared" si="8"/>
        <v>0.45045473453174101</v>
      </c>
      <c r="AQ36" s="20">
        <f t="shared" si="9"/>
        <v>-9.891814778428662E-2</v>
      </c>
    </row>
    <row r="37" spans="1:43" x14ac:dyDescent="0.25">
      <c r="B37" s="3">
        <v>16</v>
      </c>
      <c r="C37" s="4">
        <v>571</v>
      </c>
      <c r="D37" s="4">
        <v>4</v>
      </c>
      <c r="E37" s="3">
        <v>37</v>
      </c>
      <c r="F37" s="5">
        <v>4.2587999999999999</v>
      </c>
      <c r="G37" s="3">
        <v>33</v>
      </c>
      <c r="H37" s="3">
        <v>59</v>
      </c>
      <c r="I37" s="1">
        <v>125</v>
      </c>
      <c r="J37" s="3">
        <v>250</v>
      </c>
      <c r="K37" s="4">
        <v>800</v>
      </c>
      <c r="L37" s="5">
        <v>19625</v>
      </c>
      <c r="M37" s="4">
        <v>87.082518617971999</v>
      </c>
      <c r="N37" s="10">
        <v>4.0800000000000003E-2</v>
      </c>
      <c r="O37" s="5">
        <v>26.2</v>
      </c>
      <c r="P37" s="4">
        <v>132.58576977166399</v>
      </c>
      <c r="Q37" s="5">
        <v>0.2</v>
      </c>
      <c r="R37" s="11">
        <f t="shared" si="0"/>
        <v>6.6292884885831992E-4</v>
      </c>
      <c r="V37" s="5">
        <f t="shared" si="1"/>
        <v>0.13746257270828724</v>
      </c>
      <c r="W37" s="5">
        <f t="shared" si="2"/>
        <v>0.68731286354143617</v>
      </c>
      <c r="Y37" s="5">
        <f t="shared" si="3"/>
        <v>0.13608677563798188</v>
      </c>
      <c r="Z37" s="5">
        <f t="shared" si="4"/>
        <v>0.68043387818990941</v>
      </c>
      <c r="AB37" s="5">
        <f>$AC$2*($AC$3+$AC$4*$F37/($N37*'Sem TS MC2020'!P29))*($AC$5*$G37+$AC$6*$B37/$N37)*'Sem TS MC2020'!R29*($J37-$M37)/($J37-$M37-$H37)</f>
        <v>0.13395149681677707</v>
      </c>
      <c r="AC37" s="5">
        <f t="shared" si="5"/>
        <v>0.66975748408388525</v>
      </c>
      <c r="AD37" s="20">
        <f t="shared" si="6"/>
        <v>-6.6048503183222945E-2</v>
      </c>
      <c r="AE37" s="21">
        <f t="shared" si="7"/>
        <v>1.4930777539094326</v>
      </c>
      <c r="AF37" s="21">
        <f>AB37*(14.068*'Sem TS MC2020'!$P29^-0.457)/$Q37</f>
        <v>0.83367902059598686</v>
      </c>
      <c r="AG37" s="21"/>
      <c r="AO37" s="5">
        <f>$AP$2*($AP$3+$AP$4*$F37/($N37*'Sem TS MC2020'!P29))*($AP$5*$G37+$AP$6*$B37/$N37)*('Sem TS MC2020'!P29^$AP$7/200000)*($J37-$M37)/($J37-$M37-$H37)+('Sem TS MC2020'!P29-$C37/$AP$8)*($AP$5*$G37+$AP$6*$B37/$N37)/200000</f>
        <v>0.13995608738086318</v>
      </c>
      <c r="AP37" s="5">
        <f t="shared" si="8"/>
        <v>0.69978043690431591</v>
      </c>
      <c r="AQ37" s="20">
        <f t="shared" si="9"/>
        <v>-6.004391261913683E-2</v>
      </c>
    </row>
    <row r="38" spans="1:43" x14ac:dyDescent="0.25">
      <c r="B38" s="3">
        <v>16</v>
      </c>
      <c r="C38" s="4">
        <v>571</v>
      </c>
      <c r="D38" s="4">
        <v>4</v>
      </c>
      <c r="E38" s="3">
        <v>37</v>
      </c>
      <c r="F38" s="5">
        <v>4.2587999999999999</v>
      </c>
      <c r="G38" s="3">
        <v>33</v>
      </c>
      <c r="H38" s="3">
        <v>59</v>
      </c>
      <c r="I38" s="1">
        <v>125</v>
      </c>
      <c r="J38" s="3">
        <v>250</v>
      </c>
      <c r="K38" s="4">
        <v>800</v>
      </c>
      <c r="L38" s="5">
        <v>19625</v>
      </c>
      <c r="M38" s="4">
        <v>87.082518617971999</v>
      </c>
      <c r="N38" s="10">
        <v>4.0800000000000003E-2</v>
      </c>
      <c r="O38" s="5">
        <v>31.7</v>
      </c>
      <c r="P38" s="4">
        <v>182.10678102364301</v>
      </c>
      <c r="Q38" s="5">
        <v>0.26</v>
      </c>
      <c r="R38" s="11">
        <f t="shared" si="0"/>
        <v>9.1053390511821502E-4</v>
      </c>
      <c r="V38" s="5">
        <f t="shared" si="1"/>
        <v>0.16719569319051361</v>
      </c>
      <c r="W38" s="5">
        <f t="shared" si="2"/>
        <v>0.64306035842505238</v>
      </c>
      <c r="Y38" s="5">
        <f t="shared" si="3"/>
        <v>0.16610115942945147</v>
      </c>
      <c r="Z38" s="5">
        <f t="shared" si="4"/>
        <v>0.63885061319019798</v>
      </c>
      <c r="AB38" s="5">
        <f>$AC$2*($AC$3+$AC$4*$F38/($N38*'Sem TS MC2020'!P30))*($AC$5*$G38+$AC$6*$B38/$N38)*'Sem TS MC2020'!R30*($J38-$M38)/($J38-$M38-$H38)</f>
        <v>0.17309835177217109</v>
      </c>
      <c r="AC38" s="5">
        <f t="shared" si="5"/>
        <v>0.6657628914314272</v>
      </c>
      <c r="AD38" s="20">
        <f t="shared" si="6"/>
        <v>-8.690164822782892E-2</v>
      </c>
      <c r="AE38" s="21">
        <f t="shared" si="7"/>
        <v>1.5020362547542181</v>
      </c>
      <c r="AF38" s="21">
        <f>AB38*(14.068*'Sem TS MC2020'!$P30^-0.457)/$Q38</f>
        <v>0.75959218753802682</v>
      </c>
      <c r="AG38" s="21"/>
      <c r="AO38" s="5">
        <f>$AP$2*($AP$3+$AP$4*$F38/($N38*'Sem TS MC2020'!P30))*($AP$5*$G38+$AP$6*$B38/$N38)*('Sem TS MC2020'!P30^$AP$7/200000)*($J38-$M38)/($J38-$M38-$H38)+('Sem TS MC2020'!P30-$C38/$AP$8)*($AP$5*$G38+$AP$6*$B38/$N38)/200000</f>
        <v>0.17798601178950821</v>
      </c>
      <c r="AP38" s="5">
        <f t="shared" si="8"/>
        <v>0.68456158380580079</v>
      </c>
      <c r="AQ38" s="20">
        <f t="shared" si="9"/>
        <v>-8.2013988210491801E-2</v>
      </c>
    </row>
    <row r="39" spans="1:43" x14ac:dyDescent="0.25">
      <c r="B39" s="3">
        <v>16</v>
      </c>
      <c r="C39" s="4">
        <v>571</v>
      </c>
      <c r="D39" s="4">
        <v>4</v>
      </c>
      <c r="E39" s="3">
        <v>37</v>
      </c>
      <c r="F39" s="5">
        <v>4.2587999999999999</v>
      </c>
      <c r="G39" s="3">
        <v>33</v>
      </c>
      <c r="H39" s="3">
        <v>59</v>
      </c>
      <c r="I39" s="1">
        <v>125</v>
      </c>
      <c r="J39" s="3">
        <v>250</v>
      </c>
      <c r="K39" s="4">
        <v>800</v>
      </c>
      <c r="L39" s="5">
        <v>19625</v>
      </c>
      <c r="M39" s="4">
        <v>87.082518617971999</v>
      </c>
      <c r="N39" s="10">
        <v>4.0800000000000003E-2</v>
      </c>
      <c r="O39" s="5">
        <v>40.799999999999997</v>
      </c>
      <c r="P39" s="4">
        <v>276.47021588151398</v>
      </c>
      <c r="Q39" s="5">
        <v>0.44</v>
      </c>
      <c r="R39" s="11">
        <f t="shared" si="0"/>
        <v>1.3823510794075699E-3</v>
      </c>
      <c r="V39" s="5">
        <f t="shared" si="1"/>
        <v>0.21632210709685551</v>
      </c>
      <c r="W39" s="5">
        <f t="shared" si="2"/>
        <v>0.49164115249285345</v>
      </c>
      <c r="Y39" s="5">
        <f t="shared" si="3"/>
        <v>0.21589521993003058</v>
      </c>
      <c r="Z39" s="5">
        <f t="shared" si="4"/>
        <v>0.49067095438643316</v>
      </c>
      <c r="AB39" s="5">
        <f>$AC$2*($AC$3+$AC$4*$F39/($N39*'Sem TS MC2020'!P31))*($AC$5*$G39+$AC$6*$B39/$N39)*'Sem TS MC2020'!R31*($J39-$M39)/($J39-$M39-$H39)</f>
        <v>0.23786860269836924</v>
      </c>
      <c r="AC39" s="5">
        <f t="shared" si="5"/>
        <v>0.54061046067811191</v>
      </c>
      <c r="AD39" s="20">
        <f t="shared" si="6"/>
        <v>-0.20213139730163077</v>
      </c>
      <c r="AE39" s="21">
        <f t="shared" si="7"/>
        <v>1.8497607292793692</v>
      </c>
      <c r="AF39" s="21">
        <f>AB39*(14.068*'Sem TS MC2020'!$P31^-0.457)/$Q39</f>
        <v>0.54961393829115135</v>
      </c>
      <c r="AG39" s="21"/>
      <c r="AO39" s="5">
        <f>$AP$2*($AP$3+$AP$4*$F39/($N39*'Sem TS MC2020'!P31))*($AP$5*$G39+$AP$6*$B39/$N39)*('Sem TS MC2020'!P31^$AP$7/200000)*($J39-$M39)/($J39-$M39-$H39)+('Sem TS MC2020'!P31-$C39/$AP$8)*($AP$5*$G39+$AP$6*$B39/$N39)/200000</f>
        <v>0.23793605336960966</v>
      </c>
      <c r="AP39" s="5">
        <f t="shared" si="8"/>
        <v>0.54076375765820373</v>
      </c>
      <c r="AQ39" s="20">
        <f t="shared" si="9"/>
        <v>-0.20206394663039035</v>
      </c>
    </row>
    <row r="40" spans="1:43" x14ac:dyDescent="0.25">
      <c r="B40" s="3">
        <v>16</v>
      </c>
      <c r="C40" s="4">
        <v>571</v>
      </c>
      <c r="D40" s="4">
        <v>4</v>
      </c>
      <c r="E40" s="3">
        <v>37</v>
      </c>
      <c r="F40" s="5">
        <v>4.2587999999999999</v>
      </c>
      <c r="G40" s="3">
        <v>33</v>
      </c>
      <c r="H40" s="3">
        <v>59</v>
      </c>
      <c r="I40" s="1">
        <v>125</v>
      </c>
      <c r="J40" s="3">
        <v>250</v>
      </c>
      <c r="K40" s="4">
        <v>800</v>
      </c>
      <c r="L40" s="5">
        <v>19625</v>
      </c>
      <c r="M40" s="4">
        <v>87.082518617971999</v>
      </c>
      <c r="N40" s="10">
        <v>4.0800000000000003E-2</v>
      </c>
      <c r="O40" s="5">
        <v>54.1</v>
      </c>
      <c r="P40" s="4">
        <v>412.87726101992899</v>
      </c>
      <c r="Q40" s="5">
        <v>0.6</v>
      </c>
      <c r="R40" s="11">
        <f t="shared" si="0"/>
        <v>2.0643863050996449E-3</v>
      </c>
      <c r="V40" s="5">
        <f t="shared" si="1"/>
        <v>0.27705462663617397</v>
      </c>
      <c r="W40" s="5">
        <f t="shared" si="2"/>
        <v>0.46175771106028995</v>
      </c>
      <c r="Y40" s="5">
        <f t="shared" si="3"/>
        <v>0.27773040537580146</v>
      </c>
      <c r="Z40" s="5">
        <f t="shared" si="4"/>
        <v>0.46288400895966914</v>
      </c>
      <c r="AB40" s="5">
        <f>$AC$2*($AC$3+$AC$4*$F40/($N40*'Sem TS MC2020'!P32))*($AC$5*$G40+$AC$6*$B40/$N40)*'Sem TS MC2020'!R32*($J40-$M40)/($J40-$M40-$H40)</f>
        <v>0.33253281559050468</v>
      </c>
      <c r="AC40" s="5">
        <f t="shared" si="5"/>
        <v>0.55422135931750782</v>
      </c>
      <c r="AD40" s="20">
        <f t="shared" si="6"/>
        <v>-0.2674671844094953</v>
      </c>
      <c r="AE40" s="21">
        <f t="shared" si="7"/>
        <v>1.8043332022270728</v>
      </c>
      <c r="AF40" s="21">
        <f>AB40*(14.068*'Sem TS MC2020'!$P32^-0.457)/$Q40</f>
        <v>0.49528719109848401</v>
      </c>
      <c r="AG40" s="21"/>
      <c r="AO40" s="5">
        <f>$AP$2*($AP$3+$AP$4*$F40/($N40*'Sem TS MC2020'!P32))*($AP$5*$G40+$AP$6*$B40/$N40)*('Sem TS MC2020'!P32^$AP$7/200000)*($J40-$M40)/($J40-$M40-$H40)+('Sem TS MC2020'!P32-$C40/$AP$8)*($AP$5*$G40+$AP$6*$B40/$N40)/200000</f>
        <v>0.32083231623628022</v>
      </c>
      <c r="AP40" s="5">
        <f t="shared" si="8"/>
        <v>0.53472052706046702</v>
      </c>
      <c r="AQ40" s="20">
        <f t="shared" si="9"/>
        <v>-0.27916768376371975</v>
      </c>
    </row>
    <row r="41" spans="1:43" x14ac:dyDescent="0.25">
      <c r="A41" s="1" t="s">
        <v>27</v>
      </c>
      <c r="B41" s="3">
        <v>12</v>
      </c>
      <c r="C41" s="4">
        <v>500</v>
      </c>
      <c r="D41" s="4">
        <v>4</v>
      </c>
      <c r="E41" s="3">
        <v>79.3</v>
      </c>
      <c r="F41" s="5">
        <v>2.6933292113182898</v>
      </c>
      <c r="G41" s="3">
        <v>20</v>
      </c>
      <c r="H41" s="3">
        <v>38</v>
      </c>
      <c r="I41" s="1">
        <v>350</v>
      </c>
      <c r="J41" s="3">
        <v>450</v>
      </c>
      <c r="K41" s="4">
        <v>452</v>
      </c>
      <c r="L41" s="5">
        <v>34300</v>
      </c>
      <c r="M41" s="4">
        <v>76.169428201642404</v>
      </c>
      <c r="N41" s="10">
        <v>1.3177842565597699E-2</v>
      </c>
      <c r="O41" s="5">
        <v>52.5</v>
      </c>
      <c r="P41" s="4">
        <v>218.681980739333</v>
      </c>
      <c r="Q41" s="5">
        <v>0.36</v>
      </c>
      <c r="R41" s="11">
        <f t="shared" si="0"/>
        <v>1.0934099036966651E-3</v>
      </c>
      <c r="V41" s="5">
        <f t="shared" si="1"/>
        <v>0.24746648686752287</v>
      </c>
      <c r="W41" s="5">
        <f t="shared" si="2"/>
        <v>0.68740690796534132</v>
      </c>
      <c r="Y41" s="5">
        <f t="shared" si="3"/>
        <v>0.24624096694955835</v>
      </c>
      <c r="Z41" s="5">
        <f t="shared" si="4"/>
        <v>0.68400268597099545</v>
      </c>
      <c r="AB41" s="5">
        <f>$AC$2*($AC$3+$AC$4*$F41/($N41*'Sem TS MC2020'!P33))*($AC$5*$G41+$AC$6*$B41/$N41)*'Sem TS MC2020'!R33*($J41-$M41)/($J41-$M41-$H41)</f>
        <v>0.20884118508096522</v>
      </c>
      <c r="AC41" s="5">
        <f t="shared" si="5"/>
        <v>0.58011440300268113</v>
      </c>
      <c r="AD41" s="20">
        <f t="shared" si="6"/>
        <v>-0.15115881491903477</v>
      </c>
      <c r="AE41" s="21">
        <f t="shared" si="7"/>
        <v>1.7237979178313527</v>
      </c>
      <c r="AF41" s="21">
        <f>AB41*(14.068*'Sem TS MC2020'!$P33^-0.457)/$Q41</f>
        <v>0.60174898692508982</v>
      </c>
      <c r="AG41" s="21"/>
      <c r="AO41" s="5">
        <f>$AP$2*($AP$3+$AP$4*$F41/($N41*'Sem TS MC2020'!P33))*($AP$5*$G41+$AP$6*$B41/$N41)*('Sem TS MC2020'!P33^$AP$7/200000)*($J41-$M41)/($J41-$M41-$H41)+('Sem TS MC2020'!P33-$C41/$AP$8)*($AP$5*$G41+$AP$6*$B41/$N41)/200000</f>
        <v>0.22325335429527499</v>
      </c>
      <c r="AP41" s="5">
        <f t="shared" si="8"/>
        <v>0.62014820637576384</v>
      </c>
      <c r="AQ41" s="20">
        <f t="shared" si="9"/>
        <v>-0.136746645704725</v>
      </c>
    </row>
    <row r="42" spans="1:43" x14ac:dyDescent="0.25">
      <c r="B42" s="3">
        <v>12</v>
      </c>
      <c r="C42" s="4">
        <v>500</v>
      </c>
      <c r="D42" s="4">
        <v>4</v>
      </c>
      <c r="E42" s="3">
        <v>79.3</v>
      </c>
      <c r="F42" s="5">
        <v>2.6933292113182898</v>
      </c>
      <c r="G42" s="3">
        <v>20</v>
      </c>
      <c r="H42" s="3">
        <v>38</v>
      </c>
      <c r="I42" s="1">
        <v>350</v>
      </c>
      <c r="J42" s="3">
        <v>450</v>
      </c>
      <c r="K42" s="4">
        <v>452</v>
      </c>
      <c r="L42" s="5">
        <v>34300</v>
      </c>
      <c r="M42" s="4">
        <v>76.169428201642404</v>
      </c>
      <c r="N42" s="10">
        <v>1.3177842565597699E-2</v>
      </c>
      <c r="O42" s="5">
        <v>67.5</v>
      </c>
      <c r="P42" s="4">
        <v>344.704832395587</v>
      </c>
      <c r="Q42" s="5">
        <v>0.43</v>
      </c>
      <c r="R42" s="11">
        <f t="shared" si="0"/>
        <v>1.7235241619779351E-3</v>
      </c>
      <c r="V42" s="5">
        <f t="shared" si="1"/>
        <v>0.32768518055949575</v>
      </c>
      <c r="W42" s="5">
        <f t="shared" si="2"/>
        <v>0.76205855944068779</v>
      </c>
      <c r="Y42" s="5">
        <f t="shared" si="3"/>
        <v>0.32769868155421655</v>
      </c>
      <c r="Z42" s="5">
        <f t="shared" si="4"/>
        <v>0.76208995710282923</v>
      </c>
      <c r="AB42" s="5">
        <f>$AC$2*($AC$3+$AC$4*$F42/($N42*'Sem TS MC2020'!P34))*($AC$5*$G42+$AC$6*$B42/$N42)*'Sem TS MC2020'!R34*($J42-$M42)/($J42-$M42-$H42)</f>
        <v>0.30357011739127626</v>
      </c>
      <c r="AC42" s="5">
        <f t="shared" si="5"/>
        <v>0.70597701718901462</v>
      </c>
      <c r="AD42" s="20">
        <f t="shared" si="6"/>
        <v>-0.12642988260872373</v>
      </c>
      <c r="AE42" s="21">
        <f t="shared" si="7"/>
        <v>1.4164767062555312</v>
      </c>
      <c r="AF42" s="21">
        <f>AB42*(14.068*'Sem TS MC2020'!$P34^-0.457)/$Q42</f>
        <v>0.65284977691855994</v>
      </c>
      <c r="AG42" s="21"/>
      <c r="AO42" s="5">
        <f>$AP$2*($AP$3+$AP$4*$F42/($N42*'Sem TS MC2020'!P34))*($AP$5*$G42+$AP$6*$B42/$N42)*('Sem TS MC2020'!P34^$AP$7/200000)*($J42-$M42)/($J42-$M42-$H42)+('Sem TS MC2020'!P34-$C42/$AP$8)*($AP$5*$G42+$AP$6*$B42/$N42)/200000</f>
        <v>0.31666162849674273</v>
      </c>
      <c r="AP42" s="5">
        <f t="shared" si="8"/>
        <v>0.73642239185289005</v>
      </c>
      <c r="AQ42" s="20">
        <f t="shared" si="9"/>
        <v>-0.11333837150325726</v>
      </c>
    </row>
    <row r="43" spans="1:43" x14ac:dyDescent="0.25">
      <c r="B43" s="3">
        <v>12</v>
      </c>
      <c r="C43" s="4">
        <v>500</v>
      </c>
      <c r="D43" s="4">
        <v>4</v>
      </c>
      <c r="E43" s="3">
        <v>79.3</v>
      </c>
      <c r="F43" s="5">
        <v>2.6933292113182898</v>
      </c>
      <c r="G43" s="3">
        <v>20</v>
      </c>
      <c r="H43" s="3">
        <v>38</v>
      </c>
      <c r="I43" s="1">
        <v>350</v>
      </c>
      <c r="J43" s="3">
        <v>450</v>
      </c>
      <c r="K43" s="4">
        <v>452</v>
      </c>
      <c r="L43" s="5">
        <v>34300</v>
      </c>
      <c r="M43" s="4">
        <v>76.169428201642404</v>
      </c>
      <c r="N43" s="10">
        <v>1.3177842565597699E-2</v>
      </c>
      <c r="O43" s="5">
        <v>90</v>
      </c>
      <c r="P43" s="4">
        <v>500</v>
      </c>
      <c r="Q43" s="5">
        <v>0.56000000000000005</v>
      </c>
      <c r="R43" s="11">
        <f t="shared" si="0"/>
        <v>2.5000000000000001E-3</v>
      </c>
      <c r="V43" s="5">
        <f t="shared" si="1"/>
        <v>0.41220785679663802</v>
      </c>
      <c r="W43" s="5">
        <f t="shared" si="2"/>
        <v>0.73608545856542495</v>
      </c>
      <c r="Y43" s="5">
        <f t="shared" si="3"/>
        <v>0.41391475418065765</v>
      </c>
      <c r="Z43" s="5">
        <f t="shared" si="4"/>
        <v>0.73913348960831715</v>
      </c>
      <c r="AB43" s="5">
        <f>$AC$2*($AC$3+$AC$4*$F43/($N43*'Sem TS MC2020'!P35))*($AC$5*$G43+$AC$6*$B43/$N43)*'Sem TS MC2020'!R35*($J43-$M43)/($J43-$M43-$H43)</f>
        <v>0.42907902533650838</v>
      </c>
      <c r="AC43" s="5">
        <f t="shared" si="5"/>
        <v>0.76621254524376492</v>
      </c>
      <c r="AD43" s="20">
        <f t="shared" si="6"/>
        <v>-0.13092097466349167</v>
      </c>
      <c r="AE43" s="21">
        <f t="shared" si="7"/>
        <v>1.3051208913342149</v>
      </c>
      <c r="AF43" s="21">
        <f>AB43*(14.068*'Sem TS MC2020'!$P35^-0.457)/$Q43</f>
        <v>0.62972701697547762</v>
      </c>
      <c r="AG43" s="21"/>
      <c r="AO43" s="5">
        <f>$AP$2*($AP$3+$AP$4*$F43/($N43*'Sem TS MC2020'!P35))*($AP$5*$G43+$AP$6*$B43/$N43)*('Sem TS MC2020'!P35^$AP$7/200000)*($J43-$M43)/($J43-$M43-$H43)+('Sem TS MC2020'!P35-$C43/$AP$8)*($AP$5*$G43+$AP$6*$B43/$N43)/200000</f>
        <v>0.43361669779610779</v>
      </c>
      <c r="AP43" s="5">
        <f t="shared" si="8"/>
        <v>0.77431553177876378</v>
      </c>
      <c r="AQ43" s="20">
        <f t="shared" si="9"/>
        <v>-0.12638330220389227</v>
      </c>
    </row>
    <row r="44" spans="1:43" x14ac:dyDescent="0.25">
      <c r="B44" s="3">
        <v>12</v>
      </c>
      <c r="C44" s="4">
        <v>500</v>
      </c>
      <c r="D44" s="4">
        <v>4</v>
      </c>
      <c r="E44" s="3">
        <v>79.3</v>
      </c>
      <c r="F44" s="5">
        <v>2.6933292113182898</v>
      </c>
      <c r="G44" s="3">
        <v>20</v>
      </c>
      <c r="H44" s="3">
        <v>38</v>
      </c>
      <c r="I44" s="1">
        <v>350</v>
      </c>
      <c r="J44" s="3">
        <v>450</v>
      </c>
      <c r="K44" s="4">
        <v>452</v>
      </c>
      <c r="L44" s="5">
        <v>34300</v>
      </c>
      <c r="M44" s="4">
        <v>76.169428201642404</v>
      </c>
      <c r="N44" s="10">
        <v>1.3177842565597699E-2</v>
      </c>
      <c r="O44" s="5">
        <v>112.5</v>
      </c>
      <c r="P44" s="4">
        <v>500</v>
      </c>
      <c r="Q44" s="5">
        <v>0.71</v>
      </c>
      <c r="R44" s="11">
        <f t="shared" si="0"/>
        <v>2.5000000000000001E-3</v>
      </c>
      <c r="V44" s="5">
        <f t="shared" si="1"/>
        <v>0.41220785679663802</v>
      </c>
      <c r="W44" s="5">
        <f t="shared" si="2"/>
        <v>0.58057444619244791</v>
      </c>
      <c r="Y44" s="5">
        <f t="shared" si="3"/>
        <v>0.41391475418065765</v>
      </c>
      <c r="Z44" s="5">
        <f t="shared" si="4"/>
        <v>0.58297852701501085</v>
      </c>
      <c r="AB44" s="5">
        <f>$AC$2*($AC$3+$AC$4*$F44/($N44*'Sem TS MC2020'!P36))*($AC$5*$G44+$AC$6*$B44/$N44)*'Sem TS MC2020'!R36*($J44-$M44)/($J44-$M44-$H44)</f>
        <v>0.42907902533650838</v>
      </c>
      <c r="AC44" s="5">
        <f t="shared" si="5"/>
        <v>0.60433665540353299</v>
      </c>
      <c r="AD44" s="20">
        <f t="shared" si="6"/>
        <v>-0.28092097466349158</v>
      </c>
      <c r="AE44" s="21">
        <f t="shared" si="7"/>
        <v>1.6547068443701651</v>
      </c>
      <c r="AF44" s="21">
        <f>AB44*(14.068*'Sem TS MC2020'!$P36^-0.457)/$Q44</f>
        <v>0.49668609789615142</v>
      </c>
      <c r="AG44" s="21"/>
      <c r="AO44" s="5">
        <f>$AP$2*($AP$3+$AP$4*$F44/($N44*'Sem TS MC2020'!P36))*($AP$5*$G44+$AP$6*$B44/$N44)*('Sem TS MC2020'!P36^$AP$7/200000)*($J44-$M44)/($J44-$M44-$H44)+('Sem TS MC2020'!P36-$C44/$AP$8)*($AP$5*$G44+$AP$6*$B44/$N44)/200000</f>
        <v>0.43361669779610779</v>
      </c>
      <c r="AP44" s="5">
        <f t="shared" si="8"/>
        <v>0.61072774337479974</v>
      </c>
      <c r="AQ44" s="20">
        <f t="shared" si="9"/>
        <v>-0.27638330220389218</v>
      </c>
    </row>
    <row r="45" spans="1:43" x14ac:dyDescent="0.25">
      <c r="B45" s="3">
        <v>12</v>
      </c>
      <c r="C45" s="4">
        <v>500</v>
      </c>
      <c r="D45" s="4">
        <v>4</v>
      </c>
      <c r="E45" s="3">
        <v>79.3</v>
      </c>
      <c r="F45" s="5">
        <v>2.6933292113182898</v>
      </c>
      <c r="G45" s="3">
        <v>20</v>
      </c>
      <c r="H45" s="3">
        <v>38</v>
      </c>
      <c r="I45" s="1">
        <v>350</v>
      </c>
      <c r="J45" s="3">
        <v>450</v>
      </c>
      <c r="K45" s="4">
        <v>452</v>
      </c>
      <c r="L45" s="5">
        <v>34300</v>
      </c>
      <c r="M45" s="4">
        <v>76.169428201642404</v>
      </c>
      <c r="N45" s="10">
        <v>1.3177842565597699E-2</v>
      </c>
      <c r="O45" s="5">
        <v>120</v>
      </c>
      <c r="P45" s="4">
        <v>500</v>
      </c>
      <c r="Q45" s="5">
        <v>0.79</v>
      </c>
      <c r="R45" s="11">
        <f t="shared" si="0"/>
        <v>2.5000000000000001E-3</v>
      </c>
      <c r="V45" s="5">
        <f t="shared" si="1"/>
        <v>0.41220785679663802</v>
      </c>
      <c r="W45" s="5">
        <f t="shared" si="2"/>
        <v>0.52178209721093416</v>
      </c>
      <c r="Y45" s="5">
        <f t="shared" si="3"/>
        <v>0.41391475418065765</v>
      </c>
      <c r="Z45" s="5">
        <f t="shared" si="4"/>
        <v>0.52394272681095899</v>
      </c>
      <c r="AB45" s="5">
        <f>$AC$2*($AC$3+$AC$4*$F45/($N45*'Sem TS MC2020'!P37))*($AC$5*$G45+$AC$6*$B45/$N45)*'Sem TS MC2020'!R37*($J45-$M45)/($J45-$M45-$H45)</f>
        <v>0.42907902533650838</v>
      </c>
      <c r="AC45" s="5">
        <f t="shared" si="5"/>
        <v>0.54313800675507384</v>
      </c>
      <c r="AD45" s="20">
        <f t="shared" si="6"/>
        <v>-0.36092097466349166</v>
      </c>
      <c r="AE45" s="21">
        <f t="shared" si="7"/>
        <v>1.841152685989339</v>
      </c>
      <c r="AF45" s="21">
        <f>AB45*(14.068*'Sem TS MC2020'!$P37^-0.457)/$Q45</f>
        <v>0.44638877152692086</v>
      </c>
      <c r="AG45" s="21"/>
      <c r="AO45" s="5">
        <f>$AP$2*($AP$3+$AP$4*$F45/($N45*'Sem TS MC2020'!P37))*($AP$5*$G45+$AP$6*$B45/$N45)*('Sem TS MC2020'!P37^$AP$7/200000)*($J45-$M45)/($J45-$M45-$H45)+('Sem TS MC2020'!P37-$C45/$AP$8)*($AP$5*$G45+$AP$6*$B45/$N45)/200000</f>
        <v>0.43361669779610779</v>
      </c>
      <c r="AP45" s="5">
        <f t="shared" si="8"/>
        <v>0.54888189594444026</v>
      </c>
      <c r="AQ45" s="20">
        <f t="shared" si="9"/>
        <v>-0.35638330220389225</v>
      </c>
    </row>
    <row r="46" spans="1:43" x14ac:dyDescent="0.25">
      <c r="A46" s="1" t="s">
        <v>28</v>
      </c>
      <c r="B46" s="3">
        <v>25</v>
      </c>
      <c r="C46" s="4">
        <v>500</v>
      </c>
      <c r="D46" s="4">
        <v>4</v>
      </c>
      <c r="E46" s="3">
        <v>62</v>
      </c>
      <c r="F46" s="5">
        <v>2.6933292113182898</v>
      </c>
      <c r="G46" s="3">
        <v>20</v>
      </c>
      <c r="H46" s="3">
        <v>44.5</v>
      </c>
      <c r="I46" s="1">
        <v>350</v>
      </c>
      <c r="J46" s="3">
        <v>450</v>
      </c>
      <c r="K46" s="4">
        <v>1964</v>
      </c>
      <c r="L46" s="5">
        <v>54512.5</v>
      </c>
      <c r="M46" s="4">
        <v>140.92716892937</v>
      </c>
      <c r="N46" s="10">
        <v>3.60284338454483E-2</v>
      </c>
      <c r="O46" s="5">
        <v>75</v>
      </c>
      <c r="P46" s="4">
        <v>50.850362331918198</v>
      </c>
      <c r="Q46" s="5">
        <v>0.2</v>
      </c>
      <c r="R46" s="11">
        <f t="shared" si="0"/>
        <v>2.5425181165959098E-4</v>
      </c>
      <c r="V46" s="5">
        <f t="shared" si="1"/>
        <v>0.10832468027892288</v>
      </c>
      <c r="W46" s="5">
        <f t="shared" si="2"/>
        <v>0.5416234013946144</v>
      </c>
      <c r="Y46" s="5">
        <f t="shared" si="3"/>
        <v>0.10686518355559303</v>
      </c>
      <c r="Z46" s="5">
        <f t="shared" si="4"/>
        <v>0.53432591777796512</v>
      </c>
      <c r="AB46" s="5">
        <f>$AC$2*($AC$3+$AC$4*$F46/($N46*'Sem TS MC2020'!P38))*($AC$5*$G46+$AC$6*$B46/$N46)*'Sem TS MC2020'!R38*($J46-$M46)/($J46-$M46-$H46)</f>
        <v>6.0555185894665624E-2</v>
      </c>
      <c r="AC46" s="5">
        <f t="shared" si="5"/>
        <v>0.3027759294733281</v>
      </c>
      <c r="AD46" s="20">
        <f t="shared" si="6"/>
        <v>-0.13944481410533438</v>
      </c>
      <c r="AE46" s="21">
        <f t="shared" si="7"/>
        <v>3.3027724553252216</v>
      </c>
      <c r="AF46" s="21">
        <f>AB46*(14.068*'Sem TS MC2020'!$P38^-0.457)/$Q46</f>
        <v>0.50446536246980478</v>
      </c>
      <c r="AG46" s="21"/>
      <c r="AO46" s="5">
        <f>$AP$2*($AP$3+$AP$4*$F46/($N46*'Sem TS MC2020'!P38))*($AP$5*$G46+$AP$6*$B46/$N46)*('Sem TS MC2020'!P38^$AP$7/200000)*($J46-$M46)/($J46-$M46-$H46)+('Sem TS MC2020'!P38-$C46/$AP$8)*($AP$5*$G46+$AP$6*$B46/$N46)/200000</f>
        <v>6.6702388695028397E-2</v>
      </c>
      <c r="AP46" s="5">
        <f t="shared" si="8"/>
        <v>0.33351194347514196</v>
      </c>
      <c r="AQ46" s="20">
        <f t="shared" si="9"/>
        <v>-0.13329761130497161</v>
      </c>
    </row>
    <row r="47" spans="1:43" x14ac:dyDescent="0.25">
      <c r="B47" s="3">
        <v>25</v>
      </c>
      <c r="C47" s="4">
        <v>500</v>
      </c>
      <c r="D47" s="4">
        <v>4</v>
      </c>
      <c r="E47" s="3">
        <v>62</v>
      </c>
      <c r="F47" s="5">
        <v>2.6933292113182898</v>
      </c>
      <c r="G47" s="3">
        <v>20</v>
      </c>
      <c r="H47" s="3">
        <v>44.5</v>
      </c>
      <c r="I47" s="1">
        <v>350</v>
      </c>
      <c r="J47" s="3">
        <v>450</v>
      </c>
      <c r="K47" s="4">
        <v>1964</v>
      </c>
      <c r="L47" s="5">
        <v>54512.5</v>
      </c>
      <c r="M47" s="4">
        <v>140.92716892937</v>
      </c>
      <c r="N47" s="10">
        <v>3.60284338454483E-2</v>
      </c>
      <c r="O47" s="5">
        <v>135</v>
      </c>
      <c r="P47" s="4">
        <v>136.392275585503</v>
      </c>
      <c r="Q47" s="5">
        <v>0.25</v>
      </c>
      <c r="R47" s="11">
        <f t="shared" si="0"/>
        <v>6.8196137792751505E-4</v>
      </c>
      <c r="V47" s="5">
        <f t="shared" si="1"/>
        <v>0.19911742955835604</v>
      </c>
      <c r="W47" s="5">
        <f t="shared" si="2"/>
        <v>0.79646971823342416</v>
      </c>
      <c r="Y47" s="5">
        <f t="shared" si="3"/>
        <v>0.19857819114765696</v>
      </c>
      <c r="Z47" s="5">
        <f t="shared" si="4"/>
        <v>0.79431276459062783</v>
      </c>
      <c r="AB47" s="5">
        <f>$AC$2*($AC$3+$AC$4*$F47/($N47*'Sem TS MC2020'!P39))*($AC$5*$G47+$AC$6*$B47/$N47)*'Sem TS MC2020'!R39*($J47-$M47)/($J47-$M47-$H47)</f>
        <v>0.1389227525504709</v>
      </c>
      <c r="AC47" s="5">
        <f t="shared" si="5"/>
        <v>0.55569101020188361</v>
      </c>
      <c r="AD47" s="20">
        <f t="shared" si="6"/>
        <v>-0.1110772474495291</v>
      </c>
      <c r="AE47" s="21">
        <f t="shared" si="7"/>
        <v>1.7995612339251235</v>
      </c>
      <c r="AF47" s="21">
        <f>AB47*(14.068*'Sem TS MC2020'!$P39^-0.457)/$Q47</f>
        <v>0.70775646030928241</v>
      </c>
      <c r="AG47" s="21"/>
      <c r="AO47" s="5">
        <f>$AP$2*($AP$3+$AP$4*$F47/($N47*'Sem TS MC2020'!P39))*($AP$5*$G47+$AP$6*$B47/$N47)*('Sem TS MC2020'!P39^$AP$7/200000)*($J47-$M47)/($J47-$M47-$H47)+('Sem TS MC2020'!P39-$C47/$AP$8)*($AP$5*$G47+$AP$6*$B47/$N47)/200000</f>
        <v>0.154060510433564</v>
      </c>
      <c r="AP47" s="5">
        <f t="shared" si="8"/>
        <v>0.61624204173425601</v>
      </c>
      <c r="AQ47" s="20">
        <f t="shared" si="9"/>
        <v>-9.5939489566435998E-2</v>
      </c>
    </row>
    <row r="48" spans="1:43" x14ac:dyDescent="0.25">
      <c r="B48" s="3">
        <v>25</v>
      </c>
      <c r="C48" s="4">
        <v>500</v>
      </c>
      <c r="D48" s="4">
        <v>4</v>
      </c>
      <c r="E48" s="3">
        <v>62</v>
      </c>
      <c r="F48" s="5">
        <v>2.6933292113182898</v>
      </c>
      <c r="G48" s="3">
        <v>20</v>
      </c>
      <c r="H48" s="3">
        <v>44.5</v>
      </c>
      <c r="I48" s="1">
        <v>350</v>
      </c>
      <c r="J48" s="3">
        <v>450</v>
      </c>
      <c r="K48" s="4">
        <v>1964</v>
      </c>
      <c r="L48" s="5">
        <v>54512.5</v>
      </c>
      <c r="M48" s="4">
        <v>140.92716892937</v>
      </c>
      <c r="N48" s="10">
        <v>3.60284338454483E-2</v>
      </c>
      <c r="O48" s="5">
        <v>195</v>
      </c>
      <c r="P48" s="4">
        <v>238.242392804302</v>
      </c>
      <c r="Q48" s="5">
        <v>0.36</v>
      </c>
      <c r="R48" s="11">
        <f t="shared" si="0"/>
        <v>1.1912119640215099E-3</v>
      </c>
      <c r="V48" s="5">
        <f t="shared" si="1"/>
        <v>0.28090840576626913</v>
      </c>
      <c r="W48" s="5">
        <f t="shared" si="2"/>
        <v>0.7803011271285254</v>
      </c>
      <c r="Y48" s="5">
        <f t="shared" si="3"/>
        <v>0.28187173589718467</v>
      </c>
      <c r="Z48" s="5">
        <f t="shared" si="4"/>
        <v>0.78297704415884639</v>
      </c>
      <c r="AB48" s="5">
        <f>$AC$2*($AC$3+$AC$4*$F48/($N48*'Sem TS MC2020'!P40))*($AC$5*$G48+$AC$6*$B48/$N48)*'Sem TS MC2020'!R40*($J48-$M48)/($J48-$M48-$H48)</f>
        <v>0.21729031920627709</v>
      </c>
      <c r="AC48" s="5">
        <f t="shared" si="5"/>
        <v>0.60358422001743639</v>
      </c>
      <c r="AD48" s="20">
        <f t="shared" si="6"/>
        <v>-0.1427096807937229</v>
      </c>
      <c r="AE48" s="21">
        <f t="shared" si="7"/>
        <v>1.6567696219280086</v>
      </c>
      <c r="AF48" s="21">
        <f>AB48*(14.068*'Sem TS MC2020'!$P40^-0.457)/$Q48</f>
        <v>0.64983793959411473</v>
      </c>
      <c r="AG48" s="21"/>
      <c r="AO48" s="5">
        <f>$AP$2*($AP$3+$AP$4*$F48/($N48*'Sem TS MC2020'!P40))*($AP$5*$G48+$AP$6*$B48/$N48)*('Sem TS MC2020'!P40^$AP$7/200000)*($J48-$M48)/($J48-$M48-$H48)+('Sem TS MC2020'!P40-$C48/$AP$8)*($AP$5*$G48+$AP$6*$B48/$N48)/200000</f>
        <v>0.23320529341237162</v>
      </c>
      <c r="AP48" s="5">
        <f t="shared" si="8"/>
        <v>0.64779248170103232</v>
      </c>
      <c r="AQ48" s="20">
        <f t="shared" si="9"/>
        <v>-0.12679470658762837</v>
      </c>
    </row>
    <row r="49" spans="1:43" x14ac:dyDescent="0.25">
      <c r="B49" s="3">
        <v>25</v>
      </c>
      <c r="C49" s="4">
        <v>500</v>
      </c>
      <c r="D49" s="4">
        <v>4</v>
      </c>
      <c r="E49" s="3">
        <v>62</v>
      </c>
      <c r="F49" s="5">
        <v>2.6933292113182898</v>
      </c>
      <c r="G49" s="3">
        <v>20</v>
      </c>
      <c r="H49" s="3">
        <v>44.5</v>
      </c>
      <c r="I49" s="1">
        <v>350</v>
      </c>
      <c r="J49" s="3">
        <v>450</v>
      </c>
      <c r="K49" s="4">
        <v>1964</v>
      </c>
      <c r="L49" s="5">
        <v>54512.5</v>
      </c>
      <c r="M49" s="4">
        <v>140.92716892937</v>
      </c>
      <c r="N49" s="10">
        <v>3.60284338454483E-2</v>
      </c>
      <c r="O49" s="5">
        <v>255</v>
      </c>
      <c r="P49" s="4">
        <v>340.09251002309998</v>
      </c>
      <c r="Q49" s="5">
        <v>0.47</v>
      </c>
      <c r="R49" s="11">
        <f t="shared" si="0"/>
        <v>1.7004625501154998E-3</v>
      </c>
      <c r="V49" s="5">
        <f t="shared" si="1"/>
        <v>0.34989632133287035</v>
      </c>
      <c r="W49" s="5">
        <f t="shared" si="2"/>
        <v>0.74446025815504335</v>
      </c>
      <c r="Y49" s="5">
        <f t="shared" si="3"/>
        <v>0.35247354775628098</v>
      </c>
      <c r="Z49" s="5">
        <f t="shared" si="4"/>
        <v>0.74994371863038511</v>
      </c>
      <c r="AB49" s="5">
        <f>$AC$2*($AC$3+$AC$4*$F49/($N49*'Sem TS MC2020'!P41))*($AC$5*$G49+$AC$6*$B49/$N49)*'Sem TS MC2020'!R41*($J49-$M49)/($J49-$M49-$H49)</f>
        <v>0.2956578858620833</v>
      </c>
      <c r="AC49" s="5">
        <f t="shared" si="5"/>
        <v>0.62905933162145389</v>
      </c>
      <c r="AD49" s="20">
        <f t="shared" si="6"/>
        <v>-0.17434211413791667</v>
      </c>
      <c r="AE49" s="21">
        <f t="shared" si="7"/>
        <v>1.5896751701026595</v>
      </c>
      <c r="AF49" s="21">
        <f>AB49*(14.068*'Sem TS MC2020'!$P41^-0.457)/$Q49</f>
        <v>0.59912266609084208</v>
      </c>
      <c r="AG49" s="21"/>
      <c r="AO49" s="5">
        <f>$AP$2*($AP$3+$AP$4*$F49/($N49*'Sem TS MC2020'!P41))*($AP$5*$G49+$AP$6*$B49/$N49)*('Sem TS MC2020'!P41^$AP$7/200000)*($J49-$M49)/($J49-$M49-$H49)+('Sem TS MC2020'!P41-$C49/$AP$8)*($AP$5*$G49+$AP$6*$B49/$N49)/200000</f>
        <v>0.30759833986228002</v>
      </c>
      <c r="AP49" s="5">
        <f t="shared" si="8"/>
        <v>0.65446455289846817</v>
      </c>
      <c r="AQ49" s="20">
        <f t="shared" si="9"/>
        <v>-0.16240166013771995</v>
      </c>
    </row>
    <row r="50" spans="1:43" x14ac:dyDescent="0.25">
      <c r="B50" s="3">
        <v>25</v>
      </c>
      <c r="C50" s="4">
        <v>500</v>
      </c>
      <c r="D50" s="4">
        <v>4</v>
      </c>
      <c r="E50" s="3">
        <v>62</v>
      </c>
      <c r="F50" s="5">
        <v>2.6933292113182898</v>
      </c>
      <c r="G50" s="3">
        <v>20</v>
      </c>
      <c r="H50" s="3">
        <v>44.5</v>
      </c>
      <c r="I50" s="1">
        <v>350</v>
      </c>
      <c r="J50" s="3">
        <v>450</v>
      </c>
      <c r="K50" s="4">
        <v>1964</v>
      </c>
      <c r="L50" s="5">
        <v>54512.5</v>
      </c>
      <c r="M50" s="4">
        <v>140.92716892937</v>
      </c>
      <c r="N50" s="10">
        <v>3.60284338454483E-2</v>
      </c>
      <c r="O50" s="5">
        <v>300</v>
      </c>
      <c r="P50" s="4">
        <v>416.48009793720001</v>
      </c>
      <c r="Q50" s="5">
        <v>0.56999999999999995</v>
      </c>
      <c r="R50" s="11">
        <f t="shared" si="0"/>
        <v>2.082400489686E-3</v>
      </c>
      <c r="V50" s="5">
        <f t="shared" si="1"/>
        <v>0.39649127962857461</v>
      </c>
      <c r="W50" s="5">
        <f t="shared" si="2"/>
        <v>0.69559873619048185</v>
      </c>
      <c r="Y50" s="5">
        <f t="shared" si="3"/>
        <v>0.40030292392989708</v>
      </c>
      <c r="Z50" s="5">
        <f t="shared" si="4"/>
        <v>0.7022858314559598</v>
      </c>
      <c r="AB50" s="5">
        <f>$AC$2*($AC$3+$AC$4*$F50/($N50*'Sem TS MC2020'!P42))*($AC$5*$G50+$AC$6*$B50/$N50)*'Sem TS MC2020'!R42*($J50-$M50)/($J50-$M50-$H50)</f>
        <v>0.35443356085393707</v>
      </c>
      <c r="AC50" s="5">
        <f t="shared" si="5"/>
        <v>0.62181326465603004</v>
      </c>
      <c r="AD50" s="20">
        <f t="shared" si="6"/>
        <v>-0.21556643914606288</v>
      </c>
      <c r="AE50" s="21">
        <f t="shared" si="7"/>
        <v>1.608199851692087</v>
      </c>
      <c r="AF50" s="21">
        <f>AB50*(14.068*'Sem TS MC2020'!$P42^-0.457)/$Q50</f>
        <v>0.54983017734171391</v>
      </c>
      <c r="AG50" s="21"/>
      <c r="AO50" s="5">
        <f>$AP$2*($AP$3+$AP$4*$F50/($N50*'Sem TS MC2020'!P42))*($AP$5*$G50+$AP$6*$B50/$N50)*('Sem TS MC2020'!P42^$AP$7/200000)*($J50-$M50)/($J50-$M50-$H50)+('Sem TS MC2020'!P42-$C50/$AP$8)*($AP$5*$G50+$AP$6*$B50/$N50)/200000</f>
        <v>0.3611917012509947</v>
      </c>
      <c r="AP50" s="5">
        <f t="shared" si="8"/>
        <v>0.63366965131753461</v>
      </c>
      <c r="AQ50" s="20">
        <f t="shared" si="9"/>
        <v>-0.20880829874900525</v>
      </c>
    </row>
    <row r="51" spans="1:43" x14ac:dyDescent="0.25">
      <c r="B51" s="3">
        <v>25</v>
      </c>
      <c r="C51" s="4">
        <v>500</v>
      </c>
      <c r="D51" s="4">
        <v>4</v>
      </c>
      <c r="E51" s="3">
        <v>62</v>
      </c>
      <c r="F51" s="5">
        <v>2.6933292113182898</v>
      </c>
      <c r="G51" s="3">
        <v>20</v>
      </c>
      <c r="H51" s="3">
        <v>44.5</v>
      </c>
      <c r="I51" s="1">
        <v>350</v>
      </c>
      <c r="J51" s="3">
        <v>450</v>
      </c>
      <c r="K51" s="4">
        <v>1964</v>
      </c>
      <c r="L51" s="5">
        <v>54512.5</v>
      </c>
      <c r="M51" s="4">
        <v>140.92716892937</v>
      </c>
      <c r="N51" s="10">
        <v>3.60284338454483E-2</v>
      </c>
      <c r="O51" s="5">
        <v>360</v>
      </c>
      <c r="P51" s="4">
        <v>500</v>
      </c>
      <c r="Q51" s="5">
        <v>0.78</v>
      </c>
      <c r="R51" s="11">
        <f t="shared" si="0"/>
        <v>2.5000000000000001E-3</v>
      </c>
      <c r="V51" s="5">
        <f t="shared" si="1"/>
        <v>0.4438216448096528</v>
      </c>
      <c r="W51" s="5">
        <f t="shared" si="2"/>
        <v>0.56900210873032409</v>
      </c>
      <c r="Y51" s="5">
        <f t="shared" si="3"/>
        <v>0.44899006805270952</v>
      </c>
      <c r="Z51" s="5">
        <f t="shared" si="4"/>
        <v>0.57562829237526858</v>
      </c>
      <c r="AB51" s="5">
        <f>$AC$2*($AC$3+$AC$4*$F51/($N51*'Sem TS MC2020'!P43))*($AC$5*$G51+$AC$6*$B51/$N51)*'Sem TS MC2020'!R43*($J51-$M51)/($J51-$M51-$H51)</f>
        <v>0.42244464464448356</v>
      </c>
      <c r="AC51" s="5">
        <f t="shared" si="5"/>
        <v>0.54159569826215836</v>
      </c>
      <c r="AD51" s="20">
        <f t="shared" si="6"/>
        <v>-0.35755535535551647</v>
      </c>
      <c r="AE51" s="21">
        <f t="shared" si="7"/>
        <v>1.8463957583281096</v>
      </c>
      <c r="AF51" s="21">
        <f>AB51*(14.068*'Sem TS MC2020'!$P43^-0.457)/$Q51</f>
        <v>0.44512119462214611</v>
      </c>
      <c r="AG51" s="21"/>
      <c r="AO51" s="5">
        <f>$AP$2*($AP$3+$AP$4*$F51/($N51*'Sem TS MC2020'!P43))*($AP$5*$G51+$AP$6*$B51/$N51)*('Sem TS MC2020'!P43^$AP$7/200000)*($J51-$M51)/($J51-$M51-$H51)+('Sem TS MC2020'!P43-$C51/$AP$8)*($AP$5*$G51+$AP$6*$B51/$N51)/200000</f>
        <v>0.42138146971968105</v>
      </c>
      <c r="AP51" s="5">
        <f t="shared" si="8"/>
        <v>0.54023265348677052</v>
      </c>
      <c r="AQ51" s="20">
        <f t="shared" si="9"/>
        <v>-0.35861853028031898</v>
      </c>
    </row>
    <row r="52" spans="1:43" x14ac:dyDescent="0.25">
      <c r="A52" s="1" t="s">
        <v>29</v>
      </c>
      <c r="B52" s="3">
        <v>12</v>
      </c>
      <c r="C52" s="4">
        <v>500</v>
      </c>
      <c r="D52" s="4">
        <v>4</v>
      </c>
      <c r="E52" s="3">
        <v>79.3</v>
      </c>
      <c r="F52" s="5">
        <v>2.6933292113182898</v>
      </c>
      <c r="G52" s="3">
        <v>20</v>
      </c>
      <c r="H52" s="3">
        <v>34</v>
      </c>
      <c r="I52" s="1">
        <v>350</v>
      </c>
      <c r="J52" s="3">
        <v>450</v>
      </c>
      <c r="K52" s="4">
        <v>452</v>
      </c>
      <c r="L52" s="5">
        <v>32900</v>
      </c>
      <c r="M52" s="4">
        <v>76.575869689672899</v>
      </c>
      <c r="N52" s="10">
        <v>1.37386018237082E-2</v>
      </c>
      <c r="O52" s="5">
        <v>37.5</v>
      </c>
      <c r="P52" s="4">
        <v>94.1521358627311</v>
      </c>
      <c r="Q52" s="5">
        <v>0.21</v>
      </c>
      <c r="R52" s="11">
        <f t="shared" si="0"/>
        <v>4.7076067931365548E-4</v>
      </c>
      <c r="V52" s="5">
        <f t="shared" si="1"/>
        <v>0.14459392894446288</v>
      </c>
      <c r="W52" s="5">
        <f t="shared" si="2"/>
        <v>0.68854251878315664</v>
      </c>
      <c r="Y52" s="5">
        <f t="shared" si="3"/>
        <v>0.14223527221134524</v>
      </c>
      <c r="Z52" s="5">
        <f t="shared" si="4"/>
        <v>0.67731082005402499</v>
      </c>
      <c r="AB52" s="5">
        <f>$AC$2*($AC$3+$AC$4*$F52/($N52*'Sem TS MC2020'!P44))*($AC$5*$G52+$AC$6*$B52/$N52)*'Sem TS MC2020'!R44*($J52-$M52)/($J52-$M52-$H52)</f>
        <v>0.11133971701354353</v>
      </c>
      <c r="AC52" s="5">
        <f t="shared" si="5"/>
        <v>0.5301891286359216</v>
      </c>
      <c r="AD52" s="20">
        <f t="shared" si="6"/>
        <v>-9.866028298645646E-2</v>
      </c>
      <c r="AE52" s="21">
        <f t="shared" si="7"/>
        <v>1.8861193977568245</v>
      </c>
      <c r="AF52" s="21">
        <f>AB52*(14.068*'Sem TS MC2020'!$P44^-0.457)/$Q52</f>
        <v>0.64429849043314891</v>
      </c>
      <c r="AG52" s="21"/>
      <c r="AO52" s="5">
        <f>$AP$2*($AP$3+$AP$4*$F52/($N52*'Sem TS MC2020'!P44))*($AP$5*$G52+$AP$6*$B52/$N52)*('Sem TS MC2020'!P44^$AP$7/200000)*($J52-$M52)/($J52-$M52-$H52)+('Sem TS MC2020'!P44-$C52/$AP$8)*($AP$5*$G52+$AP$6*$B52/$N52)/200000</f>
        <v>0.12024086709942819</v>
      </c>
      <c r="AP52" s="5">
        <f t="shared" si="8"/>
        <v>0.57257555761632473</v>
      </c>
      <c r="AQ52" s="20">
        <f t="shared" si="9"/>
        <v>-8.9759132900571803E-2</v>
      </c>
    </row>
    <row r="53" spans="1:43" x14ac:dyDescent="0.25">
      <c r="B53" s="3">
        <v>12</v>
      </c>
      <c r="C53" s="4">
        <v>500</v>
      </c>
      <c r="D53" s="4">
        <v>4</v>
      </c>
      <c r="E53" s="3">
        <v>79.3</v>
      </c>
      <c r="F53" s="5">
        <v>2.6933292113182898</v>
      </c>
      <c r="G53" s="3">
        <v>20</v>
      </c>
      <c r="H53" s="3">
        <v>34</v>
      </c>
      <c r="I53" s="1">
        <v>350</v>
      </c>
      <c r="J53" s="3">
        <v>450</v>
      </c>
      <c r="K53" s="4">
        <v>452</v>
      </c>
      <c r="L53" s="5">
        <v>32900</v>
      </c>
      <c r="M53" s="4">
        <v>76.575869689672899</v>
      </c>
      <c r="N53" s="10">
        <v>1.37386018237082E-2</v>
      </c>
      <c r="O53" s="5">
        <v>45</v>
      </c>
      <c r="P53" s="4">
        <v>155.793729022078</v>
      </c>
      <c r="Q53" s="5">
        <v>0.31</v>
      </c>
      <c r="R53" s="11">
        <f t="shared" si="0"/>
        <v>7.7896864511039002E-4</v>
      </c>
      <c r="V53" s="5">
        <f t="shared" si="1"/>
        <v>0.1972877740473378</v>
      </c>
      <c r="W53" s="5">
        <f t="shared" si="2"/>
        <v>0.63641217434625097</v>
      </c>
      <c r="Y53" s="5">
        <f t="shared" si="3"/>
        <v>0.19514765645076035</v>
      </c>
      <c r="Z53" s="5">
        <f t="shared" si="4"/>
        <v>0.62950856919600118</v>
      </c>
      <c r="AB53" s="5">
        <f>$AC$2*($AC$3+$AC$4*$F53/($N53*'Sem TS MC2020'!P45))*($AC$5*$G53+$AC$6*$B53/$N53)*'Sem TS MC2020'!R45*($J53-$M53)/($J53-$M53-$H53)</f>
        <v>0.15605189489633964</v>
      </c>
      <c r="AC53" s="5">
        <f t="shared" si="5"/>
        <v>0.50339320934303111</v>
      </c>
      <c r="AD53" s="20">
        <f t="shared" si="6"/>
        <v>-0.15394810510366036</v>
      </c>
      <c r="AE53" s="21">
        <f t="shared" si="7"/>
        <v>1.9865186526951386</v>
      </c>
      <c r="AF53" s="21">
        <f>AB53*(14.068*'Sem TS MC2020'!$P45^-0.457)/$Q53</f>
        <v>0.56283075231167567</v>
      </c>
      <c r="AG53" s="21"/>
      <c r="AO53" s="5">
        <f>$AP$2*($AP$3+$AP$4*$F53/($N53*'Sem TS MC2020'!P45))*($AP$5*$G53+$AP$6*$B53/$N53)*('Sem TS MC2020'!P45^$AP$7/200000)*($J53-$M53)/($J53-$M53-$H53)+('Sem TS MC2020'!P45-$C53/$AP$8)*($AP$5*$G53+$AP$6*$B53/$N53)/200000</f>
        <v>0.16843137797500687</v>
      </c>
      <c r="AP53" s="5">
        <f t="shared" si="8"/>
        <v>0.54332702572582858</v>
      </c>
      <c r="AQ53" s="20">
        <f t="shared" si="9"/>
        <v>-0.14156862202499312</v>
      </c>
    </row>
    <row r="54" spans="1:43" x14ac:dyDescent="0.25">
      <c r="B54" s="3">
        <v>12</v>
      </c>
      <c r="C54" s="4">
        <v>500</v>
      </c>
      <c r="D54" s="4">
        <v>4</v>
      </c>
      <c r="E54" s="3">
        <v>79.3</v>
      </c>
      <c r="F54" s="5">
        <v>2.6933292113182898</v>
      </c>
      <c r="G54" s="3">
        <v>20</v>
      </c>
      <c r="H54" s="3">
        <v>34</v>
      </c>
      <c r="I54" s="1">
        <v>350</v>
      </c>
      <c r="J54" s="3">
        <v>450</v>
      </c>
      <c r="K54" s="4">
        <v>452</v>
      </c>
      <c r="L54" s="5">
        <v>32900</v>
      </c>
      <c r="M54" s="4">
        <v>76.575869689672899</v>
      </c>
      <c r="N54" s="10">
        <v>1.37386018237082E-2</v>
      </c>
      <c r="O54" s="5">
        <v>52.5</v>
      </c>
      <c r="P54" s="4">
        <v>217.43532218142499</v>
      </c>
      <c r="Q54" s="5">
        <v>0.38</v>
      </c>
      <c r="R54" s="11">
        <f t="shared" si="0"/>
        <v>1.087176610907125E-3</v>
      </c>
      <c r="V54" s="5">
        <f t="shared" si="1"/>
        <v>0.24234245835088761</v>
      </c>
      <c r="W54" s="5">
        <f t="shared" si="2"/>
        <v>0.6377433114497042</v>
      </c>
      <c r="Y54" s="5">
        <f t="shared" si="3"/>
        <v>0.24059425774653784</v>
      </c>
      <c r="Z54" s="5">
        <f t="shared" si="4"/>
        <v>0.6331427835435206</v>
      </c>
      <c r="AB54" s="5">
        <f>$AC$2*($AC$3+$AC$4*$F54/($N54*'Sem TS MC2020'!P46))*($AC$5*$G54+$AC$6*$B54/$N54)*'Sem TS MC2020'!R46*($J54-$M54)/($J54-$M54-$H54)</f>
        <v>0.20076407277913466</v>
      </c>
      <c r="AC54" s="5">
        <f t="shared" si="5"/>
        <v>0.52832650731351227</v>
      </c>
      <c r="AD54" s="20">
        <f t="shared" si="6"/>
        <v>-0.17923592722086534</v>
      </c>
      <c r="AE54" s="21">
        <f t="shared" si="7"/>
        <v>1.8927689339020684</v>
      </c>
      <c r="AF54" s="21">
        <f>AB54*(14.068*'Sem TS MC2020'!$P46^-0.457)/$Q54</f>
        <v>0.55052644289005992</v>
      </c>
      <c r="AG54" s="21"/>
      <c r="AO54" s="5">
        <f>$AP$2*($AP$3+$AP$4*$F54/($N54*'Sem TS MC2020'!P46))*($AP$5*$G54+$AP$6*$B54/$N54)*('Sem TS MC2020'!P46^$AP$7/200000)*($J54-$M54)/($J54-$M54-$H54)+('Sem TS MC2020'!P46-$C54/$AP$8)*($AP$5*$G54+$AP$6*$B54/$N54)/200000</f>
        <v>0.21466504112730789</v>
      </c>
      <c r="AP54" s="5">
        <f t="shared" si="8"/>
        <v>0.56490800296659971</v>
      </c>
      <c r="AQ54" s="20">
        <f t="shared" si="9"/>
        <v>-0.16533495887269212</v>
      </c>
    </row>
    <row r="55" spans="1:43" x14ac:dyDescent="0.25">
      <c r="B55" s="3">
        <v>12</v>
      </c>
      <c r="C55" s="4">
        <v>500</v>
      </c>
      <c r="D55" s="4">
        <v>4</v>
      </c>
      <c r="E55" s="3">
        <v>79.3</v>
      </c>
      <c r="F55" s="5">
        <v>2.6933292113182898</v>
      </c>
      <c r="G55" s="3">
        <v>20</v>
      </c>
      <c r="H55" s="3">
        <v>34</v>
      </c>
      <c r="I55" s="1">
        <v>350</v>
      </c>
      <c r="J55" s="3">
        <v>450</v>
      </c>
      <c r="K55" s="4">
        <v>452</v>
      </c>
      <c r="L55" s="5">
        <v>32900</v>
      </c>
      <c r="M55" s="4">
        <v>76.575869689672899</v>
      </c>
      <c r="N55" s="10">
        <v>1.37386018237082E-2</v>
      </c>
      <c r="O55" s="5">
        <v>67.5</v>
      </c>
      <c r="P55" s="4">
        <v>340.71850850011901</v>
      </c>
      <c r="Q55" s="5">
        <v>0.52</v>
      </c>
      <c r="R55" s="11">
        <f t="shared" si="0"/>
        <v>1.7035925425005951E-3</v>
      </c>
      <c r="V55" s="5">
        <f t="shared" si="1"/>
        <v>0.31973118894321195</v>
      </c>
      <c r="W55" s="5">
        <f t="shared" si="2"/>
        <v>0.61486767104463835</v>
      </c>
      <c r="Y55" s="5">
        <f t="shared" si="3"/>
        <v>0.31899690783406298</v>
      </c>
      <c r="Z55" s="5">
        <f t="shared" si="4"/>
        <v>0.61345559198858268</v>
      </c>
      <c r="AB55" s="5">
        <f>$AC$2*($AC$3+$AC$4*$F55/($N55*'Sem TS MC2020'!P47))*($AC$5*$G55+$AC$6*$B55/$N55)*'Sem TS MC2020'!R47*($J55-$M55)/($J55-$M55-$H55)</f>
        <v>0.29018842854472693</v>
      </c>
      <c r="AC55" s="5">
        <f t="shared" si="5"/>
        <v>0.55805467027832101</v>
      </c>
      <c r="AD55" s="20">
        <f t="shared" si="6"/>
        <v>-0.22981157145527309</v>
      </c>
      <c r="AE55" s="21">
        <f t="shared" si="7"/>
        <v>1.7919391293710807</v>
      </c>
      <c r="AF55" s="21">
        <f>AB55*(14.068*'Sem TS MC2020'!$P47^-0.457)/$Q55</f>
        <v>0.51841016380015958</v>
      </c>
      <c r="AG55" s="21"/>
      <c r="AO55" s="5">
        <f>$AP$2*($AP$3+$AP$4*$F55/($N55*'Sem TS MC2020'!P47))*($AP$5*$G55+$AP$6*$B55/$N55)*('Sem TS MC2020'!P47^$AP$7/200000)*($J55-$M55)/($J55-$M55-$H55)+('Sem TS MC2020'!P47-$C55/$AP$8)*($AP$5*$G55+$AP$6*$B55/$N55)/200000</f>
        <v>0.30280064382959665</v>
      </c>
      <c r="AP55" s="5">
        <f t="shared" si="8"/>
        <v>0.58230893044153198</v>
      </c>
      <c r="AQ55" s="20">
        <f t="shared" si="9"/>
        <v>-0.21719935617040337</v>
      </c>
    </row>
    <row r="56" spans="1:43" x14ac:dyDescent="0.25">
      <c r="B56" s="3">
        <v>12</v>
      </c>
      <c r="C56" s="4">
        <v>500</v>
      </c>
      <c r="D56" s="4">
        <v>4</v>
      </c>
      <c r="E56" s="3">
        <v>79.3</v>
      </c>
      <c r="F56" s="5">
        <v>2.6933292113182898</v>
      </c>
      <c r="G56" s="3">
        <v>20</v>
      </c>
      <c r="H56" s="3">
        <v>34</v>
      </c>
      <c r="I56" s="1">
        <v>350</v>
      </c>
      <c r="J56" s="3">
        <v>450</v>
      </c>
      <c r="K56" s="4">
        <v>452</v>
      </c>
      <c r="L56" s="5">
        <v>32900</v>
      </c>
      <c r="M56" s="4">
        <v>76.575869689672899</v>
      </c>
      <c r="N56" s="10">
        <v>1.37386018237082E-2</v>
      </c>
      <c r="O56" s="5">
        <v>90</v>
      </c>
      <c r="P56" s="4">
        <v>500</v>
      </c>
      <c r="Q56" s="5">
        <v>0.74</v>
      </c>
      <c r="R56" s="11">
        <f t="shared" si="0"/>
        <v>2.5000000000000001E-3</v>
      </c>
      <c r="V56" s="5">
        <f t="shared" si="1"/>
        <v>0.40509915044458439</v>
      </c>
      <c r="W56" s="5">
        <f t="shared" si="2"/>
        <v>0.54743128438457356</v>
      </c>
      <c r="Y56" s="5">
        <f t="shared" si="3"/>
        <v>0.40587763405617466</v>
      </c>
      <c r="Z56" s="5">
        <f t="shared" si="4"/>
        <v>0.54848328926510093</v>
      </c>
      <c r="AB56" s="5">
        <f>$AC$2*($AC$3+$AC$4*$F56/($N56*'Sem TS MC2020'!P48))*($AC$5*$G56+$AC$6*$B56/$N56)*'Sem TS MC2020'!R48*($J56-$M56)/($J56-$M56-$H56)</f>
        <v>0.41387593179882992</v>
      </c>
      <c r="AC56" s="5">
        <f t="shared" si="5"/>
        <v>0.55929179972814858</v>
      </c>
      <c r="AD56" s="20">
        <f t="shared" si="6"/>
        <v>-0.32612406820117007</v>
      </c>
      <c r="AE56" s="21">
        <f t="shared" si="7"/>
        <v>1.7879754369473388</v>
      </c>
      <c r="AF56" s="21">
        <f>AB56*(14.068*'Sem TS MC2020'!$P48^-0.457)/$Q56</f>
        <v>0.45966508751119833</v>
      </c>
      <c r="AG56" s="21"/>
      <c r="AO56" s="5">
        <f>$AP$2*($AP$3+$AP$4*$F56/($N56*'Sem TS MC2020'!P48))*($AP$5*$G56+$AP$6*$B56/$N56)*('Sem TS MC2020'!P48^$AP$7/200000)*($J56-$M56)/($J56-$M56-$H56)+('Sem TS MC2020'!P48-$C56/$AP$8)*($AP$5*$G56+$AP$6*$B56/$N56)/200000</f>
        <v>0.41792714618673799</v>
      </c>
      <c r="AP56" s="5">
        <f t="shared" si="8"/>
        <v>0.56476641376586212</v>
      </c>
      <c r="AQ56" s="20">
        <f t="shared" si="9"/>
        <v>-0.32207285381326201</v>
      </c>
    </row>
    <row r="57" spans="1:43" x14ac:dyDescent="0.25">
      <c r="A57" s="1" t="s">
        <v>30</v>
      </c>
      <c r="B57" s="3">
        <v>12</v>
      </c>
      <c r="C57" s="4">
        <v>500</v>
      </c>
      <c r="D57" s="4">
        <v>4</v>
      </c>
      <c r="E57" s="3">
        <v>79.3</v>
      </c>
      <c r="F57" s="5">
        <v>2.6933292113182898</v>
      </c>
      <c r="G57" s="3">
        <v>20</v>
      </c>
      <c r="H57" s="3">
        <v>34</v>
      </c>
      <c r="I57" s="1">
        <v>350</v>
      </c>
      <c r="J57" s="3">
        <v>450</v>
      </c>
      <c r="K57" s="4">
        <v>452</v>
      </c>
      <c r="L57" s="5">
        <v>32900</v>
      </c>
      <c r="M57" s="4">
        <v>76.575869689672899</v>
      </c>
      <c r="N57" s="10">
        <v>1.37386018237082E-2</v>
      </c>
      <c r="O57" s="5">
        <v>37.5</v>
      </c>
      <c r="P57" s="4">
        <v>94.1521358627311</v>
      </c>
      <c r="Q57" s="5">
        <v>0.17</v>
      </c>
      <c r="R57" s="11">
        <f t="shared" si="0"/>
        <v>4.7076067931365548E-4</v>
      </c>
      <c r="V57" s="5">
        <f t="shared" si="1"/>
        <v>0.14459392894446288</v>
      </c>
      <c r="W57" s="5">
        <f t="shared" si="2"/>
        <v>0.85055252320272279</v>
      </c>
      <c r="Y57" s="5">
        <f t="shared" si="3"/>
        <v>0.14223527221134524</v>
      </c>
      <c r="Z57" s="5">
        <f t="shared" si="4"/>
        <v>0.83667807183144249</v>
      </c>
      <c r="AB57" s="5">
        <f>$AC$2*($AC$3+$AC$4*$F57/($N57*'Sem TS MC2020'!P49))*($AC$5*$G57+$AC$6*$B57/$N57)*'Sem TS MC2020'!R49*($J57-$M57)/($J57-$M57-$H57)</f>
        <v>0.11133971701354353</v>
      </c>
      <c r="AC57" s="5">
        <f t="shared" si="5"/>
        <v>0.65493951184437371</v>
      </c>
      <c r="AD57" s="20">
        <f t="shared" si="6"/>
        <v>-5.866028298645648E-2</v>
      </c>
      <c r="AE57" s="21">
        <f t="shared" si="7"/>
        <v>1.526858560088858</v>
      </c>
      <c r="AF57" s="21">
        <f>AB57*(14.068*'Sem TS MC2020'!$P49^-0.457)/$Q57</f>
        <v>0.79589813524094855</v>
      </c>
      <c r="AG57" s="21"/>
      <c r="AO57" s="5">
        <f>$AP$2*($AP$3+$AP$4*$F57/($N57*'Sem TS MC2020'!P49))*($AP$5*$G57+$AP$6*$B57/$N57)*('Sem TS MC2020'!P49^$AP$7/200000)*($J57-$M57)/($J57-$M57-$H57)+('Sem TS MC2020'!P49-$C57/$AP$8)*($AP$5*$G57+$AP$6*$B57/$N57)/200000</f>
        <v>0.12024086709942819</v>
      </c>
      <c r="AP57" s="5">
        <f t="shared" si="8"/>
        <v>0.70729921823193043</v>
      </c>
      <c r="AQ57" s="20">
        <f t="shared" si="9"/>
        <v>-4.9759132900571823E-2</v>
      </c>
    </row>
    <row r="58" spans="1:43" x14ac:dyDescent="0.25">
      <c r="B58" s="3">
        <v>12</v>
      </c>
      <c r="C58" s="4">
        <v>500</v>
      </c>
      <c r="D58" s="4">
        <v>4</v>
      </c>
      <c r="E58" s="3">
        <v>79.3</v>
      </c>
      <c r="F58" s="5">
        <v>2.6933292113182898</v>
      </c>
      <c r="G58" s="3">
        <v>20</v>
      </c>
      <c r="H58" s="3">
        <v>34</v>
      </c>
      <c r="I58" s="1">
        <v>350</v>
      </c>
      <c r="J58" s="3">
        <v>450</v>
      </c>
      <c r="K58" s="4">
        <v>452</v>
      </c>
      <c r="L58" s="5">
        <v>32900</v>
      </c>
      <c r="M58" s="4">
        <v>76.575869689672899</v>
      </c>
      <c r="N58" s="10">
        <v>1.37386018237082E-2</v>
      </c>
      <c r="O58" s="5">
        <v>52.5</v>
      </c>
      <c r="P58" s="4">
        <v>217.43532218142499</v>
      </c>
      <c r="Q58" s="5">
        <v>0.36</v>
      </c>
      <c r="R58" s="11">
        <f t="shared" si="0"/>
        <v>1.087176610907125E-3</v>
      </c>
      <c r="V58" s="5">
        <f t="shared" si="1"/>
        <v>0.24234245835088761</v>
      </c>
      <c r="W58" s="5">
        <f t="shared" si="2"/>
        <v>0.6731734954191323</v>
      </c>
      <c r="Y58" s="5">
        <f t="shared" si="3"/>
        <v>0.24059425774653784</v>
      </c>
      <c r="Z58" s="5">
        <f t="shared" si="4"/>
        <v>0.66831738262927176</v>
      </c>
      <c r="AB58" s="5">
        <f>$AC$2*($AC$3+$AC$4*$F58/($N58*'Sem TS MC2020'!P50))*($AC$5*$G58+$AC$6*$B58/$N58)*'Sem TS MC2020'!R50*($J58-$M58)/($J58-$M58-$H58)</f>
        <v>0.20076407277913466</v>
      </c>
      <c r="AC58" s="5">
        <f t="shared" si="5"/>
        <v>0.55767797994204071</v>
      </c>
      <c r="AD58" s="20">
        <f t="shared" si="6"/>
        <v>-0.15923592722086533</v>
      </c>
      <c r="AE58" s="21">
        <f t="shared" si="7"/>
        <v>1.7931495163282754</v>
      </c>
      <c r="AF58" s="21">
        <f>AB58*(14.068*'Sem TS MC2020'!$P50^-0.457)/$Q58</f>
        <v>0.58111124527284097</v>
      </c>
      <c r="AG58" s="21"/>
      <c r="AO58" s="5">
        <f>$AP$2*($AP$3+$AP$4*$F58/($N58*'Sem TS MC2020'!P50))*($AP$5*$G58+$AP$6*$B58/$N58)*('Sem TS MC2020'!P50^$AP$7/200000)*($J58-$M58)/($J58-$M58-$H58)+('Sem TS MC2020'!P50-$C58/$AP$8)*($AP$5*$G58+$AP$6*$B58/$N58)/200000</f>
        <v>0.21466504112730789</v>
      </c>
      <c r="AP58" s="5">
        <f t="shared" si="8"/>
        <v>0.59629178090918855</v>
      </c>
      <c r="AQ58" s="20">
        <f t="shared" si="9"/>
        <v>-0.1453349588726921</v>
      </c>
    </row>
    <row r="59" spans="1:43" x14ac:dyDescent="0.25">
      <c r="B59" s="3">
        <v>12</v>
      </c>
      <c r="C59" s="4">
        <v>500</v>
      </c>
      <c r="D59" s="4">
        <v>4</v>
      </c>
      <c r="E59" s="3">
        <v>79.3</v>
      </c>
      <c r="F59" s="5">
        <v>2.6933292113182898</v>
      </c>
      <c r="G59" s="3">
        <v>20</v>
      </c>
      <c r="H59" s="3">
        <v>34</v>
      </c>
      <c r="I59" s="1">
        <v>350</v>
      </c>
      <c r="J59" s="3">
        <v>450</v>
      </c>
      <c r="K59" s="4">
        <v>452</v>
      </c>
      <c r="L59" s="5">
        <v>32900</v>
      </c>
      <c r="M59" s="4">
        <v>76.575869689672899</v>
      </c>
      <c r="N59" s="10">
        <v>1.37386018237082E-2</v>
      </c>
      <c r="O59" s="5">
        <v>67.5</v>
      </c>
      <c r="P59" s="4">
        <v>340.71850850011901</v>
      </c>
      <c r="Q59" s="5">
        <v>0.56000000000000005</v>
      </c>
      <c r="R59" s="11">
        <f t="shared" si="0"/>
        <v>1.7035925425005951E-3</v>
      </c>
      <c r="V59" s="5">
        <f t="shared" si="1"/>
        <v>0.31973118894321195</v>
      </c>
      <c r="W59" s="5">
        <f t="shared" si="2"/>
        <v>0.57094855168430703</v>
      </c>
      <c r="Y59" s="5">
        <f t="shared" si="3"/>
        <v>0.31899690783406298</v>
      </c>
      <c r="Z59" s="5">
        <f t="shared" si="4"/>
        <v>0.56963733541796957</v>
      </c>
      <c r="AB59" s="5">
        <f>$AC$2*($AC$3+$AC$4*$F59/($N59*'Sem TS MC2020'!P51))*($AC$5*$G59+$AC$6*$B59/$N59)*'Sem TS MC2020'!R51*($J59-$M59)/($J59-$M59-$H59)</f>
        <v>0.29018842854472693</v>
      </c>
      <c r="AC59" s="5">
        <f t="shared" si="5"/>
        <v>0.51819362240129807</v>
      </c>
      <c r="AD59" s="20">
        <f t="shared" si="6"/>
        <v>-0.26981157145527312</v>
      </c>
      <c r="AE59" s="21">
        <f t="shared" si="7"/>
        <v>1.9297806008611638</v>
      </c>
      <c r="AF59" s="21">
        <f>AB59*(14.068*'Sem TS MC2020'!$P51^-0.457)/$Q59</f>
        <v>0.48138086638586242</v>
      </c>
      <c r="AG59" s="21"/>
      <c r="AO59" s="5">
        <f>$AP$2*($AP$3+$AP$4*$F59/($N59*'Sem TS MC2020'!P51))*($AP$5*$G59+$AP$6*$B59/$N59)*('Sem TS MC2020'!P51^$AP$7/200000)*($J59-$M59)/($J59-$M59-$H59)+('Sem TS MC2020'!P51-$C59/$AP$8)*($AP$5*$G59+$AP$6*$B59/$N59)/200000</f>
        <v>0.30280064382959665</v>
      </c>
      <c r="AP59" s="5">
        <f t="shared" si="8"/>
        <v>0.54071543540999401</v>
      </c>
      <c r="AQ59" s="20">
        <f t="shared" si="9"/>
        <v>-0.2571993561704034</v>
      </c>
    </row>
    <row r="60" spans="1:43" x14ac:dyDescent="0.25">
      <c r="B60" s="3">
        <v>12</v>
      </c>
      <c r="C60" s="4">
        <v>500</v>
      </c>
      <c r="D60" s="4">
        <v>4</v>
      </c>
      <c r="E60" s="3">
        <v>79.3</v>
      </c>
      <c r="F60" s="5">
        <v>2.6933292113182898</v>
      </c>
      <c r="G60" s="3">
        <v>20</v>
      </c>
      <c r="H60" s="3">
        <v>34</v>
      </c>
      <c r="I60" s="1">
        <v>350</v>
      </c>
      <c r="J60" s="3">
        <v>450</v>
      </c>
      <c r="K60" s="4">
        <v>452</v>
      </c>
      <c r="L60" s="5">
        <v>32900</v>
      </c>
      <c r="M60" s="4">
        <v>76.575869689672899</v>
      </c>
      <c r="N60" s="10">
        <v>1.37386018237082E-2</v>
      </c>
      <c r="O60" s="5">
        <v>90</v>
      </c>
      <c r="P60" s="4">
        <v>500</v>
      </c>
      <c r="Q60" s="5">
        <v>0.78</v>
      </c>
      <c r="R60" s="11">
        <f t="shared" si="0"/>
        <v>2.5000000000000001E-3</v>
      </c>
      <c r="V60" s="5">
        <f t="shared" si="1"/>
        <v>0.40509915044458439</v>
      </c>
      <c r="W60" s="5">
        <f t="shared" si="2"/>
        <v>0.51935788518536463</v>
      </c>
      <c r="Y60" s="5">
        <f t="shared" si="3"/>
        <v>0.40587763405617466</v>
      </c>
      <c r="Z60" s="5">
        <f t="shared" si="4"/>
        <v>0.52035594109765981</v>
      </c>
      <c r="AB60" s="5">
        <f>$AC$2*($AC$3+$AC$4*$F60/($N60*'Sem TS MC2020'!P52))*($AC$5*$G60+$AC$6*$B60/$N60)*'Sem TS MC2020'!R52*($J60-$M60)/($J60-$M60-$H60)</f>
        <v>0.41387593179882992</v>
      </c>
      <c r="AC60" s="5">
        <f t="shared" si="5"/>
        <v>0.53061016897285884</v>
      </c>
      <c r="AD60" s="20">
        <f t="shared" si="6"/>
        <v>-0.36612406820117011</v>
      </c>
      <c r="AE60" s="21">
        <f t="shared" si="7"/>
        <v>1.8846227578634114</v>
      </c>
      <c r="AF60" s="21">
        <f>AB60*(14.068*'Sem TS MC2020'!$P52^-0.457)/$Q60</f>
        <v>0.43609251892088041</v>
      </c>
      <c r="AG60" s="21"/>
      <c r="AO60" s="5">
        <f>$AP$2*($AP$3+$AP$4*$F60/($N60*'Sem TS MC2020'!P52))*($AP$5*$G60+$AP$6*$B60/$N60)*('Sem TS MC2020'!P52^$AP$7/200000)*($J60-$M60)/($J60-$M60-$H60)+('Sem TS MC2020'!P52-$C60/$AP$8)*($AP$5*$G60+$AP$6*$B60/$N60)/200000</f>
        <v>0.41792714618673799</v>
      </c>
      <c r="AP60" s="5">
        <f t="shared" si="8"/>
        <v>0.53580403357274098</v>
      </c>
      <c r="AQ60" s="20">
        <f t="shared" si="9"/>
        <v>-0.36207285381326204</v>
      </c>
    </row>
    <row r="61" spans="1:43" x14ac:dyDescent="0.25">
      <c r="A61" s="1" t="s">
        <v>31</v>
      </c>
      <c r="B61" s="3">
        <v>12</v>
      </c>
      <c r="C61" s="4">
        <v>500</v>
      </c>
      <c r="D61" s="4">
        <v>4</v>
      </c>
      <c r="E61" s="3">
        <v>46</v>
      </c>
      <c r="F61" s="5">
        <v>2.6933292113182898</v>
      </c>
      <c r="G61" s="3">
        <v>70</v>
      </c>
      <c r="H61" s="3">
        <v>88</v>
      </c>
      <c r="I61" s="1">
        <v>350</v>
      </c>
      <c r="J61" s="3">
        <v>450</v>
      </c>
      <c r="K61" s="4">
        <v>452</v>
      </c>
      <c r="L61" s="5">
        <v>42000</v>
      </c>
      <c r="M61" s="4">
        <v>70.913891854445893</v>
      </c>
      <c r="N61" s="10">
        <v>1.0761904761904801E-2</v>
      </c>
      <c r="O61" s="5">
        <v>37.5</v>
      </c>
      <c r="P61" s="4">
        <v>115.38349719943299</v>
      </c>
      <c r="Q61" s="5">
        <v>0.31</v>
      </c>
      <c r="R61" s="11">
        <f t="shared" si="0"/>
        <v>5.7691748599716496E-4</v>
      </c>
      <c r="V61" s="5">
        <f t="shared" si="1"/>
        <v>0.18107656453246895</v>
      </c>
      <c r="W61" s="5">
        <f t="shared" si="2"/>
        <v>0.58411795010473855</v>
      </c>
      <c r="Y61" s="5">
        <f t="shared" si="3"/>
        <v>0.18161915972917192</v>
      </c>
      <c r="Z61" s="5">
        <f t="shared" si="4"/>
        <v>0.58586825719087721</v>
      </c>
      <c r="AB61" s="5">
        <f>$AC$2*($AC$3+$AC$4*$F61/($N61*'Sem TS MC2020'!P53))*($AC$5*$G61+$AC$6*$B61/$N61)*'Sem TS MC2020'!R53*($J61-$M61)/($J61-$M61-$H61)</f>
        <v>0.21560411261512616</v>
      </c>
      <c r="AC61" s="5">
        <f t="shared" si="5"/>
        <v>0.6954971374681489</v>
      </c>
      <c r="AD61" s="20">
        <f t="shared" si="6"/>
        <v>-9.4395887384873839E-2</v>
      </c>
      <c r="AE61" s="21">
        <f t="shared" si="7"/>
        <v>1.4378204396934648</v>
      </c>
      <c r="AF61" s="21">
        <f>AB61*(14.068*'Sem TS MC2020'!$P53^-0.457)/$Q61</f>
        <v>0.79162789013068524</v>
      </c>
      <c r="AG61" s="21"/>
      <c r="AO61" s="5">
        <f>$AP$2*($AP$3+$AP$4*$F61/($N61*'Sem TS MC2020'!P53))*($AP$5*$G61+$AP$6*$B61/$N61)*('Sem TS MC2020'!P53^$AP$7/200000)*($J61-$M61)/($J61-$M61-$H61)+('Sem TS MC2020'!P53-$C61/$AP$8)*($AP$5*$G61+$AP$6*$B61/$N61)/200000</f>
        <v>0.22249063072916883</v>
      </c>
      <c r="AP61" s="5">
        <f t="shared" si="8"/>
        <v>0.71771171202957684</v>
      </c>
      <c r="AQ61" s="20">
        <f t="shared" si="9"/>
        <v>-8.7509369270831167E-2</v>
      </c>
    </row>
    <row r="62" spans="1:43" x14ac:dyDescent="0.25">
      <c r="B62" s="3">
        <v>12</v>
      </c>
      <c r="C62" s="4">
        <v>500</v>
      </c>
      <c r="D62" s="4">
        <v>4</v>
      </c>
      <c r="E62" s="3">
        <v>46</v>
      </c>
      <c r="F62" s="5">
        <v>2.6933292113182898</v>
      </c>
      <c r="G62" s="3">
        <v>70</v>
      </c>
      <c r="H62" s="3">
        <v>88</v>
      </c>
      <c r="I62" s="1">
        <v>350</v>
      </c>
      <c r="J62" s="3">
        <v>450</v>
      </c>
      <c r="K62" s="4">
        <v>452</v>
      </c>
      <c r="L62" s="5">
        <v>42000</v>
      </c>
      <c r="M62" s="4">
        <v>70.913891854445893</v>
      </c>
      <c r="N62" s="10">
        <v>1.0761904761904801E-2</v>
      </c>
      <c r="O62" s="5">
        <v>45</v>
      </c>
      <c r="P62" s="4">
        <v>192.11618378673899</v>
      </c>
      <c r="Q62" s="5">
        <v>0.44</v>
      </c>
      <c r="R62" s="11">
        <f t="shared" si="0"/>
        <v>9.6058091893369492E-4</v>
      </c>
      <c r="V62" s="5">
        <f t="shared" si="1"/>
        <v>0.2480153395826436</v>
      </c>
      <c r="W62" s="5">
        <f t="shared" si="2"/>
        <v>0.56367122632418998</v>
      </c>
      <c r="Y62" s="5">
        <f t="shared" si="3"/>
        <v>0.25015753053376016</v>
      </c>
      <c r="Z62" s="5">
        <f t="shared" si="4"/>
        <v>0.56853984212218223</v>
      </c>
      <c r="AB62" s="5">
        <f>$AC$2*($AC$3+$AC$4*$F62/($N62*'Sem TS MC2020'!P54))*($AC$5*$G62+$AC$6*$B62/$N62)*'Sem TS MC2020'!R54*($J62-$M62)/($J62-$M62-$H62)</f>
        <v>0.31256837060008075</v>
      </c>
      <c r="AC62" s="5">
        <f t="shared" si="5"/>
        <v>0.71038266045472898</v>
      </c>
      <c r="AD62" s="20">
        <f t="shared" si="6"/>
        <v>-0.12743162939991926</v>
      </c>
      <c r="AE62" s="21">
        <f t="shared" si="7"/>
        <v>1.4076920168066624</v>
      </c>
      <c r="AF62" s="21">
        <f>AB62*(14.068*'Sem TS MC2020'!$P54^-0.457)/$Q62</f>
        <v>0.74393032550266192</v>
      </c>
      <c r="AG62" s="21"/>
      <c r="AO62" s="5">
        <f>$AP$2*($AP$3+$AP$4*$F62/($N62*'Sem TS MC2020'!P54))*($AP$5*$G62+$AP$6*$B62/$N62)*('Sem TS MC2020'!P54^$AP$7/200000)*($J62-$M62)/($J62-$M62-$H62)+('Sem TS MC2020'!P54-$C62/$AP$8)*($AP$5*$G62+$AP$6*$B62/$N62)/200000</f>
        <v>0.32065897936384791</v>
      </c>
      <c r="AP62" s="5">
        <f t="shared" si="8"/>
        <v>0.72877040764510892</v>
      </c>
      <c r="AQ62" s="20">
        <f t="shared" si="9"/>
        <v>-0.1193410206361521</v>
      </c>
    </row>
    <row r="63" spans="1:43" x14ac:dyDescent="0.25">
      <c r="A63" s="1" t="s">
        <v>32</v>
      </c>
      <c r="B63" s="3">
        <v>12</v>
      </c>
      <c r="C63" s="4">
        <v>500</v>
      </c>
      <c r="D63" s="4">
        <v>4</v>
      </c>
      <c r="E63" s="3">
        <v>46</v>
      </c>
      <c r="F63" s="5">
        <v>2.6933292113182898</v>
      </c>
      <c r="G63" s="3">
        <v>70</v>
      </c>
      <c r="H63" s="3">
        <v>84</v>
      </c>
      <c r="I63" s="1">
        <v>350</v>
      </c>
      <c r="J63" s="3">
        <v>450</v>
      </c>
      <c r="K63" s="4">
        <v>452</v>
      </c>
      <c r="L63" s="5">
        <v>42000</v>
      </c>
      <c r="M63" s="4">
        <v>71.347043658761095</v>
      </c>
      <c r="N63" s="10">
        <v>1.0761904761904801E-2</v>
      </c>
      <c r="O63" s="5">
        <v>30</v>
      </c>
      <c r="P63" s="4">
        <v>35.1927566244768</v>
      </c>
      <c r="Q63" s="5">
        <v>0.14000000000000001</v>
      </c>
      <c r="R63" s="11">
        <f t="shared" si="0"/>
        <v>1.7596378312238401E-4</v>
      </c>
      <c r="V63" s="5">
        <f t="shared" si="1"/>
        <v>8.7032460598936809E-2</v>
      </c>
      <c r="W63" s="5">
        <f t="shared" si="2"/>
        <v>0.62166043284954853</v>
      </c>
      <c r="Y63" s="5">
        <f t="shared" si="3"/>
        <v>8.6160474775248436E-2</v>
      </c>
      <c r="Z63" s="5">
        <f t="shared" si="4"/>
        <v>0.61543196268034595</v>
      </c>
      <c r="AB63" s="5">
        <f>$AC$2*($AC$3+$AC$4*$F63/($N63*'Sem TS MC2020'!P55))*($AC$5*$G63+$AC$6*$B63/$N63)*'Sem TS MC2020'!R55*($J63-$M63)/($J63-$M63-$H63)</f>
        <v>0.11275778530277147</v>
      </c>
      <c r="AC63" s="5">
        <f t="shared" si="5"/>
        <v>0.80541275216265329</v>
      </c>
      <c r="AD63" s="20">
        <f t="shared" si="6"/>
        <v>-2.7242214697228539E-2</v>
      </c>
      <c r="AE63" s="21">
        <f t="shared" si="7"/>
        <v>1.2415994126177552</v>
      </c>
      <c r="AF63" s="21">
        <f>AB63*(14.068*'Sem TS MC2020'!$P55^-0.457)/$Q63</f>
        <v>1.0204245830554874</v>
      </c>
      <c r="AG63" s="21"/>
      <c r="AO63" s="5">
        <f>$AP$2*($AP$3+$AP$4*$F63/($N63*'Sem TS MC2020'!P55))*($AP$5*$G63+$AP$6*$B63/$N63)*('Sem TS MC2020'!P55^$AP$7/200000)*($J63-$M63)/($J63-$M63-$H63)+('Sem TS MC2020'!P55-$C63/$AP$8)*($AP$5*$G63+$AP$6*$B63/$N63)/200000</f>
        <v>0.11229392507295538</v>
      </c>
      <c r="AP63" s="5">
        <f t="shared" si="8"/>
        <v>0.80209946480682404</v>
      </c>
      <c r="AQ63" s="20">
        <f t="shared" si="9"/>
        <v>-2.7706074927044633E-2</v>
      </c>
    </row>
    <row r="64" spans="1:43" x14ac:dyDescent="0.25">
      <c r="B64" s="3">
        <v>12</v>
      </c>
      <c r="C64" s="4">
        <v>500</v>
      </c>
      <c r="D64" s="4">
        <v>4</v>
      </c>
      <c r="E64" s="3">
        <v>46</v>
      </c>
      <c r="F64" s="5">
        <v>2.6933292113182898</v>
      </c>
      <c r="G64" s="3">
        <v>70</v>
      </c>
      <c r="H64" s="3">
        <v>84</v>
      </c>
      <c r="I64" s="1">
        <v>350</v>
      </c>
      <c r="J64" s="3">
        <v>450</v>
      </c>
      <c r="K64" s="4">
        <v>452</v>
      </c>
      <c r="L64" s="5">
        <v>42000</v>
      </c>
      <c r="M64" s="4">
        <v>71.347043658761095</v>
      </c>
      <c r="N64" s="10">
        <v>1.0761904761904801E-2</v>
      </c>
      <c r="O64" s="5">
        <v>37.5</v>
      </c>
      <c r="P64" s="4">
        <v>111.060929714869</v>
      </c>
      <c r="Q64" s="5">
        <v>0.31</v>
      </c>
      <c r="R64" s="11">
        <f t="shared" si="0"/>
        <v>5.5530464857434501E-4</v>
      </c>
      <c r="V64" s="5">
        <f t="shared" si="1"/>
        <v>0.17686052489948276</v>
      </c>
      <c r="W64" s="5">
        <f t="shared" si="2"/>
        <v>0.57051782225639602</v>
      </c>
      <c r="Y64" s="5">
        <f t="shared" si="3"/>
        <v>0.17731599731022152</v>
      </c>
      <c r="Z64" s="5">
        <f t="shared" si="4"/>
        <v>0.57198708809748877</v>
      </c>
      <c r="AB64" s="5">
        <f>$AC$2*($AC$3+$AC$4*$F64/($N64*'Sem TS MC2020'!P56))*($AC$5*$G64+$AC$6*$B64/$N64)*'Sem TS MC2020'!R56*($J64-$M64)/($J64-$M64-$H64)</f>
        <v>0.20736081815751967</v>
      </c>
      <c r="AC64" s="5">
        <f t="shared" si="5"/>
        <v>0.66890586502425697</v>
      </c>
      <c r="AD64" s="20">
        <f t="shared" si="6"/>
        <v>-0.10263918184248033</v>
      </c>
      <c r="AE64" s="21">
        <f t="shared" si="7"/>
        <v>1.4949786693285105</v>
      </c>
      <c r="AF64" s="21">
        <f>AB64*(14.068*'Sem TS MC2020'!$P56^-0.457)/$Q64</f>
        <v>0.76531379039150271</v>
      </c>
      <c r="AG64" s="21"/>
      <c r="AO64" s="5">
        <f>$AP$2*($AP$3+$AP$4*$F64/($N64*'Sem TS MC2020'!P56))*($AP$5*$G64+$AP$6*$B64/$N64)*('Sem TS MC2020'!P56^$AP$7/200000)*($J64-$M64)/($J64-$M64-$H64)+('Sem TS MC2020'!P56-$C64/$AP$8)*($AP$5*$G64+$AP$6*$B64/$N64)/200000</f>
        <v>0.21393013684432302</v>
      </c>
      <c r="AP64" s="5">
        <f t="shared" si="8"/>
        <v>0.69009721562684845</v>
      </c>
      <c r="AQ64" s="20">
        <f t="shared" si="9"/>
        <v>-9.6069863155676977E-2</v>
      </c>
    </row>
    <row r="65" spans="1:43" x14ac:dyDescent="0.25">
      <c r="B65" s="3">
        <v>12</v>
      </c>
      <c r="C65" s="4">
        <v>500</v>
      </c>
      <c r="D65" s="4">
        <v>4</v>
      </c>
      <c r="E65" s="3">
        <v>46</v>
      </c>
      <c r="F65" s="5">
        <v>2.6933292113182898</v>
      </c>
      <c r="G65" s="3">
        <v>70</v>
      </c>
      <c r="H65" s="3">
        <v>84</v>
      </c>
      <c r="I65" s="1">
        <v>350</v>
      </c>
      <c r="J65" s="3">
        <v>450</v>
      </c>
      <c r="K65" s="4">
        <v>452</v>
      </c>
      <c r="L65" s="5">
        <v>42000</v>
      </c>
      <c r="M65" s="4">
        <v>71.347043658761095</v>
      </c>
      <c r="N65" s="10">
        <v>1.0761904761904801E-2</v>
      </c>
      <c r="O65" s="5">
        <v>45</v>
      </c>
      <c r="P65" s="4">
        <v>186.929102805262</v>
      </c>
      <c r="Q65" s="5">
        <v>0.4</v>
      </c>
      <c r="R65" s="11">
        <f t="shared" si="0"/>
        <v>9.3464551402631002E-4</v>
      </c>
      <c r="V65" s="5">
        <f t="shared" si="1"/>
        <v>0.24386206394937884</v>
      </c>
      <c r="W65" s="5">
        <f t="shared" si="2"/>
        <v>0.60965515987344709</v>
      </c>
      <c r="Y65" s="5">
        <f t="shared" si="3"/>
        <v>0.24589433669669747</v>
      </c>
      <c r="Z65" s="5">
        <f t="shared" si="4"/>
        <v>0.61473584174174367</v>
      </c>
      <c r="AB65" s="5">
        <f>$AC$2*($AC$3+$AC$4*$F65/($N65*'Sem TS MC2020'!P57))*($AC$5*$G65+$AC$6*$B65/$N65)*'Sem TS MC2020'!R57*($J65-$M65)/($J65-$M65-$H65)</f>
        <v>0.30196385101226775</v>
      </c>
      <c r="AC65" s="5">
        <f t="shared" si="5"/>
        <v>0.75490962753066937</v>
      </c>
      <c r="AD65" s="20">
        <f t="shared" si="6"/>
        <v>-9.8036148987732274E-2</v>
      </c>
      <c r="AE65" s="21">
        <f t="shared" si="7"/>
        <v>1.3246618714759648</v>
      </c>
      <c r="AF65" s="21">
        <f>AB65*(14.068*'Sem TS MC2020'!$P57^-0.457)/$Q65</f>
        <v>0.79466423933826869</v>
      </c>
      <c r="AG65" s="21"/>
      <c r="AO65" s="5">
        <f>$AP$2*($AP$3+$AP$4*$F65/($N65*'Sem TS MC2020'!P57))*($AP$5*$G65+$AP$6*$B65/$N65)*('Sem TS MC2020'!P57^$AP$7/200000)*($J65-$M65)/($J65-$M65-$H65)+('Sem TS MC2020'!P57-$C65/$AP$8)*($AP$5*$G65+$AP$6*$B65/$N65)/200000</f>
        <v>0.31007371873965422</v>
      </c>
      <c r="AP65" s="5">
        <f t="shared" si="8"/>
        <v>0.77518429684913548</v>
      </c>
      <c r="AQ65" s="20">
        <f t="shared" si="9"/>
        <v>-8.9926281260345797E-2</v>
      </c>
    </row>
    <row r="66" spans="1:43" x14ac:dyDescent="0.25">
      <c r="A66" s="1" t="s">
        <v>33</v>
      </c>
      <c r="B66" s="3">
        <v>12</v>
      </c>
      <c r="C66" s="4">
        <v>500</v>
      </c>
      <c r="D66" s="4">
        <v>4</v>
      </c>
      <c r="E66" s="3">
        <v>46</v>
      </c>
      <c r="F66" s="5">
        <v>2.6933292113182898</v>
      </c>
      <c r="G66" s="3">
        <v>70</v>
      </c>
      <c r="H66" s="3">
        <v>84</v>
      </c>
      <c r="I66" s="1">
        <v>350</v>
      </c>
      <c r="J66" s="3">
        <v>450</v>
      </c>
      <c r="K66" s="4">
        <v>452</v>
      </c>
      <c r="L66" s="5">
        <v>42000</v>
      </c>
      <c r="M66" s="4">
        <v>71.347043658761095</v>
      </c>
      <c r="N66" s="10">
        <v>1.0761904761904801E-2</v>
      </c>
      <c r="O66" s="5">
        <v>30</v>
      </c>
      <c r="P66" s="4">
        <v>35.1927566244768</v>
      </c>
      <c r="Q66" s="5">
        <v>0.25</v>
      </c>
      <c r="R66" s="11">
        <f t="shared" si="0"/>
        <v>1.7596378312238401E-4</v>
      </c>
      <c r="V66" s="5">
        <f t="shared" si="1"/>
        <v>8.7032460598936809E-2</v>
      </c>
      <c r="W66" s="5">
        <f t="shared" si="2"/>
        <v>0.34812984239574724</v>
      </c>
      <c r="Y66" s="5">
        <f t="shared" si="3"/>
        <v>8.6160474775248436E-2</v>
      </c>
      <c r="Z66" s="5">
        <f t="shared" si="4"/>
        <v>0.34464189910099374</v>
      </c>
      <c r="AB66" s="5">
        <f>$AC$2*($AC$3+$AC$4*$F66/($N66*'Sem TS MC2020'!P58))*($AC$5*$G66+$AC$6*$B66/$N66)*'Sem TS MC2020'!R58*($J66-$M66)/($J66-$M66-$H66)</f>
        <v>0.11275778530277147</v>
      </c>
      <c r="AC66" s="5">
        <f t="shared" si="5"/>
        <v>0.4510311412110859</v>
      </c>
      <c r="AD66" s="20">
        <f t="shared" si="6"/>
        <v>-0.13724221469722853</v>
      </c>
      <c r="AE66" s="21">
        <f t="shared" si="7"/>
        <v>2.2171418082459913</v>
      </c>
      <c r="AF66" s="21">
        <f>AB66*(14.068*'Sem TS MC2020'!$P58^-0.457)/$Q66</f>
        <v>0.57143776651107303</v>
      </c>
      <c r="AG66" s="21"/>
      <c r="AO66" s="5">
        <f>$AP$2*($AP$3+$AP$4*$F66/($N66*'Sem TS MC2020'!P58))*($AP$5*$G66+$AP$6*$B66/$N66)*('Sem TS MC2020'!P58^$AP$7/200000)*($J66-$M66)/($J66-$M66-$H66)+('Sem TS MC2020'!P58-$C66/$AP$8)*($AP$5*$G66+$AP$6*$B66/$N66)/200000</f>
        <v>0.11229392507295538</v>
      </c>
      <c r="AP66" s="5">
        <f t="shared" si="8"/>
        <v>0.44917570029182152</v>
      </c>
      <c r="AQ66" s="20">
        <f t="shared" si="9"/>
        <v>-0.13770607492704462</v>
      </c>
    </row>
    <row r="67" spans="1:43" x14ac:dyDescent="0.25">
      <c r="B67" s="3">
        <v>12</v>
      </c>
      <c r="C67" s="4">
        <v>500</v>
      </c>
      <c r="D67" s="4">
        <v>4</v>
      </c>
      <c r="E67" s="3">
        <v>46</v>
      </c>
      <c r="F67" s="5">
        <v>2.6933292113182898</v>
      </c>
      <c r="G67" s="3">
        <v>70</v>
      </c>
      <c r="H67" s="3">
        <v>84</v>
      </c>
      <c r="I67" s="1">
        <v>350</v>
      </c>
      <c r="J67" s="3">
        <v>450</v>
      </c>
      <c r="K67" s="4">
        <v>452</v>
      </c>
      <c r="L67" s="5">
        <v>42000</v>
      </c>
      <c r="M67" s="4">
        <v>71.347043658761095</v>
      </c>
      <c r="N67" s="10">
        <v>1.0761904761904801E-2</v>
      </c>
      <c r="O67" s="5">
        <v>37.5</v>
      </c>
      <c r="P67" s="4">
        <v>111.060929714869</v>
      </c>
      <c r="Q67" s="5">
        <v>0.44</v>
      </c>
      <c r="R67" s="11">
        <f t="shared" si="0"/>
        <v>5.5530464857434501E-4</v>
      </c>
      <c r="V67" s="5">
        <f t="shared" si="1"/>
        <v>0.17686052489948276</v>
      </c>
      <c r="W67" s="5">
        <f t="shared" si="2"/>
        <v>0.40195573840791538</v>
      </c>
      <c r="Y67" s="5">
        <f t="shared" si="3"/>
        <v>0.17731599731022152</v>
      </c>
      <c r="Z67" s="5">
        <f t="shared" si="4"/>
        <v>0.40299090297777618</v>
      </c>
      <c r="AB67" s="5">
        <f>$AC$2*($AC$3+$AC$4*$F67/($N67*'Sem TS MC2020'!P59))*($AC$5*$G67+$AC$6*$B67/$N67)*'Sem TS MC2020'!R59*($J67-$M67)/($J67-$M67-$H67)</f>
        <v>0.20736081815751967</v>
      </c>
      <c r="AC67" s="5">
        <f t="shared" si="5"/>
        <v>0.47127458672163558</v>
      </c>
      <c r="AD67" s="20">
        <f t="shared" si="6"/>
        <v>-0.23263918184248034</v>
      </c>
      <c r="AE67" s="21">
        <f t="shared" si="7"/>
        <v>2.1219052080791765</v>
      </c>
      <c r="AF67" s="21">
        <f>AB67*(14.068*'Sem TS MC2020'!$P59^-0.457)/$Q67</f>
        <v>0.53919835232128599</v>
      </c>
      <c r="AG67" s="21"/>
      <c r="AO67" s="5">
        <f>$AP$2*($AP$3+$AP$4*$F67/($N67*'Sem TS MC2020'!P59))*($AP$5*$G67+$AP$6*$B67/$N67)*('Sem TS MC2020'!P59^$AP$7/200000)*($J67-$M67)/($J67-$M67-$H67)+('Sem TS MC2020'!P59-$C67/$AP$8)*($AP$5*$G67+$AP$6*$B67/$N67)/200000</f>
        <v>0.21393013684432302</v>
      </c>
      <c r="AP67" s="5">
        <f t="shared" si="8"/>
        <v>0.48620485646437051</v>
      </c>
      <c r="AQ67" s="20">
        <f t="shared" si="9"/>
        <v>-0.22606986315567698</v>
      </c>
    </row>
    <row r="68" spans="1:43" x14ac:dyDescent="0.25">
      <c r="B68" s="3">
        <v>12</v>
      </c>
      <c r="C68" s="4">
        <v>500</v>
      </c>
      <c r="D68" s="4">
        <v>4</v>
      </c>
      <c r="E68" s="3">
        <v>46</v>
      </c>
      <c r="F68" s="5">
        <v>2.6933292113182898</v>
      </c>
      <c r="G68" s="3">
        <v>70</v>
      </c>
      <c r="H68" s="3">
        <v>84</v>
      </c>
      <c r="I68" s="1">
        <v>350</v>
      </c>
      <c r="J68" s="3">
        <v>450</v>
      </c>
      <c r="K68" s="4">
        <v>452</v>
      </c>
      <c r="L68" s="5">
        <v>42000</v>
      </c>
      <c r="M68" s="4">
        <v>71.347043658761095</v>
      </c>
      <c r="N68" s="10">
        <v>1.0761904761904801E-2</v>
      </c>
      <c r="O68" s="5">
        <v>45</v>
      </c>
      <c r="P68" s="4">
        <v>186.929102805262</v>
      </c>
      <c r="Q68" s="5">
        <v>0.56000000000000005</v>
      </c>
      <c r="R68" s="11">
        <f t="shared" si="0"/>
        <v>9.3464551402631002E-4</v>
      </c>
      <c r="V68" s="5">
        <f t="shared" si="1"/>
        <v>0.24386206394937884</v>
      </c>
      <c r="W68" s="5">
        <f t="shared" si="2"/>
        <v>0.43546797133817644</v>
      </c>
      <c r="Y68" s="5">
        <f t="shared" si="3"/>
        <v>0.24589433669669747</v>
      </c>
      <c r="Z68" s="5">
        <f t="shared" si="4"/>
        <v>0.43909702981553117</v>
      </c>
      <c r="AB68" s="5">
        <f>$AC$2*($AC$3+$AC$4*$F68/($N68*'Sem TS MC2020'!P60))*($AC$5*$G68+$AC$6*$B68/$N68)*'Sem TS MC2020'!R60*($J68-$M68)/($J68-$M68-$H68)</f>
        <v>0.30196385101226775</v>
      </c>
      <c r="AC68" s="5">
        <f t="shared" si="5"/>
        <v>0.53922116252190666</v>
      </c>
      <c r="AD68" s="20">
        <f t="shared" si="6"/>
        <v>-0.25803614898773231</v>
      </c>
      <c r="AE68" s="21">
        <f t="shared" si="7"/>
        <v>1.8545266200663508</v>
      </c>
      <c r="AF68" s="21">
        <f>AB68*(14.068*'Sem TS MC2020'!$P60^-0.457)/$Q68</f>
        <v>0.56761731381304903</v>
      </c>
      <c r="AG68" s="21"/>
      <c r="AO68" s="5">
        <f>$AP$2*($AP$3+$AP$4*$F68/($N68*'Sem TS MC2020'!P60))*($AP$5*$G68+$AP$6*$B68/$N68)*('Sem TS MC2020'!P60^$AP$7/200000)*($J68-$M68)/($J68-$M68-$H68)+('Sem TS MC2020'!P60-$C68/$AP$8)*($AP$5*$G68+$AP$6*$B68/$N68)/200000</f>
        <v>0.31007371873965422</v>
      </c>
      <c r="AP68" s="5">
        <f t="shared" si="8"/>
        <v>0.55370306917795387</v>
      </c>
      <c r="AQ68" s="20">
        <f t="shared" si="9"/>
        <v>-0.24992628126034583</v>
      </c>
    </row>
    <row r="69" spans="1:43" x14ac:dyDescent="0.25">
      <c r="A69" s="1" t="s">
        <v>34</v>
      </c>
      <c r="B69" s="3">
        <v>25</v>
      </c>
      <c r="C69" s="4">
        <v>500</v>
      </c>
      <c r="D69" s="4">
        <v>4</v>
      </c>
      <c r="E69" s="3">
        <v>62</v>
      </c>
      <c r="F69" s="5">
        <v>2.6933292113182898</v>
      </c>
      <c r="G69" s="3">
        <v>20</v>
      </c>
      <c r="H69" s="3">
        <v>40.5</v>
      </c>
      <c r="I69" s="1">
        <v>350</v>
      </c>
      <c r="J69" s="3">
        <v>450</v>
      </c>
      <c r="K69" s="4">
        <v>1964</v>
      </c>
      <c r="L69" s="5">
        <v>49612.5</v>
      </c>
      <c r="M69" s="4">
        <v>141.76646013770099</v>
      </c>
      <c r="N69" s="10">
        <v>3.9586797682035803E-2</v>
      </c>
      <c r="O69" s="5">
        <v>150</v>
      </c>
      <c r="P69" s="4">
        <v>162.97717278922801</v>
      </c>
      <c r="Q69" s="5">
        <v>0.23</v>
      </c>
      <c r="R69" s="11">
        <f t="shared" si="0"/>
        <v>8.1488586394614E-4</v>
      </c>
      <c r="V69" s="5">
        <f t="shared" si="1"/>
        <v>0.21367411032441655</v>
      </c>
      <c r="W69" s="5">
        <f t="shared" si="2"/>
        <v>0.92901787097572408</v>
      </c>
      <c r="Y69" s="5">
        <f t="shared" si="3"/>
        <v>0.21423707325165561</v>
      </c>
      <c r="Z69" s="5">
        <f t="shared" si="4"/>
        <v>0.93146553587676351</v>
      </c>
      <c r="AB69" s="5">
        <f>$AC$2*($AC$3+$AC$4*$F69/($N69*'Sem TS MC2020'!P61))*($AC$5*$G69+$AC$6*$B69/$N69)*'Sem TS MC2020'!R61*($J69-$M69)/($J69-$M69-$H69)</f>
        <v>0.14579257158923922</v>
      </c>
      <c r="AC69" s="5">
        <f t="shared" si="5"/>
        <v>0.63388074604017053</v>
      </c>
      <c r="AD69" s="20">
        <f t="shared" si="6"/>
        <v>-8.4207428410760787E-2</v>
      </c>
      <c r="AE69" s="21">
        <f t="shared" si="7"/>
        <v>1.5775838061764187</v>
      </c>
      <c r="AF69" s="21">
        <f>AB69*(14.068*'Sem TS MC2020'!$P61^-0.457)/$Q69</f>
        <v>0.77302885030803747</v>
      </c>
      <c r="AG69" s="21"/>
      <c r="AO69" s="5">
        <f>$AP$2*($AP$3+$AP$4*$F69/($N69*'Sem TS MC2020'!P61))*($AP$5*$G69+$AP$6*$B69/$N69)*('Sem TS MC2020'!P61^$AP$7/200000)*($J69-$M69)/($J69-$M69-$H69)+('Sem TS MC2020'!P61-$C69/$AP$8)*($AP$5*$G69+$AP$6*$B69/$N69)/200000</f>
        <v>0.16017905203150953</v>
      </c>
      <c r="AP69" s="5">
        <f t="shared" si="8"/>
        <v>0.69643066100656315</v>
      </c>
      <c r="AQ69" s="20">
        <f t="shared" si="9"/>
        <v>-6.9820947968490477E-2</v>
      </c>
    </row>
    <row r="70" spans="1:43" x14ac:dyDescent="0.25">
      <c r="B70" s="3">
        <v>25</v>
      </c>
      <c r="C70" s="4">
        <v>500</v>
      </c>
      <c r="D70" s="4">
        <v>4</v>
      </c>
      <c r="E70" s="3">
        <v>62</v>
      </c>
      <c r="F70" s="5">
        <v>2.6933292113182898</v>
      </c>
      <c r="G70" s="3">
        <v>20</v>
      </c>
      <c r="H70" s="3">
        <v>40.5</v>
      </c>
      <c r="I70" s="1">
        <v>350</v>
      </c>
      <c r="J70" s="3">
        <v>450</v>
      </c>
      <c r="K70" s="4">
        <v>1964</v>
      </c>
      <c r="L70" s="5">
        <v>49612.5</v>
      </c>
      <c r="M70" s="4">
        <v>141.76646013770099</v>
      </c>
      <c r="N70" s="10">
        <v>3.9586797682035803E-2</v>
      </c>
      <c r="O70" s="5">
        <v>225</v>
      </c>
      <c r="P70" s="4">
        <v>287.49119849252003</v>
      </c>
      <c r="Q70" s="5">
        <v>0.35</v>
      </c>
      <c r="R70" s="11">
        <f t="shared" si="0"/>
        <v>1.4374559924626002E-3</v>
      </c>
      <c r="V70" s="5">
        <f t="shared" si="1"/>
        <v>0.30327808608916662</v>
      </c>
      <c r="W70" s="5">
        <f t="shared" si="2"/>
        <v>0.86650881739761898</v>
      </c>
      <c r="Y70" s="5">
        <f t="shared" si="3"/>
        <v>0.30598154173052516</v>
      </c>
      <c r="Z70" s="5">
        <f t="shared" si="4"/>
        <v>0.87423297637292907</v>
      </c>
      <c r="AB70" s="5">
        <f>$AC$2*($AC$3+$AC$4*$F70/($N70*'Sem TS MC2020'!P62))*($AC$5*$G70+$AC$6*$B70/$N70)*'Sem TS MC2020'!R62*($J70-$M70)/($J70-$M70-$H70)</f>
        <v>0.2342116165777238</v>
      </c>
      <c r="AC70" s="5">
        <f t="shared" si="5"/>
        <v>0.6691760473649252</v>
      </c>
      <c r="AD70" s="20">
        <f t="shared" si="6"/>
        <v>-0.11578838342227618</v>
      </c>
      <c r="AE70" s="21">
        <f t="shared" si="7"/>
        <v>1.4943750660798307</v>
      </c>
      <c r="AF70" s="21">
        <f>AB70*(14.068*'Sem TS MC2020'!$P62^-0.457)/$Q70</f>
        <v>0.67803923332147686</v>
      </c>
      <c r="AG70" s="21"/>
      <c r="AO70" s="5">
        <f>$AP$2*($AP$3+$AP$4*$F70/($N70*'Sem TS MC2020'!P62))*($AP$5*$G70+$AP$6*$B70/$N70)*('Sem TS MC2020'!P62^$AP$7/200000)*($J70-$M70)/($J70-$M70-$H70)+('Sem TS MC2020'!P62-$C70/$AP$8)*($AP$5*$G70+$AP$6*$B70/$N70)/200000</f>
        <v>0.24701002390651852</v>
      </c>
      <c r="AP70" s="5">
        <f t="shared" si="8"/>
        <v>0.70574292544719586</v>
      </c>
      <c r="AQ70" s="20">
        <f t="shared" si="9"/>
        <v>-0.10298997609348146</v>
      </c>
    </row>
    <row r="71" spans="1:43" x14ac:dyDescent="0.25">
      <c r="B71" s="3">
        <v>25</v>
      </c>
      <c r="C71" s="4">
        <v>500</v>
      </c>
      <c r="D71" s="4">
        <v>4</v>
      </c>
      <c r="E71" s="3">
        <v>62</v>
      </c>
      <c r="F71" s="5">
        <v>2.6933292113182898</v>
      </c>
      <c r="G71" s="3">
        <v>20</v>
      </c>
      <c r="H71" s="3">
        <v>40.5</v>
      </c>
      <c r="I71" s="1">
        <v>350</v>
      </c>
      <c r="J71" s="3">
        <v>450</v>
      </c>
      <c r="K71" s="4">
        <v>1964</v>
      </c>
      <c r="L71" s="5">
        <v>49612.5</v>
      </c>
      <c r="M71" s="4">
        <v>141.76646013770099</v>
      </c>
      <c r="N71" s="10">
        <v>3.9586797682035803E-2</v>
      </c>
      <c r="O71" s="5">
        <v>300</v>
      </c>
      <c r="P71" s="4">
        <v>412.00522419581102</v>
      </c>
      <c r="Q71" s="5">
        <v>0.49</v>
      </c>
      <c r="R71" s="11">
        <f t="shared" si="0"/>
        <v>2.0600261209790553E-3</v>
      </c>
      <c r="V71" s="5">
        <f t="shared" si="1"/>
        <v>0.37867327987464783</v>
      </c>
      <c r="W71" s="5">
        <f t="shared" si="2"/>
        <v>0.77280261198907718</v>
      </c>
      <c r="Y71" s="5">
        <f t="shared" si="3"/>
        <v>0.38356407065181264</v>
      </c>
      <c r="Z71" s="5">
        <f t="shared" si="4"/>
        <v>0.78278381765676053</v>
      </c>
      <c r="AB71" s="5">
        <f>$AC$2*($AC$3+$AC$4*$F71/($N71*'Sem TS MC2020'!P63))*($AC$5*$G71+$AC$6*$B71/$N71)*'Sem TS MC2020'!R63*($J71-$M71)/($J71-$M71-$H71)</f>
        <v>0.32263066156620834</v>
      </c>
      <c r="AC71" s="5">
        <f t="shared" si="5"/>
        <v>0.65842992156369051</v>
      </c>
      <c r="AD71" s="20">
        <f t="shared" si="6"/>
        <v>-0.16736933843379165</v>
      </c>
      <c r="AE71" s="21">
        <f t="shared" si="7"/>
        <v>1.5187645142631463</v>
      </c>
      <c r="AF71" s="21">
        <f>AB71*(14.068*'Sem TS MC2020'!$P63^-0.457)/$Q71</f>
        <v>0.58496110865107698</v>
      </c>
      <c r="AG71" s="21"/>
      <c r="AO71" s="5">
        <f>$AP$2*($AP$3+$AP$4*$F71/($N71*'Sem TS MC2020'!P63))*($AP$5*$G71+$AP$6*$B71/$N71)*('Sem TS MC2020'!P63^$AP$7/200000)*($J71-$M71)/($J71-$M71-$H71)+('Sem TS MC2020'!P63-$C71/$AP$8)*($AP$5*$G71+$AP$6*$B71/$N71)/200000</f>
        <v>0.32837030982354393</v>
      </c>
      <c r="AP71" s="5">
        <f t="shared" si="8"/>
        <v>0.67014348943580393</v>
      </c>
      <c r="AQ71" s="20">
        <f t="shared" si="9"/>
        <v>-0.16162969017645606</v>
      </c>
    </row>
    <row r="72" spans="1:43" x14ac:dyDescent="0.25">
      <c r="B72" s="3">
        <v>25</v>
      </c>
      <c r="C72" s="4">
        <v>500</v>
      </c>
      <c r="D72" s="4">
        <v>4</v>
      </c>
      <c r="E72" s="3">
        <v>62</v>
      </c>
      <c r="F72" s="5">
        <v>2.6933292113182898</v>
      </c>
      <c r="G72" s="3">
        <v>20</v>
      </c>
      <c r="H72" s="3">
        <v>40.5</v>
      </c>
      <c r="I72" s="1">
        <v>350</v>
      </c>
      <c r="J72" s="3">
        <v>450</v>
      </c>
      <c r="K72" s="4">
        <v>1964</v>
      </c>
      <c r="L72" s="5">
        <v>49612.5</v>
      </c>
      <c r="M72" s="4">
        <v>141.76646013770099</v>
      </c>
      <c r="N72" s="10">
        <v>3.9586797682035803E-2</v>
      </c>
      <c r="O72" s="5">
        <v>375</v>
      </c>
      <c r="P72" s="4">
        <v>500</v>
      </c>
      <c r="Q72" s="5">
        <v>0.67</v>
      </c>
      <c r="R72" s="11">
        <f t="shared" si="0"/>
        <v>2.5000000000000001E-3</v>
      </c>
      <c r="V72" s="5">
        <f t="shared" si="1"/>
        <v>0.42671132960634667</v>
      </c>
      <c r="W72" s="5">
        <f t="shared" si="2"/>
        <v>0.63688258150200994</v>
      </c>
      <c r="Y72" s="5">
        <f t="shared" si="3"/>
        <v>0.43314386927416509</v>
      </c>
      <c r="Z72" s="5">
        <f t="shared" si="4"/>
        <v>0.64648338697636576</v>
      </c>
      <c r="AB72" s="5">
        <f>$AC$2*($AC$3+$AC$4*$F72/($N72*'Sem TS MC2020'!P64))*($AC$5*$G72+$AC$6*$B72/$N72)*'Sem TS MC2020'!R64*($J72-$M72)/($J72-$M72-$H72)</f>
        <v>0.3883249651680527</v>
      </c>
      <c r="AC72" s="5">
        <f t="shared" si="5"/>
        <v>0.5795895002508249</v>
      </c>
      <c r="AD72" s="20">
        <f t="shared" si="6"/>
        <v>-0.28167503483194734</v>
      </c>
      <c r="AE72" s="21">
        <f t="shared" si="7"/>
        <v>1.7253590680425319</v>
      </c>
      <c r="AF72" s="21">
        <f>AB72*(14.068*'Sem TS MC2020'!$P64^-0.457)/$Q72</f>
        <v>0.4763471563195863</v>
      </c>
      <c r="AG72" s="21"/>
      <c r="AO72" s="5">
        <f>$AP$2*($AP$3+$AP$4*$F72/($N72*'Sem TS MC2020'!P64))*($AP$5*$G72+$AP$6*$B72/$N72)*('Sem TS MC2020'!P64^$AP$7/200000)*($J72-$M72)/($J72-$M72-$H72)+('Sem TS MC2020'!P64-$C72/$AP$8)*($AP$5*$G72+$AP$6*$B72/$N72)/200000</f>
        <v>0.38636491633700853</v>
      </c>
      <c r="AP72" s="5">
        <f t="shared" si="8"/>
        <v>0.57666405423434108</v>
      </c>
      <c r="AQ72" s="20">
        <f t="shared" si="9"/>
        <v>-0.28363508366299151</v>
      </c>
    </row>
    <row r="73" spans="1:43" x14ac:dyDescent="0.25">
      <c r="A73" s="1" t="s">
        <v>35</v>
      </c>
      <c r="B73" s="3">
        <v>25</v>
      </c>
      <c r="C73" s="4">
        <v>500</v>
      </c>
      <c r="D73" s="4">
        <v>4</v>
      </c>
      <c r="E73" s="3">
        <v>62</v>
      </c>
      <c r="F73" s="5">
        <v>2.6933292113182898</v>
      </c>
      <c r="G73" s="3">
        <v>20</v>
      </c>
      <c r="H73" s="3">
        <v>40.5</v>
      </c>
      <c r="I73" s="1">
        <v>350</v>
      </c>
      <c r="J73" s="3">
        <v>450</v>
      </c>
      <c r="K73" s="4">
        <v>1964</v>
      </c>
      <c r="L73" s="5">
        <v>49612.5</v>
      </c>
      <c r="M73" s="4">
        <v>141.76646013770099</v>
      </c>
      <c r="N73" s="10">
        <v>3.9586797682035803E-2</v>
      </c>
      <c r="O73" s="5">
        <v>150</v>
      </c>
      <c r="P73" s="4">
        <v>162.97717278922801</v>
      </c>
      <c r="Q73" s="5">
        <v>0.27</v>
      </c>
      <c r="R73" s="11">
        <f t="shared" si="0"/>
        <v>8.1488586394614E-4</v>
      </c>
      <c r="V73" s="5">
        <f t="shared" si="1"/>
        <v>0.21367411032441655</v>
      </c>
      <c r="W73" s="5">
        <f t="shared" si="2"/>
        <v>0.79138559379413531</v>
      </c>
      <c r="Y73" s="5">
        <f t="shared" si="3"/>
        <v>0.21423707325165561</v>
      </c>
      <c r="Z73" s="5">
        <f t="shared" si="4"/>
        <v>0.79347064167279846</v>
      </c>
      <c r="AB73" s="5">
        <f>$AC$2*($AC$3+$AC$4*$F73/($N73*'Sem TS MC2020'!P65))*($AC$5*$G73+$AC$6*$B73/$N73)*'Sem TS MC2020'!R65*($J73-$M73)/($J73-$M73-$H73)</f>
        <v>0.14579257158923922</v>
      </c>
      <c r="AC73" s="5">
        <f t="shared" si="5"/>
        <v>0.53997248736755266</v>
      </c>
      <c r="AD73" s="20">
        <f t="shared" si="6"/>
        <v>-0.1242074284107608</v>
      </c>
      <c r="AE73" s="21">
        <f t="shared" si="7"/>
        <v>1.8519462072505783</v>
      </c>
      <c r="AF73" s="21">
        <f>AB73*(14.068*'Sem TS MC2020'!$P65^-0.457)/$Q73</f>
        <v>0.65850605766980963</v>
      </c>
      <c r="AG73" s="21"/>
      <c r="AO73" s="5">
        <f>$AP$2*($AP$3+$AP$4*$F73/($N73*'Sem TS MC2020'!P65))*($AP$5*$G73+$AP$6*$B73/$N73)*('Sem TS MC2020'!P65^$AP$7/200000)*($J73-$M73)/($J73-$M73-$H73)+('Sem TS MC2020'!P65-$C73/$AP$8)*($AP$5*$G73+$AP$6*$B73/$N73)/200000</f>
        <v>0.16017905203150953</v>
      </c>
      <c r="AP73" s="5">
        <f t="shared" si="8"/>
        <v>0.59325574826485006</v>
      </c>
      <c r="AQ73" s="20">
        <f t="shared" si="9"/>
        <v>-0.10982094796849048</v>
      </c>
    </row>
    <row r="74" spans="1:43" x14ac:dyDescent="0.25">
      <c r="B74" s="3">
        <v>25</v>
      </c>
      <c r="C74" s="4">
        <v>500</v>
      </c>
      <c r="D74" s="4">
        <v>4</v>
      </c>
      <c r="E74" s="3">
        <v>62</v>
      </c>
      <c r="F74" s="5">
        <v>2.6933292113182898</v>
      </c>
      <c r="G74" s="3">
        <v>20</v>
      </c>
      <c r="H74" s="3">
        <v>40.5</v>
      </c>
      <c r="I74" s="1">
        <v>350</v>
      </c>
      <c r="J74" s="3">
        <v>450</v>
      </c>
      <c r="K74" s="4">
        <v>1964</v>
      </c>
      <c r="L74" s="5">
        <v>49612.5</v>
      </c>
      <c r="M74" s="4">
        <v>141.76646013770099</v>
      </c>
      <c r="N74" s="10">
        <v>3.9586797682035803E-2</v>
      </c>
      <c r="O74" s="5">
        <v>225</v>
      </c>
      <c r="P74" s="4">
        <v>287.49119849252003</v>
      </c>
      <c r="Q74" s="5">
        <v>0.4</v>
      </c>
      <c r="R74" s="11">
        <f t="shared" si="0"/>
        <v>1.4374559924626002E-3</v>
      </c>
      <c r="V74" s="5">
        <f t="shared" si="1"/>
        <v>0.30327808608916662</v>
      </c>
      <c r="W74" s="5">
        <f t="shared" si="2"/>
        <v>0.75819521522291655</v>
      </c>
      <c r="Y74" s="5">
        <f t="shared" si="3"/>
        <v>0.30598154173052516</v>
      </c>
      <c r="Z74" s="5">
        <f t="shared" si="4"/>
        <v>0.76495385432631291</v>
      </c>
      <c r="AB74" s="5">
        <f>$AC$2*($AC$3+$AC$4*$F74/($N74*'Sem TS MC2020'!P66))*($AC$5*$G74+$AC$6*$B74/$N74)*'Sem TS MC2020'!R66*($J74-$M74)/($J74-$M74-$H74)</f>
        <v>0.2342116165777238</v>
      </c>
      <c r="AC74" s="5">
        <f t="shared" si="5"/>
        <v>0.58552904144430951</v>
      </c>
      <c r="AD74" s="20">
        <f t="shared" si="6"/>
        <v>-0.16578838342227623</v>
      </c>
      <c r="AE74" s="21">
        <f t="shared" si="7"/>
        <v>1.7078572183769494</v>
      </c>
      <c r="AF74" s="21">
        <f>AB74*(14.068*'Sem TS MC2020'!$P66^-0.457)/$Q74</f>
        <v>0.59328432915629226</v>
      </c>
      <c r="AG74" s="21"/>
      <c r="AO74" s="5">
        <f>$AP$2*($AP$3+$AP$4*$F74/($N74*'Sem TS MC2020'!P66))*($AP$5*$G74+$AP$6*$B74/$N74)*('Sem TS MC2020'!P66^$AP$7/200000)*($J74-$M74)/($J74-$M74-$H74)+('Sem TS MC2020'!P66-$C74/$AP$8)*($AP$5*$G74+$AP$6*$B74/$N74)/200000</f>
        <v>0.24701002390651852</v>
      </c>
      <c r="AP74" s="5">
        <f t="shared" si="8"/>
        <v>0.61752505976629624</v>
      </c>
      <c r="AQ74" s="20">
        <f t="shared" si="9"/>
        <v>-0.1529899760934815</v>
      </c>
    </row>
    <row r="75" spans="1:43" x14ac:dyDescent="0.25">
      <c r="B75" s="3">
        <v>25</v>
      </c>
      <c r="C75" s="4">
        <v>500</v>
      </c>
      <c r="D75" s="4">
        <v>4</v>
      </c>
      <c r="E75" s="3">
        <v>62</v>
      </c>
      <c r="F75" s="5">
        <v>2.6933292113182898</v>
      </c>
      <c r="G75" s="3">
        <v>20</v>
      </c>
      <c r="H75" s="3">
        <v>40.5</v>
      </c>
      <c r="I75" s="1">
        <v>350</v>
      </c>
      <c r="J75" s="3">
        <v>450</v>
      </c>
      <c r="K75" s="4">
        <v>1964</v>
      </c>
      <c r="L75" s="5">
        <v>49612.5</v>
      </c>
      <c r="M75" s="4">
        <v>141.76646013770099</v>
      </c>
      <c r="N75" s="10">
        <v>3.9586797682035803E-2</v>
      </c>
      <c r="O75" s="5">
        <v>300</v>
      </c>
      <c r="P75" s="4">
        <v>412.00522419581102</v>
      </c>
      <c r="Q75" s="5">
        <v>0.53</v>
      </c>
      <c r="R75" s="11">
        <f t="shared" ref="R75:R138" si="10">P75/200000</f>
        <v>2.0600261209790553E-3</v>
      </c>
      <c r="V75" s="5">
        <f t="shared" ref="V75:V138" si="11">$W$2*($W$3*$G75+$W$4*$B75^$W$5*$N75^$W$6)*$R75^$W$7</f>
        <v>0.37867327987464783</v>
      </c>
      <c r="W75" s="5">
        <f t="shared" ref="W75:W138" si="12">V75/$Q75</f>
        <v>0.71447788655593925</v>
      </c>
      <c r="Y75" s="5">
        <f t="shared" ref="Y75:Y138" si="13">$Z$2*$B75^$Z$3*$R75^$Z$4*($Z$5*$N75^$Z$6+$Z$7)</f>
        <v>0.38356407065181264</v>
      </c>
      <c r="Z75" s="5">
        <f t="shared" ref="Z75:Z138" si="14">Y75/$Q75</f>
        <v>0.7237057936826653</v>
      </c>
      <c r="AB75" s="5">
        <f>$AC$2*($AC$3+$AC$4*$F75/($N75*'Sem TS MC2020'!P67))*($AC$5*$G75+$AC$6*$B75/$N75)*'Sem TS MC2020'!R67*($J75-$M75)/($J75-$M75-$H75)</f>
        <v>0.32263066156620834</v>
      </c>
      <c r="AC75" s="5">
        <f t="shared" ref="AC75:AC138" si="15">AB75/$Q75</f>
        <v>0.60873709729473269</v>
      </c>
      <c r="AD75" s="20">
        <f t="shared" ref="AD75:AD138" si="16">AB75-$Q75</f>
        <v>-0.20736933843379168</v>
      </c>
      <c r="AE75" s="21">
        <f t="shared" ref="AE75:AE138" si="17">1/AC75</f>
        <v>1.6427452909376892</v>
      </c>
      <c r="AF75" s="21">
        <f>AB75*(14.068*'Sem TS MC2020'!$P67^-0.457)/$Q75</f>
        <v>0.54081310045099562</v>
      </c>
      <c r="AG75" s="21"/>
      <c r="AO75" s="5">
        <f>$AP$2*($AP$3+$AP$4*$F75/($N75*'Sem TS MC2020'!P67))*($AP$5*$G75+$AP$6*$B75/$N75)*('Sem TS MC2020'!P67^$AP$7/200000)*($J75-$M75)/($J75-$M75-$H75)+('Sem TS MC2020'!P67-$C75/$AP$8)*($AP$5*$G75+$AP$6*$B75/$N75)/200000</f>
        <v>0.32837030982354393</v>
      </c>
      <c r="AP75" s="5">
        <f t="shared" ref="AP75:AP138" si="18">AO75/$Q75</f>
        <v>0.6195666223085734</v>
      </c>
      <c r="AQ75" s="20">
        <f t="shared" ref="AQ75:AQ138" si="19">AO75-$Q75</f>
        <v>-0.2016296901764561</v>
      </c>
    </row>
    <row r="76" spans="1:43" x14ac:dyDescent="0.25">
      <c r="B76" s="3">
        <v>25</v>
      </c>
      <c r="C76" s="4">
        <v>500</v>
      </c>
      <c r="D76" s="4">
        <v>4</v>
      </c>
      <c r="E76" s="3">
        <v>62</v>
      </c>
      <c r="F76" s="5">
        <v>2.6933292113182898</v>
      </c>
      <c r="G76" s="3">
        <v>20</v>
      </c>
      <c r="H76" s="3">
        <v>40.5</v>
      </c>
      <c r="I76" s="1">
        <v>350</v>
      </c>
      <c r="J76" s="3">
        <v>450</v>
      </c>
      <c r="K76" s="4">
        <v>1964</v>
      </c>
      <c r="L76" s="5">
        <v>49612.5</v>
      </c>
      <c r="M76" s="4">
        <v>141.76646013770099</v>
      </c>
      <c r="N76" s="10">
        <v>3.9586797682035803E-2</v>
      </c>
      <c r="O76" s="5">
        <v>375</v>
      </c>
      <c r="P76" s="4">
        <v>500</v>
      </c>
      <c r="Q76" s="5">
        <v>0.72</v>
      </c>
      <c r="R76" s="11">
        <f t="shared" si="10"/>
        <v>2.5000000000000001E-3</v>
      </c>
      <c r="V76" s="5">
        <f t="shared" si="11"/>
        <v>0.42671132960634667</v>
      </c>
      <c r="W76" s="5">
        <f t="shared" si="12"/>
        <v>0.59265462445325934</v>
      </c>
      <c r="Y76" s="5">
        <f t="shared" si="13"/>
        <v>0.43314386927416509</v>
      </c>
      <c r="Z76" s="5">
        <f t="shared" si="14"/>
        <v>0.60158870732522929</v>
      </c>
      <c r="AB76" s="5">
        <f>$AC$2*($AC$3+$AC$4*$F76/($N76*'Sem TS MC2020'!P68))*($AC$5*$G76+$AC$6*$B76/$N76)*'Sem TS MC2020'!R68*($J76-$M76)/($J76-$M76-$H76)</f>
        <v>0.3883249651680527</v>
      </c>
      <c r="AC76" s="5">
        <f t="shared" si="15"/>
        <v>0.5393402294000732</v>
      </c>
      <c r="AD76" s="20">
        <f t="shared" si="16"/>
        <v>-0.33167503483194727</v>
      </c>
      <c r="AE76" s="21">
        <f t="shared" si="17"/>
        <v>1.8541172074486907</v>
      </c>
      <c r="AF76" s="21">
        <f>AB76*(14.068*'Sem TS MC2020'!$P68^-0.457)/$Q76</f>
        <v>0.44326749268628174</v>
      </c>
      <c r="AG76" s="21"/>
      <c r="AO76" s="5">
        <f>$AP$2*($AP$3+$AP$4*$F76/($N76*'Sem TS MC2020'!P68))*($AP$5*$G76+$AP$6*$B76/$N76)*('Sem TS MC2020'!P68^$AP$7/200000)*($J76-$M76)/($J76-$M76-$H76)+('Sem TS MC2020'!P68-$C76/$AP$8)*($AP$5*$G76+$AP$6*$B76/$N76)/200000</f>
        <v>0.38636491633700853</v>
      </c>
      <c r="AP76" s="5">
        <f t="shared" si="18"/>
        <v>0.53661793935695634</v>
      </c>
      <c r="AQ76" s="20">
        <f t="shared" si="19"/>
        <v>-0.33363508366299144</v>
      </c>
    </row>
    <row r="77" spans="1:43" x14ac:dyDescent="0.25">
      <c r="A77" s="1" t="s">
        <v>36</v>
      </c>
      <c r="B77" s="3">
        <v>25</v>
      </c>
      <c r="C77" s="4">
        <v>500</v>
      </c>
      <c r="D77" s="4">
        <v>4</v>
      </c>
      <c r="E77" s="3">
        <v>28.7</v>
      </c>
      <c r="F77" s="5">
        <v>2.6933292113182898</v>
      </c>
      <c r="G77" s="3">
        <v>70</v>
      </c>
      <c r="H77" s="3">
        <v>94.5</v>
      </c>
      <c r="I77" s="1">
        <v>350</v>
      </c>
      <c r="J77" s="3">
        <v>450</v>
      </c>
      <c r="K77" s="4">
        <v>1964</v>
      </c>
      <c r="L77" s="5">
        <v>76825</v>
      </c>
      <c r="M77" s="4">
        <v>130.081813066926</v>
      </c>
      <c r="N77" s="10">
        <v>2.5564594858444499E-2</v>
      </c>
      <c r="O77" s="5">
        <v>75</v>
      </c>
      <c r="P77" s="4">
        <v>48.319539729677203</v>
      </c>
      <c r="Q77" s="5">
        <v>0.3</v>
      </c>
      <c r="R77" s="11">
        <f t="shared" si="10"/>
        <v>2.4159769864838602E-4</v>
      </c>
      <c r="V77" s="5">
        <f t="shared" si="11"/>
        <v>0.12087137706521958</v>
      </c>
      <c r="W77" s="5">
        <f t="shared" si="12"/>
        <v>0.40290459021739861</v>
      </c>
      <c r="Y77" s="5">
        <f t="shared" si="13"/>
        <v>0.11879479636131007</v>
      </c>
      <c r="Z77" s="5">
        <f t="shared" si="14"/>
        <v>0.39598265453770026</v>
      </c>
      <c r="AB77" s="5">
        <f>$AC$2*($AC$3+$AC$4*$F77/($N77*'Sem TS MC2020'!P69))*($AC$5*$G77+$AC$6*$B77/$N77)*'Sem TS MC2020'!R69*($J77-$M77)/($J77-$M77-$H77)</f>
        <v>0.12819380353917123</v>
      </c>
      <c r="AC77" s="5">
        <f t="shared" si="15"/>
        <v>0.42731267846390414</v>
      </c>
      <c r="AD77" s="20">
        <f t="shared" si="16"/>
        <v>-0.17180619646082876</v>
      </c>
      <c r="AE77" s="21">
        <f t="shared" si="17"/>
        <v>2.3402067160627711</v>
      </c>
      <c r="AF77" s="21">
        <f>AB77*(14.068*'Sem TS MC2020'!$P69^-0.457)/$Q77</f>
        <v>0.66827944345946622</v>
      </c>
      <c r="AG77" s="21"/>
      <c r="AO77" s="5">
        <f>$AP$2*($AP$3+$AP$4*$F77/($N77*'Sem TS MC2020'!P69))*($AP$5*$G77+$AP$6*$B77/$N77)*('Sem TS MC2020'!P69^$AP$7/200000)*($J77-$M77)/($J77-$M77-$H77)+('Sem TS MC2020'!P69-$C77/$AP$8)*($AP$5*$G77+$AP$6*$B77/$N77)/200000</f>
        <v>0.13642113244691306</v>
      </c>
      <c r="AP77" s="5">
        <f t="shared" si="18"/>
        <v>0.45473710815637691</v>
      </c>
      <c r="AQ77" s="20">
        <f t="shared" si="19"/>
        <v>-0.16357886755308693</v>
      </c>
    </row>
    <row r="78" spans="1:43" x14ac:dyDescent="0.25">
      <c r="B78" s="3">
        <v>25</v>
      </c>
      <c r="C78" s="4">
        <v>500</v>
      </c>
      <c r="D78" s="4">
        <v>4</v>
      </c>
      <c r="E78" s="3">
        <v>28.7</v>
      </c>
      <c r="F78" s="5">
        <v>2.6933292113182898</v>
      </c>
      <c r="G78" s="3">
        <v>70</v>
      </c>
      <c r="H78" s="3">
        <v>94.5</v>
      </c>
      <c r="I78" s="1">
        <v>350</v>
      </c>
      <c r="J78" s="3">
        <v>450</v>
      </c>
      <c r="K78" s="4">
        <v>1964</v>
      </c>
      <c r="L78" s="5">
        <v>76825</v>
      </c>
      <c r="M78" s="4">
        <v>130.081813066926</v>
      </c>
      <c r="N78" s="10">
        <v>2.5564594858444499E-2</v>
      </c>
      <c r="O78" s="5">
        <v>150</v>
      </c>
      <c r="P78" s="4">
        <v>184.85444613865801</v>
      </c>
      <c r="Q78" s="5">
        <v>0.56999999999999995</v>
      </c>
      <c r="R78" s="11">
        <f t="shared" si="10"/>
        <v>9.2427223069329006E-4</v>
      </c>
      <c r="V78" s="5">
        <f t="shared" si="11"/>
        <v>0.27660100776063701</v>
      </c>
      <c r="W78" s="5">
        <f t="shared" si="12"/>
        <v>0.48526492589585446</v>
      </c>
      <c r="Y78" s="5">
        <f t="shared" si="13"/>
        <v>0.27589096848928957</v>
      </c>
      <c r="Z78" s="5">
        <f t="shared" si="14"/>
        <v>0.48401924296366594</v>
      </c>
      <c r="AB78" s="5">
        <f>$AC$2*($AC$3+$AC$4*$F78/($N78*'Sem TS MC2020'!P70))*($AC$5*$G78+$AC$6*$B78/$N78)*'Sem TS MC2020'!R70*($J78-$M78)/($J78-$M78-$H78)</f>
        <v>0.3693871297307485</v>
      </c>
      <c r="AC78" s="5">
        <f t="shared" si="15"/>
        <v>0.64804759601885709</v>
      </c>
      <c r="AD78" s="20">
        <f t="shared" si="16"/>
        <v>-0.20061287026925145</v>
      </c>
      <c r="AE78" s="21">
        <f t="shared" si="17"/>
        <v>1.5430965351052728</v>
      </c>
      <c r="AF78" s="21">
        <f>AB78*(14.068*'Sem TS MC2020'!$P70^-0.457)/$Q78</f>
        <v>0.73832660733302258</v>
      </c>
      <c r="AG78" s="21"/>
      <c r="AO78" s="5">
        <f>$AP$2*($AP$3+$AP$4*$F78/($N78*'Sem TS MC2020'!P70))*($AP$5*$G78+$AP$6*$B78/$N78)*('Sem TS MC2020'!P70^$AP$7/200000)*($J78-$M78)/($J78-$M78-$H78)+('Sem TS MC2020'!P70-$C78/$AP$8)*($AP$5*$G78+$AP$6*$B78/$N78)/200000</f>
        <v>0.38630266035467747</v>
      </c>
      <c r="AP78" s="5">
        <f t="shared" si="18"/>
        <v>0.67772396553452197</v>
      </c>
      <c r="AQ78" s="20">
        <f t="shared" si="19"/>
        <v>-0.18369733964532248</v>
      </c>
    </row>
    <row r="79" spans="1:43" x14ac:dyDescent="0.25">
      <c r="A79" s="1" t="s">
        <v>37</v>
      </c>
      <c r="B79" s="3">
        <v>25</v>
      </c>
      <c r="C79" s="4">
        <v>500</v>
      </c>
      <c r="D79" s="4">
        <v>4</v>
      </c>
      <c r="E79" s="3">
        <v>28.7</v>
      </c>
      <c r="F79" s="5">
        <v>2.6933292113182898</v>
      </c>
      <c r="G79" s="3">
        <v>70</v>
      </c>
      <c r="H79" s="3">
        <v>90.5</v>
      </c>
      <c r="I79" s="1">
        <v>350</v>
      </c>
      <c r="J79" s="3">
        <v>450</v>
      </c>
      <c r="K79" s="4">
        <v>1964</v>
      </c>
      <c r="L79" s="5">
        <v>75425</v>
      </c>
      <c r="M79" s="4">
        <v>130.975130551886</v>
      </c>
      <c r="N79" s="10">
        <v>2.60391117003646E-2</v>
      </c>
      <c r="O79" s="5">
        <v>75</v>
      </c>
      <c r="P79" s="4">
        <v>48.0374206768183</v>
      </c>
      <c r="Q79" s="5">
        <v>0.26</v>
      </c>
      <c r="R79" s="11">
        <f t="shared" si="10"/>
        <v>2.4018710338409151E-4</v>
      </c>
      <c r="V79" s="5">
        <f t="shared" si="11"/>
        <v>0.11951262964829629</v>
      </c>
      <c r="W79" s="5">
        <f t="shared" si="12"/>
        <v>0.45966396018575495</v>
      </c>
      <c r="Y79" s="5">
        <f t="shared" si="13"/>
        <v>0.11745515179791614</v>
      </c>
      <c r="Z79" s="5">
        <f t="shared" si="14"/>
        <v>0.45175058383813899</v>
      </c>
      <c r="AB79" s="5">
        <f>$AC$2*($AC$3+$AC$4*$F79/($N79*'Sem TS MC2020'!P71))*($AC$5*$G79+$AC$6*$B79/$N79)*'Sem TS MC2020'!R71*($J79-$M79)/($J79-$M79-$H79)</f>
        <v>0.12382807460609498</v>
      </c>
      <c r="AC79" s="5">
        <f t="shared" si="15"/>
        <v>0.47626182540805756</v>
      </c>
      <c r="AD79" s="20">
        <f t="shared" si="16"/>
        <v>-0.13617192539390505</v>
      </c>
      <c r="AE79" s="21">
        <f t="shared" si="17"/>
        <v>2.0996853970884763</v>
      </c>
      <c r="AF79" s="21">
        <f>AB79*(14.068*'Sem TS MC2020'!$P71^-0.457)/$Q79</f>
        <v>0.7488559610997042</v>
      </c>
      <c r="AG79" s="21"/>
      <c r="AO79" s="5">
        <f>$AP$2*($AP$3+$AP$4*$F79/($N79*'Sem TS MC2020'!P71))*($AP$5*$G79+$AP$6*$B79/$N79)*('Sem TS MC2020'!P71^$AP$7/200000)*($J79-$M79)/($J79-$M79-$H79)+('Sem TS MC2020'!P71-$C79/$AP$8)*($AP$5*$G79+$AP$6*$B79/$N79)/200000</f>
        <v>0.13153010046107153</v>
      </c>
      <c r="AP79" s="5">
        <f t="shared" si="18"/>
        <v>0.50588500177335205</v>
      </c>
      <c r="AQ79" s="20">
        <f t="shared" si="19"/>
        <v>-0.12846989953892848</v>
      </c>
    </row>
    <row r="80" spans="1:43" x14ac:dyDescent="0.25">
      <c r="B80" s="3">
        <v>25</v>
      </c>
      <c r="C80" s="4">
        <v>500</v>
      </c>
      <c r="D80" s="4">
        <v>4</v>
      </c>
      <c r="E80" s="3">
        <v>28.7</v>
      </c>
      <c r="F80" s="5">
        <v>2.6933292113182898</v>
      </c>
      <c r="G80" s="3">
        <v>70</v>
      </c>
      <c r="H80" s="3">
        <v>90.5</v>
      </c>
      <c r="I80" s="1">
        <v>350</v>
      </c>
      <c r="J80" s="3">
        <v>450</v>
      </c>
      <c r="K80" s="4">
        <v>1964</v>
      </c>
      <c r="L80" s="5">
        <v>75425</v>
      </c>
      <c r="M80" s="4">
        <v>130.975130551886</v>
      </c>
      <c r="N80" s="10">
        <v>2.60391117003646E-2</v>
      </c>
      <c r="O80" s="5">
        <v>150</v>
      </c>
      <c r="P80" s="4">
        <v>182.184152739316</v>
      </c>
      <c r="Q80" s="5">
        <v>0.6</v>
      </c>
      <c r="R80" s="11">
        <f t="shared" si="10"/>
        <v>9.1092076369658E-4</v>
      </c>
      <c r="V80" s="5">
        <f t="shared" si="11"/>
        <v>0.27202835674335096</v>
      </c>
      <c r="W80" s="5">
        <f t="shared" si="12"/>
        <v>0.45338059457225161</v>
      </c>
      <c r="Y80" s="5">
        <f t="shared" si="13"/>
        <v>0.27129431070799553</v>
      </c>
      <c r="Z80" s="5">
        <f t="shared" si="14"/>
        <v>0.45215718451332593</v>
      </c>
      <c r="AB80" s="5">
        <f>$AC$2*($AC$3+$AC$4*$F80/($N80*'Sem TS MC2020'!P72))*($AC$5*$G80+$AC$6*$B80/$N80)*'Sem TS MC2020'!R72*($J80-$M80)/($J80-$M80-$H80)</f>
        <v>0.35546417572503641</v>
      </c>
      <c r="AC80" s="5">
        <f t="shared" si="15"/>
        <v>0.59244029287506073</v>
      </c>
      <c r="AD80" s="20">
        <f t="shared" si="16"/>
        <v>-0.24453582427496356</v>
      </c>
      <c r="AE80" s="21">
        <f t="shared" si="17"/>
        <v>1.687933808733852</v>
      </c>
      <c r="AF80" s="21">
        <f>AB80*(14.068*'Sem TS MC2020'!$P72^-0.457)/$Q80</f>
        <v>0.6786196002232795</v>
      </c>
      <c r="AG80" s="21"/>
      <c r="AO80" s="5">
        <f>$AP$2*($AP$3+$AP$4*$F80/($N80*'Sem TS MC2020'!P72))*($AP$5*$G80+$AP$6*$B80/$N80)*('Sem TS MC2020'!P72^$AP$7/200000)*($J80-$M80)/($J80-$M80-$H80)+('Sem TS MC2020'!P72-$C80/$AP$8)*($AP$5*$G80+$AP$6*$B80/$N80)/200000</f>
        <v>0.37188335546601692</v>
      </c>
      <c r="AP80" s="5">
        <f t="shared" si="18"/>
        <v>0.61980559244336153</v>
      </c>
      <c r="AQ80" s="20">
        <f t="shared" si="19"/>
        <v>-0.22811664453398306</v>
      </c>
    </row>
    <row r="81" spans="1:43" x14ac:dyDescent="0.25">
      <c r="A81" s="1" t="s">
        <v>38</v>
      </c>
      <c r="B81" s="3">
        <v>25</v>
      </c>
      <c r="C81" s="4">
        <v>500</v>
      </c>
      <c r="D81" s="4">
        <v>4</v>
      </c>
      <c r="E81" s="3">
        <v>28.7</v>
      </c>
      <c r="F81" s="5">
        <v>2.6933292113182898</v>
      </c>
      <c r="G81" s="3">
        <v>70</v>
      </c>
      <c r="H81" s="3">
        <v>90.5</v>
      </c>
      <c r="I81" s="1">
        <v>350</v>
      </c>
      <c r="J81" s="3">
        <v>450</v>
      </c>
      <c r="K81" s="4">
        <v>1964</v>
      </c>
      <c r="L81" s="5">
        <v>75425</v>
      </c>
      <c r="M81" s="4">
        <v>130.975130551886</v>
      </c>
      <c r="N81" s="10">
        <v>2.60391117003646E-2</v>
      </c>
      <c r="O81" s="5">
        <v>75</v>
      </c>
      <c r="P81" s="4">
        <v>48.0374206768183</v>
      </c>
      <c r="Q81" s="5">
        <v>0.27</v>
      </c>
      <c r="R81" s="11">
        <f t="shared" si="10"/>
        <v>2.4018710338409151E-4</v>
      </c>
      <c r="V81" s="5">
        <f t="shared" si="11"/>
        <v>0.11951262964829629</v>
      </c>
      <c r="W81" s="5">
        <f t="shared" si="12"/>
        <v>0.44263936906776402</v>
      </c>
      <c r="Y81" s="5">
        <f t="shared" si="13"/>
        <v>0.11745515179791614</v>
      </c>
      <c r="Z81" s="5">
        <f t="shared" si="14"/>
        <v>0.4350190807330227</v>
      </c>
      <c r="AB81" s="5">
        <f>$AC$2*($AC$3+$AC$4*$F81/($N81*'Sem TS MC2020'!P73))*($AC$5*$G81+$AC$6*$B81/$N81)*'Sem TS MC2020'!R73*($J81-$M81)/($J81-$M81-$H81)</f>
        <v>0.12382807460609498</v>
      </c>
      <c r="AC81" s="5">
        <f t="shared" si="15"/>
        <v>0.45862249854109249</v>
      </c>
      <c r="AD81" s="20">
        <f t="shared" si="16"/>
        <v>-0.14617192539390506</v>
      </c>
      <c r="AE81" s="21">
        <f t="shared" si="17"/>
        <v>2.1804425277457256</v>
      </c>
      <c r="AF81" s="21">
        <f>AB81*(14.068*'Sem TS MC2020'!$P73^-0.457)/$Q81</f>
        <v>0.7211205551330484</v>
      </c>
      <c r="AG81" s="21"/>
      <c r="AO81" s="5">
        <f>$AP$2*($AP$3+$AP$4*$F81/($N81*'Sem TS MC2020'!P73))*($AP$5*$G81+$AP$6*$B81/$N81)*('Sem TS MC2020'!P73^$AP$7/200000)*($J81-$M81)/($J81-$M81-$H81)+('Sem TS MC2020'!P73-$C81/$AP$8)*($AP$5*$G81+$AP$6*$B81/$N81)/200000</f>
        <v>0.13153010046107153</v>
      </c>
      <c r="AP81" s="5">
        <f t="shared" si="18"/>
        <v>0.48714852022619082</v>
      </c>
      <c r="AQ81" s="20">
        <f t="shared" si="19"/>
        <v>-0.13846989953892849</v>
      </c>
    </row>
    <row r="82" spans="1:43" x14ac:dyDescent="0.25">
      <c r="B82" s="3">
        <v>25</v>
      </c>
      <c r="C82" s="4">
        <v>500</v>
      </c>
      <c r="D82" s="4">
        <v>4</v>
      </c>
      <c r="E82" s="3">
        <v>28.7</v>
      </c>
      <c r="F82" s="5">
        <v>2.6933292113182898</v>
      </c>
      <c r="G82" s="3">
        <v>70</v>
      </c>
      <c r="H82" s="3">
        <v>90.5</v>
      </c>
      <c r="I82" s="1">
        <v>350</v>
      </c>
      <c r="J82" s="3">
        <v>450</v>
      </c>
      <c r="K82" s="4">
        <v>1964</v>
      </c>
      <c r="L82" s="5">
        <v>75425</v>
      </c>
      <c r="M82" s="4">
        <v>130.975130551886</v>
      </c>
      <c r="N82" s="10">
        <v>2.60391117003646E-2</v>
      </c>
      <c r="O82" s="5">
        <v>150</v>
      </c>
      <c r="P82" s="4">
        <v>182.184152739316</v>
      </c>
      <c r="Q82" s="5">
        <v>0.59</v>
      </c>
      <c r="R82" s="11">
        <f t="shared" si="10"/>
        <v>9.1092076369658E-4</v>
      </c>
      <c r="V82" s="5">
        <f t="shared" si="11"/>
        <v>0.27202835674335096</v>
      </c>
      <c r="W82" s="5">
        <f t="shared" si="12"/>
        <v>0.46106501142940842</v>
      </c>
      <c r="Y82" s="5">
        <f t="shared" si="13"/>
        <v>0.27129431070799553</v>
      </c>
      <c r="Z82" s="5">
        <f t="shared" si="14"/>
        <v>0.4598208656067721</v>
      </c>
      <c r="AB82" s="5">
        <f>$AC$2*($AC$3+$AC$4*$F82/($N82*'Sem TS MC2020'!P74))*($AC$5*$G82+$AC$6*$B82/$N82)*'Sem TS MC2020'!R74*($J82-$M82)/($J82-$M82-$H82)</f>
        <v>0.35546417572503641</v>
      </c>
      <c r="AC82" s="5">
        <f t="shared" si="15"/>
        <v>0.60248165377124818</v>
      </c>
      <c r="AD82" s="20">
        <f t="shared" si="16"/>
        <v>-0.23453582427496356</v>
      </c>
      <c r="AE82" s="21">
        <f t="shared" si="17"/>
        <v>1.6598015785882878</v>
      </c>
      <c r="AF82" s="21">
        <f>AB82*(14.068*'Sem TS MC2020'!$P74^-0.457)/$Q82</f>
        <v>0.69012162734570792</v>
      </c>
      <c r="AG82" s="21"/>
      <c r="AO82" s="5">
        <f>$AP$2*($AP$3+$AP$4*$F82/($N82*'Sem TS MC2020'!P74))*($AP$5*$G82+$AP$6*$B82/$N82)*('Sem TS MC2020'!P74^$AP$7/200000)*($J82-$M82)/($J82-$M82-$H82)+('Sem TS MC2020'!P74-$C82/$AP$8)*($AP$5*$G82+$AP$6*$B82/$N82)/200000</f>
        <v>0.37188335546601692</v>
      </c>
      <c r="AP82" s="5">
        <f t="shared" si="18"/>
        <v>0.63031077197629992</v>
      </c>
      <c r="AQ82" s="20">
        <f t="shared" si="19"/>
        <v>-0.21811664453398305</v>
      </c>
    </row>
    <row r="83" spans="1:43" x14ac:dyDescent="0.25">
      <c r="A83" s="1" t="s">
        <v>39</v>
      </c>
      <c r="B83" s="3">
        <v>9.52</v>
      </c>
      <c r="C83" s="4">
        <v>434</v>
      </c>
      <c r="D83" s="4">
        <v>3</v>
      </c>
      <c r="E83" s="3">
        <v>22.2</v>
      </c>
      <c r="F83" s="5">
        <v>3.5641600019995101</v>
      </c>
      <c r="G83" s="3">
        <v>20.64</v>
      </c>
      <c r="H83" s="3">
        <v>25.4</v>
      </c>
      <c r="I83" s="1">
        <v>114.3</v>
      </c>
      <c r="J83" s="3">
        <v>228.6</v>
      </c>
      <c r="K83" s="4">
        <v>212.9</v>
      </c>
      <c r="L83" s="5">
        <v>8343.9</v>
      </c>
      <c r="M83" s="4">
        <v>56.390968153099003</v>
      </c>
      <c r="N83" s="10">
        <v>2.5515646160668301E-2</v>
      </c>
      <c r="O83" s="5">
        <v>11.6</v>
      </c>
      <c r="P83" s="4">
        <v>234.83059233149001</v>
      </c>
      <c r="Q83" s="5">
        <v>0.15</v>
      </c>
      <c r="R83" s="11">
        <f t="shared" si="10"/>
        <v>1.17415296165745E-3</v>
      </c>
      <c r="V83" s="5">
        <f t="shared" si="11"/>
        <v>0.16792320465079236</v>
      </c>
      <c r="W83" s="5">
        <f t="shared" si="12"/>
        <v>1.1194880310052824</v>
      </c>
      <c r="Y83" s="5">
        <f t="shared" si="13"/>
        <v>0.16308664038043566</v>
      </c>
      <c r="Z83" s="5">
        <f t="shared" si="14"/>
        <v>1.0872442692029045</v>
      </c>
      <c r="AB83" s="5">
        <f>$AC$2*($AC$3+$AC$4*$F83/($N83*'Sem TS MC2020'!P75))*($AC$5*$G83+$AC$6*$B83/$N83)*'Sem TS MC2020'!R75*($J83-$M83)/($J83-$M83-$H83)</f>
        <v>0.1260018791884352</v>
      </c>
      <c r="AC83" s="5">
        <f t="shared" si="15"/>
        <v>0.84001252792290138</v>
      </c>
      <c r="AD83" s="20">
        <f t="shared" si="16"/>
        <v>-2.3998120811564799E-2</v>
      </c>
      <c r="AE83" s="21">
        <f t="shared" si="17"/>
        <v>1.190458435748214</v>
      </c>
      <c r="AF83" s="21">
        <f>AB83*(14.068*'Sem TS MC2020'!$P75^-0.457)/$Q83</f>
        <v>0.87799709363401313</v>
      </c>
      <c r="AG83" s="21"/>
      <c r="AO83" s="5">
        <f>$AP$2*($AP$3+$AP$4*$F83/($N83*'Sem TS MC2020'!P75))*($AP$5*$G83+$AP$6*$B83/$N83)*('Sem TS MC2020'!P75^$AP$7/200000)*($J83-$M83)/($J83-$M83-$H83)+('Sem TS MC2020'!P75-$C83/$AP$8)*($AP$5*$G83+$AP$6*$B83/$N83)/200000</f>
        <v>0.13210314950482532</v>
      </c>
      <c r="AP83" s="5">
        <f t="shared" si="18"/>
        <v>0.88068766336550219</v>
      </c>
      <c r="AQ83" s="20">
        <f t="shared" si="19"/>
        <v>-1.7896850495174671E-2</v>
      </c>
    </row>
    <row r="84" spans="1:43" x14ac:dyDescent="0.25">
      <c r="B84" s="3">
        <v>9.52</v>
      </c>
      <c r="C84" s="4">
        <v>434</v>
      </c>
      <c r="D84" s="4">
        <v>3</v>
      </c>
      <c r="E84" s="3">
        <v>22.2</v>
      </c>
      <c r="F84" s="5">
        <v>3.5641600019995101</v>
      </c>
      <c r="G84" s="3">
        <v>20.64</v>
      </c>
      <c r="H84" s="3">
        <v>25.4</v>
      </c>
      <c r="I84" s="1">
        <v>114.3</v>
      </c>
      <c r="J84" s="3">
        <v>228.6</v>
      </c>
      <c r="K84" s="4">
        <v>212.9</v>
      </c>
      <c r="L84" s="5">
        <v>8343.9</v>
      </c>
      <c r="M84" s="4">
        <v>56.390968153099003</v>
      </c>
      <c r="N84" s="10">
        <v>2.5515646160668301E-2</v>
      </c>
      <c r="O84" s="5">
        <v>13.5</v>
      </c>
      <c r="P84" s="4">
        <v>299.56808231341802</v>
      </c>
      <c r="Q84" s="5">
        <v>0.17</v>
      </c>
      <c r="R84" s="11">
        <f t="shared" si="10"/>
        <v>1.4978404115670902E-3</v>
      </c>
      <c r="V84" s="5">
        <f t="shared" si="11"/>
        <v>0.19514293288415976</v>
      </c>
      <c r="W84" s="5">
        <f t="shared" si="12"/>
        <v>1.1478996052009398</v>
      </c>
      <c r="Y84" s="5">
        <f t="shared" si="13"/>
        <v>0.19003064828363633</v>
      </c>
      <c r="Z84" s="5">
        <f t="shared" si="14"/>
        <v>1.1178273428449195</v>
      </c>
      <c r="AB84" s="5">
        <f>$AC$2*($AC$3+$AC$4*$F84/($N84*'Sem TS MC2020'!P76))*($AC$5*$G84+$AC$6*$B84/$N84)*'Sem TS MC2020'!R76*($J84-$M84)/($J84-$M84-$H84)</f>
        <v>0.15378620180541197</v>
      </c>
      <c r="AC84" s="5">
        <f t="shared" si="15"/>
        <v>0.90462471650242327</v>
      </c>
      <c r="AD84" s="20">
        <f t="shared" si="16"/>
        <v>-1.6213798194588042E-2</v>
      </c>
      <c r="AE84" s="21">
        <f t="shared" si="17"/>
        <v>1.1054307733999673</v>
      </c>
      <c r="AF84" s="21">
        <f>AB84*(14.068*'Sem TS MC2020'!$P76^-0.457)/$Q84</f>
        <v>0.88220706928707071</v>
      </c>
      <c r="AG84" s="21"/>
      <c r="AO84" s="5">
        <f>$AP$2*($AP$3+$AP$4*$F84/($N84*'Sem TS MC2020'!P76))*($AP$5*$G84+$AP$6*$B84/$N84)*('Sem TS MC2020'!P76^$AP$7/200000)*($J84-$M84)/($J84-$M84-$H84)+('Sem TS MC2020'!P76-$C84/$AP$8)*($AP$5*$G84+$AP$6*$B84/$N84)/200000</f>
        <v>0.15839203455804893</v>
      </c>
      <c r="AP84" s="5">
        <f t="shared" si="18"/>
        <v>0.93171785034146426</v>
      </c>
      <c r="AQ84" s="20">
        <f t="shared" si="19"/>
        <v>-1.1607965441951085E-2</v>
      </c>
    </row>
    <row r="85" spans="1:43" x14ac:dyDescent="0.25">
      <c r="A85" s="1" t="s">
        <v>40</v>
      </c>
      <c r="B85" s="3">
        <v>12.7</v>
      </c>
      <c r="C85" s="4">
        <v>434</v>
      </c>
      <c r="D85" s="4">
        <v>3</v>
      </c>
      <c r="E85" s="3">
        <v>19.05</v>
      </c>
      <c r="F85" s="5">
        <v>3.9766081638229398</v>
      </c>
      <c r="G85" s="3">
        <v>19.05</v>
      </c>
      <c r="H85" s="3">
        <v>25.4</v>
      </c>
      <c r="I85" s="1">
        <v>114.3</v>
      </c>
      <c r="J85" s="3">
        <v>228.6</v>
      </c>
      <c r="K85" s="4">
        <v>387.1</v>
      </c>
      <c r="L85" s="5">
        <v>10161.27</v>
      </c>
      <c r="M85" s="4">
        <v>70.373657577616498</v>
      </c>
      <c r="N85" s="10">
        <v>3.8095631746819097E-2</v>
      </c>
      <c r="O85" s="5">
        <v>21.1</v>
      </c>
      <c r="P85" s="4">
        <v>257.58927994396998</v>
      </c>
      <c r="Q85" s="5">
        <v>0.15</v>
      </c>
      <c r="R85" s="11">
        <f t="shared" si="10"/>
        <v>1.28794639971985E-3</v>
      </c>
      <c r="V85" s="5">
        <f t="shared" si="11"/>
        <v>0.18259805371417184</v>
      </c>
      <c r="W85" s="5">
        <f t="shared" si="12"/>
        <v>1.2173203580944789</v>
      </c>
      <c r="Y85" s="5">
        <f t="shared" si="13"/>
        <v>0.18024745109643955</v>
      </c>
      <c r="Z85" s="5">
        <f t="shared" si="14"/>
        <v>1.2016496739762637</v>
      </c>
      <c r="AB85" s="5">
        <f>$AC$2*($AC$3+$AC$4*$F85/($N85*'Sem TS MC2020'!P77))*($AC$5*$G85+$AC$6*$B85/$N85)*'Sem TS MC2020'!R77*($J85-$M85)/($J85-$M85-$H85)</f>
        <v>0.12958543249715992</v>
      </c>
      <c r="AC85" s="5">
        <f t="shared" si="15"/>
        <v>0.86390288331439957</v>
      </c>
      <c r="AD85" s="20">
        <f t="shared" si="16"/>
        <v>-2.041456750284007E-2</v>
      </c>
      <c r="AE85" s="21">
        <f t="shared" si="17"/>
        <v>1.1575375187584258</v>
      </c>
      <c r="AF85" s="21">
        <f>AB85*(14.068*'Sem TS MC2020'!$P77^-0.457)/$Q85</f>
        <v>0.89229892503517316</v>
      </c>
      <c r="AG85" s="21"/>
      <c r="AO85" s="5">
        <f>$AP$2*($AP$3+$AP$4*$F85/($N85*'Sem TS MC2020'!P77))*($AP$5*$G85+$AP$6*$B85/$N85)*('Sem TS MC2020'!P77^$AP$7/200000)*($J85-$M85)/($J85-$M85-$H85)+('Sem TS MC2020'!P77-$C85/$AP$8)*($AP$5*$G85+$AP$6*$B85/$N85)/200000</f>
        <v>0.13522236491061812</v>
      </c>
      <c r="AP85" s="5">
        <f t="shared" si="18"/>
        <v>0.90148243273745421</v>
      </c>
      <c r="AQ85" s="20">
        <f t="shared" si="19"/>
        <v>-1.4777635089381874E-2</v>
      </c>
    </row>
    <row r="86" spans="1:43" x14ac:dyDescent="0.25">
      <c r="B86" s="3">
        <v>12.7</v>
      </c>
      <c r="C86" s="4">
        <v>434</v>
      </c>
      <c r="D86" s="4">
        <v>3</v>
      </c>
      <c r="E86" s="3">
        <v>19.05</v>
      </c>
      <c r="F86" s="5">
        <v>3.9766081638229398</v>
      </c>
      <c r="G86" s="3">
        <v>19.05</v>
      </c>
      <c r="H86" s="3">
        <v>25.4</v>
      </c>
      <c r="I86" s="1">
        <v>114.3</v>
      </c>
      <c r="J86" s="3">
        <v>228.6</v>
      </c>
      <c r="K86" s="4">
        <v>387.1</v>
      </c>
      <c r="L86" s="5">
        <v>10161.27</v>
      </c>
      <c r="M86" s="4">
        <v>70.373657577616498</v>
      </c>
      <c r="N86" s="10">
        <v>3.8095631746819097E-2</v>
      </c>
      <c r="O86" s="5">
        <v>24.2</v>
      </c>
      <c r="P86" s="4">
        <v>313.986356219284</v>
      </c>
      <c r="Q86" s="5">
        <v>0.17</v>
      </c>
      <c r="R86" s="11">
        <f t="shared" si="10"/>
        <v>1.5699317810964201E-3</v>
      </c>
      <c r="V86" s="5">
        <f t="shared" si="11"/>
        <v>0.20632300291574035</v>
      </c>
      <c r="W86" s="5">
        <f t="shared" si="12"/>
        <v>1.2136647230337667</v>
      </c>
      <c r="Y86" s="5">
        <f t="shared" si="13"/>
        <v>0.2041110189983262</v>
      </c>
      <c r="Z86" s="5">
        <f t="shared" si="14"/>
        <v>1.2006530529313306</v>
      </c>
      <c r="AB86" s="5">
        <f>$AC$2*($AC$3+$AC$4*$F86/($N86*'Sem TS MC2020'!P78))*($AC$5*$G86+$AC$6*$B86/$N86)*'Sem TS MC2020'!R78*($J86-$M86)/($J86-$M86-$H86)</f>
        <v>0.15301084664718714</v>
      </c>
      <c r="AC86" s="5">
        <f t="shared" si="15"/>
        <v>0.90006380380698314</v>
      </c>
      <c r="AD86" s="20">
        <f t="shared" si="16"/>
        <v>-1.6989153352812869E-2</v>
      </c>
      <c r="AE86" s="21">
        <f t="shared" si="17"/>
        <v>1.1110323465628977</v>
      </c>
      <c r="AF86" s="21">
        <f>AB86*(14.068*'Sem TS MC2020'!$P78^-0.457)/$Q86</f>
        <v>0.87319693566503931</v>
      </c>
      <c r="AG86" s="21"/>
      <c r="AO86" s="5">
        <f>$AP$2*($AP$3+$AP$4*$F86/($N86*'Sem TS MC2020'!P78))*($AP$5*$G86+$AP$6*$B86/$N86)*('Sem TS MC2020'!P78^$AP$7/200000)*($J86-$M86)/($J86-$M86-$H86)+('Sem TS MC2020'!P78-$C86/$AP$8)*($AP$5*$G86+$AP$6*$B86/$N86)/200000</f>
        <v>0.15698633832209832</v>
      </c>
      <c r="AP86" s="5">
        <f t="shared" si="18"/>
        <v>0.92344904895351954</v>
      </c>
      <c r="AQ86" s="20">
        <f t="shared" si="19"/>
        <v>-1.3013661677901689E-2</v>
      </c>
    </row>
    <row r="87" spans="1:43" x14ac:dyDescent="0.25">
      <c r="B87" s="3">
        <v>12.7</v>
      </c>
      <c r="C87" s="4">
        <v>434</v>
      </c>
      <c r="D87" s="4">
        <v>3</v>
      </c>
      <c r="E87" s="3">
        <v>19.05</v>
      </c>
      <c r="F87" s="5">
        <v>3.9766081638229398</v>
      </c>
      <c r="G87" s="3">
        <v>19.05</v>
      </c>
      <c r="H87" s="3">
        <v>25.4</v>
      </c>
      <c r="I87" s="1">
        <v>114.3</v>
      </c>
      <c r="J87" s="3">
        <v>228.6</v>
      </c>
      <c r="K87" s="4">
        <v>387.1</v>
      </c>
      <c r="L87" s="5">
        <v>10161.27</v>
      </c>
      <c r="M87" s="4">
        <v>70.373657577616498</v>
      </c>
      <c r="N87" s="10">
        <v>3.8095631746819097E-2</v>
      </c>
      <c r="O87" s="5">
        <v>28.6</v>
      </c>
      <c r="P87" s="4">
        <v>394.03381931972899</v>
      </c>
      <c r="Q87" s="5">
        <v>0.2</v>
      </c>
      <c r="R87" s="11">
        <f t="shared" si="10"/>
        <v>1.9701690965986448E-3</v>
      </c>
      <c r="V87" s="5">
        <f t="shared" si="11"/>
        <v>0.23735471820141049</v>
      </c>
      <c r="W87" s="5">
        <f t="shared" si="12"/>
        <v>1.1867735910070525</v>
      </c>
      <c r="Y87" s="5">
        <f t="shared" si="13"/>
        <v>0.23539732314067027</v>
      </c>
      <c r="Z87" s="5">
        <f t="shared" si="14"/>
        <v>1.1769866157033513</v>
      </c>
      <c r="AB87" s="5">
        <f>$AC$2*($AC$3+$AC$4*$F87/($N87*'Sem TS MC2020'!P79))*($AC$5*$G87+$AC$6*$B87/$N87)*'Sem TS MC2020'!R79*($J87-$M87)/($J87-$M87-$H87)</f>
        <v>0.18625982156980589</v>
      </c>
      <c r="AC87" s="5">
        <f t="shared" si="15"/>
        <v>0.93129910784902936</v>
      </c>
      <c r="AD87" s="20">
        <f t="shared" si="16"/>
        <v>-1.3740178430194122E-2</v>
      </c>
      <c r="AE87" s="21">
        <f t="shared" si="17"/>
        <v>1.07376888002142</v>
      </c>
      <c r="AF87" s="21">
        <f>AB87*(14.068*'Sem TS MC2020'!$P79^-0.457)/$Q87</f>
        <v>0.83709054804756211</v>
      </c>
      <c r="AG87" s="21"/>
      <c r="AO87" s="5">
        <f>$AP$2*($AP$3+$AP$4*$F87/($N87*'Sem TS MC2020'!P79))*($AP$5*$G87+$AP$6*$B87/$N87)*('Sem TS MC2020'!P79^$AP$7/200000)*($J87-$M87)/($J87-$M87-$H87)+('Sem TS MC2020'!P79-$C87/$AP$8)*($AP$5*$G87+$AP$6*$B87/$N87)/200000</f>
        <v>0.18695154473791092</v>
      </c>
      <c r="AP87" s="5">
        <f t="shared" si="18"/>
        <v>0.93475772368955456</v>
      </c>
      <c r="AQ87" s="20">
        <f t="shared" si="19"/>
        <v>-1.3048455262089087E-2</v>
      </c>
    </row>
    <row r="88" spans="1:43" x14ac:dyDescent="0.25">
      <c r="A88" s="1" t="s">
        <v>41</v>
      </c>
      <c r="B88" s="3">
        <v>15.9</v>
      </c>
      <c r="C88" s="4">
        <v>540</v>
      </c>
      <c r="D88" s="4">
        <v>3</v>
      </c>
      <c r="E88" s="3">
        <v>15.9</v>
      </c>
      <c r="F88" s="5">
        <v>3.9766081638229398</v>
      </c>
      <c r="G88" s="3">
        <v>17.46</v>
      </c>
      <c r="H88" s="3">
        <v>25.4</v>
      </c>
      <c r="I88" s="1">
        <v>114.3</v>
      </c>
      <c r="J88" s="3">
        <v>228.6</v>
      </c>
      <c r="K88" s="4">
        <v>600</v>
      </c>
      <c r="L88" s="5">
        <v>10161.27</v>
      </c>
      <c r="M88" s="4">
        <v>83.256822362436296</v>
      </c>
      <c r="N88" s="10">
        <v>5.9047737143093297E-2</v>
      </c>
      <c r="O88" s="5">
        <v>30.5</v>
      </c>
      <c r="P88" s="4">
        <v>254.92345959961199</v>
      </c>
      <c r="Q88" s="5">
        <v>0.16</v>
      </c>
      <c r="R88" s="11">
        <f t="shared" si="10"/>
        <v>1.2746172979980598E-3</v>
      </c>
      <c r="V88" s="5">
        <f t="shared" si="11"/>
        <v>0.17577598007389447</v>
      </c>
      <c r="W88" s="5">
        <f t="shared" si="12"/>
        <v>1.0985998754618405</v>
      </c>
      <c r="Y88" s="5">
        <f t="shared" si="13"/>
        <v>0.17907421355992648</v>
      </c>
      <c r="Z88" s="5">
        <f t="shared" si="14"/>
        <v>1.1192138347495404</v>
      </c>
      <c r="AB88" s="5">
        <f>$AC$2*($AC$3+$AC$4*$F88/($N88*'Sem TS MC2020'!P80))*($AC$5*$G88+$AC$6*$B88/$N88)*'Sem TS MC2020'!R80*($J88-$M88)/($J88-$M88-$H88)</f>
        <v>0.11358970940306709</v>
      </c>
      <c r="AC88" s="5">
        <f t="shared" si="15"/>
        <v>0.70993568376916927</v>
      </c>
      <c r="AD88" s="20">
        <f t="shared" si="16"/>
        <v>-4.6410290596932913E-2</v>
      </c>
      <c r="AE88" s="21">
        <f t="shared" si="17"/>
        <v>1.4085783020383338</v>
      </c>
      <c r="AF88" s="21">
        <f>AB88*(14.068*'Sem TS MC2020'!$P80^-0.457)/$Q88</f>
        <v>0.74871576720115762</v>
      </c>
      <c r="AG88" s="21"/>
      <c r="AO88" s="5">
        <f>$AP$2*($AP$3+$AP$4*$F88/($N88*'Sem TS MC2020'!P80))*($AP$5*$G88+$AP$6*$B88/$N88)*('Sem TS MC2020'!P80^$AP$7/200000)*($J88-$M88)/($J88-$M88-$H88)+('Sem TS MC2020'!P80-$C88/$AP$8)*($AP$5*$G88+$AP$6*$B88/$N88)/200000</f>
        <v>0.1169047437762506</v>
      </c>
      <c r="AP88" s="5">
        <f t="shared" si="18"/>
        <v>0.73065464860156626</v>
      </c>
      <c r="AQ88" s="20">
        <f t="shared" si="19"/>
        <v>-4.3095256223749406E-2</v>
      </c>
    </row>
    <row r="89" spans="1:43" x14ac:dyDescent="0.25">
      <c r="B89" s="3">
        <v>15.9</v>
      </c>
      <c r="C89" s="4">
        <v>540</v>
      </c>
      <c r="D89" s="4">
        <v>3</v>
      </c>
      <c r="E89" s="3">
        <v>15.9</v>
      </c>
      <c r="F89" s="5">
        <v>3.9766081638229398</v>
      </c>
      <c r="G89" s="3">
        <v>17.46</v>
      </c>
      <c r="H89" s="3">
        <v>25.4</v>
      </c>
      <c r="I89" s="1">
        <v>114.3</v>
      </c>
      <c r="J89" s="3">
        <v>228.6</v>
      </c>
      <c r="K89" s="4">
        <v>600</v>
      </c>
      <c r="L89" s="5">
        <v>10161.27</v>
      </c>
      <c r="M89" s="4">
        <v>83.256822362436296</v>
      </c>
      <c r="N89" s="10">
        <v>5.9047737143093297E-2</v>
      </c>
      <c r="O89" s="5">
        <v>40</v>
      </c>
      <c r="P89" s="4">
        <v>362.12049823275697</v>
      </c>
      <c r="Q89" s="5">
        <v>0.21</v>
      </c>
      <c r="R89" s="11">
        <f t="shared" si="10"/>
        <v>1.8106024911637849E-3</v>
      </c>
      <c r="V89" s="5">
        <f t="shared" si="11"/>
        <v>0.21828155934945878</v>
      </c>
      <c r="W89" s="5">
        <f t="shared" si="12"/>
        <v>1.0394359969021847</v>
      </c>
      <c r="Y89" s="5">
        <f t="shared" si="13"/>
        <v>0.22323765324614037</v>
      </c>
      <c r="Z89" s="5">
        <f t="shared" si="14"/>
        <v>1.0630364440292399</v>
      </c>
      <c r="AB89" s="5">
        <f>$AC$2*($AC$3+$AC$4*$F89/($N89*'Sem TS MC2020'!P81))*($AC$5*$G89+$AC$6*$B89/$N89)*'Sem TS MC2020'!R81*($J89-$M89)/($J89-$M89-$H89)</f>
        <v>0.154091866101536</v>
      </c>
      <c r="AC89" s="5">
        <f t="shared" si="15"/>
        <v>0.73377079095969522</v>
      </c>
      <c r="AD89" s="20">
        <f t="shared" si="16"/>
        <v>-5.5908133898463996E-2</v>
      </c>
      <c r="AE89" s="21">
        <f t="shared" si="17"/>
        <v>1.3628233943355865</v>
      </c>
      <c r="AF89" s="21">
        <f>AB89*(14.068*'Sem TS MC2020'!$P81^-0.457)/$Q89</f>
        <v>0.6836628854454464</v>
      </c>
      <c r="AG89" s="21"/>
      <c r="AO89" s="5">
        <f>$AP$2*($AP$3+$AP$4*$F89/($N89*'Sem TS MC2020'!P81))*($AP$5*$G89+$AP$6*$B89/$N89)*('Sem TS MC2020'!P81^$AP$7/200000)*($J89-$M89)/($J89-$M89-$H89)+('Sem TS MC2020'!P81-$C89/$AP$8)*($AP$5*$G89+$AP$6*$B89/$N89)/200000</f>
        <v>0.15362751959739579</v>
      </c>
      <c r="AP89" s="5">
        <f t="shared" si="18"/>
        <v>0.73155961713045614</v>
      </c>
      <c r="AQ89" s="20">
        <f t="shared" si="19"/>
        <v>-5.6372480402604203E-2</v>
      </c>
    </row>
    <row r="90" spans="1:43" x14ac:dyDescent="0.25">
      <c r="A90" s="1" t="s">
        <v>42</v>
      </c>
      <c r="B90" s="3">
        <v>16</v>
      </c>
      <c r="C90" s="4">
        <v>500</v>
      </c>
      <c r="D90" s="4">
        <v>2</v>
      </c>
      <c r="E90" s="3">
        <v>138</v>
      </c>
      <c r="F90" s="5">
        <v>3.2690000000000001</v>
      </c>
      <c r="G90" s="3">
        <v>40</v>
      </c>
      <c r="H90" s="3">
        <v>48</v>
      </c>
      <c r="I90" s="1">
        <v>250</v>
      </c>
      <c r="J90" s="3">
        <v>348</v>
      </c>
      <c r="K90" s="4">
        <v>400</v>
      </c>
      <c r="L90" s="5">
        <v>32000</v>
      </c>
      <c r="M90" s="4">
        <v>73.386285342529106</v>
      </c>
      <c r="N90" s="10">
        <v>1.2500000000000001E-2</v>
      </c>
      <c r="O90" s="5">
        <v>20.420000000000002</v>
      </c>
      <c r="P90" s="4">
        <v>13.7953101812687</v>
      </c>
      <c r="Q90" s="5">
        <v>0.15</v>
      </c>
      <c r="R90" s="11">
        <f t="shared" si="10"/>
        <v>6.8976550906343505E-5</v>
      </c>
      <c r="V90" s="5">
        <f t="shared" si="11"/>
        <v>5.5758334408786955E-2</v>
      </c>
      <c r="W90" s="5">
        <f t="shared" si="12"/>
        <v>0.37172222939191307</v>
      </c>
      <c r="Y90" s="5">
        <f t="shared" si="13"/>
        <v>5.4470787898027125E-2</v>
      </c>
      <c r="Z90" s="5">
        <f t="shared" si="14"/>
        <v>0.36313858598684751</v>
      </c>
      <c r="AB90" s="5">
        <f>$AC$2*($AC$3+$AC$4*$F90/($N90*'Sem TS MC2020'!P82))*($AC$5*$G90+$AC$6*$B90/$N90)*'Sem TS MC2020'!R82*($J90-$M90)/($J90-$M90-$H90)</f>
        <v>7.6750362292226551E-2</v>
      </c>
      <c r="AC90" s="5">
        <f t="shared" si="15"/>
        <v>0.51166908194817706</v>
      </c>
      <c r="AD90" s="20">
        <f t="shared" si="16"/>
        <v>-7.3249637707773443E-2</v>
      </c>
      <c r="AE90" s="21">
        <f t="shared" si="17"/>
        <v>1.9543881686040239</v>
      </c>
      <c r="AF90" s="21">
        <f>AB90*(14.068*'Sem TS MC2020'!$P82^-0.457)/$Q90</f>
        <v>0.66195788006992995</v>
      </c>
      <c r="AG90" s="21"/>
      <c r="AO90" s="5">
        <f>$AP$2*($AP$3+$AP$4*$F90/($N90*'Sem TS MC2020'!P82))*($AP$5*$G90+$AP$6*$B90/$N90)*('Sem TS MC2020'!P82^$AP$7/200000)*($J90-$M90)/($J90-$M90-$H90)+('Sem TS MC2020'!P82-$C90/$AP$8)*($AP$5*$G90+$AP$6*$B90/$N90)/200000</f>
        <v>7.4616736930721253E-2</v>
      </c>
      <c r="AP90" s="5">
        <f t="shared" si="18"/>
        <v>0.49744491287147502</v>
      </c>
      <c r="AQ90" s="20">
        <f t="shared" si="19"/>
        <v>-7.5383263069278741E-2</v>
      </c>
    </row>
    <row r="91" spans="1:43" x14ac:dyDescent="0.25">
      <c r="B91" s="3">
        <v>16</v>
      </c>
      <c r="C91" s="4">
        <v>500</v>
      </c>
      <c r="D91" s="4">
        <v>2</v>
      </c>
      <c r="E91" s="3">
        <v>138</v>
      </c>
      <c r="F91" s="5">
        <v>3.2690000000000001</v>
      </c>
      <c r="G91" s="3">
        <v>40</v>
      </c>
      <c r="H91" s="3">
        <v>48</v>
      </c>
      <c r="I91" s="1">
        <v>250</v>
      </c>
      <c r="J91" s="3">
        <v>348</v>
      </c>
      <c r="K91" s="4">
        <v>400</v>
      </c>
      <c r="L91" s="5">
        <v>32000</v>
      </c>
      <c r="M91" s="4">
        <v>73.386285342529106</v>
      </c>
      <c r="N91" s="10">
        <v>1.2500000000000001E-2</v>
      </c>
      <c r="O91" s="5">
        <v>23.34</v>
      </c>
      <c r="P91" s="4">
        <v>53.370132317074997</v>
      </c>
      <c r="Q91" s="5">
        <v>0.2</v>
      </c>
      <c r="R91" s="11">
        <f t="shared" si="10"/>
        <v>2.6685066158537498E-4</v>
      </c>
      <c r="V91" s="5">
        <f t="shared" si="11"/>
        <v>0.12848088332501847</v>
      </c>
      <c r="W91" s="5">
        <f t="shared" si="12"/>
        <v>0.64240441662509229</v>
      </c>
      <c r="Y91" s="5">
        <f t="shared" si="13"/>
        <v>0.12739594764741027</v>
      </c>
      <c r="Z91" s="5">
        <f t="shared" si="14"/>
        <v>0.63697973823705134</v>
      </c>
      <c r="AB91" s="5">
        <f>$AC$2*($AC$3+$AC$4*$F91/($N91*'Sem TS MC2020'!P83))*($AC$5*$G91+$AC$6*$B91/$N91)*'Sem TS MC2020'!R83*($J91-$M91)/($J91-$M91-$H91)</f>
        <v>0.12404276956957708</v>
      </c>
      <c r="AC91" s="5">
        <f t="shared" si="15"/>
        <v>0.62021384784788536</v>
      </c>
      <c r="AD91" s="20">
        <f t="shared" si="16"/>
        <v>-7.5957230430422934E-2</v>
      </c>
      <c r="AE91" s="21">
        <f t="shared" si="17"/>
        <v>1.6123471016810667</v>
      </c>
      <c r="AF91" s="21">
        <f>AB91*(14.068*'Sem TS MC2020'!$P83^-0.457)/$Q91</f>
        <v>0.75484194146403905</v>
      </c>
      <c r="AG91" s="21"/>
      <c r="AO91" s="5">
        <f>$AP$2*($AP$3+$AP$4*$F91/($N91*'Sem TS MC2020'!P83))*($AP$5*$G91+$AP$6*$B91/$N91)*('Sem TS MC2020'!P83^$AP$7/200000)*($J91-$M91)/($J91-$M91-$H91)+('Sem TS MC2020'!P83-$C91/$AP$8)*($AP$5*$G91+$AP$6*$B91/$N91)/200000</f>
        <v>0.12875861561640486</v>
      </c>
      <c r="AP91" s="5">
        <f t="shared" si="18"/>
        <v>0.64379307808202424</v>
      </c>
      <c r="AQ91" s="20">
        <f t="shared" si="19"/>
        <v>-7.1241384383595147E-2</v>
      </c>
    </row>
    <row r="92" spans="1:43" x14ac:dyDescent="0.25">
      <c r="B92" s="3">
        <v>16</v>
      </c>
      <c r="C92" s="4">
        <v>500</v>
      </c>
      <c r="D92" s="4">
        <v>2</v>
      </c>
      <c r="E92" s="3">
        <v>138</v>
      </c>
      <c r="F92" s="5">
        <v>3.2690000000000001</v>
      </c>
      <c r="G92" s="3">
        <v>40</v>
      </c>
      <c r="H92" s="3">
        <v>48</v>
      </c>
      <c r="I92" s="1">
        <v>250</v>
      </c>
      <c r="J92" s="3">
        <v>348</v>
      </c>
      <c r="K92" s="4">
        <v>400</v>
      </c>
      <c r="L92" s="5">
        <v>32000</v>
      </c>
      <c r="M92" s="4">
        <v>73.386285342529106</v>
      </c>
      <c r="N92" s="10">
        <v>1.2500000000000001E-2</v>
      </c>
      <c r="O92" s="5">
        <v>26.26</v>
      </c>
      <c r="P92" s="4">
        <v>95.802447537233306</v>
      </c>
      <c r="Q92" s="5">
        <v>0.25</v>
      </c>
      <c r="R92" s="11">
        <f t="shared" si="10"/>
        <v>4.7901223768616655E-4</v>
      </c>
      <c r="V92" s="5">
        <f t="shared" si="11"/>
        <v>0.18433374236535532</v>
      </c>
      <c r="W92" s="5">
        <f t="shared" si="12"/>
        <v>0.7373349694614213</v>
      </c>
      <c r="Y92" s="5">
        <f t="shared" si="13"/>
        <v>0.18395720473358343</v>
      </c>
      <c r="Z92" s="5">
        <f t="shared" si="14"/>
        <v>0.73582881893433372</v>
      </c>
      <c r="AB92" s="5">
        <f>$AC$2*($AC$3+$AC$4*$F92/($N92*'Sem TS MC2020'!P84))*($AC$5*$G92+$AC$6*$B92/$N92)*'Sem TS MC2020'!R84*($J92-$M92)/($J92-$M92-$H92)</f>
        <v>0.17133517684692767</v>
      </c>
      <c r="AC92" s="5">
        <f t="shared" si="15"/>
        <v>0.68534070738771069</v>
      </c>
      <c r="AD92" s="20">
        <f t="shared" si="16"/>
        <v>-7.8664823153072327E-2</v>
      </c>
      <c r="AE92" s="21">
        <f t="shared" si="17"/>
        <v>1.4591282689330758</v>
      </c>
      <c r="AF92" s="21">
        <f>AB92*(14.068*'Sem TS MC2020'!$P84^-0.457)/$Q92</f>
        <v>0.79036098559074042</v>
      </c>
      <c r="AG92" s="21"/>
      <c r="AO92" s="5">
        <f>$AP$2*($AP$3+$AP$4*$F92/($N92*'Sem TS MC2020'!P84))*($AP$5*$G92+$AP$6*$B92/$N92)*('Sem TS MC2020'!P84^$AP$7/200000)*($J92-$M92)/($J92-$M92-$H92)+('Sem TS MC2020'!P84-$C92/$AP$8)*($AP$5*$G92+$AP$6*$B92/$N92)/200000</f>
        <v>0.18094870855339612</v>
      </c>
      <c r="AP92" s="5">
        <f t="shared" si="18"/>
        <v>0.72379483421358448</v>
      </c>
      <c r="AQ92" s="20">
        <f t="shared" si="19"/>
        <v>-6.905129144660388E-2</v>
      </c>
    </row>
    <row r="93" spans="1:43" x14ac:dyDescent="0.25">
      <c r="B93" s="3">
        <v>16</v>
      </c>
      <c r="C93" s="4">
        <v>500</v>
      </c>
      <c r="D93" s="4">
        <v>2</v>
      </c>
      <c r="E93" s="3">
        <v>138</v>
      </c>
      <c r="F93" s="5">
        <v>3.2690000000000001</v>
      </c>
      <c r="G93" s="3">
        <v>40</v>
      </c>
      <c r="H93" s="3">
        <v>48</v>
      </c>
      <c r="I93" s="1">
        <v>250</v>
      </c>
      <c r="J93" s="3">
        <v>348</v>
      </c>
      <c r="K93" s="4">
        <v>400</v>
      </c>
      <c r="L93" s="5">
        <v>32000</v>
      </c>
      <c r="M93" s="4">
        <v>73.386285342529106</v>
      </c>
      <c r="N93" s="10">
        <v>1.2500000000000001E-2</v>
      </c>
      <c r="O93" s="5">
        <v>29.175000000000001</v>
      </c>
      <c r="P93" s="4">
        <v>138.162104683384</v>
      </c>
      <c r="Q93" s="5">
        <v>0.28000000000000003</v>
      </c>
      <c r="R93" s="11">
        <f t="shared" si="10"/>
        <v>6.9081052341691998E-4</v>
      </c>
      <c r="V93" s="5">
        <f t="shared" si="11"/>
        <v>0.23105504283664705</v>
      </c>
      <c r="W93" s="5">
        <f t="shared" si="12"/>
        <v>0.82519658155945363</v>
      </c>
      <c r="Y93" s="5">
        <f t="shared" si="13"/>
        <v>0.23151362158818797</v>
      </c>
      <c r="Z93" s="5">
        <f t="shared" si="14"/>
        <v>0.82683436281495692</v>
      </c>
      <c r="AB93" s="5">
        <f>$AC$2*($AC$3+$AC$4*$F93/($N93*'Sem TS MC2020'!P85))*($AC$5*$G93+$AC$6*$B93/$N93)*'Sem TS MC2020'!R85*($J93-$M93)/($J93-$M93-$H93)</f>
        <v>0.2185466039748305</v>
      </c>
      <c r="AC93" s="5">
        <f t="shared" si="15"/>
        <v>0.78052358562439461</v>
      </c>
      <c r="AD93" s="20">
        <f t="shared" si="16"/>
        <v>-6.1453396025169527E-2</v>
      </c>
      <c r="AE93" s="21">
        <f t="shared" si="17"/>
        <v>1.2811912649635451</v>
      </c>
      <c r="AF93" s="21">
        <f>AB93*(14.068*'Sem TS MC2020'!$P85^-0.457)/$Q93</f>
        <v>0.85785269361304817</v>
      </c>
      <c r="AG93" s="21"/>
      <c r="AO93" s="5">
        <f>$AP$2*($AP$3+$AP$4*$F93/($N93*'Sem TS MC2020'!P85))*($AP$5*$G93+$AP$6*$B93/$N93)*('Sem TS MC2020'!P85^$AP$7/200000)*($J93-$M93)/($J93-$M93-$H93)+('Sem TS MC2020'!P85-$C93/$AP$8)*($AP$5*$G93+$AP$6*$B93/$N93)/200000</f>
        <v>0.23145110013602116</v>
      </c>
      <c r="AP93" s="5">
        <f t="shared" si="18"/>
        <v>0.82661107191436123</v>
      </c>
      <c r="AQ93" s="20">
        <f t="shared" si="19"/>
        <v>-4.8548899863978867E-2</v>
      </c>
    </row>
    <row r="94" spans="1:43" x14ac:dyDescent="0.25">
      <c r="B94" s="3">
        <v>16</v>
      </c>
      <c r="C94" s="4">
        <v>500</v>
      </c>
      <c r="D94" s="4">
        <v>2</v>
      </c>
      <c r="E94" s="3">
        <v>138</v>
      </c>
      <c r="F94" s="5">
        <v>3.2690000000000001</v>
      </c>
      <c r="G94" s="3">
        <v>40</v>
      </c>
      <c r="H94" s="3">
        <v>48</v>
      </c>
      <c r="I94" s="1">
        <v>250</v>
      </c>
      <c r="J94" s="3">
        <v>348</v>
      </c>
      <c r="K94" s="4">
        <v>400</v>
      </c>
      <c r="L94" s="5">
        <v>32000</v>
      </c>
      <c r="M94" s="4">
        <v>73.386285342529106</v>
      </c>
      <c r="N94" s="10">
        <v>1.2500000000000001E-2</v>
      </c>
      <c r="O94" s="5">
        <v>32.090000000000003</v>
      </c>
      <c r="P94" s="4">
        <v>180.521761829535</v>
      </c>
      <c r="Q94" s="5">
        <v>0.28000000000000003</v>
      </c>
      <c r="R94" s="11">
        <f t="shared" si="10"/>
        <v>9.0260880914767503E-4</v>
      </c>
      <c r="V94" s="5">
        <f t="shared" si="11"/>
        <v>0.27250483730416708</v>
      </c>
      <c r="W94" s="5">
        <f t="shared" si="12"/>
        <v>0.97323156180059667</v>
      </c>
      <c r="Y94" s="5">
        <f t="shared" si="13"/>
        <v>0.27385007234140007</v>
      </c>
      <c r="Z94" s="5">
        <f t="shared" si="14"/>
        <v>0.97803597264785735</v>
      </c>
      <c r="AB94" s="5">
        <f>$AC$2*($AC$3+$AC$4*$F94/($N94*'Sem TS MC2020'!P86))*($AC$5*$G94+$AC$6*$B94/$N94)*'Sem TS MC2020'!R86*($J94-$M94)/($J94-$M94-$H94)</f>
        <v>0.26575803110273516</v>
      </c>
      <c r="AC94" s="5">
        <f t="shared" si="15"/>
        <v>0.94913582536691121</v>
      </c>
      <c r="AD94" s="20">
        <f t="shared" si="16"/>
        <v>-1.4241968897264867E-2</v>
      </c>
      <c r="AE94" s="21">
        <f t="shared" si="17"/>
        <v>1.0535899849881085</v>
      </c>
      <c r="AF94" s="21">
        <f>AB94*(14.068*'Sem TS MC2020'!$P86^-0.457)/$Q94</f>
        <v>0.99874371421182362</v>
      </c>
      <c r="AG94" s="21"/>
      <c r="AO94" s="5">
        <f>$AP$2*($AP$3+$AP$4*$F94/($N94*'Sem TS MC2020'!P86))*($AP$5*$G94+$AP$6*$B94/$N94)*('Sem TS MC2020'!P86^$AP$7/200000)*($J94-$M94)/($J94-$M94-$H94)+('Sem TS MC2020'!P86-$C94/$AP$8)*($AP$5*$G94+$AP$6*$B94/$N94)/200000</f>
        <v>0.28061035680379237</v>
      </c>
      <c r="AP94" s="5">
        <f t="shared" si="18"/>
        <v>1.0021798457278297</v>
      </c>
      <c r="AQ94" s="20">
        <f t="shared" si="19"/>
        <v>6.1035680379234458E-4</v>
      </c>
    </row>
    <row r="95" spans="1:43" x14ac:dyDescent="0.25">
      <c r="B95" s="3">
        <v>16</v>
      </c>
      <c r="C95" s="4">
        <v>500</v>
      </c>
      <c r="D95" s="4">
        <v>2</v>
      </c>
      <c r="E95" s="3">
        <v>138</v>
      </c>
      <c r="F95" s="5">
        <v>3.2690000000000001</v>
      </c>
      <c r="G95" s="3">
        <v>40</v>
      </c>
      <c r="H95" s="3">
        <v>48</v>
      </c>
      <c r="I95" s="1">
        <v>250</v>
      </c>
      <c r="J95" s="3">
        <v>348</v>
      </c>
      <c r="K95" s="4">
        <v>400</v>
      </c>
      <c r="L95" s="5">
        <v>32000</v>
      </c>
      <c r="M95" s="4">
        <v>73.386285342529106</v>
      </c>
      <c r="N95" s="10">
        <v>1.2500000000000001E-2</v>
      </c>
      <c r="O95" s="5">
        <v>35.01</v>
      </c>
      <c r="P95" s="4">
        <v>222.95407704969301</v>
      </c>
      <c r="Q95" s="5">
        <v>0.3</v>
      </c>
      <c r="R95" s="11">
        <f t="shared" si="10"/>
        <v>1.114770385248465E-3</v>
      </c>
      <c r="V95" s="5">
        <f t="shared" si="11"/>
        <v>0.31041620742317716</v>
      </c>
      <c r="W95" s="5">
        <f t="shared" si="12"/>
        <v>1.0347206914105906</v>
      </c>
      <c r="Y95" s="5">
        <f t="shared" si="13"/>
        <v>0.31267386134438774</v>
      </c>
      <c r="Z95" s="5">
        <f t="shared" si="14"/>
        <v>1.0422462044812926</v>
      </c>
      <c r="AB95" s="5">
        <f>$AC$2*($AC$3+$AC$4*$F95/($N95*'Sem TS MC2020'!P87))*($AC$5*$G95+$AC$6*$B95/$N95)*'Sem TS MC2020'!R87*($J95-$M95)/($J95-$M95-$H95)</f>
        <v>0.31305043838008567</v>
      </c>
      <c r="AC95" s="5">
        <f t="shared" si="15"/>
        <v>1.0435014612669522</v>
      </c>
      <c r="AD95" s="20">
        <f t="shared" si="16"/>
        <v>1.3050438380085683E-2</v>
      </c>
      <c r="AE95" s="21">
        <f t="shared" si="17"/>
        <v>0.95831202649765768</v>
      </c>
      <c r="AF95" s="21">
        <f>AB95*(14.068*'Sem TS MC2020'!$P87^-0.457)/$Q95</f>
        <v>1.0551979053082876</v>
      </c>
      <c r="AG95" s="21"/>
      <c r="AO95" s="5">
        <f>$AP$2*($AP$3+$AP$4*$F95/($N95*'Sem TS MC2020'!P87))*($AP$5*$G95+$AP$6*$B95/$N95)*('Sem TS MC2020'!P87^$AP$7/200000)*($J95-$M95)/($J95-$M95-$H95)+('Sem TS MC2020'!P87-$C95/$AP$8)*($AP$5*$G95+$AP$6*$B95/$N95)/200000</f>
        <v>0.32869958410834932</v>
      </c>
      <c r="AP95" s="5">
        <f t="shared" si="18"/>
        <v>1.0956652803611644</v>
      </c>
      <c r="AQ95" s="20">
        <f t="shared" si="19"/>
        <v>2.869958410834933E-2</v>
      </c>
    </row>
    <row r="96" spans="1:43" x14ac:dyDescent="0.25">
      <c r="B96" s="3">
        <v>16</v>
      </c>
      <c r="C96" s="4">
        <v>500</v>
      </c>
      <c r="D96" s="4">
        <v>2</v>
      </c>
      <c r="E96" s="3">
        <v>138</v>
      </c>
      <c r="F96" s="5">
        <v>3.2690000000000001</v>
      </c>
      <c r="G96" s="3">
        <v>40</v>
      </c>
      <c r="H96" s="3">
        <v>48</v>
      </c>
      <c r="I96" s="1">
        <v>250</v>
      </c>
      <c r="J96" s="3">
        <v>348</v>
      </c>
      <c r="K96" s="4">
        <v>400</v>
      </c>
      <c r="L96" s="5">
        <v>32000</v>
      </c>
      <c r="M96" s="4">
        <v>73.386285342529106</v>
      </c>
      <c r="N96" s="10">
        <v>1.2500000000000001E-2</v>
      </c>
      <c r="O96" s="5">
        <v>37.93</v>
      </c>
      <c r="P96" s="4">
        <v>265.38639226985202</v>
      </c>
      <c r="Q96" s="5">
        <v>0.33</v>
      </c>
      <c r="R96" s="11">
        <f t="shared" si="10"/>
        <v>1.3269319613492601E-3</v>
      </c>
      <c r="V96" s="5">
        <f t="shared" si="11"/>
        <v>0.34564366598472152</v>
      </c>
      <c r="W96" s="5">
        <f t="shared" si="12"/>
        <v>1.04740504843855</v>
      </c>
      <c r="Y96" s="5">
        <f t="shared" si="13"/>
        <v>0.3488253886004915</v>
      </c>
      <c r="Z96" s="5">
        <f t="shared" si="14"/>
        <v>1.0570466321227014</v>
      </c>
      <c r="AB96" s="5">
        <f>$AC$2*($AC$3+$AC$4*$F96/($N96*'Sem TS MC2020'!P88))*($AC$5*$G96+$AC$6*$B96/$N96)*'Sem TS MC2020'!R88*($J96-$M96)/($J96-$M96-$H96)</f>
        <v>0.36034284565743613</v>
      </c>
      <c r="AC96" s="5">
        <f t="shared" si="15"/>
        <v>1.0919480171437459</v>
      </c>
      <c r="AD96" s="20">
        <f t="shared" si="16"/>
        <v>3.0342845657436113E-2</v>
      </c>
      <c r="AE96" s="21">
        <f t="shared" si="17"/>
        <v>0.91579451063590167</v>
      </c>
      <c r="AF96" s="21">
        <f>AB96*(14.068*'Sem TS MC2020'!$P88^-0.457)/$Q96</f>
        <v>1.0644945894095916</v>
      </c>
      <c r="AG96" s="21"/>
      <c r="AO96" s="5">
        <f>$AP$2*($AP$3+$AP$4*$F96/($N96*'Sem TS MC2020'!P88))*($AP$5*$G96+$AP$6*$B96/$N96)*('Sem TS MC2020'!P88^$AP$7/200000)*($J96-$M96)/($J96-$M96-$H96)+('Sem TS MC2020'!P88-$C96/$AP$8)*($AP$5*$G96+$AP$6*$B96/$N96)/200000</f>
        <v>0.37578305653769872</v>
      </c>
      <c r="AP96" s="5">
        <f t="shared" si="18"/>
        <v>1.1387365349627234</v>
      </c>
      <c r="AQ96" s="20">
        <f t="shared" si="19"/>
        <v>4.5783056537698708E-2</v>
      </c>
    </row>
    <row r="97" spans="1:43" x14ac:dyDescent="0.25">
      <c r="B97" s="3">
        <v>16</v>
      </c>
      <c r="C97" s="4">
        <v>500</v>
      </c>
      <c r="D97" s="4">
        <v>2</v>
      </c>
      <c r="E97" s="3">
        <v>138</v>
      </c>
      <c r="F97" s="5">
        <v>3.2690000000000001</v>
      </c>
      <c r="G97" s="3">
        <v>40</v>
      </c>
      <c r="H97" s="3">
        <v>48</v>
      </c>
      <c r="I97" s="1">
        <v>250</v>
      </c>
      <c r="J97" s="3">
        <v>348</v>
      </c>
      <c r="K97" s="4">
        <v>400</v>
      </c>
      <c r="L97" s="5">
        <v>32000</v>
      </c>
      <c r="M97" s="4">
        <v>73.386285342529106</v>
      </c>
      <c r="N97" s="10">
        <v>1.2500000000000001E-2</v>
      </c>
      <c r="O97" s="5">
        <v>40.840000000000003</v>
      </c>
      <c r="P97" s="4">
        <v>307.67339134199602</v>
      </c>
      <c r="Q97" s="5">
        <v>0.33</v>
      </c>
      <c r="R97" s="11">
        <f t="shared" si="10"/>
        <v>1.5383669567099801E-3</v>
      </c>
      <c r="V97" s="5">
        <f t="shared" si="11"/>
        <v>0.37865785240713146</v>
      </c>
      <c r="W97" s="5">
        <f t="shared" si="12"/>
        <v>1.1474480375973679</v>
      </c>
      <c r="Y97" s="5">
        <f t="shared" si="13"/>
        <v>0.38276549048585123</v>
      </c>
      <c r="Z97" s="5">
        <f t="shared" si="14"/>
        <v>1.1598954257147007</v>
      </c>
      <c r="AB97" s="5">
        <f>$AC$2*($AC$3+$AC$4*$F97/($N97*'Sem TS MC2020'!P89))*($AC$5*$G97+$AC$6*$B97/$N97)*'Sem TS MC2020'!R89*($J97-$M97)/($J97-$M97-$H97)</f>
        <v>0.40747329263589305</v>
      </c>
      <c r="AC97" s="5">
        <f t="shared" si="15"/>
        <v>1.2347675534421001</v>
      </c>
      <c r="AD97" s="20">
        <f t="shared" si="16"/>
        <v>7.7473292635893032E-2</v>
      </c>
      <c r="AE97" s="21">
        <f t="shared" si="17"/>
        <v>0.80986902936698468</v>
      </c>
      <c r="AF97" s="21">
        <f>AB97*(14.068*'Sem TS MC2020'!$P89^-0.457)/$Q97</f>
        <v>1.1637392496560479</v>
      </c>
      <c r="AG97" s="21"/>
      <c r="AO97" s="5">
        <f>$AP$2*($AP$3+$AP$4*$F97/($N97*'Sem TS MC2020'!P89))*($AP$5*$G97+$AP$6*$B97/$N97)*('Sem TS MC2020'!P89^$AP$7/200000)*($J97-$M97)/($J97-$M97-$H97)+('Sem TS MC2020'!P89-$C97/$AP$8)*($AP$5*$G97+$AP$6*$B97/$N97)/200000</f>
        <v>0.42182297351882164</v>
      </c>
      <c r="AP97" s="5">
        <f t="shared" si="18"/>
        <v>1.2782514349055201</v>
      </c>
      <c r="AQ97" s="20">
        <f t="shared" si="19"/>
        <v>9.1822973518821627E-2</v>
      </c>
    </row>
    <row r="98" spans="1:43" x14ac:dyDescent="0.25">
      <c r="A98" s="1" t="s">
        <v>43</v>
      </c>
      <c r="B98" s="3">
        <v>16</v>
      </c>
      <c r="C98" s="4">
        <v>500</v>
      </c>
      <c r="D98" s="4">
        <v>2</v>
      </c>
      <c r="E98" s="3">
        <v>138</v>
      </c>
      <c r="F98" s="5">
        <v>3.2690000000000001</v>
      </c>
      <c r="G98" s="3">
        <v>40</v>
      </c>
      <c r="H98" s="3">
        <v>48</v>
      </c>
      <c r="I98" s="1">
        <v>250</v>
      </c>
      <c r="J98" s="3">
        <v>348</v>
      </c>
      <c r="K98" s="4">
        <v>400</v>
      </c>
      <c r="L98" s="5">
        <v>32000</v>
      </c>
      <c r="M98" s="4">
        <v>73.386285342529106</v>
      </c>
      <c r="N98" s="10">
        <v>1.2500000000000001E-2</v>
      </c>
      <c r="O98" s="5">
        <v>23.34</v>
      </c>
      <c r="P98" s="4">
        <v>53.370132317074997</v>
      </c>
      <c r="Q98" s="5">
        <v>0.15</v>
      </c>
      <c r="R98" s="11">
        <f t="shared" si="10"/>
        <v>2.6685066158537498E-4</v>
      </c>
      <c r="V98" s="5">
        <f t="shared" si="11"/>
        <v>0.12848088332501847</v>
      </c>
      <c r="W98" s="5">
        <f t="shared" si="12"/>
        <v>0.8565392221667899</v>
      </c>
      <c r="Y98" s="5">
        <f t="shared" si="13"/>
        <v>0.12739594764741027</v>
      </c>
      <c r="Z98" s="5">
        <f t="shared" si="14"/>
        <v>0.8493063176494019</v>
      </c>
      <c r="AB98" s="5">
        <f>$AC$2*($AC$3+$AC$4*$F98/($N98*'Sem TS MC2020'!P90))*($AC$5*$G98+$AC$6*$B98/$N98)*'Sem TS MC2020'!R90*($J98-$M98)/($J98-$M98-$H98)</f>
        <v>0.12404276956957708</v>
      </c>
      <c r="AC98" s="5">
        <f t="shared" si="15"/>
        <v>0.82695179713051392</v>
      </c>
      <c r="AD98" s="20">
        <f t="shared" si="16"/>
        <v>-2.5957230430422917E-2</v>
      </c>
      <c r="AE98" s="21">
        <f t="shared" si="17"/>
        <v>1.2092603262607997</v>
      </c>
      <c r="AF98" s="21">
        <f>AB98*(14.068*'Sem TS MC2020'!$P90^-0.457)/$Q98</f>
        <v>1.0064559219520521</v>
      </c>
      <c r="AG98" s="21"/>
      <c r="AO98" s="5">
        <f>$AP$2*($AP$3+$AP$4*$F98/($N98*'Sem TS MC2020'!P90))*($AP$5*$G98+$AP$6*$B98/$N98)*('Sem TS MC2020'!P90^$AP$7/200000)*($J98-$M98)/($J98-$M98-$H98)+('Sem TS MC2020'!P90-$C98/$AP$8)*($AP$5*$G98+$AP$6*$B98/$N98)/200000</f>
        <v>0.12875861561640486</v>
      </c>
      <c r="AP98" s="5">
        <f t="shared" si="18"/>
        <v>0.85839077077603243</v>
      </c>
      <c r="AQ98" s="20">
        <f t="shared" si="19"/>
        <v>-2.124138438359513E-2</v>
      </c>
    </row>
    <row r="99" spans="1:43" x14ac:dyDescent="0.25">
      <c r="B99" s="3">
        <v>16</v>
      </c>
      <c r="C99" s="4">
        <v>500</v>
      </c>
      <c r="D99" s="4">
        <v>2</v>
      </c>
      <c r="E99" s="3">
        <v>138</v>
      </c>
      <c r="F99" s="5">
        <v>3.2690000000000001</v>
      </c>
      <c r="G99" s="3">
        <v>40</v>
      </c>
      <c r="H99" s="3">
        <v>48</v>
      </c>
      <c r="I99" s="1">
        <v>250</v>
      </c>
      <c r="J99" s="3">
        <v>348</v>
      </c>
      <c r="K99" s="4">
        <v>400</v>
      </c>
      <c r="L99" s="5">
        <v>32000</v>
      </c>
      <c r="M99" s="4">
        <v>73.386285342529106</v>
      </c>
      <c r="N99" s="10">
        <v>1.2500000000000001E-2</v>
      </c>
      <c r="O99" s="5">
        <v>26.26</v>
      </c>
      <c r="P99" s="4">
        <v>95.802447537233306</v>
      </c>
      <c r="Q99" s="5">
        <v>0.18</v>
      </c>
      <c r="R99" s="11">
        <f t="shared" si="10"/>
        <v>4.7901223768616655E-4</v>
      </c>
      <c r="V99" s="5">
        <f t="shared" si="11"/>
        <v>0.18433374236535532</v>
      </c>
      <c r="W99" s="5">
        <f t="shared" si="12"/>
        <v>1.0240763464741962</v>
      </c>
      <c r="Y99" s="5">
        <f t="shared" si="13"/>
        <v>0.18395720473358343</v>
      </c>
      <c r="Z99" s="5">
        <f t="shared" si="14"/>
        <v>1.0219844707421302</v>
      </c>
      <c r="AB99" s="5">
        <f>$AC$2*($AC$3+$AC$4*$F99/($N99*'Sem TS MC2020'!P91))*($AC$5*$G99+$AC$6*$B99/$N99)*'Sem TS MC2020'!R91*($J99-$M99)/($J99-$M99-$H99)</f>
        <v>0.17133517684692767</v>
      </c>
      <c r="AC99" s="5">
        <f t="shared" si="15"/>
        <v>0.95186209359404261</v>
      </c>
      <c r="AD99" s="20">
        <f t="shared" si="16"/>
        <v>-8.6648231530723208E-3</v>
      </c>
      <c r="AE99" s="21">
        <f t="shared" si="17"/>
        <v>1.0505723536318146</v>
      </c>
      <c r="AF99" s="21">
        <f>AB99*(14.068*'Sem TS MC2020'!$P91^-0.457)/$Q99</f>
        <v>1.0977235910982506</v>
      </c>
      <c r="AG99" s="21"/>
      <c r="AO99" s="5">
        <f>$AP$2*($AP$3+$AP$4*$F99/($N99*'Sem TS MC2020'!P91))*($AP$5*$G99+$AP$6*$B99/$N99)*('Sem TS MC2020'!P91^$AP$7/200000)*($J99-$M99)/($J99-$M99-$H99)+('Sem TS MC2020'!P91-$C99/$AP$8)*($AP$5*$G99+$AP$6*$B99/$N99)/200000</f>
        <v>0.18094870855339612</v>
      </c>
      <c r="AP99" s="5">
        <f t="shared" si="18"/>
        <v>1.005270603074423</v>
      </c>
      <c r="AQ99" s="20">
        <f t="shared" si="19"/>
        <v>9.4870855339612703E-4</v>
      </c>
    </row>
    <row r="100" spans="1:43" x14ac:dyDescent="0.25">
      <c r="B100" s="3">
        <v>16</v>
      </c>
      <c r="C100" s="4">
        <v>500</v>
      </c>
      <c r="D100" s="4">
        <v>2</v>
      </c>
      <c r="E100" s="3">
        <v>138</v>
      </c>
      <c r="F100" s="5">
        <v>3.2690000000000001</v>
      </c>
      <c r="G100" s="3">
        <v>40</v>
      </c>
      <c r="H100" s="3">
        <v>48</v>
      </c>
      <c r="I100" s="1">
        <v>250</v>
      </c>
      <c r="J100" s="3">
        <v>348</v>
      </c>
      <c r="K100" s="4">
        <v>400</v>
      </c>
      <c r="L100" s="5">
        <v>32000</v>
      </c>
      <c r="M100" s="4">
        <v>73.386285342529106</v>
      </c>
      <c r="N100" s="10">
        <v>1.2500000000000001E-2</v>
      </c>
      <c r="O100" s="5">
        <v>29.175000000000001</v>
      </c>
      <c r="P100" s="4">
        <v>138.162104683384</v>
      </c>
      <c r="Q100" s="5">
        <v>0.2</v>
      </c>
      <c r="R100" s="11">
        <f t="shared" si="10"/>
        <v>6.9081052341691998E-4</v>
      </c>
      <c r="V100" s="5">
        <f t="shared" si="11"/>
        <v>0.23105504283664705</v>
      </c>
      <c r="W100" s="5">
        <f t="shared" si="12"/>
        <v>1.1552752141832352</v>
      </c>
      <c r="Y100" s="5">
        <f t="shared" si="13"/>
        <v>0.23151362158818797</v>
      </c>
      <c r="Z100" s="5">
        <f t="shared" si="14"/>
        <v>1.1575681079409399</v>
      </c>
      <c r="AB100" s="5">
        <f>$AC$2*($AC$3+$AC$4*$F100/($N100*'Sem TS MC2020'!P92))*($AC$5*$G100+$AC$6*$B100/$N100)*'Sem TS MC2020'!R92*($J100-$M100)/($J100-$M100-$H100)</f>
        <v>0.2185466039748305</v>
      </c>
      <c r="AC100" s="5">
        <f t="shared" si="15"/>
        <v>1.0927330198741525</v>
      </c>
      <c r="AD100" s="20">
        <f t="shared" si="16"/>
        <v>1.8546603974830489E-2</v>
      </c>
      <c r="AE100" s="21">
        <f t="shared" si="17"/>
        <v>0.91513661783110356</v>
      </c>
      <c r="AF100" s="21">
        <f>AB100*(14.068*'Sem TS MC2020'!$P92^-0.457)/$Q100</f>
        <v>1.2009937710582674</v>
      </c>
      <c r="AG100" s="21"/>
      <c r="AO100" s="5">
        <f>$AP$2*($AP$3+$AP$4*$F100/($N100*'Sem TS MC2020'!P92))*($AP$5*$G100+$AP$6*$B100/$N100)*('Sem TS MC2020'!P92^$AP$7/200000)*($J100-$M100)/($J100-$M100-$H100)+('Sem TS MC2020'!P92-$C100/$AP$8)*($AP$5*$G100+$AP$6*$B100/$N100)/200000</f>
        <v>0.23145110013602116</v>
      </c>
      <c r="AP100" s="5">
        <f t="shared" si="18"/>
        <v>1.1572555006801057</v>
      </c>
      <c r="AQ100" s="20">
        <f t="shared" si="19"/>
        <v>3.1451100136021148E-2</v>
      </c>
    </row>
    <row r="101" spans="1:43" x14ac:dyDescent="0.25">
      <c r="B101" s="3">
        <v>16</v>
      </c>
      <c r="C101" s="4">
        <v>500</v>
      </c>
      <c r="D101" s="4">
        <v>2</v>
      </c>
      <c r="E101" s="3">
        <v>138</v>
      </c>
      <c r="F101" s="5">
        <v>3.2690000000000001</v>
      </c>
      <c r="G101" s="3">
        <v>40</v>
      </c>
      <c r="H101" s="3">
        <v>48</v>
      </c>
      <c r="I101" s="1">
        <v>250</v>
      </c>
      <c r="J101" s="3">
        <v>348</v>
      </c>
      <c r="K101" s="4">
        <v>400</v>
      </c>
      <c r="L101" s="5">
        <v>32000</v>
      </c>
      <c r="M101" s="4">
        <v>73.386285342529106</v>
      </c>
      <c r="N101" s="10">
        <v>1.2500000000000001E-2</v>
      </c>
      <c r="O101" s="5">
        <v>32.090000000000003</v>
      </c>
      <c r="P101" s="4">
        <v>180.521761829535</v>
      </c>
      <c r="Q101" s="5">
        <v>0.25</v>
      </c>
      <c r="R101" s="11">
        <f t="shared" si="10"/>
        <v>9.0260880914767503E-4</v>
      </c>
      <c r="V101" s="5">
        <f t="shared" si="11"/>
        <v>0.27250483730416708</v>
      </c>
      <c r="W101" s="5">
        <f t="shared" si="12"/>
        <v>1.0900193492166683</v>
      </c>
      <c r="Y101" s="5">
        <f t="shared" si="13"/>
        <v>0.27385007234140007</v>
      </c>
      <c r="Z101" s="5">
        <f t="shared" si="14"/>
        <v>1.0954002893656003</v>
      </c>
      <c r="AB101" s="5">
        <f>$AC$2*($AC$3+$AC$4*$F101/($N101*'Sem TS MC2020'!P93))*($AC$5*$G101+$AC$6*$B101/$N101)*'Sem TS MC2020'!R93*($J101-$M101)/($J101-$M101-$H101)</f>
        <v>0.26575803110273516</v>
      </c>
      <c r="AC101" s="5">
        <f t="shared" si="15"/>
        <v>1.0630321244109406</v>
      </c>
      <c r="AD101" s="20">
        <f t="shared" si="16"/>
        <v>1.5758031102735159E-2</v>
      </c>
      <c r="AE101" s="21">
        <f t="shared" si="17"/>
        <v>0.94070534373938253</v>
      </c>
      <c r="AF101" s="21">
        <f>AB101*(14.068*'Sem TS MC2020'!$P93^-0.457)/$Q101</f>
        <v>1.1185929599172426</v>
      </c>
      <c r="AG101" s="21"/>
      <c r="AO101" s="5">
        <f>$AP$2*($AP$3+$AP$4*$F101/($N101*'Sem TS MC2020'!P93))*($AP$5*$G101+$AP$6*$B101/$N101)*('Sem TS MC2020'!P93^$AP$7/200000)*($J101-$M101)/($J101-$M101-$H101)+('Sem TS MC2020'!P93-$C101/$AP$8)*($AP$5*$G101+$AP$6*$B101/$N101)/200000</f>
        <v>0.28061035680379237</v>
      </c>
      <c r="AP101" s="5">
        <f t="shared" si="18"/>
        <v>1.1224414272151695</v>
      </c>
      <c r="AQ101" s="20">
        <f t="shared" si="19"/>
        <v>3.0610356803792371E-2</v>
      </c>
    </row>
    <row r="102" spans="1:43" x14ac:dyDescent="0.25">
      <c r="B102" s="3">
        <v>16</v>
      </c>
      <c r="C102" s="4">
        <v>500</v>
      </c>
      <c r="D102" s="4">
        <v>2</v>
      </c>
      <c r="E102" s="3">
        <v>138</v>
      </c>
      <c r="F102" s="5">
        <v>3.2690000000000001</v>
      </c>
      <c r="G102" s="3">
        <v>40</v>
      </c>
      <c r="H102" s="3">
        <v>48</v>
      </c>
      <c r="I102" s="1">
        <v>250</v>
      </c>
      <c r="J102" s="3">
        <v>348</v>
      </c>
      <c r="K102" s="4">
        <v>400</v>
      </c>
      <c r="L102" s="5">
        <v>32000</v>
      </c>
      <c r="M102" s="4">
        <v>73.386285342529106</v>
      </c>
      <c r="N102" s="10">
        <v>1.2500000000000001E-2</v>
      </c>
      <c r="O102" s="5">
        <v>35.01</v>
      </c>
      <c r="P102" s="4">
        <v>222.95407704969301</v>
      </c>
      <c r="Q102" s="5">
        <v>0.3</v>
      </c>
      <c r="R102" s="11">
        <f t="shared" si="10"/>
        <v>1.114770385248465E-3</v>
      </c>
      <c r="V102" s="5">
        <f t="shared" si="11"/>
        <v>0.31041620742317716</v>
      </c>
      <c r="W102" s="5">
        <f t="shared" si="12"/>
        <v>1.0347206914105906</v>
      </c>
      <c r="Y102" s="5">
        <f t="shared" si="13"/>
        <v>0.31267386134438774</v>
      </c>
      <c r="Z102" s="5">
        <f t="shared" si="14"/>
        <v>1.0422462044812926</v>
      </c>
      <c r="AB102" s="5">
        <f>$AC$2*($AC$3+$AC$4*$F102/($N102*'Sem TS MC2020'!P94))*($AC$5*$G102+$AC$6*$B102/$N102)*'Sem TS MC2020'!R94*($J102-$M102)/($J102-$M102-$H102)</f>
        <v>0.31305043838008567</v>
      </c>
      <c r="AC102" s="5">
        <f t="shared" si="15"/>
        <v>1.0435014612669522</v>
      </c>
      <c r="AD102" s="20">
        <f t="shared" si="16"/>
        <v>1.3050438380085683E-2</v>
      </c>
      <c r="AE102" s="21">
        <f t="shared" si="17"/>
        <v>0.95831202649765768</v>
      </c>
      <c r="AF102" s="21">
        <f>AB102*(14.068*'Sem TS MC2020'!$P94^-0.457)/$Q102</f>
        <v>1.0551979053082876</v>
      </c>
      <c r="AG102" s="21"/>
      <c r="AO102" s="5">
        <f>$AP$2*($AP$3+$AP$4*$F102/($N102*'Sem TS MC2020'!P94))*($AP$5*$G102+$AP$6*$B102/$N102)*('Sem TS MC2020'!P94^$AP$7/200000)*($J102-$M102)/($J102-$M102-$H102)+('Sem TS MC2020'!P94-$C102/$AP$8)*($AP$5*$G102+$AP$6*$B102/$N102)/200000</f>
        <v>0.32869958410834932</v>
      </c>
      <c r="AP102" s="5">
        <f t="shared" si="18"/>
        <v>1.0956652803611644</v>
      </c>
      <c r="AQ102" s="20">
        <f t="shared" si="19"/>
        <v>2.869958410834933E-2</v>
      </c>
    </row>
    <row r="103" spans="1:43" x14ac:dyDescent="0.25">
      <c r="B103" s="3">
        <v>16</v>
      </c>
      <c r="C103" s="4">
        <v>500</v>
      </c>
      <c r="D103" s="4">
        <v>2</v>
      </c>
      <c r="E103" s="3">
        <v>138</v>
      </c>
      <c r="F103" s="5">
        <v>3.2690000000000001</v>
      </c>
      <c r="G103" s="3">
        <v>40</v>
      </c>
      <c r="H103" s="3">
        <v>48</v>
      </c>
      <c r="I103" s="1">
        <v>250</v>
      </c>
      <c r="J103" s="3">
        <v>348</v>
      </c>
      <c r="K103" s="4">
        <v>400</v>
      </c>
      <c r="L103" s="5">
        <v>32000</v>
      </c>
      <c r="M103" s="4">
        <v>73.386285342529106</v>
      </c>
      <c r="N103" s="10">
        <v>1.2500000000000001E-2</v>
      </c>
      <c r="O103" s="5">
        <v>37.93</v>
      </c>
      <c r="P103" s="4">
        <v>265.38639226985202</v>
      </c>
      <c r="Q103" s="5">
        <v>0.33</v>
      </c>
      <c r="R103" s="11">
        <f t="shared" si="10"/>
        <v>1.3269319613492601E-3</v>
      </c>
      <c r="V103" s="5">
        <f t="shared" si="11"/>
        <v>0.34564366598472152</v>
      </c>
      <c r="W103" s="5">
        <f t="shared" si="12"/>
        <v>1.04740504843855</v>
      </c>
      <c r="Y103" s="5">
        <f t="shared" si="13"/>
        <v>0.3488253886004915</v>
      </c>
      <c r="Z103" s="5">
        <f t="shared" si="14"/>
        <v>1.0570466321227014</v>
      </c>
      <c r="AB103" s="5">
        <f>$AC$2*($AC$3+$AC$4*$F103/($N103*'Sem TS MC2020'!P95))*($AC$5*$G103+$AC$6*$B103/$N103)*'Sem TS MC2020'!R95*($J103-$M103)/($J103-$M103-$H103)</f>
        <v>0.36034284565743613</v>
      </c>
      <c r="AC103" s="5">
        <f t="shared" si="15"/>
        <v>1.0919480171437459</v>
      </c>
      <c r="AD103" s="20">
        <f t="shared" si="16"/>
        <v>3.0342845657436113E-2</v>
      </c>
      <c r="AE103" s="21">
        <f t="shared" si="17"/>
        <v>0.91579451063590167</v>
      </c>
      <c r="AF103" s="21">
        <f>AB103*(14.068*'Sem TS MC2020'!$P95^-0.457)/$Q103</f>
        <v>1.0644945894095916</v>
      </c>
      <c r="AG103" s="21"/>
      <c r="AO103" s="5">
        <f>$AP$2*($AP$3+$AP$4*$F103/($N103*'Sem TS MC2020'!P95))*($AP$5*$G103+$AP$6*$B103/$N103)*('Sem TS MC2020'!P95^$AP$7/200000)*($J103-$M103)/($J103-$M103-$H103)+('Sem TS MC2020'!P95-$C103/$AP$8)*($AP$5*$G103+$AP$6*$B103/$N103)/200000</f>
        <v>0.37578305653769872</v>
      </c>
      <c r="AP103" s="5">
        <f t="shared" si="18"/>
        <v>1.1387365349627234</v>
      </c>
      <c r="AQ103" s="20">
        <f t="shared" si="19"/>
        <v>4.5783056537698708E-2</v>
      </c>
    </row>
    <row r="104" spans="1:43" x14ac:dyDescent="0.25">
      <c r="B104" s="3">
        <v>16</v>
      </c>
      <c r="C104" s="4">
        <v>500</v>
      </c>
      <c r="D104" s="4">
        <v>2</v>
      </c>
      <c r="E104" s="3">
        <v>138</v>
      </c>
      <c r="F104" s="5">
        <v>3.2690000000000001</v>
      </c>
      <c r="G104" s="3">
        <v>40</v>
      </c>
      <c r="H104" s="3">
        <v>48</v>
      </c>
      <c r="I104" s="1">
        <v>250</v>
      </c>
      <c r="J104" s="3">
        <v>348</v>
      </c>
      <c r="K104" s="4">
        <v>400</v>
      </c>
      <c r="L104" s="5">
        <v>32000</v>
      </c>
      <c r="M104" s="4">
        <v>73.386285342529106</v>
      </c>
      <c r="N104" s="10">
        <v>1.2500000000000001E-2</v>
      </c>
      <c r="O104" s="5">
        <v>40.840000000000003</v>
      </c>
      <c r="P104" s="4">
        <v>307.67339134199602</v>
      </c>
      <c r="Q104" s="5">
        <v>0.38</v>
      </c>
      <c r="R104" s="11">
        <f t="shared" si="10"/>
        <v>1.5383669567099801E-3</v>
      </c>
      <c r="V104" s="5">
        <f t="shared" si="11"/>
        <v>0.37865785240713146</v>
      </c>
      <c r="W104" s="5">
        <f t="shared" si="12"/>
        <v>0.99646803265034589</v>
      </c>
      <c r="Y104" s="5">
        <f t="shared" si="13"/>
        <v>0.38276549048585123</v>
      </c>
      <c r="Z104" s="5">
        <f t="shared" si="14"/>
        <v>1.0072776065417137</v>
      </c>
      <c r="AB104" s="5">
        <f>$AC$2*($AC$3+$AC$4*$F104/($N104*'Sem TS MC2020'!P96))*($AC$5*$G104+$AC$6*$B104/$N104)*'Sem TS MC2020'!R96*($J104-$M104)/($J104-$M104-$H104)</f>
        <v>0.40747329263589305</v>
      </c>
      <c r="AC104" s="5">
        <f t="shared" si="15"/>
        <v>1.0722981385155079</v>
      </c>
      <c r="AD104" s="20">
        <f t="shared" si="16"/>
        <v>2.7473292635893043E-2</v>
      </c>
      <c r="AE104" s="21">
        <f t="shared" si="17"/>
        <v>0.93257645805895206</v>
      </c>
      <c r="AF104" s="21">
        <f>AB104*(14.068*'Sem TS MC2020'!$P96^-0.457)/$Q104</f>
        <v>1.010615664174989</v>
      </c>
      <c r="AG104" s="21"/>
      <c r="AO104" s="5">
        <f>$AP$2*($AP$3+$AP$4*$F104/($N104*'Sem TS MC2020'!P96))*($AP$5*$G104+$AP$6*$B104/$N104)*('Sem TS MC2020'!P96^$AP$7/200000)*($J104-$M104)/($J104-$M104-$H104)+('Sem TS MC2020'!P96-$C104/$AP$8)*($AP$5*$G104+$AP$6*$B104/$N104)/200000</f>
        <v>0.42182297351882164</v>
      </c>
      <c r="AP104" s="5">
        <f t="shared" si="18"/>
        <v>1.110060456628478</v>
      </c>
      <c r="AQ104" s="20">
        <f t="shared" si="19"/>
        <v>4.1822973518821638E-2</v>
      </c>
    </row>
    <row r="105" spans="1:43" x14ac:dyDescent="0.25">
      <c r="A105" s="1" t="s">
        <v>44</v>
      </c>
      <c r="B105" s="3">
        <v>16</v>
      </c>
      <c r="C105" s="4">
        <v>500</v>
      </c>
      <c r="D105" s="4">
        <v>2</v>
      </c>
      <c r="E105" s="3">
        <v>168</v>
      </c>
      <c r="F105" s="5">
        <v>3.2690000000000001</v>
      </c>
      <c r="G105" s="3">
        <v>25</v>
      </c>
      <c r="H105" s="3">
        <v>33</v>
      </c>
      <c r="I105" s="1">
        <v>250</v>
      </c>
      <c r="J105" s="3">
        <v>333</v>
      </c>
      <c r="K105" s="4">
        <v>400</v>
      </c>
      <c r="L105" s="5">
        <v>12769</v>
      </c>
      <c r="M105" s="4">
        <v>73.386285342529106</v>
      </c>
      <c r="N105" s="10">
        <v>1.57460983498901E-2</v>
      </c>
      <c r="O105" s="5">
        <v>23.34</v>
      </c>
      <c r="P105" s="4">
        <v>83.250300076908999</v>
      </c>
      <c r="Q105" s="5">
        <v>0.15</v>
      </c>
      <c r="R105" s="11">
        <f t="shared" si="10"/>
        <v>4.1625150038454502E-4</v>
      </c>
      <c r="V105" s="5">
        <f t="shared" si="11"/>
        <v>0.15360052698610233</v>
      </c>
      <c r="W105" s="5">
        <f t="shared" si="12"/>
        <v>1.0240035132406822</v>
      </c>
      <c r="Y105" s="5">
        <f t="shared" si="13"/>
        <v>0.15120323277073514</v>
      </c>
      <c r="Z105" s="5">
        <f t="shared" si="14"/>
        <v>1.0080215518049009</v>
      </c>
      <c r="AB105" s="5">
        <f>$AC$2*($AC$3+$AC$4*$F105/($N105*'Sem TS MC2020'!P97))*($AC$5*$G105+$AC$6*$B105/$N105)*'Sem TS MC2020'!R97*($J105-$M105)/($J105-$M105-$H105)</f>
        <v>0.1272725400210335</v>
      </c>
      <c r="AC105" s="5">
        <f t="shared" si="15"/>
        <v>0.84848360014022339</v>
      </c>
      <c r="AD105" s="20">
        <f t="shared" si="16"/>
        <v>-2.2727459978966497E-2</v>
      </c>
      <c r="AE105" s="21">
        <f t="shared" si="17"/>
        <v>1.1785731625628786</v>
      </c>
      <c r="AF105" s="21">
        <f>AB105*(14.068*'Sem TS MC2020'!$P97^-0.457)/$Q105</f>
        <v>1.0326615735083144</v>
      </c>
      <c r="AG105" s="21"/>
      <c r="AO105" s="5">
        <f>$AP$2*($AP$3+$AP$4*$F105/($N105*'Sem TS MC2020'!P97))*($AP$5*$G105+$AP$6*$B105/$N105)*('Sem TS MC2020'!P97^$AP$7/200000)*($J105-$M105)/($J105-$M105-$H105)+('Sem TS MC2020'!P97-$C105/$AP$8)*($AP$5*$G105+$AP$6*$B105/$N105)/200000</f>
        <v>0.13674069036387548</v>
      </c>
      <c r="AP105" s="5">
        <f t="shared" si="18"/>
        <v>0.91160460242583663</v>
      </c>
      <c r="AQ105" s="20">
        <f t="shared" si="19"/>
        <v>-1.3259309636124511E-2</v>
      </c>
    </row>
    <row r="106" spans="1:43" x14ac:dyDescent="0.25">
      <c r="B106" s="3">
        <v>16</v>
      </c>
      <c r="C106" s="4">
        <v>500</v>
      </c>
      <c r="D106" s="4">
        <v>2</v>
      </c>
      <c r="E106" s="3">
        <v>168</v>
      </c>
      <c r="F106" s="5">
        <v>3.2690000000000001</v>
      </c>
      <c r="G106" s="3">
        <v>25</v>
      </c>
      <c r="H106" s="3">
        <v>33</v>
      </c>
      <c r="I106" s="1">
        <v>250</v>
      </c>
      <c r="J106" s="3">
        <v>333</v>
      </c>
      <c r="K106" s="4">
        <v>400</v>
      </c>
      <c r="L106" s="5">
        <v>12769</v>
      </c>
      <c r="M106" s="4">
        <v>73.386285342529106</v>
      </c>
      <c r="N106" s="10">
        <v>1.57460983498901E-2</v>
      </c>
      <c r="O106" s="5">
        <v>26.26</v>
      </c>
      <c r="P106" s="4">
        <v>122.675935148359</v>
      </c>
      <c r="Q106" s="5">
        <v>0.18</v>
      </c>
      <c r="R106" s="11">
        <f t="shared" si="10"/>
        <v>6.1337967574179504E-4</v>
      </c>
      <c r="V106" s="5">
        <f t="shared" si="11"/>
        <v>0.19510985141694789</v>
      </c>
      <c r="W106" s="5">
        <f t="shared" si="12"/>
        <v>1.0839436189830438</v>
      </c>
      <c r="Y106" s="5">
        <f t="shared" si="13"/>
        <v>0.19288554316725148</v>
      </c>
      <c r="Z106" s="5">
        <f t="shared" si="14"/>
        <v>1.071586350929175</v>
      </c>
      <c r="AB106" s="5">
        <f>$AC$2*($AC$3+$AC$4*$F106/($N106*'Sem TS MC2020'!P98))*($AC$5*$G106+$AC$6*$B106/$N106)*'Sem TS MC2020'!R98*($J106-$M106)/($J106-$M106-$H106)</f>
        <v>0.16139402239487047</v>
      </c>
      <c r="AC106" s="5">
        <f t="shared" si="15"/>
        <v>0.89663345774928038</v>
      </c>
      <c r="AD106" s="20">
        <f t="shared" si="16"/>
        <v>-1.8605977605129526E-2</v>
      </c>
      <c r="AE106" s="21">
        <f t="shared" si="17"/>
        <v>1.115282941270326</v>
      </c>
      <c r="AF106" s="21">
        <f>AB106*(14.068*'Sem TS MC2020'!$P98^-0.457)/$Q106</f>
        <v>1.0340318264203874</v>
      </c>
      <c r="AG106" s="21"/>
      <c r="AO106" s="5">
        <f>$AP$2*($AP$3+$AP$4*$F106/($N106*'Sem TS MC2020'!P98))*($AP$5*$G106+$AP$6*$B106/$N106)*('Sem TS MC2020'!P98^$AP$7/200000)*($J106-$M106)/($J106-$M106-$H106)+('Sem TS MC2020'!P98-$C106/$AP$8)*($AP$5*$G106+$AP$6*$B106/$N106)/200000</f>
        <v>0.17388641627409204</v>
      </c>
      <c r="AP106" s="5">
        <f t="shared" si="18"/>
        <v>0.96603564596717806</v>
      </c>
      <c r="AQ106" s="20">
        <f t="shared" si="19"/>
        <v>-6.1135837259079506E-3</v>
      </c>
    </row>
    <row r="107" spans="1:43" x14ac:dyDescent="0.25">
      <c r="B107" s="3">
        <v>16</v>
      </c>
      <c r="C107" s="4">
        <v>500</v>
      </c>
      <c r="D107" s="4">
        <v>2</v>
      </c>
      <c r="E107" s="3">
        <v>168</v>
      </c>
      <c r="F107" s="5">
        <v>3.2690000000000001</v>
      </c>
      <c r="G107" s="3">
        <v>25</v>
      </c>
      <c r="H107" s="3">
        <v>33</v>
      </c>
      <c r="I107" s="1">
        <v>250</v>
      </c>
      <c r="J107" s="3">
        <v>333</v>
      </c>
      <c r="K107" s="4">
        <v>400</v>
      </c>
      <c r="L107" s="5">
        <v>12769</v>
      </c>
      <c r="M107" s="4">
        <v>73.386285342529106</v>
      </c>
      <c r="N107" s="10">
        <v>1.57460983498901E-2</v>
      </c>
      <c r="O107" s="5">
        <v>29.175000000000001</v>
      </c>
      <c r="P107" s="4">
        <v>162.03406057071399</v>
      </c>
      <c r="Q107" s="5">
        <v>0.2</v>
      </c>
      <c r="R107" s="11">
        <f t="shared" si="10"/>
        <v>8.1017030285356994E-4</v>
      </c>
      <c r="V107" s="5">
        <f t="shared" si="11"/>
        <v>0.23165504306845552</v>
      </c>
      <c r="W107" s="5">
        <f t="shared" si="12"/>
        <v>1.1582752153422775</v>
      </c>
      <c r="Y107" s="5">
        <f t="shared" si="13"/>
        <v>0.22971616408421316</v>
      </c>
      <c r="Z107" s="5">
        <f t="shared" si="14"/>
        <v>1.1485808204210657</v>
      </c>
      <c r="AB107" s="5">
        <f>$AC$2*($AC$3+$AC$4*$F107/($N107*'Sem TS MC2020'!P99))*($AC$5*$G107+$AC$6*$B107/$N107)*'Sem TS MC2020'!R99*($J107-$M107)/($J107-$M107-$H107)</f>
        <v>0.19545707757286168</v>
      </c>
      <c r="AC107" s="5">
        <f t="shared" si="15"/>
        <v>0.97728538786430841</v>
      </c>
      <c r="AD107" s="20">
        <f t="shared" si="16"/>
        <v>-4.5429224271383295E-3</v>
      </c>
      <c r="AE107" s="21">
        <f t="shared" si="17"/>
        <v>1.0232425578216517</v>
      </c>
      <c r="AF107" s="21">
        <f>AB107*(14.068*'Sem TS MC2020'!$P99^-0.457)/$Q107</f>
        <v>1.0741083521997634</v>
      </c>
      <c r="AG107" s="21"/>
      <c r="AO107" s="5">
        <f>$AP$2*($AP$3+$AP$4*$F107/($N107*'Sem TS MC2020'!P99))*($AP$5*$G107+$AP$6*$B107/$N107)*('Sem TS MC2020'!P99^$AP$7/200000)*($J107-$M107)/($J107-$M107-$H107)+('Sem TS MC2020'!P99-$C107/$AP$8)*($AP$5*$G107+$AP$6*$B107/$N107)/200000</f>
        <v>0.20991920264550382</v>
      </c>
      <c r="AP107" s="5">
        <f t="shared" si="18"/>
        <v>1.0495960132275191</v>
      </c>
      <c r="AQ107" s="20">
        <f t="shared" si="19"/>
        <v>9.9192026455038051E-3</v>
      </c>
    </row>
    <row r="108" spans="1:43" x14ac:dyDescent="0.25">
      <c r="B108" s="3">
        <v>16</v>
      </c>
      <c r="C108" s="4">
        <v>500</v>
      </c>
      <c r="D108" s="4">
        <v>2</v>
      </c>
      <c r="E108" s="3">
        <v>168</v>
      </c>
      <c r="F108" s="5">
        <v>3.2690000000000001</v>
      </c>
      <c r="G108" s="3">
        <v>25</v>
      </c>
      <c r="H108" s="3">
        <v>33</v>
      </c>
      <c r="I108" s="1">
        <v>250</v>
      </c>
      <c r="J108" s="3">
        <v>333</v>
      </c>
      <c r="K108" s="4">
        <v>400</v>
      </c>
      <c r="L108" s="5">
        <v>12769</v>
      </c>
      <c r="M108" s="4">
        <v>73.386285342529106</v>
      </c>
      <c r="N108" s="10">
        <v>1.57460983498901E-2</v>
      </c>
      <c r="O108" s="5">
        <v>32.090000000000003</v>
      </c>
      <c r="P108" s="4">
        <v>201.39218599306901</v>
      </c>
      <c r="Q108" s="5">
        <v>0.23</v>
      </c>
      <c r="R108" s="11">
        <f t="shared" si="10"/>
        <v>1.0069609299653451E-3</v>
      </c>
      <c r="V108" s="5">
        <f t="shared" si="11"/>
        <v>0.26491646816940378</v>
      </c>
      <c r="W108" s="5">
        <f t="shared" si="12"/>
        <v>1.1518107311713208</v>
      </c>
      <c r="Y108" s="5">
        <f t="shared" si="13"/>
        <v>0.26332831020345837</v>
      </c>
      <c r="Z108" s="5">
        <f t="shared" si="14"/>
        <v>1.1449056965367754</v>
      </c>
      <c r="AB108" s="5">
        <f>$AC$2*($AC$3+$AC$4*$F108/($N108*'Sem TS MC2020'!P100))*($AC$5*$G108+$AC$6*$B108/$N108)*'Sem TS MC2020'!R100*($J108-$M108)/($J108-$M108-$H108)</f>
        <v>0.22952013275085412</v>
      </c>
      <c r="AC108" s="5">
        <f t="shared" si="15"/>
        <v>0.9979136206558874</v>
      </c>
      <c r="AD108" s="20">
        <f t="shared" si="16"/>
        <v>-4.7986724914589329E-4</v>
      </c>
      <c r="AE108" s="21">
        <f t="shared" si="17"/>
        <v>1.0020907414238331</v>
      </c>
      <c r="AF108" s="21">
        <f>AB108*(14.068*'Sem TS MC2020'!$P100^-0.457)/$Q108</f>
        <v>1.0500709480343839</v>
      </c>
      <c r="AG108" s="21"/>
      <c r="AO108" s="5">
        <f>$AP$2*($AP$3+$AP$4*$F108/($N108*'Sem TS MC2020'!P100))*($AP$5*$G108+$AP$6*$B108/$N108)*('Sem TS MC2020'!P100^$AP$7/200000)*($J108-$M108)/($J108-$M108-$H108)+('Sem TS MC2020'!P100-$C108/$AP$8)*($AP$5*$G108+$AP$6*$B108/$N108)/200000</f>
        <v>0.24506490148205576</v>
      </c>
      <c r="AP108" s="5">
        <f t="shared" si="18"/>
        <v>1.065499571661112</v>
      </c>
      <c r="AQ108" s="20">
        <f t="shared" si="19"/>
        <v>1.5064901482055748E-2</v>
      </c>
    </row>
    <row r="109" spans="1:43" x14ac:dyDescent="0.25">
      <c r="B109" s="3">
        <v>16</v>
      </c>
      <c r="C109" s="4">
        <v>500</v>
      </c>
      <c r="D109" s="4">
        <v>2</v>
      </c>
      <c r="E109" s="3">
        <v>168</v>
      </c>
      <c r="F109" s="5">
        <v>3.2690000000000001</v>
      </c>
      <c r="G109" s="3">
        <v>25</v>
      </c>
      <c r="H109" s="3">
        <v>33</v>
      </c>
      <c r="I109" s="1">
        <v>250</v>
      </c>
      <c r="J109" s="3">
        <v>333</v>
      </c>
      <c r="K109" s="4">
        <v>400</v>
      </c>
      <c r="L109" s="5">
        <v>12769</v>
      </c>
      <c r="M109" s="4">
        <v>73.386285342529106</v>
      </c>
      <c r="N109" s="10">
        <v>1.57460983498901E-2</v>
      </c>
      <c r="O109" s="5">
        <v>35.01</v>
      </c>
      <c r="P109" s="4">
        <v>240.81782106451899</v>
      </c>
      <c r="Q109" s="5">
        <v>0.25</v>
      </c>
      <c r="R109" s="11">
        <f t="shared" si="10"/>
        <v>1.204089105322595E-3</v>
      </c>
      <c r="V109" s="5">
        <f t="shared" si="11"/>
        <v>0.29581251411645626</v>
      </c>
      <c r="W109" s="5">
        <f t="shared" si="12"/>
        <v>1.183250056465825</v>
      </c>
      <c r="Y109" s="5">
        <f t="shared" si="13"/>
        <v>0.29461797788409433</v>
      </c>
      <c r="Z109" s="5">
        <f t="shared" si="14"/>
        <v>1.1784719115363773</v>
      </c>
      <c r="AB109" s="5">
        <f>$AC$2*($AC$3+$AC$4*$F109/($N109*'Sem TS MC2020'!P101))*($AC$5*$G109+$AC$6*$B109/$N109)*'Sem TS MC2020'!R101*($J109-$M109)/($J109-$M109-$H109)</f>
        <v>0.26364161512469109</v>
      </c>
      <c r="AC109" s="5">
        <f t="shared" si="15"/>
        <v>1.0545664604987643</v>
      </c>
      <c r="AD109" s="20">
        <f t="shared" si="16"/>
        <v>1.3641615124691087E-2</v>
      </c>
      <c r="AE109" s="21">
        <f t="shared" si="17"/>
        <v>0.9482569733225189</v>
      </c>
      <c r="AF109" s="21">
        <f>AB109*(14.068*'Sem TS MC2020'!$P101^-0.457)/$Q109</f>
        <v>1.0663869303791964</v>
      </c>
      <c r="AG109" s="21"/>
      <c r="AO109" s="5">
        <f>$AP$2*($AP$3+$AP$4*$F109/($N109*'Sem TS MC2020'!P101))*($AP$5*$G109+$AP$6*$B109/$N109)*('Sem TS MC2020'!P101^$AP$7/200000)*($J109-$M109)/($J109-$M109-$H109)+('Sem TS MC2020'!P101-$C109/$AP$8)*($AP$5*$G109+$AP$6*$B109/$N109)/200000</f>
        <v>0.27950441759998074</v>
      </c>
      <c r="AP109" s="5">
        <f t="shared" si="18"/>
        <v>1.1180176703999229</v>
      </c>
      <c r="AQ109" s="20">
        <f t="shared" si="19"/>
        <v>2.9504417599980737E-2</v>
      </c>
    </row>
    <row r="110" spans="1:43" x14ac:dyDescent="0.25">
      <c r="B110" s="3">
        <v>16</v>
      </c>
      <c r="C110" s="4">
        <v>500</v>
      </c>
      <c r="D110" s="4">
        <v>2</v>
      </c>
      <c r="E110" s="3">
        <v>168</v>
      </c>
      <c r="F110" s="5">
        <v>3.2690000000000001</v>
      </c>
      <c r="G110" s="3">
        <v>25</v>
      </c>
      <c r="H110" s="3">
        <v>33</v>
      </c>
      <c r="I110" s="1">
        <v>250</v>
      </c>
      <c r="J110" s="3">
        <v>333</v>
      </c>
      <c r="K110" s="4">
        <v>400</v>
      </c>
      <c r="L110" s="5">
        <v>12769</v>
      </c>
      <c r="M110" s="4">
        <v>73.386285342529106</v>
      </c>
      <c r="N110" s="10">
        <v>1.57460983498901E-2</v>
      </c>
      <c r="O110" s="5">
        <v>37.93</v>
      </c>
      <c r="P110" s="4">
        <v>280.24345613597001</v>
      </c>
      <c r="Q110" s="5">
        <v>0.3</v>
      </c>
      <c r="R110" s="11">
        <f t="shared" si="10"/>
        <v>1.40121728067985E-3</v>
      </c>
      <c r="V110" s="5">
        <f t="shared" si="11"/>
        <v>0.32482096614990674</v>
      </c>
      <c r="W110" s="5">
        <f t="shared" si="12"/>
        <v>1.0827365538330225</v>
      </c>
      <c r="Y110" s="5">
        <f t="shared" si="13"/>
        <v>0.32404928764612939</v>
      </c>
      <c r="Z110" s="5">
        <f t="shared" si="14"/>
        <v>1.0801642921537646</v>
      </c>
      <c r="AB110" s="5">
        <f>$AC$2*($AC$3+$AC$4*$F110/($N110*'Sem TS MC2020'!P102))*($AC$5*$G110+$AC$6*$B110/$N110)*'Sem TS MC2020'!R102*($J110-$M110)/($J110-$M110-$H110)</f>
        <v>0.29776309749852803</v>
      </c>
      <c r="AC110" s="5">
        <f t="shared" si="15"/>
        <v>0.99254365832842684</v>
      </c>
      <c r="AD110" s="20">
        <f t="shared" si="16"/>
        <v>-2.2369025014719601E-3</v>
      </c>
      <c r="AE110" s="21">
        <f t="shared" si="17"/>
        <v>1.0075123563674071</v>
      </c>
      <c r="AF110" s="21">
        <f>AB110*(14.068*'Sem TS MC2020'!$P102^-0.457)/$Q110</f>
        <v>0.96758942500495038</v>
      </c>
      <c r="AG110" s="21"/>
      <c r="AO110" s="5">
        <f>$AP$2*($AP$3+$AP$4*$F110/($N110*'Sem TS MC2020'!P102))*($AP$5*$G110+$AP$6*$B110/$N110)*('Sem TS MC2020'!P102^$AP$7/200000)*($J110-$M110)/($J110-$M110-$H110)+('Sem TS MC2020'!P102-$C110/$AP$8)*($AP$5*$G110+$AP$6*$B110/$N110)/200000</f>
        <v>0.31327294837574055</v>
      </c>
      <c r="AP110" s="5">
        <f t="shared" si="18"/>
        <v>1.0442431612524685</v>
      </c>
      <c r="AQ110" s="20">
        <f t="shared" si="19"/>
        <v>1.3272948375740556E-2</v>
      </c>
    </row>
    <row r="111" spans="1:43" x14ac:dyDescent="0.25">
      <c r="B111" s="3">
        <v>16</v>
      </c>
      <c r="C111" s="4">
        <v>500</v>
      </c>
      <c r="D111" s="4">
        <v>2</v>
      </c>
      <c r="E111" s="3">
        <v>168</v>
      </c>
      <c r="F111" s="5">
        <v>3.2690000000000001</v>
      </c>
      <c r="G111" s="3">
        <v>25</v>
      </c>
      <c r="H111" s="3">
        <v>33</v>
      </c>
      <c r="I111" s="1">
        <v>250</v>
      </c>
      <c r="J111" s="3">
        <v>333</v>
      </c>
      <c r="K111" s="4">
        <v>400</v>
      </c>
      <c r="L111" s="5">
        <v>12769</v>
      </c>
      <c r="M111" s="4">
        <v>73.386285342529106</v>
      </c>
      <c r="N111" s="10">
        <v>1.57460983498901E-2</v>
      </c>
      <c r="O111" s="5">
        <v>40.840000000000003</v>
      </c>
      <c r="P111" s="4">
        <v>319.53407190923002</v>
      </c>
      <c r="Q111" s="5">
        <v>0.3</v>
      </c>
      <c r="R111" s="11">
        <f t="shared" si="10"/>
        <v>1.5976703595461501E-3</v>
      </c>
      <c r="V111" s="5">
        <f t="shared" si="11"/>
        <v>0.35221006186183812</v>
      </c>
      <c r="W111" s="5">
        <f t="shared" si="12"/>
        <v>1.1740335395394605</v>
      </c>
      <c r="Y111" s="5">
        <f t="shared" si="13"/>
        <v>0.35188080315931164</v>
      </c>
      <c r="Z111" s="5">
        <f t="shared" si="14"/>
        <v>1.1729360105310389</v>
      </c>
      <c r="AB111" s="5">
        <f>$AC$2*($AC$3+$AC$4*$F111/($N111*'Sem TS MC2020'!P103))*($AC$5*$G111+$AC$6*$B111/$N111)*'Sem TS MC2020'!R103*($J111-$M111)/($J111-$M111-$H111)</f>
        <v>0.33176772548067474</v>
      </c>
      <c r="AC111" s="5">
        <f t="shared" si="15"/>
        <v>1.1058924182689158</v>
      </c>
      <c r="AD111" s="20">
        <f t="shared" si="16"/>
        <v>3.1767725480674747E-2</v>
      </c>
      <c r="AE111" s="21">
        <f t="shared" si="17"/>
        <v>0.90424708902998707</v>
      </c>
      <c r="AF111" s="21">
        <f>AB111*(14.068*'Sem TS MC2020'!$P103^-0.457)/$Q111</f>
        <v>1.0422774792299627</v>
      </c>
      <c r="AG111" s="21"/>
      <c r="AO111" s="5">
        <f>$AP$2*($AP$3+$AP$4*$F111/($N111*'Sem TS MC2020'!P103))*($AP$5*$G111+$AP$6*$B111/$N111)*('Sem TS MC2020'!P103^$AP$7/200000)*($J111-$M111)/($J111-$M111-$H111)+('Sem TS MC2020'!P103-$C111/$AP$8)*($AP$5*$G111+$AP$6*$B111/$N111)/200000</f>
        <v>0.3463346816601991</v>
      </c>
      <c r="AP111" s="5">
        <f t="shared" si="18"/>
        <v>1.1544489388673305</v>
      </c>
      <c r="AQ111" s="20">
        <f t="shared" si="19"/>
        <v>4.6334681660199106E-2</v>
      </c>
    </row>
    <row r="112" spans="1:43" x14ac:dyDescent="0.25">
      <c r="A112" s="1" t="s">
        <v>45</v>
      </c>
      <c r="B112" s="3">
        <v>16</v>
      </c>
      <c r="C112" s="4">
        <v>500</v>
      </c>
      <c r="D112" s="4">
        <v>2</v>
      </c>
      <c r="E112" s="3">
        <v>168</v>
      </c>
      <c r="F112" s="5">
        <v>3.2690000000000001</v>
      </c>
      <c r="G112" s="3">
        <v>25</v>
      </c>
      <c r="H112" s="3">
        <v>33</v>
      </c>
      <c r="I112" s="1">
        <v>250</v>
      </c>
      <c r="J112" s="3">
        <v>333</v>
      </c>
      <c r="K112" s="4">
        <v>400</v>
      </c>
      <c r="L112" s="5">
        <v>12769</v>
      </c>
      <c r="M112" s="4">
        <v>73.386285342529106</v>
      </c>
      <c r="N112" s="10">
        <v>1.57460983498901E-2</v>
      </c>
      <c r="O112" s="5">
        <v>20.420000000000002</v>
      </c>
      <c r="P112" s="4">
        <v>46.143119331178497</v>
      </c>
      <c r="Q112" s="5">
        <v>0.15</v>
      </c>
      <c r="R112" s="11">
        <f t="shared" si="10"/>
        <v>2.3071559665589249E-4</v>
      </c>
      <c r="V112" s="5">
        <f t="shared" si="11"/>
        <v>0.1067256111916281</v>
      </c>
      <c r="W112" s="5">
        <f t="shared" si="12"/>
        <v>0.71150407461085408</v>
      </c>
      <c r="Y112" s="5">
        <f t="shared" si="13"/>
        <v>0.10438015899408656</v>
      </c>
      <c r="Z112" s="5">
        <f t="shared" si="14"/>
        <v>0.69586772662724383</v>
      </c>
      <c r="AB112" s="5">
        <f>$AC$2*($AC$3+$AC$4*$F112/($N112*'Sem TS MC2020'!P104))*($AC$5*$G112+$AC$6*$B112/$N112)*'Sem TS MC2020'!R104*($J112-$M112)/($J112-$M112-$H112)</f>
        <v>9.3151057647196583E-2</v>
      </c>
      <c r="AC112" s="5">
        <f t="shared" si="15"/>
        <v>0.62100705098131059</v>
      </c>
      <c r="AD112" s="20">
        <f t="shared" si="16"/>
        <v>-5.6848942352803411E-2</v>
      </c>
      <c r="AE112" s="21">
        <f t="shared" si="17"/>
        <v>1.6102876745438037</v>
      </c>
      <c r="AF112" s="21">
        <f>AB112*(14.068*'Sem TS MC2020'!$P104^-0.457)/$Q112</f>
        <v>0.80341088699532259</v>
      </c>
      <c r="AG112" s="21"/>
      <c r="AO112" s="5">
        <f>$AP$2*($AP$3+$AP$4*$F112/($N112*'Sem TS MC2020'!P104))*($AP$5*$G112+$AP$6*$B112/$N112)*('Sem TS MC2020'!P104^$AP$7/200000)*($J112-$M112)/($J112-$M112-$H112)+('Sem TS MC2020'!P104-$C112/$AP$8)*($AP$5*$G112+$AP$6*$B112/$N112)/200000</f>
        <v>9.832227157725773E-2</v>
      </c>
      <c r="AP112" s="5">
        <f t="shared" si="18"/>
        <v>0.65548181051505161</v>
      </c>
      <c r="AQ112" s="20">
        <f t="shared" si="19"/>
        <v>-5.1677728422742264E-2</v>
      </c>
    </row>
    <row r="113" spans="1:43" x14ac:dyDescent="0.25">
      <c r="B113" s="3">
        <v>16</v>
      </c>
      <c r="C113" s="4">
        <v>500</v>
      </c>
      <c r="D113" s="4">
        <v>2</v>
      </c>
      <c r="E113" s="3">
        <v>168</v>
      </c>
      <c r="F113" s="5">
        <v>3.2690000000000001</v>
      </c>
      <c r="G113" s="3">
        <v>25</v>
      </c>
      <c r="H113" s="3">
        <v>33</v>
      </c>
      <c r="I113" s="1">
        <v>250</v>
      </c>
      <c r="J113" s="3">
        <v>333</v>
      </c>
      <c r="K113" s="4">
        <v>400</v>
      </c>
      <c r="L113" s="5">
        <v>12769</v>
      </c>
      <c r="M113" s="4">
        <v>73.386285342529106</v>
      </c>
      <c r="N113" s="10">
        <v>1.57460983498901E-2</v>
      </c>
      <c r="O113" s="5">
        <v>23.34</v>
      </c>
      <c r="P113" s="4">
        <v>83.250300076908999</v>
      </c>
      <c r="Q113" s="5">
        <v>0.18</v>
      </c>
      <c r="R113" s="11">
        <f t="shared" si="10"/>
        <v>4.1625150038454502E-4</v>
      </c>
      <c r="V113" s="5">
        <f t="shared" si="11"/>
        <v>0.15360052698610233</v>
      </c>
      <c r="W113" s="5">
        <f t="shared" si="12"/>
        <v>0.85333626103390181</v>
      </c>
      <c r="Y113" s="5">
        <f t="shared" si="13"/>
        <v>0.15120323277073514</v>
      </c>
      <c r="Z113" s="5">
        <f t="shared" si="14"/>
        <v>0.84001795983741745</v>
      </c>
      <c r="AB113" s="5">
        <f>$AC$2*($AC$3+$AC$4*$F113/($N113*'Sem TS MC2020'!P105))*($AC$5*$G113+$AC$6*$B113/$N113)*'Sem TS MC2020'!R105*($J113-$M113)/($J113-$M113-$H113)</f>
        <v>0.1272725400210335</v>
      </c>
      <c r="AC113" s="5">
        <f t="shared" si="15"/>
        <v>0.70706966678351946</v>
      </c>
      <c r="AD113" s="20">
        <f t="shared" si="16"/>
        <v>-5.2727459978966496E-2</v>
      </c>
      <c r="AE113" s="21">
        <f t="shared" si="17"/>
        <v>1.4142877950754544</v>
      </c>
      <c r="AF113" s="21">
        <f>AB113*(14.068*'Sem TS MC2020'!$P105^-0.457)/$Q113</f>
        <v>0.86055131125692874</v>
      </c>
      <c r="AG113" s="21"/>
      <c r="AO113" s="5">
        <f>$AP$2*($AP$3+$AP$4*$F113/($N113*'Sem TS MC2020'!P105))*($AP$5*$G113+$AP$6*$B113/$N113)*('Sem TS MC2020'!P105^$AP$7/200000)*($J113-$M113)/($J113-$M113-$H113)+('Sem TS MC2020'!P105-$C113/$AP$8)*($AP$5*$G113+$AP$6*$B113/$N113)/200000</f>
        <v>0.13674069036387548</v>
      </c>
      <c r="AP113" s="5">
        <f t="shared" si="18"/>
        <v>0.75967050202153052</v>
      </c>
      <c r="AQ113" s="20">
        <f t="shared" si="19"/>
        <v>-4.325930963612451E-2</v>
      </c>
    </row>
    <row r="114" spans="1:43" x14ac:dyDescent="0.25">
      <c r="B114" s="3">
        <v>16</v>
      </c>
      <c r="C114" s="4">
        <v>500</v>
      </c>
      <c r="D114" s="4">
        <v>2</v>
      </c>
      <c r="E114" s="3">
        <v>168</v>
      </c>
      <c r="F114" s="5">
        <v>3.2690000000000001</v>
      </c>
      <c r="G114" s="3">
        <v>25</v>
      </c>
      <c r="H114" s="3">
        <v>33</v>
      </c>
      <c r="I114" s="1">
        <v>250</v>
      </c>
      <c r="J114" s="3">
        <v>333</v>
      </c>
      <c r="K114" s="4">
        <v>400</v>
      </c>
      <c r="L114" s="5">
        <v>12769</v>
      </c>
      <c r="M114" s="4">
        <v>73.386285342529106</v>
      </c>
      <c r="N114" s="10">
        <v>1.57460983498901E-2</v>
      </c>
      <c r="O114" s="5">
        <v>26.26</v>
      </c>
      <c r="P114" s="4">
        <v>122.675935148359</v>
      </c>
      <c r="Q114" s="5">
        <v>0.18</v>
      </c>
      <c r="R114" s="11">
        <f t="shared" si="10"/>
        <v>6.1337967574179504E-4</v>
      </c>
      <c r="V114" s="5">
        <f t="shared" si="11"/>
        <v>0.19510985141694789</v>
      </c>
      <c r="W114" s="5">
        <f t="shared" si="12"/>
        <v>1.0839436189830438</v>
      </c>
      <c r="Y114" s="5">
        <f t="shared" si="13"/>
        <v>0.19288554316725148</v>
      </c>
      <c r="Z114" s="5">
        <f t="shared" si="14"/>
        <v>1.071586350929175</v>
      </c>
      <c r="AB114" s="5">
        <f>$AC$2*($AC$3+$AC$4*$F114/($N114*'Sem TS MC2020'!P106))*($AC$5*$G114+$AC$6*$B114/$N114)*'Sem TS MC2020'!R106*($J114-$M114)/($J114-$M114-$H114)</f>
        <v>0.16139402239487047</v>
      </c>
      <c r="AC114" s="5">
        <f t="shared" si="15"/>
        <v>0.89663345774928038</v>
      </c>
      <c r="AD114" s="20">
        <f t="shared" si="16"/>
        <v>-1.8605977605129526E-2</v>
      </c>
      <c r="AE114" s="21">
        <f t="shared" si="17"/>
        <v>1.115282941270326</v>
      </c>
      <c r="AF114" s="21">
        <f>AB114*(14.068*'Sem TS MC2020'!$P106^-0.457)/$Q114</f>
        <v>1.0340318264203874</v>
      </c>
      <c r="AG114" s="21"/>
      <c r="AO114" s="5">
        <f>$AP$2*($AP$3+$AP$4*$F114/($N114*'Sem TS MC2020'!P106))*($AP$5*$G114+$AP$6*$B114/$N114)*('Sem TS MC2020'!P106^$AP$7/200000)*($J114-$M114)/($J114-$M114-$H114)+('Sem TS MC2020'!P106-$C114/$AP$8)*($AP$5*$G114+$AP$6*$B114/$N114)/200000</f>
        <v>0.17388641627409204</v>
      </c>
      <c r="AP114" s="5">
        <f t="shared" si="18"/>
        <v>0.96603564596717806</v>
      </c>
      <c r="AQ114" s="20">
        <f t="shared" si="19"/>
        <v>-6.1135837259079506E-3</v>
      </c>
    </row>
    <row r="115" spans="1:43" x14ac:dyDescent="0.25">
      <c r="B115" s="3">
        <v>16</v>
      </c>
      <c r="C115" s="4">
        <v>500</v>
      </c>
      <c r="D115" s="4">
        <v>2</v>
      </c>
      <c r="E115" s="3">
        <v>168</v>
      </c>
      <c r="F115" s="5">
        <v>3.2690000000000001</v>
      </c>
      <c r="G115" s="3">
        <v>25</v>
      </c>
      <c r="H115" s="3">
        <v>33</v>
      </c>
      <c r="I115" s="1">
        <v>250</v>
      </c>
      <c r="J115" s="3">
        <v>333</v>
      </c>
      <c r="K115" s="4">
        <v>400</v>
      </c>
      <c r="L115" s="5">
        <v>12769</v>
      </c>
      <c r="M115" s="4">
        <v>73.386285342529106</v>
      </c>
      <c r="N115" s="10">
        <v>1.57460983498901E-2</v>
      </c>
      <c r="O115" s="5">
        <v>29.175000000000001</v>
      </c>
      <c r="P115" s="4">
        <v>162.03406057071399</v>
      </c>
      <c r="Q115" s="5">
        <v>0.25</v>
      </c>
      <c r="R115" s="11">
        <f t="shared" si="10"/>
        <v>8.1017030285356994E-4</v>
      </c>
      <c r="V115" s="5">
        <f t="shared" si="11"/>
        <v>0.23165504306845552</v>
      </c>
      <c r="W115" s="5">
        <f t="shared" si="12"/>
        <v>0.9266201722738221</v>
      </c>
      <c r="Y115" s="5">
        <f t="shared" si="13"/>
        <v>0.22971616408421316</v>
      </c>
      <c r="Z115" s="5">
        <f t="shared" si="14"/>
        <v>0.91886465633685266</v>
      </c>
      <c r="AB115" s="5">
        <f>$AC$2*($AC$3+$AC$4*$F115/($N115*'Sem TS MC2020'!P107))*($AC$5*$G115+$AC$6*$B115/$N115)*'Sem TS MC2020'!R107*($J115-$M115)/($J115-$M115-$H115)</f>
        <v>0.19545707757286168</v>
      </c>
      <c r="AC115" s="5">
        <f t="shared" si="15"/>
        <v>0.78182831029144673</v>
      </c>
      <c r="AD115" s="20">
        <f t="shared" si="16"/>
        <v>-5.4542922427138318E-2</v>
      </c>
      <c r="AE115" s="21">
        <f t="shared" si="17"/>
        <v>1.2790531972770647</v>
      </c>
      <c r="AF115" s="21">
        <f>AB115*(14.068*'Sem TS MC2020'!$P107^-0.457)/$Q115</f>
        <v>0.85928668175981082</v>
      </c>
      <c r="AG115" s="21"/>
      <c r="AO115" s="5">
        <f>$AP$2*($AP$3+$AP$4*$F115/($N115*'Sem TS MC2020'!P107))*($AP$5*$G115+$AP$6*$B115/$N115)*('Sem TS MC2020'!P107^$AP$7/200000)*($J115-$M115)/($J115-$M115-$H115)+('Sem TS MC2020'!P107-$C115/$AP$8)*($AP$5*$G115+$AP$6*$B115/$N115)/200000</f>
        <v>0.20991920264550382</v>
      </c>
      <c r="AP115" s="5">
        <f t="shared" si="18"/>
        <v>0.83967681058201527</v>
      </c>
      <c r="AQ115" s="20">
        <f t="shared" si="19"/>
        <v>-4.0080797354496184E-2</v>
      </c>
    </row>
    <row r="116" spans="1:43" x14ac:dyDescent="0.25">
      <c r="B116" s="3">
        <v>16</v>
      </c>
      <c r="C116" s="4">
        <v>500</v>
      </c>
      <c r="D116" s="4">
        <v>2</v>
      </c>
      <c r="E116" s="3">
        <v>168</v>
      </c>
      <c r="F116" s="5">
        <v>3.2690000000000001</v>
      </c>
      <c r="G116" s="3">
        <v>25</v>
      </c>
      <c r="H116" s="3">
        <v>33</v>
      </c>
      <c r="I116" s="1">
        <v>250</v>
      </c>
      <c r="J116" s="3">
        <v>333</v>
      </c>
      <c r="K116" s="4">
        <v>400</v>
      </c>
      <c r="L116" s="5">
        <v>12769</v>
      </c>
      <c r="M116" s="4">
        <v>73.386285342529106</v>
      </c>
      <c r="N116" s="10">
        <v>1.57460983498901E-2</v>
      </c>
      <c r="O116" s="5">
        <v>32.090000000000003</v>
      </c>
      <c r="P116" s="4">
        <v>201.39218599306901</v>
      </c>
      <c r="Q116" s="5">
        <v>0.28000000000000003</v>
      </c>
      <c r="R116" s="11">
        <f t="shared" si="10"/>
        <v>1.0069609299653451E-3</v>
      </c>
      <c r="V116" s="5">
        <f t="shared" si="11"/>
        <v>0.26491646816940378</v>
      </c>
      <c r="W116" s="5">
        <f t="shared" si="12"/>
        <v>0.94613024346215624</v>
      </c>
      <c r="Y116" s="5">
        <f t="shared" si="13"/>
        <v>0.26332831020345837</v>
      </c>
      <c r="Z116" s="5">
        <f t="shared" si="14"/>
        <v>0.94045825072663691</v>
      </c>
      <c r="AB116" s="5">
        <f>$AC$2*($AC$3+$AC$4*$F116/($N116*'Sem TS MC2020'!P108))*($AC$5*$G116+$AC$6*$B116/$N116)*'Sem TS MC2020'!R108*($J116-$M116)/($J116-$M116-$H116)</f>
        <v>0.22952013275085412</v>
      </c>
      <c r="AC116" s="5">
        <f t="shared" si="15"/>
        <v>0.81971475982447894</v>
      </c>
      <c r="AD116" s="20">
        <f t="shared" si="16"/>
        <v>-5.047986724914591E-2</v>
      </c>
      <c r="AE116" s="21">
        <f t="shared" si="17"/>
        <v>1.2199365547768404</v>
      </c>
      <c r="AF116" s="21">
        <f>AB116*(14.068*'Sem TS MC2020'!$P108^-0.457)/$Q116</f>
        <v>0.86255827874252955</v>
      </c>
      <c r="AG116" s="21"/>
      <c r="AO116" s="5">
        <f>$AP$2*($AP$3+$AP$4*$F116/($N116*'Sem TS MC2020'!P108))*($AP$5*$G116+$AP$6*$B116/$N116)*('Sem TS MC2020'!P108^$AP$7/200000)*($J116-$M116)/($J116-$M116-$H116)+('Sem TS MC2020'!P108-$C116/$AP$8)*($AP$5*$G116+$AP$6*$B116/$N116)/200000</f>
        <v>0.24506490148205576</v>
      </c>
      <c r="AP116" s="5">
        <f t="shared" si="18"/>
        <v>0.87523179100734194</v>
      </c>
      <c r="AQ116" s="20">
        <f t="shared" si="19"/>
        <v>-3.4935098517944269E-2</v>
      </c>
    </row>
    <row r="117" spans="1:43" x14ac:dyDescent="0.25">
      <c r="B117" s="3">
        <v>16</v>
      </c>
      <c r="C117" s="4">
        <v>500</v>
      </c>
      <c r="D117" s="4">
        <v>2</v>
      </c>
      <c r="E117" s="3">
        <v>168</v>
      </c>
      <c r="F117" s="5">
        <v>3.2690000000000001</v>
      </c>
      <c r="G117" s="3">
        <v>25</v>
      </c>
      <c r="H117" s="3">
        <v>33</v>
      </c>
      <c r="I117" s="1">
        <v>250</v>
      </c>
      <c r="J117" s="3">
        <v>333</v>
      </c>
      <c r="K117" s="4">
        <v>400</v>
      </c>
      <c r="L117" s="5">
        <v>12769</v>
      </c>
      <c r="M117" s="4">
        <v>73.386285342529106</v>
      </c>
      <c r="N117" s="10">
        <v>1.57460983498901E-2</v>
      </c>
      <c r="O117" s="5">
        <v>35.01</v>
      </c>
      <c r="P117" s="4">
        <v>240.81782106451899</v>
      </c>
      <c r="Q117" s="5">
        <v>0.33</v>
      </c>
      <c r="R117" s="11">
        <f t="shared" si="10"/>
        <v>1.204089105322595E-3</v>
      </c>
      <c r="V117" s="5">
        <f t="shared" si="11"/>
        <v>0.29581251411645626</v>
      </c>
      <c r="W117" s="5">
        <f t="shared" si="12"/>
        <v>0.89640155792865528</v>
      </c>
      <c r="Y117" s="5">
        <f t="shared" si="13"/>
        <v>0.29461797788409433</v>
      </c>
      <c r="Z117" s="5">
        <f t="shared" si="14"/>
        <v>0.89278175116392222</v>
      </c>
      <c r="AB117" s="5">
        <f>$AC$2*($AC$3+$AC$4*$F117/($N117*'Sem TS MC2020'!P109))*($AC$5*$G117+$AC$6*$B117/$N117)*'Sem TS MC2020'!R109*($J117-$M117)/($J117-$M117-$H117)</f>
        <v>0.26364161512469109</v>
      </c>
      <c r="AC117" s="5">
        <f t="shared" si="15"/>
        <v>0.79891398522633661</v>
      </c>
      <c r="AD117" s="20">
        <f t="shared" si="16"/>
        <v>-6.6358384875308929E-2</v>
      </c>
      <c r="AE117" s="21">
        <f t="shared" si="17"/>
        <v>1.2516992047857249</v>
      </c>
      <c r="AF117" s="21">
        <f>AB117*(14.068*'Sem TS MC2020'!$P109^-0.457)/$Q117</f>
        <v>0.80786888665090628</v>
      </c>
      <c r="AG117" s="21"/>
      <c r="AO117" s="5">
        <f>$AP$2*($AP$3+$AP$4*$F117/($N117*'Sem TS MC2020'!P109))*($AP$5*$G117+$AP$6*$B117/$N117)*('Sem TS MC2020'!P109^$AP$7/200000)*($J117-$M117)/($J117-$M117-$H117)+('Sem TS MC2020'!P109-$C117/$AP$8)*($AP$5*$G117+$AP$6*$B117/$N117)/200000</f>
        <v>0.27950441759998074</v>
      </c>
      <c r="AP117" s="5">
        <f t="shared" si="18"/>
        <v>0.84698308363630526</v>
      </c>
      <c r="AQ117" s="20">
        <f t="shared" si="19"/>
        <v>-5.0495582400019279E-2</v>
      </c>
    </row>
    <row r="118" spans="1:43" x14ac:dyDescent="0.25">
      <c r="B118" s="3">
        <v>16</v>
      </c>
      <c r="C118" s="4">
        <v>500</v>
      </c>
      <c r="D118" s="4">
        <v>2</v>
      </c>
      <c r="E118" s="3">
        <v>168</v>
      </c>
      <c r="F118" s="5">
        <v>3.2690000000000001</v>
      </c>
      <c r="G118" s="3">
        <v>25</v>
      </c>
      <c r="H118" s="3">
        <v>33</v>
      </c>
      <c r="I118" s="1">
        <v>250</v>
      </c>
      <c r="J118" s="3">
        <v>333</v>
      </c>
      <c r="K118" s="4">
        <v>400</v>
      </c>
      <c r="L118" s="5">
        <v>12769</v>
      </c>
      <c r="M118" s="4">
        <v>73.386285342529106</v>
      </c>
      <c r="N118" s="10">
        <v>1.57460983498901E-2</v>
      </c>
      <c r="O118" s="5">
        <v>37.93</v>
      </c>
      <c r="P118" s="4">
        <v>280.24345613597001</v>
      </c>
      <c r="Q118" s="5">
        <v>0.38</v>
      </c>
      <c r="R118" s="11">
        <f t="shared" si="10"/>
        <v>1.40121728067985E-3</v>
      </c>
      <c r="V118" s="5">
        <f t="shared" si="11"/>
        <v>0.32482096614990674</v>
      </c>
      <c r="W118" s="5">
        <f t="shared" si="12"/>
        <v>0.85479201618396505</v>
      </c>
      <c r="Y118" s="5">
        <f t="shared" si="13"/>
        <v>0.32404928764612939</v>
      </c>
      <c r="Z118" s="5">
        <f t="shared" si="14"/>
        <v>0.85276128327928791</v>
      </c>
      <c r="AB118" s="5">
        <f>$AC$2*($AC$3+$AC$4*$F118/($N118*'Sem TS MC2020'!P110))*($AC$5*$G118+$AC$6*$B118/$N118)*'Sem TS MC2020'!R110*($J118-$M118)/($J118-$M118-$H118)</f>
        <v>0.29776309749852803</v>
      </c>
      <c r="AC118" s="5">
        <f t="shared" si="15"/>
        <v>0.78358709868033694</v>
      </c>
      <c r="AD118" s="20">
        <f t="shared" si="16"/>
        <v>-8.2236902501471976E-2</v>
      </c>
      <c r="AE118" s="21">
        <f t="shared" si="17"/>
        <v>1.2761823180653824</v>
      </c>
      <c r="AF118" s="21">
        <f>AB118*(14.068*'Sem TS MC2020'!$P110^-0.457)/$Q118</f>
        <v>0.76388638816180288</v>
      </c>
      <c r="AG118" s="21"/>
      <c r="AO118" s="5">
        <f>$AP$2*($AP$3+$AP$4*$F118/($N118*'Sem TS MC2020'!P110))*($AP$5*$G118+$AP$6*$B118/$N118)*('Sem TS MC2020'!P110^$AP$7/200000)*($J118-$M118)/($J118-$M118-$H118)+('Sem TS MC2020'!P110-$C118/$AP$8)*($AP$5*$G118+$AP$6*$B118/$N118)/200000</f>
        <v>0.31327294837574055</v>
      </c>
      <c r="AP118" s="5">
        <f t="shared" si="18"/>
        <v>0.82440249572563296</v>
      </c>
      <c r="AQ118" s="20">
        <f t="shared" si="19"/>
        <v>-6.6727051624259459E-2</v>
      </c>
    </row>
    <row r="119" spans="1:43" x14ac:dyDescent="0.25">
      <c r="B119" s="3">
        <v>16</v>
      </c>
      <c r="C119" s="4">
        <v>500</v>
      </c>
      <c r="D119" s="4">
        <v>2</v>
      </c>
      <c r="E119" s="3">
        <v>168</v>
      </c>
      <c r="F119" s="5">
        <v>3.2690000000000001</v>
      </c>
      <c r="G119" s="3">
        <v>25</v>
      </c>
      <c r="H119" s="3">
        <v>33</v>
      </c>
      <c r="I119" s="1">
        <v>250</v>
      </c>
      <c r="J119" s="3">
        <v>333</v>
      </c>
      <c r="K119" s="4">
        <v>400</v>
      </c>
      <c r="L119" s="5">
        <v>12769</v>
      </c>
      <c r="M119" s="4">
        <v>73.386285342529106</v>
      </c>
      <c r="N119" s="10">
        <v>1.57460983498901E-2</v>
      </c>
      <c r="O119" s="5">
        <v>40.840000000000003</v>
      </c>
      <c r="P119" s="4">
        <v>319.53407190923002</v>
      </c>
      <c r="Q119" s="5">
        <v>0.43</v>
      </c>
      <c r="R119" s="11">
        <f t="shared" si="10"/>
        <v>1.5976703595461501E-3</v>
      </c>
      <c r="V119" s="5">
        <f t="shared" si="11"/>
        <v>0.35221006186183812</v>
      </c>
      <c r="W119" s="5">
        <f t="shared" si="12"/>
        <v>0.8190931671205538</v>
      </c>
      <c r="Y119" s="5">
        <f t="shared" si="13"/>
        <v>0.35188080315931164</v>
      </c>
      <c r="Z119" s="5">
        <f t="shared" si="14"/>
        <v>0.81832744920770151</v>
      </c>
      <c r="AB119" s="5">
        <f>$AC$2*($AC$3+$AC$4*$F119/($N119*'Sem TS MC2020'!P111))*($AC$5*$G119+$AC$6*$B119/$N119)*'Sem TS MC2020'!R111*($J119-$M119)/($J119-$M119-$H119)</f>
        <v>0.33176772548067474</v>
      </c>
      <c r="AC119" s="5">
        <f t="shared" si="15"/>
        <v>0.77155284995505757</v>
      </c>
      <c r="AD119" s="20">
        <f t="shared" si="16"/>
        <v>-9.8232274519325258E-2</v>
      </c>
      <c r="AE119" s="21">
        <f t="shared" si="17"/>
        <v>1.2960874942763148</v>
      </c>
      <c r="AF119" s="21">
        <f>AB119*(14.068*'Sem TS MC2020'!$P111^-0.457)/$Q119</f>
        <v>0.72717033434648559</v>
      </c>
      <c r="AG119" s="21"/>
      <c r="AO119" s="5">
        <f>$AP$2*($AP$3+$AP$4*$F119/($N119*'Sem TS MC2020'!P111))*($AP$5*$G119+$AP$6*$B119/$N119)*('Sem TS MC2020'!P111^$AP$7/200000)*($J119-$M119)/($J119-$M119-$H119)+('Sem TS MC2020'!P111-$C119/$AP$8)*($AP$5*$G119+$AP$6*$B119/$N119)/200000</f>
        <v>0.3463346816601991</v>
      </c>
      <c r="AP119" s="5">
        <f t="shared" si="18"/>
        <v>0.80542949223302118</v>
      </c>
      <c r="AQ119" s="20">
        <f t="shared" si="19"/>
        <v>-8.3665318339800898E-2</v>
      </c>
    </row>
    <row r="120" spans="1:43" x14ac:dyDescent="0.25">
      <c r="A120" s="1" t="s">
        <v>46</v>
      </c>
      <c r="B120" s="3">
        <v>16</v>
      </c>
      <c r="C120" s="4">
        <v>500</v>
      </c>
      <c r="D120" s="4">
        <v>3</v>
      </c>
      <c r="E120" s="3">
        <v>76</v>
      </c>
      <c r="F120" s="5">
        <v>3.2690000000000001</v>
      </c>
      <c r="G120" s="3">
        <v>25</v>
      </c>
      <c r="H120" s="3">
        <v>33</v>
      </c>
      <c r="I120" s="1">
        <v>250</v>
      </c>
      <c r="J120" s="3">
        <v>333</v>
      </c>
      <c r="K120" s="4">
        <v>600</v>
      </c>
      <c r="L120" s="5">
        <v>28250</v>
      </c>
      <c r="M120" s="4">
        <v>87.114505405349803</v>
      </c>
      <c r="N120" s="10">
        <v>2.12389380530973E-2</v>
      </c>
      <c r="O120" s="5">
        <v>37.93</v>
      </c>
      <c r="P120" s="4">
        <v>142.623322211436</v>
      </c>
      <c r="Q120" s="5">
        <v>0.15</v>
      </c>
      <c r="R120" s="11">
        <f t="shared" si="10"/>
        <v>7.1311661105717997E-4</v>
      </c>
      <c r="V120" s="5">
        <f t="shared" si="11"/>
        <v>0.18896869999146032</v>
      </c>
      <c r="W120" s="5">
        <f t="shared" si="12"/>
        <v>1.2597913332764021</v>
      </c>
      <c r="Y120" s="5">
        <f t="shared" si="13"/>
        <v>0.18552456705375522</v>
      </c>
      <c r="Z120" s="5">
        <f t="shared" si="14"/>
        <v>1.2368304470250349</v>
      </c>
      <c r="AB120" s="5">
        <f>$AC$2*($AC$3+$AC$4*$F120/($N120*'Sem TS MC2020'!P112))*($AC$5*$G120+$AC$6*$B120/$N120)*'Sem TS MC2020'!R112*($J120-$M120)/($J120-$M120-$H120)</f>
        <v>0.1514521796881271</v>
      </c>
      <c r="AC120" s="5">
        <f t="shared" si="15"/>
        <v>1.0096811979208473</v>
      </c>
      <c r="AD120" s="20">
        <f t="shared" si="16"/>
        <v>1.4521796881271087E-3</v>
      </c>
      <c r="AE120" s="21">
        <f t="shared" si="17"/>
        <v>0.99041162899657531</v>
      </c>
      <c r="AF120" s="21">
        <f>AB120*(14.068*'Sem TS MC2020'!$P112^-0.457)/$Q120</f>
        <v>1.1756433765295518</v>
      </c>
      <c r="AG120" s="21"/>
      <c r="AO120" s="5">
        <f>$AP$2*($AP$3+$AP$4*$F120/($N120*'Sem TS MC2020'!P112))*($AP$5*$G120+$AP$6*$B120/$N120)*('Sem TS MC2020'!P112^$AP$7/200000)*($J120-$M120)/($J120-$M120-$H120)+('Sem TS MC2020'!P112-$C120/$AP$8)*($AP$5*$G120+$AP$6*$B120/$N120)/200000</f>
        <v>0.16322160576179456</v>
      </c>
      <c r="AP120" s="5">
        <f t="shared" si="18"/>
        <v>1.0881440384119638</v>
      </c>
      <c r="AQ120" s="20">
        <f t="shared" si="19"/>
        <v>1.3221605761794569E-2</v>
      </c>
    </row>
    <row r="121" spans="1:43" x14ac:dyDescent="0.25">
      <c r="B121" s="3">
        <v>16</v>
      </c>
      <c r="C121" s="4">
        <v>500</v>
      </c>
      <c r="D121" s="4">
        <v>3</v>
      </c>
      <c r="E121" s="3">
        <v>76</v>
      </c>
      <c r="F121" s="5">
        <v>3.2690000000000001</v>
      </c>
      <c r="G121" s="3">
        <v>25</v>
      </c>
      <c r="H121" s="3">
        <v>33</v>
      </c>
      <c r="I121" s="1">
        <v>250</v>
      </c>
      <c r="J121" s="3">
        <v>333</v>
      </c>
      <c r="K121" s="4">
        <v>600</v>
      </c>
      <c r="L121" s="5">
        <v>28250</v>
      </c>
      <c r="M121" s="4">
        <v>87.114505405349803</v>
      </c>
      <c r="N121" s="10">
        <v>2.12389380530973E-2</v>
      </c>
      <c r="O121" s="5">
        <v>40.840000000000003</v>
      </c>
      <c r="P121" s="4">
        <v>167.23645175102001</v>
      </c>
      <c r="Q121" s="5">
        <v>0.18</v>
      </c>
      <c r="R121" s="11">
        <f t="shared" si="10"/>
        <v>8.3618225875510001E-4</v>
      </c>
      <c r="V121" s="5">
        <f t="shared" si="11"/>
        <v>0.20847284813155417</v>
      </c>
      <c r="W121" s="5">
        <f t="shared" si="12"/>
        <v>1.1581824896197455</v>
      </c>
      <c r="Y121" s="5">
        <f t="shared" si="13"/>
        <v>0.20503197517933916</v>
      </c>
      <c r="Z121" s="5">
        <f t="shared" si="14"/>
        <v>1.1390665287741064</v>
      </c>
      <c r="AB121" s="5">
        <f>$AC$2*($AC$3+$AC$4*$F121/($N121*'Sem TS MC2020'!P113))*($AC$5*$G121+$AC$6*$B121/$N121)*'Sem TS MC2020'!R113*($J121-$M121)/($J121-$M121-$H121)</f>
        <v>0.16957682498013238</v>
      </c>
      <c r="AC121" s="5">
        <f t="shared" si="15"/>
        <v>0.94209347211184657</v>
      </c>
      <c r="AD121" s="20">
        <f t="shared" si="16"/>
        <v>-1.0423175019867614E-2</v>
      </c>
      <c r="AE121" s="21">
        <f t="shared" si="17"/>
        <v>1.0614657988854832</v>
      </c>
      <c r="AF121" s="21">
        <f>AB121*(14.068*'Sem TS MC2020'!$P113^-0.457)/$Q121</f>
        <v>1.0605088715385866</v>
      </c>
      <c r="AG121" s="21"/>
      <c r="AO121" s="5">
        <f>$AP$2*($AP$3+$AP$4*$F121/($N121*'Sem TS MC2020'!P113))*($AP$5*$G121+$AP$6*$B121/$N121)*('Sem TS MC2020'!P113^$AP$7/200000)*($J121-$M121)/($J121-$M121-$H121)+('Sem TS MC2020'!P113-$C121/$AP$8)*($AP$5*$G121+$AP$6*$B121/$N121)/200000</f>
        <v>0.18195398997542594</v>
      </c>
      <c r="AP121" s="5">
        <f t="shared" si="18"/>
        <v>1.0108554998634776</v>
      </c>
      <c r="AQ121" s="20">
        <f t="shared" si="19"/>
        <v>1.9539899754259515E-3</v>
      </c>
    </row>
    <row r="122" spans="1:43" x14ac:dyDescent="0.25">
      <c r="B122" s="3">
        <v>16</v>
      </c>
      <c r="C122" s="4">
        <v>500</v>
      </c>
      <c r="D122" s="4">
        <v>3</v>
      </c>
      <c r="E122" s="3">
        <v>76</v>
      </c>
      <c r="F122" s="5">
        <v>3.2690000000000001</v>
      </c>
      <c r="G122" s="3">
        <v>25</v>
      </c>
      <c r="H122" s="3">
        <v>33</v>
      </c>
      <c r="I122" s="1">
        <v>250</v>
      </c>
      <c r="J122" s="3">
        <v>333</v>
      </c>
      <c r="K122" s="4">
        <v>600</v>
      </c>
      <c r="L122" s="5">
        <v>28250</v>
      </c>
      <c r="M122" s="4">
        <v>87.114505405349803</v>
      </c>
      <c r="N122" s="10">
        <v>2.12389380530973E-2</v>
      </c>
      <c r="O122" s="5">
        <v>43.76</v>
      </c>
      <c r="P122" s="4">
        <v>191.93416249177099</v>
      </c>
      <c r="Q122" s="5">
        <v>0.18</v>
      </c>
      <c r="R122" s="11">
        <f t="shared" si="10"/>
        <v>9.59670812458855E-4</v>
      </c>
      <c r="V122" s="5">
        <f t="shared" si="11"/>
        <v>0.22696519575802393</v>
      </c>
      <c r="W122" s="5">
        <f t="shared" si="12"/>
        <v>1.2609177542112442</v>
      </c>
      <c r="Y122" s="5">
        <f t="shared" si="13"/>
        <v>0.22355757775846266</v>
      </c>
      <c r="Z122" s="5">
        <f t="shared" si="14"/>
        <v>1.2419865431025703</v>
      </c>
      <c r="AB122" s="5">
        <f>$AC$2*($AC$3+$AC$4*$F122/($N122*'Sem TS MC2020'!P114))*($AC$5*$G122+$AC$6*$B122/$N122)*'Sem TS MC2020'!R114*($J122-$M122)/($J122-$M122-$H122)</f>
        <v>0.18776375427657768</v>
      </c>
      <c r="AC122" s="5">
        <f t="shared" si="15"/>
        <v>1.0431319682032094</v>
      </c>
      <c r="AD122" s="20">
        <f t="shared" si="16"/>
        <v>7.763754276577689E-3</v>
      </c>
      <c r="AE122" s="21">
        <f t="shared" si="17"/>
        <v>0.95865147505976256</v>
      </c>
      <c r="AF122" s="21">
        <f>AB122*(14.068*'Sem TS MC2020'!$P114^-0.457)/$Q122</f>
        <v>1.1377672128651266</v>
      </c>
      <c r="AG122" s="21"/>
      <c r="AO122" s="5">
        <f>$AP$2*($AP$3+$AP$4*$F122/($N122*'Sem TS MC2020'!P114))*($AP$5*$G122+$AP$6*$B122/$N122)*('Sem TS MC2020'!P114^$AP$7/200000)*($J122-$M122)/($J122-$M122-$H122)+('Sem TS MC2020'!P114-$C122/$AP$8)*($AP$5*$G122+$AP$6*$B122/$N122)/200000</f>
        <v>0.20044137528883152</v>
      </c>
      <c r="AP122" s="5">
        <f t="shared" si="18"/>
        <v>1.113563196049064</v>
      </c>
      <c r="AQ122" s="20">
        <f t="shared" si="19"/>
        <v>2.0441375288831526E-2</v>
      </c>
    </row>
    <row r="123" spans="1:43" x14ac:dyDescent="0.25">
      <c r="B123" s="3">
        <v>16</v>
      </c>
      <c r="C123" s="4">
        <v>500</v>
      </c>
      <c r="D123" s="4">
        <v>3</v>
      </c>
      <c r="E123" s="3">
        <v>76</v>
      </c>
      <c r="F123" s="5">
        <v>3.2690000000000001</v>
      </c>
      <c r="G123" s="3">
        <v>25</v>
      </c>
      <c r="H123" s="3">
        <v>33</v>
      </c>
      <c r="I123" s="1">
        <v>250</v>
      </c>
      <c r="J123" s="3">
        <v>333</v>
      </c>
      <c r="K123" s="4">
        <v>600</v>
      </c>
      <c r="L123" s="5">
        <v>28250</v>
      </c>
      <c r="M123" s="4">
        <v>87.114505405349803</v>
      </c>
      <c r="N123" s="10">
        <v>2.12389380530973E-2</v>
      </c>
      <c r="O123" s="5">
        <v>46.68</v>
      </c>
      <c r="P123" s="4">
        <v>216.631873232522</v>
      </c>
      <c r="Q123" s="5">
        <v>0.2</v>
      </c>
      <c r="R123" s="11">
        <f t="shared" si="10"/>
        <v>1.08315936616261E-3</v>
      </c>
      <c r="V123" s="5">
        <f t="shared" si="11"/>
        <v>0.2445653915442941</v>
      </c>
      <c r="W123" s="5">
        <f t="shared" si="12"/>
        <v>1.2228269577214705</v>
      </c>
      <c r="Y123" s="5">
        <f t="shared" si="13"/>
        <v>0.24121449475219578</v>
      </c>
      <c r="Z123" s="5">
        <f t="shared" si="14"/>
        <v>1.2060724737609789</v>
      </c>
      <c r="AB123" s="5">
        <f>$AC$2*($AC$3+$AC$4*$F123/($N123*'Sem TS MC2020'!P115))*($AC$5*$G123+$AC$6*$B123/$N123)*'Sem TS MC2020'!R115*($J123-$M123)/($J123-$M123-$H123)</f>
        <v>0.20595068357302299</v>
      </c>
      <c r="AC123" s="5">
        <f t="shared" si="15"/>
        <v>1.0297534178651149</v>
      </c>
      <c r="AD123" s="20">
        <f t="shared" si="16"/>
        <v>5.9506835730229746E-3</v>
      </c>
      <c r="AE123" s="21">
        <f t="shared" si="17"/>
        <v>0.97110626937582822</v>
      </c>
      <c r="AF123" s="21">
        <f>AB123*(14.068*'Sem TS MC2020'!$P115^-0.457)/$Q123</f>
        <v>1.0905031801073797</v>
      </c>
      <c r="AG123" s="21"/>
      <c r="AO123" s="5">
        <f>$AP$2*($AP$3+$AP$4*$F123/($N123*'Sem TS MC2020'!P115))*($AP$5*$G123+$AP$6*$B123/$N123)*('Sem TS MC2020'!P115^$AP$7/200000)*($J123-$M123)/($J123-$M123-$H123)+('Sem TS MC2020'!P115-$C123/$AP$8)*($AP$5*$G123+$AP$6*$B123/$N123)/200000</f>
        <v>0.21864940119234014</v>
      </c>
      <c r="AP123" s="5">
        <f t="shared" si="18"/>
        <v>1.0932470059617005</v>
      </c>
      <c r="AQ123" s="20">
        <f t="shared" si="19"/>
        <v>1.8649401192340126E-2</v>
      </c>
    </row>
    <row r="124" spans="1:43" x14ac:dyDescent="0.25">
      <c r="B124" s="3">
        <v>16</v>
      </c>
      <c r="C124" s="4">
        <v>500</v>
      </c>
      <c r="D124" s="4">
        <v>3</v>
      </c>
      <c r="E124" s="3">
        <v>76</v>
      </c>
      <c r="F124" s="5">
        <v>3.2690000000000001</v>
      </c>
      <c r="G124" s="3">
        <v>25</v>
      </c>
      <c r="H124" s="3">
        <v>33</v>
      </c>
      <c r="I124" s="1">
        <v>250</v>
      </c>
      <c r="J124" s="3">
        <v>333</v>
      </c>
      <c r="K124" s="4">
        <v>600</v>
      </c>
      <c r="L124" s="5">
        <v>28250</v>
      </c>
      <c r="M124" s="4">
        <v>87.114505405349803</v>
      </c>
      <c r="N124" s="10">
        <v>2.12389380530973E-2</v>
      </c>
      <c r="O124" s="5">
        <v>49.6</v>
      </c>
      <c r="P124" s="4">
        <v>241.329583973274</v>
      </c>
      <c r="Q124" s="5">
        <v>0.2</v>
      </c>
      <c r="R124" s="11">
        <f t="shared" si="10"/>
        <v>1.2066479198663701E-3</v>
      </c>
      <c r="V124" s="5">
        <f t="shared" si="11"/>
        <v>0.26141170219763921</v>
      </c>
      <c r="W124" s="5">
        <f t="shared" si="12"/>
        <v>1.307058510988196</v>
      </c>
      <c r="Y124" s="5">
        <f t="shared" si="13"/>
        <v>0.25813636885381591</v>
      </c>
      <c r="Z124" s="5">
        <f t="shared" si="14"/>
        <v>1.2906818442690795</v>
      </c>
      <c r="AB124" s="5">
        <f>$AC$2*($AC$3+$AC$4*$F124/($N124*'Sem TS MC2020'!P116))*($AC$5*$G124+$AC$6*$B124/$N124)*'Sem TS MC2020'!R116*($J124-$M124)/($J124-$M124-$H124)</f>
        <v>0.22413761286946826</v>
      </c>
      <c r="AC124" s="5">
        <f t="shared" si="15"/>
        <v>1.1206880643473411</v>
      </c>
      <c r="AD124" s="20">
        <f t="shared" si="16"/>
        <v>2.413761286946825E-2</v>
      </c>
      <c r="AE124" s="21">
        <f t="shared" si="17"/>
        <v>0.89230895894512208</v>
      </c>
      <c r="AF124" s="21">
        <f>AB124*(14.068*'Sem TS MC2020'!$P116^-0.457)/$Q124</f>
        <v>1.1543462913324825</v>
      </c>
      <c r="AG124" s="21"/>
      <c r="AO124" s="5">
        <f>$AP$2*($AP$3+$AP$4*$F124/($N124*'Sem TS MC2020'!P116))*($AP$5*$G124+$AP$6*$B124/$N124)*('Sem TS MC2020'!P116^$AP$7/200000)*($J124-$M124)/($J124-$M124-$H124)+('Sem TS MC2020'!P116-$C124/$AP$8)*($AP$5*$G124+$AP$6*$B124/$N124)/200000</f>
        <v>0.23660369291125297</v>
      </c>
      <c r="AP124" s="5">
        <f t="shared" si="18"/>
        <v>1.1830184645562647</v>
      </c>
      <c r="AQ124" s="20">
        <f t="shared" si="19"/>
        <v>3.6603692911252955E-2</v>
      </c>
    </row>
    <row r="125" spans="1:43" x14ac:dyDescent="0.25">
      <c r="A125" s="1" t="s">
        <v>47</v>
      </c>
      <c r="B125" s="3">
        <v>16</v>
      </c>
      <c r="C125" s="4">
        <v>500</v>
      </c>
      <c r="D125" s="4">
        <v>3</v>
      </c>
      <c r="E125" s="3">
        <v>76</v>
      </c>
      <c r="F125" s="5">
        <v>3.2690000000000001</v>
      </c>
      <c r="G125" s="3">
        <v>25</v>
      </c>
      <c r="H125" s="3">
        <v>33</v>
      </c>
      <c r="I125" s="1">
        <v>250</v>
      </c>
      <c r="J125" s="3">
        <v>333</v>
      </c>
      <c r="K125" s="4">
        <v>600</v>
      </c>
      <c r="L125" s="5">
        <v>28250</v>
      </c>
      <c r="M125" s="4">
        <v>87.114505405349803</v>
      </c>
      <c r="N125" s="10">
        <v>2.12389380530973E-2</v>
      </c>
      <c r="O125" s="5">
        <v>40.840000000000003</v>
      </c>
      <c r="P125" s="4">
        <v>167.23645175102001</v>
      </c>
      <c r="Q125" s="5">
        <v>0.15</v>
      </c>
      <c r="R125" s="11">
        <f t="shared" si="10"/>
        <v>8.3618225875510001E-4</v>
      </c>
      <c r="V125" s="5">
        <f t="shared" si="11"/>
        <v>0.20847284813155417</v>
      </c>
      <c r="W125" s="5">
        <f t="shared" si="12"/>
        <v>1.3898189875436946</v>
      </c>
      <c r="Y125" s="5">
        <f t="shared" si="13"/>
        <v>0.20503197517933916</v>
      </c>
      <c r="Z125" s="5">
        <f t="shared" si="14"/>
        <v>1.3668798345289277</v>
      </c>
      <c r="AB125" s="5">
        <f>$AC$2*($AC$3+$AC$4*$F125/($N125*'Sem TS MC2020'!P117))*($AC$5*$G125+$AC$6*$B125/$N125)*'Sem TS MC2020'!R117*($J125-$M125)/($J125-$M125-$H125)</f>
        <v>0.16957682498013238</v>
      </c>
      <c r="AC125" s="5">
        <f t="shared" si="15"/>
        <v>1.1305121665342159</v>
      </c>
      <c r="AD125" s="20">
        <f t="shared" si="16"/>
        <v>1.9576824980132385E-2</v>
      </c>
      <c r="AE125" s="21">
        <f t="shared" si="17"/>
        <v>0.88455483240456934</v>
      </c>
      <c r="AF125" s="21">
        <f>AB125*(14.068*'Sem TS MC2020'!$P117^-0.457)/$Q125</f>
        <v>1.272610645846304</v>
      </c>
      <c r="AG125" s="21"/>
      <c r="AO125" s="5">
        <f>$AP$2*($AP$3+$AP$4*$F125/($N125*'Sem TS MC2020'!P117))*($AP$5*$G125+$AP$6*$B125/$N125)*('Sem TS MC2020'!P117^$AP$7/200000)*($J125-$M125)/($J125-$M125-$H125)+('Sem TS MC2020'!P117-$C125/$AP$8)*($AP$5*$G125+$AP$6*$B125/$N125)/200000</f>
        <v>0.18195398997542594</v>
      </c>
      <c r="AP125" s="5">
        <f t="shared" si="18"/>
        <v>1.2130265998361731</v>
      </c>
      <c r="AQ125" s="20">
        <f t="shared" si="19"/>
        <v>3.195398997542595E-2</v>
      </c>
    </row>
    <row r="126" spans="1:43" x14ac:dyDescent="0.25">
      <c r="B126" s="3">
        <v>16</v>
      </c>
      <c r="C126" s="4">
        <v>500</v>
      </c>
      <c r="D126" s="4">
        <v>3</v>
      </c>
      <c r="E126" s="3">
        <v>76</v>
      </c>
      <c r="F126" s="5">
        <v>3.2690000000000001</v>
      </c>
      <c r="G126" s="3">
        <v>25</v>
      </c>
      <c r="H126" s="3">
        <v>33</v>
      </c>
      <c r="I126" s="1">
        <v>250</v>
      </c>
      <c r="J126" s="3">
        <v>333</v>
      </c>
      <c r="K126" s="4">
        <v>600</v>
      </c>
      <c r="L126" s="5">
        <v>28250</v>
      </c>
      <c r="M126" s="4">
        <v>87.114505405349803</v>
      </c>
      <c r="N126" s="10">
        <v>2.12389380530973E-2</v>
      </c>
      <c r="O126" s="5">
        <v>43.76</v>
      </c>
      <c r="P126" s="4">
        <v>191.93416249177099</v>
      </c>
      <c r="Q126" s="5">
        <v>0.18</v>
      </c>
      <c r="R126" s="11">
        <f t="shared" si="10"/>
        <v>9.59670812458855E-4</v>
      </c>
      <c r="V126" s="5">
        <f t="shared" si="11"/>
        <v>0.22696519575802393</v>
      </c>
      <c r="W126" s="5">
        <f t="shared" si="12"/>
        <v>1.2609177542112442</v>
      </c>
      <c r="Y126" s="5">
        <f t="shared" si="13"/>
        <v>0.22355757775846266</v>
      </c>
      <c r="Z126" s="5">
        <f t="shared" si="14"/>
        <v>1.2419865431025703</v>
      </c>
      <c r="AB126" s="5">
        <f>$AC$2*($AC$3+$AC$4*$F126/($N126*'Sem TS MC2020'!P118))*($AC$5*$G126+$AC$6*$B126/$N126)*'Sem TS MC2020'!R118*($J126-$M126)/($J126-$M126-$H126)</f>
        <v>0.18776375427657768</v>
      </c>
      <c r="AC126" s="5">
        <f t="shared" si="15"/>
        <v>1.0431319682032094</v>
      </c>
      <c r="AD126" s="20">
        <f t="shared" si="16"/>
        <v>7.763754276577689E-3</v>
      </c>
      <c r="AE126" s="21">
        <f t="shared" si="17"/>
        <v>0.95865147505976256</v>
      </c>
      <c r="AF126" s="21">
        <f>AB126*(14.068*'Sem TS MC2020'!$P118^-0.457)/$Q126</f>
        <v>1.1377672128651266</v>
      </c>
      <c r="AG126" s="21"/>
      <c r="AO126" s="5">
        <f>$AP$2*($AP$3+$AP$4*$F126/($N126*'Sem TS MC2020'!P118))*($AP$5*$G126+$AP$6*$B126/$N126)*('Sem TS MC2020'!P118^$AP$7/200000)*($J126-$M126)/($J126-$M126-$H126)+('Sem TS MC2020'!P118-$C126/$AP$8)*($AP$5*$G126+$AP$6*$B126/$N126)/200000</f>
        <v>0.20044137528883152</v>
      </c>
      <c r="AP126" s="5">
        <f t="shared" si="18"/>
        <v>1.113563196049064</v>
      </c>
      <c r="AQ126" s="20">
        <f t="shared" si="19"/>
        <v>2.0441375288831526E-2</v>
      </c>
    </row>
    <row r="127" spans="1:43" x14ac:dyDescent="0.25">
      <c r="B127" s="3">
        <v>16</v>
      </c>
      <c r="C127" s="4">
        <v>500</v>
      </c>
      <c r="D127" s="4">
        <v>3</v>
      </c>
      <c r="E127" s="3">
        <v>76</v>
      </c>
      <c r="F127" s="5">
        <v>3.2690000000000001</v>
      </c>
      <c r="G127" s="3">
        <v>25</v>
      </c>
      <c r="H127" s="3">
        <v>33</v>
      </c>
      <c r="I127" s="1">
        <v>250</v>
      </c>
      <c r="J127" s="3">
        <v>333</v>
      </c>
      <c r="K127" s="4">
        <v>600</v>
      </c>
      <c r="L127" s="5">
        <v>28250</v>
      </c>
      <c r="M127" s="4">
        <v>87.114505405349803</v>
      </c>
      <c r="N127" s="10">
        <v>2.12389380530973E-2</v>
      </c>
      <c r="O127" s="5">
        <v>46.68</v>
      </c>
      <c r="P127" s="4">
        <v>216.631873232522</v>
      </c>
      <c r="Q127" s="5">
        <v>0.2</v>
      </c>
      <c r="R127" s="11">
        <f t="shared" si="10"/>
        <v>1.08315936616261E-3</v>
      </c>
      <c r="V127" s="5">
        <f t="shared" si="11"/>
        <v>0.2445653915442941</v>
      </c>
      <c r="W127" s="5">
        <f t="shared" si="12"/>
        <v>1.2228269577214705</v>
      </c>
      <c r="Y127" s="5">
        <f t="shared" si="13"/>
        <v>0.24121449475219578</v>
      </c>
      <c r="Z127" s="5">
        <f t="shared" si="14"/>
        <v>1.2060724737609789</v>
      </c>
      <c r="AB127" s="5">
        <f>$AC$2*($AC$3+$AC$4*$F127/($N127*'Sem TS MC2020'!P119))*($AC$5*$G127+$AC$6*$B127/$N127)*'Sem TS MC2020'!R119*($J127-$M127)/($J127-$M127-$H127)</f>
        <v>0.20595068357302299</v>
      </c>
      <c r="AC127" s="5">
        <f t="shared" si="15"/>
        <v>1.0297534178651149</v>
      </c>
      <c r="AD127" s="20">
        <f t="shared" si="16"/>
        <v>5.9506835730229746E-3</v>
      </c>
      <c r="AE127" s="21">
        <f t="shared" si="17"/>
        <v>0.97110626937582822</v>
      </c>
      <c r="AF127" s="21">
        <f>AB127*(14.068*'Sem TS MC2020'!$P119^-0.457)/$Q127</f>
        <v>1.0905031801073797</v>
      </c>
      <c r="AG127" s="21"/>
      <c r="AO127" s="5">
        <f>$AP$2*($AP$3+$AP$4*$F127/($N127*'Sem TS MC2020'!P119))*($AP$5*$G127+$AP$6*$B127/$N127)*('Sem TS MC2020'!P119^$AP$7/200000)*($J127-$M127)/($J127-$M127-$H127)+('Sem TS MC2020'!P119-$C127/$AP$8)*($AP$5*$G127+$AP$6*$B127/$N127)/200000</f>
        <v>0.21864940119234014</v>
      </c>
      <c r="AP127" s="5">
        <f t="shared" si="18"/>
        <v>1.0932470059617005</v>
      </c>
      <c r="AQ127" s="20">
        <f t="shared" si="19"/>
        <v>1.8649401192340126E-2</v>
      </c>
    </row>
    <row r="128" spans="1:43" x14ac:dyDescent="0.25">
      <c r="B128" s="3">
        <v>16</v>
      </c>
      <c r="C128" s="4">
        <v>500</v>
      </c>
      <c r="D128" s="4">
        <v>3</v>
      </c>
      <c r="E128" s="3">
        <v>76</v>
      </c>
      <c r="F128" s="5">
        <v>3.2690000000000001</v>
      </c>
      <c r="G128" s="3">
        <v>25</v>
      </c>
      <c r="H128" s="3">
        <v>33</v>
      </c>
      <c r="I128" s="1">
        <v>250</v>
      </c>
      <c r="J128" s="3">
        <v>333</v>
      </c>
      <c r="K128" s="4">
        <v>600</v>
      </c>
      <c r="L128" s="5">
        <v>28250</v>
      </c>
      <c r="M128" s="4">
        <v>87.114505405349803</v>
      </c>
      <c r="N128" s="10">
        <v>2.12389380530973E-2</v>
      </c>
      <c r="O128" s="5">
        <v>49.6</v>
      </c>
      <c r="P128" s="4">
        <v>241.329583973274</v>
      </c>
      <c r="Q128" s="5">
        <v>0.2</v>
      </c>
      <c r="R128" s="11">
        <f t="shared" si="10"/>
        <v>1.2066479198663701E-3</v>
      </c>
      <c r="V128" s="5">
        <f t="shared" si="11"/>
        <v>0.26141170219763921</v>
      </c>
      <c r="W128" s="5">
        <f t="shared" si="12"/>
        <v>1.307058510988196</v>
      </c>
      <c r="Y128" s="5">
        <f t="shared" si="13"/>
        <v>0.25813636885381591</v>
      </c>
      <c r="Z128" s="5">
        <f t="shared" si="14"/>
        <v>1.2906818442690795</v>
      </c>
      <c r="AB128" s="5">
        <f>$AC$2*($AC$3+$AC$4*$F128/($N128*'Sem TS MC2020'!P120))*($AC$5*$G128+$AC$6*$B128/$N128)*'Sem TS MC2020'!R120*($J128-$M128)/($J128-$M128-$H128)</f>
        <v>0.22413761286946826</v>
      </c>
      <c r="AC128" s="5">
        <f t="shared" si="15"/>
        <v>1.1206880643473411</v>
      </c>
      <c r="AD128" s="20">
        <f t="shared" si="16"/>
        <v>2.413761286946825E-2</v>
      </c>
      <c r="AE128" s="21">
        <f t="shared" si="17"/>
        <v>0.89230895894512208</v>
      </c>
      <c r="AF128" s="21">
        <f>AB128*(14.068*'Sem TS MC2020'!$P120^-0.457)/$Q128</f>
        <v>1.1543462913324825</v>
      </c>
      <c r="AG128" s="21"/>
      <c r="AO128" s="5">
        <f>$AP$2*($AP$3+$AP$4*$F128/($N128*'Sem TS MC2020'!P120))*($AP$5*$G128+$AP$6*$B128/$N128)*('Sem TS MC2020'!P120^$AP$7/200000)*($J128-$M128)/($J128-$M128-$H128)+('Sem TS MC2020'!P120-$C128/$AP$8)*($AP$5*$G128+$AP$6*$B128/$N128)/200000</f>
        <v>0.23660369291125297</v>
      </c>
      <c r="AP128" s="5">
        <f t="shared" si="18"/>
        <v>1.1830184645562647</v>
      </c>
      <c r="AQ128" s="20">
        <f t="shared" si="19"/>
        <v>3.6603692911252955E-2</v>
      </c>
    </row>
    <row r="129" spans="1:43" x14ac:dyDescent="0.25">
      <c r="A129" s="1" t="s">
        <v>48</v>
      </c>
      <c r="B129" s="3">
        <v>12</v>
      </c>
      <c r="C129" s="4">
        <v>500</v>
      </c>
      <c r="D129" s="4">
        <v>2</v>
      </c>
      <c r="E129" s="3">
        <v>296</v>
      </c>
      <c r="F129" s="5">
        <v>3.2690000000000001</v>
      </c>
      <c r="G129" s="3">
        <v>25</v>
      </c>
      <c r="H129" s="3">
        <v>31</v>
      </c>
      <c r="I129" s="1">
        <v>400</v>
      </c>
      <c r="J129" s="3">
        <v>161</v>
      </c>
      <c r="K129" s="4">
        <v>220</v>
      </c>
      <c r="L129" s="5">
        <v>9646</v>
      </c>
      <c r="M129" s="4">
        <v>28.758860606294402</v>
      </c>
      <c r="N129" s="10">
        <v>1.17247911599868E-2</v>
      </c>
      <c r="O129" s="5">
        <v>4.67</v>
      </c>
      <c r="P129" s="4">
        <v>0</v>
      </c>
      <c r="Q129" s="5">
        <v>0.2</v>
      </c>
      <c r="R129" s="11">
        <f t="shared" si="10"/>
        <v>0</v>
      </c>
      <c r="V129" s="5">
        <f t="shared" si="11"/>
        <v>0</v>
      </c>
      <c r="W129" s="5">
        <f t="shared" si="12"/>
        <v>0</v>
      </c>
      <c r="Y129" s="5">
        <f t="shared" si="13"/>
        <v>0</v>
      </c>
      <c r="Z129" s="5">
        <f t="shared" si="14"/>
        <v>0</v>
      </c>
      <c r="AB129" s="5">
        <f>$AC$2*($AC$3+$AC$4*$F129/($N129*'Sem TS MC2020'!P121))*($AC$5*$G129+$AC$6*$B129/$N129)*'Sem TS MC2020'!R121*($J129-$M129)/($J129-$M129-$H129)</f>
        <v>3.6348016957569888E-2</v>
      </c>
      <c r="AC129" s="5">
        <f t="shared" si="15"/>
        <v>0.18174008478784942</v>
      </c>
      <c r="AD129" s="20">
        <f t="shared" si="16"/>
        <v>-0.16365198304243012</v>
      </c>
      <c r="AE129" s="21">
        <f t="shared" si="17"/>
        <v>5.5023634503490495</v>
      </c>
      <c r="AF129" s="21">
        <f>AB129*(14.068*'Sem TS MC2020'!$P121^-0.457)/$Q129</f>
        <v>0.24052562135693253</v>
      </c>
      <c r="AG129" s="21"/>
      <c r="AO129" s="5">
        <f>$AP$2*($AP$3+$AP$4*$F129/($N129*'Sem TS MC2020'!P121))*($AP$5*$G129+$AP$6*$B129/$N129)*('Sem TS MC2020'!P121^$AP$7/200000)*($J129-$M129)/($J129-$M129-$H129)+('Sem TS MC2020'!P121-$C129/$AP$8)*($AP$5*$G129+$AP$6*$B129/$N129)/200000</f>
        <v>3.0495567956729662E-2</v>
      </c>
      <c r="AP129" s="5">
        <f t="shared" si="18"/>
        <v>0.15247783978364829</v>
      </c>
      <c r="AQ129" s="20">
        <f t="shared" si="19"/>
        <v>-0.16950443204327034</v>
      </c>
    </row>
    <row r="130" spans="1:43" x14ac:dyDescent="0.25">
      <c r="B130" s="3">
        <v>12</v>
      </c>
      <c r="C130" s="4">
        <v>500</v>
      </c>
      <c r="D130" s="4">
        <v>2</v>
      </c>
      <c r="E130" s="3">
        <v>296</v>
      </c>
      <c r="F130" s="5">
        <v>3.2690000000000001</v>
      </c>
      <c r="G130" s="3">
        <v>25</v>
      </c>
      <c r="H130" s="3">
        <v>31</v>
      </c>
      <c r="I130" s="1">
        <v>400</v>
      </c>
      <c r="J130" s="3">
        <v>161</v>
      </c>
      <c r="K130" s="4">
        <v>220</v>
      </c>
      <c r="L130" s="5">
        <v>9646</v>
      </c>
      <c r="M130" s="4">
        <v>28.758860606294402</v>
      </c>
      <c r="N130" s="10">
        <v>1.17247911599868E-2</v>
      </c>
      <c r="O130" s="5">
        <v>6.42</v>
      </c>
      <c r="P130" s="4">
        <v>93.874962481384202</v>
      </c>
      <c r="Q130" s="5">
        <v>0.25</v>
      </c>
      <c r="R130" s="11">
        <f t="shared" si="10"/>
        <v>4.6937481240692103E-4</v>
      </c>
      <c r="V130" s="5">
        <f t="shared" si="11"/>
        <v>0.15416526530007307</v>
      </c>
      <c r="W130" s="5">
        <f t="shared" si="12"/>
        <v>0.61666106120029229</v>
      </c>
      <c r="Y130" s="5">
        <f t="shared" si="13"/>
        <v>0.15307091552800886</v>
      </c>
      <c r="Z130" s="5">
        <f t="shared" si="14"/>
        <v>0.61228366211203544</v>
      </c>
      <c r="AB130" s="5">
        <f>$AC$2*($AC$3+$AC$4*$F130/($N130*'Sem TS MC2020'!P122))*($AC$5*$G130+$AC$6*$B130/$N130)*'Sem TS MC2020'!R122*($J130-$M130)/($J130-$M130-$H130)</f>
        <v>0.13395010992863032</v>
      </c>
      <c r="AC130" s="5">
        <f t="shared" si="15"/>
        <v>0.53580043971452129</v>
      </c>
      <c r="AD130" s="20">
        <f t="shared" si="16"/>
        <v>-0.11604989007136968</v>
      </c>
      <c r="AE130" s="21">
        <f t="shared" si="17"/>
        <v>1.8663665161096319</v>
      </c>
      <c r="AF130" s="21">
        <f>AB130*(14.068*'Sem TS MC2020'!$P122^-0.457)/$Q130</f>
        <v>0.6131235408913609</v>
      </c>
      <c r="AG130" s="21"/>
      <c r="AO130" s="5">
        <f>$AP$2*($AP$3+$AP$4*$F130/($N130*'Sem TS MC2020'!P122))*($AP$5*$G130+$AP$6*$B130/$N130)*('Sem TS MC2020'!P122^$AP$7/200000)*($J130-$M130)/($J130-$M130-$H130)+('Sem TS MC2020'!P122-$C130/$AP$8)*($AP$5*$G130+$AP$6*$B130/$N130)/200000</f>
        <v>0.1419234658899203</v>
      </c>
      <c r="AP130" s="5">
        <f t="shared" si="18"/>
        <v>0.56769386355968121</v>
      </c>
      <c r="AQ130" s="20">
        <f t="shared" si="19"/>
        <v>-0.1080765341100797</v>
      </c>
    </row>
    <row r="131" spans="1:43" x14ac:dyDescent="0.25">
      <c r="B131" s="3">
        <v>12</v>
      </c>
      <c r="C131" s="4">
        <v>500</v>
      </c>
      <c r="D131" s="4">
        <v>2</v>
      </c>
      <c r="E131" s="3">
        <v>296</v>
      </c>
      <c r="F131" s="5">
        <v>3.2690000000000001</v>
      </c>
      <c r="G131" s="3">
        <v>25</v>
      </c>
      <c r="H131" s="3">
        <v>31</v>
      </c>
      <c r="I131" s="1">
        <v>400</v>
      </c>
      <c r="J131" s="3">
        <v>161</v>
      </c>
      <c r="K131" s="4">
        <v>220</v>
      </c>
      <c r="L131" s="5">
        <v>9646</v>
      </c>
      <c r="M131" s="4">
        <v>28.758860606294402</v>
      </c>
      <c r="N131" s="10">
        <v>1.17247911599868E-2</v>
      </c>
      <c r="O131" s="5">
        <v>8.17</v>
      </c>
      <c r="P131" s="4">
        <v>202.08156648324501</v>
      </c>
      <c r="Q131" s="5">
        <v>0.33</v>
      </c>
      <c r="R131" s="11">
        <f t="shared" si="10"/>
        <v>1.010407832416225E-3</v>
      </c>
      <c r="V131" s="5">
        <f t="shared" si="11"/>
        <v>0.24741914188280381</v>
      </c>
      <c r="W131" s="5">
        <f t="shared" si="12"/>
        <v>0.74975497540243574</v>
      </c>
      <c r="Y131" s="5">
        <f t="shared" si="13"/>
        <v>0.24774345367716752</v>
      </c>
      <c r="Z131" s="5">
        <f t="shared" si="14"/>
        <v>0.75073773841565916</v>
      </c>
      <c r="AB131" s="5">
        <f>$AC$2*($AC$3+$AC$4*$F131/($N131*'Sem TS MC2020'!P123))*($AC$5*$G131+$AC$6*$B131/$N131)*'Sem TS MC2020'!R123*($J131-$M131)/($J131-$M131-$H131)</f>
        <v>0.23155220289969075</v>
      </c>
      <c r="AC131" s="5">
        <f t="shared" si="15"/>
        <v>0.70167334212027499</v>
      </c>
      <c r="AD131" s="20">
        <f t="shared" si="16"/>
        <v>-9.8447797100309264E-2</v>
      </c>
      <c r="AE131" s="21">
        <f t="shared" si="17"/>
        <v>1.4251645886649464</v>
      </c>
      <c r="AF131" s="21">
        <f>AB131*(14.068*'Sem TS MC2020'!$P123^-0.457)/$Q131</f>
        <v>0.71918054528409414</v>
      </c>
      <c r="AG131" s="21"/>
      <c r="AO131" s="5">
        <f>$AP$2*($AP$3+$AP$4*$F131/($N131*'Sem TS MC2020'!P123))*($AP$5*$G131+$AP$6*$B131/$N131)*('Sem TS MC2020'!P123^$AP$7/200000)*($J131-$M131)/($J131-$M131-$H131)+('Sem TS MC2020'!P123-$C131/$AP$8)*($AP$5*$G131+$AP$6*$B131/$N131)/200000</f>
        <v>0.24481646965320877</v>
      </c>
      <c r="AP131" s="5">
        <f t="shared" si="18"/>
        <v>0.7418680898582084</v>
      </c>
      <c r="AQ131" s="20">
        <f t="shared" si="19"/>
        <v>-8.5183530346791242E-2</v>
      </c>
    </row>
    <row r="132" spans="1:43" x14ac:dyDescent="0.25">
      <c r="A132" s="1" t="s">
        <v>49</v>
      </c>
      <c r="B132" s="3">
        <v>12</v>
      </c>
      <c r="C132" s="4">
        <v>500</v>
      </c>
      <c r="D132" s="4">
        <v>2</v>
      </c>
      <c r="E132" s="3">
        <v>296</v>
      </c>
      <c r="F132" s="5">
        <v>3.2690000000000001</v>
      </c>
      <c r="G132" s="3">
        <v>25</v>
      </c>
      <c r="H132" s="3">
        <v>31</v>
      </c>
      <c r="I132" s="1">
        <v>400</v>
      </c>
      <c r="J132" s="3">
        <v>161</v>
      </c>
      <c r="K132" s="4">
        <v>220</v>
      </c>
      <c r="L132" s="5">
        <v>9646</v>
      </c>
      <c r="M132" s="4">
        <v>28.758860606294402</v>
      </c>
      <c r="N132" s="10">
        <v>1.17247911599868E-2</v>
      </c>
      <c r="O132" s="5">
        <v>6.42</v>
      </c>
      <c r="P132" s="4">
        <v>93.874962481384202</v>
      </c>
      <c r="Q132" s="5">
        <v>0.23</v>
      </c>
      <c r="R132" s="11">
        <f t="shared" si="10"/>
        <v>4.6937481240692103E-4</v>
      </c>
      <c r="V132" s="5">
        <f t="shared" si="11"/>
        <v>0.15416526530007307</v>
      </c>
      <c r="W132" s="5">
        <f t="shared" si="12"/>
        <v>0.67028376217423069</v>
      </c>
      <c r="Y132" s="5">
        <f t="shared" si="13"/>
        <v>0.15307091552800886</v>
      </c>
      <c r="Z132" s="5">
        <f t="shared" si="14"/>
        <v>0.66552571968699503</v>
      </c>
      <c r="AB132" s="5">
        <f>$AC$2*($AC$3+$AC$4*$F132/($N132*'Sem TS MC2020'!P124))*($AC$5*$G132+$AC$6*$B132/$N132)*'Sem TS MC2020'!R124*($J132-$M132)/($J132-$M132-$H132)</f>
        <v>0.13395010992863032</v>
      </c>
      <c r="AC132" s="5">
        <f t="shared" si="15"/>
        <v>0.58239178229839272</v>
      </c>
      <c r="AD132" s="20">
        <f t="shared" si="16"/>
        <v>-9.6049890071369687E-2</v>
      </c>
      <c r="AE132" s="21">
        <f t="shared" si="17"/>
        <v>1.7170571948208613</v>
      </c>
      <c r="AF132" s="21">
        <f>AB132*(14.068*'Sem TS MC2020'!$P124^-0.457)/$Q132</f>
        <v>0.66643863140365311</v>
      </c>
      <c r="AG132" s="21"/>
      <c r="AO132" s="5">
        <f>$AP$2*($AP$3+$AP$4*$F132/($N132*'Sem TS MC2020'!P124))*($AP$5*$G132+$AP$6*$B132/$N132)*('Sem TS MC2020'!P124^$AP$7/200000)*($J132-$M132)/($J132-$M132-$H132)+('Sem TS MC2020'!P124-$C132/$AP$8)*($AP$5*$G132+$AP$6*$B132/$N132)/200000</f>
        <v>0.1419234658899203</v>
      </c>
      <c r="AP132" s="5">
        <f t="shared" si="18"/>
        <v>0.61705854734747956</v>
      </c>
      <c r="AQ132" s="20">
        <f t="shared" si="19"/>
        <v>-8.8076534110079707E-2</v>
      </c>
    </row>
    <row r="133" spans="1:43" x14ac:dyDescent="0.25">
      <c r="B133" s="3">
        <v>12</v>
      </c>
      <c r="C133" s="4">
        <v>500</v>
      </c>
      <c r="D133" s="4">
        <v>2</v>
      </c>
      <c r="E133" s="3">
        <v>296</v>
      </c>
      <c r="F133" s="5">
        <v>3.2690000000000001</v>
      </c>
      <c r="G133" s="3">
        <v>25</v>
      </c>
      <c r="H133" s="3">
        <v>31</v>
      </c>
      <c r="I133" s="1">
        <v>400</v>
      </c>
      <c r="J133" s="3">
        <v>161</v>
      </c>
      <c r="K133" s="4">
        <v>220</v>
      </c>
      <c r="L133" s="5">
        <v>9646</v>
      </c>
      <c r="M133" s="4">
        <v>28.758860606294402</v>
      </c>
      <c r="N133" s="10">
        <v>1.17247911599868E-2</v>
      </c>
      <c r="O133" s="5">
        <v>8.17</v>
      </c>
      <c r="P133" s="4">
        <v>202.08156648324501</v>
      </c>
      <c r="Q133" s="5">
        <v>0.28000000000000003</v>
      </c>
      <c r="R133" s="11">
        <f t="shared" si="10"/>
        <v>1.010407832416225E-3</v>
      </c>
      <c r="V133" s="5">
        <f t="shared" si="11"/>
        <v>0.24741914188280381</v>
      </c>
      <c r="W133" s="5">
        <f t="shared" si="12"/>
        <v>0.88363979243858493</v>
      </c>
      <c r="Y133" s="5">
        <f t="shared" si="13"/>
        <v>0.24774345367716752</v>
      </c>
      <c r="Z133" s="5">
        <f t="shared" si="14"/>
        <v>0.88479804884702673</v>
      </c>
      <c r="AB133" s="5">
        <f>$AC$2*($AC$3+$AC$4*$F133/($N133*'Sem TS MC2020'!P125))*($AC$5*$G133+$AC$6*$B133/$N133)*'Sem TS MC2020'!R125*($J133-$M133)/($J133-$M133-$H133)</f>
        <v>0.23155220289969075</v>
      </c>
      <c r="AC133" s="5">
        <f t="shared" si="15"/>
        <v>0.82697215321318118</v>
      </c>
      <c r="AD133" s="20">
        <f t="shared" si="16"/>
        <v>-4.8447797100309276E-2</v>
      </c>
      <c r="AE133" s="21">
        <f t="shared" si="17"/>
        <v>1.2092305600793487</v>
      </c>
      <c r="AF133" s="21">
        <f>AB133*(14.068*'Sem TS MC2020'!$P125^-0.457)/$Q133</f>
        <v>0.84760564265625371</v>
      </c>
      <c r="AG133" s="21"/>
      <c r="AO133" s="5">
        <f>$AP$2*($AP$3+$AP$4*$F133/($N133*'Sem TS MC2020'!P125))*($AP$5*$G133+$AP$6*$B133/$N133)*('Sem TS MC2020'!P125^$AP$7/200000)*($J133-$M133)/($J133-$M133-$H133)+('Sem TS MC2020'!P125-$C133/$AP$8)*($AP$5*$G133+$AP$6*$B133/$N133)/200000</f>
        <v>0.24481646965320877</v>
      </c>
      <c r="AP133" s="5">
        <f t="shared" si="18"/>
        <v>0.87434453447574556</v>
      </c>
      <c r="AQ133" s="20">
        <f t="shared" si="19"/>
        <v>-3.5183530346791253E-2</v>
      </c>
    </row>
    <row r="134" spans="1:43" x14ac:dyDescent="0.25">
      <c r="A134" s="1" t="s">
        <v>50</v>
      </c>
      <c r="B134" s="3">
        <v>12</v>
      </c>
      <c r="C134" s="4">
        <v>500</v>
      </c>
      <c r="D134" s="4">
        <v>3</v>
      </c>
      <c r="E134" s="3">
        <v>142</v>
      </c>
      <c r="F134" s="5">
        <v>3.2690000000000001</v>
      </c>
      <c r="G134" s="3">
        <v>25</v>
      </c>
      <c r="H134" s="3">
        <v>31</v>
      </c>
      <c r="I134" s="1">
        <v>400</v>
      </c>
      <c r="J134" s="3">
        <v>161</v>
      </c>
      <c r="K134" s="4">
        <v>330</v>
      </c>
      <c r="L134" s="5">
        <v>9646</v>
      </c>
      <c r="M134" s="4">
        <v>34.253185076506</v>
      </c>
      <c r="N134" s="10">
        <v>1.17247911599868E-2</v>
      </c>
      <c r="O134" s="5">
        <v>8.17</v>
      </c>
      <c r="P134" s="4">
        <v>38.8928744315686</v>
      </c>
      <c r="Q134" s="5">
        <v>0.18</v>
      </c>
      <c r="R134" s="11">
        <f t="shared" si="10"/>
        <v>1.94464372157843E-4</v>
      </c>
      <c r="V134" s="5">
        <f t="shared" si="11"/>
        <v>8.9510325855280418E-2</v>
      </c>
      <c r="W134" s="5">
        <f t="shared" si="12"/>
        <v>0.4972795880848912</v>
      </c>
      <c r="Y134" s="5">
        <f t="shared" si="13"/>
        <v>8.8017657523047341E-2</v>
      </c>
      <c r="Z134" s="5">
        <f t="shared" si="14"/>
        <v>0.48898698623915193</v>
      </c>
      <c r="AB134" s="5">
        <f>$AC$2*($AC$3+$AC$4*$F134/($N134*'Sem TS MC2020'!P126))*($AC$5*$G134+$AC$6*$B134/$N134)*'Sem TS MC2020'!R126*($J134-$M134)/($J134-$M134-$H134)</f>
        <v>8.5491158219897279E-2</v>
      </c>
      <c r="AC134" s="5">
        <f t="shared" si="15"/>
        <v>0.47495087899942934</v>
      </c>
      <c r="AD134" s="20">
        <f t="shared" si="16"/>
        <v>-9.4508841780102715E-2</v>
      </c>
      <c r="AE134" s="21">
        <f t="shared" si="17"/>
        <v>2.1054808912169665</v>
      </c>
      <c r="AF134" s="21">
        <f>AB134*(14.068*'Sem TS MC2020'!$P126^-0.457)/$Q134</f>
        <v>0.58181307791948556</v>
      </c>
      <c r="AG134" s="21"/>
      <c r="AO134" s="5">
        <f>$AP$2*($AP$3+$AP$4*$F134/($N134*'Sem TS MC2020'!P126))*($AP$5*$G134+$AP$6*$B134/$N134)*('Sem TS MC2020'!P126^$AP$7/200000)*($J134-$M134)/($J134-$M134-$H134)+('Sem TS MC2020'!P126-$C134/$AP$8)*($AP$5*$G134+$AP$6*$B134/$N134)/200000</f>
        <v>8.7860662556490263E-2</v>
      </c>
      <c r="AP134" s="5">
        <f t="shared" si="18"/>
        <v>0.48811479198050145</v>
      </c>
      <c r="AQ134" s="20">
        <f t="shared" si="19"/>
        <v>-9.2139337443509731E-2</v>
      </c>
    </row>
    <row r="135" spans="1:43" x14ac:dyDescent="0.25">
      <c r="B135" s="3">
        <v>12</v>
      </c>
      <c r="C135" s="4">
        <v>500</v>
      </c>
      <c r="D135" s="4">
        <v>3</v>
      </c>
      <c r="E135" s="3">
        <v>142</v>
      </c>
      <c r="F135" s="5">
        <v>3.2690000000000001</v>
      </c>
      <c r="G135" s="3">
        <v>25</v>
      </c>
      <c r="H135" s="3">
        <v>31</v>
      </c>
      <c r="I135" s="1">
        <v>400</v>
      </c>
      <c r="J135" s="3">
        <v>161</v>
      </c>
      <c r="K135" s="4">
        <v>330</v>
      </c>
      <c r="L135" s="5">
        <v>9646</v>
      </c>
      <c r="M135" s="4">
        <v>34.253185076506</v>
      </c>
      <c r="N135" s="10">
        <v>1.17247911599868E-2</v>
      </c>
      <c r="O135" s="5">
        <v>9.92</v>
      </c>
      <c r="P135" s="4">
        <v>112.144740233866</v>
      </c>
      <c r="Q135" s="5">
        <v>0.23</v>
      </c>
      <c r="R135" s="11">
        <f t="shared" si="10"/>
        <v>5.6072370116933001E-4</v>
      </c>
      <c r="V135" s="5">
        <f t="shared" si="11"/>
        <v>0.17204296143091063</v>
      </c>
      <c r="W135" s="5">
        <f t="shared" si="12"/>
        <v>0.74801287578656794</v>
      </c>
      <c r="Y135" s="5">
        <f t="shared" si="13"/>
        <v>0.17115617613708461</v>
      </c>
      <c r="Z135" s="5">
        <f t="shared" si="14"/>
        <v>0.74415728755254174</v>
      </c>
      <c r="AB135" s="5">
        <f>$AC$2*($AC$3+$AC$4*$F135/($N135*'Sem TS MC2020'!P127))*($AC$5*$G135+$AC$6*$B135/$N135)*'Sem TS MC2020'!R127*($J135-$M135)/($J135-$M135-$H135)</f>
        <v>0.15245297297663626</v>
      </c>
      <c r="AC135" s="5">
        <f t="shared" si="15"/>
        <v>0.66283901294189673</v>
      </c>
      <c r="AD135" s="20">
        <f t="shared" si="16"/>
        <v>-7.7547027023363746E-2</v>
      </c>
      <c r="AE135" s="21">
        <f t="shared" si="17"/>
        <v>1.5086619533175518</v>
      </c>
      <c r="AF135" s="21">
        <f>AB135*(14.068*'Sem TS MC2020'!$P127^-0.457)/$Q135</f>
        <v>0.74305761769371059</v>
      </c>
      <c r="AG135" s="21"/>
      <c r="AO135" s="5">
        <f>$AP$2*($AP$3+$AP$4*$F135/($N135*'Sem TS MC2020'!P127))*($AP$5*$G135+$AP$6*$B135/$N135)*('Sem TS MC2020'!P127^$AP$7/200000)*($J135-$M135)/($J135-$M135-$H135)+('Sem TS MC2020'!P127-$C135/$AP$8)*($AP$5*$G135+$AP$6*$B135/$N135)/200000</f>
        <v>0.16193665736014945</v>
      </c>
      <c r="AP135" s="5">
        <f t="shared" si="18"/>
        <v>0.70407242330499753</v>
      </c>
      <c r="AQ135" s="20">
        <f t="shared" si="19"/>
        <v>-6.806334263985056E-2</v>
      </c>
    </row>
    <row r="136" spans="1:43" x14ac:dyDescent="0.25">
      <c r="B136" s="3">
        <v>12</v>
      </c>
      <c r="C136" s="4">
        <v>500</v>
      </c>
      <c r="D136" s="4">
        <v>3</v>
      </c>
      <c r="E136" s="3">
        <v>142</v>
      </c>
      <c r="F136" s="5">
        <v>3.2690000000000001</v>
      </c>
      <c r="G136" s="3">
        <v>25</v>
      </c>
      <c r="H136" s="3">
        <v>31</v>
      </c>
      <c r="I136" s="1">
        <v>400</v>
      </c>
      <c r="J136" s="3">
        <v>161</v>
      </c>
      <c r="K136" s="4">
        <v>330</v>
      </c>
      <c r="L136" s="5">
        <v>9646</v>
      </c>
      <c r="M136" s="4">
        <v>34.253185076506</v>
      </c>
      <c r="N136" s="10">
        <v>1.17247911599868E-2</v>
      </c>
      <c r="O136" s="5">
        <v>11.67</v>
      </c>
      <c r="P136" s="4">
        <v>185.39660603616301</v>
      </c>
      <c r="Q136" s="5">
        <v>0.25</v>
      </c>
      <c r="R136" s="11">
        <f t="shared" si="10"/>
        <v>9.2698303018081503E-4</v>
      </c>
      <c r="V136" s="5">
        <f t="shared" si="11"/>
        <v>0.23460762362030871</v>
      </c>
      <c r="W136" s="5">
        <f t="shared" si="12"/>
        <v>0.93843049448123483</v>
      </c>
      <c r="Y136" s="5">
        <f t="shared" si="13"/>
        <v>0.23469256833739302</v>
      </c>
      <c r="Z136" s="5">
        <f t="shared" si="14"/>
        <v>0.93877027334957208</v>
      </c>
      <c r="AB136" s="5">
        <f>$AC$2*($AC$3+$AC$4*$F136/($N136*'Sem TS MC2020'!P128))*($AC$5*$G136+$AC$6*$B136/$N136)*'Sem TS MC2020'!R128*($J136-$M136)/($J136-$M136-$H136)</f>
        <v>0.21941478773337678</v>
      </c>
      <c r="AC136" s="5">
        <f t="shared" si="15"/>
        <v>0.8776591509335071</v>
      </c>
      <c r="AD136" s="20">
        <f t="shared" si="16"/>
        <v>-3.0585212266623224E-2</v>
      </c>
      <c r="AE136" s="21">
        <f t="shared" si="17"/>
        <v>1.1393944892346501</v>
      </c>
      <c r="AF136" s="21">
        <f>AB136*(14.068*'Sem TS MC2020'!$P128^-0.457)/$Q136</f>
        <v>0.91347100614237364</v>
      </c>
      <c r="AG136" s="21"/>
      <c r="AO136" s="5">
        <f>$AP$2*($AP$3+$AP$4*$F136/($N136*'Sem TS MC2020'!P128))*($AP$5*$G136+$AP$6*$B136/$N136)*('Sem TS MC2020'!P128^$AP$7/200000)*($J136-$M136)/($J136-$M136-$H136)+('Sem TS MC2020'!P128-$C136/$AP$8)*($AP$5*$G136+$AP$6*$B136/$N136)/200000</f>
        <v>0.2323974735471874</v>
      </c>
      <c r="AP136" s="5">
        <f t="shared" si="18"/>
        <v>0.9295898941887496</v>
      </c>
      <c r="AQ136" s="20">
        <f t="shared" si="19"/>
        <v>-1.76025264528126E-2</v>
      </c>
    </row>
    <row r="137" spans="1:43" x14ac:dyDescent="0.25">
      <c r="A137" s="1" t="s">
        <v>51</v>
      </c>
      <c r="B137" s="3">
        <v>12</v>
      </c>
      <c r="C137" s="4">
        <v>500</v>
      </c>
      <c r="D137" s="4">
        <v>3</v>
      </c>
      <c r="E137" s="3">
        <v>142</v>
      </c>
      <c r="F137" s="5">
        <v>3.2690000000000001</v>
      </c>
      <c r="G137" s="3">
        <v>25</v>
      </c>
      <c r="H137" s="3">
        <v>31</v>
      </c>
      <c r="I137" s="1">
        <v>400</v>
      </c>
      <c r="J137" s="3">
        <v>161</v>
      </c>
      <c r="K137" s="4">
        <v>330</v>
      </c>
      <c r="L137" s="5">
        <v>9646</v>
      </c>
      <c r="M137" s="4">
        <v>34.253185076506</v>
      </c>
      <c r="N137" s="10">
        <v>1.17247911599868E-2</v>
      </c>
      <c r="O137" s="5">
        <v>8.17</v>
      </c>
      <c r="P137" s="4">
        <v>38.8928744315686</v>
      </c>
      <c r="Q137" s="5">
        <v>0.18</v>
      </c>
      <c r="R137" s="11">
        <f t="shared" si="10"/>
        <v>1.94464372157843E-4</v>
      </c>
      <c r="V137" s="5">
        <f t="shared" si="11"/>
        <v>8.9510325855280418E-2</v>
      </c>
      <c r="W137" s="5">
        <f t="shared" si="12"/>
        <v>0.4972795880848912</v>
      </c>
      <c r="Y137" s="5">
        <f t="shared" si="13"/>
        <v>8.8017657523047341E-2</v>
      </c>
      <c r="Z137" s="5">
        <f t="shared" si="14"/>
        <v>0.48898698623915193</v>
      </c>
      <c r="AB137" s="5">
        <f>$AC$2*($AC$3+$AC$4*$F137/($N137*'Sem TS MC2020'!P129))*($AC$5*$G137+$AC$6*$B137/$N137)*'Sem TS MC2020'!R129*($J137-$M137)/($J137-$M137-$H137)</f>
        <v>8.5491158219897279E-2</v>
      </c>
      <c r="AC137" s="5">
        <f t="shared" si="15"/>
        <v>0.47495087899942934</v>
      </c>
      <c r="AD137" s="20">
        <f t="shared" si="16"/>
        <v>-9.4508841780102715E-2</v>
      </c>
      <c r="AE137" s="21">
        <f t="shared" si="17"/>
        <v>2.1054808912169665</v>
      </c>
      <c r="AF137" s="21">
        <f>AB137*(14.068*'Sem TS MC2020'!$P129^-0.457)/$Q137</f>
        <v>0.58181307791948556</v>
      </c>
      <c r="AG137" s="21"/>
      <c r="AO137" s="5">
        <f>$AP$2*($AP$3+$AP$4*$F137/($N137*'Sem TS MC2020'!P129))*($AP$5*$G137+$AP$6*$B137/$N137)*('Sem TS MC2020'!P129^$AP$7/200000)*($J137-$M137)/($J137-$M137-$H137)+('Sem TS MC2020'!P129-$C137/$AP$8)*($AP$5*$G137+$AP$6*$B137/$N137)/200000</f>
        <v>8.7860662556490263E-2</v>
      </c>
      <c r="AP137" s="5">
        <f t="shared" si="18"/>
        <v>0.48811479198050145</v>
      </c>
      <c r="AQ137" s="20">
        <f t="shared" si="19"/>
        <v>-9.2139337443509731E-2</v>
      </c>
    </row>
    <row r="138" spans="1:43" x14ac:dyDescent="0.25">
      <c r="B138" s="3">
        <v>12</v>
      </c>
      <c r="C138" s="4">
        <v>500</v>
      </c>
      <c r="D138" s="4">
        <v>3</v>
      </c>
      <c r="E138" s="3">
        <v>142</v>
      </c>
      <c r="F138" s="5">
        <v>3.2690000000000001</v>
      </c>
      <c r="G138" s="3">
        <v>25</v>
      </c>
      <c r="H138" s="3">
        <v>31</v>
      </c>
      <c r="I138" s="1">
        <v>400</v>
      </c>
      <c r="J138" s="3">
        <v>161</v>
      </c>
      <c r="K138" s="4">
        <v>330</v>
      </c>
      <c r="L138" s="5">
        <v>9646</v>
      </c>
      <c r="M138" s="4">
        <v>34.253185076506</v>
      </c>
      <c r="N138" s="10">
        <v>1.17247911599868E-2</v>
      </c>
      <c r="O138" s="5">
        <v>9.92</v>
      </c>
      <c r="P138" s="4">
        <v>112.144740233866</v>
      </c>
      <c r="Q138" s="5">
        <v>0.23</v>
      </c>
      <c r="R138" s="11">
        <f t="shared" si="10"/>
        <v>5.6072370116933001E-4</v>
      </c>
      <c r="V138" s="5">
        <f t="shared" si="11"/>
        <v>0.17204296143091063</v>
      </c>
      <c r="W138" s="5">
        <f t="shared" si="12"/>
        <v>0.74801287578656794</v>
      </c>
      <c r="Y138" s="5">
        <f t="shared" si="13"/>
        <v>0.17115617613708461</v>
      </c>
      <c r="Z138" s="5">
        <f t="shared" si="14"/>
        <v>0.74415728755254174</v>
      </c>
      <c r="AB138" s="5">
        <f>$AC$2*($AC$3+$AC$4*$F138/($N138*'Sem TS MC2020'!P130))*($AC$5*$G138+$AC$6*$B138/$N138)*'Sem TS MC2020'!R130*($J138-$M138)/($J138-$M138-$H138)</f>
        <v>0.15245297297663626</v>
      </c>
      <c r="AC138" s="5">
        <f t="shared" si="15"/>
        <v>0.66283901294189673</v>
      </c>
      <c r="AD138" s="20">
        <f t="shared" si="16"/>
        <v>-7.7547027023363746E-2</v>
      </c>
      <c r="AE138" s="21">
        <f t="shared" si="17"/>
        <v>1.5086619533175518</v>
      </c>
      <c r="AF138" s="21">
        <f>AB138*(14.068*'Sem TS MC2020'!$P130^-0.457)/$Q138</f>
        <v>0.74305761769371059</v>
      </c>
      <c r="AG138" s="21"/>
      <c r="AO138" s="5">
        <f>$AP$2*($AP$3+$AP$4*$F138/($N138*'Sem TS MC2020'!P130))*($AP$5*$G138+$AP$6*$B138/$N138)*('Sem TS MC2020'!P130^$AP$7/200000)*($J138-$M138)/($J138-$M138-$H138)+('Sem TS MC2020'!P130-$C138/$AP$8)*($AP$5*$G138+$AP$6*$B138/$N138)/200000</f>
        <v>0.16193665736014945</v>
      </c>
      <c r="AP138" s="5">
        <f t="shared" si="18"/>
        <v>0.70407242330499753</v>
      </c>
      <c r="AQ138" s="20">
        <f t="shared" si="19"/>
        <v>-6.806334263985056E-2</v>
      </c>
    </row>
    <row r="139" spans="1:43" x14ac:dyDescent="0.25">
      <c r="B139" s="3">
        <v>12</v>
      </c>
      <c r="C139" s="4">
        <v>500</v>
      </c>
      <c r="D139" s="4">
        <v>3</v>
      </c>
      <c r="E139" s="3">
        <v>142</v>
      </c>
      <c r="F139" s="5">
        <v>3.2690000000000001</v>
      </c>
      <c r="G139" s="3">
        <v>25</v>
      </c>
      <c r="H139" s="3">
        <v>31</v>
      </c>
      <c r="I139" s="1">
        <v>400</v>
      </c>
      <c r="J139" s="3">
        <v>161</v>
      </c>
      <c r="K139" s="4">
        <v>330</v>
      </c>
      <c r="L139" s="5">
        <v>9646</v>
      </c>
      <c r="M139" s="4">
        <v>34.253185076506</v>
      </c>
      <c r="N139" s="10">
        <v>1.17247911599868E-2</v>
      </c>
      <c r="O139" s="5">
        <v>11.67</v>
      </c>
      <c r="P139" s="4">
        <v>185.39660603616301</v>
      </c>
      <c r="Q139" s="5">
        <v>0.25</v>
      </c>
      <c r="R139" s="11">
        <f t="shared" ref="R139:R202" si="20">P139/200000</f>
        <v>9.2698303018081503E-4</v>
      </c>
      <c r="V139" s="5">
        <f t="shared" ref="V139:V202" si="21">$W$2*($W$3*$G139+$W$4*$B139^$W$5*$N139^$W$6)*$R139^$W$7</f>
        <v>0.23460762362030871</v>
      </c>
      <c r="W139" s="5">
        <f t="shared" ref="W139:W202" si="22">V139/$Q139</f>
        <v>0.93843049448123483</v>
      </c>
      <c r="Y139" s="5">
        <f t="shared" ref="Y139:Y202" si="23">$Z$2*$B139^$Z$3*$R139^$Z$4*($Z$5*$N139^$Z$6+$Z$7)</f>
        <v>0.23469256833739302</v>
      </c>
      <c r="Z139" s="5">
        <f t="shared" ref="Z139:Z202" si="24">Y139/$Q139</f>
        <v>0.93877027334957208</v>
      </c>
      <c r="AB139" s="5">
        <f>$AC$2*($AC$3+$AC$4*$F139/($N139*'Sem TS MC2020'!P131))*($AC$5*$G139+$AC$6*$B139/$N139)*'Sem TS MC2020'!R131*($J139-$M139)/($J139-$M139-$H139)</f>
        <v>0.21941478773337678</v>
      </c>
      <c r="AC139" s="5">
        <f t="shared" ref="AC139:AC202" si="25">AB139/$Q139</f>
        <v>0.8776591509335071</v>
      </c>
      <c r="AD139" s="20">
        <f t="shared" ref="AD139:AD202" si="26">AB139-$Q139</f>
        <v>-3.0585212266623224E-2</v>
      </c>
      <c r="AE139" s="21">
        <f t="shared" ref="AE139:AE202" si="27">1/AC139</f>
        <v>1.1393944892346501</v>
      </c>
      <c r="AF139" s="21">
        <f>AB139*(14.068*'Sem TS MC2020'!$P131^-0.457)/$Q139</f>
        <v>0.91347100614237364</v>
      </c>
      <c r="AG139" s="21"/>
      <c r="AO139" s="5">
        <f>$AP$2*($AP$3+$AP$4*$F139/($N139*'Sem TS MC2020'!P131))*($AP$5*$G139+$AP$6*$B139/$N139)*('Sem TS MC2020'!P131^$AP$7/200000)*($J139-$M139)/($J139-$M139-$H139)+('Sem TS MC2020'!P131-$C139/$AP$8)*($AP$5*$G139+$AP$6*$B139/$N139)/200000</f>
        <v>0.2323974735471874</v>
      </c>
      <c r="AP139" s="5">
        <f t="shared" ref="AP139:AP202" si="28">AO139/$Q139</f>
        <v>0.9295898941887496</v>
      </c>
      <c r="AQ139" s="20">
        <f t="shared" ref="AQ139:AQ202" si="29">AO139-$Q139</f>
        <v>-1.76025264528126E-2</v>
      </c>
    </row>
    <row r="140" spans="1:43" x14ac:dyDescent="0.25">
      <c r="A140" s="1" t="s">
        <v>52</v>
      </c>
      <c r="B140" s="3">
        <v>12</v>
      </c>
      <c r="C140" s="4">
        <v>500</v>
      </c>
      <c r="D140" s="4">
        <v>4</v>
      </c>
      <c r="E140" s="3">
        <v>90.67</v>
      </c>
      <c r="F140" s="5">
        <v>3.2690000000000001</v>
      </c>
      <c r="G140" s="3">
        <v>25</v>
      </c>
      <c r="H140" s="3">
        <v>31</v>
      </c>
      <c r="I140" s="1">
        <v>400</v>
      </c>
      <c r="J140" s="3">
        <v>161</v>
      </c>
      <c r="K140" s="4">
        <v>440</v>
      </c>
      <c r="L140" s="5">
        <v>36400</v>
      </c>
      <c r="M140" s="4">
        <v>38.636261189159299</v>
      </c>
      <c r="N140" s="10">
        <v>1.20879120879121E-2</v>
      </c>
      <c r="O140" s="5">
        <v>11.67</v>
      </c>
      <c r="P140" s="4">
        <v>72.228463882631004</v>
      </c>
      <c r="Q140" s="5">
        <v>0.15</v>
      </c>
      <c r="R140" s="11">
        <f t="shared" si="20"/>
        <v>3.61142319413155E-4</v>
      </c>
      <c r="V140" s="5">
        <f t="shared" si="21"/>
        <v>0.12948390921258496</v>
      </c>
      <c r="W140" s="5">
        <f t="shared" si="22"/>
        <v>0.86322606141723313</v>
      </c>
      <c r="Y140" s="5">
        <f t="shared" si="23"/>
        <v>0.12795210309949082</v>
      </c>
      <c r="Z140" s="5">
        <f t="shared" si="24"/>
        <v>0.85301402066327214</v>
      </c>
      <c r="AB140" s="5">
        <f>$AC$2*($AC$3+$AC$4*$F140/($N140*'Sem TS MC2020'!P132))*($AC$5*$G140+$AC$6*$B140/$N140)*'Sem TS MC2020'!R132*($J140-$M140)/($J140-$M140-$H140)</f>
        <v>0.11709770334748386</v>
      </c>
      <c r="AC140" s="5">
        <f t="shared" si="25"/>
        <v>0.78065135564989241</v>
      </c>
      <c r="AD140" s="20">
        <f t="shared" si="26"/>
        <v>-3.2902296652516136E-2</v>
      </c>
      <c r="AE140" s="21">
        <f t="shared" si="27"/>
        <v>1.2809815710465267</v>
      </c>
      <c r="AF140" s="21">
        <f>AB140*(14.068*'Sem TS MC2020'!$P132^-0.457)/$Q140</f>
        <v>0.92143027563432645</v>
      </c>
      <c r="AG140" s="21"/>
      <c r="AO140" s="5">
        <f>$AP$2*($AP$3+$AP$4*$F140/($N140*'Sem TS MC2020'!P132))*($AP$5*$G140+$AP$6*$B140/$N140)*('Sem TS MC2020'!P132^$AP$7/200000)*($J140-$M140)/($J140-$M140-$H140)+('Sem TS MC2020'!P132-$C140/$AP$8)*($AP$5*$G140+$AP$6*$B140/$N140)/200000</f>
        <v>0.12353161239129994</v>
      </c>
      <c r="AP140" s="5">
        <f t="shared" si="28"/>
        <v>0.82354408260866629</v>
      </c>
      <c r="AQ140" s="20">
        <f t="shared" si="29"/>
        <v>-2.6468387608700059E-2</v>
      </c>
    </row>
    <row r="141" spans="1:43" x14ac:dyDescent="0.25">
      <c r="B141" s="3">
        <v>12</v>
      </c>
      <c r="C141" s="4">
        <v>500</v>
      </c>
      <c r="D141" s="4">
        <v>4</v>
      </c>
      <c r="E141" s="3">
        <v>90.67</v>
      </c>
      <c r="F141" s="5">
        <v>3.2690000000000001</v>
      </c>
      <c r="G141" s="3">
        <v>25</v>
      </c>
      <c r="H141" s="3">
        <v>31</v>
      </c>
      <c r="I141" s="1">
        <v>400</v>
      </c>
      <c r="J141" s="3">
        <v>161</v>
      </c>
      <c r="K141" s="4">
        <v>440</v>
      </c>
      <c r="L141" s="5">
        <v>36400</v>
      </c>
      <c r="M141" s="4">
        <v>38.636261189159299</v>
      </c>
      <c r="N141" s="10">
        <v>1.20879120879121E-2</v>
      </c>
      <c r="O141" s="5">
        <v>13.42</v>
      </c>
      <c r="P141" s="4">
        <v>127.253993639138</v>
      </c>
      <c r="Q141" s="5">
        <v>0.15</v>
      </c>
      <c r="R141" s="11">
        <f t="shared" si="20"/>
        <v>6.3626996819569003E-4</v>
      </c>
      <c r="V141" s="5">
        <f t="shared" si="21"/>
        <v>0.18364326250984447</v>
      </c>
      <c r="W141" s="5">
        <f t="shared" si="22"/>
        <v>1.2242884167322965</v>
      </c>
      <c r="Y141" s="5">
        <f t="shared" si="23"/>
        <v>0.18260481251419802</v>
      </c>
      <c r="Z141" s="5">
        <f t="shared" si="24"/>
        <v>1.2173654167613202</v>
      </c>
      <c r="AB141" s="5">
        <f>$AC$2*($AC$3+$AC$4*$F141/($N141*'Sem TS MC2020'!P133))*($AC$5*$G141+$AC$6*$B141/$N141)*'Sem TS MC2020'!R133*($J141-$M141)/($J141-$M141-$H141)</f>
        <v>0.16722518749364756</v>
      </c>
      <c r="AC141" s="5">
        <f t="shared" si="25"/>
        <v>1.1148345832909838</v>
      </c>
      <c r="AD141" s="20">
        <f t="shared" si="26"/>
        <v>1.722518749364757E-2</v>
      </c>
      <c r="AE141" s="21">
        <f t="shared" si="27"/>
        <v>0.89699406081214939</v>
      </c>
      <c r="AF141" s="21">
        <f>AB141*(14.068*'Sem TS MC2020'!$P133^-0.457)/$Q141</f>
        <v>1.2344806121571543</v>
      </c>
      <c r="AG141" s="21"/>
      <c r="AO141" s="5">
        <f>$AP$2*($AP$3+$AP$4*$F141/($N141*'Sem TS MC2020'!P133))*($AP$5*$G141+$AP$6*$B141/$N141)*('Sem TS MC2020'!P133^$AP$7/200000)*($J141-$M141)/($J141-$M141-$H141)+('Sem TS MC2020'!P133-$C141/$AP$8)*($AP$5*$G141+$AP$6*$B141/$N141)/200000</f>
        <v>0.17787207557027512</v>
      </c>
      <c r="AP141" s="5">
        <f t="shared" si="28"/>
        <v>1.1858138371351676</v>
      </c>
      <c r="AQ141" s="20">
        <f t="shared" si="29"/>
        <v>2.7872075570275129E-2</v>
      </c>
    </row>
    <row r="142" spans="1:43" x14ac:dyDescent="0.25">
      <c r="B142" s="3">
        <v>12</v>
      </c>
      <c r="C142" s="4">
        <v>500</v>
      </c>
      <c r="D142" s="4">
        <v>4</v>
      </c>
      <c r="E142" s="3">
        <v>90.67</v>
      </c>
      <c r="F142" s="5">
        <v>3.2690000000000001</v>
      </c>
      <c r="G142" s="3">
        <v>25</v>
      </c>
      <c r="H142" s="3">
        <v>31</v>
      </c>
      <c r="I142" s="1">
        <v>400</v>
      </c>
      <c r="J142" s="3">
        <v>161</v>
      </c>
      <c r="K142" s="4">
        <v>440</v>
      </c>
      <c r="L142" s="5">
        <v>36400</v>
      </c>
      <c r="M142" s="4">
        <v>38.636261189159299</v>
      </c>
      <c r="N142" s="10">
        <v>1.20879120879121E-2</v>
      </c>
      <c r="O142" s="5">
        <v>15.17</v>
      </c>
      <c r="P142" s="4">
        <v>182.27952339564399</v>
      </c>
      <c r="Q142" s="5">
        <v>0.18</v>
      </c>
      <c r="R142" s="11">
        <f t="shared" si="20"/>
        <v>9.1139761697821991E-4</v>
      </c>
      <c r="V142" s="5">
        <f t="shared" si="21"/>
        <v>0.22922818073355661</v>
      </c>
      <c r="W142" s="5">
        <f t="shared" si="22"/>
        <v>1.2734898929642033</v>
      </c>
      <c r="Y142" s="5">
        <f t="shared" si="23"/>
        <v>0.22883474090739922</v>
      </c>
      <c r="Z142" s="5">
        <f t="shared" si="24"/>
        <v>1.2713041161522178</v>
      </c>
      <c r="AB142" s="5">
        <f>$AC$2*($AC$3+$AC$4*$F142/($N142*'Sem TS MC2020'!P134))*($AC$5*$G142+$AC$6*$B142/$N142)*'Sem TS MC2020'!R134*($J142-$M142)/($J142-$M142-$H142)</f>
        <v>0.21735267163981276</v>
      </c>
      <c r="AC142" s="5">
        <f t="shared" si="25"/>
        <v>1.2075148424434043</v>
      </c>
      <c r="AD142" s="20">
        <f t="shared" si="26"/>
        <v>3.7352671639812762E-2</v>
      </c>
      <c r="AE142" s="21">
        <f t="shared" si="27"/>
        <v>0.82814717041200225</v>
      </c>
      <c r="AF142" s="21">
        <f>AB142*(14.068*'Sem TS MC2020'!$P134^-0.457)/$Q142</f>
        <v>1.2642670175127413</v>
      </c>
      <c r="AG142" s="21"/>
      <c r="AO142" s="5">
        <f>$AP$2*($AP$3+$AP$4*$F142/($N142*'Sem TS MC2020'!P134))*($AP$5*$G142+$AP$6*$B142/$N142)*('Sem TS MC2020'!P134^$AP$7/200000)*($J142-$M142)/($J142-$M142-$H142)+('Sem TS MC2020'!P134-$C142/$AP$8)*($AP$5*$G142+$AP$6*$B142/$N142)/200000</f>
        <v>0.23028611378162514</v>
      </c>
      <c r="AP142" s="5">
        <f t="shared" si="28"/>
        <v>1.2793672987868063</v>
      </c>
      <c r="AQ142" s="20">
        <f t="shared" si="29"/>
        <v>5.0286113781625147E-2</v>
      </c>
    </row>
    <row r="143" spans="1:43" x14ac:dyDescent="0.25">
      <c r="A143" s="1" t="s">
        <v>53</v>
      </c>
      <c r="B143" s="3">
        <v>12</v>
      </c>
      <c r="C143" s="4">
        <v>500</v>
      </c>
      <c r="D143" s="4">
        <v>4</v>
      </c>
      <c r="E143" s="3">
        <v>90.67</v>
      </c>
      <c r="F143" s="5">
        <v>3.2690000000000001</v>
      </c>
      <c r="G143" s="3">
        <v>25</v>
      </c>
      <c r="H143" s="3">
        <v>31</v>
      </c>
      <c r="I143" s="1">
        <v>400</v>
      </c>
      <c r="J143" s="3">
        <v>161</v>
      </c>
      <c r="K143" s="4">
        <v>440</v>
      </c>
      <c r="L143" s="5">
        <v>36400</v>
      </c>
      <c r="M143" s="4">
        <v>38.636261189159299</v>
      </c>
      <c r="N143" s="10">
        <v>1.20879120879121E-2</v>
      </c>
      <c r="O143" s="5">
        <v>11.67</v>
      </c>
      <c r="P143" s="4">
        <v>72.228463882631004</v>
      </c>
      <c r="Q143" s="5">
        <v>0.18</v>
      </c>
      <c r="R143" s="11">
        <f t="shared" si="20"/>
        <v>3.61142319413155E-4</v>
      </c>
      <c r="V143" s="5">
        <f t="shared" si="21"/>
        <v>0.12948390921258496</v>
      </c>
      <c r="W143" s="5">
        <f t="shared" si="22"/>
        <v>0.7193550511810276</v>
      </c>
      <c r="Y143" s="5">
        <f t="shared" si="23"/>
        <v>0.12795210309949082</v>
      </c>
      <c r="Z143" s="5">
        <f t="shared" si="24"/>
        <v>0.71084501721939342</v>
      </c>
      <c r="AB143" s="5">
        <f>$AC$2*($AC$3+$AC$4*$F143/($N143*'Sem TS MC2020'!P135))*($AC$5*$G143+$AC$6*$B143/$N143)*'Sem TS MC2020'!R135*($J143-$M143)/($J143-$M143-$H143)</f>
        <v>0.11709770334748386</v>
      </c>
      <c r="AC143" s="5">
        <f t="shared" si="25"/>
        <v>0.6505427963749103</v>
      </c>
      <c r="AD143" s="20">
        <f t="shared" si="26"/>
        <v>-6.2902296652516135E-2</v>
      </c>
      <c r="AE143" s="21">
        <f t="shared" si="27"/>
        <v>1.537177885255832</v>
      </c>
      <c r="AF143" s="21">
        <f>AB143*(14.068*'Sem TS MC2020'!$P135^-0.457)/$Q143</f>
        <v>0.76785856302860533</v>
      </c>
      <c r="AG143" s="21"/>
      <c r="AO143" s="5">
        <f>$AP$2*($AP$3+$AP$4*$F143/($N143*'Sem TS MC2020'!P135))*($AP$5*$G143+$AP$6*$B143/$N143)*('Sem TS MC2020'!P135^$AP$7/200000)*($J143-$M143)/($J143-$M143-$H143)+('Sem TS MC2020'!P135-$C143/$AP$8)*($AP$5*$G143+$AP$6*$B143/$N143)/200000</f>
        <v>0.12353161239129994</v>
      </c>
      <c r="AP143" s="5">
        <f t="shared" si="28"/>
        <v>0.68628673550722186</v>
      </c>
      <c r="AQ143" s="20">
        <f t="shared" si="29"/>
        <v>-5.6468387608700057E-2</v>
      </c>
    </row>
    <row r="144" spans="1:43" x14ac:dyDescent="0.25">
      <c r="B144" s="3">
        <v>12</v>
      </c>
      <c r="C144" s="4">
        <v>500</v>
      </c>
      <c r="D144" s="4">
        <v>4</v>
      </c>
      <c r="E144" s="3">
        <v>90.67</v>
      </c>
      <c r="F144" s="5">
        <v>3.2690000000000001</v>
      </c>
      <c r="G144" s="3">
        <v>25</v>
      </c>
      <c r="H144" s="3">
        <v>31</v>
      </c>
      <c r="I144" s="1">
        <v>400</v>
      </c>
      <c r="J144" s="3">
        <v>161</v>
      </c>
      <c r="K144" s="4">
        <v>440</v>
      </c>
      <c r="L144" s="5">
        <v>36400</v>
      </c>
      <c r="M144" s="4">
        <v>38.636261189159299</v>
      </c>
      <c r="N144" s="10">
        <v>1.20879120879121E-2</v>
      </c>
      <c r="O144" s="5">
        <v>13.42</v>
      </c>
      <c r="P144" s="4">
        <v>127.253993639138</v>
      </c>
      <c r="Q144" s="5">
        <v>0.2</v>
      </c>
      <c r="R144" s="11">
        <f t="shared" si="20"/>
        <v>6.3626996819569003E-4</v>
      </c>
      <c r="V144" s="5">
        <f t="shared" si="21"/>
        <v>0.18364326250984447</v>
      </c>
      <c r="W144" s="5">
        <f t="shared" si="22"/>
        <v>0.91821631254922231</v>
      </c>
      <c r="Y144" s="5">
        <f t="shared" si="23"/>
        <v>0.18260481251419802</v>
      </c>
      <c r="Z144" s="5">
        <f t="shared" si="24"/>
        <v>0.91302406257099011</v>
      </c>
      <c r="AB144" s="5">
        <f>$AC$2*($AC$3+$AC$4*$F144/($N144*'Sem TS MC2020'!P136))*($AC$5*$G144+$AC$6*$B144/$N144)*'Sem TS MC2020'!R136*($J144-$M144)/($J144-$M144-$H144)</f>
        <v>0.16722518749364756</v>
      </c>
      <c r="AC144" s="5">
        <f t="shared" si="25"/>
        <v>0.83612593746823782</v>
      </c>
      <c r="AD144" s="20">
        <f t="shared" si="26"/>
        <v>-3.2774812506352446E-2</v>
      </c>
      <c r="AE144" s="21">
        <f t="shared" si="27"/>
        <v>1.1959920810828659</v>
      </c>
      <c r="AF144" s="21">
        <f>AB144*(14.068*'Sem TS MC2020'!$P136^-0.457)/$Q144</f>
        <v>0.92586045911786563</v>
      </c>
      <c r="AG144" s="21"/>
      <c r="AO144" s="5">
        <f>$AP$2*($AP$3+$AP$4*$F144/($N144*'Sem TS MC2020'!P136))*($AP$5*$G144+$AP$6*$B144/$N144)*('Sem TS MC2020'!P136^$AP$7/200000)*($J144-$M144)/($J144-$M144-$H144)+('Sem TS MC2020'!P136-$C144/$AP$8)*($AP$5*$G144+$AP$6*$B144/$N144)/200000</f>
        <v>0.17787207557027512</v>
      </c>
      <c r="AP144" s="5">
        <f t="shared" si="28"/>
        <v>0.88936037785137556</v>
      </c>
      <c r="AQ144" s="20">
        <f t="shared" si="29"/>
        <v>-2.2127924429724888E-2</v>
      </c>
    </row>
    <row r="145" spans="1:43" x14ac:dyDescent="0.25">
      <c r="B145" s="3">
        <v>12</v>
      </c>
      <c r="C145" s="4">
        <v>500</v>
      </c>
      <c r="D145" s="4">
        <v>4</v>
      </c>
      <c r="E145" s="3">
        <v>90.67</v>
      </c>
      <c r="F145" s="5">
        <v>3.2690000000000001</v>
      </c>
      <c r="G145" s="3">
        <v>25</v>
      </c>
      <c r="H145" s="3">
        <v>31</v>
      </c>
      <c r="I145" s="1">
        <v>400</v>
      </c>
      <c r="J145" s="3">
        <v>161</v>
      </c>
      <c r="K145" s="4">
        <v>440</v>
      </c>
      <c r="L145" s="5">
        <v>36400</v>
      </c>
      <c r="M145" s="4">
        <v>38.636261189159299</v>
      </c>
      <c r="N145" s="10">
        <v>1.20879120879121E-2</v>
      </c>
      <c r="O145" s="5">
        <v>15.17</v>
      </c>
      <c r="P145" s="4">
        <v>182.27952339564399</v>
      </c>
      <c r="Q145" s="5">
        <v>0.23</v>
      </c>
      <c r="R145" s="11">
        <f t="shared" si="20"/>
        <v>9.1139761697821991E-4</v>
      </c>
      <c r="V145" s="5">
        <f t="shared" si="21"/>
        <v>0.22922818073355661</v>
      </c>
      <c r="W145" s="5">
        <f t="shared" si="22"/>
        <v>0.99664426405894169</v>
      </c>
      <c r="Y145" s="5">
        <f t="shared" si="23"/>
        <v>0.22883474090739922</v>
      </c>
      <c r="Z145" s="5">
        <f t="shared" si="24"/>
        <v>0.99493365611912699</v>
      </c>
      <c r="AB145" s="5">
        <f>$AC$2*($AC$3+$AC$4*$F145/($N145*'Sem TS MC2020'!P137))*($AC$5*$G145+$AC$6*$B145/$N145)*'Sem TS MC2020'!R137*($J145-$M145)/($J145-$M145-$H145)</f>
        <v>0.21735267163981276</v>
      </c>
      <c r="AC145" s="5">
        <f t="shared" si="25"/>
        <v>0.94501161582527282</v>
      </c>
      <c r="AD145" s="20">
        <f t="shared" si="26"/>
        <v>-1.2647328360187254E-2</v>
      </c>
      <c r="AE145" s="21">
        <f t="shared" si="27"/>
        <v>1.058188051082003</v>
      </c>
      <c r="AF145" s="21">
        <f>AB145*(14.068*'Sem TS MC2020'!$P137^-0.457)/$Q145</f>
        <v>0.98942636153171049</v>
      </c>
      <c r="AG145" s="21"/>
      <c r="AO145" s="5">
        <f>$AP$2*($AP$3+$AP$4*$F145/($N145*'Sem TS MC2020'!P137))*($AP$5*$G145+$AP$6*$B145/$N145)*('Sem TS MC2020'!P137^$AP$7/200000)*($J145-$M145)/($J145-$M145-$H145)+('Sem TS MC2020'!P137-$C145/$AP$8)*($AP$5*$G145+$AP$6*$B145/$N145)/200000</f>
        <v>0.23028611378162514</v>
      </c>
      <c r="AP145" s="5">
        <f t="shared" si="28"/>
        <v>1.0012439729635876</v>
      </c>
      <c r="AQ145" s="20">
        <f t="shared" si="29"/>
        <v>2.8611378162513024E-4</v>
      </c>
    </row>
    <row r="146" spans="1:43" x14ac:dyDescent="0.25">
      <c r="A146" s="1" t="s">
        <v>54</v>
      </c>
      <c r="B146" s="3">
        <v>10</v>
      </c>
      <c r="C146" s="4">
        <v>528</v>
      </c>
      <c r="D146" s="4">
        <v>1</v>
      </c>
      <c r="E146" s="3">
        <v>45</v>
      </c>
      <c r="F146" s="5">
        <v>2.8</v>
      </c>
      <c r="G146" s="3">
        <v>40</v>
      </c>
      <c r="H146" s="3">
        <v>45</v>
      </c>
      <c r="I146" s="1">
        <v>100</v>
      </c>
      <c r="J146" s="3">
        <v>250</v>
      </c>
      <c r="K146" s="4">
        <v>78.5</v>
      </c>
      <c r="L146" s="5">
        <v>9500</v>
      </c>
      <c r="M146" s="4">
        <v>43.4459689087927</v>
      </c>
      <c r="N146" s="10">
        <v>8.2631578947368403E-3</v>
      </c>
      <c r="O146" s="5">
        <v>4.0999999999999996</v>
      </c>
      <c r="P146" s="4">
        <v>99.781101172276607</v>
      </c>
      <c r="Q146" s="5">
        <v>0.16</v>
      </c>
      <c r="R146" s="11">
        <f t="shared" si="20"/>
        <v>4.9890550586138306E-4</v>
      </c>
      <c r="V146" s="5">
        <f t="shared" si="21"/>
        <v>0.16375258304938006</v>
      </c>
      <c r="W146" s="5">
        <f t="shared" si="22"/>
        <v>1.0234536440586253</v>
      </c>
      <c r="Y146" s="5">
        <f t="shared" si="23"/>
        <v>0.16631112893456262</v>
      </c>
      <c r="Z146" s="5">
        <f t="shared" si="24"/>
        <v>1.0394445558410164</v>
      </c>
      <c r="AB146" s="5">
        <f>$AC$2*($AC$3+$AC$4*$F146/($N146*'Sem TS MC2020'!P138))*($AC$5*$G146+$AC$6*$B146/$N146)*'Sem TS MC2020'!R138*($J146-$M146)/($J146-$M146-$H146)</f>
        <v>0.16156340102515074</v>
      </c>
      <c r="AC146" s="5">
        <f t="shared" si="25"/>
        <v>1.0097712564071921</v>
      </c>
      <c r="AD146" s="20">
        <f t="shared" si="26"/>
        <v>1.5634010251507346E-3</v>
      </c>
      <c r="AE146" s="21">
        <f t="shared" si="27"/>
        <v>0.9903232971376521</v>
      </c>
      <c r="AF146" s="21">
        <f>AB146*(14.068*'Sem TS MC2020'!$P138^-0.457)/$Q146</f>
        <v>1.0921928861600247</v>
      </c>
      <c r="AG146" s="21"/>
      <c r="AO146" s="5">
        <f>$AP$2*($AP$3+$AP$4*$F146/($N146*'Sem TS MC2020'!P138))*($AP$5*$G146+$AP$6*$B146/$N146)*('Sem TS MC2020'!P138^$AP$7/200000)*($J146-$M146)/($J146-$M146-$H146)+('Sem TS MC2020'!P138-$C146/$AP$8)*($AP$5*$G146+$AP$6*$B146/$N146)/200000</f>
        <v>0.16665673720723059</v>
      </c>
      <c r="AP146" s="5">
        <f t="shared" si="28"/>
        <v>1.0416046075451912</v>
      </c>
      <c r="AQ146" s="20">
        <f t="shared" si="29"/>
        <v>6.6567372072305897E-3</v>
      </c>
    </row>
    <row r="147" spans="1:43" x14ac:dyDescent="0.25">
      <c r="B147" s="3">
        <v>10</v>
      </c>
      <c r="C147" s="4">
        <v>528</v>
      </c>
      <c r="D147" s="4">
        <v>1</v>
      </c>
      <c r="E147" s="3">
        <v>45</v>
      </c>
      <c r="F147" s="5">
        <v>2.8</v>
      </c>
      <c r="G147" s="3">
        <v>40</v>
      </c>
      <c r="H147" s="3">
        <v>45</v>
      </c>
      <c r="I147" s="1">
        <v>100</v>
      </c>
      <c r="J147" s="3">
        <v>250</v>
      </c>
      <c r="K147" s="4">
        <v>78.5</v>
      </c>
      <c r="L147" s="5">
        <v>9500</v>
      </c>
      <c r="M147" s="4">
        <v>43.4459689087927</v>
      </c>
      <c r="N147" s="10">
        <v>8.2631578947368403E-3</v>
      </c>
      <c r="O147" s="5">
        <v>4.4000000000000004</v>
      </c>
      <c r="P147" s="4">
        <v>133.40098997661701</v>
      </c>
      <c r="Q147" s="5">
        <v>0.18</v>
      </c>
      <c r="R147" s="11">
        <f t="shared" si="20"/>
        <v>6.6700494988308507E-4</v>
      </c>
      <c r="V147" s="5">
        <f t="shared" si="21"/>
        <v>0.19588379001613349</v>
      </c>
      <c r="W147" s="5">
        <f t="shared" si="22"/>
        <v>1.0882432778674083</v>
      </c>
      <c r="Y147" s="5">
        <f t="shared" si="23"/>
        <v>0.19958085045743973</v>
      </c>
      <c r="Z147" s="5">
        <f t="shared" si="24"/>
        <v>1.1087825025413318</v>
      </c>
      <c r="AB147" s="5">
        <f>$AC$2*($AC$3+$AC$4*$F147/($N147*'Sem TS MC2020'!P139))*($AC$5*$G147+$AC$6*$B147/$N147)*'Sem TS MC2020'!R139*($J147-$M147)/($J147-$M147-$H147)</f>
        <v>0.19765571343460286</v>
      </c>
      <c r="AC147" s="5">
        <f t="shared" si="25"/>
        <v>1.0980872968589048</v>
      </c>
      <c r="AD147" s="20">
        <f t="shared" si="26"/>
        <v>1.7655713434602871E-2</v>
      </c>
      <c r="AE147" s="21">
        <f t="shared" si="27"/>
        <v>0.9106744089113088</v>
      </c>
      <c r="AF147" s="21">
        <f>AB147*(14.068*'Sem TS MC2020'!$P139^-0.457)/$Q147</f>
        <v>1.1499992475264231</v>
      </c>
      <c r="AG147" s="21"/>
      <c r="AO147" s="5">
        <f>$AP$2*($AP$3+$AP$4*$F147/($N147*'Sem TS MC2020'!P139))*($AP$5*$G147+$AP$6*$B147/$N147)*('Sem TS MC2020'!P139^$AP$7/200000)*($J147-$M147)/($J147-$M147-$H147)+('Sem TS MC2020'!P139-$C147/$AP$8)*($AP$5*$G147+$AP$6*$B147/$N147)/200000</f>
        <v>0.20485972844566802</v>
      </c>
      <c r="AP147" s="5">
        <f t="shared" si="28"/>
        <v>1.1381096024759334</v>
      </c>
      <c r="AQ147" s="20">
        <f t="shared" si="29"/>
        <v>2.4859728445668028E-2</v>
      </c>
    </row>
    <row r="148" spans="1:43" x14ac:dyDescent="0.25">
      <c r="B148" s="3">
        <v>10</v>
      </c>
      <c r="C148" s="4">
        <v>528</v>
      </c>
      <c r="D148" s="4">
        <v>1</v>
      </c>
      <c r="E148" s="3">
        <v>45</v>
      </c>
      <c r="F148" s="5">
        <v>2.8</v>
      </c>
      <c r="G148" s="3">
        <v>40</v>
      </c>
      <c r="H148" s="3">
        <v>45</v>
      </c>
      <c r="I148" s="1">
        <v>100</v>
      </c>
      <c r="J148" s="3">
        <v>250</v>
      </c>
      <c r="K148" s="4">
        <v>78.5</v>
      </c>
      <c r="L148" s="5">
        <v>9500</v>
      </c>
      <c r="M148" s="4">
        <v>43.4459689087927</v>
      </c>
      <c r="N148" s="10">
        <v>8.2631578947368403E-3</v>
      </c>
      <c r="O148" s="5">
        <v>4.74</v>
      </c>
      <c r="P148" s="4">
        <v>171.50353062153599</v>
      </c>
      <c r="Q148" s="5">
        <v>0.2</v>
      </c>
      <c r="R148" s="11">
        <f t="shared" si="20"/>
        <v>8.5751765310767994E-4</v>
      </c>
      <c r="V148" s="5">
        <f t="shared" si="21"/>
        <v>0.2287293227018066</v>
      </c>
      <c r="W148" s="5">
        <f t="shared" si="22"/>
        <v>1.1436466135090328</v>
      </c>
      <c r="Y148" s="5">
        <f t="shared" si="23"/>
        <v>0.23369125922761358</v>
      </c>
      <c r="Z148" s="5">
        <f t="shared" si="24"/>
        <v>1.1684562961380678</v>
      </c>
      <c r="AB148" s="5">
        <f>$AC$2*($AC$3+$AC$4*$F148/($N148*'Sem TS MC2020'!P140))*($AC$5*$G148+$AC$6*$B148/$N148)*'Sem TS MC2020'!R140*($J148-$M148)/($J148-$M148-$H148)</f>
        <v>0.23856033416531211</v>
      </c>
      <c r="AC148" s="5">
        <f t="shared" si="25"/>
        <v>1.1928016708265605</v>
      </c>
      <c r="AD148" s="20">
        <f t="shared" si="26"/>
        <v>3.8560334165312099E-2</v>
      </c>
      <c r="AE148" s="21">
        <f t="shared" si="27"/>
        <v>0.83836234007539812</v>
      </c>
      <c r="AF148" s="21">
        <f>AB148*(14.068*'Sem TS MC2020'!$P140^-0.457)/$Q148</f>
        <v>1.2074136978117778</v>
      </c>
      <c r="AG148" s="21"/>
      <c r="AO148" s="5">
        <f>$AP$2*($AP$3+$AP$4*$F148/($N148*'Sem TS MC2020'!P140))*($AP$5*$G148+$AP$6*$B148/$N148)*('Sem TS MC2020'!P140^$AP$7/200000)*($J148-$M148)/($J148-$M148-$H148)+('Sem TS MC2020'!P140-$C148/$AP$8)*($AP$5*$G148+$AP$6*$B148/$N148)/200000</f>
        <v>0.24727220696289512</v>
      </c>
      <c r="AP148" s="5">
        <f t="shared" si="28"/>
        <v>1.2363610348144756</v>
      </c>
      <c r="AQ148" s="20">
        <f t="shared" si="29"/>
        <v>4.7272206962895108E-2</v>
      </c>
    </row>
    <row r="149" spans="1:43" x14ac:dyDescent="0.25">
      <c r="B149" s="3">
        <v>10</v>
      </c>
      <c r="C149" s="4">
        <v>528</v>
      </c>
      <c r="D149" s="4">
        <v>1</v>
      </c>
      <c r="E149" s="3">
        <v>45</v>
      </c>
      <c r="F149" s="5">
        <v>2.8</v>
      </c>
      <c r="G149" s="3">
        <v>40</v>
      </c>
      <c r="H149" s="3">
        <v>45</v>
      </c>
      <c r="I149" s="1">
        <v>100</v>
      </c>
      <c r="J149" s="3">
        <v>250</v>
      </c>
      <c r="K149" s="4">
        <v>78.5</v>
      </c>
      <c r="L149" s="5">
        <v>9500</v>
      </c>
      <c r="M149" s="4">
        <v>43.4459689087927</v>
      </c>
      <c r="N149" s="10">
        <v>8.2631578947368403E-3</v>
      </c>
      <c r="O149" s="5">
        <v>5.04</v>
      </c>
      <c r="P149" s="4">
        <v>205.12341942587599</v>
      </c>
      <c r="Q149" s="5">
        <v>0.22</v>
      </c>
      <c r="R149" s="11">
        <f t="shared" si="20"/>
        <v>1.02561709712938E-3</v>
      </c>
      <c r="V149" s="5">
        <f t="shared" si="21"/>
        <v>0.25543992067546428</v>
      </c>
      <c r="W149" s="5">
        <f t="shared" si="22"/>
        <v>1.1610905485248377</v>
      </c>
      <c r="Y149" s="5">
        <f t="shared" si="23"/>
        <v>0.26149570461453986</v>
      </c>
      <c r="Z149" s="5">
        <f t="shared" si="24"/>
        <v>1.1886168391569993</v>
      </c>
      <c r="AB149" s="5">
        <f>$AC$2*($AC$3+$AC$4*$F149/($N149*'Sem TS MC2020'!P141))*($AC$5*$G149+$AC$6*$B149/$N149)*'Sem TS MC2020'!R141*($J149-$M149)/($J149-$M149-$H149)</f>
        <v>0.27465264657476418</v>
      </c>
      <c r="AC149" s="5">
        <f t="shared" si="25"/>
        <v>1.2484211207943827</v>
      </c>
      <c r="AD149" s="20">
        <f t="shared" si="26"/>
        <v>5.465264657476418E-2</v>
      </c>
      <c r="AE149" s="21">
        <f t="shared" si="27"/>
        <v>0.801011760649876</v>
      </c>
      <c r="AF149" s="21">
        <f>AB149*(14.068*'Sem TS MC2020'!$P141^-0.457)/$Q149</f>
        <v>1.2287652311393897</v>
      </c>
      <c r="AG149" s="21"/>
      <c r="AO149" s="5">
        <f>$AP$2*($AP$3+$AP$4*$F149/($N149*'Sem TS MC2020'!P141))*($AP$5*$G149+$AP$6*$B149/$N149)*('Sem TS MC2020'!P141^$AP$7/200000)*($J149-$M149)/($J149-$M149-$H149)+('Sem TS MC2020'!P141-$C149/$AP$8)*($AP$5*$G149+$AP$6*$B149/$N149)/200000</f>
        <v>0.28399842882801735</v>
      </c>
      <c r="AP149" s="5">
        <f t="shared" si="28"/>
        <v>1.2909019492182607</v>
      </c>
      <c r="AQ149" s="20">
        <f t="shared" si="29"/>
        <v>6.3998428828017345E-2</v>
      </c>
    </row>
    <row r="150" spans="1:43" x14ac:dyDescent="0.25">
      <c r="B150" s="3">
        <v>10</v>
      </c>
      <c r="C150" s="4">
        <v>528</v>
      </c>
      <c r="D150" s="4">
        <v>1</v>
      </c>
      <c r="E150" s="3">
        <v>45</v>
      </c>
      <c r="F150" s="5">
        <v>2.8</v>
      </c>
      <c r="G150" s="3">
        <v>40</v>
      </c>
      <c r="H150" s="3">
        <v>45</v>
      </c>
      <c r="I150" s="1">
        <v>100</v>
      </c>
      <c r="J150" s="3">
        <v>250</v>
      </c>
      <c r="K150" s="4">
        <v>78.5</v>
      </c>
      <c r="L150" s="5">
        <v>9500</v>
      </c>
      <c r="M150" s="4">
        <v>43.4459689087927</v>
      </c>
      <c r="N150" s="10">
        <v>8.2631578947368403E-3</v>
      </c>
      <c r="O150" s="5">
        <v>5.38</v>
      </c>
      <c r="P150" s="4">
        <v>243.225960070795</v>
      </c>
      <c r="Q150" s="5">
        <v>0.24</v>
      </c>
      <c r="R150" s="11">
        <f t="shared" si="20"/>
        <v>1.216129800353975E-3</v>
      </c>
      <c r="V150" s="5">
        <f t="shared" si="21"/>
        <v>0.28375497682236356</v>
      </c>
      <c r="W150" s="5">
        <f t="shared" si="22"/>
        <v>1.1823124034265149</v>
      </c>
      <c r="Y150" s="5">
        <f t="shared" si="23"/>
        <v>0.29102695657094652</v>
      </c>
      <c r="Z150" s="5">
        <f t="shared" si="24"/>
        <v>1.2126123190456106</v>
      </c>
      <c r="AB150" s="5">
        <f>$AC$2*($AC$3+$AC$4*$F150/($N150*'Sem TS MC2020'!P142))*($AC$5*$G150+$AC$6*$B150/$N150)*'Sem TS MC2020'!R142*($J150-$M150)/($J150-$M150-$H150)</f>
        <v>0.3155572673054734</v>
      </c>
      <c r="AC150" s="5">
        <f t="shared" si="25"/>
        <v>1.3148219471061393</v>
      </c>
      <c r="AD150" s="20">
        <f t="shared" si="26"/>
        <v>7.5557267305473408E-2</v>
      </c>
      <c r="AE150" s="21">
        <f t="shared" si="27"/>
        <v>0.76055925458268514</v>
      </c>
      <c r="AF150" s="21">
        <f>AB150*(14.068*'Sem TS MC2020'!$P142^-0.457)/$Q150</f>
        <v>1.2560820420472751</v>
      </c>
      <c r="AG150" s="21"/>
      <c r="AO150" s="5">
        <f>$AP$2*($AP$3+$AP$4*$F150/($N150*'Sem TS MC2020'!P142))*($AP$5*$G150+$AP$6*$B150/$N150)*('Sem TS MC2020'!P142^$AP$7/200000)*($J150-$M150)/($J150-$M150-$H150)+('Sem TS MC2020'!P142-$C150/$AP$8)*($AP$5*$G150+$AP$6*$B150/$N150)/200000</f>
        <v>0.32491383464716439</v>
      </c>
      <c r="AP150" s="5">
        <f t="shared" si="28"/>
        <v>1.353807644363185</v>
      </c>
      <c r="AQ150" s="20">
        <f t="shared" si="29"/>
        <v>8.4913834647164399E-2</v>
      </c>
    </row>
    <row r="151" spans="1:43" x14ac:dyDescent="0.25">
      <c r="B151" s="3">
        <v>10</v>
      </c>
      <c r="C151" s="4">
        <v>528</v>
      </c>
      <c r="D151" s="4">
        <v>1</v>
      </c>
      <c r="E151" s="3">
        <v>45</v>
      </c>
      <c r="F151" s="5">
        <v>2.8</v>
      </c>
      <c r="G151" s="3">
        <v>40</v>
      </c>
      <c r="H151" s="3">
        <v>45</v>
      </c>
      <c r="I151" s="1">
        <v>100</v>
      </c>
      <c r="J151" s="3">
        <v>250</v>
      </c>
      <c r="K151" s="4">
        <v>78.5</v>
      </c>
      <c r="L151" s="5">
        <v>9500</v>
      </c>
      <c r="M151" s="4">
        <v>43.4459689087927</v>
      </c>
      <c r="N151" s="10">
        <v>8.2631578947368403E-3</v>
      </c>
      <c r="O151" s="5">
        <v>5.68</v>
      </c>
      <c r="P151" s="4">
        <v>276.845848875135</v>
      </c>
      <c r="Q151" s="5">
        <v>0.26</v>
      </c>
      <c r="R151" s="11">
        <f t="shared" si="20"/>
        <v>1.3842292443756749E-3</v>
      </c>
      <c r="V151" s="5">
        <f t="shared" si="21"/>
        <v>0.30735212399192791</v>
      </c>
      <c r="W151" s="5">
        <f t="shared" si="22"/>
        <v>1.1821235538151074</v>
      </c>
      <c r="Y151" s="5">
        <f t="shared" si="23"/>
        <v>0.31567810287262527</v>
      </c>
      <c r="Z151" s="5">
        <f t="shared" si="24"/>
        <v>1.2141465495100972</v>
      </c>
      <c r="AB151" s="5">
        <f>$AC$2*($AC$3+$AC$4*$F151/($N151*'Sem TS MC2020'!P143))*($AC$5*$G151+$AC$6*$B151/$N151)*'Sem TS MC2020'!R143*($J151-$M151)/($J151-$M151-$H151)</f>
        <v>0.35164957971492367</v>
      </c>
      <c r="AC151" s="5">
        <f t="shared" si="25"/>
        <v>1.352498383518937</v>
      </c>
      <c r="AD151" s="20">
        <f t="shared" si="26"/>
        <v>9.1649579714923657E-2</v>
      </c>
      <c r="AE151" s="21">
        <f t="shared" si="27"/>
        <v>0.73937241787912167</v>
      </c>
      <c r="AF151" s="21">
        <f>AB151*(14.068*'Sem TS MC2020'!$P143^-0.457)/$Q151</f>
        <v>1.260428246242536</v>
      </c>
      <c r="AG151" s="21"/>
      <c r="AO151" s="5">
        <f>$AP$2*($AP$3+$AP$4*$F151/($N151*'Sem TS MC2020'!P143))*($AP$5*$G151+$AP$6*$B151/$N151)*('Sem TS MC2020'!P143^$AP$7/200000)*($J151-$M151)/($J151-$M151-$H151)+('Sem TS MC2020'!P143-$C151/$AP$8)*($AP$5*$G151+$AP$6*$B151/$N151)/200000</f>
        <v>0.36044925555195778</v>
      </c>
      <c r="AP151" s="5">
        <f t="shared" si="28"/>
        <v>1.386343290584453</v>
      </c>
      <c r="AQ151" s="20">
        <f t="shared" si="29"/>
        <v>0.10044925555195777</v>
      </c>
    </row>
    <row r="152" spans="1:43" x14ac:dyDescent="0.25">
      <c r="B152" s="3">
        <v>10</v>
      </c>
      <c r="C152" s="4">
        <v>528</v>
      </c>
      <c r="D152" s="4">
        <v>1</v>
      </c>
      <c r="E152" s="3">
        <v>45</v>
      </c>
      <c r="F152" s="5">
        <v>2.8</v>
      </c>
      <c r="G152" s="3">
        <v>40</v>
      </c>
      <c r="H152" s="3">
        <v>45</v>
      </c>
      <c r="I152" s="1">
        <v>100</v>
      </c>
      <c r="J152" s="3">
        <v>250</v>
      </c>
      <c r="K152" s="4">
        <v>78.5</v>
      </c>
      <c r="L152" s="5">
        <v>9500</v>
      </c>
      <c r="M152" s="4">
        <v>43.4459689087927</v>
      </c>
      <c r="N152" s="10">
        <v>8.2631578947368403E-3</v>
      </c>
      <c r="O152" s="5">
        <v>6.04</v>
      </c>
      <c r="P152" s="4">
        <v>317.18971544034298</v>
      </c>
      <c r="Q152" s="5">
        <v>0.28000000000000003</v>
      </c>
      <c r="R152" s="11">
        <f t="shared" si="20"/>
        <v>1.5859485772017148E-3</v>
      </c>
      <c r="V152" s="5">
        <f t="shared" si="21"/>
        <v>0.33426372293468537</v>
      </c>
      <c r="W152" s="5">
        <f t="shared" si="22"/>
        <v>1.193799010481019</v>
      </c>
      <c r="Y152" s="5">
        <f t="shared" si="23"/>
        <v>0.34383285788028395</v>
      </c>
      <c r="Z152" s="5">
        <f t="shared" si="24"/>
        <v>1.2279744924295855</v>
      </c>
      <c r="AB152" s="5">
        <f>$AC$2*($AC$3+$AC$4*$F152/($N152*'Sem TS MC2020'!P144))*($AC$5*$G152+$AC$6*$B152/$N152)*'Sem TS MC2020'!R144*($J152-$M152)/($J152-$M152-$H152)</f>
        <v>0.39496035460626516</v>
      </c>
      <c r="AC152" s="5">
        <f t="shared" si="25"/>
        <v>1.4105726950223754</v>
      </c>
      <c r="AD152" s="20">
        <f t="shared" si="26"/>
        <v>0.11496035460626514</v>
      </c>
      <c r="AE152" s="21">
        <f t="shared" si="27"/>
        <v>0.7089319136325245</v>
      </c>
      <c r="AF152" s="21">
        <f>AB152*(14.068*'Sem TS MC2020'!$P144^-0.457)/$Q152</f>
        <v>1.2781450831954386</v>
      </c>
      <c r="AG152" s="21"/>
      <c r="AO152" s="5">
        <f>$AP$2*($AP$3+$AP$4*$F152/($N152*'Sem TS MC2020'!P144))*($AP$5*$G152+$AP$6*$B152/$N152)*('Sem TS MC2020'!P144^$AP$7/200000)*($J152-$M152)/($J152-$M152-$H152)+('Sem TS MC2020'!P144-$C152/$AP$8)*($AP$5*$G152+$AP$6*$B152/$N152)/200000</f>
        <v>0.40245540624847836</v>
      </c>
      <c r="AP152" s="5">
        <f t="shared" si="28"/>
        <v>1.4373407366017084</v>
      </c>
      <c r="AQ152" s="20">
        <f t="shared" si="29"/>
        <v>0.12245540624847834</v>
      </c>
    </row>
    <row r="153" spans="1:43" x14ac:dyDescent="0.25">
      <c r="A153" s="1" t="s">
        <v>55</v>
      </c>
      <c r="B153" s="3">
        <v>10</v>
      </c>
      <c r="C153" s="4">
        <v>528</v>
      </c>
      <c r="D153" s="4">
        <v>1</v>
      </c>
      <c r="E153" s="3">
        <v>45</v>
      </c>
      <c r="F153" s="5">
        <v>2.8</v>
      </c>
      <c r="G153" s="3">
        <v>40</v>
      </c>
      <c r="H153" s="3">
        <v>45</v>
      </c>
      <c r="I153" s="1">
        <v>100</v>
      </c>
      <c r="J153" s="3">
        <v>250</v>
      </c>
      <c r="K153" s="4">
        <v>78.5</v>
      </c>
      <c r="L153" s="5">
        <v>9500</v>
      </c>
      <c r="M153" s="4">
        <v>43.4459689087927</v>
      </c>
      <c r="N153" s="10">
        <v>8.2631578947368403E-3</v>
      </c>
      <c r="O153" s="5">
        <v>3.76</v>
      </c>
      <c r="P153" s="4">
        <v>61.678560527357803</v>
      </c>
      <c r="Q153" s="5">
        <v>0.15</v>
      </c>
      <c r="R153" s="11">
        <f t="shared" si="20"/>
        <v>3.0839280263678901E-4</v>
      </c>
      <c r="V153" s="5">
        <f t="shared" si="21"/>
        <v>0.12169932864824018</v>
      </c>
      <c r="W153" s="5">
        <f t="shared" si="22"/>
        <v>0.81132885765493457</v>
      </c>
      <c r="Y153" s="5">
        <f t="shared" si="23"/>
        <v>0.12294851286036425</v>
      </c>
      <c r="Z153" s="5">
        <f t="shared" si="24"/>
        <v>0.8196567524024283</v>
      </c>
      <c r="AB153" s="5">
        <f>$AC$2*($AC$3+$AC$4*$F153/($N153*'Sem TS MC2020'!P145))*($AC$5*$G153+$AC$6*$B153/$N153)*'Sem TS MC2020'!R145*($J153-$M153)/($J153-$M153-$H153)</f>
        <v>0.12065878029444149</v>
      </c>
      <c r="AC153" s="5">
        <f t="shared" si="25"/>
        <v>0.80439186862960999</v>
      </c>
      <c r="AD153" s="20">
        <f t="shared" si="26"/>
        <v>-2.9341219705558502E-2</v>
      </c>
      <c r="AE153" s="21">
        <f t="shared" si="27"/>
        <v>1.2431751724487654</v>
      </c>
      <c r="AF153" s="21">
        <f>AB153*(14.068*'Sem TS MC2020'!$P145^-0.457)/$Q153</f>
        <v>0.90516007244463226</v>
      </c>
      <c r="AG153" s="21"/>
      <c r="AO153" s="5">
        <f>$AP$2*($AP$3+$AP$4*$F153/($N153*'Sem TS MC2020'!P145))*($AP$5*$G153+$AP$6*$B153/$N153)*('Sem TS MC2020'!P145^$AP$7/200000)*($J153-$M153)/($J153-$M153-$H153)+('Sem TS MC2020'!P145-$C153/$AP$8)*($AP$5*$G153+$AP$6*$B153/$N153)/200000</f>
        <v>0.1223543754320844</v>
      </c>
      <c r="AP153" s="5">
        <f t="shared" si="28"/>
        <v>0.81569583621389596</v>
      </c>
      <c r="AQ153" s="20">
        <f t="shared" si="29"/>
        <v>-2.7645624567915597E-2</v>
      </c>
    </row>
    <row r="154" spans="1:43" x14ac:dyDescent="0.25">
      <c r="B154" s="3">
        <v>10</v>
      </c>
      <c r="C154" s="4">
        <v>528</v>
      </c>
      <c r="D154" s="4">
        <v>1</v>
      </c>
      <c r="E154" s="3">
        <v>45</v>
      </c>
      <c r="F154" s="5">
        <v>2.8</v>
      </c>
      <c r="G154" s="3">
        <v>40</v>
      </c>
      <c r="H154" s="3">
        <v>45</v>
      </c>
      <c r="I154" s="1">
        <v>100</v>
      </c>
      <c r="J154" s="3">
        <v>250</v>
      </c>
      <c r="K154" s="4">
        <v>78.5</v>
      </c>
      <c r="L154" s="5">
        <v>9500</v>
      </c>
      <c r="M154" s="4">
        <v>43.4459689087927</v>
      </c>
      <c r="N154" s="10">
        <v>8.2631578947368403E-3</v>
      </c>
      <c r="O154" s="5">
        <v>4.0999999999999996</v>
      </c>
      <c r="P154" s="4">
        <v>99.781101172276607</v>
      </c>
      <c r="Q154" s="5">
        <v>0.17</v>
      </c>
      <c r="R154" s="11">
        <f t="shared" si="20"/>
        <v>4.9890550586138306E-4</v>
      </c>
      <c r="V154" s="5">
        <f t="shared" si="21"/>
        <v>0.16375258304938006</v>
      </c>
      <c r="W154" s="5">
        <f t="shared" si="22"/>
        <v>0.963250488525765</v>
      </c>
      <c r="Y154" s="5">
        <f t="shared" si="23"/>
        <v>0.16631112893456262</v>
      </c>
      <c r="Z154" s="5">
        <f t="shared" si="24"/>
        <v>0.97830075843860365</v>
      </c>
      <c r="AB154" s="5">
        <f>$AC$2*($AC$3+$AC$4*$F154/($N154*'Sem TS MC2020'!P146))*($AC$5*$G154+$AC$6*$B154/$N154)*'Sem TS MC2020'!R146*($J154-$M154)/($J154-$M154-$H154)</f>
        <v>0.16156340102515074</v>
      </c>
      <c r="AC154" s="5">
        <f t="shared" si="25"/>
        <v>0.95037294720676901</v>
      </c>
      <c r="AD154" s="20">
        <f t="shared" si="26"/>
        <v>-8.4365989748492742E-3</v>
      </c>
      <c r="AE154" s="21">
        <f t="shared" si="27"/>
        <v>1.0522185032087554</v>
      </c>
      <c r="AF154" s="21">
        <f>AB154*(14.068*'Sem TS MC2020'!$P146^-0.457)/$Q154</f>
        <v>1.0279462457976705</v>
      </c>
      <c r="AG154" s="21"/>
      <c r="AO154" s="5">
        <f>$AP$2*($AP$3+$AP$4*$F154/($N154*'Sem TS MC2020'!P146))*($AP$5*$G154+$AP$6*$B154/$N154)*('Sem TS MC2020'!P146^$AP$7/200000)*($J154-$M154)/($J154-$M154-$H154)+('Sem TS MC2020'!P146-$C154/$AP$8)*($AP$5*$G154+$AP$6*$B154/$N154)/200000</f>
        <v>0.16665673720723059</v>
      </c>
      <c r="AP154" s="5">
        <f t="shared" si="28"/>
        <v>0.98033374827782693</v>
      </c>
      <c r="AQ154" s="20">
        <f t="shared" si="29"/>
        <v>-3.3432627927694192E-3</v>
      </c>
    </row>
    <row r="155" spans="1:43" x14ac:dyDescent="0.25">
      <c r="B155" s="3">
        <v>10</v>
      </c>
      <c r="C155" s="4">
        <v>528</v>
      </c>
      <c r="D155" s="4">
        <v>1</v>
      </c>
      <c r="E155" s="3">
        <v>45</v>
      </c>
      <c r="F155" s="5">
        <v>2.8</v>
      </c>
      <c r="G155" s="3">
        <v>40</v>
      </c>
      <c r="H155" s="3">
        <v>45</v>
      </c>
      <c r="I155" s="1">
        <v>100</v>
      </c>
      <c r="J155" s="3">
        <v>250</v>
      </c>
      <c r="K155" s="4">
        <v>78.5</v>
      </c>
      <c r="L155" s="5">
        <v>9500</v>
      </c>
      <c r="M155" s="4">
        <v>43.4459689087927</v>
      </c>
      <c r="N155" s="10">
        <v>8.2631578947368403E-3</v>
      </c>
      <c r="O155" s="5">
        <v>4.42</v>
      </c>
      <c r="P155" s="4">
        <v>135.64231589690601</v>
      </c>
      <c r="Q155" s="5">
        <v>0.19</v>
      </c>
      <c r="R155" s="11">
        <f t="shared" si="20"/>
        <v>6.7821157948453009E-4</v>
      </c>
      <c r="V155" s="5">
        <f t="shared" si="21"/>
        <v>0.19790793115101821</v>
      </c>
      <c r="W155" s="5">
        <f t="shared" si="22"/>
        <v>1.0416206902685168</v>
      </c>
      <c r="Y155" s="5">
        <f t="shared" si="23"/>
        <v>0.20168015530533973</v>
      </c>
      <c r="Z155" s="5">
        <f t="shared" si="24"/>
        <v>1.0614745016070513</v>
      </c>
      <c r="AB155" s="5">
        <f>$AC$2*($AC$3+$AC$4*$F155/($N155*'Sem TS MC2020'!P147))*($AC$5*$G155+$AC$6*$B155/$N155)*'Sem TS MC2020'!R147*($J155-$M155)/($J155-$M155-$H155)</f>
        <v>0.2000618675952314</v>
      </c>
      <c r="AC155" s="5">
        <f t="shared" si="25"/>
        <v>1.0529571978696388</v>
      </c>
      <c r="AD155" s="20">
        <f t="shared" si="26"/>
        <v>1.0061867595231394E-2</v>
      </c>
      <c r="AE155" s="21">
        <f t="shared" si="27"/>
        <v>0.94970621980002345</v>
      </c>
      <c r="AF155" s="21">
        <f>AB155*(14.068*'Sem TS MC2020'!$P147^-0.457)/$Q155</f>
        <v>1.1004525028075762</v>
      </c>
      <c r="AG155" s="21"/>
      <c r="AO155" s="5">
        <f>$AP$2*($AP$3+$AP$4*$F155/($N155*'Sem TS MC2020'!P147))*($AP$5*$G155+$AP$6*$B155/$N155)*('Sem TS MC2020'!P147^$AP$7/200000)*($J155-$M155)/($J155-$M155-$H155)+('Sem TS MC2020'!P147-$C155/$AP$8)*($AP$5*$G155+$AP$6*$B155/$N155)/200000</f>
        <v>0.20737954531758798</v>
      </c>
      <c r="AP155" s="5">
        <f t="shared" si="28"/>
        <v>1.0914712911451998</v>
      </c>
      <c r="AQ155" s="20">
        <f t="shared" si="29"/>
        <v>1.737954531758798E-2</v>
      </c>
    </row>
    <row r="156" spans="1:43" x14ac:dyDescent="0.25">
      <c r="B156" s="3">
        <v>10</v>
      </c>
      <c r="C156" s="4">
        <v>528</v>
      </c>
      <c r="D156" s="4">
        <v>1</v>
      </c>
      <c r="E156" s="3">
        <v>45</v>
      </c>
      <c r="F156" s="5">
        <v>2.8</v>
      </c>
      <c r="G156" s="3">
        <v>40</v>
      </c>
      <c r="H156" s="3">
        <v>45</v>
      </c>
      <c r="I156" s="1">
        <v>100</v>
      </c>
      <c r="J156" s="3">
        <v>250</v>
      </c>
      <c r="K156" s="4">
        <v>78.5</v>
      </c>
      <c r="L156" s="5">
        <v>9500</v>
      </c>
      <c r="M156" s="4">
        <v>43.4459689087927</v>
      </c>
      <c r="N156" s="10">
        <v>8.2631578947368403E-3</v>
      </c>
      <c r="O156" s="5">
        <v>4.71</v>
      </c>
      <c r="P156" s="4">
        <v>168.141541741102</v>
      </c>
      <c r="Q156" s="5">
        <v>0.2</v>
      </c>
      <c r="R156" s="11">
        <f t="shared" si="20"/>
        <v>8.4070770870550997E-4</v>
      </c>
      <c r="V156" s="5">
        <f t="shared" si="21"/>
        <v>0.22595234528568356</v>
      </c>
      <c r="W156" s="5">
        <f t="shared" si="22"/>
        <v>1.1297617264284177</v>
      </c>
      <c r="Y156" s="5">
        <f t="shared" si="23"/>
        <v>0.23080377074756969</v>
      </c>
      <c r="Z156" s="5">
        <f t="shared" si="24"/>
        <v>1.1540188537378484</v>
      </c>
      <c r="AB156" s="5">
        <f>$AC$2*($AC$3+$AC$4*$F156/($N156*'Sem TS MC2020'!P148))*($AC$5*$G156+$AC$6*$B156/$N156)*'Sem TS MC2020'!R148*($J156-$M156)/($J156-$M156-$H156)</f>
        <v>0.2349511029243683</v>
      </c>
      <c r="AC156" s="5">
        <f t="shared" si="25"/>
        <v>1.1747555146218414</v>
      </c>
      <c r="AD156" s="20">
        <f t="shared" si="26"/>
        <v>3.4951102924368288E-2</v>
      </c>
      <c r="AE156" s="21">
        <f t="shared" si="27"/>
        <v>0.85124094975787712</v>
      </c>
      <c r="AF156" s="21">
        <f>AB156*(14.068*'Sem TS MC2020'!$P148^-0.457)/$Q156</f>
        <v>1.1926019076814465</v>
      </c>
      <c r="AG156" s="21"/>
      <c r="AO156" s="5">
        <f>$AP$2*($AP$3+$AP$4*$F156/($N156*'Sem TS MC2020'!P148))*($AP$5*$G156+$AP$6*$B156/$N156)*('Sem TS MC2020'!P148^$AP$7/200000)*($J156-$M156)/($J156-$M156-$H156)+('Sem TS MC2020'!P148-$C156/$AP$8)*($AP$5*$G156+$AP$6*$B156/$N156)/200000</f>
        <v>0.24356496139696238</v>
      </c>
      <c r="AP156" s="5">
        <f t="shared" si="28"/>
        <v>1.2178248069848119</v>
      </c>
      <c r="AQ156" s="20">
        <f t="shared" si="29"/>
        <v>4.3564961396962365E-2</v>
      </c>
    </row>
    <row r="157" spans="1:43" x14ac:dyDescent="0.25">
      <c r="B157" s="3">
        <v>10</v>
      </c>
      <c r="C157" s="4">
        <v>528</v>
      </c>
      <c r="D157" s="4">
        <v>1</v>
      </c>
      <c r="E157" s="3">
        <v>45</v>
      </c>
      <c r="F157" s="5">
        <v>2.8</v>
      </c>
      <c r="G157" s="3">
        <v>40</v>
      </c>
      <c r="H157" s="3">
        <v>45</v>
      </c>
      <c r="I157" s="1">
        <v>100</v>
      </c>
      <c r="J157" s="3">
        <v>250</v>
      </c>
      <c r="K157" s="4">
        <v>78.5</v>
      </c>
      <c r="L157" s="5">
        <v>9500</v>
      </c>
      <c r="M157" s="4">
        <v>43.4459689087927</v>
      </c>
      <c r="N157" s="10">
        <v>8.2631578947368403E-3</v>
      </c>
      <c r="O157" s="5">
        <v>5.04</v>
      </c>
      <c r="P157" s="4">
        <v>205.12341942587599</v>
      </c>
      <c r="Q157" s="5">
        <v>0.22</v>
      </c>
      <c r="R157" s="11">
        <f t="shared" si="20"/>
        <v>1.02561709712938E-3</v>
      </c>
      <c r="V157" s="5">
        <f t="shared" si="21"/>
        <v>0.25543992067546428</v>
      </c>
      <c r="W157" s="5">
        <f t="shared" si="22"/>
        <v>1.1610905485248377</v>
      </c>
      <c r="Y157" s="5">
        <f t="shared" si="23"/>
        <v>0.26149570461453986</v>
      </c>
      <c r="Z157" s="5">
        <f t="shared" si="24"/>
        <v>1.1886168391569993</v>
      </c>
      <c r="AB157" s="5">
        <f>$AC$2*($AC$3+$AC$4*$F157/($N157*'Sem TS MC2020'!P149))*($AC$5*$G157+$AC$6*$B157/$N157)*'Sem TS MC2020'!R149*($J157-$M157)/($J157-$M157-$H157)</f>
        <v>0.27465264657476418</v>
      </c>
      <c r="AC157" s="5">
        <f t="shared" si="25"/>
        <v>1.2484211207943827</v>
      </c>
      <c r="AD157" s="20">
        <f t="shared" si="26"/>
        <v>5.465264657476418E-2</v>
      </c>
      <c r="AE157" s="21">
        <f t="shared" si="27"/>
        <v>0.801011760649876</v>
      </c>
      <c r="AF157" s="21">
        <f>AB157*(14.068*'Sem TS MC2020'!$P149^-0.457)/$Q157</f>
        <v>1.2287652311393897</v>
      </c>
      <c r="AG157" s="21"/>
      <c r="AO157" s="5">
        <f>$AP$2*($AP$3+$AP$4*$F157/($N157*'Sem TS MC2020'!P149))*($AP$5*$G157+$AP$6*$B157/$N157)*('Sem TS MC2020'!P149^$AP$7/200000)*($J157-$M157)/($J157-$M157-$H157)+('Sem TS MC2020'!P149-$C157/$AP$8)*($AP$5*$G157+$AP$6*$B157/$N157)/200000</f>
        <v>0.28399842882801735</v>
      </c>
      <c r="AP157" s="5">
        <f t="shared" si="28"/>
        <v>1.2909019492182607</v>
      </c>
      <c r="AQ157" s="20">
        <f t="shared" si="29"/>
        <v>6.3998428828017345E-2</v>
      </c>
    </row>
    <row r="158" spans="1:43" x14ac:dyDescent="0.25">
      <c r="B158" s="3">
        <v>10</v>
      </c>
      <c r="C158" s="4">
        <v>528</v>
      </c>
      <c r="D158" s="4">
        <v>1</v>
      </c>
      <c r="E158" s="3">
        <v>45</v>
      </c>
      <c r="F158" s="5">
        <v>2.8</v>
      </c>
      <c r="G158" s="3">
        <v>40</v>
      </c>
      <c r="H158" s="3">
        <v>45</v>
      </c>
      <c r="I158" s="1">
        <v>100</v>
      </c>
      <c r="J158" s="3">
        <v>250</v>
      </c>
      <c r="K158" s="4">
        <v>78.5</v>
      </c>
      <c r="L158" s="5">
        <v>9500</v>
      </c>
      <c r="M158" s="4">
        <v>43.4459689087927</v>
      </c>
      <c r="N158" s="10">
        <v>8.2631578947368403E-3</v>
      </c>
      <c r="O158" s="5">
        <v>5.37</v>
      </c>
      <c r="P158" s="4">
        <v>242.10529711065001</v>
      </c>
      <c r="Q158" s="5">
        <v>0.24</v>
      </c>
      <c r="R158" s="11">
        <f t="shared" si="20"/>
        <v>1.2105264855532501E-3</v>
      </c>
      <c r="V158" s="5">
        <f t="shared" si="21"/>
        <v>0.2829475975733175</v>
      </c>
      <c r="W158" s="5">
        <f t="shared" si="22"/>
        <v>1.1789483232221563</v>
      </c>
      <c r="Y158" s="5">
        <f t="shared" si="23"/>
        <v>0.29018414446051533</v>
      </c>
      <c r="Z158" s="5">
        <f t="shared" si="24"/>
        <v>1.209100601918814</v>
      </c>
      <c r="AB158" s="5">
        <f>$AC$2*($AC$3+$AC$4*$F158/($N158*'Sem TS MC2020'!P150))*($AC$5*$G158+$AC$6*$B158/$N158)*'Sem TS MC2020'!R150*($J158-$M158)/($J158-$M158-$H158)</f>
        <v>0.31435419022515826</v>
      </c>
      <c r="AC158" s="5">
        <f t="shared" si="25"/>
        <v>1.3098091259381595</v>
      </c>
      <c r="AD158" s="20">
        <f t="shared" si="26"/>
        <v>7.4354190225158268E-2</v>
      </c>
      <c r="AE158" s="21">
        <f t="shared" si="27"/>
        <v>0.76347002032356692</v>
      </c>
      <c r="AF158" s="21">
        <f>AB158*(14.068*'Sem TS MC2020'!$P150^-0.457)/$Q158</f>
        <v>1.2523575124642101</v>
      </c>
      <c r="AG158" s="21"/>
      <c r="AO158" s="5">
        <f>$AP$2*($AP$3+$AP$4*$F158/($N158*'Sem TS MC2020'!P150))*($AP$5*$G158+$AP$6*$B158/$N158)*('Sem TS MC2020'!P150^$AP$7/200000)*($J158-$M158)/($J158-$M158-$H158)+('Sem TS MC2020'!P150-$C158/$AP$8)*($AP$5*$G158+$AP$6*$B158/$N158)/200000</f>
        <v>0.32372047726413872</v>
      </c>
      <c r="AP158" s="5">
        <f t="shared" si="28"/>
        <v>1.3488353219339113</v>
      </c>
      <c r="AQ158" s="20">
        <f t="shared" si="29"/>
        <v>8.3720477264138726E-2</v>
      </c>
    </row>
    <row r="159" spans="1:43" x14ac:dyDescent="0.25">
      <c r="B159" s="3">
        <v>10</v>
      </c>
      <c r="C159" s="4">
        <v>528</v>
      </c>
      <c r="D159" s="4">
        <v>1</v>
      </c>
      <c r="E159" s="3">
        <v>45</v>
      </c>
      <c r="F159" s="5">
        <v>2.8</v>
      </c>
      <c r="G159" s="3">
        <v>40</v>
      </c>
      <c r="H159" s="3">
        <v>45</v>
      </c>
      <c r="I159" s="1">
        <v>100</v>
      </c>
      <c r="J159" s="3">
        <v>250</v>
      </c>
      <c r="K159" s="4">
        <v>78.5</v>
      </c>
      <c r="L159" s="5">
        <v>9500</v>
      </c>
      <c r="M159" s="4">
        <v>43.4459689087927</v>
      </c>
      <c r="N159" s="10">
        <v>8.2631578947368403E-3</v>
      </c>
      <c r="O159" s="5">
        <v>5.65</v>
      </c>
      <c r="P159" s="4">
        <v>273.48385999470099</v>
      </c>
      <c r="Q159" s="5">
        <v>0.26</v>
      </c>
      <c r="R159" s="11">
        <f t="shared" si="20"/>
        <v>1.3674192999735049E-3</v>
      </c>
      <c r="V159" s="5">
        <f t="shared" si="21"/>
        <v>0.30504381403016828</v>
      </c>
      <c r="W159" s="5">
        <f t="shared" si="22"/>
        <v>1.1732454385775704</v>
      </c>
      <c r="Y159" s="5">
        <f t="shared" si="23"/>
        <v>0.31326515634924573</v>
      </c>
      <c r="Z159" s="5">
        <f t="shared" si="24"/>
        <v>1.2048659859586375</v>
      </c>
      <c r="AB159" s="5">
        <f>$AC$2*($AC$3+$AC$4*$F159/($N159*'Sem TS MC2020'!P151))*($AC$5*$G159+$AC$6*$B159/$N159)*'Sem TS MC2020'!R151*($J159-$M159)/($J159-$M159-$H159)</f>
        <v>0.34804034847397997</v>
      </c>
      <c r="AC159" s="5">
        <f t="shared" si="25"/>
        <v>1.338616724899923</v>
      </c>
      <c r="AD159" s="20">
        <f t="shared" si="26"/>
        <v>8.8040348473979957E-2</v>
      </c>
      <c r="AE159" s="21">
        <f t="shared" si="27"/>
        <v>0.7470398220780945</v>
      </c>
      <c r="AF159" s="21">
        <f>AB159*(14.068*'Sem TS MC2020'!$P151^-0.457)/$Q159</f>
        <v>1.2505143163628518</v>
      </c>
      <c r="AG159" s="21"/>
      <c r="AO159" s="5">
        <f>$AP$2*($AP$3+$AP$4*$F159/($N159*'Sem TS MC2020'!P151))*($AP$5*$G159+$AP$6*$B159/$N159)*('Sem TS MC2020'!P151^$AP$7/200000)*($J159-$M159)/($J159-$M159-$H159)+('Sem TS MC2020'!P151-$C159/$AP$8)*($AP$5*$G159+$AP$6*$B159/$N159)/200000</f>
        <v>0.35691820173068489</v>
      </c>
      <c r="AP159" s="5">
        <f t="shared" si="28"/>
        <v>1.3727623143487879</v>
      </c>
      <c r="AQ159" s="20">
        <f t="shared" si="29"/>
        <v>9.6918201730684883E-2</v>
      </c>
    </row>
    <row r="160" spans="1:43" x14ac:dyDescent="0.25">
      <c r="B160" s="3">
        <v>10</v>
      </c>
      <c r="C160" s="4">
        <v>528</v>
      </c>
      <c r="D160" s="4">
        <v>1</v>
      </c>
      <c r="E160" s="3">
        <v>45</v>
      </c>
      <c r="F160" s="5">
        <v>2.8</v>
      </c>
      <c r="G160" s="3">
        <v>40</v>
      </c>
      <c r="H160" s="3">
        <v>45</v>
      </c>
      <c r="I160" s="1">
        <v>100</v>
      </c>
      <c r="J160" s="3">
        <v>250</v>
      </c>
      <c r="K160" s="4">
        <v>78.5</v>
      </c>
      <c r="L160" s="5">
        <v>9500</v>
      </c>
      <c r="M160" s="4">
        <v>43.4459689087927</v>
      </c>
      <c r="N160" s="10">
        <v>8.2631578947368403E-3</v>
      </c>
      <c r="O160" s="5">
        <v>5.92</v>
      </c>
      <c r="P160" s="4">
        <v>303.74175991860699</v>
      </c>
      <c r="Q160" s="5">
        <v>0.28999999999999998</v>
      </c>
      <c r="R160" s="11">
        <f t="shared" si="20"/>
        <v>1.5187087995930349E-3</v>
      </c>
      <c r="V160" s="5">
        <f t="shared" si="21"/>
        <v>0.32544727720584327</v>
      </c>
      <c r="W160" s="5">
        <f t="shared" si="22"/>
        <v>1.1222319903649769</v>
      </c>
      <c r="Y160" s="5">
        <f t="shared" si="23"/>
        <v>0.33460452749989067</v>
      </c>
      <c r="Z160" s="5">
        <f t="shared" si="24"/>
        <v>1.1538087155168644</v>
      </c>
      <c r="AB160" s="5">
        <f>$AC$2*($AC$3+$AC$4*$F160/($N160*'Sem TS MC2020'!P152))*($AC$5*$G160+$AC$6*$B160/$N160)*'Sem TS MC2020'!R152*($J160-$M160)/($J160-$M160-$H160)</f>
        <v>0.38052342964248459</v>
      </c>
      <c r="AC160" s="5">
        <f t="shared" si="25"/>
        <v>1.312149757387878</v>
      </c>
      <c r="AD160" s="20">
        <f t="shared" si="26"/>
        <v>9.052342964248461E-2</v>
      </c>
      <c r="AE160" s="21">
        <f t="shared" si="27"/>
        <v>0.76210813161351298</v>
      </c>
      <c r="AF160" s="21">
        <f>AB160*(14.068*'Sem TS MC2020'!$P152^-0.457)/$Q160</f>
        <v>1.1999162818107407</v>
      </c>
      <c r="AG160" s="21"/>
      <c r="AO160" s="5">
        <f>$AP$2*($AP$3+$AP$4*$F160/($N160*'Sem TS MC2020'!P152))*($AP$5*$G160+$AP$6*$B160/$N160)*('Sem TS MC2020'!P152^$AP$7/200000)*($J160-$M160)/($J160-$M160-$H160)+('Sem TS MC2020'!P152-$C160/$AP$8)*($AP$5*$G160+$AP$6*$B160/$N160)/200000</f>
        <v>0.38852670283858087</v>
      </c>
      <c r="AP160" s="5">
        <f t="shared" si="28"/>
        <v>1.3397472511675204</v>
      </c>
      <c r="AQ160" s="20">
        <f t="shared" si="29"/>
        <v>9.8526702838580893E-2</v>
      </c>
    </row>
    <row r="161" spans="1:43" x14ac:dyDescent="0.25">
      <c r="A161" s="1" t="s">
        <v>56</v>
      </c>
      <c r="B161" s="3">
        <v>20</v>
      </c>
      <c r="C161" s="4">
        <v>598</v>
      </c>
      <c r="D161" s="4">
        <v>1</v>
      </c>
      <c r="E161" s="3">
        <v>40</v>
      </c>
      <c r="F161" s="5">
        <v>2.8</v>
      </c>
      <c r="G161" s="3">
        <v>40</v>
      </c>
      <c r="H161" s="3">
        <v>50</v>
      </c>
      <c r="I161" s="1">
        <v>100</v>
      </c>
      <c r="J161" s="3">
        <v>250</v>
      </c>
      <c r="K161" s="4">
        <v>315</v>
      </c>
      <c r="L161" s="5">
        <v>15000</v>
      </c>
      <c r="M161" s="4">
        <v>75.400393066082202</v>
      </c>
      <c r="N161" s="10">
        <v>2.1000000000000001E-2</v>
      </c>
      <c r="O161" s="5">
        <v>11.09</v>
      </c>
      <c r="P161" s="4">
        <v>109.165243530495</v>
      </c>
      <c r="Q161" s="5">
        <v>0.17</v>
      </c>
      <c r="R161" s="11">
        <f t="shared" si="20"/>
        <v>5.4582621765247505E-4</v>
      </c>
      <c r="V161" s="5">
        <f t="shared" si="21"/>
        <v>0.18694451042711935</v>
      </c>
      <c r="W161" s="5">
        <f t="shared" si="22"/>
        <v>1.0996735907477608</v>
      </c>
      <c r="Y161" s="5">
        <f t="shared" si="23"/>
        <v>0.18431221703682651</v>
      </c>
      <c r="Z161" s="5">
        <f t="shared" si="24"/>
        <v>1.0841895119813323</v>
      </c>
      <c r="AB161" s="5">
        <f>$AC$2*($AC$3+$AC$4*$F161/($N161*'Sem TS MC2020'!P153))*($AC$5*$G161+$AC$6*$B161/$N161)*'Sem TS MC2020'!R153*($J161-$M161)/($J161-$M161-$H161)</f>
        <v>0.21016048809803275</v>
      </c>
      <c r="AC161" s="5">
        <f t="shared" si="25"/>
        <v>1.2362381652825456</v>
      </c>
      <c r="AD161" s="20">
        <f t="shared" si="26"/>
        <v>4.0160488098032743E-2</v>
      </c>
      <c r="AE161" s="21">
        <f t="shared" si="27"/>
        <v>0.80890562035952618</v>
      </c>
      <c r="AF161" s="21">
        <f>AB161*(14.068*'Sem TS MC2020'!$P153^-0.457)/$Q161</f>
        <v>1.5397339221202431</v>
      </c>
      <c r="AG161" s="21"/>
      <c r="AO161" s="5">
        <f>$AP$2*($AP$3+$AP$4*$F161/($N161*'Sem TS MC2020'!P153))*($AP$5*$G161+$AP$6*$B161/$N161)*('Sem TS MC2020'!P153^$AP$7/200000)*($J161-$M161)/($J161-$M161-$H161)+('Sem TS MC2020'!P153-$C161/$AP$8)*($AP$5*$G161+$AP$6*$B161/$N161)/200000</f>
        <v>0.22309114806131422</v>
      </c>
      <c r="AP161" s="5">
        <f t="shared" si="28"/>
        <v>1.312300870948907</v>
      </c>
      <c r="AQ161" s="20">
        <f t="shared" si="29"/>
        <v>5.3091148061314208E-2</v>
      </c>
    </row>
    <row r="162" spans="1:43" x14ac:dyDescent="0.25">
      <c r="B162" s="3">
        <v>20</v>
      </c>
      <c r="C162" s="4">
        <v>598</v>
      </c>
      <c r="D162" s="4">
        <v>1</v>
      </c>
      <c r="E162" s="3">
        <v>40</v>
      </c>
      <c r="F162" s="5">
        <v>2.8</v>
      </c>
      <c r="G162" s="3">
        <v>40</v>
      </c>
      <c r="H162" s="3">
        <v>50</v>
      </c>
      <c r="I162" s="1">
        <v>100</v>
      </c>
      <c r="J162" s="3">
        <v>250</v>
      </c>
      <c r="K162" s="4">
        <v>315</v>
      </c>
      <c r="L162" s="5">
        <v>15000</v>
      </c>
      <c r="M162" s="4">
        <v>75.400393066082202</v>
      </c>
      <c r="N162" s="10">
        <v>2.1000000000000001E-2</v>
      </c>
      <c r="O162" s="5">
        <v>12.96</v>
      </c>
      <c r="P162" s="4">
        <v>151.46653733588099</v>
      </c>
      <c r="Q162" s="5">
        <v>0.2</v>
      </c>
      <c r="R162" s="11">
        <f t="shared" si="20"/>
        <v>7.5733268667940495E-4</v>
      </c>
      <c r="V162" s="5">
        <f t="shared" si="21"/>
        <v>0.22880739230353853</v>
      </c>
      <c r="W162" s="5">
        <f t="shared" si="22"/>
        <v>1.1440369615176926</v>
      </c>
      <c r="Y162" s="5">
        <f t="shared" si="23"/>
        <v>0.22639978669058974</v>
      </c>
      <c r="Z162" s="5">
        <f t="shared" si="24"/>
        <v>1.1319989334529486</v>
      </c>
      <c r="AB162" s="5">
        <f>$AC$2*($AC$3+$AC$4*$F162/($N162*'Sem TS MC2020'!P154))*($AC$5*$G162+$AC$6*$B162/$N162)*'Sem TS MC2020'!R154*($J162-$M162)/($J162-$M162-$H162)</f>
        <v>0.26555673888762166</v>
      </c>
      <c r="AC162" s="5">
        <f t="shared" si="25"/>
        <v>1.3277836944381083</v>
      </c>
      <c r="AD162" s="20">
        <f t="shared" si="26"/>
        <v>6.5556738887621646E-2</v>
      </c>
      <c r="AE162" s="21">
        <f t="shared" si="27"/>
        <v>0.75313471929867326</v>
      </c>
      <c r="AF162" s="21">
        <f>AB162*(14.068*'Sem TS MC2020'!$P154^-0.457)/$Q162</f>
        <v>1.5400828788097549</v>
      </c>
      <c r="AG162" s="21"/>
      <c r="AO162" s="5">
        <f>$AP$2*($AP$3+$AP$4*$F162/($N162*'Sem TS MC2020'!P154))*($AP$5*$G162+$AP$6*$B162/$N162)*('Sem TS MC2020'!P154^$AP$7/200000)*($J162-$M162)/($J162-$M162-$H162)+('Sem TS MC2020'!P154-$C162/$AP$8)*($AP$5*$G162+$AP$6*$B162/$N162)/200000</f>
        <v>0.28004624468214628</v>
      </c>
      <c r="AP162" s="5">
        <f t="shared" si="28"/>
        <v>1.4002312234107313</v>
      </c>
      <c r="AQ162" s="20">
        <f t="shared" si="29"/>
        <v>8.0046244682146273E-2</v>
      </c>
    </row>
    <row r="163" spans="1:43" x14ac:dyDescent="0.25">
      <c r="B163" s="3">
        <v>20</v>
      </c>
      <c r="C163" s="4">
        <v>598</v>
      </c>
      <c r="D163" s="4">
        <v>1</v>
      </c>
      <c r="E163" s="3">
        <v>40</v>
      </c>
      <c r="F163" s="5">
        <v>2.8</v>
      </c>
      <c r="G163" s="3">
        <v>40</v>
      </c>
      <c r="H163" s="3">
        <v>50</v>
      </c>
      <c r="I163" s="1">
        <v>100</v>
      </c>
      <c r="J163" s="3">
        <v>250</v>
      </c>
      <c r="K163" s="4">
        <v>315</v>
      </c>
      <c r="L163" s="5">
        <v>15000</v>
      </c>
      <c r="M163" s="4">
        <v>75.400393066082202</v>
      </c>
      <c r="N163" s="10">
        <v>2.1000000000000001E-2</v>
      </c>
      <c r="O163" s="5">
        <v>14.77</v>
      </c>
      <c r="P163" s="4">
        <v>194.07401281353199</v>
      </c>
      <c r="Q163" s="5">
        <v>0.24</v>
      </c>
      <c r="R163" s="11">
        <f t="shared" si="20"/>
        <v>9.7037006406765994E-4</v>
      </c>
      <c r="V163" s="5">
        <f t="shared" si="21"/>
        <v>0.26661865079535602</v>
      </c>
      <c r="W163" s="5">
        <f t="shared" si="22"/>
        <v>1.1109110449806501</v>
      </c>
      <c r="Y163" s="5">
        <f t="shared" si="23"/>
        <v>0.26453348033249041</v>
      </c>
      <c r="Z163" s="5">
        <f t="shared" si="24"/>
        <v>1.1022228347187102</v>
      </c>
      <c r="AB163" s="5">
        <f>$AC$2*($AC$3+$AC$4*$F163/($N163*'Sem TS MC2020'!P155))*($AC$5*$G163+$AC$6*$B163/$N163)*'Sem TS MC2020'!R155*($J163-$M163)/($J163-$M163-$H163)</f>
        <v>0.31917556986577977</v>
      </c>
      <c r="AC163" s="5">
        <f t="shared" si="25"/>
        <v>1.3298982077740824</v>
      </c>
      <c r="AD163" s="20">
        <f t="shared" si="26"/>
        <v>7.9175569865779782E-2</v>
      </c>
      <c r="AE163" s="21">
        <f t="shared" si="27"/>
        <v>0.75193724914762483</v>
      </c>
      <c r="AF163" s="21">
        <f>AB163*(14.068*'Sem TS MC2020'!$P155^-0.457)/$Q163</f>
        <v>1.4530774457043858</v>
      </c>
      <c r="AG163" s="21"/>
      <c r="AO163" s="5">
        <f>$AP$2*($AP$3+$AP$4*$F163/($N163*'Sem TS MC2020'!P155))*($AP$5*$G163+$AP$6*$B163/$N163)*('Sem TS MC2020'!P155^$AP$7/200000)*($J163-$M163)/($J163-$M163-$H163)+('Sem TS MC2020'!P155-$C163/$AP$8)*($AP$5*$G163+$AP$6*$B163/$N163)/200000</f>
        <v>0.33338530336697769</v>
      </c>
      <c r="AP163" s="5">
        <f t="shared" si="28"/>
        <v>1.3891054306957404</v>
      </c>
      <c r="AQ163" s="20">
        <f t="shared" si="29"/>
        <v>9.3385303366977701E-2</v>
      </c>
    </row>
    <row r="164" spans="1:43" x14ac:dyDescent="0.25">
      <c r="B164" s="3">
        <v>20</v>
      </c>
      <c r="C164" s="4">
        <v>598</v>
      </c>
      <c r="D164" s="4">
        <v>1</v>
      </c>
      <c r="E164" s="3">
        <v>40</v>
      </c>
      <c r="F164" s="5">
        <v>2.8</v>
      </c>
      <c r="G164" s="3">
        <v>40</v>
      </c>
      <c r="H164" s="3">
        <v>50</v>
      </c>
      <c r="I164" s="1">
        <v>100</v>
      </c>
      <c r="J164" s="3">
        <v>250</v>
      </c>
      <c r="K164" s="4">
        <v>315</v>
      </c>
      <c r="L164" s="5">
        <v>15000</v>
      </c>
      <c r="M164" s="4">
        <v>75.400393066082202</v>
      </c>
      <c r="N164" s="10">
        <v>2.1000000000000001E-2</v>
      </c>
      <c r="O164" s="5">
        <v>16.57</v>
      </c>
      <c r="P164" s="4">
        <v>236.446087874179</v>
      </c>
      <c r="Q164" s="5">
        <v>0.27</v>
      </c>
      <c r="R164" s="11">
        <f t="shared" si="20"/>
        <v>1.182230439370895E-3</v>
      </c>
      <c r="V164" s="5">
        <f t="shared" si="21"/>
        <v>0.30116699475999059</v>
      </c>
      <c r="W164" s="5">
        <f t="shared" si="22"/>
        <v>1.115433313925891</v>
      </c>
      <c r="Y164" s="5">
        <f t="shared" si="23"/>
        <v>0.29946143881751941</v>
      </c>
      <c r="Z164" s="5">
        <f t="shared" si="24"/>
        <v>1.1091164400648865</v>
      </c>
      <c r="AB164" s="5">
        <f>$AC$2*($AC$3+$AC$4*$F164/($N164*'Sem TS MC2020'!P156))*($AC$5*$G164+$AC$6*$B164/$N164)*'Sem TS MC2020'!R156*($J164-$M164)/($J164-$M164-$H164)</f>
        <v>0.3724981642086993</v>
      </c>
      <c r="AC164" s="5">
        <f t="shared" si="25"/>
        <v>1.3796228304025899</v>
      </c>
      <c r="AD164" s="20">
        <f t="shared" si="26"/>
        <v>0.10249816420869928</v>
      </c>
      <c r="AE164" s="21">
        <f t="shared" si="27"/>
        <v>0.72483578697243534</v>
      </c>
      <c r="AF164" s="21">
        <f>AB164*(14.068*'Sem TS MC2020'!$P156^-0.457)/$Q164</f>
        <v>1.4302344467187618</v>
      </c>
      <c r="AG164" s="21"/>
      <c r="AO164" s="5">
        <f>$AP$2*($AP$3+$AP$4*$F164/($N164*'Sem TS MC2020'!P156))*($AP$5*$G164+$AP$6*$B164/$N164)*('Sem TS MC2020'!P156^$AP$7/200000)*($J164-$M164)/($J164-$M164-$H164)+('Sem TS MC2020'!P156-$C164/$AP$8)*($AP$5*$G164+$AP$6*$B164/$N164)/200000</f>
        <v>0.3849968609198145</v>
      </c>
      <c r="AP164" s="5">
        <f t="shared" si="28"/>
        <v>1.4259142997030165</v>
      </c>
      <c r="AQ164" s="20">
        <f t="shared" si="29"/>
        <v>0.11499686091981448</v>
      </c>
    </row>
    <row r="165" spans="1:43" x14ac:dyDescent="0.25">
      <c r="B165" s="3">
        <v>20</v>
      </c>
      <c r="C165" s="4">
        <v>598</v>
      </c>
      <c r="D165" s="4">
        <v>1</v>
      </c>
      <c r="E165" s="3">
        <v>40</v>
      </c>
      <c r="F165" s="5">
        <v>2.8</v>
      </c>
      <c r="G165" s="3">
        <v>40</v>
      </c>
      <c r="H165" s="3">
        <v>50</v>
      </c>
      <c r="I165" s="1">
        <v>100</v>
      </c>
      <c r="J165" s="3">
        <v>250</v>
      </c>
      <c r="K165" s="4">
        <v>315</v>
      </c>
      <c r="L165" s="5">
        <v>15000</v>
      </c>
      <c r="M165" s="4">
        <v>75.400393066082202</v>
      </c>
      <c r="N165" s="10">
        <v>2.1000000000000001E-2</v>
      </c>
      <c r="O165" s="5">
        <v>18.350000000000001</v>
      </c>
      <c r="P165" s="4">
        <v>278.34736210081797</v>
      </c>
      <c r="Q165" s="5">
        <v>0.32</v>
      </c>
      <c r="R165" s="11">
        <f t="shared" si="20"/>
        <v>1.3917368105040898E-3</v>
      </c>
      <c r="V165" s="5">
        <f t="shared" si="21"/>
        <v>0.33306185470396971</v>
      </c>
      <c r="W165" s="5">
        <f t="shared" si="22"/>
        <v>1.0408182959499053</v>
      </c>
      <c r="Y165" s="5">
        <f t="shared" si="23"/>
        <v>0.33177054981788284</v>
      </c>
      <c r="Z165" s="5">
        <f t="shared" si="24"/>
        <v>1.0367829681808838</v>
      </c>
      <c r="AB165" s="5">
        <f>$AC$2*($AC$3+$AC$4*$F165/($N165*'Sem TS MC2020'!P157))*($AC$5*$G165+$AC$6*$B165/$N165)*'Sem TS MC2020'!R157*($J165-$M165)/($J165-$M165-$H165)</f>
        <v>0.42522828528114209</v>
      </c>
      <c r="AC165" s="5">
        <f t="shared" si="25"/>
        <v>1.3288383915035691</v>
      </c>
      <c r="AD165" s="20">
        <f t="shared" si="26"/>
        <v>0.10522828528114209</v>
      </c>
      <c r="AE165" s="21">
        <f t="shared" si="27"/>
        <v>0.7525369573861489</v>
      </c>
      <c r="AF165" s="21">
        <f>AB165*(14.068*'Sem TS MC2020'!$P157^-0.457)/$Q165</f>
        <v>1.3148243272463709</v>
      </c>
      <c r="AG165" s="21"/>
      <c r="AO165" s="5">
        <f>$AP$2*($AP$3+$AP$4*$F165/($N165*'Sem TS MC2020'!P157))*($AP$5*$G165+$AP$6*$B165/$N165)*('Sem TS MC2020'!P157^$AP$7/200000)*($J165-$M165)/($J165-$M165-$H165)+('Sem TS MC2020'!P157-$C165/$AP$8)*($AP$5*$G165+$AP$6*$B165/$N165)/200000</f>
        <v>0.43484705512344152</v>
      </c>
      <c r="AP165" s="5">
        <f t="shared" si="28"/>
        <v>1.3588970472607547</v>
      </c>
      <c r="AQ165" s="20">
        <f t="shared" si="29"/>
        <v>0.11484705512344151</v>
      </c>
    </row>
    <row r="166" spans="1:43" x14ac:dyDescent="0.25">
      <c r="B166" s="3">
        <v>20</v>
      </c>
      <c r="C166" s="4">
        <v>598</v>
      </c>
      <c r="D166" s="4">
        <v>1</v>
      </c>
      <c r="E166" s="3">
        <v>40</v>
      </c>
      <c r="F166" s="5">
        <v>2.8</v>
      </c>
      <c r="G166" s="3">
        <v>40</v>
      </c>
      <c r="H166" s="3">
        <v>50</v>
      </c>
      <c r="I166" s="1">
        <v>100</v>
      </c>
      <c r="J166" s="3">
        <v>250</v>
      </c>
      <c r="K166" s="4">
        <v>315</v>
      </c>
      <c r="L166" s="5">
        <v>15000</v>
      </c>
      <c r="M166" s="4">
        <v>75.400393066082202</v>
      </c>
      <c r="N166" s="10">
        <v>2.1000000000000001E-2</v>
      </c>
      <c r="O166" s="5">
        <v>20.18</v>
      </c>
      <c r="P166" s="4">
        <v>321.42563841247602</v>
      </c>
      <c r="Q166" s="5">
        <v>0.34</v>
      </c>
      <c r="R166" s="11">
        <f t="shared" si="20"/>
        <v>1.6071281920623801E-3</v>
      </c>
      <c r="V166" s="5">
        <f t="shared" si="21"/>
        <v>0.36398486649444911</v>
      </c>
      <c r="W166" s="5">
        <f t="shared" si="22"/>
        <v>1.0705437249836738</v>
      </c>
      <c r="Y166" s="5">
        <f t="shared" si="23"/>
        <v>0.36314802874042706</v>
      </c>
      <c r="Z166" s="5">
        <f t="shared" si="24"/>
        <v>1.0680824374718443</v>
      </c>
      <c r="AB166" s="5">
        <f>$AC$2*($AC$3+$AC$4*$F166/($N166*'Sem TS MC2020'!P158))*($AC$5*$G166+$AC$6*$B166/$N166)*'Sem TS MC2020'!R158*($J166-$M166)/($J166-$M166-$H166)</f>
        <v>0.479439589529777</v>
      </c>
      <c r="AC166" s="5">
        <f t="shared" si="25"/>
        <v>1.4101164397934616</v>
      </c>
      <c r="AD166" s="20">
        <f t="shared" si="26"/>
        <v>0.13943958952977697</v>
      </c>
      <c r="AE166" s="21">
        <f t="shared" si="27"/>
        <v>0.70916129461370514</v>
      </c>
      <c r="AF166" s="21">
        <f>AB166*(14.068*'Sem TS MC2020'!$P158^-0.457)/$Q166</f>
        <v>1.3359286147565137</v>
      </c>
      <c r="AG166" s="21"/>
      <c r="AO166" s="5">
        <f>$AP$2*($AP$3+$AP$4*$F166/($N166*'Sem TS MC2020'!P158))*($AP$5*$G166+$AP$6*$B166/$N166)*('Sem TS MC2020'!P158^$AP$7/200000)*($J166-$M166)/($J166-$M166-$H166)+('Sem TS MC2020'!P158-$C166/$AP$8)*($AP$5*$G166+$AP$6*$B166/$N166)/200000</f>
        <v>0.48503613131199513</v>
      </c>
      <c r="AP166" s="5">
        <f t="shared" si="28"/>
        <v>1.4265768567999857</v>
      </c>
      <c r="AQ166" s="20">
        <f t="shared" si="29"/>
        <v>0.14503613131199511</v>
      </c>
    </row>
    <row r="167" spans="1:43" x14ac:dyDescent="0.25">
      <c r="A167" s="1" t="s">
        <v>57</v>
      </c>
      <c r="B167" s="3">
        <v>20</v>
      </c>
      <c r="C167" s="4">
        <v>598</v>
      </c>
      <c r="D167" s="4">
        <v>1</v>
      </c>
      <c r="E167" s="3">
        <v>40</v>
      </c>
      <c r="F167" s="5">
        <v>2.8</v>
      </c>
      <c r="G167" s="3">
        <v>40</v>
      </c>
      <c r="H167" s="3">
        <v>50</v>
      </c>
      <c r="I167" s="1">
        <v>100</v>
      </c>
      <c r="J167" s="3">
        <v>250</v>
      </c>
      <c r="K167" s="4">
        <v>315</v>
      </c>
      <c r="L167" s="5">
        <v>15000</v>
      </c>
      <c r="M167" s="4">
        <v>75.400393066082202</v>
      </c>
      <c r="N167" s="10">
        <v>2.1000000000000001E-2</v>
      </c>
      <c r="O167" s="5">
        <v>9.35</v>
      </c>
      <c r="P167" s="4">
        <v>77.576526435790299</v>
      </c>
      <c r="Q167" s="5">
        <v>0.16</v>
      </c>
      <c r="R167" s="11">
        <f t="shared" si="20"/>
        <v>3.8788263217895148E-4</v>
      </c>
      <c r="V167" s="5">
        <f t="shared" si="21"/>
        <v>0.15141826403744404</v>
      </c>
      <c r="W167" s="5">
        <f t="shared" si="22"/>
        <v>0.94636415023402531</v>
      </c>
      <c r="Y167" s="5">
        <f t="shared" si="23"/>
        <v>0.14872630029544698</v>
      </c>
      <c r="Z167" s="5">
        <f t="shared" si="24"/>
        <v>0.92953937684654364</v>
      </c>
      <c r="AB167" s="5">
        <f>$AC$2*($AC$3+$AC$4*$F167/($N167*'Sem TS MC2020'!P159))*($AC$5*$G167+$AC$6*$B167/$N167)*'Sem TS MC2020'!R159*($J167-$M167)/($J167-$M167-$H167)</f>
        <v>0.15861531356654229</v>
      </c>
      <c r="AC167" s="5">
        <f t="shared" si="25"/>
        <v>0.99134570979088932</v>
      </c>
      <c r="AD167" s="20">
        <f t="shared" si="26"/>
        <v>-1.3846864334577103E-3</v>
      </c>
      <c r="AE167" s="21">
        <f t="shared" si="27"/>
        <v>1.0087298407847411</v>
      </c>
      <c r="AF167" s="21">
        <f>AB167*(14.068*'Sem TS MC2020'!$P159^-0.457)/$Q167</f>
        <v>1.3348776838984329</v>
      </c>
      <c r="AG167" s="21"/>
      <c r="AO167" s="5">
        <f>$AP$2*($AP$3+$AP$4*$F167/($N167*'Sem TS MC2020'!P159))*($AP$5*$G167+$AP$6*$B167/$N167)*('Sem TS MC2020'!P159^$AP$7/200000)*($J167-$M167)/($J167-$M167-$H167)+('Sem TS MC2020'!P159-$C167/$AP$8)*($AP$5*$G167+$AP$6*$B167/$N167)/200000</f>
        <v>0.16797448286405187</v>
      </c>
      <c r="AP167" s="5">
        <f t="shared" si="28"/>
        <v>1.0498405179003241</v>
      </c>
      <c r="AQ167" s="20">
        <f t="shared" si="29"/>
        <v>7.9744828640518628E-3</v>
      </c>
    </row>
    <row r="168" spans="1:43" x14ac:dyDescent="0.25">
      <c r="B168" s="3">
        <v>20</v>
      </c>
      <c r="C168" s="4">
        <v>598</v>
      </c>
      <c r="D168" s="4">
        <v>1</v>
      </c>
      <c r="E168" s="3">
        <v>40</v>
      </c>
      <c r="F168" s="5">
        <v>2.8</v>
      </c>
      <c r="G168" s="3">
        <v>40</v>
      </c>
      <c r="H168" s="3">
        <v>50</v>
      </c>
      <c r="I168" s="1">
        <v>100</v>
      </c>
      <c r="J168" s="3">
        <v>250</v>
      </c>
      <c r="K168" s="4">
        <v>315</v>
      </c>
      <c r="L168" s="5">
        <v>15000</v>
      </c>
      <c r="M168" s="4">
        <v>75.400393066082202</v>
      </c>
      <c r="N168" s="10">
        <v>2.1000000000000001E-2</v>
      </c>
      <c r="O168" s="5">
        <v>11.12</v>
      </c>
      <c r="P168" s="4">
        <v>109.70987658385199</v>
      </c>
      <c r="Q168" s="5">
        <v>0.2</v>
      </c>
      <c r="R168" s="11">
        <f t="shared" si="20"/>
        <v>5.4854938291925995E-4</v>
      </c>
      <c r="V168" s="5">
        <f t="shared" si="21"/>
        <v>0.18751942499534976</v>
      </c>
      <c r="W168" s="5">
        <f t="shared" si="22"/>
        <v>0.93759712497674874</v>
      </c>
      <c r="Y168" s="5">
        <f t="shared" si="23"/>
        <v>0.18488915762551505</v>
      </c>
      <c r="Z168" s="5">
        <f t="shared" si="24"/>
        <v>0.92444578812757527</v>
      </c>
      <c r="AB168" s="5">
        <f>$AC$2*($AC$3+$AC$4*$F168/($N168*'Sem TS MC2020'!P160))*($AC$5*$G168+$AC$6*$B168/$N168)*'Sem TS MC2020'!R160*($J168-$M168)/($J168-$M168-$H168)</f>
        <v>0.21104919800374816</v>
      </c>
      <c r="AC168" s="5">
        <f t="shared" si="25"/>
        <v>1.0552459900187408</v>
      </c>
      <c r="AD168" s="20">
        <f t="shared" si="26"/>
        <v>1.1049198003748151E-2</v>
      </c>
      <c r="AE168" s="21">
        <f t="shared" si="27"/>
        <v>0.94764633977167767</v>
      </c>
      <c r="AF168" s="21">
        <f>AB168*(14.068*'Sem TS MC2020'!$P160^-0.457)/$Q168</f>
        <v>1.3126866549885832</v>
      </c>
      <c r="AG168" s="21"/>
      <c r="AO168" s="5">
        <f>$AP$2*($AP$3+$AP$4*$F168/($N168*'Sem TS MC2020'!P160))*($AP$5*$G168+$AP$6*$B168/$N168)*('Sem TS MC2020'!P160^$AP$7/200000)*($J168-$M168)/($J168-$M168-$H168)+('Sem TS MC2020'!P160-$C168/$AP$8)*($AP$5*$G168+$AP$6*$B168/$N168)/200000</f>
        <v>0.22402199141759616</v>
      </c>
      <c r="AP168" s="5">
        <f t="shared" si="28"/>
        <v>1.1201099570879807</v>
      </c>
      <c r="AQ168" s="20">
        <f t="shared" si="29"/>
        <v>2.4021991417596145E-2</v>
      </c>
    </row>
    <row r="169" spans="1:43" x14ac:dyDescent="0.25">
      <c r="B169" s="3">
        <v>20</v>
      </c>
      <c r="C169" s="4">
        <v>598</v>
      </c>
      <c r="D169" s="4">
        <v>1</v>
      </c>
      <c r="E169" s="3">
        <v>40</v>
      </c>
      <c r="F169" s="5">
        <v>2.8</v>
      </c>
      <c r="G169" s="3">
        <v>40</v>
      </c>
      <c r="H169" s="3">
        <v>50</v>
      </c>
      <c r="I169" s="1">
        <v>100</v>
      </c>
      <c r="J169" s="3">
        <v>250</v>
      </c>
      <c r="K169" s="4">
        <v>315</v>
      </c>
      <c r="L169" s="5">
        <v>15000</v>
      </c>
      <c r="M169" s="4">
        <v>75.400393066082202</v>
      </c>
      <c r="N169" s="10">
        <v>2.1000000000000001E-2</v>
      </c>
      <c r="O169" s="5">
        <v>12.93</v>
      </c>
      <c r="P169" s="4">
        <v>150.760336084871</v>
      </c>
      <c r="Q169" s="5">
        <v>0.24</v>
      </c>
      <c r="R169" s="11">
        <f t="shared" si="20"/>
        <v>7.53801680424355E-4</v>
      </c>
      <c r="V169" s="5">
        <f t="shared" si="21"/>
        <v>0.22814858952122954</v>
      </c>
      <c r="W169" s="5">
        <f t="shared" si="22"/>
        <v>0.95061912300512319</v>
      </c>
      <c r="Y169" s="5">
        <f t="shared" si="23"/>
        <v>0.22573631146807496</v>
      </c>
      <c r="Z169" s="5">
        <f t="shared" si="24"/>
        <v>0.94056796445031243</v>
      </c>
      <c r="AB169" s="5">
        <f>$AC$2*($AC$3+$AC$4*$F169/($N169*'Sem TS MC2020'!P161))*($AC$5*$G169+$AC$6*$B169/$N169)*'Sem TS MC2020'!R161*($J169-$M169)/($J169-$M169-$H169)</f>
        <v>0.26466802898190622</v>
      </c>
      <c r="AC169" s="5">
        <f t="shared" si="25"/>
        <v>1.102783454091276</v>
      </c>
      <c r="AD169" s="20">
        <f t="shared" si="26"/>
        <v>2.4668028981906232E-2</v>
      </c>
      <c r="AE169" s="21">
        <f t="shared" si="27"/>
        <v>0.90679634001584442</v>
      </c>
      <c r="AF169" s="21">
        <f>AB169*(14.068*'Sem TS MC2020'!$P161^-0.457)/$Q169</f>
        <v>1.280462791510526</v>
      </c>
      <c r="AG169" s="21"/>
      <c r="AO169" s="5">
        <f>$AP$2*($AP$3+$AP$4*$F169/($N169*'Sem TS MC2020'!P161))*($AP$5*$G169+$AP$6*$B169/$N169)*('Sem TS MC2020'!P161^$AP$7/200000)*($J169-$M169)/($J169-$M169-$H169)+('Sem TS MC2020'!P161-$C169/$AP$8)*($AP$5*$G169+$AP$6*$B169/$N169)/200000</f>
        <v>0.27914840127838547</v>
      </c>
      <c r="AP169" s="5">
        <f t="shared" si="28"/>
        <v>1.1631183386599395</v>
      </c>
      <c r="AQ169" s="20">
        <f t="shared" si="29"/>
        <v>3.9148401278385481E-2</v>
      </c>
    </row>
    <row r="170" spans="1:43" x14ac:dyDescent="0.25">
      <c r="B170" s="3">
        <v>20</v>
      </c>
      <c r="C170" s="4">
        <v>598</v>
      </c>
      <c r="D170" s="4">
        <v>1</v>
      </c>
      <c r="E170" s="3">
        <v>40</v>
      </c>
      <c r="F170" s="5">
        <v>2.8</v>
      </c>
      <c r="G170" s="3">
        <v>40</v>
      </c>
      <c r="H170" s="3">
        <v>50</v>
      </c>
      <c r="I170" s="1">
        <v>100</v>
      </c>
      <c r="J170" s="3">
        <v>250</v>
      </c>
      <c r="K170" s="4">
        <v>315</v>
      </c>
      <c r="L170" s="5">
        <v>15000</v>
      </c>
      <c r="M170" s="4">
        <v>75.400393066082202</v>
      </c>
      <c r="N170" s="10">
        <v>2.1000000000000001E-2</v>
      </c>
      <c r="O170" s="5">
        <v>14.72</v>
      </c>
      <c r="P170" s="4">
        <v>192.897010728514</v>
      </c>
      <c r="Q170" s="5">
        <v>0.27</v>
      </c>
      <c r="R170" s="11">
        <f t="shared" si="20"/>
        <v>9.6448505364257005E-4</v>
      </c>
      <c r="V170" s="5">
        <f t="shared" si="21"/>
        <v>0.26561982202404427</v>
      </c>
      <c r="W170" s="5">
        <f t="shared" si="22"/>
        <v>0.98377711860757133</v>
      </c>
      <c r="Y170" s="5">
        <f t="shared" si="23"/>
        <v>0.26352482887222128</v>
      </c>
      <c r="Z170" s="5">
        <f t="shared" si="24"/>
        <v>0.97601788471193063</v>
      </c>
      <c r="AB170" s="5">
        <f>$AC$2*($AC$3+$AC$4*$F170/($N170*'Sem TS MC2020'!P162))*($AC$5*$G170+$AC$6*$B170/$N170)*'Sem TS MC2020'!R162*($J170-$M170)/($J170-$M170-$H170)</f>
        <v>0.31769438668958749</v>
      </c>
      <c r="AC170" s="5">
        <f t="shared" si="25"/>
        <v>1.1766458766281018</v>
      </c>
      <c r="AD170" s="20">
        <f t="shared" si="26"/>
        <v>4.7694386689587476E-2</v>
      </c>
      <c r="AE170" s="21">
        <f t="shared" si="27"/>
        <v>0.84987337300300281</v>
      </c>
      <c r="AF170" s="21">
        <f>AB170*(14.068*'Sem TS MC2020'!$P162^-0.457)/$Q170</f>
        <v>1.287624274523927</v>
      </c>
      <c r="AG170" s="21"/>
      <c r="AO170" s="5">
        <f>$AP$2*($AP$3+$AP$4*$F170/($N170*'Sem TS MC2020'!P162))*($AP$5*$G170+$AP$6*$B170/$N170)*('Sem TS MC2020'!P162^$AP$7/200000)*($J170-$M170)/($J170-$M170-$H170)+('Sem TS MC2020'!P162-$C170/$AP$8)*($AP$5*$G170+$AP$6*$B170/$N170)/200000</f>
        <v>0.33193244448156545</v>
      </c>
      <c r="AP170" s="5">
        <f t="shared" si="28"/>
        <v>1.2293794240057978</v>
      </c>
      <c r="AQ170" s="20">
        <f t="shared" si="29"/>
        <v>6.193244448156543E-2</v>
      </c>
    </row>
    <row r="171" spans="1:43" x14ac:dyDescent="0.25">
      <c r="B171" s="3">
        <v>20</v>
      </c>
      <c r="C171" s="4">
        <v>598</v>
      </c>
      <c r="D171" s="4">
        <v>1</v>
      </c>
      <c r="E171" s="3">
        <v>40</v>
      </c>
      <c r="F171" s="5">
        <v>2.8</v>
      </c>
      <c r="G171" s="3">
        <v>40</v>
      </c>
      <c r="H171" s="3">
        <v>50</v>
      </c>
      <c r="I171" s="1">
        <v>100</v>
      </c>
      <c r="J171" s="3">
        <v>250</v>
      </c>
      <c r="K171" s="4">
        <v>315</v>
      </c>
      <c r="L171" s="5">
        <v>15000</v>
      </c>
      <c r="M171" s="4">
        <v>75.400393066082202</v>
      </c>
      <c r="N171" s="10">
        <v>2.1000000000000001E-2</v>
      </c>
      <c r="O171" s="5">
        <v>16.579999999999998</v>
      </c>
      <c r="P171" s="4">
        <v>236.68148829118201</v>
      </c>
      <c r="Q171" s="5">
        <v>0.28999999999999998</v>
      </c>
      <c r="R171" s="11">
        <f t="shared" si="20"/>
        <v>1.1834074414559101E-3</v>
      </c>
      <c r="V171" s="5">
        <f t="shared" si="21"/>
        <v>0.30135195776172979</v>
      </c>
      <c r="W171" s="5">
        <f t="shared" si="22"/>
        <v>1.0391446819369994</v>
      </c>
      <c r="Y171" s="5">
        <f t="shared" si="23"/>
        <v>0.29964863425235644</v>
      </c>
      <c r="Z171" s="5">
        <f t="shared" si="24"/>
        <v>1.0332711525943326</v>
      </c>
      <c r="AB171" s="5">
        <f>$AC$2*($AC$3+$AC$4*$F171/($N171*'Sem TS MC2020'!P163))*($AC$5*$G171+$AC$6*$B171/$N171)*'Sem TS MC2020'!R163*($J171-$M171)/($J171-$M171-$H171)</f>
        <v>0.37279440084393772</v>
      </c>
      <c r="AC171" s="5">
        <f t="shared" si="25"/>
        <v>1.2854979339446129</v>
      </c>
      <c r="AD171" s="20">
        <f t="shared" si="26"/>
        <v>8.2794400843937743E-2</v>
      </c>
      <c r="AE171" s="21">
        <f t="shared" si="27"/>
        <v>0.77790867927064766</v>
      </c>
      <c r="AF171" s="21">
        <f>AB171*(14.068*'Sem TS MC2020'!$P163^-0.457)/$Q171</f>
        <v>1.3322891833235451</v>
      </c>
      <c r="AG171" s="21"/>
      <c r="AO171" s="5">
        <f>$AP$2*($AP$3+$AP$4*$F171/($N171*'Sem TS MC2020'!P163))*($AP$5*$G171+$AP$6*$B171/$N171)*('Sem TS MC2020'!P163^$AP$7/200000)*($J171-$M171)/($J171-$M171-$H171)+('Sem TS MC2020'!P163-$C171/$AP$8)*($AP$5*$G171+$AP$6*$B171/$N171)/200000</f>
        <v>0.38528004426212198</v>
      </c>
      <c r="AP171" s="5">
        <f t="shared" si="28"/>
        <v>1.3285518767659379</v>
      </c>
      <c r="AQ171" s="20">
        <f t="shared" si="29"/>
        <v>9.5280044262121999E-2</v>
      </c>
    </row>
    <row r="172" spans="1:43" x14ac:dyDescent="0.25">
      <c r="B172" s="3">
        <v>20</v>
      </c>
      <c r="C172" s="4">
        <v>598</v>
      </c>
      <c r="D172" s="4">
        <v>1</v>
      </c>
      <c r="E172" s="3">
        <v>40</v>
      </c>
      <c r="F172" s="5">
        <v>2.8</v>
      </c>
      <c r="G172" s="3">
        <v>40</v>
      </c>
      <c r="H172" s="3">
        <v>50</v>
      </c>
      <c r="I172" s="1">
        <v>100</v>
      </c>
      <c r="J172" s="3">
        <v>250</v>
      </c>
      <c r="K172" s="4">
        <v>315</v>
      </c>
      <c r="L172" s="5">
        <v>15000</v>
      </c>
      <c r="M172" s="4">
        <v>75.400393066082202</v>
      </c>
      <c r="N172" s="10">
        <v>2.1000000000000001E-2</v>
      </c>
      <c r="O172" s="5">
        <v>18.350000000000001</v>
      </c>
      <c r="P172" s="4">
        <v>278.34736210081797</v>
      </c>
      <c r="Q172" s="5">
        <v>0.32</v>
      </c>
      <c r="R172" s="11">
        <f t="shared" si="20"/>
        <v>1.3917368105040898E-3</v>
      </c>
      <c r="V172" s="5">
        <f t="shared" si="21"/>
        <v>0.33306185470396971</v>
      </c>
      <c r="W172" s="5">
        <f t="shared" si="22"/>
        <v>1.0408182959499053</v>
      </c>
      <c r="Y172" s="5">
        <f t="shared" si="23"/>
        <v>0.33177054981788284</v>
      </c>
      <c r="Z172" s="5">
        <f t="shared" si="24"/>
        <v>1.0367829681808838</v>
      </c>
      <c r="AB172" s="5">
        <f>$AC$2*($AC$3+$AC$4*$F172/($N172*'Sem TS MC2020'!P164))*($AC$5*$G172+$AC$6*$B172/$N172)*'Sem TS MC2020'!R164*($J172-$M172)/($J172-$M172-$H172)</f>
        <v>0.42522828528114209</v>
      </c>
      <c r="AC172" s="5">
        <f t="shared" si="25"/>
        <v>1.3288383915035691</v>
      </c>
      <c r="AD172" s="20">
        <f t="shared" si="26"/>
        <v>0.10522828528114209</v>
      </c>
      <c r="AE172" s="21">
        <f t="shared" si="27"/>
        <v>0.7525369573861489</v>
      </c>
      <c r="AF172" s="21">
        <f>AB172*(14.068*'Sem TS MC2020'!$P164^-0.457)/$Q172</f>
        <v>1.3148243272463709</v>
      </c>
      <c r="AG172" s="21"/>
      <c r="AO172" s="5">
        <f>$AP$2*($AP$3+$AP$4*$F172/($N172*'Sem TS MC2020'!P164))*($AP$5*$G172+$AP$6*$B172/$N172)*('Sem TS MC2020'!P164^$AP$7/200000)*($J172-$M172)/($J172-$M172-$H172)+('Sem TS MC2020'!P164-$C172/$AP$8)*($AP$5*$G172+$AP$6*$B172/$N172)/200000</f>
        <v>0.43484705512344152</v>
      </c>
      <c r="AP172" s="5">
        <f t="shared" si="28"/>
        <v>1.3588970472607547</v>
      </c>
      <c r="AQ172" s="20">
        <f t="shared" si="29"/>
        <v>0.11484705512344151</v>
      </c>
    </row>
    <row r="173" spans="1:43" x14ac:dyDescent="0.25">
      <c r="B173" s="3">
        <v>20</v>
      </c>
      <c r="C173" s="4">
        <v>598</v>
      </c>
      <c r="D173" s="4">
        <v>1</v>
      </c>
      <c r="E173" s="3">
        <v>40</v>
      </c>
      <c r="F173" s="5">
        <v>2.8</v>
      </c>
      <c r="G173" s="3">
        <v>40</v>
      </c>
      <c r="H173" s="3">
        <v>50</v>
      </c>
      <c r="I173" s="1">
        <v>100</v>
      </c>
      <c r="J173" s="3">
        <v>250</v>
      </c>
      <c r="K173" s="4">
        <v>315</v>
      </c>
      <c r="L173" s="5">
        <v>15000</v>
      </c>
      <c r="M173" s="4">
        <v>75.400393066082202</v>
      </c>
      <c r="N173" s="10">
        <v>2.1000000000000001E-2</v>
      </c>
      <c r="O173" s="5">
        <v>19.21</v>
      </c>
      <c r="P173" s="4">
        <v>298.59179796312702</v>
      </c>
      <c r="Q173" s="5">
        <v>0.33</v>
      </c>
      <c r="R173" s="11">
        <f t="shared" si="20"/>
        <v>1.492958989815635E-3</v>
      </c>
      <c r="V173" s="5">
        <f t="shared" si="21"/>
        <v>0.34780650279429809</v>
      </c>
      <c r="W173" s="5">
        <f t="shared" si="22"/>
        <v>1.0539590993766608</v>
      </c>
      <c r="Y173" s="5">
        <f t="shared" si="23"/>
        <v>0.34672569896096866</v>
      </c>
      <c r="Z173" s="5">
        <f t="shared" si="24"/>
        <v>1.0506839362453595</v>
      </c>
      <c r="AB173" s="5">
        <f>$AC$2*($AC$3+$AC$4*$F173/($N173*'Sem TS MC2020'!P165))*($AC$5*$G173+$AC$6*$B173/$N173)*'Sem TS MC2020'!R165*($J173-$M173)/($J173-$M173-$H173)</f>
        <v>0.45070463591164805</v>
      </c>
      <c r="AC173" s="5">
        <f t="shared" si="25"/>
        <v>1.3657716239746911</v>
      </c>
      <c r="AD173" s="20">
        <f t="shared" si="26"/>
        <v>0.12070463591164804</v>
      </c>
      <c r="AE173" s="21">
        <f t="shared" si="27"/>
        <v>0.73218683302980292</v>
      </c>
      <c r="AF173" s="21">
        <f>AB173*(14.068*'Sem TS MC2020'!$P165^-0.457)/$Q173</f>
        <v>1.3233762217187188</v>
      </c>
      <c r="AG173" s="21"/>
      <c r="AO173" s="5">
        <f>$AP$2*($AP$3+$AP$4*$F173/($N173*'Sem TS MC2020'!P165))*($AP$5*$G173+$AP$6*$B173/$N173)*('Sem TS MC2020'!P165^$AP$7/200000)*($J173-$M173)/($J173-$M173-$H173)+('Sem TS MC2020'!P165-$C173/$AP$8)*($AP$5*$G173+$AP$6*$B173/$N173)/200000</f>
        <v>0.4585583198396051</v>
      </c>
      <c r="AP173" s="5">
        <f t="shared" si="28"/>
        <v>1.3895706661806215</v>
      </c>
      <c r="AQ173" s="20">
        <f t="shared" si="29"/>
        <v>0.12855831983960508</v>
      </c>
    </row>
    <row r="174" spans="1:43" x14ac:dyDescent="0.25">
      <c r="A174" s="1" t="s">
        <v>58</v>
      </c>
      <c r="B174" s="3">
        <v>10</v>
      </c>
      <c r="C174" s="4">
        <v>528</v>
      </c>
      <c r="D174" s="4">
        <v>1</v>
      </c>
      <c r="E174" s="3">
        <v>45</v>
      </c>
      <c r="F174" s="5">
        <v>2.8</v>
      </c>
      <c r="G174" s="3">
        <v>40</v>
      </c>
      <c r="H174" s="3">
        <v>45</v>
      </c>
      <c r="I174" s="1">
        <v>100</v>
      </c>
      <c r="J174" s="3">
        <v>350</v>
      </c>
      <c r="K174" s="4">
        <v>78.5</v>
      </c>
      <c r="L174" s="5">
        <v>9500</v>
      </c>
      <c r="M174" s="4">
        <v>54.138654849565903</v>
      </c>
      <c r="N174" s="10">
        <v>8.2631578947368403E-3</v>
      </c>
      <c r="O174" s="5">
        <v>6.99</v>
      </c>
      <c r="P174" s="4">
        <v>160.396623000304</v>
      </c>
      <c r="Q174" s="5">
        <v>0.15</v>
      </c>
      <c r="R174" s="11">
        <f t="shared" si="20"/>
        <v>8.0198311500152006E-4</v>
      </c>
      <c r="V174" s="5">
        <f t="shared" si="21"/>
        <v>0.2194728553434607</v>
      </c>
      <c r="W174" s="5">
        <f t="shared" si="22"/>
        <v>1.4631523689564048</v>
      </c>
      <c r="Y174" s="5">
        <f t="shared" si="23"/>
        <v>0.22406890011024475</v>
      </c>
      <c r="Z174" s="5">
        <f t="shared" si="24"/>
        <v>1.4937926674016317</v>
      </c>
      <c r="AB174" s="5">
        <f>$AC$2*($AC$3+$AC$4*$F174/($N174*'Sem TS MC2020'!P166))*($AC$5*$G174+$AC$6*$B174/$N174)*'Sem TS MC2020'!R166*($J174-$M174)/($J174-$M174-$H174)</f>
        <v>0.20905891268938379</v>
      </c>
      <c r="AC174" s="5">
        <f t="shared" si="25"/>
        <v>1.3937260845958919</v>
      </c>
      <c r="AD174" s="20">
        <f t="shared" si="26"/>
        <v>5.9058912689383791E-2</v>
      </c>
      <c r="AE174" s="21">
        <f t="shared" si="27"/>
        <v>0.71750110086369523</v>
      </c>
      <c r="AF174" s="21">
        <f>AB174*(14.068*'Sem TS MC2020'!$P166^-0.457)/$Q174</f>
        <v>1.4244893743294869</v>
      </c>
      <c r="AG174" s="21"/>
      <c r="AO174" s="5">
        <f>$AP$2*($AP$3+$AP$4*$F174/($N174*'Sem TS MC2020'!P166))*($AP$5*$G174+$AP$6*$B174/$N174)*('Sem TS MC2020'!P166^$AP$7/200000)*($J174-$M174)/($J174-$M174-$H174)+('Sem TS MC2020'!P166-$C174/$AP$8)*($AP$5*$G174+$AP$6*$B174/$N174)/200000</f>
        <v>0.21718567498774743</v>
      </c>
      <c r="AP174" s="5">
        <f t="shared" si="28"/>
        <v>1.4479044999183164</v>
      </c>
      <c r="AQ174" s="20">
        <f t="shared" si="29"/>
        <v>6.718567498774744E-2</v>
      </c>
    </row>
    <row r="175" spans="1:43" x14ac:dyDescent="0.25">
      <c r="B175" s="3">
        <v>10</v>
      </c>
      <c r="C175" s="4">
        <v>528</v>
      </c>
      <c r="D175" s="4">
        <v>1</v>
      </c>
      <c r="E175" s="3">
        <v>45</v>
      </c>
      <c r="F175" s="5">
        <v>2.8</v>
      </c>
      <c r="G175" s="3">
        <v>40</v>
      </c>
      <c r="H175" s="3">
        <v>45</v>
      </c>
      <c r="I175" s="1">
        <v>100</v>
      </c>
      <c r="J175" s="3">
        <v>350</v>
      </c>
      <c r="K175" s="4">
        <v>78.5</v>
      </c>
      <c r="L175" s="5">
        <v>9500</v>
      </c>
      <c r="M175" s="4">
        <v>54.138654849565903</v>
      </c>
      <c r="N175" s="10">
        <v>8.2631578947368403E-3</v>
      </c>
      <c r="O175" s="5">
        <v>7.44</v>
      </c>
      <c r="P175" s="4">
        <v>193.878640306356</v>
      </c>
      <c r="Q175" s="5">
        <v>0.19</v>
      </c>
      <c r="R175" s="11">
        <f t="shared" si="20"/>
        <v>9.6939320153178001E-4</v>
      </c>
      <c r="V175" s="5">
        <f t="shared" si="21"/>
        <v>0.24670693140548497</v>
      </c>
      <c r="W175" s="5">
        <f t="shared" si="22"/>
        <v>1.2984575337130788</v>
      </c>
      <c r="Y175" s="5">
        <f t="shared" si="23"/>
        <v>0.25239910009932293</v>
      </c>
      <c r="Z175" s="5">
        <f t="shared" si="24"/>
        <v>1.328416316312226</v>
      </c>
      <c r="AB175" s="5">
        <f>$AC$2*($AC$3+$AC$4*$F175/($N175*'Sem TS MC2020'!P167))*($AC$5*$G175+$AC$6*$B175/$N175)*'Sem TS MC2020'!R167*($J175-$M175)/($J175-$M175-$H175)</f>
        <v>0.24221541087861936</v>
      </c>
      <c r="AC175" s="5">
        <f t="shared" si="25"/>
        <v>1.2748179519927334</v>
      </c>
      <c r="AD175" s="20">
        <f t="shared" si="26"/>
        <v>5.2215410878619362E-2</v>
      </c>
      <c r="AE175" s="21">
        <f t="shared" si="27"/>
        <v>0.78442572795342946</v>
      </c>
      <c r="AF175" s="21">
        <f>AB175*(14.068*'Sem TS MC2020'!$P167^-0.457)/$Q175</f>
        <v>1.2663308703997367</v>
      </c>
      <c r="AG175" s="21"/>
      <c r="AO175" s="5">
        <f>$AP$2*($AP$3+$AP$4*$F175/($N175*'Sem TS MC2020'!P167))*($AP$5*$G175+$AP$6*$B175/$N175)*('Sem TS MC2020'!P167^$AP$7/200000)*($J175-$M175)/($J175-$M175-$H175)+('Sem TS MC2020'!P167-$C175/$AP$8)*($AP$5*$G175+$AP$6*$B175/$N175)/200000</f>
        <v>0.25129402824805513</v>
      </c>
      <c r="AP175" s="5">
        <f t="shared" si="28"/>
        <v>1.3226001486739745</v>
      </c>
      <c r="AQ175" s="20">
        <f t="shared" si="29"/>
        <v>6.1294028248055132E-2</v>
      </c>
    </row>
    <row r="176" spans="1:43" x14ac:dyDescent="0.25">
      <c r="B176" s="3">
        <v>10</v>
      </c>
      <c r="C176" s="4">
        <v>528</v>
      </c>
      <c r="D176" s="4">
        <v>1</v>
      </c>
      <c r="E176" s="3">
        <v>45</v>
      </c>
      <c r="F176" s="5">
        <v>2.8</v>
      </c>
      <c r="G176" s="3">
        <v>40</v>
      </c>
      <c r="H176" s="3">
        <v>45</v>
      </c>
      <c r="I176" s="1">
        <v>100</v>
      </c>
      <c r="J176" s="3">
        <v>350</v>
      </c>
      <c r="K176" s="4">
        <v>78.5</v>
      </c>
      <c r="L176" s="5">
        <v>9500</v>
      </c>
      <c r="M176" s="4">
        <v>54.138654849565903</v>
      </c>
      <c r="N176" s="10">
        <v>8.2631578947368403E-3</v>
      </c>
      <c r="O176" s="5">
        <v>7.53</v>
      </c>
      <c r="P176" s="4">
        <v>200.575043767567</v>
      </c>
      <c r="Q176" s="5">
        <v>0.2</v>
      </c>
      <c r="R176" s="11">
        <f t="shared" si="20"/>
        <v>1.0028752188378351E-3</v>
      </c>
      <c r="V176" s="5">
        <f t="shared" si="21"/>
        <v>0.25193018610652296</v>
      </c>
      <c r="W176" s="5">
        <f t="shared" si="22"/>
        <v>1.2596509305326147</v>
      </c>
      <c r="Y176" s="5">
        <f t="shared" si="23"/>
        <v>0.25783915807458418</v>
      </c>
      <c r="Z176" s="5">
        <f t="shared" si="24"/>
        <v>1.2891957903729208</v>
      </c>
      <c r="AB176" s="5">
        <f>$AC$2*($AC$3+$AC$4*$F176/($N176*'Sem TS MC2020'!P168))*($AC$5*$G176+$AC$6*$B176/$N176)*'Sem TS MC2020'!R168*($J176-$M176)/($J176-$M176-$H176)</f>
        <v>0.24884671051646617</v>
      </c>
      <c r="AC176" s="5">
        <f t="shared" si="25"/>
        <v>1.2442335525823307</v>
      </c>
      <c r="AD176" s="20">
        <f t="shared" si="26"/>
        <v>4.8846710516466163E-2</v>
      </c>
      <c r="AE176" s="21">
        <f t="shared" si="27"/>
        <v>0.8037076302311259</v>
      </c>
      <c r="AF176" s="21">
        <f>AB176*(14.068*'Sem TS MC2020'!$P168^-0.457)/$Q176</f>
        <v>1.2291770970288685</v>
      </c>
      <c r="AG176" s="21"/>
      <c r="AO176" s="5">
        <f>$AP$2*($AP$3+$AP$4*$F176/($N176*'Sem TS MC2020'!P168))*($AP$5*$G176+$AP$6*$B176/$N176)*('Sem TS MC2020'!P168^$AP$7/200000)*($J176-$M176)/($J176-$M176-$H176)+('Sem TS MC2020'!P168-$C176/$AP$8)*($AP$5*$G176+$AP$6*$B176/$N176)/200000</f>
        <v>0.25804727783868681</v>
      </c>
      <c r="AP176" s="5">
        <f t="shared" si="28"/>
        <v>1.2902363891934339</v>
      </c>
      <c r="AQ176" s="20">
        <f t="shared" si="29"/>
        <v>5.8047277838686795E-2</v>
      </c>
    </row>
    <row r="177" spans="1:43" x14ac:dyDescent="0.25">
      <c r="B177" s="3">
        <v>10</v>
      </c>
      <c r="C177" s="4">
        <v>528</v>
      </c>
      <c r="D177" s="4">
        <v>1</v>
      </c>
      <c r="E177" s="3">
        <v>45</v>
      </c>
      <c r="F177" s="5">
        <v>2.8</v>
      </c>
      <c r="G177" s="3">
        <v>40</v>
      </c>
      <c r="H177" s="3">
        <v>45</v>
      </c>
      <c r="I177" s="1">
        <v>100</v>
      </c>
      <c r="J177" s="3">
        <v>350</v>
      </c>
      <c r="K177" s="4">
        <v>78.5</v>
      </c>
      <c r="L177" s="5">
        <v>9500</v>
      </c>
      <c r="M177" s="4">
        <v>54.138654849565903</v>
      </c>
      <c r="N177" s="10">
        <v>8.2631578947368403E-3</v>
      </c>
      <c r="O177" s="5">
        <v>7.91</v>
      </c>
      <c r="P177" s="4">
        <v>228.84874727045499</v>
      </c>
      <c r="Q177" s="5">
        <v>0.23</v>
      </c>
      <c r="R177" s="11">
        <f t="shared" si="20"/>
        <v>1.144243736352275E-3</v>
      </c>
      <c r="V177" s="5">
        <f t="shared" si="21"/>
        <v>0.27328563983650528</v>
      </c>
      <c r="W177" s="5">
        <f t="shared" si="22"/>
        <v>1.188198434071762</v>
      </c>
      <c r="Y177" s="5">
        <f t="shared" si="23"/>
        <v>0.28010152072094846</v>
      </c>
      <c r="Z177" s="5">
        <f t="shared" si="24"/>
        <v>1.2178326987867323</v>
      </c>
      <c r="AB177" s="5">
        <f>$AC$2*($AC$3+$AC$4*$F177/($N177*'Sem TS MC2020'!P169))*($AC$5*$G177+$AC$6*$B177/$N177)*'Sem TS MC2020'!R169*($J177-$M177)/($J177-$M177-$H177)</f>
        <v>0.27684553120959798</v>
      </c>
      <c r="AC177" s="5">
        <f t="shared" si="25"/>
        <v>1.2036762226504261</v>
      </c>
      <c r="AD177" s="20">
        <f t="shared" si="26"/>
        <v>4.6845531209597974E-2</v>
      </c>
      <c r="AE177" s="21">
        <f t="shared" si="27"/>
        <v>0.83078819800731574</v>
      </c>
      <c r="AF177" s="21">
        <f>AB177*(14.068*'Sem TS MC2020'!$P169^-0.457)/$Q177</f>
        <v>1.1626550538527696</v>
      </c>
      <c r="AG177" s="21"/>
      <c r="AO177" s="5">
        <f>$AP$2*($AP$3+$AP$4*$F177/($N177*'Sem TS MC2020'!P169))*($AP$5*$G177+$AP$6*$B177/$N177)*('Sem TS MC2020'!P169^$AP$7/200000)*($J177-$M177)/($J177-$M177-$H177)+('Sem TS MC2020'!P169-$C177/$AP$8)*($AP$5*$G177+$AP$6*$B177/$N177)/200000</f>
        <v>0.28632586601801208</v>
      </c>
      <c r="AP177" s="5">
        <f t="shared" si="28"/>
        <v>1.2448950696435308</v>
      </c>
      <c r="AQ177" s="20">
        <f t="shared" si="29"/>
        <v>5.6325866018012066E-2</v>
      </c>
    </row>
    <row r="178" spans="1:43" x14ac:dyDescent="0.25">
      <c r="B178" s="3">
        <v>10</v>
      </c>
      <c r="C178" s="4">
        <v>528</v>
      </c>
      <c r="D178" s="4">
        <v>1</v>
      </c>
      <c r="E178" s="3">
        <v>45</v>
      </c>
      <c r="F178" s="5">
        <v>2.8</v>
      </c>
      <c r="G178" s="3">
        <v>40</v>
      </c>
      <c r="H178" s="3">
        <v>45</v>
      </c>
      <c r="I178" s="1">
        <v>100</v>
      </c>
      <c r="J178" s="3">
        <v>350</v>
      </c>
      <c r="K178" s="4">
        <v>78.5</v>
      </c>
      <c r="L178" s="5">
        <v>9500</v>
      </c>
      <c r="M178" s="4">
        <v>54.138654849565903</v>
      </c>
      <c r="N178" s="10">
        <v>8.2631578947368403E-3</v>
      </c>
      <c r="O178" s="5">
        <v>8.17</v>
      </c>
      <c r="P178" s="4">
        <v>248.19391282506299</v>
      </c>
      <c r="Q178" s="5">
        <v>0.25</v>
      </c>
      <c r="R178" s="11">
        <f t="shared" si="20"/>
        <v>1.240969564125315E-3</v>
      </c>
      <c r="V178" s="5">
        <f t="shared" si="21"/>
        <v>0.28731710875647182</v>
      </c>
      <c r="W178" s="5">
        <f t="shared" si="22"/>
        <v>1.1492684350258873</v>
      </c>
      <c r="Y178" s="5">
        <f t="shared" si="23"/>
        <v>0.29474592600270799</v>
      </c>
      <c r="Z178" s="5">
        <f t="shared" si="24"/>
        <v>1.178983704010832</v>
      </c>
      <c r="AB178" s="5">
        <f>$AC$2*($AC$3+$AC$4*$F178/($N178*'Sem TS MC2020'!P170))*($AC$5*$G178+$AC$6*$B178/$N178)*'Sem TS MC2020'!R170*($J178-$M178)/($J178-$M178-$H178)</f>
        <v>0.29600261905226671</v>
      </c>
      <c r="AC178" s="5">
        <f t="shared" si="25"/>
        <v>1.1840104762090669</v>
      </c>
      <c r="AD178" s="20">
        <f t="shared" si="26"/>
        <v>4.6002619052266713E-2</v>
      </c>
      <c r="AE178" s="21">
        <f t="shared" si="27"/>
        <v>0.84458712156143523</v>
      </c>
      <c r="AF178" s="21">
        <f>AB178*(14.068*'Sem TS MC2020'!$P170^-0.457)/$Q178</f>
        <v>1.1268806468993919</v>
      </c>
      <c r="AG178" s="21"/>
      <c r="AO178" s="5">
        <f>$AP$2*($AP$3+$AP$4*$F178/($N178*'Sem TS MC2020'!P170))*($AP$5*$G178+$AP$6*$B178/$N178)*('Sem TS MC2020'!P170^$AP$7/200000)*($J178-$M178)/($J178-$M178-$H178)+('Sem TS MC2020'!P170-$C178/$AP$8)*($AP$5*$G178+$AP$6*$B178/$N178)/200000</f>
        <v>0.30546612373892579</v>
      </c>
      <c r="AP178" s="5">
        <f t="shared" si="28"/>
        <v>1.2218644949557032</v>
      </c>
      <c r="AQ178" s="20">
        <f t="shared" si="29"/>
        <v>5.5466123738925788E-2</v>
      </c>
    </row>
    <row r="179" spans="1:43" x14ac:dyDescent="0.25">
      <c r="B179" s="3">
        <v>10</v>
      </c>
      <c r="C179" s="4">
        <v>528</v>
      </c>
      <c r="D179" s="4">
        <v>1</v>
      </c>
      <c r="E179" s="3">
        <v>45</v>
      </c>
      <c r="F179" s="5">
        <v>2.8</v>
      </c>
      <c r="G179" s="3">
        <v>40</v>
      </c>
      <c r="H179" s="3">
        <v>45</v>
      </c>
      <c r="I179" s="1">
        <v>100</v>
      </c>
      <c r="J179" s="3">
        <v>350</v>
      </c>
      <c r="K179" s="4">
        <v>78.5</v>
      </c>
      <c r="L179" s="5">
        <v>9500</v>
      </c>
      <c r="M179" s="4">
        <v>54.138654849565903</v>
      </c>
      <c r="N179" s="10">
        <v>8.2631578947368403E-3</v>
      </c>
      <c r="O179" s="5">
        <v>8.4600000000000009</v>
      </c>
      <c r="P179" s="4">
        <v>269.771212866741</v>
      </c>
      <c r="Q179" s="5">
        <v>0.28000000000000003</v>
      </c>
      <c r="R179" s="11">
        <f t="shared" si="20"/>
        <v>1.3488560643337051E-3</v>
      </c>
      <c r="V179" s="5">
        <f t="shared" si="21"/>
        <v>0.30248208005910898</v>
      </c>
      <c r="W179" s="5">
        <f t="shared" si="22"/>
        <v>1.0802931430682463</v>
      </c>
      <c r="Y179" s="5">
        <f t="shared" si="23"/>
        <v>0.31058767918979541</v>
      </c>
      <c r="Z179" s="5">
        <f t="shared" si="24"/>
        <v>1.1092417113921262</v>
      </c>
      <c r="AB179" s="5">
        <f>$AC$2*($AC$3+$AC$4*$F179/($N179*'Sem TS MC2020'!P171))*($AC$5*$G179+$AC$6*$B179/$N179)*'Sem TS MC2020'!R171*($J179-$M179)/($J179-$M179-$H179)</f>
        <v>0.31737014010755177</v>
      </c>
      <c r="AC179" s="5">
        <f t="shared" si="25"/>
        <v>1.1334647860983991</v>
      </c>
      <c r="AD179" s="20">
        <f t="shared" si="26"/>
        <v>3.7370140107551741E-2</v>
      </c>
      <c r="AE179" s="21">
        <f t="shared" si="27"/>
        <v>0.88225061092739354</v>
      </c>
      <c r="AF179" s="21">
        <f>AB179*(14.068*'Sem TS MC2020'!$P171^-0.457)/$Q179</f>
        <v>1.0617142135405677</v>
      </c>
      <c r="AG179" s="21"/>
      <c r="AO179" s="5">
        <f>$AP$2*($AP$3+$AP$4*$F179/($N179*'Sem TS MC2020'!P171))*($AP$5*$G179+$AP$6*$B179/$N179)*('Sem TS MC2020'!P171^$AP$7/200000)*($J179-$M179)/($J179-$M179-$H179)+('Sem TS MC2020'!P171-$C179/$AP$8)*($AP$5*$G179+$AP$6*$B179/$N179)/200000</f>
        <v>0.32662734603143223</v>
      </c>
      <c r="AP179" s="5">
        <f t="shared" si="28"/>
        <v>1.1665262358265436</v>
      </c>
      <c r="AQ179" s="20">
        <f t="shared" si="29"/>
        <v>4.6627346031432204E-2</v>
      </c>
    </row>
    <row r="180" spans="1:43" x14ac:dyDescent="0.25">
      <c r="B180" s="3">
        <v>10</v>
      </c>
      <c r="C180" s="4">
        <v>528</v>
      </c>
      <c r="D180" s="4">
        <v>1</v>
      </c>
      <c r="E180" s="3">
        <v>45</v>
      </c>
      <c r="F180" s="5">
        <v>2.8</v>
      </c>
      <c r="G180" s="3">
        <v>40</v>
      </c>
      <c r="H180" s="3">
        <v>45</v>
      </c>
      <c r="I180" s="1">
        <v>100</v>
      </c>
      <c r="J180" s="3">
        <v>350</v>
      </c>
      <c r="K180" s="4">
        <v>78.5</v>
      </c>
      <c r="L180" s="5">
        <v>9500</v>
      </c>
      <c r="M180" s="4">
        <v>54.138654849565903</v>
      </c>
      <c r="N180" s="10">
        <v>8.2631578947368403E-3</v>
      </c>
      <c r="O180" s="5">
        <v>8.7200000000000006</v>
      </c>
      <c r="P180" s="4">
        <v>289.116378421349</v>
      </c>
      <c r="Q180" s="5">
        <v>0.31</v>
      </c>
      <c r="R180" s="11">
        <f t="shared" si="20"/>
        <v>1.4455818921067451E-3</v>
      </c>
      <c r="V180" s="5">
        <f t="shared" si="21"/>
        <v>0.31568737636236588</v>
      </c>
      <c r="W180" s="5">
        <f t="shared" si="22"/>
        <v>1.0183463753624706</v>
      </c>
      <c r="Y180" s="5">
        <f t="shared" si="23"/>
        <v>0.32439386822318156</v>
      </c>
      <c r="Z180" s="5">
        <f t="shared" si="24"/>
        <v>1.0464318329780051</v>
      </c>
      <c r="AB180" s="5">
        <f>$AC$2*($AC$3+$AC$4*$F180/($N180*'Sem TS MC2020'!P172))*($AC$5*$G180+$AC$6*$B180/$N180)*'Sem TS MC2020'!R172*($J180-$M180)/($J180-$M180-$H180)</f>
        <v>0.33652722795022066</v>
      </c>
      <c r="AC180" s="5">
        <f t="shared" si="25"/>
        <v>1.0855717030652279</v>
      </c>
      <c r="AD180" s="20">
        <f t="shared" si="26"/>
        <v>2.6527227950220666E-2</v>
      </c>
      <c r="AE180" s="21">
        <f t="shared" si="27"/>
        <v>0.92117360573824192</v>
      </c>
      <c r="AF180" s="21">
        <f>AB180*(14.068*'Sem TS MC2020'!$P172^-0.457)/$Q180</f>
        <v>1.0028831529322118</v>
      </c>
      <c r="AG180" s="21"/>
      <c r="AO180" s="5">
        <f>$AP$2*($AP$3+$AP$4*$F180/($N180*'Sem TS MC2020'!P172))*($AP$5*$G180+$AP$6*$B180/$N180)*('Sem TS MC2020'!P172^$AP$7/200000)*($J180-$M180)/($J180-$M180-$H180)+('Sem TS MC2020'!P172-$C180/$AP$8)*($AP$5*$G180+$AP$6*$B180/$N180)/200000</f>
        <v>0.34543988065121733</v>
      </c>
      <c r="AP180" s="5">
        <f t="shared" si="28"/>
        <v>1.1143221956490881</v>
      </c>
      <c r="AQ180" s="20">
        <f t="shared" si="29"/>
        <v>3.5439880651217337E-2</v>
      </c>
    </row>
    <row r="181" spans="1:43" x14ac:dyDescent="0.25">
      <c r="B181" s="3">
        <v>10</v>
      </c>
      <c r="C181" s="4">
        <v>528</v>
      </c>
      <c r="D181" s="4">
        <v>1</v>
      </c>
      <c r="E181" s="3">
        <v>45</v>
      </c>
      <c r="F181" s="5">
        <v>2.8</v>
      </c>
      <c r="G181" s="3">
        <v>40</v>
      </c>
      <c r="H181" s="3">
        <v>45</v>
      </c>
      <c r="I181" s="1">
        <v>100</v>
      </c>
      <c r="J181" s="3">
        <v>350</v>
      </c>
      <c r="K181" s="4">
        <v>78.5</v>
      </c>
      <c r="L181" s="5">
        <v>9500</v>
      </c>
      <c r="M181" s="4">
        <v>54.138654849565903</v>
      </c>
      <c r="N181" s="10">
        <v>8.2631578947368403E-3</v>
      </c>
      <c r="O181" s="5">
        <v>9.0299999999999994</v>
      </c>
      <c r="P181" s="4">
        <v>312.18176812107401</v>
      </c>
      <c r="Q181" s="5">
        <v>0.36</v>
      </c>
      <c r="R181" s="11">
        <f t="shared" si="20"/>
        <v>1.56090884060537E-3</v>
      </c>
      <c r="V181" s="5">
        <f t="shared" si="21"/>
        <v>0.33099757546249825</v>
      </c>
      <c r="W181" s="5">
        <f t="shared" si="22"/>
        <v>0.91943770961805071</v>
      </c>
      <c r="Y181" s="5">
        <f t="shared" si="23"/>
        <v>0.34041361107359203</v>
      </c>
      <c r="Z181" s="5">
        <f t="shared" si="24"/>
        <v>0.94559336409331118</v>
      </c>
      <c r="AB181" s="5">
        <f>$AC$2*($AC$3+$AC$4*$F181/($N181*'Sem TS MC2020'!P173))*($AC$5*$G181+$AC$6*$B181/$N181)*'Sem TS MC2020'!R173*($J181-$M181)/($J181-$M181-$H181)</f>
        <v>0.35936837114724868</v>
      </c>
      <c r="AC181" s="5">
        <f t="shared" si="25"/>
        <v>0.99824547540902409</v>
      </c>
      <c r="AD181" s="20">
        <f t="shared" si="26"/>
        <v>-6.316288527513092E-4</v>
      </c>
      <c r="AE181" s="21">
        <f t="shared" si="27"/>
        <v>1.0017576083580615</v>
      </c>
      <c r="AF181" s="21">
        <f>AB181*(14.068*'Sem TS MC2020'!$P173^-0.457)/$Q181</f>
        <v>0.90760296009582997</v>
      </c>
      <c r="AG181" s="21"/>
      <c r="AO181" s="5">
        <f>$AP$2*($AP$3+$AP$4*$F181/($N181*'Sem TS MC2020'!P173))*($AP$5*$G181+$AP$6*$B181/$N181)*('Sem TS MC2020'!P173^$AP$7/200000)*($J181-$M181)/($J181-$M181-$H181)+('Sem TS MC2020'!P173-$C181/$AP$8)*($AP$5*$G181+$AP$6*$B181/$N181)/200000</f>
        <v>0.3676832222031392</v>
      </c>
      <c r="AP181" s="5">
        <f t="shared" si="28"/>
        <v>1.0213422838976089</v>
      </c>
      <c r="AQ181" s="20">
        <f t="shared" si="29"/>
        <v>7.6832222031392172E-3</v>
      </c>
    </row>
    <row r="182" spans="1:43" x14ac:dyDescent="0.25">
      <c r="A182" s="1" t="s">
        <v>59</v>
      </c>
      <c r="B182" s="3">
        <v>10</v>
      </c>
      <c r="C182" s="4">
        <v>528</v>
      </c>
      <c r="D182" s="4">
        <v>1</v>
      </c>
      <c r="E182" s="3">
        <v>45</v>
      </c>
      <c r="F182" s="5">
        <v>2.8</v>
      </c>
      <c r="G182" s="3">
        <v>40</v>
      </c>
      <c r="H182" s="3">
        <v>45</v>
      </c>
      <c r="I182" s="1">
        <v>100</v>
      </c>
      <c r="J182" s="3">
        <v>350</v>
      </c>
      <c r="K182" s="4">
        <v>78.5</v>
      </c>
      <c r="L182" s="5">
        <v>9500</v>
      </c>
      <c r="M182" s="4">
        <v>54.138654849565903</v>
      </c>
      <c r="N182" s="10">
        <v>8.2631578947368403E-3</v>
      </c>
      <c r="O182" s="5">
        <v>6.96</v>
      </c>
      <c r="P182" s="4">
        <v>158.16448851323401</v>
      </c>
      <c r="Q182" s="5">
        <v>0.16</v>
      </c>
      <c r="R182" s="11">
        <f t="shared" si="20"/>
        <v>7.9082244256617007E-4</v>
      </c>
      <c r="V182" s="5">
        <f t="shared" si="21"/>
        <v>0.21758332257089488</v>
      </c>
      <c r="W182" s="5">
        <f t="shared" si="22"/>
        <v>1.359895766068093</v>
      </c>
      <c r="Y182" s="5">
        <f t="shared" si="23"/>
        <v>0.22210555678011715</v>
      </c>
      <c r="Z182" s="5">
        <f t="shared" si="24"/>
        <v>1.3881597298757322</v>
      </c>
      <c r="AB182" s="5">
        <f>$AC$2*($AC$3+$AC$4*$F182/($N182*'Sem TS MC2020'!P174))*($AC$5*$G182+$AC$6*$B182/$N182)*'Sem TS MC2020'!R174*($J182-$M182)/($J182-$M182-$H182)</f>
        <v>0.20684847947676929</v>
      </c>
      <c r="AC182" s="5">
        <f t="shared" si="25"/>
        <v>1.292802996729808</v>
      </c>
      <c r="AD182" s="20">
        <f t="shared" si="26"/>
        <v>4.6848479476769289E-2</v>
      </c>
      <c r="AE182" s="21">
        <f t="shared" si="27"/>
        <v>0.77351305847026675</v>
      </c>
      <c r="AF182" s="21">
        <f>AB182*(14.068*'Sem TS MC2020'!$P174^-0.457)/$Q182</f>
        <v>1.3239384120841755</v>
      </c>
      <c r="AG182" s="21"/>
      <c r="AO182" s="5">
        <f>$AP$2*($AP$3+$AP$4*$F182/($N182*'Sem TS MC2020'!P174))*($AP$5*$G182+$AP$6*$B182/$N182)*('Sem TS MC2020'!P174^$AP$7/200000)*($J182-$M182)/($J182-$M182-$H182)+('Sem TS MC2020'!P174-$C182/$AP$8)*($AP$5*$G182+$AP$6*$B182/$N182)/200000</f>
        <v>0.21489062111837984</v>
      </c>
      <c r="AP182" s="5">
        <f t="shared" si="28"/>
        <v>1.343066381989874</v>
      </c>
      <c r="AQ182" s="20">
        <f t="shared" si="29"/>
        <v>5.4890621118379834E-2</v>
      </c>
    </row>
    <row r="183" spans="1:43" x14ac:dyDescent="0.25">
      <c r="B183" s="3">
        <v>10</v>
      </c>
      <c r="C183" s="4">
        <v>528</v>
      </c>
      <c r="D183" s="4">
        <v>1</v>
      </c>
      <c r="E183" s="3">
        <v>45</v>
      </c>
      <c r="F183" s="5">
        <v>2.8</v>
      </c>
      <c r="G183" s="3">
        <v>40</v>
      </c>
      <c r="H183" s="3">
        <v>45</v>
      </c>
      <c r="I183" s="1">
        <v>100</v>
      </c>
      <c r="J183" s="3">
        <v>350</v>
      </c>
      <c r="K183" s="4">
        <v>78.5</v>
      </c>
      <c r="L183" s="5">
        <v>9500</v>
      </c>
      <c r="M183" s="4">
        <v>54.138654849565903</v>
      </c>
      <c r="N183" s="10">
        <v>8.2631578947368403E-3</v>
      </c>
      <c r="O183" s="5">
        <v>7.26</v>
      </c>
      <c r="P183" s="4">
        <v>180.48583338393601</v>
      </c>
      <c r="Q183" s="5">
        <v>0.18</v>
      </c>
      <c r="R183" s="11">
        <f t="shared" si="20"/>
        <v>9.0242916691968007E-4</v>
      </c>
      <c r="V183" s="5">
        <f t="shared" si="21"/>
        <v>0.23604824040447123</v>
      </c>
      <c r="W183" s="5">
        <f t="shared" si="22"/>
        <v>1.3113791133581736</v>
      </c>
      <c r="Y183" s="5">
        <f t="shared" si="23"/>
        <v>0.24130441207915518</v>
      </c>
      <c r="Z183" s="5">
        <f t="shared" si="24"/>
        <v>1.3405800671064176</v>
      </c>
      <c r="AB183" s="5">
        <f>$AC$2*($AC$3+$AC$4*$F183/($N183*'Sem TS MC2020'!P175))*($AC$5*$G183+$AC$6*$B183/$N183)*'Sem TS MC2020'!R175*($J183-$M183)/($J183-$M183-$H183)</f>
        <v>0.2289528116029258</v>
      </c>
      <c r="AC183" s="5">
        <f t="shared" si="25"/>
        <v>1.271960064460699</v>
      </c>
      <c r="AD183" s="20">
        <f t="shared" si="26"/>
        <v>4.8952811602925805E-2</v>
      </c>
      <c r="AE183" s="21">
        <f t="shared" si="27"/>
        <v>0.78618820507072451</v>
      </c>
      <c r="AF183" s="21">
        <f>AB183*(14.068*'Sem TS MC2020'!$P175^-0.457)/$Q183</f>
        <v>1.2777129470338462</v>
      </c>
      <c r="AG183" s="21"/>
      <c r="AO183" s="5">
        <f>$AP$2*($AP$3+$AP$4*$F183/($N183*'Sem TS MC2020'!P175))*($AP$5*$G183+$AP$6*$B183/$N183)*('Sem TS MC2020'!P175^$AP$7/200000)*($J183-$M183)/($J183-$M183-$H183)+('Sem TS MC2020'!P175-$C183/$AP$8)*($AP$5*$G183+$AP$6*$B183/$N183)/200000</f>
        <v>0.23772049095144579</v>
      </c>
      <c r="AP183" s="5">
        <f t="shared" si="28"/>
        <v>1.320669394174699</v>
      </c>
      <c r="AQ183" s="20">
        <f t="shared" si="29"/>
        <v>5.7720490951445796E-2</v>
      </c>
    </row>
    <row r="184" spans="1:43" x14ac:dyDescent="0.25">
      <c r="B184" s="3">
        <v>10</v>
      </c>
      <c r="C184" s="4">
        <v>528</v>
      </c>
      <c r="D184" s="4">
        <v>1</v>
      </c>
      <c r="E184" s="3">
        <v>45</v>
      </c>
      <c r="F184" s="5">
        <v>2.8</v>
      </c>
      <c r="G184" s="3">
        <v>40</v>
      </c>
      <c r="H184" s="3">
        <v>45</v>
      </c>
      <c r="I184" s="1">
        <v>100</v>
      </c>
      <c r="J184" s="3">
        <v>350</v>
      </c>
      <c r="K184" s="4">
        <v>78.5</v>
      </c>
      <c r="L184" s="5">
        <v>9500</v>
      </c>
      <c r="M184" s="4">
        <v>54.138654849565903</v>
      </c>
      <c r="N184" s="10">
        <v>8.2631578947368403E-3</v>
      </c>
      <c r="O184" s="5">
        <v>7.54</v>
      </c>
      <c r="P184" s="4">
        <v>201.31908859659001</v>
      </c>
      <c r="Q184" s="5">
        <v>0.2</v>
      </c>
      <c r="R184" s="11">
        <f t="shared" si="20"/>
        <v>1.0065954429829501E-3</v>
      </c>
      <c r="V184" s="5">
        <f t="shared" si="21"/>
        <v>0.25250639436901223</v>
      </c>
      <c r="W184" s="5">
        <f t="shared" si="22"/>
        <v>1.2625319718450612</v>
      </c>
      <c r="Y184" s="5">
        <f t="shared" si="23"/>
        <v>0.25843940711694924</v>
      </c>
      <c r="Z184" s="5">
        <f t="shared" si="24"/>
        <v>1.2921970355847461</v>
      </c>
      <c r="AB184" s="5">
        <f>$AC$2*($AC$3+$AC$4*$F184/($N184*'Sem TS MC2020'!P176))*($AC$5*$G184+$AC$6*$B184/$N184)*'Sem TS MC2020'!R176*($J184-$M184)/($J184-$M184-$H184)</f>
        <v>0.24958352158733765</v>
      </c>
      <c r="AC184" s="5">
        <f t="shared" si="25"/>
        <v>1.2479176079366883</v>
      </c>
      <c r="AD184" s="20">
        <f t="shared" si="26"/>
        <v>4.9583521587337642E-2</v>
      </c>
      <c r="AE184" s="21">
        <f t="shared" si="27"/>
        <v>0.80133495484001049</v>
      </c>
      <c r="AF184" s="21">
        <f>AB184*(14.068*'Sem TS MC2020'!$P176^-0.457)/$Q184</f>
        <v>1.2320690913285504</v>
      </c>
      <c r="AG184" s="21"/>
      <c r="AO184" s="5">
        <f>$AP$2*($AP$3+$AP$4*$F184/($N184*'Sem TS MC2020'!P176))*($AP$5*$G184+$AP$6*$B184/$N184)*('Sem TS MC2020'!P176^$AP$7/200000)*($J184-$M184)/($J184-$M184-$H184)+('Sem TS MC2020'!P176-$C184/$AP$8)*($AP$5*$G184+$AP$6*$B184/$N184)/200000</f>
        <v>0.25879628751848899</v>
      </c>
      <c r="AP184" s="5">
        <f t="shared" si="28"/>
        <v>1.2939814375924448</v>
      </c>
      <c r="AQ184" s="20">
        <f t="shared" si="29"/>
        <v>5.8796287518488977E-2</v>
      </c>
    </row>
    <row r="185" spans="1:43" x14ac:dyDescent="0.25">
      <c r="B185" s="3">
        <v>10</v>
      </c>
      <c r="C185" s="4">
        <v>528</v>
      </c>
      <c r="D185" s="4">
        <v>1</v>
      </c>
      <c r="E185" s="3">
        <v>45</v>
      </c>
      <c r="F185" s="5">
        <v>2.8</v>
      </c>
      <c r="G185" s="3">
        <v>40</v>
      </c>
      <c r="H185" s="3">
        <v>45</v>
      </c>
      <c r="I185" s="1">
        <v>100</v>
      </c>
      <c r="J185" s="3">
        <v>350</v>
      </c>
      <c r="K185" s="4">
        <v>78.5</v>
      </c>
      <c r="L185" s="5">
        <v>9500</v>
      </c>
      <c r="M185" s="4">
        <v>54.138654849565903</v>
      </c>
      <c r="N185" s="10">
        <v>8.2631578947368403E-3</v>
      </c>
      <c r="O185" s="5">
        <v>7.83</v>
      </c>
      <c r="P185" s="4">
        <v>222.89638863826801</v>
      </c>
      <c r="Q185" s="5">
        <v>0.23</v>
      </c>
      <c r="R185" s="11">
        <f t="shared" si="20"/>
        <v>1.11448194319134E-3</v>
      </c>
      <c r="V185" s="5">
        <f t="shared" si="21"/>
        <v>0.26887779237219928</v>
      </c>
      <c r="W185" s="5">
        <f t="shared" si="22"/>
        <v>1.1690338798791273</v>
      </c>
      <c r="Y185" s="5">
        <f t="shared" si="23"/>
        <v>0.27550386006561889</v>
      </c>
      <c r="Z185" s="5">
        <f t="shared" si="24"/>
        <v>1.1978428698505168</v>
      </c>
      <c r="AB185" s="5">
        <f>$AC$2*($AC$3+$AC$4*$F185/($N185*'Sem TS MC2020'!P177))*($AC$5*$G185+$AC$6*$B185/$N185)*'Sem TS MC2020'!R177*($J185-$M185)/($J185-$M185-$H185)</f>
        <v>0.27095104264262271</v>
      </c>
      <c r="AC185" s="5">
        <f t="shared" si="25"/>
        <v>1.1780480114896639</v>
      </c>
      <c r="AD185" s="20">
        <f t="shared" si="26"/>
        <v>4.0951042642622698E-2</v>
      </c>
      <c r="AE185" s="21">
        <f t="shared" si="27"/>
        <v>0.8488618377577678</v>
      </c>
      <c r="AF185" s="21">
        <f>AB185*(14.068*'Sem TS MC2020'!$P177^-0.457)/$Q185</f>
        <v>1.143198695993545</v>
      </c>
      <c r="AG185" s="21"/>
      <c r="AO185" s="5">
        <f>$AP$2*($AP$3+$AP$4*$F185/($N185*'Sem TS MC2020'!P177))*($AP$5*$G185+$AP$6*$B185/$N185)*('Sem TS MC2020'!P177^$AP$7/200000)*($J185-$M185)/($J185-$M185-$H185)+('Sem TS MC2020'!P177-$C185/$AP$8)*($AP$5*$G185+$AP$6*$B185/$N185)/200000</f>
        <v>0.28040321683224523</v>
      </c>
      <c r="AP185" s="5">
        <f t="shared" si="28"/>
        <v>1.2191444210097617</v>
      </c>
      <c r="AQ185" s="20">
        <f t="shared" si="29"/>
        <v>5.0403216832245218E-2</v>
      </c>
    </row>
    <row r="186" spans="1:43" x14ac:dyDescent="0.25">
      <c r="B186" s="3">
        <v>10</v>
      </c>
      <c r="C186" s="4">
        <v>528</v>
      </c>
      <c r="D186" s="4">
        <v>1</v>
      </c>
      <c r="E186" s="3">
        <v>45</v>
      </c>
      <c r="F186" s="5">
        <v>2.8</v>
      </c>
      <c r="G186" s="3">
        <v>40</v>
      </c>
      <c r="H186" s="3">
        <v>45</v>
      </c>
      <c r="I186" s="1">
        <v>100</v>
      </c>
      <c r="J186" s="3">
        <v>350</v>
      </c>
      <c r="K186" s="4">
        <v>78.5</v>
      </c>
      <c r="L186" s="5">
        <v>9500</v>
      </c>
      <c r="M186" s="4">
        <v>54.138654849565903</v>
      </c>
      <c r="N186" s="10">
        <v>8.2631578947368403E-3</v>
      </c>
      <c r="O186" s="5">
        <v>8.14</v>
      </c>
      <c r="P186" s="4">
        <v>245.961778337993</v>
      </c>
      <c r="Q186" s="5">
        <v>0.24</v>
      </c>
      <c r="R186" s="11">
        <f t="shared" si="20"/>
        <v>1.2298088916899649E-3</v>
      </c>
      <c r="V186" s="5">
        <f t="shared" si="21"/>
        <v>0.28572003005107927</v>
      </c>
      <c r="W186" s="5">
        <f t="shared" si="22"/>
        <v>1.1905001252128302</v>
      </c>
      <c r="Y186" s="5">
        <f t="shared" si="23"/>
        <v>0.29307842707551618</v>
      </c>
      <c r="Z186" s="5">
        <f t="shared" si="24"/>
        <v>1.2211601128146508</v>
      </c>
      <c r="AB186" s="5">
        <f>$AC$2*($AC$3+$AC$4*$F186/($N186*'Sem TS MC2020'!P178))*($AC$5*$G186+$AC$6*$B186/$N186)*'Sem TS MC2020'!R178*($J186-$M186)/($J186-$M186-$H186)</f>
        <v>0.29379218583965067</v>
      </c>
      <c r="AC186" s="5">
        <f t="shared" si="25"/>
        <v>1.2241341076652112</v>
      </c>
      <c r="AD186" s="20">
        <f t="shared" si="26"/>
        <v>5.3792185839650675E-2</v>
      </c>
      <c r="AE186" s="21">
        <f t="shared" si="27"/>
        <v>0.81690395989970266</v>
      </c>
      <c r="AF186" s="21">
        <f>AB186*(14.068*'Sem TS MC2020'!$P178^-0.457)/$Q186</f>
        <v>1.167028604060468</v>
      </c>
      <c r="AG186" s="21"/>
      <c r="AO186" s="5">
        <f>$AP$2*($AP$3+$AP$4*$F186/($N186*'Sem TS MC2020'!P178))*($AP$5*$G186+$AP$6*$B186/$N186)*('Sem TS MC2020'!P178^$AP$7/200000)*($J186-$M186)/($J186-$M186-$H186)+('Sem TS MC2020'!P178-$C186/$AP$8)*($AP$5*$G186+$AP$6*$B186/$N186)/200000</f>
        <v>0.30326591548253606</v>
      </c>
      <c r="AP186" s="5">
        <f t="shared" si="28"/>
        <v>1.2636079811772336</v>
      </c>
      <c r="AQ186" s="20">
        <f t="shared" si="29"/>
        <v>6.3265915482536073E-2</v>
      </c>
    </row>
    <row r="187" spans="1:43" x14ac:dyDescent="0.25">
      <c r="B187" s="3">
        <v>10</v>
      </c>
      <c r="C187" s="4">
        <v>528</v>
      </c>
      <c r="D187" s="4">
        <v>1</v>
      </c>
      <c r="E187" s="3">
        <v>45</v>
      </c>
      <c r="F187" s="5">
        <v>2.8</v>
      </c>
      <c r="G187" s="3">
        <v>40</v>
      </c>
      <c r="H187" s="3">
        <v>45</v>
      </c>
      <c r="I187" s="1">
        <v>100</v>
      </c>
      <c r="J187" s="3">
        <v>350</v>
      </c>
      <c r="K187" s="4">
        <v>78.5</v>
      </c>
      <c r="L187" s="5">
        <v>9500</v>
      </c>
      <c r="M187" s="4">
        <v>54.138654849565903</v>
      </c>
      <c r="N187" s="10">
        <v>8.2631578947368403E-3</v>
      </c>
      <c r="O187" s="5">
        <v>8.4600000000000009</v>
      </c>
      <c r="P187" s="4">
        <v>269.771212866741</v>
      </c>
      <c r="Q187" s="5">
        <v>0.25</v>
      </c>
      <c r="R187" s="11">
        <f t="shared" si="20"/>
        <v>1.3488560643337051E-3</v>
      </c>
      <c r="V187" s="5">
        <f t="shared" si="21"/>
        <v>0.30248208005910898</v>
      </c>
      <c r="W187" s="5">
        <f t="shared" si="22"/>
        <v>1.2099283202364359</v>
      </c>
      <c r="Y187" s="5">
        <f t="shared" si="23"/>
        <v>0.31058767918979541</v>
      </c>
      <c r="Z187" s="5">
        <f t="shared" si="24"/>
        <v>1.2423507167591816</v>
      </c>
      <c r="AB187" s="5">
        <f>$AC$2*($AC$3+$AC$4*$F187/($N187*'Sem TS MC2020'!P179))*($AC$5*$G187+$AC$6*$B187/$N187)*'Sem TS MC2020'!R179*($J187-$M187)/($J187-$M187-$H187)</f>
        <v>0.31737014010755177</v>
      </c>
      <c r="AC187" s="5">
        <f t="shared" si="25"/>
        <v>1.2694805604302071</v>
      </c>
      <c r="AD187" s="20">
        <f t="shared" si="26"/>
        <v>6.7370140107551768E-2</v>
      </c>
      <c r="AE187" s="21">
        <f t="shared" si="27"/>
        <v>0.78772375975660125</v>
      </c>
      <c r="AF187" s="21">
        <f>AB187*(14.068*'Sem TS MC2020'!$P179^-0.457)/$Q187</f>
        <v>1.189119919165436</v>
      </c>
      <c r="AG187" s="21"/>
      <c r="AO187" s="5">
        <f>$AP$2*($AP$3+$AP$4*$F187/($N187*'Sem TS MC2020'!P179))*($AP$5*$G187+$AP$6*$B187/$N187)*('Sem TS MC2020'!P179^$AP$7/200000)*($J187-$M187)/($J187-$M187-$H187)+('Sem TS MC2020'!P179-$C187/$AP$8)*($AP$5*$G187+$AP$6*$B187/$N187)/200000</f>
        <v>0.32662734603143223</v>
      </c>
      <c r="AP187" s="5">
        <f t="shared" si="28"/>
        <v>1.3065093841257289</v>
      </c>
      <c r="AQ187" s="20">
        <f t="shared" si="29"/>
        <v>7.6627346031432231E-2</v>
      </c>
    </row>
    <row r="188" spans="1:43" x14ac:dyDescent="0.25">
      <c r="B188" s="3">
        <v>10</v>
      </c>
      <c r="C188" s="4">
        <v>528</v>
      </c>
      <c r="D188" s="4">
        <v>1</v>
      </c>
      <c r="E188" s="3">
        <v>45</v>
      </c>
      <c r="F188" s="5">
        <v>2.8</v>
      </c>
      <c r="G188" s="3">
        <v>40</v>
      </c>
      <c r="H188" s="3">
        <v>45</v>
      </c>
      <c r="I188" s="1">
        <v>100</v>
      </c>
      <c r="J188" s="3">
        <v>350</v>
      </c>
      <c r="K188" s="4">
        <v>78.5</v>
      </c>
      <c r="L188" s="5">
        <v>9500</v>
      </c>
      <c r="M188" s="4">
        <v>54.138654849565903</v>
      </c>
      <c r="N188" s="10">
        <v>8.2631578947368403E-3</v>
      </c>
      <c r="O188" s="5">
        <v>8.75</v>
      </c>
      <c r="P188" s="4">
        <v>291.34851290841902</v>
      </c>
      <c r="Q188" s="5">
        <v>0.27</v>
      </c>
      <c r="R188" s="11">
        <f t="shared" si="20"/>
        <v>1.4567425645420952E-3</v>
      </c>
      <c r="V188" s="5">
        <f t="shared" si="21"/>
        <v>0.31718896076363523</v>
      </c>
      <c r="W188" s="5">
        <f t="shared" si="22"/>
        <v>1.1747739287542045</v>
      </c>
      <c r="Y188" s="5">
        <f t="shared" si="23"/>
        <v>0.32596444088553567</v>
      </c>
      <c r="Z188" s="5">
        <f t="shared" si="24"/>
        <v>1.2072757069834654</v>
      </c>
      <c r="AB188" s="5">
        <f>$AC$2*($AC$3+$AC$4*$F188/($N188*'Sem TS MC2020'!P180))*($AC$5*$G188+$AC$6*$B188/$N188)*'Sem TS MC2020'!R180*($J188-$M188)/($J188-$M188-$H188)</f>
        <v>0.3387376611628351</v>
      </c>
      <c r="AC188" s="5">
        <f t="shared" si="25"/>
        <v>1.2545839302327224</v>
      </c>
      <c r="AD188" s="20">
        <f t="shared" si="26"/>
        <v>6.8737661162835084E-2</v>
      </c>
      <c r="AE188" s="21">
        <f t="shared" si="27"/>
        <v>0.79707700369994561</v>
      </c>
      <c r="AF188" s="21">
        <f>AB188*(14.068*'Sem TS MC2020'!$P180^-0.457)/$Q188</f>
        <v>1.1572039178128553</v>
      </c>
      <c r="AG188" s="21"/>
      <c r="AO188" s="5">
        <f>$AP$2*($AP$3+$AP$4*$F188/($N188*'Sem TS MC2020'!P180))*($AP$5*$G188+$AP$6*$B188/$N188)*('Sem TS MC2020'!P180^$AP$7/200000)*($J188-$M188)/($J188-$M188-$H188)+('Sem TS MC2020'!P180-$C188/$AP$8)*($AP$5*$G188+$AP$6*$B188/$N188)/200000</f>
        <v>0.34760119485655416</v>
      </c>
      <c r="AP188" s="5">
        <f t="shared" si="28"/>
        <v>1.2874118328020523</v>
      </c>
      <c r="AQ188" s="20">
        <f t="shared" si="29"/>
        <v>7.7601194856554145E-2</v>
      </c>
    </row>
    <row r="189" spans="1:43" x14ac:dyDescent="0.25">
      <c r="B189" s="3">
        <v>10</v>
      </c>
      <c r="C189" s="4">
        <v>528</v>
      </c>
      <c r="D189" s="4">
        <v>1</v>
      </c>
      <c r="E189" s="3">
        <v>45</v>
      </c>
      <c r="F189" s="5">
        <v>2.8</v>
      </c>
      <c r="G189" s="3">
        <v>40</v>
      </c>
      <c r="H189" s="3">
        <v>45</v>
      </c>
      <c r="I189" s="1">
        <v>100</v>
      </c>
      <c r="J189" s="3">
        <v>350</v>
      </c>
      <c r="K189" s="4">
        <v>78.5</v>
      </c>
      <c r="L189" s="5">
        <v>9500</v>
      </c>
      <c r="M189" s="4">
        <v>54.138654849565903</v>
      </c>
      <c r="N189" s="10">
        <v>8.2631578947368403E-3</v>
      </c>
      <c r="O189" s="5">
        <v>9.01</v>
      </c>
      <c r="P189" s="4">
        <v>310.69367846302703</v>
      </c>
      <c r="Q189" s="5">
        <v>0.28999999999999998</v>
      </c>
      <c r="R189" s="11">
        <f t="shared" si="20"/>
        <v>1.5534683923151351E-3</v>
      </c>
      <c r="V189" s="5">
        <f t="shared" si="21"/>
        <v>0.33002319477286296</v>
      </c>
      <c r="W189" s="5">
        <f t="shared" si="22"/>
        <v>1.1380110164581483</v>
      </c>
      <c r="Y189" s="5">
        <f t="shared" si="23"/>
        <v>0.3393936729045488</v>
      </c>
      <c r="Z189" s="5">
        <f t="shared" si="24"/>
        <v>1.1703230100156856</v>
      </c>
      <c r="AB189" s="5">
        <f>$AC$2*($AC$3+$AC$4*$F189/($N189*'Sem TS MC2020'!P181))*($AC$5*$G189+$AC$6*$B189/$N189)*'Sem TS MC2020'!R181*($J189-$M189)/($J189-$M189-$H189)</f>
        <v>0.357894749005504</v>
      </c>
      <c r="AC189" s="5">
        <f t="shared" si="25"/>
        <v>1.2341198241569105</v>
      </c>
      <c r="AD189" s="20">
        <f t="shared" si="26"/>
        <v>6.7894749005504018E-2</v>
      </c>
      <c r="AE189" s="21">
        <f t="shared" si="27"/>
        <v>0.81029409010843045</v>
      </c>
      <c r="AF189" s="21">
        <f>AB189*(14.068*'Sem TS MC2020'!$P181^-0.457)/$Q189</f>
        <v>1.1231970503040449</v>
      </c>
      <c r="AG189" s="21"/>
      <c r="AO189" s="5">
        <f>$AP$2*($AP$3+$AP$4*$F189/($N189*'Sem TS MC2020'!P181))*($AP$5*$G189+$AP$6*$B189/$N189)*('Sem TS MC2020'!P181^$AP$7/200000)*($J189-$M189)/($J189-$M189-$H189)+('Sem TS MC2020'!P181-$C189/$AP$8)*($AP$5*$G189+$AP$6*$B189/$N189)/200000</f>
        <v>0.36625410498748606</v>
      </c>
      <c r="AP189" s="5">
        <f t="shared" si="28"/>
        <v>1.262945189612021</v>
      </c>
      <c r="AQ189" s="20">
        <f t="shared" si="29"/>
        <v>7.6254104987486082E-2</v>
      </c>
    </row>
    <row r="190" spans="1:43" x14ac:dyDescent="0.25">
      <c r="A190" s="1" t="s">
        <v>60</v>
      </c>
      <c r="B190" s="3">
        <v>10</v>
      </c>
      <c r="C190" s="4">
        <v>528</v>
      </c>
      <c r="D190" s="4">
        <v>1</v>
      </c>
      <c r="E190" s="3">
        <v>45</v>
      </c>
      <c r="F190" s="5">
        <v>2.8</v>
      </c>
      <c r="G190" s="3">
        <v>40</v>
      </c>
      <c r="H190" s="3">
        <v>45</v>
      </c>
      <c r="I190" s="1">
        <v>100</v>
      </c>
      <c r="J190" s="3">
        <v>350</v>
      </c>
      <c r="K190" s="4">
        <v>78.5</v>
      </c>
      <c r="L190" s="5">
        <v>9500</v>
      </c>
      <c r="M190" s="4">
        <v>54.138654849565903</v>
      </c>
      <c r="N190" s="10">
        <v>8.2631578947368403E-3</v>
      </c>
      <c r="O190" s="5">
        <v>7.29</v>
      </c>
      <c r="P190" s="4">
        <v>182.71796787100601</v>
      </c>
      <c r="Q190" s="5">
        <v>0.15</v>
      </c>
      <c r="R190" s="11">
        <f t="shared" si="20"/>
        <v>9.1358983935503006E-4</v>
      </c>
      <c r="V190" s="5">
        <f t="shared" si="21"/>
        <v>0.23784520377014476</v>
      </c>
      <c r="W190" s="5">
        <f t="shared" si="22"/>
        <v>1.5856346918009652</v>
      </c>
      <c r="Y190" s="5">
        <f t="shared" si="23"/>
        <v>0.24317426563941114</v>
      </c>
      <c r="Z190" s="5">
        <f t="shared" si="24"/>
        <v>1.6211617709294077</v>
      </c>
      <c r="AB190" s="5">
        <f>$AC$2*($AC$3+$AC$4*$F190/($N190*'Sem TS MC2020'!P182))*($AC$5*$G190+$AC$6*$B190/$N190)*'Sem TS MC2020'!R182*($J190-$M190)/($J190-$M190-$H190)</f>
        <v>0.23116324481554035</v>
      </c>
      <c r="AC190" s="5">
        <f t="shared" si="25"/>
        <v>1.541088298770269</v>
      </c>
      <c r="AD190" s="20">
        <f t="shared" si="26"/>
        <v>8.1163244815540353E-2</v>
      </c>
      <c r="AE190" s="21">
        <f t="shared" si="27"/>
        <v>0.64889208541649612</v>
      </c>
      <c r="AF190" s="21">
        <f>AB190*(14.068*'Sem TS MC2020'!$P182^-0.457)/$Q190</f>
        <v>1.5451437787209803</v>
      </c>
      <c r="AG190" s="21"/>
      <c r="AO190" s="5">
        <f>$AP$2*($AP$3+$AP$4*$F190/($N190*'Sem TS MC2020'!P182))*($AP$5*$G190+$AP$6*$B190/$N190)*('Sem TS MC2020'!P182^$AP$7/200000)*($J190-$M190)/($J190-$M190-$H190)+('Sem TS MC2020'!P182-$C190/$AP$8)*($AP$5*$G190+$AP$6*$B190/$N190)/200000</f>
        <v>0.23998906496135841</v>
      </c>
      <c r="AP190" s="5">
        <f t="shared" si="28"/>
        <v>1.5999270997423896</v>
      </c>
      <c r="AQ190" s="20">
        <f t="shared" si="29"/>
        <v>8.9989064961358417E-2</v>
      </c>
    </row>
    <row r="191" spans="1:43" x14ac:dyDescent="0.25">
      <c r="B191" s="3">
        <v>10</v>
      </c>
      <c r="C191" s="4">
        <v>528</v>
      </c>
      <c r="D191" s="4">
        <v>1</v>
      </c>
      <c r="E191" s="3">
        <v>45</v>
      </c>
      <c r="F191" s="5">
        <v>2.8</v>
      </c>
      <c r="G191" s="3">
        <v>40</v>
      </c>
      <c r="H191" s="3">
        <v>45</v>
      </c>
      <c r="I191" s="1">
        <v>100</v>
      </c>
      <c r="J191" s="3">
        <v>350</v>
      </c>
      <c r="K191" s="4">
        <v>78.5</v>
      </c>
      <c r="L191" s="5">
        <v>9500</v>
      </c>
      <c r="M191" s="4">
        <v>54.138654849565903</v>
      </c>
      <c r="N191" s="10">
        <v>8.2631578947368403E-3</v>
      </c>
      <c r="O191" s="5">
        <v>7.58</v>
      </c>
      <c r="P191" s="4">
        <v>204.29526791268401</v>
      </c>
      <c r="Q191" s="5">
        <v>0.16</v>
      </c>
      <c r="R191" s="11">
        <f t="shared" si="20"/>
        <v>1.02147633956342E-3</v>
      </c>
      <c r="V191" s="5">
        <f t="shared" si="21"/>
        <v>0.25480311817872769</v>
      </c>
      <c r="W191" s="5">
        <f t="shared" si="22"/>
        <v>1.592519488617048</v>
      </c>
      <c r="Y191" s="5">
        <f t="shared" si="23"/>
        <v>0.2608321978317531</v>
      </c>
      <c r="Z191" s="5">
        <f t="shared" si="24"/>
        <v>1.6302012364484568</v>
      </c>
      <c r="AB191" s="5">
        <f>$AC$2*($AC$3+$AC$4*$F191/($N191*'Sem TS MC2020'!P183))*($AC$5*$G191+$AC$6*$B191/$N191)*'Sem TS MC2020'!R183*($J191-$M191)/($J191-$M191-$H191)</f>
        <v>0.25253076587082535</v>
      </c>
      <c r="AC191" s="5">
        <f t="shared" si="25"/>
        <v>1.5783172866926585</v>
      </c>
      <c r="AD191" s="20">
        <f t="shared" si="26"/>
        <v>9.2530765870825343E-2</v>
      </c>
      <c r="AE191" s="21">
        <f t="shared" si="27"/>
        <v>0.63358616700922399</v>
      </c>
      <c r="AF191" s="21">
        <f>AB191*(14.068*'Sem TS MC2020'!$P183^-0.457)/$Q191</f>
        <v>1.5545093599723585</v>
      </c>
      <c r="AG191" s="21"/>
      <c r="AO191" s="5">
        <f>$AP$2*($AP$3+$AP$4*$F191/($N191*'Sem TS MC2020'!P183))*($AP$5*$G191+$AP$6*$B191/$N191)*('Sem TS MC2020'!P183^$AP$7/200000)*($J191-$M191)/($J191-$M191-$H191)+('Sem TS MC2020'!P183-$C191/$AP$8)*($AP$5*$G191+$AP$6*$B191/$N191)/200000</f>
        <v>0.26178965063982718</v>
      </c>
      <c r="AP191" s="5">
        <f t="shared" si="28"/>
        <v>1.6361853164989197</v>
      </c>
      <c r="AQ191" s="20">
        <f t="shared" si="29"/>
        <v>0.10178965063982717</v>
      </c>
    </row>
    <row r="192" spans="1:43" x14ac:dyDescent="0.25">
      <c r="B192" s="3">
        <v>10</v>
      </c>
      <c r="C192" s="4">
        <v>528</v>
      </c>
      <c r="D192" s="4">
        <v>1</v>
      </c>
      <c r="E192" s="3">
        <v>45</v>
      </c>
      <c r="F192" s="5">
        <v>2.8</v>
      </c>
      <c r="G192" s="3">
        <v>40</v>
      </c>
      <c r="H192" s="3">
        <v>45</v>
      </c>
      <c r="I192" s="1">
        <v>100</v>
      </c>
      <c r="J192" s="3">
        <v>350</v>
      </c>
      <c r="K192" s="4">
        <v>78.5</v>
      </c>
      <c r="L192" s="5">
        <v>9500</v>
      </c>
      <c r="M192" s="4">
        <v>54.138654849565903</v>
      </c>
      <c r="N192" s="10">
        <v>8.2631578947368403E-3</v>
      </c>
      <c r="O192" s="5">
        <v>7.99</v>
      </c>
      <c r="P192" s="4">
        <v>234.80110590264201</v>
      </c>
      <c r="Q192" s="5">
        <v>0.18</v>
      </c>
      <c r="R192" s="11">
        <f t="shared" si="20"/>
        <v>1.1740055295132101E-3</v>
      </c>
      <c r="V192" s="5">
        <f t="shared" si="21"/>
        <v>0.27764978920004074</v>
      </c>
      <c r="W192" s="5">
        <f t="shared" si="22"/>
        <v>1.5424988288891153</v>
      </c>
      <c r="Y192" s="5">
        <f t="shared" si="23"/>
        <v>0.28465490430864604</v>
      </c>
      <c r="Z192" s="5">
        <f t="shared" si="24"/>
        <v>1.5814161350480336</v>
      </c>
      <c r="AB192" s="5">
        <f>$AC$2*($AC$3+$AC$4*$F192/($N192*'Sem TS MC2020'!P184))*($AC$5*$G192+$AC$6*$B192/$N192)*'Sem TS MC2020'!R184*($J192-$M192)/($J192-$M192-$H192)</f>
        <v>0.2827400197765732</v>
      </c>
      <c r="AC192" s="5">
        <f t="shared" si="25"/>
        <v>1.570777887647629</v>
      </c>
      <c r="AD192" s="20">
        <f t="shared" si="26"/>
        <v>0.10274001977657321</v>
      </c>
      <c r="AE192" s="21">
        <f t="shared" si="27"/>
        <v>0.63662724556021311</v>
      </c>
      <c r="AF192" s="21">
        <f>AB192*(14.068*'Sem TS MC2020'!$P184^-0.457)/$Q192</f>
        <v>1.5102844674681393</v>
      </c>
      <c r="AG192" s="21"/>
      <c r="AO192" s="5">
        <f>$AP$2*($AP$3+$AP$4*$F192/($N192*'Sem TS MC2020'!P184))*($AP$5*$G192+$AP$6*$B192/$N192)*('Sem TS MC2020'!P184^$AP$7/200000)*($J192-$M192)/($J192-$M192-$H192)+('Sem TS MC2020'!P184-$C192/$AP$8)*($AP$5*$G192+$AP$6*$B192/$N192)/200000</f>
        <v>0.29223263599429899</v>
      </c>
      <c r="AP192" s="5">
        <f t="shared" si="28"/>
        <v>1.6235146444127722</v>
      </c>
      <c r="AQ192" s="20">
        <f t="shared" si="29"/>
        <v>0.112232635994299</v>
      </c>
    </row>
    <row r="193" spans="1:43" x14ac:dyDescent="0.25">
      <c r="B193" s="3">
        <v>10</v>
      </c>
      <c r="C193" s="4">
        <v>528</v>
      </c>
      <c r="D193" s="4">
        <v>1</v>
      </c>
      <c r="E193" s="3">
        <v>45</v>
      </c>
      <c r="F193" s="5">
        <v>2.8</v>
      </c>
      <c r="G193" s="3">
        <v>40</v>
      </c>
      <c r="H193" s="3">
        <v>45</v>
      </c>
      <c r="I193" s="1">
        <v>100</v>
      </c>
      <c r="J193" s="3">
        <v>350</v>
      </c>
      <c r="K193" s="4">
        <v>78.5</v>
      </c>
      <c r="L193" s="5">
        <v>9500</v>
      </c>
      <c r="M193" s="4">
        <v>54.138654849565903</v>
      </c>
      <c r="N193" s="10">
        <v>8.2631578947368403E-3</v>
      </c>
      <c r="O193" s="5">
        <v>8.23</v>
      </c>
      <c r="P193" s="4">
        <v>252.65818179920399</v>
      </c>
      <c r="Q193" s="5">
        <v>0.18</v>
      </c>
      <c r="R193" s="11">
        <f t="shared" si="20"/>
        <v>1.26329090899602E-3</v>
      </c>
      <c r="V193" s="5">
        <f t="shared" si="21"/>
        <v>0.29049485839636813</v>
      </c>
      <c r="W193" s="5">
        <f t="shared" si="22"/>
        <v>1.6138603244242675</v>
      </c>
      <c r="Y193" s="5">
        <f t="shared" si="23"/>
        <v>0.29806428327276357</v>
      </c>
      <c r="Z193" s="5">
        <f t="shared" si="24"/>
        <v>1.6559126848486865</v>
      </c>
      <c r="AB193" s="5">
        <f>$AC$2*($AC$3+$AC$4*$F193/($N193*'Sem TS MC2020'!P185))*($AC$5*$G193+$AC$6*$B193/$N193)*'Sem TS MC2020'!R185*($J193-$M193)/($J193-$M193-$H193)</f>
        <v>0.30042348547749753</v>
      </c>
      <c r="AC193" s="5">
        <f t="shared" si="25"/>
        <v>1.6690193637638753</v>
      </c>
      <c r="AD193" s="20">
        <f t="shared" si="26"/>
        <v>0.12042348547749754</v>
      </c>
      <c r="AE193" s="21">
        <f t="shared" si="27"/>
        <v>0.59915422295931797</v>
      </c>
      <c r="AF193" s="21">
        <f>AB193*(14.068*'Sem TS MC2020'!$P185^-0.457)/$Q193</f>
        <v>1.5831844142140028</v>
      </c>
      <c r="AG193" s="21"/>
      <c r="AO193" s="5">
        <f>$AP$2*($AP$3+$AP$4*$F193/($N193*'Sem TS MC2020'!P185))*($AP$5*$G193+$AP$6*$B193/$N193)*('Sem TS MC2020'!P185^$AP$7/200000)*($J193-$M193)/($J193-$M193-$H193)+('Sem TS MC2020'!P185-$C193/$AP$8)*($AP$5*$G193+$AP$6*$B193/$N193)/200000</f>
        <v>0.30986019396344455</v>
      </c>
      <c r="AP193" s="5">
        <f t="shared" si="28"/>
        <v>1.7214455220191365</v>
      </c>
      <c r="AQ193" s="20">
        <f t="shared" si="29"/>
        <v>0.12986019396344456</v>
      </c>
    </row>
    <row r="194" spans="1:43" x14ac:dyDescent="0.25">
      <c r="B194" s="3">
        <v>10</v>
      </c>
      <c r="C194" s="4">
        <v>528</v>
      </c>
      <c r="D194" s="4">
        <v>1</v>
      </c>
      <c r="E194" s="3">
        <v>45</v>
      </c>
      <c r="F194" s="5">
        <v>2.8</v>
      </c>
      <c r="G194" s="3">
        <v>40</v>
      </c>
      <c r="H194" s="3">
        <v>45</v>
      </c>
      <c r="I194" s="1">
        <v>100</v>
      </c>
      <c r="J194" s="3">
        <v>350</v>
      </c>
      <c r="K194" s="4">
        <v>78.5</v>
      </c>
      <c r="L194" s="5">
        <v>9500</v>
      </c>
      <c r="M194" s="4">
        <v>54.138654849565903</v>
      </c>
      <c r="N194" s="10">
        <v>8.2631578947368403E-3</v>
      </c>
      <c r="O194" s="5">
        <v>8.4600000000000009</v>
      </c>
      <c r="P194" s="4">
        <v>269.771212866741</v>
      </c>
      <c r="Q194" s="5">
        <v>0.19</v>
      </c>
      <c r="R194" s="11">
        <f t="shared" si="20"/>
        <v>1.3488560643337051E-3</v>
      </c>
      <c r="V194" s="5">
        <f t="shared" si="21"/>
        <v>0.30248208005910898</v>
      </c>
      <c r="W194" s="5">
        <f t="shared" si="22"/>
        <v>1.592010947679521</v>
      </c>
      <c r="Y194" s="5">
        <f t="shared" si="23"/>
        <v>0.31058767918979541</v>
      </c>
      <c r="Z194" s="5">
        <f t="shared" si="24"/>
        <v>1.6346719957357654</v>
      </c>
      <c r="AB194" s="5">
        <f>$AC$2*($AC$3+$AC$4*$F194/($N194*'Sem TS MC2020'!P186))*($AC$5*$G194+$AC$6*$B194/$N194)*'Sem TS MC2020'!R186*($J194-$M194)/($J194-$M194-$H194)</f>
        <v>0.31737014010755177</v>
      </c>
      <c r="AC194" s="5">
        <f t="shared" si="25"/>
        <v>1.6703691584607987</v>
      </c>
      <c r="AD194" s="20">
        <f t="shared" si="26"/>
        <v>0.12737014010755177</v>
      </c>
      <c r="AE194" s="21">
        <f t="shared" si="27"/>
        <v>0.598670057415017</v>
      </c>
      <c r="AF194" s="21">
        <f>AB194*(14.068*'Sem TS MC2020'!$P186^-0.457)/$Q194</f>
        <v>1.5646314725860999</v>
      </c>
      <c r="AG194" s="21"/>
      <c r="AO194" s="5">
        <f>$AP$2*($AP$3+$AP$4*$F194/($N194*'Sem TS MC2020'!P186))*($AP$5*$G194+$AP$6*$B194/$N194)*('Sem TS MC2020'!P186^$AP$7/200000)*($J194-$M194)/($J194-$M194-$H194)+('Sem TS MC2020'!P186-$C194/$AP$8)*($AP$5*$G194+$AP$6*$B194/$N194)/200000</f>
        <v>0.32662734603143223</v>
      </c>
      <c r="AP194" s="5">
        <f t="shared" si="28"/>
        <v>1.719091294902275</v>
      </c>
      <c r="AQ194" s="20">
        <f t="shared" si="29"/>
        <v>0.13662734603143223</v>
      </c>
    </row>
    <row r="195" spans="1:43" x14ac:dyDescent="0.25">
      <c r="B195" s="3">
        <v>10</v>
      </c>
      <c r="C195" s="4">
        <v>528</v>
      </c>
      <c r="D195" s="4">
        <v>1</v>
      </c>
      <c r="E195" s="3">
        <v>45</v>
      </c>
      <c r="F195" s="5">
        <v>2.8</v>
      </c>
      <c r="G195" s="3">
        <v>40</v>
      </c>
      <c r="H195" s="3">
        <v>45</v>
      </c>
      <c r="I195" s="1">
        <v>100</v>
      </c>
      <c r="J195" s="3">
        <v>350</v>
      </c>
      <c r="K195" s="4">
        <v>78.5</v>
      </c>
      <c r="L195" s="5">
        <v>9500</v>
      </c>
      <c r="M195" s="4">
        <v>54.138654849565903</v>
      </c>
      <c r="N195" s="10">
        <v>8.2631578947368403E-3</v>
      </c>
      <c r="O195" s="5">
        <v>8.7100000000000009</v>
      </c>
      <c r="P195" s="4">
        <v>288.37233359232602</v>
      </c>
      <c r="Q195" s="5">
        <v>0.2</v>
      </c>
      <c r="R195" s="11">
        <f t="shared" si="20"/>
        <v>1.44186166796163E-3</v>
      </c>
      <c r="V195" s="5">
        <f t="shared" si="21"/>
        <v>0.31518586240827845</v>
      </c>
      <c r="W195" s="5">
        <f t="shared" si="22"/>
        <v>1.5759293120413922</v>
      </c>
      <c r="Y195" s="5">
        <f t="shared" si="23"/>
        <v>0.32386934252769439</v>
      </c>
      <c r="Z195" s="5">
        <f t="shared" si="24"/>
        <v>1.619346712638472</v>
      </c>
      <c r="AB195" s="5">
        <f>$AC$2*($AC$3+$AC$4*$F195/($N195*'Sem TS MC2020'!P187))*($AC$5*$G195+$AC$6*$B195/$N195)*'Sem TS MC2020'!R187*($J195-$M195)/($J195-$M195-$H195)</f>
        <v>0.33579041687934758</v>
      </c>
      <c r="AC195" s="5">
        <f t="shared" si="25"/>
        <v>1.6789520843967378</v>
      </c>
      <c r="AD195" s="20">
        <f t="shared" si="26"/>
        <v>0.13579041687934756</v>
      </c>
      <c r="AE195" s="21">
        <f t="shared" si="27"/>
        <v>0.59560961226556308</v>
      </c>
      <c r="AF195" s="21">
        <f>AB195*(14.068*'Sem TS MC2020'!$P187^-0.457)/$Q195</f>
        <v>1.551879014182564</v>
      </c>
      <c r="AG195" s="21"/>
      <c r="AO195" s="5">
        <f>$AP$2*($AP$3+$AP$4*$F195/($N195*'Sem TS MC2020'!P187))*($AP$5*$G195+$AP$6*$B195/$N195)*('Sem TS MC2020'!P187^$AP$7/200000)*($J195-$M195)/($J195-$M195-$H195)+('Sem TS MC2020'!P187-$C195/$AP$8)*($AP$5*$G195+$AP$6*$B195/$N195)/200000</f>
        <v>0.34471901868466559</v>
      </c>
      <c r="AP195" s="5">
        <f t="shared" si="28"/>
        <v>1.723595093423328</v>
      </c>
      <c r="AQ195" s="20">
        <f t="shared" si="29"/>
        <v>0.14471901868466558</v>
      </c>
    </row>
    <row r="196" spans="1:43" x14ac:dyDescent="0.25">
      <c r="B196" s="3">
        <v>10</v>
      </c>
      <c r="C196" s="4">
        <v>528</v>
      </c>
      <c r="D196" s="4">
        <v>1</v>
      </c>
      <c r="E196" s="3">
        <v>45</v>
      </c>
      <c r="F196" s="5">
        <v>2.8</v>
      </c>
      <c r="G196" s="3">
        <v>40</v>
      </c>
      <c r="H196" s="3">
        <v>45</v>
      </c>
      <c r="I196" s="1">
        <v>100</v>
      </c>
      <c r="J196" s="3">
        <v>350</v>
      </c>
      <c r="K196" s="4">
        <v>78.5</v>
      </c>
      <c r="L196" s="5">
        <v>9500</v>
      </c>
      <c r="M196" s="4">
        <v>54.138654849565903</v>
      </c>
      <c r="N196" s="10">
        <v>8.2631578947368403E-3</v>
      </c>
      <c r="O196" s="5">
        <v>9.0399999999999991</v>
      </c>
      <c r="P196" s="4">
        <v>312.92581295009802</v>
      </c>
      <c r="Q196" s="5">
        <v>0.22</v>
      </c>
      <c r="R196" s="11">
        <f t="shared" si="20"/>
        <v>1.56462906475049E-3</v>
      </c>
      <c r="V196" s="5">
        <f t="shared" si="21"/>
        <v>0.33148409859801636</v>
      </c>
      <c r="W196" s="5">
        <f t="shared" si="22"/>
        <v>1.5067459027182561</v>
      </c>
      <c r="Y196" s="5">
        <f t="shared" si="23"/>
        <v>0.34092290179999984</v>
      </c>
      <c r="Z196" s="5">
        <f t="shared" si="24"/>
        <v>1.549649553636363</v>
      </c>
      <c r="AB196" s="5">
        <f>$AC$2*($AC$3+$AC$4*$F196/($N196*'Sem TS MC2020'!P188))*($AC$5*$G196+$AC$6*$B196/$N196)*'Sem TS MC2020'!R188*($J196-$M196)/($J196-$M196-$H196)</f>
        <v>0.36010518221812027</v>
      </c>
      <c r="AC196" s="5">
        <f t="shared" si="25"/>
        <v>1.6368417373550921</v>
      </c>
      <c r="AD196" s="20">
        <f t="shared" si="26"/>
        <v>0.14010518221812027</v>
      </c>
      <c r="AE196" s="21">
        <f t="shared" si="27"/>
        <v>0.6109326132017262</v>
      </c>
      <c r="AF196" s="21">
        <f>AB196*(14.068*'Sem TS MC2020'!$P188^-0.457)/$Q196</f>
        <v>1.487460949131707</v>
      </c>
      <c r="AG196" s="21"/>
      <c r="AO196" s="5">
        <f>$AP$2*($AP$3+$AP$4*$F196/($N196*'Sem TS MC2020'!P188))*($AP$5*$G196+$AP$6*$B196/$N196)*('Sem TS MC2020'!P188^$AP$7/200000)*($J196-$M196)/($J196-$M196-$H196)+('Sem TS MC2020'!P188-$C196/$AP$8)*($AP$5*$G196+$AP$6*$B196/$N196)/200000</f>
        <v>0.36839747949112689</v>
      </c>
      <c r="AP196" s="5">
        <f t="shared" si="28"/>
        <v>1.6745339976869404</v>
      </c>
      <c r="AQ196" s="20">
        <f t="shared" si="29"/>
        <v>0.14839747949112689</v>
      </c>
    </row>
    <row r="197" spans="1:43" x14ac:dyDescent="0.25">
      <c r="A197" s="1" t="s">
        <v>61</v>
      </c>
      <c r="B197" s="3">
        <v>20</v>
      </c>
      <c r="C197" s="4">
        <v>598</v>
      </c>
      <c r="D197" s="4">
        <v>1</v>
      </c>
      <c r="E197" s="3">
        <v>40</v>
      </c>
      <c r="F197" s="5">
        <v>2.8</v>
      </c>
      <c r="G197" s="3">
        <v>40</v>
      </c>
      <c r="H197" s="3">
        <v>50</v>
      </c>
      <c r="I197" s="1">
        <v>100</v>
      </c>
      <c r="J197" s="3">
        <v>350</v>
      </c>
      <c r="K197" s="4">
        <v>315</v>
      </c>
      <c r="L197" s="5">
        <v>15000</v>
      </c>
      <c r="M197" s="4">
        <v>96.386921369125801</v>
      </c>
      <c r="N197" s="10">
        <v>2.1000000000000001E-2</v>
      </c>
      <c r="O197" s="5">
        <v>18.98</v>
      </c>
      <c r="P197" s="4">
        <v>138.052653306689</v>
      </c>
      <c r="Q197" s="5">
        <v>0.16</v>
      </c>
      <c r="R197" s="11">
        <f t="shared" si="20"/>
        <v>6.9026326653344493E-4</v>
      </c>
      <c r="V197" s="5">
        <f t="shared" si="21"/>
        <v>0.21608382806532664</v>
      </c>
      <c r="W197" s="5">
        <f t="shared" si="22"/>
        <v>1.3505239254082915</v>
      </c>
      <c r="Y197" s="5">
        <f t="shared" si="23"/>
        <v>0.21359212452444792</v>
      </c>
      <c r="Z197" s="5">
        <f t="shared" si="24"/>
        <v>1.3349507782777994</v>
      </c>
      <c r="AB197" s="5">
        <f>$AC$2*($AC$3+$AC$4*$F197/($N197*'Sem TS MC2020'!P189))*($AC$5*$G197+$AC$6*$B197/$N197)*'Sem TS MC2020'!R189*($J197-$M197)/($J197-$M197-$H197)</f>
        <v>0.22104140045309004</v>
      </c>
      <c r="AC197" s="5">
        <f t="shared" si="25"/>
        <v>1.3815087528318126</v>
      </c>
      <c r="AD197" s="20">
        <f t="shared" si="26"/>
        <v>6.1041400453090033E-2</v>
      </c>
      <c r="AE197" s="21">
        <f t="shared" si="27"/>
        <v>0.72384630061170652</v>
      </c>
      <c r="AF197" s="21">
        <f>AB197*(14.068*'Sem TS MC2020'!$P189^-0.457)/$Q197</f>
        <v>1.635665977590393</v>
      </c>
      <c r="AG197" s="21"/>
      <c r="AO197" s="5">
        <f>$AP$2*($AP$3+$AP$4*$F197/($N197*'Sem TS MC2020'!P189))*($AP$5*$G197+$AP$6*$B197/$N197)*('Sem TS MC2020'!P189^$AP$7/200000)*($J197-$M197)/($J197-$M197-$H197)+('Sem TS MC2020'!P189-$C197/$AP$8)*($AP$5*$G197+$AP$6*$B197/$N197)/200000</f>
        <v>0.23291678930232579</v>
      </c>
      <c r="AP197" s="5">
        <f t="shared" si="28"/>
        <v>1.4557299331395361</v>
      </c>
      <c r="AQ197" s="20">
        <f t="shared" si="29"/>
        <v>7.2916789302325785E-2</v>
      </c>
    </row>
    <row r="198" spans="1:43" x14ac:dyDescent="0.25">
      <c r="B198" s="3">
        <v>20</v>
      </c>
      <c r="C198" s="4">
        <v>598</v>
      </c>
      <c r="D198" s="4">
        <v>1</v>
      </c>
      <c r="E198" s="3">
        <v>40</v>
      </c>
      <c r="F198" s="5">
        <v>2.8</v>
      </c>
      <c r="G198" s="3">
        <v>40</v>
      </c>
      <c r="H198" s="3">
        <v>50</v>
      </c>
      <c r="I198" s="1">
        <v>100</v>
      </c>
      <c r="J198" s="3">
        <v>350</v>
      </c>
      <c r="K198" s="4">
        <v>315</v>
      </c>
      <c r="L198" s="5">
        <v>15000</v>
      </c>
      <c r="M198" s="4">
        <v>96.386921369125801</v>
      </c>
      <c r="N198" s="10">
        <v>2.1000000000000001E-2</v>
      </c>
      <c r="O198" s="5">
        <v>21.93</v>
      </c>
      <c r="P198" s="4">
        <v>183.38520949225401</v>
      </c>
      <c r="Q198" s="5">
        <v>0.2</v>
      </c>
      <c r="R198" s="11">
        <f t="shared" si="20"/>
        <v>9.1692604746127003E-4</v>
      </c>
      <c r="V198" s="5">
        <f t="shared" si="21"/>
        <v>0.25746039191501902</v>
      </c>
      <c r="W198" s="5">
        <f t="shared" si="22"/>
        <v>1.287301959575095</v>
      </c>
      <c r="Y198" s="5">
        <f t="shared" si="23"/>
        <v>0.25528771229993369</v>
      </c>
      <c r="Z198" s="5">
        <f t="shared" si="24"/>
        <v>1.2764385614996683</v>
      </c>
      <c r="AB198" s="5">
        <f>$AC$2*($AC$3+$AC$4*$F198/($N198*'Sem TS MC2020'!P190))*($AC$5*$G198+$AC$6*$B198/$N198)*'Sem TS MC2020'!R190*($J198-$M198)/($J198-$M198-$H198)</f>
        <v>0.27174994354255039</v>
      </c>
      <c r="AC198" s="5">
        <f t="shared" si="25"/>
        <v>1.3587497177127519</v>
      </c>
      <c r="AD198" s="20">
        <f t="shared" si="26"/>
        <v>7.1749943542550376E-2</v>
      </c>
      <c r="AE198" s="21">
        <f t="shared" si="27"/>
        <v>0.73597071407922543</v>
      </c>
      <c r="AF198" s="21">
        <f>AB198*(14.068*'Sem TS MC2020'!$P190^-0.457)/$Q198</f>
        <v>1.5059382309083476</v>
      </c>
      <c r="AG198" s="21"/>
      <c r="AO198" s="5">
        <f>$AP$2*($AP$3+$AP$4*$F198/($N198*'Sem TS MC2020'!P190))*($AP$5*$G198+$AP$6*$B198/$N198)*('Sem TS MC2020'!P190^$AP$7/200000)*($J198-$M198)/($J198-$M198-$H198)+('Sem TS MC2020'!P190-$C198/$AP$8)*($AP$5*$G198+$AP$6*$B198/$N198)/200000</f>
        <v>0.28416354492939144</v>
      </c>
      <c r="AP198" s="5">
        <f t="shared" si="28"/>
        <v>1.4208177246469571</v>
      </c>
      <c r="AQ198" s="20">
        <f t="shared" si="29"/>
        <v>8.4163544929391432E-2</v>
      </c>
    </row>
    <row r="199" spans="1:43" x14ac:dyDescent="0.25">
      <c r="B199" s="3">
        <v>20</v>
      </c>
      <c r="C199" s="4">
        <v>598</v>
      </c>
      <c r="D199" s="4">
        <v>1</v>
      </c>
      <c r="E199" s="3">
        <v>40</v>
      </c>
      <c r="F199" s="5">
        <v>2.8</v>
      </c>
      <c r="G199" s="3">
        <v>40</v>
      </c>
      <c r="H199" s="3">
        <v>50</v>
      </c>
      <c r="I199" s="1">
        <v>100</v>
      </c>
      <c r="J199" s="3">
        <v>350</v>
      </c>
      <c r="K199" s="4">
        <v>315</v>
      </c>
      <c r="L199" s="5">
        <v>15000</v>
      </c>
      <c r="M199" s="4">
        <v>96.386921369125801</v>
      </c>
      <c r="N199" s="10">
        <v>2.1000000000000001E-2</v>
      </c>
      <c r="O199" s="5">
        <v>24.87</v>
      </c>
      <c r="P199" s="4">
        <v>228.56409599583299</v>
      </c>
      <c r="Q199" s="5">
        <v>0.23</v>
      </c>
      <c r="R199" s="11">
        <f t="shared" si="20"/>
        <v>1.1428204799791648E-3</v>
      </c>
      <c r="V199" s="5">
        <f t="shared" si="21"/>
        <v>0.29493247253367538</v>
      </c>
      <c r="W199" s="5">
        <f t="shared" si="22"/>
        <v>1.2823150979725015</v>
      </c>
      <c r="Y199" s="5">
        <f t="shared" si="23"/>
        <v>0.29315287514100974</v>
      </c>
      <c r="Z199" s="5">
        <f t="shared" si="24"/>
        <v>1.27457771800439</v>
      </c>
      <c r="AB199" s="5">
        <f>$AC$2*($AC$3+$AC$4*$F199/($N199*'Sem TS MC2020'!P191))*($AC$5*$G199+$AC$6*$B199/$N199)*'Sem TS MC2020'!R191*($J199-$M199)/($J199-$M199-$H199)</f>
        <v>0.32228659326560666</v>
      </c>
      <c r="AC199" s="5">
        <f t="shared" si="25"/>
        <v>1.4012460576765506</v>
      </c>
      <c r="AD199" s="20">
        <f t="shared" si="26"/>
        <v>9.2286593265606648E-2</v>
      </c>
      <c r="AE199" s="21">
        <f t="shared" si="27"/>
        <v>0.71365053590811234</v>
      </c>
      <c r="AF199" s="21">
        <f>AB199*(14.068*'Sem TS MC2020'!$P191^-0.457)/$Q199</f>
        <v>1.4662665140202875</v>
      </c>
      <c r="AG199" s="21"/>
      <c r="AO199" s="5">
        <f>$AP$2*($AP$3+$AP$4*$F199/($N199*'Sem TS MC2020'!P191))*($AP$5*$G199+$AP$6*$B199/$N199)*('Sem TS MC2020'!P191^$AP$7/200000)*($J199-$M199)/($J199-$M199-$H199)+('Sem TS MC2020'!P191-$C199/$AP$8)*($AP$5*$G199+$AP$6*$B199/$N199)/200000</f>
        <v>0.33372101604044185</v>
      </c>
      <c r="AP199" s="5">
        <f t="shared" si="28"/>
        <v>1.4509609393062688</v>
      </c>
      <c r="AQ199" s="20">
        <f t="shared" si="29"/>
        <v>0.10372101604044184</v>
      </c>
    </row>
    <row r="200" spans="1:43" x14ac:dyDescent="0.25">
      <c r="A200" s="1" t="s">
        <v>62</v>
      </c>
      <c r="B200" s="3">
        <v>20</v>
      </c>
      <c r="C200" s="4">
        <v>598</v>
      </c>
      <c r="D200" s="4">
        <v>1</v>
      </c>
      <c r="E200" s="3">
        <v>40</v>
      </c>
      <c r="F200" s="5">
        <v>2.8</v>
      </c>
      <c r="G200" s="3">
        <v>40</v>
      </c>
      <c r="H200" s="3">
        <v>50</v>
      </c>
      <c r="I200" s="1">
        <v>100</v>
      </c>
      <c r="J200" s="3">
        <v>350</v>
      </c>
      <c r="K200" s="4">
        <v>315</v>
      </c>
      <c r="L200" s="5">
        <v>15000</v>
      </c>
      <c r="M200" s="4">
        <v>96.386921369125801</v>
      </c>
      <c r="N200" s="10">
        <v>2.1000000000000001E-2</v>
      </c>
      <c r="O200" s="5">
        <v>18.98</v>
      </c>
      <c r="P200" s="4">
        <v>152.45029192516199</v>
      </c>
      <c r="Q200" s="5">
        <v>0.14000000000000001</v>
      </c>
      <c r="R200" s="11">
        <f t="shared" si="20"/>
        <v>7.6225145962580999E-4</v>
      </c>
      <c r="V200" s="5">
        <f t="shared" si="21"/>
        <v>0.22972316228986339</v>
      </c>
      <c r="W200" s="5">
        <f t="shared" si="22"/>
        <v>1.6408797306418812</v>
      </c>
      <c r="Y200" s="5">
        <f t="shared" si="23"/>
        <v>0.22732210816672577</v>
      </c>
      <c r="Z200" s="5">
        <f t="shared" si="24"/>
        <v>1.6237293440480411</v>
      </c>
      <c r="AB200" s="5">
        <f>$AC$2*($AC$3+$AC$4*$F200/($N200*'Sem TS MC2020'!P192))*($AC$5*$G200+$AC$6*$B200/$N200)*'Sem TS MC2020'!R192*($J200-$M200)/($J200-$M200-$H200)</f>
        <v>0.22104140045309004</v>
      </c>
      <c r="AC200" s="5">
        <f t="shared" si="25"/>
        <v>1.5788671460935002</v>
      </c>
      <c r="AD200" s="20">
        <f t="shared" si="26"/>
        <v>8.1041400453090023E-2</v>
      </c>
      <c r="AE200" s="21">
        <f t="shared" si="27"/>
        <v>0.63336551303524313</v>
      </c>
      <c r="AF200" s="21">
        <f>AB200*(14.068*'Sem TS MC2020'!$P192^-0.457)/$Q200</f>
        <v>1.8693325458175918</v>
      </c>
      <c r="AG200" s="21"/>
      <c r="AO200" s="5">
        <f>$AP$2*($AP$3+$AP$4*$F200/($N200*'Sem TS MC2020'!P192))*($AP$5*$G200+$AP$6*$B200/$N200)*('Sem TS MC2020'!P192^$AP$7/200000)*($J200-$M200)/($J200-$M200-$H200)+('Sem TS MC2020'!P192-$C200/$AP$8)*($AP$5*$G200+$AP$6*$B200/$N200)/200000</f>
        <v>0.23291678930232579</v>
      </c>
      <c r="AP200" s="5">
        <f t="shared" si="28"/>
        <v>1.6636913521594698</v>
      </c>
      <c r="AQ200" s="20">
        <f t="shared" si="29"/>
        <v>9.2916789302325775E-2</v>
      </c>
    </row>
    <row r="201" spans="1:43" x14ac:dyDescent="0.25">
      <c r="B201" s="3">
        <v>20</v>
      </c>
      <c r="C201" s="4">
        <v>598</v>
      </c>
      <c r="D201" s="4">
        <v>1</v>
      </c>
      <c r="E201" s="3">
        <v>40</v>
      </c>
      <c r="F201" s="5">
        <v>2.8</v>
      </c>
      <c r="G201" s="3">
        <v>40</v>
      </c>
      <c r="H201" s="3">
        <v>50</v>
      </c>
      <c r="I201" s="1">
        <v>100</v>
      </c>
      <c r="J201" s="3">
        <v>350</v>
      </c>
      <c r="K201" s="4">
        <v>315</v>
      </c>
      <c r="L201" s="5">
        <v>15000</v>
      </c>
      <c r="M201" s="4">
        <v>96.386921369125801</v>
      </c>
      <c r="N201" s="10">
        <v>2.1000000000000001E-2</v>
      </c>
      <c r="O201" s="5">
        <v>21.89</v>
      </c>
      <c r="P201" s="4">
        <v>195.554342766269</v>
      </c>
      <c r="Q201" s="5">
        <v>0.17</v>
      </c>
      <c r="R201" s="11">
        <f t="shared" si="20"/>
        <v>9.7777171383134505E-4</v>
      </c>
      <c r="V201" s="5">
        <f t="shared" si="21"/>
        <v>0.26787160217618067</v>
      </c>
      <c r="W201" s="5">
        <f t="shared" si="22"/>
        <v>1.5757153069187098</v>
      </c>
      <c r="Y201" s="5">
        <f t="shared" si="23"/>
        <v>0.26579884872746323</v>
      </c>
      <c r="Z201" s="5">
        <f t="shared" si="24"/>
        <v>1.5635226395733131</v>
      </c>
      <c r="AB201" s="5">
        <f>$AC$2*($AC$3+$AC$4*$F201/($N201*'Sem TS MC2020'!P193))*($AC$5*$G201+$AC$6*$B201/$N201)*'Sem TS MC2020'!R193*($J201-$M201)/($J201-$M201-$H201)</f>
        <v>0.27106237007693135</v>
      </c>
      <c r="AC201" s="5">
        <f t="shared" si="25"/>
        <v>1.594484529864302</v>
      </c>
      <c r="AD201" s="20">
        <f t="shared" si="26"/>
        <v>0.10106237007693133</v>
      </c>
      <c r="AE201" s="21">
        <f t="shared" si="27"/>
        <v>0.62716193307005907</v>
      </c>
      <c r="AF201" s="21">
        <f>AB201*(14.068*'Sem TS MC2020'!$P193^-0.457)/$Q201</f>
        <v>1.768684392601154</v>
      </c>
      <c r="AG201" s="21"/>
      <c r="AO201" s="5">
        <f>$AP$2*($AP$3+$AP$4*$F201/($N201*'Sem TS MC2020'!P193))*($AP$5*$G201+$AP$6*$B201/$N201)*('Sem TS MC2020'!P193^$AP$7/200000)*($J201-$M201)/($J201-$M201-$H201)+('Sem TS MC2020'!P193-$C201/$AP$8)*($AP$5*$G201+$AP$6*$B201/$N201)/200000</f>
        <v>0.28347954252300589</v>
      </c>
      <c r="AP201" s="5">
        <f t="shared" si="28"/>
        <v>1.667526720723564</v>
      </c>
      <c r="AQ201" s="20">
        <f t="shared" si="29"/>
        <v>0.11347954252300588</v>
      </c>
    </row>
    <row r="202" spans="1:43" x14ac:dyDescent="0.25">
      <c r="B202" s="3">
        <v>20</v>
      </c>
      <c r="C202" s="4">
        <v>598</v>
      </c>
      <c r="D202" s="4">
        <v>1</v>
      </c>
      <c r="E202" s="3">
        <v>40</v>
      </c>
      <c r="F202" s="5">
        <v>2.8</v>
      </c>
      <c r="G202" s="3">
        <v>40</v>
      </c>
      <c r="H202" s="3">
        <v>50</v>
      </c>
      <c r="I202" s="1">
        <v>100</v>
      </c>
      <c r="J202" s="3">
        <v>350</v>
      </c>
      <c r="K202" s="4">
        <v>315</v>
      </c>
      <c r="L202" s="5">
        <v>15000</v>
      </c>
      <c r="M202" s="4">
        <v>96.386921369125801</v>
      </c>
      <c r="N202" s="10">
        <v>2.1000000000000001E-2</v>
      </c>
      <c r="O202" s="5">
        <v>24.82</v>
      </c>
      <c r="P202" s="4">
        <v>237.91998936708401</v>
      </c>
      <c r="Q202" s="5">
        <v>0.21</v>
      </c>
      <c r="R202" s="11">
        <f t="shared" si="20"/>
        <v>1.1895999468354201E-3</v>
      </c>
      <c r="V202" s="5">
        <f t="shared" si="21"/>
        <v>0.30232393682699715</v>
      </c>
      <c r="W202" s="5">
        <f t="shared" si="22"/>
        <v>1.4396377944142722</v>
      </c>
      <c r="Y202" s="5">
        <f t="shared" si="23"/>
        <v>0.30063237837208456</v>
      </c>
      <c r="Z202" s="5">
        <f t="shared" si="24"/>
        <v>1.4315827541527837</v>
      </c>
      <c r="AB202" s="5">
        <f>$AC$2*($AC$3+$AC$4*$F202/($N202*'Sem TS MC2020'!P194))*($AC$5*$G202+$AC$6*$B202/$N202)*'Sem TS MC2020'!R194*($J202-$M202)/($J202-$M202-$H202)</f>
        <v>0.32142712643358218</v>
      </c>
      <c r="AC202" s="5">
        <f t="shared" si="25"/>
        <v>1.530605363969439</v>
      </c>
      <c r="AD202" s="20">
        <f t="shared" si="26"/>
        <v>0.11142712643358219</v>
      </c>
      <c r="AE202" s="21">
        <f t="shared" si="27"/>
        <v>0.65333627043264864</v>
      </c>
      <c r="AF202" s="21">
        <f>AB202*(14.068*'Sem TS MC2020'!$P194^-0.457)/$Q202</f>
        <v>1.6031020348802245</v>
      </c>
      <c r="AG202" s="21"/>
      <c r="AO202" s="5">
        <f>$AP$2*($AP$3+$AP$4*$F202/($N202*'Sem TS MC2020'!P194))*($AP$5*$G202+$AP$6*$B202/$N202)*('Sem TS MC2020'!P194^$AP$7/200000)*($J202-$M202)/($J202-$M202-$H202)+('Sem TS MC2020'!P194-$C202/$AP$8)*($AP$5*$G202+$AP$6*$B202/$N202)/200000</f>
        <v>0.33288932298033502</v>
      </c>
      <c r="AP202" s="5">
        <f t="shared" si="28"/>
        <v>1.5851872522873096</v>
      </c>
      <c r="AQ202" s="20">
        <f t="shared" si="29"/>
        <v>0.12288932298033503</v>
      </c>
    </row>
    <row r="203" spans="1:43" x14ac:dyDescent="0.25">
      <c r="A203" s="1" t="s">
        <v>63</v>
      </c>
      <c r="B203" s="3">
        <v>20</v>
      </c>
      <c r="C203" s="4">
        <v>598</v>
      </c>
      <c r="D203" s="4">
        <v>1</v>
      </c>
      <c r="E203" s="3">
        <v>40</v>
      </c>
      <c r="F203" s="5">
        <v>2.8</v>
      </c>
      <c r="G203" s="3">
        <v>40</v>
      </c>
      <c r="H203" s="3">
        <v>50</v>
      </c>
      <c r="I203" s="1">
        <v>100</v>
      </c>
      <c r="J203" s="3">
        <v>350</v>
      </c>
      <c r="K203" s="4">
        <v>315</v>
      </c>
      <c r="L203" s="5">
        <v>15000</v>
      </c>
      <c r="M203" s="4">
        <v>96.386921369125801</v>
      </c>
      <c r="N203" s="10">
        <v>2.1000000000000001E-2</v>
      </c>
      <c r="O203" s="5">
        <v>13.02</v>
      </c>
      <c r="P203" s="4">
        <v>62.135671537415803</v>
      </c>
      <c r="Q203" s="5">
        <v>0.21</v>
      </c>
      <c r="R203" s="11">
        <f t="shared" ref="R203:R266" si="30">P203/200000</f>
        <v>3.1067835768707901E-4</v>
      </c>
      <c r="V203" s="5">
        <f t="shared" ref="V203:V266" si="31">$W$2*($W$3*$G203+$W$4*$B203^$W$5*$N203^$W$6)*$R203^$W$7</f>
        <v>0.13204016067669311</v>
      </c>
      <c r="W203" s="5">
        <f t="shared" ref="W203:W266" si="32">V203/$Q203</f>
        <v>0.62876266988901486</v>
      </c>
      <c r="Y203" s="5">
        <f t="shared" ref="Y203:Y266" si="33">$Z$2*$B203^$Z$3*$R203^$Z$4*($Z$5*$N203^$Z$6+$Z$7)</f>
        <v>0.12937646281393275</v>
      </c>
      <c r="Z203" s="5">
        <f t="shared" ref="Z203:Z266" si="34">Y203/$Q203</f>
        <v>0.6160783943520608</v>
      </c>
      <c r="AB203" s="5">
        <f>$AC$2*($AC$3+$AC$4*$F203/($N203*'Sem TS MC2020'!P195))*($AC$5*$G203+$AC$6*$B203/$N203)*'Sem TS MC2020'!R195*($J203-$M203)/($J203-$M203-$H203)</f>
        <v>0.11859295407573781</v>
      </c>
      <c r="AC203" s="5">
        <f t="shared" ref="AC203:AC266" si="35">AB203/$Q203</f>
        <v>0.5647283527416086</v>
      </c>
      <c r="AD203" s="20">
        <f t="shared" ref="AD203:AD266" si="36">AB203-$Q203</f>
        <v>-9.1407045924262187E-2</v>
      </c>
      <c r="AE203" s="21">
        <f t="shared" ref="AE203:AE266" si="37">1/AC203</f>
        <v>1.7707628723531612</v>
      </c>
      <c r="AF203" s="21">
        <f>AB203*(14.068*'Sem TS MC2020'!$P195^-0.457)/$Q203</f>
        <v>0.79430028659087204</v>
      </c>
      <c r="AG203" s="21"/>
      <c r="AO203" s="5">
        <f>$AP$2*($AP$3+$AP$4*$F203/($N203*'Sem TS MC2020'!P195))*($AP$5*$G203+$AP$6*$B203/$N203)*('Sem TS MC2020'!P195^$AP$7/200000)*($J203-$M203)/($J203-$M203-$H203)+('Sem TS MC2020'!P195-$C203/$AP$8)*($AP$5*$G203+$AP$6*$B203/$N203)/200000</f>
        <v>0.12302297969841293</v>
      </c>
      <c r="AP203" s="5">
        <f t="shared" ref="AP203:AP266" si="38">AO203/$Q203</f>
        <v>0.58582371284958545</v>
      </c>
      <c r="AQ203" s="20">
        <f t="shared" ref="AQ203:AQ266" si="39">AO203-$Q203</f>
        <v>-8.6977020301587063E-2</v>
      </c>
    </row>
    <row r="204" spans="1:43" x14ac:dyDescent="0.25">
      <c r="B204" s="3">
        <v>20</v>
      </c>
      <c r="C204" s="4">
        <v>598</v>
      </c>
      <c r="D204" s="4">
        <v>1</v>
      </c>
      <c r="E204" s="3">
        <v>40</v>
      </c>
      <c r="F204" s="5">
        <v>2.8</v>
      </c>
      <c r="G204" s="3">
        <v>40</v>
      </c>
      <c r="H204" s="3">
        <v>50</v>
      </c>
      <c r="I204" s="1">
        <v>100</v>
      </c>
      <c r="J204" s="3">
        <v>350</v>
      </c>
      <c r="K204" s="4">
        <v>315</v>
      </c>
      <c r="L204" s="5">
        <v>15000</v>
      </c>
      <c r="M204" s="4">
        <v>96.386921369125801</v>
      </c>
      <c r="N204" s="10">
        <v>2.1000000000000001E-2</v>
      </c>
      <c r="O204" s="5">
        <v>16.059999999999999</v>
      </c>
      <c r="P204" s="4">
        <v>98.163433805431097</v>
      </c>
      <c r="Q204" s="5">
        <v>0.25</v>
      </c>
      <c r="R204" s="11">
        <f t="shared" si="30"/>
        <v>4.908171690271555E-4</v>
      </c>
      <c r="V204" s="5">
        <f t="shared" si="31"/>
        <v>0.17508447573556057</v>
      </c>
      <c r="W204" s="5">
        <f t="shared" si="32"/>
        <v>0.7003379029422423</v>
      </c>
      <c r="Y204" s="5">
        <f t="shared" si="33"/>
        <v>0.17241758802124679</v>
      </c>
      <c r="Z204" s="5">
        <f t="shared" si="34"/>
        <v>0.68967035208498717</v>
      </c>
      <c r="AB204" s="5">
        <f>$AC$2*($AC$3+$AC$4*$F204/($N204*'Sem TS MC2020'!P196))*($AC$5*$G204+$AC$6*$B204/$N204)*'Sem TS MC2020'!R196*($J204-$M204)/($J204-$M204-$H204)</f>
        <v>0.1708485374628432</v>
      </c>
      <c r="AC204" s="5">
        <f t="shared" si="35"/>
        <v>0.68339414985137281</v>
      </c>
      <c r="AD204" s="20">
        <f t="shared" si="36"/>
        <v>-7.9151462537156797E-2</v>
      </c>
      <c r="AE204" s="21">
        <f t="shared" si="37"/>
        <v>1.4632844021528189</v>
      </c>
      <c r="AF204" s="21">
        <f>AB204*(14.068*'Sem TS MC2020'!$P196^-0.457)/$Q204</f>
        <v>0.87330890998442401</v>
      </c>
      <c r="AG204" s="21"/>
      <c r="AO204" s="5">
        <f>$AP$2*($AP$3+$AP$4*$F204/($N204*'Sem TS MC2020'!P196))*($AP$5*$G204+$AP$6*$B204/$N204)*('Sem TS MC2020'!P196^$AP$7/200000)*($J204-$M204)/($J204-$M204-$H204)+('Sem TS MC2020'!P196-$C204/$AP$8)*($AP$5*$G204+$AP$6*$B204/$N204)/200000</f>
        <v>0.18032976129732906</v>
      </c>
      <c r="AP204" s="5">
        <f t="shared" si="38"/>
        <v>0.72131904518931622</v>
      </c>
      <c r="AQ204" s="20">
        <f t="shared" si="39"/>
        <v>-6.9670238702670945E-2</v>
      </c>
    </row>
    <row r="205" spans="1:43" x14ac:dyDescent="0.25">
      <c r="B205" s="3">
        <v>20</v>
      </c>
      <c r="C205" s="4">
        <v>598</v>
      </c>
      <c r="D205" s="4">
        <v>1</v>
      </c>
      <c r="E205" s="3">
        <v>40</v>
      </c>
      <c r="F205" s="5">
        <v>2.8</v>
      </c>
      <c r="G205" s="3">
        <v>40</v>
      </c>
      <c r="H205" s="3">
        <v>50</v>
      </c>
      <c r="I205" s="1">
        <v>100</v>
      </c>
      <c r="J205" s="3">
        <v>350</v>
      </c>
      <c r="K205" s="4">
        <v>315</v>
      </c>
      <c r="L205" s="5">
        <v>15000</v>
      </c>
      <c r="M205" s="4">
        <v>96.386921369125801</v>
      </c>
      <c r="N205" s="10">
        <v>2.1000000000000001E-2</v>
      </c>
      <c r="O205" s="5">
        <v>18.93</v>
      </c>
      <c r="P205" s="4">
        <v>137.28430489676401</v>
      </c>
      <c r="Q205" s="5">
        <v>0.28999999999999998</v>
      </c>
      <c r="R205" s="11">
        <f t="shared" si="30"/>
        <v>6.8642152448382008E-4</v>
      </c>
      <c r="V205" s="5">
        <f t="shared" si="31"/>
        <v>0.21534100618148511</v>
      </c>
      <c r="W205" s="5">
        <f t="shared" si="32"/>
        <v>0.74255519372925904</v>
      </c>
      <c r="Y205" s="5">
        <f t="shared" si="33"/>
        <v>0.2128448007193969</v>
      </c>
      <c r="Z205" s="5">
        <f t="shared" si="34"/>
        <v>0.73394758868757559</v>
      </c>
      <c r="AB205" s="5">
        <f>$AC$2*($AC$3+$AC$4*$F205/($N205*'Sem TS MC2020'!P197))*($AC$5*$G205+$AC$6*$B205/$N205)*'Sem TS MC2020'!R197*($J205-$M205)/($J205-$M205-$H205)</f>
        <v>0.22018193362106547</v>
      </c>
      <c r="AC205" s="5">
        <f t="shared" si="35"/>
        <v>0.75924804696919135</v>
      </c>
      <c r="AD205" s="20">
        <f t="shared" si="36"/>
        <v>-6.9818066378934507E-2</v>
      </c>
      <c r="AE205" s="21">
        <f t="shared" si="37"/>
        <v>1.3170926207737454</v>
      </c>
      <c r="AF205" s="21">
        <f>AB205*(14.068*'Sem TS MC2020'!$P197^-0.457)/$Q205</f>
        <v>0.90001179161803957</v>
      </c>
      <c r="AG205" s="21"/>
      <c r="AO205" s="5">
        <f>$AP$2*($AP$3+$AP$4*$F205/($N205*'Sem TS MC2020'!P197))*($AP$5*$G205+$AP$6*$B205/$N205)*('Sem TS MC2020'!P197^$AP$7/200000)*($J205-$M205)/($J205-$M205-$H205)+('Sem TS MC2020'!P197-$C205/$AP$8)*($AP$5*$G205+$AP$6*$B205/$N205)/200000</f>
        <v>0.23203314963033178</v>
      </c>
      <c r="AP205" s="5">
        <f t="shared" si="38"/>
        <v>0.80011430907010961</v>
      </c>
      <c r="AQ205" s="20">
        <f t="shared" si="39"/>
        <v>-5.7966850369668199E-2</v>
      </c>
    </row>
    <row r="206" spans="1:43" x14ac:dyDescent="0.25">
      <c r="B206" s="3">
        <v>20</v>
      </c>
      <c r="C206" s="4">
        <v>598</v>
      </c>
      <c r="D206" s="4">
        <v>1</v>
      </c>
      <c r="E206" s="3">
        <v>40</v>
      </c>
      <c r="F206" s="5">
        <v>2.8</v>
      </c>
      <c r="G206" s="3">
        <v>40</v>
      </c>
      <c r="H206" s="3">
        <v>50</v>
      </c>
      <c r="I206" s="1">
        <v>100</v>
      </c>
      <c r="J206" s="3">
        <v>350</v>
      </c>
      <c r="K206" s="4">
        <v>315</v>
      </c>
      <c r="L206" s="5">
        <v>15000</v>
      </c>
      <c r="M206" s="4">
        <v>96.386921369125801</v>
      </c>
      <c r="N206" s="10">
        <v>2.1000000000000001E-2</v>
      </c>
      <c r="O206" s="5">
        <v>21.81</v>
      </c>
      <c r="P206" s="4">
        <v>181.541173308434</v>
      </c>
      <c r="Q206" s="5">
        <v>0.33</v>
      </c>
      <c r="R206" s="11">
        <f t="shared" si="30"/>
        <v>9.0770586654217002E-4</v>
      </c>
      <c r="V206" s="5">
        <f t="shared" si="31"/>
        <v>0.2558599493110254</v>
      </c>
      <c r="W206" s="5">
        <f t="shared" si="32"/>
        <v>0.77533317973037996</v>
      </c>
      <c r="Y206" s="5">
        <f t="shared" si="33"/>
        <v>0.25367257311409364</v>
      </c>
      <c r="Z206" s="5">
        <f t="shared" si="34"/>
        <v>0.76870476701240487</v>
      </c>
      <c r="AB206" s="5">
        <f>$AC$2*($AC$3+$AC$4*$F206/($N206*'Sem TS MC2020'!P198))*($AC$5*$G206+$AC$6*$B206/$N206)*'Sem TS MC2020'!R198*($J206-$M206)/($J206-$M206-$H206)</f>
        <v>0.26968722314569177</v>
      </c>
      <c r="AC206" s="5">
        <f t="shared" si="35"/>
        <v>0.81723400953239922</v>
      </c>
      <c r="AD206" s="20">
        <f t="shared" si="36"/>
        <v>-6.0312776854308248E-2</v>
      </c>
      <c r="AE206" s="21">
        <f t="shared" si="37"/>
        <v>1.2236397266092425</v>
      </c>
      <c r="AF206" s="21">
        <f>AB206*(14.068*'Sem TS MC2020'!$P198^-0.457)/$Q206</f>
        <v>0.90803615092469347</v>
      </c>
      <c r="AG206" s="21"/>
      <c r="AO206" s="5">
        <f>$AP$2*($AP$3+$AP$4*$F206/($N206*'Sem TS MC2020'!P198))*($AP$5*$G206+$AP$6*$B206/$N206)*('Sem TS MC2020'!P198^$AP$7/200000)*($J206-$M206)/($J206-$M206-$H206)+('Sem TS MC2020'!P198-$C206/$AP$8)*($AP$5*$G206+$AP$6*$B206/$N206)/200000</f>
        <v>0.28211069956993295</v>
      </c>
      <c r="AP206" s="5">
        <f t="shared" si="38"/>
        <v>0.85488090778767556</v>
      </c>
      <c r="AQ206" s="20">
        <f t="shared" si="39"/>
        <v>-4.7889300430067061E-2</v>
      </c>
    </row>
    <row r="207" spans="1:43" x14ac:dyDescent="0.25">
      <c r="B207" s="3">
        <v>20</v>
      </c>
      <c r="C207" s="4">
        <v>598</v>
      </c>
      <c r="D207" s="4">
        <v>1</v>
      </c>
      <c r="E207" s="3">
        <v>40</v>
      </c>
      <c r="F207" s="5">
        <v>2.8</v>
      </c>
      <c r="G207" s="3">
        <v>40</v>
      </c>
      <c r="H207" s="3">
        <v>50</v>
      </c>
      <c r="I207" s="1">
        <v>100</v>
      </c>
      <c r="J207" s="3">
        <v>350</v>
      </c>
      <c r="K207" s="4">
        <v>315</v>
      </c>
      <c r="L207" s="5">
        <v>15000</v>
      </c>
      <c r="M207" s="4">
        <v>96.386921369125801</v>
      </c>
      <c r="N207" s="10">
        <v>2.1000000000000001E-2</v>
      </c>
      <c r="O207" s="5">
        <v>25.88</v>
      </c>
      <c r="P207" s="4">
        <v>244.084733876315</v>
      </c>
      <c r="Q207" s="5">
        <v>0.37</v>
      </c>
      <c r="R207" s="11">
        <f t="shared" si="30"/>
        <v>1.2204236693815749E-3</v>
      </c>
      <c r="V207" s="5">
        <f t="shared" si="31"/>
        <v>0.30713351525090071</v>
      </c>
      <c r="W207" s="5">
        <f t="shared" si="32"/>
        <v>0.83009058175919115</v>
      </c>
      <c r="Y207" s="5">
        <f t="shared" si="33"/>
        <v>0.305500999441146</v>
      </c>
      <c r="Z207" s="5">
        <f t="shared" si="34"/>
        <v>0.82567837686796219</v>
      </c>
      <c r="AB207" s="5">
        <f>$AC$2*($AC$3+$AC$4*$F207/($N207*'Sem TS MC2020'!P199))*($AC$5*$G207+$AC$6*$B207/$N207)*'Sem TS MC2020'!R199*($J207-$M207)/($J207-$M207-$H207)</f>
        <v>0.33964782327250764</v>
      </c>
      <c r="AC207" s="5">
        <f t="shared" si="35"/>
        <v>0.91796708992569631</v>
      </c>
      <c r="AD207" s="20">
        <f t="shared" si="36"/>
        <v>-3.0352176727492353E-2</v>
      </c>
      <c r="AE207" s="21">
        <f t="shared" si="37"/>
        <v>1.089363672156203</v>
      </c>
      <c r="AF207" s="21">
        <f>AB207*(14.068*'Sem TS MC2020'!$P199^-0.457)/$Q207</f>
        <v>0.94324559530903662</v>
      </c>
      <c r="AG207" s="21"/>
      <c r="AO207" s="5">
        <f>$AP$2*($AP$3+$AP$4*$F207/($N207*'Sem TS MC2020'!P199))*($AP$5*$G207+$AP$6*$B207/$N207)*('Sem TS MC2020'!P199^$AP$7/200000)*($J207-$M207)/($J207-$M207-$H207)+('Sem TS MC2020'!P199-$C207/$AP$8)*($AP$5*$G207+$AP$6*$B207/$N207)/200000</f>
        <v>0.35044509036913868</v>
      </c>
      <c r="AP207" s="5">
        <f t="shared" si="38"/>
        <v>0.94714889288956405</v>
      </c>
      <c r="AQ207" s="20">
        <f t="shared" si="39"/>
        <v>-1.9554909630861317E-2</v>
      </c>
    </row>
    <row r="208" spans="1:43" x14ac:dyDescent="0.25">
      <c r="A208" s="1" t="s">
        <v>64</v>
      </c>
      <c r="B208" s="3">
        <v>20</v>
      </c>
      <c r="C208" s="4">
        <v>430</v>
      </c>
      <c r="D208" s="4">
        <v>6</v>
      </c>
      <c r="E208" s="3">
        <v>84</v>
      </c>
      <c r="F208" s="5">
        <v>3.50882128585544</v>
      </c>
      <c r="G208" s="3">
        <v>50</v>
      </c>
      <c r="H208" s="3">
        <v>64</v>
      </c>
      <c r="I208" s="1">
        <v>600</v>
      </c>
      <c r="J208" s="3">
        <v>400</v>
      </c>
      <c r="K208" s="4">
        <v>1884</v>
      </c>
      <c r="L208" s="5">
        <v>98400</v>
      </c>
      <c r="M208" s="4">
        <v>96.251010941285003</v>
      </c>
      <c r="N208" s="10">
        <v>1.9146341463414599E-2</v>
      </c>
      <c r="O208" s="5">
        <v>103</v>
      </c>
      <c r="P208" s="4">
        <v>56.975991001675503</v>
      </c>
      <c r="Q208" s="5">
        <v>0.15</v>
      </c>
      <c r="R208" s="11">
        <f t="shared" si="30"/>
        <v>2.8487995500837754E-4</v>
      </c>
      <c r="V208" s="5">
        <f t="shared" si="31"/>
        <v>0.13003286424572219</v>
      </c>
      <c r="W208" s="5">
        <f t="shared" si="32"/>
        <v>0.86688576163814801</v>
      </c>
      <c r="Y208" s="5">
        <f t="shared" si="33"/>
        <v>0.12758924904879282</v>
      </c>
      <c r="Z208" s="5">
        <f t="shared" si="34"/>
        <v>0.85059499365861879</v>
      </c>
      <c r="AB208" s="5">
        <f>$AC$2*($AC$3+$AC$4*$F208/($N208*'Sem TS MC2020'!P200))*($AC$5*$G208+$AC$6*$B208/$N208)*'Sem TS MC2020'!R200*($J208-$M208)/($J208-$M208-$H208)</f>
        <v>0.13391496238739134</v>
      </c>
      <c r="AC208" s="5">
        <f t="shared" si="35"/>
        <v>0.8927664159159423</v>
      </c>
      <c r="AD208" s="20">
        <f t="shared" si="36"/>
        <v>-1.6085037612608655E-2</v>
      </c>
      <c r="AE208" s="21">
        <f t="shared" si="37"/>
        <v>1.1201138194407105</v>
      </c>
      <c r="AF208" s="21">
        <f>AB208*(14.068*'Sem TS MC2020'!$P200^-0.457)/$Q208</f>
        <v>1.1706691060781491</v>
      </c>
      <c r="AG208" s="21"/>
      <c r="AO208" s="5">
        <f>$AP$2*($AP$3+$AP$4*$F208/($N208*'Sem TS MC2020'!P200))*($AP$5*$G208+$AP$6*$B208/$N208)*('Sem TS MC2020'!P200^$AP$7/200000)*($J208-$M208)/($J208-$M208-$H208)+('Sem TS MC2020'!P200-$C208/$AP$8)*($AP$5*$G208+$AP$6*$B208/$N208)/200000</f>
        <v>0.1445644075487123</v>
      </c>
      <c r="AP208" s="5">
        <f t="shared" si="38"/>
        <v>0.96376271699141536</v>
      </c>
      <c r="AQ208" s="20">
        <f t="shared" si="39"/>
        <v>-5.4355924512876908E-3</v>
      </c>
    </row>
    <row r="209" spans="1:43" x14ac:dyDescent="0.25">
      <c r="B209" s="3">
        <v>20</v>
      </c>
      <c r="C209" s="4">
        <v>430</v>
      </c>
      <c r="D209" s="4">
        <v>6</v>
      </c>
      <c r="E209" s="3">
        <v>84</v>
      </c>
      <c r="F209" s="5">
        <v>3.50882128585544</v>
      </c>
      <c r="G209" s="3">
        <v>50</v>
      </c>
      <c r="H209" s="3">
        <v>64</v>
      </c>
      <c r="I209" s="1">
        <v>600</v>
      </c>
      <c r="J209" s="3">
        <v>400</v>
      </c>
      <c r="K209" s="4">
        <v>1884</v>
      </c>
      <c r="L209" s="5">
        <v>98400</v>
      </c>
      <c r="M209" s="4">
        <v>96.251010941285003</v>
      </c>
      <c r="N209" s="10">
        <v>1.9146341463414599E-2</v>
      </c>
      <c r="O209" s="5">
        <v>129</v>
      </c>
      <c r="P209" s="4">
        <v>112.968616956582</v>
      </c>
      <c r="Q209" s="5">
        <v>0.23</v>
      </c>
      <c r="R209" s="11">
        <f t="shared" si="30"/>
        <v>5.6484308478290995E-4</v>
      </c>
      <c r="V209" s="5">
        <f t="shared" si="31"/>
        <v>0.19836552867210616</v>
      </c>
      <c r="W209" s="5">
        <f t="shared" si="32"/>
        <v>0.86245882031350496</v>
      </c>
      <c r="Y209" s="5">
        <f t="shared" si="33"/>
        <v>0.1961087997420535</v>
      </c>
      <c r="Z209" s="5">
        <f t="shared" si="34"/>
        <v>0.85264695540023261</v>
      </c>
      <c r="AB209" s="5">
        <f>$AC$2*($AC$3+$AC$4*$F209/($N209*'Sem TS MC2020'!P201))*($AC$5*$G209+$AC$6*$B209/$N209)*'Sem TS MC2020'!R201*($J209-$M209)/($J209-$M209-$H209)</f>
        <v>0.2097505728424908</v>
      </c>
      <c r="AC209" s="5">
        <f t="shared" si="35"/>
        <v>0.91195901235865562</v>
      </c>
      <c r="AD209" s="20">
        <f t="shared" si="36"/>
        <v>-2.0249427157509214E-2</v>
      </c>
      <c r="AE209" s="21">
        <f t="shared" si="37"/>
        <v>1.0965405094398251</v>
      </c>
      <c r="AF209" s="21">
        <f>AB209*(14.068*'Sem TS MC2020'!$P201^-0.457)/$Q209</f>
        <v>1.0789436081550499</v>
      </c>
      <c r="AG209" s="21"/>
      <c r="AO209" s="5">
        <f>$AP$2*($AP$3+$AP$4*$F209/($N209*'Sem TS MC2020'!P201))*($AP$5*$G209+$AP$6*$B209/$N209)*('Sem TS MC2020'!P201^$AP$7/200000)*($J209-$M209)/($J209-$M209-$H209)+('Sem TS MC2020'!P201-$C209/$AP$8)*($AP$5*$G209+$AP$6*$B209/$N209)/200000</f>
        <v>0.22609231369600891</v>
      </c>
      <c r="AP209" s="5">
        <f t="shared" si="38"/>
        <v>0.9830100595478648</v>
      </c>
      <c r="AQ209" s="20">
        <f t="shared" si="39"/>
        <v>-3.9076863039911036E-3</v>
      </c>
    </row>
    <row r="210" spans="1:43" x14ac:dyDescent="0.25">
      <c r="B210" s="3">
        <v>20</v>
      </c>
      <c r="C210" s="4">
        <v>430</v>
      </c>
      <c r="D210" s="4">
        <v>6</v>
      </c>
      <c r="E210" s="3">
        <v>84</v>
      </c>
      <c r="F210" s="5">
        <v>3.50882128585544</v>
      </c>
      <c r="G210" s="3">
        <v>50</v>
      </c>
      <c r="H210" s="3">
        <v>64</v>
      </c>
      <c r="I210" s="1">
        <v>600</v>
      </c>
      <c r="J210" s="3">
        <v>400</v>
      </c>
      <c r="K210" s="4">
        <v>1884</v>
      </c>
      <c r="L210" s="5">
        <v>98400</v>
      </c>
      <c r="M210" s="4">
        <v>96.251010941285003</v>
      </c>
      <c r="N210" s="10">
        <v>1.9146341463414599E-2</v>
      </c>
      <c r="O210" s="5">
        <v>155</v>
      </c>
      <c r="P210" s="4">
        <v>177.02577077203401</v>
      </c>
      <c r="Q210" s="5">
        <v>0.28000000000000003</v>
      </c>
      <c r="R210" s="11">
        <f t="shared" si="30"/>
        <v>8.8512885386017007E-4</v>
      </c>
      <c r="V210" s="5">
        <f t="shared" si="31"/>
        <v>0.26171568477890594</v>
      </c>
      <c r="W210" s="5">
        <f t="shared" si="32"/>
        <v>0.93469887421037823</v>
      </c>
      <c r="Y210" s="5">
        <f t="shared" si="33"/>
        <v>0.26001984438396847</v>
      </c>
      <c r="Z210" s="5">
        <f t="shared" si="34"/>
        <v>0.92864230137131587</v>
      </c>
      <c r="AB210" s="5">
        <f>$AC$2*($AC$3+$AC$4*$F210/($N210*'Sem TS MC2020'!P202))*($AC$5*$G210+$AC$6*$B210/$N210)*'Sem TS MC2020'!R202*($J210-$M210)/($J210-$M210-$H210)</f>
        <v>0.28558618329759183</v>
      </c>
      <c r="AC210" s="5">
        <f t="shared" si="35"/>
        <v>1.0199506546342565</v>
      </c>
      <c r="AD210" s="20">
        <f t="shared" si="36"/>
        <v>5.5861832975918069E-3</v>
      </c>
      <c r="AE210" s="21">
        <f t="shared" si="37"/>
        <v>0.98043958838242951</v>
      </c>
      <c r="AF210" s="21">
        <f>AB210*(14.068*'Sem TS MC2020'!$P202^-0.457)/$Q210</f>
        <v>1.109584801927636</v>
      </c>
      <c r="AG210" s="21"/>
      <c r="AO210" s="5">
        <f>$AP$2*($AP$3+$AP$4*$F210/($N210*'Sem TS MC2020'!P202))*($AP$5*$G210+$AP$6*$B210/$N210)*('Sem TS MC2020'!P202^$AP$7/200000)*($J210-$M210)/($J210-$M210-$H210)+('Sem TS MC2020'!P202-$C210/$AP$8)*($AP$5*$G210+$AP$6*$B210/$N210)/200000</f>
        <v>0.30350796611662584</v>
      </c>
      <c r="AP210" s="5">
        <f t="shared" si="38"/>
        <v>1.0839570218450922</v>
      </c>
      <c r="AQ210" s="20">
        <f t="shared" si="39"/>
        <v>2.3507966116625811E-2</v>
      </c>
    </row>
    <row r="211" spans="1:43" x14ac:dyDescent="0.25">
      <c r="A211" s="1" t="s">
        <v>65</v>
      </c>
      <c r="B211" s="3">
        <v>20</v>
      </c>
      <c r="C211" s="4">
        <v>430</v>
      </c>
      <c r="D211" s="4">
        <v>9</v>
      </c>
      <c r="E211" s="3">
        <v>45</v>
      </c>
      <c r="F211" s="5">
        <v>3.50882128585544</v>
      </c>
      <c r="G211" s="3">
        <v>50</v>
      </c>
      <c r="H211" s="3">
        <v>64</v>
      </c>
      <c r="I211" s="1">
        <v>600</v>
      </c>
      <c r="J211" s="3">
        <v>400</v>
      </c>
      <c r="K211" s="4">
        <v>2826</v>
      </c>
      <c r="L211" s="5">
        <v>98400</v>
      </c>
      <c r="M211" s="4">
        <v>113.55033398296101</v>
      </c>
      <c r="N211" s="10">
        <v>2.8719512195122001E-2</v>
      </c>
      <c r="O211" s="5">
        <v>149</v>
      </c>
      <c r="P211" s="4">
        <v>90.580179942323298</v>
      </c>
      <c r="Q211" s="5">
        <v>0.18</v>
      </c>
      <c r="R211" s="11">
        <f t="shared" si="30"/>
        <v>4.5290089971161646E-4</v>
      </c>
      <c r="V211" s="5">
        <f t="shared" si="31"/>
        <v>0.14610892262337696</v>
      </c>
      <c r="W211" s="5">
        <f t="shared" si="32"/>
        <v>0.8117162367965387</v>
      </c>
      <c r="Y211" s="5">
        <f t="shared" si="33"/>
        <v>0.14368608457700197</v>
      </c>
      <c r="Z211" s="5">
        <f t="shared" si="34"/>
        <v>0.79825602542778873</v>
      </c>
      <c r="AB211" s="5">
        <f>$AC$2*($AC$3+$AC$4*$F211/($N211*'Sem TS MC2020'!P203))*($AC$5*$G211+$AC$6*$B211/$N211)*'Sem TS MC2020'!R203*($J211-$M211)/($J211-$M211-$H211)</f>
        <v>0.14073849187619039</v>
      </c>
      <c r="AC211" s="5">
        <f t="shared" si="35"/>
        <v>0.78188051042328</v>
      </c>
      <c r="AD211" s="20">
        <f t="shared" si="36"/>
        <v>-3.9261508123809602E-2</v>
      </c>
      <c r="AE211" s="21">
        <f t="shared" si="37"/>
        <v>1.2789678047591166</v>
      </c>
      <c r="AF211" s="21">
        <f>AB211*(14.068*'Sem TS MC2020'!$P203^-0.457)/$Q211</f>
        <v>1.0333059603613004</v>
      </c>
      <c r="AG211" s="21"/>
      <c r="AO211" s="5">
        <f>$AP$2*($AP$3+$AP$4*$F211/($N211*'Sem TS MC2020'!P203))*($AP$5*$G211+$AP$6*$B211/$N211)*('Sem TS MC2020'!P203^$AP$7/200000)*($J211-$M211)/($J211-$M211-$H211)+('Sem TS MC2020'!P203-$C211/$AP$8)*($AP$5*$G211+$AP$6*$B211/$N211)/200000</f>
        <v>0.15238188526733742</v>
      </c>
      <c r="AP211" s="5">
        <f t="shared" si="38"/>
        <v>0.84656602926298574</v>
      </c>
      <c r="AQ211" s="20">
        <f t="shared" si="39"/>
        <v>-2.7618114732662569E-2</v>
      </c>
    </row>
    <row r="212" spans="1:43" x14ac:dyDescent="0.25">
      <c r="B212" s="3">
        <v>20</v>
      </c>
      <c r="C212" s="4">
        <v>430</v>
      </c>
      <c r="D212" s="4">
        <v>9</v>
      </c>
      <c r="E212" s="3">
        <v>45</v>
      </c>
      <c r="F212" s="5">
        <v>3.50882128585544</v>
      </c>
      <c r="G212" s="3">
        <v>50</v>
      </c>
      <c r="H212" s="3">
        <v>64</v>
      </c>
      <c r="I212" s="1">
        <v>600</v>
      </c>
      <c r="J212" s="3">
        <v>400</v>
      </c>
      <c r="K212" s="4">
        <v>2826</v>
      </c>
      <c r="L212" s="5">
        <v>98400</v>
      </c>
      <c r="M212" s="4">
        <v>113.55033398296101</v>
      </c>
      <c r="N212" s="10">
        <v>2.8719512195122001E-2</v>
      </c>
      <c r="O212" s="5">
        <v>186</v>
      </c>
      <c r="P212" s="4">
        <v>140.61155696676499</v>
      </c>
      <c r="Q212" s="5">
        <v>0.26</v>
      </c>
      <c r="R212" s="11">
        <f t="shared" si="30"/>
        <v>7.0305778483382498E-4</v>
      </c>
      <c r="V212" s="5">
        <f t="shared" si="31"/>
        <v>0.19165327036371044</v>
      </c>
      <c r="W212" s="5">
        <f t="shared" si="32"/>
        <v>0.73712796293734784</v>
      </c>
      <c r="Y212" s="5">
        <f t="shared" si="33"/>
        <v>0.18938914035541579</v>
      </c>
      <c r="Z212" s="5">
        <f t="shared" si="34"/>
        <v>0.72841977059775298</v>
      </c>
      <c r="AB212" s="5">
        <f>$AC$2*($AC$3+$AC$4*$F212/($N212*'Sem TS MC2020'!P204))*($AC$5*$G212+$AC$6*$B212/$N212)*'Sem TS MC2020'!R204*($J212-$M212)/($J212-$M212-$H212)</f>
        <v>0.1967339396826375</v>
      </c>
      <c r="AC212" s="5">
        <f t="shared" si="35"/>
        <v>0.75666899877937499</v>
      </c>
      <c r="AD212" s="20">
        <f t="shared" si="36"/>
        <v>-6.326606031736251E-2</v>
      </c>
      <c r="AE212" s="21">
        <f t="shared" si="37"/>
        <v>1.3215818298531536</v>
      </c>
      <c r="AF212" s="21">
        <f>AB212*(14.068*'Sem TS MC2020'!$P204^-0.457)/$Q212</f>
        <v>0.90359370537039296</v>
      </c>
      <c r="AG212" s="21"/>
      <c r="AO212" s="5">
        <f>$AP$2*($AP$3+$AP$4*$F212/($N212*'Sem TS MC2020'!P204))*($AP$5*$G212+$AP$6*$B212/$N212)*('Sem TS MC2020'!P204^$AP$7/200000)*($J212-$M212)/($J212-$M212-$H212)+('Sem TS MC2020'!P204-$C212/$AP$8)*($AP$5*$G212+$AP$6*$B212/$N212)/200000</f>
        <v>0.209821826235883</v>
      </c>
      <c r="AP212" s="5">
        <f t="shared" si="38"/>
        <v>0.80700702398416535</v>
      </c>
      <c r="AQ212" s="20">
        <f t="shared" si="39"/>
        <v>-5.0178173764117012E-2</v>
      </c>
    </row>
    <row r="213" spans="1:43" x14ac:dyDescent="0.25">
      <c r="B213" s="3">
        <v>20</v>
      </c>
      <c r="C213" s="4">
        <v>430</v>
      </c>
      <c r="D213" s="4">
        <v>9</v>
      </c>
      <c r="E213" s="3">
        <v>45</v>
      </c>
      <c r="F213" s="5">
        <v>3.50882128585544</v>
      </c>
      <c r="G213" s="3">
        <v>50</v>
      </c>
      <c r="H213" s="3">
        <v>64</v>
      </c>
      <c r="I213" s="1">
        <v>600</v>
      </c>
      <c r="J213" s="3">
        <v>400</v>
      </c>
      <c r="K213" s="4">
        <v>2826</v>
      </c>
      <c r="L213" s="5">
        <v>98400</v>
      </c>
      <c r="M213" s="4">
        <v>113.55033398296101</v>
      </c>
      <c r="N213" s="10">
        <v>2.8719512195122001E-2</v>
      </c>
      <c r="O213" s="5">
        <v>223</v>
      </c>
      <c r="P213" s="4">
        <v>197.18121767408201</v>
      </c>
      <c r="Q213" s="5">
        <v>0.34</v>
      </c>
      <c r="R213" s="11">
        <f t="shared" si="30"/>
        <v>9.859060883704101E-4</v>
      </c>
      <c r="V213" s="5">
        <f t="shared" si="31"/>
        <v>0.23611267834764585</v>
      </c>
      <c r="W213" s="5">
        <f t="shared" si="32"/>
        <v>0.69444905396366419</v>
      </c>
      <c r="Y213" s="5">
        <f t="shared" si="33"/>
        <v>0.23419274432514336</v>
      </c>
      <c r="Z213" s="5">
        <f t="shared" si="34"/>
        <v>0.68880218919159808</v>
      </c>
      <c r="AB213" s="5">
        <f>$AC$2*($AC$3+$AC$4*$F213/($N213*'Sem TS MC2020'!P205))*($AC$5*$G213+$AC$6*$B213/$N213)*'Sem TS MC2020'!R205*($J213-$M213)/($J213-$M213-$H213)</f>
        <v>0.25272938748908336</v>
      </c>
      <c r="AC213" s="5">
        <f t="shared" si="35"/>
        <v>0.7433217279090687</v>
      </c>
      <c r="AD213" s="20">
        <f t="shared" si="36"/>
        <v>-8.7270612510916667E-2</v>
      </c>
      <c r="AE213" s="21">
        <f t="shared" si="37"/>
        <v>1.3453124837517612</v>
      </c>
      <c r="AF213" s="21">
        <f>AB213*(14.068*'Sem TS MC2020'!$P205^-0.457)/$Q213</f>
        <v>0.81702656352581837</v>
      </c>
      <c r="AG213" s="21"/>
      <c r="AO213" s="5">
        <f>$AP$2*($AP$3+$AP$4*$F213/($N213*'Sem TS MC2020'!P205))*($AP$5*$G213+$AP$6*$B213/$N213)*('Sem TS MC2020'!P205^$AP$7/200000)*($J213-$M213)/($J213-$M213-$H213)+('Sem TS MC2020'!P205-$C213/$AP$8)*($AP$5*$G213+$AP$6*$B213/$N213)/200000</f>
        <v>0.26468500796447442</v>
      </c>
      <c r="AP213" s="5">
        <f t="shared" si="38"/>
        <v>0.77848531754257178</v>
      </c>
      <c r="AQ213" s="20">
        <f t="shared" si="39"/>
        <v>-7.5314992035525608E-2</v>
      </c>
    </row>
    <row r="214" spans="1:43" x14ac:dyDescent="0.25">
      <c r="A214" s="1" t="s">
        <v>66</v>
      </c>
      <c r="B214" s="3">
        <v>16</v>
      </c>
      <c r="C214" s="4">
        <v>528</v>
      </c>
      <c r="D214" s="4">
        <v>2</v>
      </c>
      <c r="E214" s="3">
        <v>52</v>
      </c>
      <c r="F214" s="5">
        <v>3.42</v>
      </c>
      <c r="G214" s="3">
        <v>27</v>
      </c>
      <c r="H214" s="3">
        <v>35</v>
      </c>
      <c r="I214" s="1">
        <v>150</v>
      </c>
      <c r="J214" s="3">
        <v>235</v>
      </c>
      <c r="K214" s="4">
        <v>402</v>
      </c>
      <c r="L214" s="5">
        <v>17250</v>
      </c>
      <c r="M214" s="4">
        <v>69.8404266407112</v>
      </c>
      <c r="N214" s="10">
        <v>2.3304347826087E-2</v>
      </c>
      <c r="O214" s="5">
        <v>16.675000000000001</v>
      </c>
      <c r="P214" s="4">
        <v>148.38140865244301</v>
      </c>
      <c r="Q214" s="5">
        <v>0.15</v>
      </c>
      <c r="R214" s="11">
        <f t="shared" si="30"/>
        <v>7.4190704326221508E-4</v>
      </c>
      <c r="V214" s="5">
        <f t="shared" si="31"/>
        <v>0.18625951722514378</v>
      </c>
      <c r="W214" s="5">
        <f t="shared" si="32"/>
        <v>1.2417301148342919</v>
      </c>
      <c r="Y214" s="5">
        <f t="shared" si="33"/>
        <v>0.18275811270502043</v>
      </c>
      <c r="Z214" s="5">
        <f t="shared" si="34"/>
        <v>1.2183874180334695</v>
      </c>
      <c r="AB214" s="5">
        <f>$AC$2*($AC$3+$AC$4*$F214/($N214*'Sem TS MC2020'!P206))*($AC$5*$G214+$AC$6*$B214/$N214)*'Sem TS MC2020'!R206*($J214-$M214)/($J214-$M214-$H214)</f>
        <v>0.1625672327201734</v>
      </c>
      <c r="AC214" s="5">
        <f t="shared" si="35"/>
        <v>1.0837815514678226</v>
      </c>
      <c r="AD214" s="20">
        <f t="shared" si="36"/>
        <v>1.2567232720173405E-2</v>
      </c>
      <c r="AE214" s="21">
        <f t="shared" si="37"/>
        <v>0.92269516734774382</v>
      </c>
      <c r="AF214" s="21">
        <f>AB214*(14.068*'Sem TS MC2020'!$P206^-0.457)/$Q214</f>
        <v>1.2584348488213333</v>
      </c>
      <c r="AG214" s="21"/>
      <c r="AO214" s="5">
        <f>$AP$2*($AP$3+$AP$4*$F214/($N214*'Sem TS MC2020'!P206))*($AP$5*$G214+$AP$6*$B214/$N214)*('Sem TS MC2020'!P206^$AP$7/200000)*($J214-$M214)/($J214-$M214-$H214)+('Sem TS MC2020'!P206-$C214/$AP$8)*($AP$5*$G214+$AP$6*$B214/$N214)/200000</f>
        <v>0.17342392582193139</v>
      </c>
      <c r="AP214" s="5">
        <f t="shared" si="38"/>
        <v>1.1561595054795426</v>
      </c>
      <c r="AQ214" s="20">
        <f t="shared" si="39"/>
        <v>2.3423925821931396E-2</v>
      </c>
    </row>
    <row r="215" spans="1:43" x14ac:dyDescent="0.25">
      <c r="B215" s="3">
        <v>16</v>
      </c>
      <c r="C215" s="4">
        <v>528</v>
      </c>
      <c r="D215" s="4">
        <v>2</v>
      </c>
      <c r="E215" s="3">
        <v>52</v>
      </c>
      <c r="F215" s="5">
        <v>3.42</v>
      </c>
      <c r="G215" s="3">
        <v>27</v>
      </c>
      <c r="H215" s="3">
        <v>35</v>
      </c>
      <c r="I215" s="1">
        <v>150</v>
      </c>
      <c r="J215" s="3">
        <v>235</v>
      </c>
      <c r="K215" s="4">
        <v>402</v>
      </c>
      <c r="L215" s="5">
        <v>17250</v>
      </c>
      <c r="M215" s="4">
        <v>69.8404266407112</v>
      </c>
      <c r="N215" s="10">
        <v>2.3304347826087E-2</v>
      </c>
      <c r="O215" s="5">
        <v>22.425000000000001</v>
      </c>
      <c r="P215" s="4">
        <v>258.39734230896698</v>
      </c>
      <c r="Q215" s="5">
        <v>0.19</v>
      </c>
      <c r="R215" s="11">
        <f t="shared" si="30"/>
        <v>1.2919867115448349E-3</v>
      </c>
      <c r="V215" s="5">
        <f t="shared" si="31"/>
        <v>0.2622763010181971</v>
      </c>
      <c r="W215" s="5">
        <f t="shared" si="32"/>
        <v>1.3804015843063004</v>
      </c>
      <c r="Y215" s="5">
        <f t="shared" si="33"/>
        <v>0.25892097617370646</v>
      </c>
      <c r="Z215" s="5">
        <f t="shared" si="34"/>
        <v>1.3627419798616129</v>
      </c>
      <c r="AB215" s="5">
        <f>$AC$2*($AC$3+$AC$4*$F215/($N215*'Sem TS MC2020'!P207))*($AC$5*$G215+$AC$6*$B215/$N215)*'Sem TS MC2020'!R207*($J215-$M215)/($J215-$M215-$H215)</f>
        <v>0.24752201891841644</v>
      </c>
      <c r="AC215" s="5">
        <f t="shared" si="35"/>
        <v>1.3027474679916655</v>
      </c>
      <c r="AD215" s="20">
        <f t="shared" si="36"/>
        <v>5.7522018918416434E-2</v>
      </c>
      <c r="AE215" s="21">
        <f t="shared" si="37"/>
        <v>0.76760847713764091</v>
      </c>
      <c r="AF215" s="21">
        <f>AB215*(14.068*'Sem TS MC2020'!$P207^-0.457)/$Q215</f>
        <v>1.3211392025780544</v>
      </c>
      <c r="AG215" s="21"/>
      <c r="AO215" s="5">
        <f>$AP$2*($AP$3+$AP$4*$F215/($N215*'Sem TS MC2020'!P207))*($AP$5*$G215+$AP$6*$B215/$N215)*('Sem TS MC2020'!P207^$AP$7/200000)*($J215-$M215)/($J215-$M215-$H215)+('Sem TS MC2020'!P207-$C215/$AP$8)*($AP$5*$G215+$AP$6*$B215/$N215)/200000</f>
        <v>0.25750230314273514</v>
      </c>
      <c r="AP215" s="5">
        <f t="shared" si="38"/>
        <v>1.3552752796986061</v>
      </c>
      <c r="AQ215" s="20">
        <f t="shared" si="39"/>
        <v>6.7502303142735143E-2</v>
      </c>
    </row>
    <row r="216" spans="1:43" x14ac:dyDescent="0.25">
      <c r="B216" s="3">
        <v>16</v>
      </c>
      <c r="C216" s="4">
        <v>528</v>
      </c>
      <c r="D216" s="4">
        <v>2</v>
      </c>
      <c r="E216" s="3">
        <v>52</v>
      </c>
      <c r="F216" s="5">
        <v>3.42</v>
      </c>
      <c r="G216" s="3">
        <v>27</v>
      </c>
      <c r="H216" s="3">
        <v>35</v>
      </c>
      <c r="I216" s="1">
        <v>150</v>
      </c>
      <c r="J216" s="3">
        <v>235</v>
      </c>
      <c r="K216" s="4">
        <v>402</v>
      </c>
      <c r="L216" s="5">
        <v>17250</v>
      </c>
      <c r="M216" s="4">
        <v>69.8404266407112</v>
      </c>
      <c r="N216" s="10">
        <v>2.3304347826087E-2</v>
      </c>
      <c r="O216" s="5">
        <v>25.875</v>
      </c>
      <c r="P216" s="4">
        <v>324.40690250288202</v>
      </c>
      <c r="Q216" s="5">
        <v>0.22</v>
      </c>
      <c r="R216" s="11">
        <f t="shared" si="30"/>
        <v>1.6220345125144101E-3</v>
      </c>
      <c r="V216" s="5">
        <f t="shared" si="31"/>
        <v>0.30180046946898126</v>
      </c>
      <c r="W216" s="5">
        <f t="shared" si="32"/>
        <v>1.3718203157680966</v>
      </c>
      <c r="Y216" s="5">
        <f t="shared" si="33"/>
        <v>0.29868603599567489</v>
      </c>
      <c r="Z216" s="5">
        <f t="shared" si="34"/>
        <v>1.3576637999803405</v>
      </c>
      <c r="AB216" s="5">
        <f>$AC$2*($AC$3+$AC$4*$F216/($N216*'Sem TS MC2020'!P208))*($AC$5*$G216+$AC$6*$B216/$N216)*'Sem TS MC2020'!R208*($J216-$M216)/($J216-$M216-$H216)</f>
        <v>0.29849489063736251</v>
      </c>
      <c r="AC216" s="5">
        <f t="shared" si="35"/>
        <v>1.3567949574425568</v>
      </c>
      <c r="AD216" s="20">
        <f t="shared" si="36"/>
        <v>7.8494890637362508E-2</v>
      </c>
      <c r="AE216" s="21">
        <f t="shared" si="37"/>
        <v>0.73703104106822082</v>
      </c>
      <c r="AF216" s="21">
        <f>AB216*(14.068*'Sem TS MC2020'!$P208^-0.457)/$Q216</f>
        <v>1.2888458261025191</v>
      </c>
      <c r="AG216" s="21"/>
      <c r="AO216" s="5">
        <f>$AP$2*($AP$3+$AP$4*$F216/($N216*'Sem TS MC2020'!P208))*($AP$5*$G216+$AP$6*$B216/$N216)*('Sem TS MC2020'!P208^$AP$7/200000)*($J216-$M216)/($J216-$M216-$H216)+('Sem TS MC2020'!P208-$C216/$AP$8)*($AP$5*$G216+$AP$6*$B216/$N216)/200000</f>
        <v>0.30561521740457587</v>
      </c>
      <c r="AP216" s="5">
        <f t="shared" si="38"/>
        <v>1.3891600791117085</v>
      </c>
      <c r="AQ216" s="20">
        <f t="shared" si="39"/>
        <v>8.5615217404575866E-2</v>
      </c>
    </row>
    <row r="217" spans="1:43" x14ac:dyDescent="0.25">
      <c r="B217" s="3">
        <v>16</v>
      </c>
      <c r="C217" s="4">
        <v>528</v>
      </c>
      <c r="D217" s="4">
        <v>2</v>
      </c>
      <c r="E217" s="3">
        <v>52</v>
      </c>
      <c r="F217" s="5">
        <v>3.42</v>
      </c>
      <c r="G217" s="3">
        <v>27</v>
      </c>
      <c r="H217" s="3">
        <v>35</v>
      </c>
      <c r="I217" s="1">
        <v>150</v>
      </c>
      <c r="J217" s="3">
        <v>235</v>
      </c>
      <c r="K217" s="4">
        <v>402</v>
      </c>
      <c r="L217" s="5">
        <v>17250</v>
      </c>
      <c r="M217" s="4">
        <v>69.8404266407112</v>
      </c>
      <c r="N217" s="10">
        <v>2.3304347826087E-2</v>
      </c>
      <c r="O217" s="5">
        <v>28.75</v>
      </c>
      <c r="P217" s="4">
        <v>379.41486933114402</v>
      </c>
      <c r="Q217" s="5">
        <v>0.22</v>
      </c>
      <c r="R217" s="11">
        <f t="shared" si="30"/>
        <v>1.8970743466557201E-3</v>
      </c>
      <c r="V217" s="5">
        <f t="shared" si="31"/>
        <v>0.33242285865135501</v>
      </c>
      <c r="W217" s="5">
        <f t="shared" si="32"/>
        <v>1.5110129938697956</v>
      </c>
      <c r="Y217" s="5">
        <f t="shared" si="33"/>
        <v>0.32955974254221659</v>
      </c>
      <c r="Z217" s="5">
        <f t="shared" si="34"/>
        <v>1.4979988297373481</v>
      </c>
      <c r="AB217" s="5">
        <f>$AC$2*($AC$3+$AC$4*$F217/($N217*'Sem TS MC2020'!P209))*($AC$5*$G217+$AC$6*$B217/$N217)*'Sem TS MC2020'!R209*($J217-$M217)/($J217-$M217-$H217)</f>
        <v>0.34097228373648408</v>
      </c>
      <c r="AC217" s="5">
        <f t="shared" si="35"/>
        <v>1.5498740169840186</v>
      </c>
      <c r="AD217" s="20">
        <f t="shared" si="36"/>
        <v>0.12097228373648408</v>
      </c>
      <c r="AE217" s="21">
        <f t="shared" si="37"/>
        <v>0.64521373288517514</v>
      </c>
      <c r="AF217" s="21">
        <f>AB217*(14.068*'Sem TS MC2020'!$P209^-0.457)/$Q217</f>
        <v>1.4030462034884259</v>
      </c>
      <c r="AG217" s="21"/>
      <c r="AO217" s="5">
        <f>$AP$2*($AP$3+$AP$4*$F217/($N217*'Sem TS MC2020'!P209))*($AP$5*$G217+$AP$6*$B217/$N217)*('Sem TS MC2020'!P209^$AP$7/200000)*($J217-$M217)/($J217-$M217-$H217)+('Sem TS MC2020'!P209-$C217/$AP$8)*($AP$5*$G217+$AP$6*$B217/$N217)/200000</f>
        <v>0.3446742156679875</v>
      </c>
      <c r="AP217" s="5">
        <f t="shared" si="38"/>
        <v>1.5667009803090342</v>
      </c>
      <c r="AQ217" s="20">
        <f t="shared" si="39"/>
        <v>0.1246742156679875</v>
      </c>
    </row>
    <row r="218" spans="1:43" x14ac:dyDescent="0.25">
      <c r="B218" s="3">
        <v>16</v>
      </c>
      <c r="C218" s="4">
        <v>528</v>
      </c>
      <c r="D218" s="4">
        <v>2</v>
      </c>
      <c r="E218" s="3">
        <v>52</v>
      </c>
      <c r="F218" s="5">
        <v>3.42</v>
      </c>
      <c r="G218" s="3">
        <v>27</v>
      </c>
      <c r="H218" s="3">
        <v>35</v>
      </c>
      <c r="I218" s="1">
        <v>150</v>
      </c>
      <c r="J218" s="3">
        <v>235</v>
      </c>
      <c r="K218" s="4">
        <v>402</v>
      </c>
      <c r="L218" s="5">
        <v>17250</v>
      </c>
      <c r="M218" s="4">
        <v>69.8404266407112</v>
      </c>
      <c r="N218" s="10">
        <v>2.3304347826087E-2</v>
      </c>
      <c r="O218" s="5">
        <v>33.35</v>
      </c>
      <c r="P218" s="4">
        <v>467.42761625636302</v>
      </c>
      <c r="Q218" s="5">
        <v>0.25</v>
      </c>
      <c r="R218" s="11">
        <f t="shared" si="30"/>
        <v>2.3371380812818149E-3</v>
      </c>
      <c r="V218" s="5">
        <f t="shared" si="31"/>
        <v>0.37808643199384723</v>
      </c>
      <c r="W218" s="5">
        <f t="shared" si="32"/>
        <v>1.5123457279753889</v>
      </c>
      <c r="Y218" s="5">
        <f t="shared" si="33"/>
        <v>0.37569115270818082</v>
      </c>
      <c r="Z218" s="5">
        <f t="shared" si="34"/>
        <v>1.5027646108327233</v>
      </c>
      <c r="AB218" s="5">
        <f>$AC$2*($AC$3+$AC$4*$F218/($N218*'Sem TS MC2020'!P210))*($AC$5*$G218+$AC$6*$B218/$N218)*'Sem TS MC2020'!R210*($J218-$M218)/($J218-$M218-$H218)</f>
        <v>0.40893611269507923</v>
      </c>
      <c r="AC218" s="5">
        <f t="shared" si="35"/>
        <v>1.6357444507803169</v>
      </c>
      <c r="AD218" s="20">
        <f t="shared" si="36"/>
        <v>0.15893611269507923</v>
      </c>
      <c r="AE218" s="21">
        <f t="shared" si="37"/>
        <v>0.61134243770349284</v>
      </c>
      <c r="AF218" s="21">
        <f>AB218*(14.068*'Sem TS MC2020'!$P210^-0.457)/$Q218</f>
        <v>1.3836738393322066</v>
      </c>
      <c r="AG218" s="21"/>
      <c r="AO218" s="5">
        <f>$AP$2*($AP$3+$AP$4*$F218/($N218*'Sem TS MC2020'!P210))*($AP$5*$G218+$AP$6*$B218/$N218)*('Sem TS MC2020'!P210^$AP$7/200000)*($J218-$M218)/($J218-$M218-$H218)+('Sem TS MC2020'!P210-$C218/$AP$8)*($AP$5*$G218+$AP$6*$B218/$N218)/200000</f>
        <v>0.40554539938563183</v>
      </c>
      <c r="AP218" s="5">
        <f t="shared" si="38"/>
        <v>1.6221815975425273</v>
      </c>
      <c r="AQ218" s="20">
        <f t="shared" si="39"/>
        <v>0.15554539938563183</v>
      </c>
    </row>
    <row r="219" spans="1:43" x14ac:dyDescent="0.25">
      <c r="B219" s="3">
        <v>16</v>
      </c>
      <c r="C219" s="4">
        <v>528</v>
      </c>
      <c r="D219" s="4">
        <v>2</v>
      </c>
      <c r="E219" s="3">
        <v>52</v>
      </c>
      <c r="F219" s="5">
        <v>3.42</v>
      </c>
      <c r="G219" s="3">
        <v>27</v>
      </c>
      <c r="H219" s="3">
        <v>35</v>
      </c>
      <c r="I219" s="1">
        <v>150</v>
      </c>
      <c r="J219" s="3">
        <v>235</v>
      </c>
      <c r="K219" s="4">
        <v>402</v>
      </c>
      <c r="L219" s="5">
        <v>17250</v>
      </c>
      <c r="M219" s="4">
        <v>69.8404266407112</v>
      </c>
      <c r="N219" s="10">
        <v>2.3304347826087E-2</v>
      </c>
      <c r="O219" s="5">
        <v>37.375</v>
      </c>
      <c r="P219" s="4">
        <v>526.10180870720399</v>
      </c>
      <c r="Q219" s="5">
        <v>0.28999999999999998</v>
      </c>
      <c r="R219" s="11">
        <f t="shared" si="30"/>
        <v>2.6305090435360199E-3</v>
      </c>
      <c r="V219" s="5">
        <f t="shared" si="31"/>
        <v>0.40670301432119338</v>
      </c>
      <c r="W219" s="5">
        <f t="shared" si="32"/>
        <v>1.4024241873144601</v>
      </c>
      <c r="Y219" s="5">
        <f t="shared" si="33"/>
        <v>0.40465245185870513</v>
      </c>
      <c r="Z219" s="5">
        <f t="shared" si="34"/>
        <v>1.3953532822713972</v>
      </c>
      <c r="AB219" s="5">
        <f>$AC$2*($AC$3+$AC$4*$F219/($N219*'Sem TS MC2020'!P211))*($AC$5*$G219+$AC$6*$B219/$N219)*'Sem TS MC2020'!R211*($J219-$M219)/($J219-$M219-$H219)</f>
        <v>0.46840446303384986</v>
      </c>
      <c r="AC219" s="5">
        <f t="shared" si="35"/>
        <v>1.6151878035649996</v>
      </c>
      <c r="AD219" s="20">
        <f t="shared" si="36"/>
        <v>0.17840446303384988</v>
      </c>
      <c r="AE219" s="21">
        <f t="shared" si="37"/>
        <v>0.61912305045445892</v>
      </c>
      <c r="AF219" s="21">
        <f>AB219*(14.068*'Sem TS MC2020'!$P211^-0.457)/$Q219</f>
        <v>1.296959724876233</v>
      </c>
      <c r="AG219" s="21"/>
      <c r="AO219" s="5">
        <f>$AP$2*($AP$3+$AP$4*$F219/($N219*'Sem TS MC2020'!P211))*($AP$5*$G219+$AP$6*$B219/$N219)*('Sem TS MC2020'!P211^$AP$7/200000)*($J219-$M219)/($J219-$M219-$H219)+('Sem TS MC2020'!P211-$C219/$AP$8)*($AP$5*$G219+$AP$6*$B219/$N219)/200000</f>
        <v>0.45742612018575712</v>
      </c>
      <c r="AP219" s="5">
        <f t="shared" si="38"/>
        <v>1.5773314489164041</v>
      </c>
      <c r="AQ219" s="20">
        <f t="shared" si="39"/>
        <v>0.16742612018575714</v>
      </c>
    </row>
    <row r="220" spans="1:43" x14ac:dyDescent="0.25">
      <c r="A220" s="1" t="s">
        <v>67</v>
      </c>
      <c r="B220" s="3">
        <v>20</v>
      </c>
      <c r="C220" s="4">
        <v>528</v>
      </c>
      <c r="D220" s="4">
        <v>2</v>
      </c>
      <c r="E220" s="3">
        <v>44</v>
      </c>
      <c r="F220" s="5">
        <v>3.42</v>
      </c>
      <c r="G220" s="3">
        <v>25</v>
      </c>
      <c r="H220" s="3">
        <v>35</v>
      </c>
      <c r="I220" s="1">
        <v>150</v>
      </c>
      <c r="J220" s="3">
        <v>235</v>
      </c>
      <c r="K220" s="4">
        <v>628</v>
      </c>
      <c r="L220" s="5">
        <v>18375</v>
      </c>
      <c r="M220" s="4">
        <v>82.823824444556394</v>
      </c>
      <c r="N220" s="10">
        <v>3.4176870748299303E-2</v>
      </c>
      <c r="O220" s="5">
        <v>29.324999999999999</v>
      </c>
      <c r="P220" s="4">
        <v>217.58179225653299</v>
      </c>
      <c r="Q220" s="5">
        <v>0.17</v>
      </c>
      <c r="R220" s="11">
        <f t="shared" si="30"/>
        <v>1.0879089612826649E-3</v>
      </c>
      <c r="V220" s="5">
        <f t="shared" si="31"/>
        <v>0.23362030019985439</v>
      </c>
      <c r="W220" s="5">
        <f t="shared" si="32"/>
        <v>1.3742370599991434</v>
      </c>
      <c r="Y220" s="5">
        <f t="shared" si="33"/>
        <v>0.23242191950299931</v>
      </c>
      <c r="Z220" s="5">
        <f t="shared" si="34"/>
        <v>1.3671877617823489</v>
      </c>
      <c r="AB220" s="5">
        <f>$AC$2*($AC$3+$AC$4*$F220/($N220*'Sem TS MC2020'!P212))*($AC$5*$G220+$AC$6*$B220/$N220)*'Sem TS MC2020'!R212*($J220-$M220)/($J220-$M220-$H220)</f>
        <v>0.20190586756617959</v>
      </c>
      <c r="AC220" s="5">
        <f t="shared" si="35"/>
        <v>1.1876815739187034</v>
      </c>
      <c r="AD220" s="20">
        <f t="shared" si="36"/>
        <v>3.190586756617958E-2</v>
      </c>
      <c r="AE220" s="21">
        <f t="shared" si="37"/>
        <v>0.84197652128301004</v>
      </c>
      <c r="AF220" s="21">
        <f>AB220*(14.068*'Sem TS MC2020'!$P212^-0.457)/$Q220</f>
        <v>1.2916966875419345</v>
      </c>
      <c r="AG220" s="21"/>
      <c r="AO220" s="5">
        <f>$AP$2*($AP$3+$AP$4*$F220/($N220*'Sem TS MC2020'!P212))*($AP$5*$G220+$AP$6*$B220/$N220)*('Sem TS MC2020'!P212^$AP$7/200000)*($J220-$M220)/($J220-$M220-$H220)+('Sem TS MC2020'!P212-$C220/$AP$8)*($AP$5*$G220+$AP$6*$B220/$N220)/200000</f>
        <v>0.21309093424948583</v>
      </c>
      <c r="AP220" s="5">
        <f t="shared" si="38"/>
        <v>1.2534760838205048</v>
      </c>
      <c r="AQ220" s="20">
        <f t="shared" si="39"/>
        <v>4.3090934249485818E-2</v>
      </c>
    </row>
    <row r="221" spans="1:43" x14ac:dyDescent="0.25">
      <c r="B221" s="3">
        <v>20</v>
      </c>
      <c r="C221" s="4">
        <v>528</v>
      </c>
      <c r="D221" s="4">
        <v>2</v>
      </c>
      <c r="E221" s="3">
        <v>44</v>
      </c>
      <c r="F221" s="5">
        <v>3.42</v>
      </c>
      <c r="G221" s="3">
        <v>25</v>
      </c>
      <c r="H221" s="3">
        <v>35</v>
      </c>
      <c r="I221" s="1">
        <v>150</v>
      </c>
      <c r="J221" s="3">
        <v>235</v>
      </c>
      <c r="K221" s="4">
        <v>628</v>
      </c>
      <c r="L221" s="5">
        <v>18375</v>
      </c>
      <c r="M221" s="4">
        <v>82.823824444556394</v>
      </c>
      <c r="N221" s="10">
        <v>3.4176870748299303E-2</v>
      </c>
      <c r="O221" s="5">
        <v>33.35</v>
      </c>
      <c r="P221" s="4">
        <v>264.462650004919</v>
      </c>
      <c r="Q221" s="5">
        <v>0.19</v>
      </c>
      <c r="R221" s="11">
        <f t="shared" si="30"/>
        <v>1.3223132500245951E-3</v>
      </c>
      <c r="V221" s="5">
        <f t="shared" si="31"/>
        <v>0.26350949308895466</v>
      </c>
      <c r="W221" s="5">
        <f t="shared" si="32"/>
        <v>1.386892068889235</v>
      </c>
      <c r="Y221" s="5">
        <f t="shared" si="33"/>
        <v>0.26272108633117508</v>
      </c>
      <c r="Z221" s="5">
        <f t="shared" si="34"/>
        <v>1.3827425596377636</v>
      </c>
      <c r="AB221" s="5">
        <f>$AC$2*($AC$3+$AC$4*$F221/($N221*'Sem TS MC2020'!P213))*($AC$5*$G221+$AC$6*$B221/$N221)*'Sem TS MC2020'!R213*($J221-$M221)/($J221-$M221-$H221)</f>
        <v>0.23658930483632237</v>
      </c>
      <c r="AC221" s="5">
        <f t="shared" si="35"/>
        <v>1.2452068675595913</v>
      </c>
      <c r="AD221" s="20">
        <f t="shared" si="36"/>
        <v>4.6589304836322371E-2</v>
      </c>
      <c r="AE221" s="21">
        <f t="shared" si="37"/>
        <v>0.80307941278852879</v>
      </c>
      <c r="AF221" s="21">
        <f>AB221*(14.068*'Sem TS MC2020'!$P213^-0.457)/$Q221</f>
        <v>1.2769532911640944</v>
      </c>
      <c r="AG221" s="21"/>
      <c r="AO221" s="5">
        <f>$AP$2*($AP$3+$AP$4*$F221/($N221*'Sem TS MC2020'!P213))*($AP$5*$G221+$AP$6*$B221/$N221)*('Sem TS MC2020'!P213^$AP$7/200000)*($J221-$M221)/($J221-$M221-$H221)+('Sem TS MC2020'!P213-$C221/$AP$8)*($AP$5*$G221+$AP$6*$B221/$N221)/200000</f>
        <v>0.24625439601729077</v>
      </c>
      <c r="AP221" s="5">
        <f t="shared" si="38"/>
        <v>1.2960757685120567</v>
      </c>
      <c r="AQ221" s="20">
        <f t="shared" si="39"/>
        <v>5.6254396017290764E-2</v>
      </c>
    </row>
    <row r="222" spans="1:43" x14ac:dyDescent="0.25">
      <c r="B222" s="3">
        <v>20</v>
      </c>
      <c r="C222" s="4">
        <v>528</v>
      </c>
      <c r="D222" s="4">
        <v>2</v>
      </c>
      <c r="E222" s="3">
        <v>44</v>
      </c>
      <c r="F222" s="5">
        <v>3.42</v>
      </c>
      <c r="G222" s="3">
        <v>25</v>
      </c>
      <c r="H222" s="3">
        <v>35</v>
      </c>
      <c r="I222" s="1">
        <v>150</v>
      </c>
      <c r="J222" s="3">
        <v>235</v>
      </c>
      <c r="K222" s="4">
        <v>628</v>
      </c>
      <c r="L222" s="5">
        <v>18375</v>
      </c>
      <c r="M222" s="4">
        <v>82.823824444556394</v>
      </c>
      <c r="N222" s="10">
        <v>3.4176870748299303E-2</v>
      </c>
      <c r="O222" s="5">
        <v>38.524999999999999</v>
      </c>
      <c r="P222" s="4">
        <v>324.73803853855998</v>
      </c>
      <c r="Q222" s="5">
        <v>0.21</v>
      </c>
      <c r="R222" s="11">
        <f t="shared" si="30"/>
        <v>1.6236901926928E-3</v>
      </c>
      <c r="V222" s="5">
        <f t="shared" si="31"/>
        <v>0.29909794290332026</v>
      </c>
      <c r="W222" s="5">
        <f t="shared" si="32"/>
        <v>1.4242759185872393</v>
      </c>
      <c r="Y222" s="5">
        <f t="shared" si="33"/>
        <v>0.29887731206612067</v>
      </c>
      <c r="Z222" s="5">
        <f t="shared" si="34"/>
        <v>1.4232252955529556</v>
      </c>
      <c r="AB222" s="5">
        <f>$AC$2*($AC$3+$AC$4*$F222/($N222*'Sem TS MC2020'!P214))*($AC$5*$G222+$AC$6*$B222/$N222)*'Sem TS MC2020'!R214*($J222-$M222)/($J222-$M222-$H222)</f>
        <v>0.28118229561222136</v>
      </c>
      <c r="AC222" s="5">
        <f t="shared" si="35"/>
        <v>1.3389633124391493</v>
      </c>
      <c r="AD222" s="20">
        <f t="shared" si="36"/>
        <v>7.1182295612221363E-2</v>
      </c>
      <c r="AE222" s="21">
        <f t="shared" si="37"/>
        <v>0.74684645255763582</v>
      </c>
      <c r="AF222" s="21">
        <f>AB222*(14.068*'Sem TS MC2020'!$P214^-0.457)/$Q222</f>
        <v>1.285501507537276</v>
      </c>
      <c r="AG222" s="21"/>
      <c r="AO222" s="5">
        <f>$AP$2*($AP$3+$AP$4*$F222/($N222*'Sem TS MC2020'!P214))*($AP$5*$G222+$AP$6*$B222/$N222)*('Sem TS MC2020'!P214^$AP$7/200000)*($J222-$M222)/($J222-$M222-$H222)+('Sem TS MC2020'!P214-$C222/$AP$8)*($AP$5*$G222+$AP$6*$B222/$N222)/200000</f>
        <v>0.28772309279095998</v>
      </c>
      <c r="AP222" s="5">
        <f t="shared" si="38"/>
        <v>1.3701099656712381</v>
      </c>
      <c r="AQ222" s="20">
        <f t="shared" si="39"/>
        <v>7.7723092790959986E-2</v>
      </c>
    </row>
    <row r="223" spans="1:43" x14ac:dyDescent="0.25">
      <c r="B223" s="3">
        <v>20</v>
      </c>
      <c r="C223" s="4">
        <v>528</v>
      </c>
      <c r="D223" s="4">
        <v>2</v>
      </c>
      <c r="E223" s="3">
        <v>44</v>
      </c>
      <c r="F223" s="5">
        <v>3.42</v>
      </c>
      <c r="G223" s="3">
        <v>25</v>
      </c>
      <c r="H223" s="3">
        <v>35</v>
      </c>
      <c r="I223" s="1">
        <v>150</v>
      </c>
      <c r="J223" s="3">
        <v>235</v>
      </c>
      <c r="K223" s="4">
        <v>628</v>
      </c>
      <c r="L223" s="5">
        <v>18375</v>
      </c>
      <c r="M223" s="4">
        <v>82.823824444556394</v>
      </c>
      <c r="N223" s="10">
        <v>3.4176870748299303E-2</v>
      </c>
      <c r="O223" s="5">
        <v>40.825000000000003</v>
      </c>
      <c r="P223" s="4">
        <v>351.52710010906702</v>
      </c>
      <c r="Q223" s="5">
        <v>0.23</v>
      </c>
      <c r="R223" s="11">
        <f t="shared" si="30"/>
        <v>1.757635500545335E-3</v>
      </c>
      <c r="V223" s="5">
        <f t="shared" si="31"/>
        <v>0.31408995775659654</v>
      </c>
      <c r="W223" s="5">
        <f t="shared" si="32"/>
        <v>1.3656085119852024</v>
      </c>
      <c r="Y223" s="5">
        <f t="shared" si="33"/>
        <v>0.31413205538054823</v>
      </c>
      <c r="Z223" s="5">
        <f t="shared" si="34"/>
        <v>1.3657915451328184</v>
      </c>
      <c r="AB223" s="5">
        <f>$AC$2*($AC$3+$AC$4*$F223/($N223*'Sem TS MC2020'!P215))*($AC$5*$G223+$AC$6*$B223/$N223)*'Sem TS MC2020'!R215*($J223-$M223)/($J223-$M223-$H223)</f>
        <v>0.30100140262373154</v>
      </c>
      <c r="AC223" s="5">
        <f t="shared" si="35"/>
        <v>1.3087017505379632</v>
      </c>
      <c r="AD223" s="20">
        <f t="shared" si="36"/>
        <v>7.100140262373153E-2</v>
      </c>
      <c r="AE223" s="21">
        <f t="shared" si="37"/>
        <v>0.76411604064022509</v>
      </c>
      <c r="AF223" s="21">
        <f>AB223*(14.068*'Sem TS MC2020'!$P215^-0.457)/$Q223</f>
        <v>1.2235894269074856</v>
      </c>
      <c r="AG223" s="21"/>
      <c r="AO223" s="5">
        <f>$AP$2*($AP$3+$AP$4*$F223/($N223*'Sem TS MC2020'!P215))*($AP$5*$G223+$AP$6*$B223/$N223)*('Sem TS MC2020'!P215^$AP$7/200000)*($J223-$M223)/($J223-$M223-$H223)+('Sem TS MC2020'!P215-$C223/$AP$8)*($AP$5*$G223+$AP$6*$B223/$N223)/200000</f>
        <v>0.30579011976453579</v>
      </c>
      <c r="AP223" s="5">
        <f t="shared" si="38"/>
        <v>1.3295222598458079</v>
      </c>
      <c r="AQ223" s="20">
        <f t="shared" si="39"/>
        <v>7.5790119764535785E-2</v>
      </c>
    </row>
    <row r="224" spans="1:43" x14ac:dyDescent="0.25">
      <c r="B224" s="3">
        <v>20</v>
      </c>
      <c r="C224" s="4">
        <v>528</v>
      </c>
      <c r="D224" s="4">
        <v>2</v>
      </c>
      <c r="E224" s="3">
        <v>44</v>
      </c>
      <c r="F224" s="5">
        <v>3.42</v>
      </c>
      <c r="G224" s="3">
        <v>25</v>
      </c>
      <c r="H224" s="3">
        <v>35</v>
      </c>
      <c r="I224" s="1">
        <v>150</v>
      </c>
      <c r="J224" s="3">
        <v>235</v>
      </c>
      <c r="K224" s="4">
        <v>628</v>
      </c>
      <c r="L224" s="5">
        <v>18375</v>
      </c>
      <c r="M224" s="4">
        <v>82.823824444556394</v>
      </c>
      <c r="N224" s="10">
        <v>3.4176870748299303E-2</v>
      </c>
      <c r="O224" s="5">
        <v>46</v>
      </c>
      <c r="P224" s="4">
        <v>411.80248864270698</v>
      </c>
      <c r="Q224" s="5">
        <v>0.25</v>
      </c>
      <c r="R224" s="11">
        <f t="shared" si="30"/>
        <v>2.0590124432135347E-3</v>
      </c>
      <c r="V224" s="5">
        <f t="shared" si="31"/>
        <v>0.34630643132463557</v>
      </c>
      <c r="W224" s="5">
        <f t="shared" si="32"/>
        <v>1.3852257252985423</v>
      </c>
      <c r="Y224" s="5">
        <f t="shared" si="33"/>
        <v>0.34695631255614168</v>
      </c>
      <c r="Z224" s="5">
        <f t="shared" si="34"/>
        <v>1.3878252502245667</v>
      </c>
      <c r="AB224" s="5">
        <f>$AC$2*($AC$3+$AC$4*$F224/($N224*'Sem TS MC2020'!P216))*($AC$5*$G224+$AC$6*$B224/$N224)*'Sem TS MC2020'!R216*($J224-$M224)/($J224-$M224-$H224)</f>
        <v>0.34559439339962944</v>
      </c>
      <c r="AC224" s="5">
        <f t="shared" si="35"/>
        <v>1.3823775735985178</v>
      </c>
      <c r="AD224" s="20">
        <f t="shared" si="36"/>
        <v>9.559439339962944E-2</v>
      </c>
      <c r="AE224" s="21">
        <f t="shared" si="37"/>
        <v>0.72339136506451229</v>
      </c>
      <c r="AF224" s="21">
        <f>AB224*(14.068*'Sem TS MC2020'!$P216^-0.457)/$Q224</f>
        <v>1.2238682072623261</v>
      </c>
      <c r="AG224" s="21"/>
      <c r="AO224" s="5">
        <f>$AP$2*($AP$3+$AP$4*$F224/($N224*'Sem TS MC2020'!P216))*($AP$5*$G224+$AP$6*$B224/$N224)*('Sem TS MC2020'!P216^$AP$7/200000)*($J224-$M224)/($J224-$M224-$H224)+('Sem TS MC2020'!P216-$C224/$AP$8)*($AP$5*$G224+$AP$6*$B224/$N224)/200000</f>
        <v>0.34573364270010826</v>
      </c>
      <c r="AP224" s="5">
        <f t="shared" si="38"/>
        <v>1.382934570800433</v>
      </c>
      <c r="AQ224" s="20">
        <f t="shared" si="39"/>
        <v>9.5733642700108257E-2</v>
      </c>
    </row>
    <row r="225" spans="1:43" x14ac:dyDescent="0.25">
      <c r="B225" s="3">
        <v>20</v>
      </c>
      <c r="C225" s="4">
        <v>528</v>
      </c>
      <c r="D225" s="4">
        <v>2</v>
      </c>
      <c r="E225" s="3">
        <v>44</v>
      </c>
      <c r="F225" s="5">
        <v>3.42</v>
      </c>
      <c r="G225" s="3">
        <v>25</v>
      </c>
      <c r="H225" s="3">
        <v>35</v>
      </c>
      <c r="I225" s="1">
        <v>150</v>
      </c>
      <c r="J225" s="3">
        <v>235</v>
      </c>
      <c r="K225" s="4">
        <v>628</v>
      </c>
      <c r="L225" s="5">
        <v>18375</v>
      </c>
      <c r="M225" s="4">
        <v>82.823824444556394</v>
      </c>
      <c r="N225" s="10">
        <v>3.4176870748299303E-2</v>
      </c>
      <c r="O225" s="5">
        <v>56.924999999999997</v>
      </c>
      <c r="P225" s="4">
        <v>525.80672936788005</v>
      </c>
      <c r="Q225" s="5">
        <v>0.25</v>
      </c>
      <c r="R225" s="11">
        <f t="shared" si="30"/>
        <v>2.6290336468394004E-3</v>
      </c>
      <c r="V225" s="5">
        <f t="shared" si="31"/>
        <v>0.40266806971119917</v>
      </c>
      <c r="W225" s="5">
        <f t="shared" si="32"/>
        <v>1.6106722788447967</v>
      </c>
      <c r="Y225" s="5">
        <f t="shared" si="33"/>
        <v>0.40450969805738557</v>
      </c>
      <c r="Z225" s="5">
        <f t="shared" si="34"/>
        <v>1.6180387922295423</v>
      </c>
      <c r="AB225" s="5">
        <f>$AC$2*($AC$3+$AC$4*$F225/($N225*'Sem TS MC2020'!P217))*($AC$5*$G225+$AC$6*$B225/$N225)*'Sem TS MC2020'!R217*($J225-$M225)/($J225-$M225-$H225)</f>
        <v>0.43973515170430377</v>
      </c>
      <c r="AC225" s="5">
        <f t="shared" si="35"/>
        <v>1.7589406068172151</v>
      </c>
      <c r="AD225" s="20">
        <f t="shared" si="36"/>
        <v>0.18973515170430377</v>
      </c>
      <c r="AE225" s="21">
        <f t="shared" si="37"/>
        <v>0.56852402868195173</v>
      </c>
      <c r="AF225" s="21">
        <f>AB225*(14.068*'Sem TS MC2020'!$P217^-0.457)/$Q225</f>
        <v>1.4127521886822021</v>
      </c>
      <c r="AG225" s="21"/>
      <c r="AO225" s="5">
        <f>$AP$2*($AP$3+$AP$4*$F225/($N225*'Sem TS MC2020'!P217))*($AP$5*$G225+$AP$6*$B225/$N225)*('Sem TS MC2020'!P217^$AP$7/200000)*($J225-$M225)/($J225-$M225-$H225)+('Sem TS MC2020'!P217-$C225/$AP$8)*($AP$5*$G225+$AP$6*$B225/$N225)/200000</f>
        <v>0.42736796480148703</v>
      </c>
      <c r="AP225" s="5">
        <f t="shared" si="38"/>
        <v>1.7094718592059481</v>
      </c>
      <c r="AQ225" s="20">
        <f t="shared" si="39"/>
        <v>0.17736796480148703</v>
      </c>
    </row>
    <row r="226" spans="1:43" x14ac:dyDescent="0.25">
      <c r="A226" s="1" t="s">
        <v>68</v>
      </c>
      <c r="B226" s="3">
        <v>20</v>
      </c>
      <c r="C226" s="4">
        <v>528</v>
      </c>
      <c r="D226" s="4">
        <v>3</v>
      </c>
      <c r="E226" s="3">
        <v>12</v>
      </c>
      <c r="F226" s="5">
        <v>3.42</v>
      </c>
      <c r="G226" s="3">
        <v>25</v>
      </c>
      <c r="H226" s="3">
        <v>35</v>
      </c>
      <c r="I226" s="1">
        <v>150</v>
      </c>
      <c r="J226" s="3">
        <v>235</v>
      </c>
      <c r="K226" s="4">
        <v>942</v>
      </c>
      <c r="L226" s="5">
        <v>18375</v>
      </c>
      <c r="M226" s="4">
        <v>95.701732145716306</v>
      </c>
      <c r="N226" s="10">
        <v>5.1265306122448999E-2</v>
      </c>
      <c r="O226" s="5">
        <v>39.1</v>
      </c>
      <c r="P226" s="4">
        <v>203.40215798464601</v>
      </c>
      <c r="Q226" s="5">
        <v>0.18</v>
      </c>
      <c r="R226" s="11">
        <f t="shared" si="30"/>
        <v>1.01701078992323E-3</v>
      </c>
      <c r="V226" s="5">
        <f t="shared" si="31"/>
        <v>0.18919609149957264</v>
      </c>
      <c r="W226" s="5">
        <f t="shared" si="32"/>
        <v>1.0510893972198481</v>
      </c>
      <c r="Y226" s="5">
        <f t="shared" si="33"/>
        <v>0.1916325868801482</v>
      </c>
      <c r="Z226" s="5">
        <f t="shared" si="34"/>
        <v>1.0646254826674901</v>
      </c>
      <c r="AB226" s="5">
        <f>$AC$2*($AC$3+$AC$4*$F226/($N226*'Sem TS MC2020'!P218))*($AC$5*$G226+$AC$6*$B226/$N226)*'Sem TS MC2020'!R218*($J226-$M226)/($J226-$M226-$H226)</f>
        <v>0.1503921156033021</v>
      </c>
      <c r="AC226" s="5">
        <f t="shared" si="35"/>
        <v>0.83551175335167838</v>
      </c>
      <c r="AD226" s="20">
        <f t="shared" si="36"/>
        <v>-2.9607884396697898E-2</v>
      </c>
      <c r="AE226" s="21">
        <f t="shared" si="37"/>
        <v>1.1968712540409785</v>
      </c>
      <c r="AF226" s="21">
        <f>AB226*(14.068*'Sem TS MC2020'!$P218^-0.457)/$Q226</f>
        <v>0.94794943275483223</v>
      </c>
      <c r="AG226" s="21"/>
      <c r="AO226" s="5">
        <f>$AP$2*($AP$3+$AP$4*$F226/($N226*'Sem TS MC2020'!P218))*($AP$5*$G226+$AP$6*$B226/$N226)*('Sem TS MC2020'!P218^$AP$7/200000)*($J226-$M226)/($J226-$M226-$H226)+('Sem TS MC2020'!P218-$C226/$AP$8)*($AP$5*$G226+$AP$6*$B226/$N226)/200000</f>
        <v>0.1577908301030797</v>
      </c>
      <c r="AP226" s="5">
        <f t="shared" si="38"/>
        <v>0.87661572279488731</v>
      </c>
      <c r="AQ226" s="20">
        <f t="shared" si="39"/>
        <v>-2.2209169896920289E-2</v>
      </c>
    </row>
    <row r="227" spans="1:43" x14ac:dyDescent="0.25">
      <c r="B227" s="3">
        <v>20</v>
      </c>
      <c r="C227" s="4">
        <v>528</v>
      </c>
      <c r="D227" s="4">
        <v>3</v>
      </c>
      <c r="E227" s="3">
        <v>12</v>
      </c>
      <c r="F227" s="5">
        <v>3.42</v>
      </c>
      <c r="G227" s="3">
        <v>25</v>
      </c>
      <c r="H227" s="3">
        <v>35</v>
      </c>
      <c r="I227" s="1">
        <v>150</v>
      </c>
      <c r="J227" s="3">
        <v>235</v>
      </c>
      <c r="K227" s="4">
        <v>942</v>
      </c>
      <c r="L227" s="5">
        <v>18375</v>
      </c>
      <c r="M227" s="4">
        <v>95.701732145716306</v>
      </c>
      <c r="N227" s="10">
        <v>5.1265306122448999E-2</v>
      </c>
      <c r="O227" s="5">
        <v>44.85</v>
      </c>
      <c r="P227" s="4">
        <v>246.64112990116601</v>
      </c>
      <c r="Q227" s="5">
        <v>0.19</v>
      </c>
      <c r="R227" s="11">
        <f t="shared" si="30"/>
        <v>1.23320564950583E-3</v>
      </c>
      <c r="V227" s="5">
        <f t="shared" si="31"/>
        <v>0.21308908100503299</v>
      </c>
      <c r="W227" s="5">
        <f t="shared" si="32"/>
        <v>1.1215214789738579</v>
      </c>
      <c r="Y227" s="5">
        <f t="shared" si="33"/>
        <v>0.21629137809883844</v>
      </c>
      <c r="Z227" s="5">
        <f t="shared" si="34"/>
        <v>1.1383756742044129</v>
      </c>
      <c r="AB227" s="5">
        <f>$AC$2*($AC$3+$AC$4*$F227/($N227*'Sem TS MC2020'!P219))*($AC$5*$G227+$AC$6*$B227/$N227)*'Sem TS MC2020'!R219*($J227-$M227)/($J227-$M227-$H227)</f>
        <v>0.17631956610148175</v>
      </c>
      <c r="AC227" s="5">
        <f t="shared" si="35"/>
        <v>0.92799771632358818</v>
      </c>
      <c r="AD227" s="20">
        <f t="shared" si="36"/>
        <v>-1.3680433898518252E-2</v>
      </c>
      <c r="AE227" s="21">
        <f t="shared" si="37"/>
        <v>1.0775888586899334</v>
      </c>
      <c r="AF227" s="21">
        <f>AB227*(14.068*'Sem TS MC2020'!$P219^-0.457)/$Q227</f>
        <v>0.98889197964870101</v>
      </c>
      <c r="AG227" s="21"/>
      <c r="AO227" s="5">
        <f>$AP$2*($AP$3+$AP$4*$F227/($N227*'Sem TS MC2020'!P219))*($AP$5*$G227+$AP$6*$B227/$N227)*('Sem TS MC2020'!P219^$AP$7/200000)*($J227-$M227)/($J227-$M227-$H227)+('Sem TS MC2020'!P219-$C227/$AP$8)*($AP$5*$G227+$AP$6*$B227/$N227)/200000</f>
        <v>0.18221509618973622</v>
      </c>
      <c r="AP227" s="5">
        <f t="shared" si="38"/>
        <v>0.95902682205124323</v>
      </c>
      <c r="AQ227" s="20">
        <f t="shared" si="39"/>
        <v>-7.7849038102637824E-3</v>
      </c>
    </row>
    <row r="228" spans="1:43" x14ac:dyDescent="0.25">
      <c r="B228" s="3">
        <v>20</v>
      </c>
      <c r="C228" s="4">
        <v>528</v>
      </c>
      <c r="D228" s="4">
        <v>3</v>
      </c>
      <c r="E228" s="3">
        <v>12</v>
      </c>
      <c r="F228" s="5">
        <v>3.42</v>
      </c>
      <c r="G228" s="3">
        <v>25</v>
      </c>
      <c r="H228" s="3">
        <v>35</v>
      </c>
      <c r="I228" s="1">
        <v>150</v>
      </c>
      <c r="J228" s="3">
        <v>235</v>
      </c>
      <c r="K228" s="4">
        <v>942</v>
      </c>
      <c r="L228" s="5">
        <v>18375</v>
      </c>
      <c r="M228" s="4">
        <v>95.701732145716306</v>
      </c>
      <c r="N228" s="10">
        <v>5.1265306122448999E-2</v>
      </c>
      <c r="O228" s="5">
        <v>50.024999999999999</v>
      </c>
      <c r="P228" s="4">
        <v>285.55620462603298</v>
      </c>
      <c r="Q228" s="5">
        <v>0.21</v>
      </c>
      <c r="R228" s="11">
        <f t="shared" si="30"/>
        <v>1.4277810231301648E-3</v>
      </c>
      <c r="V228" s="5">
        <f t="shared" si="31"/>
        <v>0.23324830688474288</v>
      </c>
      <c r="W228" s="5">
        <f t="shared" si="32"/>
        <v>1.1107062232606804</v>
      </c>
      <c r="Y228" s="5">
        <f t="shared" si="33"/>
        <v>0.23713540399265398</v>
      </c>
      <c r="Z228" s="5">
        <f t="shared" si="34"/>
        <v>1.1292162094888285</v>
      </c>
      <c r="AB228" s="5">
        <f>$AC$2*($AC$3+$AC$4*$F228/($N228*'Sem TS MC2020'!P220))*($AC$5*$G228+$AC$6*$B228/$N228)*'Sem TS MC2020'!R220*($J228-$M228)/($J228-$M228-$H228)</f>
        <v>0.19965427154984355</v>
      </c>
      <c r="AC228" s="5">
        <f t="shared" si="35"/>
        <v>0.95073462642782647</v>
      </c>
      <c r="AD228" s="20">
        <f t="shared" si="36"/>
        <v>-1.0345728450156438E-2</v>
      </c>
      <c r="AE228" s="21">
        <f t="shared" si="37"/>
        <v>1.0518182174107586</v>
      </c>
      <c r="AF228" s="21">
        <f>AB228*(14.068*'Sem TS MC2020'!$P220^-0.457)/$Q228</f>
        <v>0.96380282205216805</v>
      </c>
      <c r="AG228" s="21"/>
      <c r="AO228" s="5">
        <f>$AP$2*($AP$3+$AP$4*$F228/($N228*'Sem TS MC2020'!P220))*($AP$5*$G228+$AP$6*$B228/$N228)*('Sem TS MC2020'!P220^$AP$7/200000)*($J228-$M228)/($J228-$M228-$H228)+('Sem TS MC2020'!P220-$C228/$AP$8)*($AP$5*$G228+$AP$6*$B228/$N228)/200000</f>
        <v>0.20367774179366921</v>
      </c>
      <c r="AP228" s="5">
        <f t="shared" si="38"/>
        <v>0.96989400854128194</v>
      </c>
      <c r="AQ228" s="20">
        <f t="shared" si="39"/>
        <v>-6.3222582063307831E-3</v>
      </c>
    </row>
    <row r="229" spans="1:43" x14ac:dyDescent="0.25">
      <c r="B229" s="3">
        <v>20</v>
      </c>
      <c r="C229" s="4">
        <v>528</v>
      </c>
      <c r="D229" s="4">
        <v>3</v>
      </c>
      <c r="E229" s="3">
        <v>12</v>
      </c>
      <c r="F229" s="5">
        <v>3.42</v>
      </c>
      <c r="G229" s="3">
        <v>25</v>
      </c>
      <c r="H229" s="3">
        <v>35</v>
      </c>
      <c r="I229" s="1">
        <v>150</v>
      </c>
      <c r="J229" s="3">
        <v>235</v>
      </c>
      <c r="K229" s="4">
        <v>942</v>
      </c>
      <c r="L229" s="5">
        <v>18375</v>
      </c>
      <c r="M229" s="4">
        <v>95.701732145716306</v>
      </c>
      <c r="N229" s="10">
        <v>5.1265306122448999E-2</v>
      </c>
      <c r="O229" s="5">
        <v>56.35</v>
      </c>
      <c r="P229" s="4">
        <v>333.11907373420399</v>
      </c>
      <c r="Q229" s="5">
        <v>0.23</v>
      </c>
      <c r="R229" s="11">
        <f t="shared" si="30"/>
        <v>1.6655953686710199E-3</v>
      </c>
      <c r="V229" s="5">
        <f t="shared" si="31"/>
        <v>0.2565078578165102</v>
      </c>
      <c r="W229" s="5">
        <f t="shared" si="32"/>
        <v>1.1152515557239573</v>
      </c>
      <c r="Y229" s="5">
        <f t="shared" si="33"/>
        <v>0.2612248924751322</v>
      </c>
      <c r="Z229" s="5">
        <f t="shared" si="34"/>
        <v>1.1357604020657921</v>
      </c>
      <c r="AB229" s="5">
        <f>$AC$2*($AC$3+$AC$4*$F229/($N229*'Sem TS MC2020'!P221))*($AC$5*$G229+$AC$6*$B229/$N229)*'Sem TS MC2020'!R221*($J229-$M229)/($J229-$M229-$H229)</f>
        <v>0.22817446709784167</v>
      </c>
      <c r="AC229" s="5">
        <f t="shared" si="35"/>
        <v>0.99206290042539857</v>
      </c>
      <c r="AD229" s="20">
        <f t="shared" si="36"/>
        <v>-1.8255329021583389E-3</v>
      </c>
      <c r="AE229" s="21">
        <f t="shared" si="37"/>
        <v>1.0080006011425264</v>
      </c>
      <c r="AF229" s="21">
        <f>AB229*(14.068*'Sem TS MC2020'!$P221^-0.457)/$Q229</f>
        <v>0.95244097916320569</v>
      </c>
      <c r="AG229" s="21"/>
      <c r="AO229" s="5">
        <f>$AP$2*($AP$3+$AP$4*$F229/($N229*'Sem TS MC2020'!P221))*($AP$5*$G229+$AP$6*$B229/$N229)*('Sem TS MC2020'!P221^$AP$7/200000)*($J229-$M229)/($J229-$M229-$H229)+('Sem TS MC2020'!P221-$C229/$AP$8)*($AP$5*$G229+$AP$6*$B229/$N229)/200000</f>
        <v>0.22934169693423989</v>
      </c>
      <c r="AP229" s="5">
        <f t="shared" si="38"/>
        <v>0.99713781275756475</v>
      </c>
      <c r="AQ229" s="20">
        <f t="shared" si="39"/>
        <v>-6.5830306576011854E-4</v>
      </c>
    </row>
    <row r="230" spans="1:43" x14ac:dyDescent="0.25">
      <c r="B230" s="3">
        <v>20</v>
      </c>
      <c r="C230" s="4">
        <v>528</v>
      </c>
      <c r="D230" s="4">
        <v>3</v>
      </c>
      <c r="E230" s="3">
        <v>12</v>
      </c>
      <c r="F230" s="5">
        <v>3.42</v>
      </c>
      <c r="G230" s="3">
        <v>25</v>
      </c>
      <c r="H230" s="3">
        <v>35</v>
      </c>
      <c r="I230" s="1">
        <v>150</v>
      </c>
      <c r="J230" s="3">
        <v>235</v>
      </c>
      <c r="K230" s="4">
        <v>942</v>
      </c>
      <c r="L230" s="5">
        <v>18375</v>
      </c>
      <c r="M230" s="4">
        <v>95.701732145716306</v>
      </c>
      <c r="N230" s="10">
        <v>5.1265306122448999E-2</v>
      </c>
      <c r="O230" s="5">
        <v>62.674999999999997</v>
      </c>
      <c r="P230" s="4">
        <v>380.68194284237501</v>
      </c>
      <c r="Q230" s="5">
        <v>0.25</v>
      </c>
      <c r="R230" s="11">
        <f t="shared" si="30"/>
        <v>1.903409714211875E-3</v>
      </c>
      <c r="V230" s="5">
        <f t="shared" si="31"/>
        <v>0.27852469484067671</v>
      </c>
      <c r="W230" s="5">
        <f t="shared" si="32"/>
        <v>1.1140987793627068</v>
      </c>
      <c r="Y230" s="5">
        <f t="shared" si="33"/>
        <v>0.28406333594905081</v>
      </c>
      <c r="Z230" s="5">
        <f t="shared" si="34"/>
        <v>1.1362533437962032</v>
      </c>
      <c r="AB230" s="5">
        <f>$AC$2*($AC$3+$AC$4*$F230/($N230*'Sem TS MC2020'!P222))*($AC$5*$G230+$AC$6*$B230/$N230)*'Sem TS MC2020'!R222*($J230-$M230)/($J230-$M230-$H230)</f>
        <v>0.25669466264583907</v>
      </c>
      <c r="AC230" s="5">
        <f t="shared" si="35"/>
        <v>1.0267786505833563</v>
      </c>
      <c r="AD230" s="20">
        <f t="shared" si="36"/>
        <v>6.6946626458390668E-3</v>
      </c>
      <c r="AE230" s="21">
        <f t="shared" si="37"/>
        <v>0.97391974349277499</v>
      </c>
      <c r="AF230" s="21">
        <f>AB230*(14.068*'Sem TS MC2020'!$P222^-0.457)/$Q230</f>
        <v>0.93899245135913956</v>
      </c>
      <c r="AG230" s="21"/>
      <c r="AO230" s="5">
        <f>$AP$2*($AP$3+$AP$4*$F230/($N230*'Sem TS MC2020'!P222))*($AP$5*$G230+$AP$6*$B230/$N230)*('Sem TS MC2020'!P222^$AP$7/200000)*($J230-$M230)/($J230-$M230-$H230)+('Sem TS MC2020'!P222-$C230/$AP$8)*($AP$5*$G230+$AP$6*$B230/$N230)/200000</f>
        <v>0.25446603504081489</v>
      </c>
      <c r="AP230" s="5">
        <f t="shared" si="38"/>
        <v>1.0178641401632595</v>
      </c>
      <c r="AQ230" s="20">
        <f t="shared" si="39"/>
        <v>4.4660350408148863E-3</v>
      </c>
    </row>
    <row r="231" spans="1:43" x14ac:dyDescent="0.25">
      <c r="B231" s="3">
        <v>20</v>
      </c>
      <c r="C231" s="4">
        <v>528</v>
      </c>
      <c r="D231" s="4">
        <v>3</v>
      </c>
      <c r="E231" s="3">
        <v>12</v>
      </c>
      <c r="F231" s="5">
        <v>3.42</v>
      </c>
      <c r="G231" s="3">
        <v>25</v>
      </c>
      <c r="H231" s="3">
        <v>35</v>
      </c>
      <c r="I231" s="1">
        <v>150</v>
      </c>
      <c r="J231" s="3">
        <v>235</v>
      </c>
      <c r="K231" s="4">
        <v>942</v>
      </c>
      <c r="L231" s="5">
        <v>18375</v>
      </c>
      <c r="M231" s="4">
        <v>95.701732145716306</v>
      </c>
      <c r="N231" s="10">
        <v>5.1265306122448999E-2</v>
      </c>
      <c r="O231" s="5">
        <v>68.424999999999997</v>
      </c>
      <c r="P231" s="4">
        <v>423.92091475889498</v>
      </c>
      <c r="Q231" s="5">
        <v>0.28999999999999998</v>
      </c>
      <c r="R231" s="11">
        <f t="shared" si="30"/>
        <v>2.1196045737944748E-3</v>
      </c>
      <c r="V231" s="5">
        <f t="shared" si="31"/>
        <v>0.29764016089866313</v>
      </c>
      <c r="W231" s="5">
        <f t="shared" si="32"/>
        <v>1.0263453824091833</v>
      </c>
      <c r="Y231" s="5">
        <f t="shared" si="33"/>
        <v>0.30391837240716829</v>
      </c>
      <c r="Z231" s="5">
        <f t="shared" si="34"/>
        <v>1.0479943876109252</v>
      </c>
      <c r="AB231" s="5">
        <f>$AC$2*($AC$3+$AC$4*$F231/($N231*'Sem TS MC2020'!P223))*($AC$5*$G231+$AC$6*$B231/$N231)*'Sem TS MC2020'!R223*($J231-$M231)/($J231-$M231-$H231)</f>
        <v>0.28262211314401869</v>
      </c>
      <c r="AC231" s="5">
        <f t="shared" si="35"/>
        <v>0.97455901084144381</v>
      </c>
      <c r="AD231" s="20">
        <f t="shared" si="36"/>
        <v>-7.377886855981286E-3</v>
      </c>
      <c r="AE231" s="21">
        <f t="shared" si="37"/>
        <v>1.0261051294744996</v>
      </c>
      <c r="AF231" s="21">
        <f>AB231*(14.068*'Sem TS MC2020'!$P223^-0.457)/$Q231</f>
        <v>0.85619435576322833</v>
      </c>
      <c r="AG231" s="21"/>
      <c r="AO231" s="5">
        <f>$AP$2*($AP$3+$AP$4*$F231/($N231*'Sem TS MC2020'!P223))*($AP$5*$G231+$AP$6*$B231/$N231)*('Sem TS MC2020'!P223^$AP$7/200000)*($J231-$M231)/($J231-$M231-$H231)+('Sem TS MC2020'!P223-$C231/$AP$8)*($AP$5*$G231+$AP$6*$B231/$N231)/200000</f>
        <v>0.27689748398149822</v>
      </c>
      <c r="AP231" s="5">
        <f t="shared" si="38"/>
        <v>0.95481891028102839</v>
      </c>
      <c r="AQ231" s="20">
        <f t="shared" si="39"/>
        <v>-1.3102516018501764E-2</v>
      </c>
    </row>
    <row r="232" spans="1:43" x14ac:dyDescent="0.25">
      <c r="B232" s="3">
        <v>20</v>
      </c>
      <c r="C232" s="4">
        <v>528</v>
      </c>
      <c r="D232" s="4">
        <v>3</v>
      </c>
      <c r="E232" s="3">
        <v>12</v>
      </c>
      <c r="F232" s="5">
        <v>3.42</v>
      </c>
      <c r="G232" s="3">
        <v>25</v>
      </c>
      <c r="H232" s="3">
        <v>35</v>
      </c>
      <c r="I232" s="1">
        <v>150</v>
      </c>
      <c r="J232" s="3">
        <v>235</v>
      </c>
      <c r="K232" s="4">
        <v>942</v>
      </c>
      <c r="L232" s="5">
        <v>18375</v>
      </c>
      <c r="M232" s="4">
        <v>95.701732145716306</v>
      </c>
      <c r="N232" s="10">
        <v>5.1265306122448999E-2</v>
      </c>
      <c r="O232" s="5">
        <v>74.174999999999997</v>
      </c>
      <c r="P232" s="4">
        <v>467.15988667541399</v>
      </c>
      <c r="Q232" s="5">
        <v>0.31</v>
      </c>
      <c r="R232" s="11">
        <f t="shared" si="30"/>
        <v>2.3357994333770699E-3</v>
      </c>
      <c r="V232" s="5">
        <f t="shared" si="31"/>
        <v>0.31602178588390978</v>
      </c>
      <c r="W232" s="5">
        <f t="shared" si="32"/>
        <v>1.0194251157545478</v>
      </c>
      <c r="Y232" s="5">
        <f t="shared" si="33"/>
        <v>0.3230326609113795</v>
      </c>
      <c r="Z232" s="5">
        <f t="shared" si="34"/>
        <v>1.0420408416496112</v>
      </c>
      <c r="AB232" s="5">
        <f>$AC$2*($AC$3+$AC$4*$F232/($N232*'Sem TS MC2020'!P224))*($AC$5*$G232+$AC$6*$B232/$N232)*'Sem TS MC2020'!R224*($J232-$M232)/($J232-$M232-$H232)</f>
        <v>0.30854956364219832</v>
      </c>
      <c r="AC232" s="5">
        <f t="shared" si="35"/>
        <v>0.99532117303934942</v>
      </c>
      <c r="AD232" s="20">
        <f t="shared" si="36"/>
        <v>-1.4504363578016766E-3</v>
      </c>
      <c r="AE232" s="21">
        <f t="shared" si="37"/>
        <v>1.0047008212900397</v>
      </c>
      <c r="AF232" s="21">
        <f>AB232*(14.068*'Sem TS MC2020'!$P224^-0.457)/$Q232</f>
        <v>0.84277748663801866</v>
      </c>
      <c r="AG232" s="21"/>
      <c r="AO232" s="5">
        <f>$AP$2*($AP$3+$AP$4*$F232/($N232*'Sem TS MC2020'!P224))*($AP$5*$G232+$AP$6*$B232/$N232)*('Sem TS MC2020'!P224^$AP$7/200000)*($J232-$M232)/($J232-$M232-$H232)+('Sem TS MC2020'!P224-$C232/$AP$8)*($AP$5*$G232+$AP$6*$B232/$N232)/200000</f>
        <v>0.29898294804812536</v>
      </c>
      <c r="AP232" s="5">
        <f t="shared" si="38"/>
        <v>0.96446112273588824</v>
      </c>
      <c r="AQ232" s="20">
        <f t="shared" si="39"/>
        <v>-1.1017051951874635E-2</v>
      </c>
    </row>
    <row r="233" spans="1:43" x14ac:dyDescent="0.25">
      <c r="B233" s="3">
        <v>20</v>
      </c>
      <c r="C233" s="4">
        <v>528</v>
      </c>
      <c r="D233" s="4">
        <v>3</v>
      </c>
      <c r="E233" s="3">
        <v>12</v>
      </c>
      <c r="F233" s="5">
        <v>3.42</v>
      </c>
      <c r="G233" s="3">
        <v>25</v>
      </c>
      <c r="H233" s="3">
        <v>35</v>
      </c>
      <c r="I233" s="1">
        <v>150</v>
      </c>
      <c r="J233" s="3">
        <v>235</v>
      </c>
      <c r="K233" s="4">
        <v>942</v>
      </c>
      <c r="L233" s="5">
        <v>18375</v>
      </c>
      <c r="M233" s="4">
        <v>95.701732145716306</v>
      </c>
      <c r="N233" s="10">
        <v>5.1265306122448999E-2</v>
      </c>
      <c r="O233" s="5">
        <v>79.349999999999994</v>
      </c>
      <c r="P233" s="4">
        <v>501.10623509507298</v>
      </c>
      <c r="Q233" s="5">
        <v>0.37</v>
      </c>
      <c r="R233" s="11">
        <f t="shared" si="30"/>
        <v>2.5055311754753648E-3</v>
      </c>
      <c r="V233" s="5">
        <f t="shared" si="31"/>
        <v>0.32999964505085178</v>
      </c>
      <c r="W233" s="5">
        <f t="shared" si="32"/>
        <v>0.89189093256986962</v>
      </c>
      <c r="Y233" s="5">
        <f t="shared" si="33"/>
        <v>0.33758099698073174</v>
      </c>
      <c r="Z233" s="5">
        <f t="shared" si="34"/>
        <v>0.91238107292089665</v>
      </c>
      <c r="AB233" s="5">
        <f>$AC$2*($AC$3+$AC$4*$F233/($N233*'Sem TS MC2020'!P225))*($AC$5*$G233+$AC$6*$B233/$N233)*'Sem TS MC2020'!R225*($J233-$M233)/($J233-$M233-$H233)</f>
        <v>0.33188426909056007</v>
      </c>
      <c r="AC233" s="5">
        <f t="shared" si="35"/>
        <v>0.89698451105556776</v>
      </c>
      <c r="AD233" s="20">
        <f t="shared" si="36"/>
        <v>-3.8115730909439927E-2</v>
      </c>
      <c r="AE233" s="21">
        <f t="shared" si="37"/>
        <v>1.1148464523910273</v>
      </c>
      <c r="AF233" s="21">
        <f>AB233*(14.068*'Sem TS MC2020'!$P225^-0.457)/$Q233</f>
        <v>0.73646037009872845</v>
      </c>
      <c r="AG233" s="21"/>
      <c r="AO233" s="5">
        <f>$AP$2*($AP$3+$AP$4*$F233/($N233*'Sem TS MC2020'!P225))*($AP$5*$G233+$AP$6*$B233/$N233)*('Sem TS MC2020'!P225^$AP$7/200000)*($J233-$M233)/($J233-$M233-$H233)+('Sem TS MC2020'!P225-$C233/$AP$8)*($AP$5*$G233+$AP$6*$B233/$N233)/200000</f>
        <v>0.31859242818433836</v>
      </c>
      <c r="AP233" s="5">
        <f t="shared" si="38"/>
        <v>0.86106061671442802</v>
      </c>
      <c r="AQ233" s="20">
        <f t="shared" si="39"/>
        <v>-5.1407571815661635E-2</v>
      </c>
    </row>
    <row r="234" spans="1:43" x14ac:dyDescent="0.25">
      <c r="A234" s="1" t="s">
        <v>69</v>
      </c>
      <c r="B234" s="3">
        <v>16</v>
      </c>
      <c r="C234" s="4">
        <v>528</v>
      </c>
      <c r="D234" s="4">
        <v>2</v>
      </c>
      <c r="E234" s="3">
        <v>52</v>
      </c>
      <c r="F234" s="5">
        <v>2.98</v>
      </c>
      <c r="G234" s="3">
        <v>27</v>
      </c>
      <c r="H234" s="3">
        <v>35</v>
      </c>
      <c r="I234" s="1">
        <v>150</v>
      </c>
      <c r="J234" s="3">
        <v>235</v>
      </c>
      <c r="K234" s="4">
        <v>402</v>
      </c>
      <c r="L234" s="5">
        <v>17250</v>
      </c>
      <c r="M234" s="4">
        <v>67.594050734712994</v>
      </c>
      <c r="N234" s="10">
        <v>2.3304347826087E-2</v>
      </c>
      <c r="O234" s="5">
        <v>26.45</v>
      </c>
      <c r="P234" s="4">
        <v>338.45671348122499</v>
      </c>
      <c r="Q234" s="5">
        <v>0.16</v>
      </c>
      <c r="R234" s="11">
        <f t="shared" si="30"/>
        <v>1.6922835674061251E-3</v>
      </c>
      <c r="V234" s="5">
        <f t="shared" si="31"/>
        <v>0.30979953449565456</v>
      </c>
      <c r="W234" s="5">
        <f t="shared" si="32"/>
        <v>1.9362470905978411</v>
      </c>
      <c r="Y234" s="5">
        <f t="shared" si="33"/>
        <v>0.30674557928676338</v>
      </c>
      <c r="Z234" s="5">
        <f t="shared" si="34"/>
        <v>1.917159870542271</v>
      </c>
      <c r="AB234" s="5">
        <f>$AC$2*($AC$3+$AC$4*$F234/($N234*'Sem TS MC2020'!P226))*($AC$5*$G234+$AC$6*$B234/$N234)*'Sem TS MC2020'!R226*($J234-$M234)/($J234-$M234-$H234)</f>
        <v>0.3149864345590016</v>
      </c>
      <c r="AC234" s="5">
        <f t="shared" si="35"/>
        <v>1.9686652159937601</v>
      </c>
      <c r="AD234" s="20">
        <f t="shared" si="36"/>
        <v>0.1549864345590016</v>
      </c>
      <c r="AE234" s="21">
        <f t="shared" si="37"/>
        <v>0.50795838310944663</v>
      </c>
      <c r="AF234" s="21">
        <f>AB234*(14.068*'Sem TS MC2020'!$P226^-0.457)/$Q234</f>
        <v>1.854964452590832</v>
      </c>
      <c r="AG234" s="21"/>
      <c r="AO234" s="5">
        <f>$AP$2*($AP$3+$AP$4*$F234/($N234*'Sem TS MC2020'!P226))*($AP$5*$G234+$AP$6*$B234/$N234)*('Sem TS MC2020'!P226^$AP$7/200000)*($J234-$M234)/($J234-$M234-$H234)+('Sem TS MC2020'!P226-$C234/$AP$8)*($AP$5*$G234+$AP$6*$B234/$N234)/200000</f>
        <v>0.32186001999814423</v>
      </c>
      <c r="AP234" s="5">
        <f t="shared" si="38"/>
        <v>2.0116251249884014</v>
      </c>
      <c r="AQ234" s="20">
        <f t="shared" si="39"/>
        <v>0.16186001999814423</v>
      </c>
    </row>
    <row r="235" spans="1:43" x14ac:dyDescent="0.25">
      <c r="B235" s="3">
        <v>16</v>
      </c>
      <c r="C235" s="4">
        <v>528</v>
      </c>
      <c r="D235" s="4">
        <v>2</v>
      </c>
      <c r="E235" s="3">
        <v>52</v>
      </c>
      <c r="F235" s="5">
        <v>2.98</v>
      </c>
      <c r="G235" s="3">
        <v>27</v>
      </c>
      <c r="H235" s="3">
        <v>35</v>
      </c>
      <c r="I235" s="1">
        <v>150</v>
      </c>
      <c r="J235" s="3">
        <v>235</v>
      </c>
      <c r="K235" s="4">
        <v>402</v>
      </c>
      <c r="L235" s="5">
        <v>17250</v>
      </c>
      <c r="M235" s="4">
        <v>67.594050734712994</v>
      </c>
      <c r="N235" s="10">
        <v>2.3304347826087E-2</v>
      </c>
      <c r="O235" s="5">
        <v>31.625</v>
      </c>
      <c r="P235" s="4">
        <v>433.44874130170899</v>
      </c>
      <c r="Q235" s="5">
        <v>0.2</v>
      </c>
      <c r="R235" s="11">
        <f t="shared" si="30"/>
        <v>2.1672437065085449E-3</v>
      </c>
      <c r="V235" s="5">
        <f t="shared" si="31"/>
        <v>0.36088424045635981</v>
      </c>
      <c r="W235" s="5">
        <f t="shared" si="32"/>
        <v>1.8044212022817989</v>
      </c>
      <c r="Y235" s="5">
        <f t="shared" si="33"/>
        <v>0.35830036418237399</v>
      </c>
      <c r="Z235" s="5">
        <f t="shared" si="34"/>
        <v>1.7915018209118698</v>
      </c>
      <c r="AB235" s="5">
        <f>$AC$2*($AC$3+$AC$4*$F235/($N235*'Sem TS MC2020'!P227))*($AC$5*$G235+$AC$6*$B235/$N235)*'Sem TS MC2020'!R227*($J235-$M235)/($J235-$M235-$H235)</f>
        <v>0.39084940116132788</v>
      </c>
      <c r="AC235" s="5">
        <f t="shared" si="35"/>
        <v>1.9542470058066392</v>
      </c>
      <c r="AD235" s="20">
        <f t="shared" si="36"/>
        <v>0.19084940116132787</v>
      </c>
      <c r="AE235" s="21">
        <f t="shared" si="37"/>
        <v>0.51170604177911372</v>
      </c>
      <c r="AF235" s="21">
        <f>AB235*(14.068*'Sem TS MC2020'!$P227^-0.457)/$Q235</f>
        <v>1.6969840437684252</v>
      </c>
      <c r="AG235" s="21"/>
      <c r="AO235" s="5">
        <f>$AP$2*($AP$3+$AP$4*$F235/($N235*'Sem TS MC2020'!P227))*($AP$5*$G235+$AP$6*$B235/$N235)*('Sem TS MC2020'!P227^$AP$7/200000)*($J235-$M235)/($J235-$M235-$H235)+('Sem TS MC2020'!P227-$C235/$AP$8)*($AP$5*$G235+$AP$6*$B235/$N235)/200000</f>
        <v>0.39048393551449767</v>
      </c>
      <c r="AP235" s="5">
        <f t="shared" si="38"/>
        <v>1.9524196775724882</v>
      </c>
      <c r="AQ235" s="20">
        <f t="shared" si="39"/>
        <v>0.19048393551449766</v>
      </c>
    </row>
    <row r="236" spans="1:43" x14ac:dyDescent="0.25">
      <c r="B236" s="3">
        <v>16</v>
      </c>
      <c r="C236" s="4">
        <v>528</v>
      </c>
      <c r="D236" s="4">
        <v>2</v>
      </c>
      <c r="E236" s="3">
        <v>52</v>
      </c>
      <c r="F236" s="5">
        <v>2.98</v>
      </c>
      <c r="G236" s="3">
        <v>27</v>
      </c>
      <c r="H236" s="3">
        <v>35</v>
      </c>
      <c r="I236" s="1">
        <v>150</v>
      </c>
      <c r="J236" s="3">
        <v>235</v>
      </c>
      <c r="K236" s="4">
        <v>402</v>
      </c>
      <c r="L236" s="5">
        <v>17250</v>
      </c>
      <c r="M236" s="4">
        <v>67.594050734712994</v>
      </c>
      <c r="N236" s="10">
        <v>2.3304347826087E-2</v>
      </c>
      <c r="O236" s="5">
        <v>37.375</v>
      </c>
      <c r="P236" s="4">
        <v>523.88203180799201</v>
      </c>
      <c r="Q236" s="5">
        <v>0.26</v>
      </c>
      <c r="R236" s="11">
        <f t="shared" si="30"/>
        <v>2.61941015903996E-3</v>
      </c>
      <c r="V236" s="5">
        <f t="shared" si="31"/>
        <v>0.4056433860488472</v>
      </c>
      <c r="W236" s="5">
        <f t="shared" si="32"/>
        <v>1.560166869418643</v>
      </c>
      <c r="Y236" s="5">
        <f t="shared" si="33"/>
        <v>0.40357939506904283</v>
      </c>
      <c r="Z236" s="5">
        <f t="shared" si="34"/>
        <v>1.5522284425732416</v>
      </c>
      <c r="AB236" s="5">
        <f>$AC$2*($AC$3+$AC$4*$F236/($N236*'Sem TS MC2020'!P228))*($AC$5*$G236+$AC$6*$B236/$N236)*'Sem TS MC2020'!R228*($J236-$M236)/($J236-$M236-$H236)</f>
        <v>0.47514158627502373</v>
      </c>
      <c r="AC236" s="5">
        <f t="shared" si="35"/>
        <v>1.8274676395193219</v>
      </c>
      <c r="AD236" s="20">
        <f t="shared" si="36"/>
        <v>0.21514158627502372</v>
      </c>
      <c r="AE236" s="21">
        <f t="shared" si="37"/>
        <v>0.54720531208039869</v>
      </c>
      <c r="AF236" s="21">
        <f>AB236*(14.068*'Sem TS MC2020'!$P228^-0.457)/$Q236</f>
        <v>1.470253913143917</v>
      </c>
      <c r="AG236" s="21"/>
      <c r="AO236" s="5">
        <f>$AP$2*($AP$3+$AP$4*$F236/($N236*'Sem TS MC2020'!P228))*($AP$5*$G236+$AP$6*$B236/$N236)*('Sem TS MC2020'!P228^$AP$7/200000)*($J236-$M236)/($J236-$M236-$H236)+('Sem TS MC2020'!P228-$C236/$AP$8)*($AP$5*$G236+$AP$6*$B236/$N236)/200000</f>
        <v>0.46416352440107189</v>
      </c>
      <c r="AP236" s="5">
        <f t="shared" si="38"/>
        <v>1.7852443246195071</v>
      </c>
      <c r="AQ236" s="20">
        <f t="shared" si="39"/>
        <v>0.20416352440107188</v>
      </c>
    </row>
    <row r="237" spans="1:43" x14ac:dyDescent="0.25">
      <c r="A237" s="1" t="s">
        <v>70</v>
      </c>
      <c r="B237" s="3">
        <v>20</v>
      </c>
      <c r="C237" s="4">
        <v>528</v>
      </c>
      <c r="D237" s="4">
        <v>2</v>
      </c>
      <c r="E237" s="3">
        <v>44</v>
      </c>
      <c r="F237" s="5">
        <v>2.98</v>
      </c>
      <c r="G237" s="3">
        <v>25</v>
      </c>
      <c r="H237" s="3">
        <v>35</v>
      </c>
      <c r="I237" s="1">
        <v>150</v>
      </c>
      <c r="J237" s="3">
        <v>235</v>
      </c>
      <c r="K237" s="4">
        <v>628</v>
      </c>
      <c r="L237" s="5">
        <v>18375</v>
      </c>
      <c r="M237" s="4">
        <v>80.321192218194994</v>
      </c>
      <c r="N237" s="10">
        <v>3.4176870748299303E-2</v>
      </c>
      <c r="O237" s="5">
        <v>28.75</v>
      </c>
      <c r="P237" s="4">
        <v>217.08100493447299</v>
      </c>
      <c r="Q237" s="5">
        <v>0.17</v>
      </c>
      <c r="R237" s="11">
        <f t="shared" si="30"/>
        <v>1.0854050246723649E-3</v>
      </c>
      <c r="V237" s="5">
        <f t="shared" si="31"/>
        <v>0.23328839191182635</v>
      </c>
      <c r="W237" s="5">
        <f t="shared" si="32"/>
        <v>1.3722846583048607</v>
      </c>
      <c r="Y237" s="5">
        <f t="shared" si="33"/>
        <v>0.23208583105888297</v>
      </c>
      <c r="Z237" s="5">
        <f t="shared" si="34"/>
        <v>1.3652107709346055</v>
      </c>
      <c r="AB237" s="5">
        <f>$AC$2*($AC$3+$AC$4*$F237/($N237*'Sem TS MC2020'!P229))*($AC$5*$G237+$AC$6*$B237/$N237)*'Sem TS MC2020'!R229*($J237-$M237)/($J237-$M237-$H237)</f>
        <v>0.20131921701182959</v>
      </c>
      <c r="AC237" s="5">
        <f t="shared" si="35"/>
        <v>1.1842306883048799</v>
      </c>
      <c r="AD237" s="20">
        <f t="shared" si="36"/>
        <v>3.1319217011829575E-2</v>
      </c>
      <c r="AE237" s="21">
        <f t="shared" si="37"/>
        <v>0.84443006744860705</v>
      </c>
      <c r="AF237" s="21">
        <f>AB237*(14.068*'Sem TS MC2020'!$P229^-0.457)/$Q237</f>
        <v>1.3025224451465445</v>
      </c>
      <c r="AG237" s="21"/>
      <c r="AO237" s="5">
        <f>$AP$2*($AP$3+$AP$4*$F237/($N237*'Sem TS MC2020'!P229))*($AP$5*$G237+$AP$6*$B237/$N237)*('Sem TS MC2020'!P229^$AP$7/200000)*($J237-$M237)/($J237-$M237-$H237)+('Sem TS MC2020'!P229-$C237/$AP$8)*($AP$5*$G237+$AP$6*$B237/$N237)/200000</f>
        <v>0.21316637119175166</v>
      </c>
      <c r="AP237" s="5">
        <f t="shared" si="38"/>
        <v>1.2539198305397157</v>
      </c>
      <c r="AQ237" s="20">
        <f t="shared" si="39"/>
        <v>4.3166371191751651E-2</v>
      </c>
    </row>
    <row r="238" spans="1:43" x14ac:dyDescent="0.25">
      <c r="B238" s="3">
        <v>20</v>
      </c>
      <c r="C238" s="4">
        <v>528</v>
      </c>
      <c r="D238" s="4">
        <v>2</v>
      </c>
      <c r="E238" s="3">
        <v>44</v>
      </c>
      <c r="F238" s="5">
        <v>2.98</v>
      </c>
      <c r="G238" s="3">
        <v>25</v>
      </c>
      <c r="H238" s="3">
        <v>35</v>
      </c>
      <c r="I238" s="1">
        <v>150</v>
      </c>
      <c r="J238" s="3">
        <v>235</v>
      </c>
      <c r="K238" s="4">
        <v>628</v>
      </c>
      <c r="L238" s="5">
        <v>18375</v>
      </c>
      <c r="M238" s="4">
        <v>80.321192218194994</v>
      </c>
      <c r="N238" s="10">
        <v>3.4176870748299303E-2</v>
      </c>
      <c r="O238" s="5">
        <v>32.774999999999999</v>
      </c>
      <c r="P238" s="4">
        <v>262.36532615965399</v>
      </c>
      <c r="Q238" s="5">
        <v>0.19</v>
      </c>
      <c r="R238" s="11">
        <f t="shared" si="30"/>
        <v>1.31182663079827E-3</v>
      </c>
      <c r="V238" s="5">
        <f t="shared" si="31"/>
        <v>0.26221814281981815</v>
      </c>
      <c r="W238" s="5">
        <f t="shared" si="32"/>
        <v>1.3800954885253587</v>
      </c>
      <c r="Y238" s="5">
        <f t="shared" si="33"/>
        <v>0.26141070348275608</v>
      </c>
      <c r="Z238" s="5">
        <f t="shared" si="34"/>
        <v>1.3758458078039792</v>
      </c>
      <c r="AB238" s="5">
        <f>$AC$2*($AC$3+$AC$4*$F238/($N238*'Sem TS MC2020'!P230))*($AC$5*$G238+$AC$6*$B238/$N238)*'Sem TS MC2020'!R230*($J238-$M238)/($J238-$M238-$H238)</f>
        <v>0.23566962110314027</v>
      </c>
      <c r="AC238" s="5">
        <f t="shared" si="35"/>
        <v>1.240366426858633</v>
      </c>
      <c r="AD238" s="20">
        <f t="shared" si="36"/>
        <v>4.5669621103140268E-2</v>
      </c>
      <c r="AE238" s="21">
        <f t="shared" si="37"/>
        <v>0.80621337239239221</v>
      </c>
      <c r="AF238" s="21">
        <f>AB238*(14.068*'Sem TS MC2020'!$P230^-0.457)/$Q238</f>
        <v>1.2849711887012256</v>
      </c>
      <c r="AG238" s="21"/>
      <c r="AO238" s="5">
        <f>$AP$2*($AP$3+$AP$4*$F238/($N238*'Sem TS MC2020'!P230))*($AP$5*$G238+$AP$6*$B238/$N238)*('Sem TS MC2020'!P230^$AP$7/200000)*($J238-$M238)/($J238-$M238-$H238)+('Sem TS MC2020'!P230-$C238/$AP$8)*($AP$5*$G238+$AP$6*$B238/$N238)/200000</f>
        <v>0.24601651930774118</v>
      </c>
      <c r="AP238" s="5">
        <f t="shared" si="38"/>
        <v>1.2948237858302167</v>
      </c>
      <c r="AQ238" s="20">
        <f t="shared" si="39"/>
        <v>5.601651930774118E-2</v>
      </c>
    </row>
    <row r="239" spans="1:43" x14ac:dyDescent="0.25">
      <c r="B239" s="3">
        <v>20</v>
      </c>
      <c r="C239" s="4">
        <v>528</v>
      </c>
      <c r="D239" s="4">
        <v>2</v>
      </c>
      <c r="E239" s="3">
        <v>44</v>
      </c>
      <c r="F239" s="5">
        <v>2.98</v>
      </c>
      <c r="G239" s="3">
        <v>25</v>
      </c>
      <c r="H239" s="3">
        <v>35</v>
      </c>
      <c r="I239" s="1">
        <v>150</v>
      </c>
      <c r="J239" s="3">
        <v>235</v>
      </c>
      <c r="K239" s="4">
        <v>628</v>
      </c>
      <c r="L239" s="5">
        <v>18375</v>
      </c>
      <c r="M239" s="4">
        <v>80.321192218194994</v>
      </c>
      <c r="N239" s="10">
        <v>3.4176870748299303E-2</v>
      </c>
      <c r="O239" s="5">
        <v>37.950000000000003</v>
      </c>
      <c r="P239" s="4">
        <v>320.58802487774301</v>
      </c>
      <c r="Q239" s="5">
        <v>0.23</v>
      </c>
      <c r="R239" s="11">
        <f t="shared" si="30"/>
        <v>1.602940124388715E-3</v>
      </c>
      <c r="V239" s="5">
        <f t="shared" si="31"/>
        <v>0.29673375063373536</v>
      </c>
      <c r="W239" s="5">
        <f t="shared" si="32"/>
        <v>1.2901467418858059</v>
      </c>
      <c r="Y239" s="5">
        <f t="shared" si="33"/>
        <v>0.29647291541703491</v>
      </c>
      <c r="Z239" s="5">
        <f t="shared" si="34"/>
        <v>1.2890126757262388</v>
      </c>
      <c r="AB239" s="5">
        <f>$AC$2*($AC$3+$AC$4*$F239/($N239*'Sem TS MC2020'!P231))*($AC$5*$G239+$AC$6*$B239/$N239)*'Sem TS MC2020'!R231*($J239-$M239)/($J239-$M239-$H239)</f>
        <v>0.27983442636339684</v>
      </c>
      <c r="AC239" s="5">
        <f t="shared" si="35"/>
        <v>1.2166714189712906</v>
      </c>
      <c r="AD239" s="20">
        <f t="shared" si="36"/>
        <v>4.9834426363396828E-2</v>
      </c>
      <c r="AE239" s="21">
        <f t="shared" si="37"/>
        <v>0.82191459781763532</v>
      </c>
      <c r="AF239" s="21">
        <f>AB239*(14.068*'Sem TS MC2020'!$P231^-0.457)/$Q239</f>
        <v>1.1787451643152849</v>
      </c>
      <c r="AG239" s="21"/>
      <c r="AO239" s="5">
        <f>$AP$2*($AP$3+$AP$4*$F239/($N239*'Sem TS MC2020'!P231))*($AP$5*$G239+$AP$6*$B239/$N239)*('Sem TS MC2020'!P231^$AP$7/200000)*($J239-$M239)/($J239-$M239-$H239)+('Sem TS MC2020'!P231-$C239/$AP$8)*($AP$5*$G239+$AP$6*$B239/$N239)/200000</f>
        <v>0.28709514572870082</v>
      </c>
      <c r="AP239" s="5">
        <f t="shared" si="38"/>
        <v>1.2482397640378295</v>
      </c>
      <c r="AQ239" s="20">
        <f t="shared" si="39"/>
        <v>5.7095145728700808E-2</v>
      </c>
    </row>
    <row r="240" spans="1:43" x14ac:dyDescent="0.25">
      <c r="B240" s="3">
        <v>20</v>
      </c>
      <c r="C240" s="4">
        <v>528</v>
      </c>
      <c r="D240" s="4">
        <v>2</v>
      </c>
      <c r="E240" s="3">
        <v>44</v>
      </c>
      <c r="F240" s="5">
        <v>2.98</v>
      </c>
      <c r="G240" s="3">
        <v>25</v>
      </c>
      <c r="H240" s="3">
        <v>35</v>
      </c>
      <c r="I240" s="1">
        <v>150</v>
      </c>
      <c r="J240" s="3">
        <v>235</v>
      </c>
      <c r="K240" s="4">
        <v>628</v>
      </c>
      <c r="L240" s="5">
        <v>18375</v>
      </c>
      <c r="M240" s="4">
        <v>80.321192218194994</v>
      </c>
      <c r="N240" s="10">
        <v>3.4176870748299303E-2</v>
      </c>
      <c r="O240" s="5">
        <v>40.25</v>
      </c>
      <c r="P240" s="4">
        <v>346.46477986356098</v>
      </c>
      <c r="Q240" s="5">
        <v>0.25</v>
      </c>
      <c r="R240" s="11">
        <f t="shared" si="30"/>
        <v>1.7323238993178049E-3</v>
      </c>
      <c r="V240" s="5">
        <f t="shared" si="31"/>
        <v>0.31129140139898481</v>
      </c>
      <c r="W240" s="5">
        <f t="shared" si="32"/>
        <v>1.2451656055959393</v>
      </c>
      <c r="Y240" s="5">
        <f t="shared" si="33"/>
        <v>0.31128345095029197</v>
      </c>
      <c r="Z240" s="5">
        <f t="shared" si="34"/>
        <v>1.2451338038011679</v>
      </c>
      <c r="AB240" s="5">
        <f>$AC$2*($AC$3+$AC$4*$F240/($N240*'Sem TS MC2020'!P232))*($AC$5*$G240+$AC$6*$B240/$N240)*'Sem TS MC2020'!R232*($J240-$M240)/($J240-$M240-$H240)</f>
        <v>0.29946322870128894</v>
      </c>
      <c r="AC240" s="5">
        <f t="shared" si="35"/>
        <v>1.1978529148051558</v>
      </c>
      <c r="AD240" s="20">
        <f t="shared" si="36"/>
        <v>4.9463228701288942E-2</v>
      </c>
      <c r="AE240" s="21">
        <f t="shared" si="37"/>
        <v>0.83482703731005337</v>
      </c>
      <c r="AF240" s="21">
        <f>AB240*(14.068*'Sem TS MC2020'!$P232^-0.457)/$Q240</f>
        <v>1.1297227805440557</v>
      </c>
      <c r="AG240" s="21"/>
      <c r="AO240" s="5">
        <f>$AP$2*($AP$3+$AP$4*$F240/($N240*'Sem TS MC2020'!P232))*($AP$5*$G240+$AP$6*$B240/$N240)*('Sem TS MC2020'!P232^$AP$7/200000)*($J240-$M240)/($J240-$M240-$H240)+('Sem TS MC2020'!P232-$C240/$AP$8)*($AP$5*$G240+$AP$6*$B240/$N240)/200000</f>
        <v>0.30499296449638136</v>
      </c>
      <c r="AP240" s="5">
        <f t="shared" si="38"/>
        <v>1.2199718579855254</v>
      </c>
      <c r="AQ240" s="20">
        <f t="shared" si="39"/>
        <v>5.4992964496381358E-2</v>
      </c>
    </row>
    <row r="241" spans="1:43" x14ac:dyDescent="0.25">
      <c r="B241" s="3">
        <v>20</v>
      </c>
      <c r="C241" s="4">
        <v>528</v>
      </c>
      <c r="D241" s="4">
        <v>2</v>
      </c>
      <c r="E241" s="3">
        <v>44</v>
      </c>
      <c r="F241" s="5">
        <v>2.98</v>
      </c>
      <c r="G241" s="3">
        <v>25</v>
      </c>
      <c r="H241" s="3">
        <v>35</v>
      </c>
      <c r="I241" s="1">
        <v>150</v>
      </c>
      <c r="J241" s="3">
        <v>235</v>
      </c>
      <c r="K241" s="4">
        <v>628</v>
      </c>
      <c r="L241" s="5">
        <v>18375</v>
      </c>
      <c r="M241" s="4">
        <v>80.321192218194994</v>
      </c>
      <c r="N241" s="10">
        <v>3.4176870748299303E-2</v>
      </c>
      <c r="O241" s="5">
        <v>43.7</v>
      </c>
      <c r="P241" s="4">
        <v>385.27991234228699</v>
      </c>
      <c r="Q241" s="5">
        <v>0.3</v>
      </c>
      <c r="R241" s="11">
        <f t="shared" si="30"/>
        <v>1.926399561711435E-3</v>
      </c>
      <c r="V241" s="5">
        <f t="shared" si="31"/>
        <v>0.33236974395730418</v>
      </c>
      <c r="W241" s="5">
        <f t="shared" si="32"/>
        <v>1.1078991465243473</v>
      </c>
      <c r="Y241" s="5">
        <f t="shared" si="33"/>
        <v>0.33274970599882897</v>
      </c>
      <c r="Z241" s="5">
        <f t="shared" si="34"/>
        <v>1.1091656866627633</v>
      </c>
      <c r="AB241" s="5">
        <f>$AC$2*($AC$3+$AC$4*$F241/($N241*'Sem TS MC2020'!P233))*($AC$5*$G241+$AC$6*$B241/$N241)*'Sem TS MC2020'!R233*($J241-$M241)/($J241-$M241-$H241)</f>
        <v>0.32890643220812704</v>
      </c>
      <c r="AC241" s="5">
        <f t="shared" si="35"/>
        <v>1.0963547740270903</v>
      </c>
      <c r="AD241" s="20">
        <f t="shared" si="36"/>
        <v>2.8906432208127053E-2</v>
      </c>
      <c r="AE241" s="21">
        <f t="shared" si="37"/>
        <v>0.91211350895735743</v>
      </c>
      <c r="AF241" s="21">
        <f>AB241*(14.068*'Sem TS MC2020'!$P233^-0.457)/$Q241</f>
        <v>0.99585818439852469</v>
      </c>
      <c r="AG241" s="21"/>
      <c r="AO241" s="5">
        <f>$AP$2*($AP$3+$AP$4*$F241/($N241*'Sem TS MC2020'!P233))*($AP$5*$G241+$AP$6*$B241/$N241)*('Sem TS MC2020'!P233^$AP$7/200000)*($J241-$M241)/($J241-$M241-$H241)+('Sem TS MC2020'!P233-$C241/$AP$8)*($AP$5*$G241+$AP$6*$B241/$N241)/200000</f>
        <v>0.33147479840423527</v>
      </c>
      <c r="AP241" s="5">
        <f t="shared" si="38"/>
        <v>1.1049159946807843</v>
      </c>
      <c r="AQ241" s="20">
        <f t="shared" si="39"/>
        <v>3.1474798404235282E-2</v>
      </c>
    </row>
    <row r="242" spans="1:43" x14ac:dyDescent="0.25">
      <c r="B242" s="3">
        <v>20</v>
      </c>
      <c r="C242" s="4">
        <v>528</v>
      </c>
      <c r="D242" s="4">
        <v>2</v>
      </c>
      <c r="E242" s="3">
        <v>44</v>
      </c>
      <c r="F242" s="5">
        <v>2.98</v>
      </c>
      <c r="G242" s="3">
        <v>25</v>
      </c>
      <c r="H242" s="3">
        <v>35</v>
      </c>
      <c r="I242" s="1">
        <v>150</v>
      </c>
      <c r="J242" s="3">
        <v>235</v>
      </c>
      <c r="K242" s="4">
        <v>628</v>
      </c>
      <c r="L242" s="5">
        <v>18375</v>
      </c>
      <c r="M242" s="4">
        <v>80.321192218194994</v>
      </c>
      <c r="N242" s="10">
        <v>3.4176870748299303E-2</v>
      </c>
      <c r="O242" s="5">
        <v>46</v>
      </c>
      <c r="P242" s="4">
        <v>411.15666732810399</v>
      </c>
      <c r="Q242" s="5">
        <v>0.32</v>
      </c>
      <c r="R242" s="11">
        <f t="shared" si="30"/>
        <v>2.05578333664052E-3</v>
      </c>
      <c r="V242" s="5">
        <f t="shared" si="31"/>
        <v>0.34597123470290198</v>
      </c>
      <c r="W242" s="5">
        <f t="shared" si="32"/>
        <v>1.0811601084465687</v>
      </c>
      <c r="Y242" s="5">
        <f t="shared" si="33"/>
        <v>0.34661450268481298</v>
      </c>
      <c r="Z242" s="5">
        <f t="shared" si="34"/>
        <v>1.0831703208900405</v>
      </c>
      <c r="AB242" s="5">
        <f>$AC$2*($AC$3+$AC$4*$F242/($N242*'Sem TS MC2020'!P234))*($AC$5*$G242+$AC$6*$B242/$N242)*'Sem TS MC2020'!R234*($J242-$M242)/($J242-$M242-$H242)</f>
        <v>0.34853523454601915</v>
      </c>
      <c r="AC242" s="5">
        <f t="shared" si="35"/>
        <v>1.0891726079563098</v>
      </c>
      <c r="AD242" s="20">
        <f t="shared" si="36"/>
        <v>2.8535234546019139E-2</v>
      </c>
      <c r="AE242" s="21">
        <f t="shared" si="37"/>
        <v>0.91812812101138819</v>
      </c>
      <c r="AF242" s="21">
        <f>AB242*(14.068*'Sem TS MC2020'!$P234^-0.457)/$Q242</f>
        <v>0.96641304382155224</v>
      </c>
      <c r="AG242" s="21"/>
      <c r="AO242" s="5">
        <f>$AP$2*($AP$3+$AP$4*$F242/($N242*'Sem TS MC2020'!P234))*($AP$5*$G242+$AP$6*$B242/$N242)*('Sem TS MC2020'!P234^$AP$7/200000)*($J242-$M242)/($J242-$M242-$H242)+('Sem TS MC2020'!P234-$C242/$AP$8)*($AP$5*$G242+$AP$6*$B242/$N242)/200000</f>
        <v>0.34890600289646884</v>
      </c>
      <c r="AP242" s="5">
        <f t="shared" si="38"/>
        <v>1.0903312590514651</v>
      </c>
      <c r="AQ242" s="20">
        <f t="shared" si="39"/>
        <v>2.890600289646883E-2</v>
      </c>
    </row>
    <row r="243" spans="1:43" x14ac:dyDescent="0.25">
      <c r="B243" s="3">
        <v>20</v>
      </c>
      <c r="C243" s="4">
        <v>528</v>
      </c>
      <c r="D243" s="4">
        <v>2</v>
      </c>
      <c r="E243" s="3">
        <v>44</v>
      </c>
      <c r="F243" s="5">
        <v>2.98</v>
      </c>
      <c r="G243" s="3">
        <v>25</v>
      </c>
      <c r="H243" s="3">
        <v>35</v>
      </c>
      <c r="I243" s="1">
        <v>150</v>
      </c>
      <c r="J243" s="3">
        <v>235</v>
      </c>
      <c r="K243" s="4">
        <v>628</v>
      </c>
      <c r="L243" s="5">
        <v>18375</v>
      </c>
      <c r="M243" s="4">
        <v>80.321192218194994</v>
      </c>
      <c r="N243" s="10">
        <v>3.4176870748299303E-2</v>
      </c>
      <c r="O243" s="5">
        <v>51.634999999999998</v>
      </c>
      <c r="P243" s="4">
        <v>474.55471704335702</v>
      </c>
      <c r="Q243" s="5">
        <v>0.36</v>
      </c>
      <c r="R243" s="11">
        <f t="shared" si="30"/>
        <v>2.3727735852167851E-3</v>
      </c>
      <c r="V243" s="5">
        <f t="shared" si="31"/>
        <v>0.37797763926211486</v>
      </c>
      <c r="W243" s="5">
        <f t="shared" si="32"/>
        <v>1.049937886839208</v>
      </c>
      <c r="Y243" s="5">
        <f t="shared" si="33"/>
        <v>0.37927822978650871</v>
      </c>
      <c r="Z243" s="5">
        <f t="shared" si="34"/>
        <v>1.0535506382958575</v>
      </c>
      <c r="AB243" s="5">
        <f>$AC$2*($AC$3+$AC$4*$F243/($N243*'Sem TS MC2020'!P235))*($AC$5*$G243+$AC$6*$B243/$N243)*'Sem TS MC2020'!R235*($J243-$M243)/($J243-$M243-$H243)</f>
        <v>0.39662580027385375</v>
      </c>
      <c r="AC243" s="5">
        <f t="shared" si="35"/>
        <v>1.1017383340940383</v>
      </c>
      <c r="AD243" s="20">
        <f t="shared" si="36"/>
        <v>3.6625800273853759E-2</v>
      </c>
      <c r="AE243" s="21">
        <f t="shared" si="37"/>
        <v>0.90765653608876384</v>
      </c>
      <c r="AF243" s="21">
        <f>AB243*(14.068*'Sem TS MC2020'!$P235^-0.457)/$Q243</f>
        <v>0.92727675137584464</v>
      </c>
      <c r="AG243" s="21"/>
      <c r="AO243" s="5">
        <f>$AP$2*($AP$3+$AP$4*$F243/($N243*'Sem TS MC2020'!P235))*($AP$5*$G243+$AP$6*$B243/$N243)*('Sem TS MC2020'!P235^$AP$7/200000)*($J243-$M243)/($J243-$M243-$H243)+('Sem TS MC2020'!P235-$C243/$AP$8)*($AP$5*$G243+$AP$6*$B243/$N243)/200000</f>
        <v>0.39093623232737529</v>
      </c>
      <c r="AP243" s="5">
        <f t="shared" si="38"/>
        <v>1.0859339786871536</v>
      </c>
      <c r="AQ243" s="20">
        <f t="shared" si="39"/>
        <v>3.0936232327375301E-2</v>
      </c>
    </row>
    <row r="244" spans="1:43" x14ac:dyDescent="0.25">
      <c r="B244" s="3">
        <v>20</v>
      </c>
      <c r="C244" s="4">
        <v>528</v>
      </c>
      <c r="D244" s="4">
        <v>2</v>
      </c>
      <c r="E244" s="3">
        <v>44</v>
      </c>
      <c r="F244" s="5">
        <v>2.98</v>
      </c>
      <c r="G244" s="3">
        <v>25</v>
      </c>
      <c r="H244" s="3">
        <v>35</v>
      </c>
      <c r="I244" s="1">
        <v>150</v>
      </c>
      <c r="J244" s="3">
        <v>235</v>
      </c>
      <c r="K244" s="4">
        <v>628</v>
      </c>
      <c r="L244" s="5">
        <v>18375</v>
      </c>
      <c r="M244" s="4">
        <v>80.321192218194994</v>
      </c>
      <c r="N244" s="10">
        <v>3.4176870748299303E-2</v>
      </c>
      <c r="O244" s="5">
        <v>57.27</v>
      </c>
      <c r="P244" s="4">
        <v>526.44594786447101</v>
      </c>
      <c r="Q244" s="5">
        <v>0.47</v>
      </c>
      <c r="R244" s="11">
        <f t="shared" si="30"/>
        <v>2.6322297393223549E-3</v>
      </c>
      <c r="V244" s="5">
        <f t="shared" si="31"/>
        <v>0.40297003323808511</v>
      </c>
      <c r="W244" s="5">
        <f t="shared" si="32"/>
        <v>0.85738304944273436</v>
      </c>
      <c r="Y244" s="5">
        <f t="shared" si="33"/>
        <v>0.40481845278540657</v>
      </c>
      <c r="Z244" s="5">
        <f t="shared" si="34"/>
        <v>0.86131585699022684</v>
      </c>
      <c r="AB244" s="5">
        <f>$AC$2*($AC$3+$AC$4*$F244/($N244*'Sem TS MC2020'!P236))*($AC$5*$G244+$AC$6*$B244/$N244)*'Sem TS MC2020'!R236*($J244-$M244)/($J244-$M244-$H244)</f>
        <v>0.44471636600168912</v>
      </c>
      <c r="AC244" s="5">
        <f t="shared" si="35"/>
        <v>0.94620503404614709</v>
      </c>
      <c r="AD244" s="20">
        <f t="shared" si="36"/>
        <v>-2.528363399831085E-2</v>
      </c>
      <c r="AE244" s="21">
        <f t="shared" si="37"/>
        <v>1.0568533922545473</v>
      </c>
      <c r="AF244" s="21">
        <f>AB244*(14.068*'Sem TS MC2020'!$P236^-0.457)/$Q244</f>
        <v>0.75955448617796029</v>
      </c>
      <c r="AG244" s="21"/>
      <c r="AO244" s="5">
        <f>$AP$2*($AP$3+$AP$4*$F244/($N244*'Sem TS MC2020'!P236))*($AP$5*$G244+$AP$6*$B244/$N244)*('Sem TS MC2020'!P236^$AP$7/200000)*($J244-$M244)/($J244-$M244-$H244)+('Sem TS MC2020'!P236-$C244/$AP$8)*($AP$5*$G244+$AP$6*$B244/$N244)/200000</f>
        <v>0.43211397299646975</v>
      </c>
      <c r="AP244" s="5">
        <f t="shared" si="38"/>
        <v>0.91939143190738248</v>
      </c>
      <c r="AQ244" s="20">
        <f t="shared" si="39"/>
        <v>-3.788602700353022E-2</v>
      </c>
    </row>
    <row r="245" spans="1:43" x14ac:dyDescent="0.25">
      <c r="A245" s="1" t="s">
        <v>71</v>
      </c>
      <c r="B245" s="3">
        <v>20</v>
      </c>
      <c r="C245" s="4">
        <v>528</v>
      </c>
      <c r="D245" s="4">
        <v>3</v>
      </c>
      <c r="E245" s="3">
        <v>12</v>
      </c>
      <c r="F245" s="5">
        <v>2.98</v>
      </c>
      <c r="G245" s="3">
        <v>25</v>
      </c>
      <c r="H245" s="3">
        <v>35</v>
      </c>
      <c r="I245" s="1">
        <v>150</v>
      </c>
      <c r="J245" s="3">
        <v>235</v>
      </c>
      <c r="K245" s="4">
        <v>942</v>
      </c>
      <c r="L245" s="5">
        <v>18375</v>
      </c>
      <c r="M245" s="4">
        <v>93.011358125141797</v>
      </c>
      <c r="N245" s="10">
        <v>5.1265306122448999E-2</v>
      </c>
      <c r="O245" s="5">
        <v>48.3</v>
      </c>
      <c r="P245" s="4">
        <v>275.46613457337298</v>
      </c>
      <c r="Q245" s="5">
        <v>0.16</v>
      </c>
      <c r="R245" s="11">
        <f t="shared" si="30"/>
        <v>1.3773306728668648E-3</v>
      </c>
      <c r="V245" s="5">
        <f t="shared" si="31"/>
        <v>0.22812814585457572</v>
      </c>
      <c r="W245" s="5">
        <f t="shared" si="32"/>
        <v>1.4258009115910981</v>
      </c>
      <c r="Y245" s="5">
        <f t="shared" si="33"/>
        <v>0.23183815496311791</v>
      </c>
      <c r="Z245" s="5">
        <f t="shared" si="34"/>
        <v>1.4489884685194869</v>
      </c>
      <c r="AB245" s="5">
        <f>$AC$2*($AC$3+$AC$4*$F245/($N245*'Sem TS MC2020'!P237))*($AC$5*$G245+$AC$6*$B245/$N245)*'Sem TS MC2020'!R237*($J245-$M245)/($J245-$M245-$H245)</f>
        <v>0.192828264060671</v>
      </c>
      <c r="AC245" s="5">
        <f t="shared" si="35"/>
        <v>1.2051766503791936</v>
      </c>
      <c r="AD245" s="20">
        <f t="shared" si="36"/>
        <v>3.2828264060670992E-2</v>
      </c>
      <c r="AE245" s="21">
        <f t="shared" si="37"/>
        <v>0.82975387855826999</v>
      </c>
      <c r="AF245" s="21">
        <f>AB245*(14.068*'Sem TS MC2020'!$P237^-0.457)/$Q245</f>
        <v>1.2445153854640207</v>
      </c>
      <c r="AG245" s="21"/>
      <c r="AO245" s="5">
        <f>$AP$2*($AP$3+$AP$4*$F245/($N245*'Sem TS MC2020'!P237))*($AP$5*$G245+$AP$6*$B245/$N245)*('Sem TS MC2020'!P237^$AP$7/200000)*($J245-$M245)/($J245-$M245-$H245)+('Sem TS MC2020'!P237-$C245/$AP$8)*($AP$5*$G245+$AP$6*$B245/$N245)/200000</f>
        <v>0.19772920876645458</v>
      </c>
      <c r="AP245" s="5">
        <f t="shared" si="38"/>
        <v>1.2358075547903411</v>
      </c>
      <c r="AQ245" s="20">
        <f t="shared" si="39"/>
        <v>3.7729208766454581E-2</v>
      </c>
    </row>
    <row r="246" spans="1:43" x14ac:dyDescent="0.25">
      <c r="B246" s="3">
        <v>20</v>
      </c>
      <c r="C246" s="4">
        <v>528</v>
      </c>
      <c r="D246" s="4">
        <v>3</v>
      </c>
      <c r="E246" s="3">
        <v>12</v>
      </c>
      <c r="F246" s="5">
        <v>2.98</v>
      </c>
      <c r="G246" s="3">
        <v>25</v>
      </c>
      <c r="H246" s="3">
        <v>35</v>
      </c>
      <c r="I246" s="1">
        <v>150</v>
      </c>
      <c r="J246" s="3">
        <v>235</v>
      </c>
      <c r="K246" s="4">
        <v>942</v>
      </c>
      <c r="L246" s="5">
        <v>18375</v>
      </c>
      <c r="M246" s="4">
        <v>93.011358125141797</v>
      </c>
      <c r="N246" s="10">
        <v>5.1265306122448999E-2</v>
      </c>
      <c r="O246" s="5">
        <v>50.6</v>
      </c>
      <c r="P246" s="4">
        <v>292.26518583602802</v>
      </c>
      <c r="Q246" s="5">
        <v>0.18</v>
      </c>
      <c r="R246" s="11">
        <f t="shared" si="30"/>
        <v>1.46132592918014E-3</v>
      </c>
      <c r="V246" s="5">
        <f t="shared" si="31"/>
        <v>0.23661443951979405</v>
      </c>
      <c r="W246" s="5">
        <f t="shared" si="32"/>
        <v>1.3145246639988559</v>
      </c>
      <c r="Y246" s="5">
        <f t="shared" si="33"/>
        <v>0.24061909162210693</v>
      </c>
      <c r="Z246" s="5">
        <f t="shared" si="34"/>
        <v>1.3367727312339275</v>
      </c>
      <c r="AB246" s="5">
        <f>$AC$2*($AC$3+$AC$4*$F246/($N246*'Sem TS MC2020'!P238))*($AC$5*$G246+$AC$6*$B246/$N246)*'Sem TS MC2020'!R238*($J246-$M246)/($J246-$M246-$H246)</f>
        <v>0.20307903105915248</v>
      </c>
      <c r="AC246" s="5">
        <f t="shared" si="35"/>
        <v>1.1282168392175138</v>
      </c>
      <c r="AD246" s="20">
        <f t="shared" si="36"/>
        <v>2.3079031059152488E-2</v>
      </c>
      <c r="AE246" s="21">
        <f t="shared" si="37"/>
        <v>0.88635443581356232</v>
      </c>
      <c r="AF246" s="21">
        <f>AB246*(14.068*'Sem TS MC2020'!$P238^-0.457)/$Q246</f>
        <v>1.1405365074829472</v>
      </c>
      <c r="AG246" s="21"/>
      <c r="AO246" s="5">
        <f>$AP$2*($AP$3+$AP$4*$F246/($N246*'Sem TS MC2020'!P238))*($AP$5*$G246+$AP$6*$B246/$N246)*('Sem TS MC2020'!P238^$AP$7/200000)*($J246-$M246)/($J246-$M246-$H246)+('Sem TS MC2020'!P238-$C246/$AP$8)*($AP$5*$G246+$AP$6*$B246/$N246)/200000</f>
        <v>0.20706625693029548</v>
      </c>
      <c r="AP246" s="5">
        <f t="shared" si="38"/>
        <v>1.1503680940571972</v>
      </c>
      <c r="AQ246" s="20">
        <f t="shared" si="39"/>
        <v>2.706625693029549E-2</v>
      </c>
    </row>
    <row r="247" spans="1:43" x14ac:dyDescent="0.25">
      <c r="B247" s="3">
        <v>20</v>
      </c>
      <c r="C247" s="4">
        <v>528</v>
      </c>
      <c r="D247" s="4">
        <v>3</v>
      </c>
      <c r="E247" s="3">
        <v>12</v>
      </c>
      <c r="F247" s="5">
        <v>2.98</v>
      </c>
      <c r="G247" s="3">
        <v>25</v>
      </c>
      <c r="H247" s="3">
        <v>35</v>
      </c>
      <c r="I247" s="1">
        <v>150</v>
      </c>
      <c r="J247" s="3">
        <v>235</v>
      </c>
      <c r="K247" s="4">
        <v>942</v>
      </c>
      <c r="L247" s="5">
        <v>18375</v>
      </c>
      <c r="M247" s="4">
        <v>93.011358125141797</v>
      </c>
      <c r="N247" s="10">
        <v>5.1265306122448999E-2</v>
      </c>
      <c r="O247" s="5">
        <v>56.35</v>
      </c>
      <c r="P247" s="4">
        <v>334.26281399266702</v>
      </c>
      <c r="Q247" s="5">
        <v>0.18</v>
      </c>
      <c r="R247" s="11">
        <f t="shared" si="30"/>
        <v>1.6713140699633352E-3</v>
      </c>
      <c r="V247" s="5">
        <f t="shared" si="31"/>
        <v>0.25705089373172541</v>
      </c>
      <c r="W247" s="5">
        <f t="shared" si="32"/>
        <v>1.4280605207318078</v>
      </c>
      <c r="Y247" s="5">
        <f t="shared" si="33"/>
        <v>0.26178778451727458</v>
      </c>
      <c r="Z247" s="5">
        <f t="shared" si="34"/>
        <v>1.4543765806515254</v>
      </c>
      <c r="AB247" s="5">
        <f>$AC$2*($AC$3+$AC$4*$F247/($N247*'Sem TS MC2020'!P239))*($AC$5*$G247+$AC$6*$B247/$N247)*'Sem TS MC2020'!R239*($J247-$M247)/($J247-$M247-$H247)</f>
        <v>0.22870594855535759</v>
      </c>
      <c r="AC247" s="5">
        <f t="shared" si="35"/>
        <v>1.27058860308532</v>
      </c>
      <c r="AD247" s="20">
        <f t="shared" si="36"/>
        <v>4.8705948555357592E-2</v>
      </c>
      <c r="AE247" s="21">
        <f t="shared" si="37"/>
        <v>0.78703680921719243</v>
      </c>
      <c r="AF247" s="21">
        <f>AB247*(14.068*'Sem TS MC2020'!$P239^-0.457)/$Q247</f>
        <v>1.2228123991041904</v>
      </c>
      <c r="AG247" s="21"/>
      <c r="AO247" s="5">
        <f>$AP$2*($AP$3+$AP$4*$F247/($N247*'Sem TS MC2020'!P239))*($AP$5*$G247+$AP$6*$B247/$N247)*('Sem TS MC2020'!P239^$AP$7/200000)*($J247-$M247)/($J247-$M247-$H247)+('Sem TS MC2020'!P239-$C247/$AP$8)*($AP$5*$G247+$AP$6*$B247/$N247)/200000</f>
        <v>0.23006999154991942</v>
      </c>
      <c r="AP247" s="5">
        <f t="shared" si="38"/>
        <v>1.2781666197217745</v>
      </c>
      <c r="AQ247" s="20">
        <f t="shared" si="39"/>
        <v>5.0069991549919424E-2</v>
      </c>
    </row>
    <row r="248" spans="1:43" x14ac:dyDescent="0.25">
      <c r="B248" s="3">
        <v>20</v>
      </c>
      <c r="C248" s="4">
        <v>528</v>
      </c>
      <c r="D248" s="4">
        <v>3</v>
      </c>
      <c r="E248" s="3">
        <v>12</v>
      </c>
      <c r="F248" s="5">
        <v>2.98</v>
      </c>
      <c r="G248" s="3">
        <v>25</v>
      </c>
      <c r="H248" s="3">
        <v>35</v>
      </c>
      <c r="I248" s="1">
        <v>150</v>
      </c>
      <c r="J248" s="3">
        <v>235</v>
      </c>
      <c r="K248" s="4">
        <v>942</v>
      </c>
      <c r="L248" s="5">
        <v>18375</v>
      </c>
      <c r="M248" s="4">
        <v>93.011358125141797</v>
      </c>
      <c r="N248" s="10">
        <v>5.1265306122448999E-2</v>
      </c>
      <c r="O248" s="5">
        <v>62.674999999999997</v>
      </c>
      <c r="P248" s="4">
        <v>380.460204964968</v>
      </c>
      <c r="Q248" s="5">
        <v>0.2</v>
      </c>
      <c r="R248" s="11">
        <f t="shared" si="30"/>
        <v>1.90230102482484E-3</v>
      </c>
      <c r="V248" s="5">
        <f t="shared" si="31"/>
        <v>0.27842458542345044</v>
      </c>
      <c r="W248" s="5">
        <f t="shared" si="32"/>
        <v>1.3921229271172522</v>
      </c>
      <c r="Y248" s="5">
        <f t="shared" si="33"/>
        <v>0.28395941586312851</v>
      </c>
      <c r="Z248" s="5">
        <f t="shared" si="34"/>
        <v>1.4197970793156425</v>
      </c>
      <c r="AB248" s="5">
        <f>$AC$2*($AC$3+$AC$4*$F248/($N248*'Sem TS MC2020'!P240))*($AC$5*$G248+$AC$6*$B248/$N248)*'Sem TS MC2020'!R240*($J248-$M248)/($J248-$M248-$H248)</f>
        <v>0.25689555780118351</v>
      </c>
      <c r="AC248" s="5">
        <f t="shared" si="35"/>
        <v>1.2844777890059174</v>
      </c>
      <c r="AD248" s="20">
        <f t="shared" si="36"/>
        <v>5.6895557801183494E-2</v>
      </c>
      <c r="AE248" s="21">
        <f t="shared" si="37"/>
        <v>0.77852650202221063</v>
      </c>
      <c r="AF248" s="21">
        <f>AB248*(14.068*'Sem TS MC2020'!$P240^-0.457)/$Q248</f>
        <v>1.1775188935479446</v>
      </c>
      <c r="AG248" s="21"/>
      <c r="AO248" s="5">
        <f>$AP$2*($AP$3+$AP$4*$F248/($N248*'Sem TS MC2020'!P240))*($AP$5*$G248+$AP$6*$B248/$N248)*('Sem TS MC2020'!P240^$AP$7/200000)*($J248-$M248)/($J248-$M248-$H248)+('Sem TS MC2020'!P240-$C248/$AP$8)*($AP$5*$G248+$AP$6*$B248/$N248)/200000</f>
        <v>0.25487510688049075</v>
      </c>
      <c r="AP248" s="5">
        <f t="shared" si="38"/>
        <v>1.2743755344024537</v>
      </c>
      <c r="AQ248" s="20">
        <f t="shared" si="39"/>
        <v>5.4875106880490743E-2</v>
      </c>
    </row>
    <row r="249" spans="1:43" x14ac:dyDescent="0.25">
      <c r="B249" s="3">
        <v>20</v>
      </c>
      <c r="C249" s="4">
        <v>528</v>
      </c>
      <c r="D249" s="4">
        <v>3</v>
      </c>
      <c r="E249" s="3">
        <v>12</v>
      </c>
      <c r="F249" s="5">
        <v>2.98</v>
      </c>
      <c r="G249" s="3">
        <v>25</v>
      </c>
      <c r="H249" s="3">
        <v>35</v>
      </c>
      <c r="I249" s="1">
        <v>150</v>
      </c>
      <c r="J249" s="3">
        <v>235</v>
      </c>
      <c r="K249" s="4">
        <v>942</v>
      </c>
      <c r="L249" s="5">
        <v>18375</v>
      </c>
      <c r="M249" s="4">
        <v>93.011358125141797</v>
      </c>
      <c r="N249" s="10">
        <v>5.1265306122448999E-2</v>
      </c>
      <c r="O249" s="5">
        <v>68.424999999999997</v>
      </c>
      <c r="P249" s="4">
        <v>422.45783312160597</v>
      </c>
      <c r="Q249" s="5">
        <v>0.2</v>
      </c>
      <c r="R249" s="11">
        <f t="shared" si="30"/>
        <v>2.1122891656080297E-3</v>
      </c>
      <c r="V249" s="5">
        <f t="shared" si="31"/>
        <v>0.29700592939663006</v>
      </c>
      <c r="W249" s="5">
        <f t="shared" si="32"/>
        <v>1.4850296469831503</v>
      </c>
      <c r="Y249" s="5">
        <f t="shared" si="33"/>
        <v>0.30325922968973018</v>
      </c>
      <c r="Z249" s="5">
        <f t="shared" si="34"/>
        <v>1.5162961484486508</v>
      </c>
      <c r="AB249" s="5">
        <f>$AC$2*($AC$3+$AC$4*$F249/($N249*'Sem TS MC2020'!P241))*($AC$5*$G249+$AC$6*$B249/$N249)*'Sem TS MC2020'!R241*($J249-$M249)/($J249-$M249-$H249)</f>
        <v>0.28252247529738866</v>
      </c>
      <c r="AC249" s="5">
        <f t="shared" si="35"/>
        <v>1.4126123764869432</v>
      </c>
      <c r="AD249" s="20">
        <f t="shared" si="36"/>
        <v>8.2522475297388653E-2</v>
      </c>
      <c r="AE249" s="21">
        <f t="shared" si="37"/>
        <v>0.70790828159591945</v>
      </c>
      <c r="AF249" s="21">
        <f>AB249*(14.068*'Sem TS MC2020'!$P241^-0.457)/$Q249</f>
        <v>1.2440654825797444</v>
      </c>
      <c r="AG249" s="21"/>
      <c r="AO249" s="5">
        <f>$AP$2*($AP$3+$AP$4*$F249/($N249*'Sem TS MC2020'!P241))*($AP$5*$G249+$AP$6*$B249/$N249)*('Sem TS MC2020'!P241^$AP$7/200000)*($J249-$M249)/($J249-$M249-$H249)+('Sem TS MC2020'!P241-$C249/$AP$8)*($AP$5*$G249+$AP$6*$B249/$N249)/200000</f>
        <v>0.27702668506447947</v>
      </c>
      <c r="AP249" s="5">
        <f t="shared" si="38"/>
        <v>1.3851334253223972</v>
      </c>
      <c r="AQ249" s="20">
        <f t="shared" si="39"/>
        <v>7.7026685064479461E-2</v>
      </c>
    </row>
    <row r="250" spans="1:43" x14ac:dyDescent="0.25">
      <c r="B250" s="3">
        <v>20</v>
      </c>
      <c r="C250" s="4">
        <v>528</v>
      </c>
      <c r="D250" s="4">
        <v>3</v>
      </c>
      <c r="E250" s="3">
        <v>12</v>
      </c>
      <c r="F250" s="5">
        <v>2.98</v>
      </c>
      <c r="G250" s="3">
        <v>25</v>
      </c>
      <c r="H250" s="3">
        <v>35</v>
      </c>
      <c r="I250" s="1">
        <v>150</v>
      </c>
      <c r="J250" s="3">
        <v>235</v>
      </c>
      <c r="K250" s="4">
        <v>942</v>
      </c>
      <c r="L250" s="5">
        <v>18375</v>
      </c>
      <c r="M250" s="4">
        <v>93.011358125141797</v>
      </c>
      <c r="N250" s="10">
        <v>5.1265306122448999E-2</v>
      </c>
      <c r="O250" s="5">
        <v>73.599999999999994</v>
      </c>
      <c r="P250" s="4">
        <v>460.25569846258099</v>
      </c>
      <c r="Q250" s="5">
        <v>0.2</v>
      </c>
      <c r="R250" s="11">
        <f t="shared" si="30"/>
        <v>2.3012784923129048E-3</v>
      </c>
      <c r="V250" s="5">
        <f t="shared" si="31"/>
        <v>0.31313187074499954</v>
      </c>
      <c r="W250" s="5">
        <f t="shared" si="32"/>
        <v>1.5656593537249976</v>
      </c>
      <c r="Y250" s="5">
        <f t="shared" si="33"/>
        <v>0.32002621446976404</v>
      </c>
      <c r="Z250" s="5">
        <f t="shared" si="34"/>
        <v>1.60013107234882</v>
      </c>
      <c r="AB250" s="5">
        <f>$AC$2*($AC$3+$AC$4*$F250/($N250*'Sem TS MC2020'!P242))*($AC$5*$G250+$AC$6*$B250/$N250)*'Sem TS MC2020'!R242*($J250-$M250)/($J250-$M250-$H250)</f>
        <v>0.30558670104397306</v>
      </c>
      <c r="AC250" s="5">
        <f t="shared" si="35"/>
        <v>1.5279335052198653</v>
      </c>
      <c r="AD250" s="20">
        <f t="shared" si="36"/>
        <v>0.10558670104397305</v>
      </c>
      <c r="AE250" s="21">
        <f t="shared" si="37"/>
        <v>0.65447874307599718</v>
      </c>
      <c r="AF250" s="21">
        <f>AB250*(14.068*'Sem TS MC2020'!$P242^-0.457)/$Q250</f>
        <v>1.3015315289226661</v>
      </c>
      <c r="AG250" s="21"/>
      <c r="AO250" s="5">
        <f>$AP$2*($AP$3+$AP$4*$F250/($N250*'Sem TS MC2020'!P242))*($AP$5*$G250+$AP$6*$B250/$N250)*('Sem TS MC2020'!P242^$AP$7/200000)*($J250-$M250)/($J250-$M250-$H250)+('Sem TS MC2020'!P242-$C250/$AP$8)*($AP$5*$G250+$AP$6*$B250/$N250)/200000</f>
        <v>0.29667343586928407</v>
      </c>
      <c r="AP250" s="5">
        <f t="shared" si="38"/>
        <v>1.4833671793464203</v>
      </c>
      <c r="AQ250" s="20">
        <f t="shared" si="39"/>
        <v>9.6673435869284063E-2</v>
      </c>
    </row>
    <row r="251" spans="1:43" x14ac:dyDescent="0.25">
      <c r="B251" s="3">
        <v>20</v>
      </c>
      <c r="C251" s="4">
        <v>528</v>
      </c>
      <c r="D251" s="4">
        <v>3</v>
      </c>
      <c r="E251" s="3">
        <v>12</v>
      </c>
      <c r="F251" s="5">
        <v>2.98</v>
      </c>
      <c r="G251" s="3">
        <v>25</v>
      </c>
      <c r="H251" s="3">
        <v>35</v>
      </c>
      <c r="I251" s="1">
        <v>150</v>
      </c>
      <c r="J251" s="3">
        <v>235</v>
      </c>
      <c r="K251" s="4">
        <v>942</v>
      </c>
      <c r="L251" s="5">
        <v>18375</v>
      </c>
      <c r="M251" s="4">
        <v>93.011358125141797</v>
      </c>
      <c r="N251" s="10">
        <v>5.1265306122448999E-2</v>
      </c>
      <c r="O251" s="5">
        <v>79.924999999999997</v>
      </c>
      <c r="P251" s="4">
        <v>502.05901185324399</v>
      </c>
      <c r="Q251" s="5">
        <v>0.22</v>
      </c>
      <c r="R251" s="11">
        <f t="shared" si="30"/>
        <v>2.51029505926622E-3</v>
      </c>
      <c r="V251" s="5">
        <f t="shared" si="31"/>
        <v>0.33038663703046889</v>
      </c>
      <c r="W251" s="5">
        <f t="shared" si="32"/>
        <v>1.5017574410475858</v>
      </c>
      <c r="Y251" s="5">
        <f t="shared" si="33"/>
        <v>0.33798394173006874</v>
      </c>
      <c r="Z251" s="5">
        <f t="shared" si="34"/>
        <v>1.5362906442275852</v>
      </c>
      <c r="AB251" s="5">
        <f>$AC$2*($AC$3+$AC$4*$F251/($N251*'Sem TS MC2020'!P243))*($AC$5*$G251+$AC$6*$B251/$N251)*'Sem TS MC2020'!R243*($J251-$M251)/($J251-$M251-$H251)</f>
        <v>0.33377631028979893</v>
      </c>
      <c r="AC251" s="5">
        <f t="shared" si="35"/>
        <v>1.5171650467718134</v>
      </c>
      <c r="AD251" s="20">
        <f t="shared" si="36"/>
        <v>0.11377631028979893</v>
      </c>
      <c r="AE251" s="21">
        <f t="shared" si="37"/>
        <v>0.65912406967704373</v>
      </c>
      <c r="AF251" s="21">
        <f>AB251*(14.068*'Sem TS MC2020'!$P243^-0.457)/$Q251</f>
        <v>1.2445726695746935</v>
      </c>
      <c r="AG251" s="21"/>
      <c r="AO251" s="5">
        <f>$AP$2*($AP$3+$AP$4*$F251/($N251*'Sem TS MC2020'!P243))*($AP$5*$G251+$AP$6*$B251/$N251)*('Sem TS MC2020'!P243^$AP$7/200000)*($J251-$M251)/($J251-$M251-$H251)+('Sem TS MC2020'!P243-$C251/$AP$8)*($AP$5*$G251+$AP$6*$B251/$N251)/200000</f>
        <v>0.32034999886857668</v>
      </c>
      <c r="AP251" s="5">
        <f t="shared" si="38"/>
        <v>1.4561363584935303</v>
      </c>
      <c r="AQ251" s="20">
        <f t="shared" si="39"/>
        <v>0.10034999886857668</v>
      </c>
    </row>
    <row r="252" spans="1:43" x14ac:dyDescent="0.25">
      <c r="A252" s="1" t="s">
        <v>72</v>
      </c>
      <c r="B252" s="3">
        <v>28</v>
      </c>
      <c r="C252" s="4">
        <v>400</v>
      </c>
      <c r="D252" s="4">
        <v>4</v>
      </c>
      <c r="E252" s="3">
        <v>16</v>
      </c>
      <c r="F252" s="5">
        <v>5.3084743571011099</v>
      </c>
      <c r="G252" s="3">
        <v>30</v>
      </c>
      <c r="H252" s="3">
        <v>44</v>
      </c>
      <c r="I252" s="1">
        <v>200</v>
      </c>
      <c r="J252" s="3">
        <v>300</v>
      </c>
      <c r="K252" s="4">
        <v>2463</v>
      </c>
      <c r="L252" s="5">
        <v>30800</v>
      </c>
      <c r="M252" s="4">
        <v>133.49341623498299</v>
      </c>
      <c r="N252" s="10">
        <v>7.9967532467532507E-2</v>
      </c>
      <c r="O252" s="5">
        <v>78.75</v>
      </c>
      <c r="P252" s="4">
        <v>92.531033485649203</v>
      </c>
      <c r="Q252" s="5">
        <v>0.22</v>
      </c>
      <c r="R252" s="11">
        <f t="shared" si="30"/>
        <v>4.6265516742824604E-4</v>
      </c>
      <c r="V252" s="5">
        <f t="shared" si="31"/>
        <v>0.12117899598110847</v>
      </c>
      <c r="W252" s="5">
        <f t="shared" si="32"/>
        <v>0.55081361809594753</v>
      </c>
      <c r="Y252" s="5">
        <f t="shared" si="33"/>
        <v>0.12775770887383028</v>
      </c>
      <c r="Z252" s="5">
        <f t="shared" si="34"/>
        <v>0.58071685851741039</v>
      </c>
      <c r="AB252" s="5">
        <f>$AC$2*($AC$3+$AC$4*$F252/($N252*'Sem TS MC2020'!P244))*($AC$5*$G252+$AC$6*$B252/$N252)*'Sem TS MC2020'!R244*($J252-$M252)/($J252-$M252-$H252)</f>
        <v>8.2943034091186224E-2</v>
      </c>
      <c r="AC252" s="5">
        <f t="shared" si="35"/>
        <v>0.37701379132357377</v>
      </c>
      <c r="AD252" s="20">
        <f t="shared" si="36"/>
        <v>-0.13705696590881378</v>
      </c>
      <c r="AE252" s="21">
        <f t="shared" si="37"/>
        <v>2.6524228636022111</v>
      </c>
      <c r="AF252" s="21">
        <f>AB252*(14.068*'Sem TS MC2020'!$P244^-0.457)/$Q252</f>
        <v>0.53526793169753217</v>
      </c>
      <c r="AG252" s="21"/>
      <c r="AO252" s="5">
        <f>$AP$2*($AP$3+$AP$4*$F252/($N252*'Sem TS MC2020'!P244))*($AP$5*$G252+$AP$6*$B252/$N252)*('Sem TS MC2020'!P244^$AP$7/200000)*($J252-$M252)/($J252-$M252-$H252)+('Sem TS MC2020'!P244-$C252/$AP$8)*($AP$5*$G252+$AP$6*$B252/$N252)/200000</f>
        <v>9.1823542733382876E-2</v>
      </c>
      <c r="AP252" s="5">
        <f t="shared" si="38"/>
        <v>0.41737973969719488</v>
      </c>
      <c r="AQ252" s="20">
        <f t="shared" si="39"/>
        <v>-0.12817645726661714</v>
      </c>
    </row>
    <row r="253" spans="1:43" x14ac:dyDescent="0.25">
      <c r="B253" s="3">
        <v>28</v>
      </c>
      <c r="C253" s="4">
        <v>400</v>
      </c>
      <c r="D253" s="4">
        <v>4</v>
      </c>
      <c r="E253" s="3">
        <v>16</v>
      </c>
      <c r="F253" s="5">
        <v>5.3084743571011099</v>
      </c>
      <c r="G253" s="3">
        <v>30</v>
      </c>
      <c r="H253" s="3">
        <v>44</v>
      </c>
      <c r="I253" s="1">
        <v>200</v>
      </c>
      <c r="J253" s="3">
        <v>300</v>
      </c>
      <c r="K253" s="4">
        <v>2463</v>
      </c>
      <c r="L253" s="5">
        <v>30800</v>
      </c>
      <c r="M253" s="4">
        <v>133.49341623498299</v>
      </c>
      <c r="N253" s="10">
        <v>7.9967532467532507E-2</v>
      </c>
      <c r="O253" s="5">
        <v>105.075</v>
      </c>
      <c r="P253" s="4">
        <v>145.46919836430101</v>
      </c>
      <c r="Q253" s="5">
        <v>0.25</v>
      </c>
      <c r="R253" s="11">
        <f t="shared" si="30"/>
        <v>7.2734599182150503E-4</v>
      </c>
      <c r="V253" s="5">
        <f t="shared" si="31"/>
        <v>0.16019824398529445</v>
      </c>
      <c r="W253" s="5">
        <f t="shared" si="32"/>
        <v>0.64079297594117779</v>
      </c>
      <c r="Y253" s="5">
        <f t="shared" si="33"/>
        <v>0.16973790445901252</v>
      </c>
      <c r="Z253" s="5">
        <f t="shared" si="34"/>
        <v>0.67895161783605007</v>
      </c>
      <c r="AB253" s="5">
        <f>$AC$2*($AC$3+$AC$4*$F253/($N253*'Sem TS MC2020'!P245))*($AC$5*$G253+$AC$6*$B253/$N253)*'Sem TS MC2020'!R245*($J253-$M253)/($J253-$M253-$H253)</f>
        <v>0.119372784904822</v>
      </c>
      <c r="AC253" s="5">
        <f t="shared" si="35"/>
        <v>0.47749113961928802</v>
      </c>
      <c r="AD253" s="20">
        <f t="shared" si="36"/>
        <v>-0.130627215095178</v>
      </c>
      <c r="AE253" s="21">
        <f t="shared" si="37"/>
        <v>2.0942796986710945</v>
      </c>
      <c r="AF253" s="21">
        <f>AB253*(14.068*'Sem TS MC2020'!$P245^-0.457)/$Q253</f>
        <v>0.59421086308516702</v>
      </c>
      <c r="AG253" s="21"/>
      <c r="AO253" s="5">
        <f>$AP$2*($AP$3+$AP$4*$F253/($N253*'Sem TS MC2020'!P245))*($AP$5*$G253+$AP$6*$B253/$N253)*('Sem TS MC2020'!P245^$AP$7/200000)*($J253-$M253)/($J253-$M253-$H253)+('Sem TS MC2020'!P245-$C253/$AP$8)*($AP$5*$G253+$AP$6*$B253/$N253)/200000</f>
        <v>0.12854456266734934</v>
      </c>
      <c r="AP253" s="5">
        <f t="shared" si="38"/>
        <v>0.51417825066939737</v>
      </c>
      <c r="AQ253" s="20">
        <f t="shared" si="39"/>
        <v>-0.12145543733265066</v>
      </c>
    </row>
    <row r="254" spans="1:43" x14ac:dyDescent="0.25">
      <c r="B254" s="3">
        <v>28</v>
      </c>
      <c r="C254" s="4">
        <v>400</v>
      </c>
      <c r="D254" s="4">
        <v>4</v>
      </c>
      <c r="E254" s="3">
        <v>16</v>
      </c>
      <c r="F254" s="5">
        <v>5.3084743571011099</v>
      </c>
      <c r="G254" s="3">
        <v>30</v>
      </c>
      <c r="H254" s="3">
        <v>44</v>
      </c>
      <c r="I254" s="1">
        <v>200</v>
      </c>
      <c r="J254" s="3">
        <v>300</v>
      </c>
      <c r="K254" s="4">
        <v>2463</v>
      </c>
      <c r="L254" s="5">
        <v>30800</v>
      </c>
      <c r="M254" s="4">
        <v>133.49341623498299</v>
      </c>
      <c r="N254" s="10">
        <v>7.9967532467532507E-2</v>
      </c>
      <c r="O254" s="5">
        <v>120.15</v>
      </c>
      <c r="P254" s="4">
        <v>180.36143433573599</v>
      </c>
      <c r="Q254" s="5">
        <v>0.28999999999999998</v>
      </c>
      <c r="R254" s="11">
        <f t="shared" si="30"/>
        <v>9.0180717167867997E-4</v>
      </c>
      <c r="V254" s="5">
        <f t="shared" si="31"/>
        <v>0.18292314808876989</v>
      </c>
      <c r="W254" s="5">
        <f t="shared" si="32"/>
        <v>0.63076947616817203</v>
      </c>
      <c r="Y254" s="5">
        <f t="shared" si="33"/>
        <v>0.19427497012758882</v>
      </c>
      <c r="Z254" s="5">
        <f t="shared" si="34"/>
        <v>0.66991369009513391</v>
      </c>
      <c r="AB254" s="5">
        <f>$AC$2*($AC$3+$AC$4*$F254/($N254*'Sem TS MC2020'!P246))*($AC$5*$G254+$AC$6*$B254/$N254)*'Sem TS MC2020'!R246*($J254-$M254)/($J254-$M254-$H254)</f>
        <v>0.14023426613998122</v>
      </c>
      <c r="AC254" s="5">
        <f t="shared" si="35"/>
        <v>0.48356643496545249</v>
      </c>
      <c r="AD254" s="20">
        <f t="shared" si="36"/>
        <v>-0.14976573386001876</v>
      </c>
      <c r="AE254" s="21">
        <f t="shared" si="37"/>
        <v>2.0679681791219506</v>
      </c>
      <c r="AF254" s="21">
        <f>AB254*(14.068*'Sem TS MC2020'!$P246^-0.457)/$Q254</f>
        <v>0.56600840211919023</v>
      </c>
      <c r="AG254" s="21"/>
      <c r="AO254" s="5">
        <f>$AP$2*($AP$3+$AP$4*$F254/($N254*'Sem TS MC2020'!P246))*($AP$5*$G254+$AP$6*$B254/$N254)*('Sem TS MC2020'!P246^$AP$7/200000)*($J254-$M254)/($J254-$M254-$H254)+('Sem TS MC2020'!P246-$C254/$AP$8)*($AP$5*$G254+$AP$6*$B254/$N254)/200000</f>
        <v>0.14869077676430209</v>
      </c>
      <c r="AP254" s="5">
        <f t="shared" si="38"/>
        <v>0.51272681642862794</v>
      </c>
      <c r="AQ254" s="20">
        <f t="shared" si="39"/>
        <v>-0.14130922323569789</v>
      </c>
    </row>
    <row r="255" spans="1:43" x14ac:dyDescent="0.25">
      <c r="B255" s="3">
        <v>28</v>
      </c>
      <c r="C255" s="4">
        <v>400</v>
      </c>
      <c r="D255" s="4">
        <v>4</v>
      </c>
      <c r="E255" s="3">
        <v>16</v>
      </c>
      <c r="F255" s="5">
        <v>5.3084743571011099</v>
      </c>
      <c r="G255" s="3">
        <v>30</v>
      </c>
      <c r="H255" s="3">
        <v>44</v>
      </c>
      <c r="I255" s="1">
        <v>200</v>
      </c>
      <c r="J255" s="3">
        <v>300</v>
      </c>
      <c r="K255" s="4">
        <v>2463</v>
      </c>
      <c r="L255" s="5">
        <v>30800</v>
      </c>
      <c r="M255" s="4">
        <v>133.49341623498299</v>
      </c>
      <c r="N255" s="10">
        <v>7.9967532467532507E-2</v>
      </c>
      <c r="O255" s="5">
        <v>137.47499999999999</v>
      </c>
      <c r="P255" s="4">
        <v>220.461466720819</v>
      </c>
      <c r="Q255" s="5">
        <v>0.31</v>
      </c>
      <c r="R255" s="11">
        <f t="shared" si="30"/>
        <v>1.1023073336040949E-3</v>
      </c>
      <c r="V255" s="5">
        <f t="shared" si="31"/>
        <v>0.20704478085170014</v>
      </c>
      <c r="W255" s="5">
        <f t="shared" si="32"/>
        <v>0.66788638984419402</v>
      </c>
      <c r="Y255" s="5">
        <f t="shared" si="33"/>
        <v>0.22037968116209375</v>
      </c>
      <c r="Z255" s="5">
        <f t="shared" si="34"/>
        <v>0.7109021972970766</v>
      </c>
      <c r="AB255" s="5">
        <f>$AC$2*($AC$3+$AC$4*$F255/($N255*'Sem TS MC2020'!P247))*($AC$5*$G255+$AC$6*$B255/$N255)*'Sem TS MC2020'!R247*($J255-$M255)/($J255-$M255-$H255)</f>
        <v>0.16420940129083578</v>
      </c>
      <c r="AC255" s="5">
        <f t="shared" si="35"/>
        <v>0.52970774609947024</v>
      </c>
      <c r="AD255" s="20">
        <f t="shared" si="36"/>
        <v>-0.14579059870916422</v>
      </c>
      <c r="AE255" s="21">
        <f t="shared" si="37"/>
        <v>1.8878334465817246</v>
      </c>
      <c r="AF255" s="21">
        <f>AB255*(14.068*'Sem TS MC2020'!$P247^-0.457)/$Q255</f>
        <v>0.58300002729395595</v>
      </c>
      <c r="AG255" s="21"/>
      <c r="AO255" s="5">
        <f>$AP$2*($AP$3+$AP$4*$F255/($N255*'Sem TS MC2020'!P247))*($AP$5*$G255+$AP$6*$B255/$N255)*('Sem TS MC2020'!P247^$AP$7/200000)*($J255-$M255)/($J255-$M255-$H255)+('Sem TS MC2020'!P247-$C255/$AP$8)*($AP$5*$G255+$AP$6*$B255/$N255)/200000</f>
        <v>0.17122706004326613</v>
      </c>
      <c r="AP255" s="5">
        <f t="shared" si="38"/>
        <v>0.55234535497827786</v>
      </c>
      <c r="AQ255" s="20">
        <f t="shared" si="39"/>
        <v>-0.13877293995673387</v>
      </c>
    </row>
    <row r="256" spans="1:43" x14ac:dyDescent="0.25">
      <c r="B256" s="3">
        <v>28</v>
      </c>
      <c r="C256" s="4">
        <v>400</v>
      </c>
      <c r="D256" s="4">
        <v>4</v>
      </c>
      <c r="E256" s="3">
        <v>16</v>
      </c>
      <c r="F256" s="5">
        <v>5.3084743571011099</v>
      </c>
      <c r="G256" s="3">
        <v>30</v>
      </c>
      <c r="H256" s="3">
        <v>44</v>
      </c>
      <c r="I256" s="1">
        <v>200</v>
      </c>
      <c r="J256" s="3">
        <v>300</v>
      </c>
      <c r="K256" s="4">
        <v>2463</v>
      </c>
      <c r="L256" s="5">
        <v>30800</v>
      </c>
      <c r="M256" s="4">
        <v>133.49341623498299</v>
      </c>
      <c r="N256" s="10">
        <v>7.9967532467532507E-2</v>
      </c>
      <c r="O256" s="5">
        <v>164.47499999999999</v>
      </c>
      <c r="P256" s="4">
        <v>282.95502368458301</v>
      </c>
      <c r="Q256" s="5">
        <v>0.33</v>
      </c>
      <c r="R256" s="11">
        <f t="shared" si="30"/>
        <v>1.414775118422915E-3</v>
      </c>
      <c r="V256" s="5">
        <f t="shared" si="31"/>
        <v>0.24151141223142608</v>
      </c>
      <c r="W256" s="5">
        <f t="shared" si="32"/>
        <v>0.73185276433765478</v>
      </c>
      <c r="Y256" s="5">
        <f t="shared" si="33"/>
        <v>0.25777283762631886</v>
      </c>
      <c r="Z256" s="5">
        <f t="shared" si="34"/>
        <v>0.78112981098884504</v>
      </c>
      <c r="AB256" s="5">
        <f>$AC$2*($AC$3+$AC$4*$F256/($N256*'Sem TS MC2020'!P248))*($AC$5*$G256+$AC$6*$B256/$N256)*'Sem TS MC2020'!R248*($J256-$M256)/($J256-$M256-$H256)</f>
        <v>0.20157324827918027</v>
      </c>
      <c r="AC256" s="5">
        <f t="shared" si="35"/>
        <v>0.61082802508842504</v>
      </c>
      <c r="AD256" s="20">
        <f t="shared" si="36"/>
        <v>-0.12842675172081974</v>
      </c>
      <c r="AE256" s="21">
        <f t="shared" si="37"/>
        <v>1.6371220031288469</v>
      </c>
      <c r="AF256" s="21">
        <f>AB256*(14.068*'Sem TS MC2020'!$P248^-0.457)/$Q256</f>
        <v>0.61938658873931685</v>
      </c>
      <c r="AG256" s="21"/>
      <c r="AO256" s="5">
        <f>$AP$2*($AP$3+$AP$4*$F256/($N256*'Sem TS MC2020'!P248))*($AP$5*$G256+$AP$6*$B256/$N256)*('Sem TS MC2020'!P248^$AP$7/200000)*($J256-$M256)/($J256-$M256-$H256)+('Sem TS MC2020'!P248-$C256/$AP$8)*($AP$5*$G256+$AP$6*$B256/$N256)/200000</f>
        <v>0.20527578394027318</v>
      </c>
      <c r="AP256" s="5">
        <f t="shared" si="38"/>
        <v>0.6220478301220399</v>
      </c>
      <c r="AQ256" s="20">
        <f t="shared" si="39"/>
        <v>-0.12472421605972683</v>
      </c>
    </row>
    <row r="257" spans="1:43" x14ac:dyDescent="0.25">
      <c r="B257" s="3">
        <v>28</v>
      </c>
      <c r="C257" s="4">
        <v>400</v>
      </c>
      <c r="D257" s="4">
        <v>4</v>
      </c>
      <c r="E257" s="3">
        <v>16</v>
      </c>
      <c r="F257" s="5">
        <v>5.3084743571011099</v>
      </c>
      <c r="G257" s="3">
        <v>30</v>
      </c>
      <c r="H257" s="3">
        <v>44</v>
      </c>
      <c r="I257" s="1">
        <v>200</v>
      </c>
      <c r="J257" s="3">
        <v>300</v>
      </c>
      <c r="K257" s="4">
        <v>2463</v>
      </c>
      <c r="L257" s="5">
        <v>30800</v>
      </c>
      <c r="M257" s="4">
        <v>133.49341623498299</v>
      </c>
      <c r="N257" s="10">
        <v>7.9967532467532507E-2</v>
      </c>
      <c r="O257" s="5">
        <v>178.2</v>
      </c>
      <c r="P257" s="4">
        <v>314.72258180783001</v>
      </c>
      <c r="Q257" s="5">
        <v>0.34</v>
      </c>
      <c r="R257" s="11">
        <f t="shared" si="30"/>
        <v>1.57361290903915E-3</v>
      </c>
      <c r="V257" s="5">
        <f t="shared" si="31"/>
        <v>0.25789892608401516</v>
      </c>
      <c r="W257" s="5">
        <f t="shared" si="32"/>
        <v>0.75852625318827982</v>
      </c>
      <c r="Y257" s="5">
        <f t="shared" si="33"/>
        <v>0.27558612235356317</v>
      </c>
      <c r="Z257" s="5">
        <f t="shared" si="34"/>
        <v>0.81054741868695046</v>
      </c>
      <c r="AB257" s="5">
        <f>$AC$2*($AC$3+$AC$4*$F257/($N257*'Sem TS MC2020'!P249))*($AC$5*$G257+$AC$6*$B257/$N257)*'Sem TS MC2020'!R249*($J257-$M257)/($J257-$M257-$H257)</f>
        <v>0.22056653716492211</v>
      </c>
      <c r="AC257" s="5">
        <f t="shared" si="35"/>
        <v>0.64872510930859439</v>
      </c>
      <c r="AD257" s="20">
        <f t="shared" si="36"/>
        <v>-0.11943346283507791</v>
      </c>
      <c r="AE257" s="21">
        <f t="shared" si="37"/>
        <v>1.5414849612739536</v>
      </c>
      <c r="AF257" s="21">
        <f>AB257*(14.068*'Sem TS MC2020'!$P249^-0.457)/$Q257</f>
        <v>0.63415640654686811</v>
      </c>
      <c r="AG257" s="21"/>
      <c r="AO257" s="5">
        <f>$AP$2*($AP$3+$AP$4*$F257/($N257*'Sem TS MC2020'!P249))*($AP$5*$G257+$AP$6*$B257/$N257)*('Sem TS MC2020'!P249^$AP$7/200000)*($J257-$M257)/($J257-$M257-$H257)+('Sem TS MC2020'!P249-$C257/$AP$8)*($AP$5*$G257+$AP$6*$B257/$N257)/200000</f>
        <v>0.22216301216234596</v>
      </c>
      <c r="AP257" s="5">
        <f t="shared" si="38"/>
        <v>0.65342062400689982</v>
      </c>
      <c r="AQ257" s="20">
        <f t="shared" si="39"/>
        <v>-0.11783698783765406</v>
      </c>
    </row>
    <row r="258" spans="1:43" x14ac:dyDescent="0.25">
      <c r="B258" s="3">
        <v>28</v>
      </c>
      <c r="C258" s="4">
        <v>400</v>
      </c>
      <c r="D258" s="4">
        <v>4</v>
      </c>
      <c r="E258" s="3">
        <v>16</v>
      </c>
      <c r="F258" s="5">
        <v>5.3084743571011099</v>
      </c>
      <c r="G258" s="3">
        <v>30</v>
      </c>
      <c r="H258" s="3">
        <v>44</v>
      </c>
      <c r="I258" s="1">
        <v>200</v>
      </c>
      <c r="J258" s="3">
        <v>300</v>
      </c>
      <c r="K258" s="4">
        <v>2463</v>
      </c>
      <c r="L258" s="5">
        <v>30800</v>
      </c>
      <c r="M258" s="4">
        <v>133.49341623498299</v>
      </c>
      <c r="N258" s="10">
        <v>7.9967532467532507E-2</v>
      </c>
      <c r="O258" s="5">
        <v>198.22499999999999</v>
      </c>
      <c r="P258" s="4">
        <v>361.07196988928899</v>
      </c>
      <c r="Q258" s="5">
        <v>0.37</v>
      </c>
      <c r="R258" s="11">
        <f t="shared" si="30"/>
        <v>1.8053598494464449E-3</v>
      </c>
      <c r="V258" s="5">
        <f t="shared" si="31"/>
        <v>0.28071354938336779</v>
      </c>
      <c r="W258" s="5">
        <f t="shared" si="32"/>
        <v>0.75868526860369678</v>
      </c>
      <c r="Y258" s="5">
        <f t="shared" si="33"/>
        <v>0.30041907907959137</v>
      </c>
      <c r="Z258" s="5">
        <f t="shared" si="34"/>
        <v>0.81194345697186854</v>
      </c>
      <c r="AB258" s="5">
        <f>$AC$2*($AC$3+$AC$4*$F258/($N258*'Sem TS MC2020'!P250))*($AC$5*$G258+$AC$6*$B258/$N258)*'Sem TS MC2020'!R250*($J258-$M258)/($J258-$M258-$H258)</f>
        <v>0.24827805701461134</v>
      </c>
      <c r="AC258" s="5">
        <f t="shared" si="35"/>
        <v>0.67102177571516575</v>
      </c>
      <c r="AD258" s="20">
        <f t="shared" si="36"/>
        <v>-0.12172194298538866</v>
      </c>
      <c r="AE258" s="21">
        <f t="shared" si="37"/>
        <v>1.49026460271608</v>
      </c>
      <c r="AF258" s="21">
        <f>AB258*(14.068*'Sem TS MC2020'!$P250^-0.457)/$Q258</f>
        <v>0.62479235687002621</v>
      </c>
      <c r="AG258" s="21"/>
      <c r="AO258" s="5">
        <f>$AP$2*($AP$3+$AP$4*$F258/($N258*'Sem TS MC2020'!P250))*($AP$5*$G258+$AP$6*$B258/$N258)*('Sem TS MC2020'!P250^$AP$7/200000)*($J258-$M258)/($J258-$M258-$H258)+('Sem TS MC2020'!P250-$C258/$AP$8)*($AP$5*$G258+$AP$6*$B258/$N258)/200000</f>
        <v>0.24636789833721651</v>
      </c>
      <c r="AP258" s="5">
        <f t="shared" si="38"/>
        <v>0.6658591846951798</v>
      </c>
      <c r="AQ258" s="20">
        <f t="shared" si="39"/>
        <v>-0.12363210166278349</v>
      </c>
    </row>
    <row r="259" spans="1:43" x14ac:dyDescent="0.25">
      <c r="A259" s="1" t="s">
        <v>73</v>
      </c>
      <c r="B259" s="3">
        <v>15.9</v>
      </c>
      <c r="C259" s="4">
        <v>392</v>
      </c>
      <c r="D259" s="4">
        <v>2</v>
      </c>
      <c r="E259" s="3">
        <v>46</v>
      </c>
      <c r="F259" s="5">
        <v>2.8258773978663201</v>
      </c>
      <c r="G259" s="3">
        <v>30</v>
      </c>
      <c r="H259" s="3">
        <v>38</v>
      </c>
      <c r="I259" s="1">
        <v>150</v>
      </c>
      <c r="J259" s="3">
        <v>250</v>
      </c>
      <c r="K259" s="4">
        <v>397.2</v>
      </c>
      <c r="L259" s="5">
        <v>17625</v>
      </c>
      <c r="M259" s="4">
        <v>70.061381209483102</v>
      </c>
      <c r="N259" s="10">
        <v>2.2536170212766E-2</v>
      </c>
      <c r="O259" s="5">
        <v>27.1</v>
      </c>
      <c r="P259" s="4">
        <v>327.33566875282702</v>
      </c>
      <c r="Q259" s="5">
        <v>0.2</v>
      </c>
      <c r="R259" s="11">
        <f t="shared" si="30"/>
        <v>1.6366783437641351E-3</v>
      </c>
      <c r="V259" s="5">
        <f t="shared" si="31"/>
        <v>0.30641090591594822</v>
      </c>
      <c r="W259" s="5">
        <f t="shared" si="32"/>
        <v>1.532054529579741</v>
      </c>
      <c r="Y259" s="5">
        <f t="shared" si="33"/>
        <v>0.30337194112556298</v>
      </c>
      <c r="Z259" s="5">
        <f t="shared" si="34"/>
        <v>1.5168597056278148</v>
      </c>
      <c r="AB259" s="5">
        <f>$AC$2*($AC$3+$AC$4*$F259/($N259*'Sem TS MC2020'!P251))*($AC$5*$G259+$AC$6*$B259/$N259)*'Sem TS MC2020'!R251*($J259-$M259)/($J259-$M259-$H259)</f>
        <v>0.32183291288201626</v>
      </c>
      <c r="AC259" s="5">
        <f t="shared" si="35"/>
        <v>1.6091645644100812</v>
      </c>
      <c r="AD259" s="20">
        <f t="shared" si="36"/>
        <v>0.12183291288201625</v>
      </c>
      <c r="AE259" s="21">
        <f t="shared" si="37"/>
        <v>0.62144048043128486</v>
      </c>
      <c r="AF259" s="21">
        <f>AB259*(14.068*'Sem TS MC2020'!$P251^-0.457)/$Q259</f>
        <v>1.5335016490005733</v>
      </c>
      <c r="AG259" s="21"/>
      <c r="AO259" s="5">
        <f>$AP$2*($AP$3+$AP$4*$F259/($N259*'Sem TS MC2020'!P251))*($AP$5*$G259+$AP$6*$B259/$N259)*('Sem TS MC2020'!P251^$AP$7/200000)*($J259-$M259)/($J259-$M259-$H259)+('Sem TS MC2020'!P251-$C259/$AP$8)*($AP$5*$G259+$AP$6*$B259/$N259)/200000</f>
        <v>0.33359897702706071</v>
      </c>
      <c r="AP259" s="5">
        <f t="shared" si="38"/>
        <v>1.6679948851353035</v>
      </c>
      <c r="AQ259" s="20">
        <f t="shared" si="39"/>
        <v>0.13359897702706069</v>
      </c>
    </row>
    <row r="260" spans="1:43" x14ac:dyDescent="0.25">
      <c r="B260" s="3">
        <v>15.9</v>
      </c>
      <c r="C260" s="4">
        <v>392</v>
      </c>
      <c r="D260" s="4">
        <v>2</v>
      </c>
      <c r="E260" s="3">
        <v>46</v>
      </c>
      <c r="F260" s="5">
        <v>2.8258773978663201</v>
      </c>
      <c r="G260" s="3">
        <v>30</v>
      </c>
      <c r="H260" s="3">
        <v>38</v>
      </c>
      <c r="I260" s="1">
        <v>150</v>
      </c>
      <c r="J260" s="3">
        <v>250</v>
      </c>
      <c r="K260" s="4">
        <v>397.2</v>
      </c>
      <c r="L260" s="5">
        <v>17625</v>
      </c>
      <c r="M260" s="4">
        <v>70.061381209483102</v>
      </c>
      <c r="N260" s="10">
        <v>2.2536170212766E-2</v>
      </c>
      <c r="O260" s="5">
        <v>35.6</v>
      </c>
      <c r="P260" s="4">
        <v>367.24084443015602</v>
      </c>
      <c r="Q260" s="5">
        <v>0.35</v>
      </c>
      <c r="R260" s="11">
        <f t="shared" si="30"/>
        <v>1.8362042221507801E-3</v>
      </c>
      <c r="V260" s="5">
        <f t="shared" si="31"/>
        <v>0.32894863322612555</v>
      </c>
      <c r="W260" s="5">
        <f t="shared" si="32"/>
        <v>0.93985323778893026</v>
      </c>
      <c r="Y260" s="5">
        <f t="shared" si="33"/>
        <v>0.32609850810516816</v>
      </c>
      <c r="Z260" s="5">
        <f t="shared" si="34"/>
        <v>0.93171002315762341</v>
      </c>
      <c r="AB260" s="5">
        <f>$AC$2*($AC$3+$AC$4*$F260/($N260*'Sem TS MC2020'!P252))*($AC$5*$G260+$AC$6*$B260/$N260)*'Sem TS MC2020'!R252*($J260-$M260)/($J260-$M260-$H260)</f>
        <v>0.35542588929908076</v>
      </c>
      <c r="AC260" s="5">
        <f t="shared" si="35"/>
        <v>1.0155025408545164</v>
      </c>
      <c r="AD260" s="20">
        <f t="shared" si="36"/>
        <v>5.4258892990807772E-3</v>
      </c>
      <c r="AE260" s="21">
        <f t="shared" si="37"/>
        <v>0.98473411908800201</v>
      </c>
      <c r="AF260" s="21">
        <f>AB260*(14.068*'Sem TS MC2020'!$P252^-0.457)/$Q260</f>
        <v>0.93245913339667463</v>
      </c>
      <c r="AG260" s="21"/>
      <c r="AO260" s="5">
        <f>$AP$2*($AP$3+$AP$4*$F260/($N260*'Sem TS MC2020'!P252))*($AP$5*$G260+$AP$6*$B260/$N260)*('Sem TS MC2020'!P252^$AP$7/200000)*($J260-$M260)/($J260-$M260-$H260)+('Sem TS MC2020'!P252-$C260/$AP$8)*($AP$5*$G260+$AP$6*$B260/$N260)/200000</f>
        <v>0.36433441984258969</v>
      </c>
      <c r="AP260" s="5">
        <f t="shared" si="38"/>
        <v>1.040955485264542</v>
      </c>
      <c r="AQ260" s="20">
        <f t="shared" si="39"/>
        <v>1.4334419842589707E-2</v>
      </c>
    </row>
    <row r="261" spans="1:43" x14ac:dyDescent="0.25">
      <c r="A261" s="1" t="s">
        <v>74</v>
      </c>
      <c r="B261" s="3">
        <v>15.9</v>
      </c>
      <c r="C261" s="4">
        <v>392</v>
      </c>
      <c r="D261" s="4">
        <v>2</v>
      </c>
      <c r="E261" s="3">
        <v>46</v>
      </c>
      <c r="F261" s="5">
        <v>2.8258773978663201</v>
      </c>
      <c r="G261" s="3">
        <v>30</v>
      </c>
      <c r="H261" s="3">
        <v>38</v>
      </c>
      <c r="I261" s="1">
        <v>150</v>
      </c>
      <c r="J261" s="3">
        <v>250</v>
      </c>
      <c r="K261" s="4">
        <v>397.2</v>
      </c>
      <c r="L261" s="5">
        <v>17625</v>
      </c>
      <c r="M261" s="4">
        <v>70.061381209483102</v>
      </c>
      <c r="N261" s="10">
        <v>2.2536170212766E-2</v>
      </c>
      <c r="O261" s="5">
        <v>27.2</v>
      </c>
      <c r="P261" s="4">
        <v>329.07434564323</v>
      </c>
      <c r="Q261" s="5">
        <v>0.2</v>
      </c>
      <c r="R261" s="11">
        <f t="shared" si="30"/>
        <v>1.64537172821615E-3</v>
      </c>
      <c r="V261" s="5">
        <f t="shared" si="31"/>
        <v>0.30741407475969801</v>
      </c>
      <c r="W261" s="5">
        <f t="shared" si="32"/>
        <v>1.5370703737984899</v>
      </c>
      <c r="Y261" s="5">
        <f t="shared" si="33"/>
        <v>0.30438289738944674</v>
      </c>
      <c r="Z261" s="5">
        <f t="shared" si="34"/>
        <v>1.5219144869472336</v>
      </c>
      <c r="AB261" s="5">
        <f>$AC$2*($AC$3+$AC$4*$F261/($N261*'Sem TS MC2020'!P253))*($AC$5*$G261+$AC$6*$B261/$N261)*'Sem TS MC2020'!R253*($J261-$M261)/($J261-$M261-$H261)</f>
        <v>0.32329656592413042</v>
      </c>
      <c r="AC261" s="5">
        <f t="shared" si="35"/>
        <v>1.6164828296206519</v>
      </c>
      <c r="AD261" s="20">
        <f t="shared" si="36"/>
        <v>0.12329656592413041</v>
      </c>
      <c r="AE261" s="21">
        <f t="shared" si="37"/>
        <v>0.6186270473622506</v>
      </c>
      <c r="AF261" s="21">
        <f>AB261*(14.068*'Sem TS MC2020'!$P253^-0.457)/$Q261</f>
        <v>1.5378849951268203</v>
      </c>
      <c r="AG261" s="21"/>
      <c r="AO261" s="5">
        <f>$AP$2*($AP$3+$AP$4*$F261/($N261*'Sem TS MC2020'!P253))*($AP$5*$G261+$AP$6*$B261/$N261)*('Sem TS MC2020'!P253^$AP$7/200000)*($J261-$M261)/($J261-$M261-$H261)+('Sem TS MC2020'!P253-$C261/$AP$8)*($AP$5*$G261+$AP$6*$B261/$N261)/200000</f>
        <v>0.3349489138615428</v>
      </c>
      <c r="AP261" s="5">
        <f t="shared" si="38"/>
        <v>1.6747445693077139</v>
      </c>
      <c r="AQ261" s="20">
        <f t="shared" si="39"/>
        <v>0.13494891386154279</v>
      </c>
    </row>
    <row r="262" spans="1:43" x14ac:dyDescent="0.25">
      <c r="B262" s="3">
        <v>15.9</v>
      </c>
      <c r="C262" s="4">
        <v>392</v>
      </c>
      <c r="D262" s="4">
        <v>2</v>
      </c>
      <c r="E262" s="3">
        <v>46</v>
      </c>
      <c r="F262" s="5">
        <v>2.8258773978663201</v>
      </c>
      <c r="G262" s="3">
        <v>30</v>
      </c>
      <c r="H262" s="3">
        <v>38</v>
      </c>
      <c r="I262" s="1">
        <v>150</v>
      </c>
      <c r="J262" s="3">
        <v>250</v>
      </c>
      <c r="K262" s="4">
        <v>397.2</v>
      </c>
      <c r="L262" s="5">
        <v>17625</v>
      </c>
      <c r="M262" s="4">
        <v>70.061381209483102</v>
      </c>
      <c r="N262" s="10">
        <v>2.2536170212766E-2</v>
      </c>
      <c r="O262" s="5">
        <v>35.6</v>
      </c>
      <c r="P262" s="4">
        <v>367.24084443015602</v>
      </c>
      <c r="Q262" s="5">
        <v>0.25</v>
      </c>
      <c r="R262" s="11">
        <f t="shared" si="30"/>
        <v>1.8362042221507801E-3</v>
      </c>
      <c r="V262" s="5">
        <f t="shared" si="31"/>
        <v>0.32894863322612555</v>
      </c>
      <c r="W262" s="5">
        <f t="shared" si="32"/>
        <v>1.3157945329045022</v>
      </c>
      <c r="Y262" s="5">
        <f t="shared" si="33"/>
        <v>0.32609850810516816</v>
      </c>
      <c r="Z262" s="5">
        <f t="shared" si="34"/>
        <v>1.3043940324206726</v>
      </c>
      <c r="AB262" s="5">
        <f>$AC$2*($AC$3+$AC$4*$F262/($N262*'Sem TS MC2020'!P254))*($AC$5*$G262+$AC$6*$B262/$N262)*'Sem TS MC2020'!R254*($J262-$M262)/($J262-$M262-$H262)</f>
        <v>0.35542588929908076</v>
      </c>
      <c r="AC262" s="5">
        <f t="shared" si="35"/>
        <v>1.421703557196323</v>
      </c>
      <c r="AD262" s="20">
        <f t="shared" si="36"/>
        <v>0.10542588929908076</v>
      </c>
      <c r="AE262" s="21">
        <f t="shared" si="37"/>
        <v>0.70338151363428714</v>
      </c>
      <c r="AF262" s="21">
        <f>AB262*(14.068*'Sem TS MC2020'!$P254^-0.457)/$Q262</f>
        <v>1.3054427867553444</v>
      </c>
      <c r="AG262" s="21"/>
      <c r="AO262" s="5">
        <f>$AP$2*($AP$3+$AP$4*$F262/($N262*'Sem TS MC2020'!P254))*($AP$5*$G262+$AP$6*$B262/$N262)*('Sem TS MC2020'!P254^$AP$7/200000)*($J262-$M262)/($J262-$M262-$H262)+('Sem TS MC2020'!P254-$C262/$AP$8)*($AP$5*$G262+$AP$6*$B262/$N262)/200000</f>
        <v>0.36433441984258969</v>
      </c>
      <c r="AP262" s="5">
        <f t="shared" si="38"/>
        <v>1.4573376793703587</v>
      </c>
      <c r="AQ262" s="20">
        <f t="shared" si="39"/>
        <v>0.11433441984258969</v>
      </c>
    </row>
    <row r="263" spans="1:43" x14ac:dyDescent="0.25">
      <c r="A263" s="1" t="s">
        <v>75</v>
      </c>
      <c r="B263" s="3">
        <v>15.9</v>
      </c>
      <c r="C263" s="4">
        <v>392</v>
      </c>
      <c r="D263" s="4">
        <v>2</v>
      </c>
      <c r="E263" s="3">
        <v>46</v>
      </c>
      <c r="F263" s="5">
        <v>2.8258773978663201</v>
      </c>
      <c r="G263" s="3">
        <v>30</v>
      </c>
      <c r="H263" s="3">
        <v>38</v>
      </c>
      <c r="I263" s="1">
        <v>150</v>
      </c>
      <c r="J263" s="3">
        <v>250</v>
      </c>
      <c r="K263" s="4">
        <v>397.2</v>
      </c>
      <c r="L263" s="5">
        <v>17625</v>
      </c>
      <c r="M263" s="4">
        <v>70.061381209483102</v>
      </c>
      <c r="N263" s="10">
        <v>2.2536170212766E-2</v>
      </c>
      <c r="O263" s="5">
        <v>27.2</v>
      </c>
      <c r="P263" s="4">
        <v>329.07434564323</v>
      </c>
      <c r="Q263" s="5">
        <v>0.2</v>
      </c>
      <c r="R263" s="11">
        <f t="shared" si="30"/>
        <v>1.64537172821615E-3</v>
      </c>
      <c r="V263" s="5">
        <f t="shared" si="31"/>
        <v>0.30741407475969801</v>
      </c>
      <c r="W263" s="5">
        <f t="shared" si="32"/>
        <v>1.5370703737984899</v>
      </c>
      <c r="Y263" s="5">
        <f t="shared" si="33"/>
        <v>0.30438289738944674</v>
      </c>
      <c r="Z263" s="5">
        <f t="shared" si="34"/>
        <v>1.5219144869472336</v>
      </c>
      <c r="AB263" s="5">
        <f>$AC$2*($AC$3+$AC$4*$F263/($N263*'Sem TS MC2020'!P255))*($AC$5*$G263+$AC$6*$B263/$N263)*'Sem TS MC2020'!R255*($J263-$M263)/($J263-$M263-$H263)</f>
        <v>0.32329656592413042</v>
      </c>
      <c r="AC263" s="5">
        <f t="shared" si="35"/>
        <v>1.6164828296206519</v>
      </c>
      <c r="AD263" s="20">
        <f t="shared" si="36"/>
        <v>0.12329656592413041</v>
      </c>
      <c r="AE263" s="21">
        <f t="shared" si="37"/>
        <v>0.6186270473622506</v>
      </c>
      <c r="AF263" s="21">
        <f>AB263*(14.068*'Sem TS MC2020'!$P255^-0.457)/$Q263</f>
        <v>1.5378849951268203</v>
      </c>
      <c r="AG263" s="21"/>
      <c r="AO263" s="5">
        <f>$AP$2*($AP$3+$AP$4*$F263/($N263*'Sem TS MC2020'!P255))*($AP$5*$G263+$AP$6*$B263/$N263)*('Sem TS MC2020'!P255^$AP$7/200000)*($J263-$M263)/($J263-$M263-$H263)+('Sem TS MC2020'!P255-$C263/$AP$8)*($AP$5*$G263+$AP$6*$B263/$N263)/200000</f>
        <v>0.3349489138615428</v>
      </c>
      <c r="AP263" s="5">
        <f t="shared" si="38"/>
        <v>1.6747445693077139</v>
      </c>
      <c r="AQ263" s="20">
        <f t="shared" si="39"/>
        <v>0.13494891386154279</v>
      </c>
    </row>
    <row r="264" spans="1:43" x14ac:dyDescent="0.25">
      <c r="B264" s="3">
        <v>15.9</v>
      </c>
      <c r="C264" s="4">
        <v>392</v>
      </c>
      <c r="D264" s="4">
        <v>2</v>
      </c>
      <c r="E264" s="3">
        <v>46</v>
      </c>
      <c r="F264" s="5">
        <v>2.8258773978663201</v>
      </c>
      <c r="G264" s="3">
        <v>30</v>
      </c>
      <c r="H264" s="3">
        <v>38</v>
      </c>
      <c r="I264" s="1">
        <v>150</v>
      </c>
      <c r="J264" s="3">
        <v>250</v>
      </c>
      <c r="K264" s="4">
        <v>397.2</v>
      </c>
      <c r="L264" s="5">
        <v>17625</v>
      </c>
      <c r="M264" s="4">
        <v>70.061381209483102</v>
      </c>
      <c r="N264" s="10">
        <v>2.2536170212766E-2</v>
      </c>
      <c r="O264" s="5">
        <v>35.6</v>
      </c>
      <c r="P264" s="4">
        <v>367.24084443015602</v>
      </c>
      <c r="Q264" s="5">
        <v>0.25</v>
      </c>
      <c r="R264" s="11">
        <f t="shared" si="30"/>
        <v>1.8362042221507801E-3</v>
      </c>
      <c r="V264" s="5">
        <f t="shared" si="31"/>
        <v>0.32894863322612555</v>
      </c>
      <c r="W264" s="5">
        <f t="shared" si="32"/>
        <v>1.3157945329045022</v>
      </c>
      <c r="Y264" s="5">
        <f t="shared" si="33"/>
        <v>0.32609850810516816</v>
      </c>
      <c r="Z264" s="5">
        <f t="shared" si="34"/>
        <v>1.3043940324206726</v>
      </c>
      <c r="AB264" s="5">
        <f>$AC$2*($AC$3+$AC$4*$F264/($N264*'Sem TS MC2020'!P256))*($AC$5*$G264+$AC$6*$B264/$N264)*'Sem TS MC2020'!R256*($J264-$M264)/($J264-$M264-$H264)</f>
        <v>0.35542588929908076</v>
      </c>
      <c r="AC264" s="5">
        <f t="shared" si="35"/>
        <v>1.421703557196323</v>
      </c>
      <c r="AD264" s="20">
        <f t="shared" si="36"/>
        <v>0.10542588929908076</v>
      </c>
      <c r="AE264" s="21">
        <f t="shared" si="37"/>
        <v>0.70338151363428714</v>
      </c>
      <c r="AF264" s="21">
        <f>AB264*(14.068*'Sem TS MC2020'!$P256^-0.457)/$Q264</f>
        <v>1.3054427867553444</v>
      </c>
      <c r="AG264" s="21"/>
      <c r="AO264" s="5">
        <f>$AP$2*($AP$3+$AP$4*$F264/($N264*'Sem TS MC2020'!P256))*($AP$5*$G264+$AP$6*$B264/$N264)*('Sem TS MC2020'!P256^$AP$7/200000)*($J264-$M264)/($J264-$M264-$H264)+('Sem TS MC2020'!P256-$C264/$AP$8)*($AP$5*$G264+$AP$6*$B264/$N264)/200000</f>
        <v>0.36433441984258969</v>
      </c>
      <c r="AP264" s="5">
        <f t="shared" si="38"/>
        <v>1.4573376793703587</v>
      </c>
      <c r="AQ264" s="20">
        <f t="shared" si="39"/>
        <v>0.11433441984258969</v>
      </c>
    </row>
    <row r="265" spans="1:43" x14ac:dyDescent="0.25">
      <c r="A265" s="1" t="s">
        <v>76</v>
      </c>
      <c r="B265" s="3">
        <v>15.9</v>
      </c>
      <c r="C265" s="4">
        <v>392</v>
      </c>
      <c r="D265" s="4">
        <v>2</v>
      </c>
      <c r="E265" s="3">
        <v>46</v>
      </c>
      <c r="F265" s="5">
        <v>2.8258773978663201</v>
      </c>
      <c r="G265" s="3">
        <v>30</v>
      </c>
      <c r="H265" s="3">
        <v>38</v>
      </c>
      <c r="I265" s="1">
        <v>150</v>
      </c>
      <c r="J265" s="3">
        <v>250</v>
      </c>
      <c r="K265" s="4">
        <v>397.2</v>
      </c>
      <c r="L265" s="5">
        <v>17625</v>
      </c>
      <c r="M265" s="4">
        <v>70.061381209483102</v>
      </c>
      <c r="N265" s="10">
        <v>2.2536170212766E-2</v>
      </c>
      <c r="O265" s="5">
        <v>27.3</v>
      </c>
      <c r="P265" s="4">
        <v>330.81302253363401</v>
      </c>
      <c r="Q265" s="5">
        <v>0.2</v>
      </c>
      <c r="R265" s="11">
        <f t="shared" si="30"/>
        <v>1.6540651126681701E-3</v>
      </c>
      <c r="V265" s="5">
        <f t="shared" si="31"/>
        <v>0.30841521563718521</v>
      </c>
      <c r="W265" s="5">
        <f t="shared" si="32"/>
        <v>1.542076078185926</v>
      </c>
      <c r="Y265" s="5">
        <f t="shared" si="33"/>
        <v>0.30539186858331746</v>
      </c>
      <c r="Z265" s="5">
        <f t="shared" si="34"/>
        <v>1.5269593429165873</v>
      </c>
      <c r="AB265" s="5">
        <f>$AC$2*($AC$3+$AC$4*$F265/($N265*'Sem TS MC2020'!P257))*($AC$5*$G265+$AC$6*$B265/$N265)*'Sem TS MC2020'!R257*($J265-$M265)/($J265-$M265-$H265)</f>
        <v>0.32476021896624446</v>
      </c>
      <c r="AC265" s="5">
        <f t="shared" si="35"/>
        <v>1.6238010948312223</v>
      </c>
      <c r="AD265" s="20">
        <f t="shared" si="36"/>
        <v>0.12476021896624445</v>
      </c>
      <c r="AE265" s="21">
        <f t="shared" si="37"/>
        <v>0.6158389738639386</v>
      </c>
      <c r="AF265" s="21">
        <f>AB265*(14.068*'Sem TS MC2020'!$P257^-0.457)/$Q265</f>
        <v>1.5422587862001285</v>
      </c>
      <c r="AG265" s="21"/>
      <c r="AO265" s="5">
        <f>$AP$2*($AP$3+$AP$4*$F265/($N265*'Sem TS MC2020'!P257))*($AP$5*$G265+$AP$6*$B265/$N265)*('Sem TS MC2020'!P257^$AP$7/200000)*($J265-$M265)/($J265-$M265-$H265)+('Sem TS MC2020'!P257-$C265/$AP$8)*($AP$5*$G265+$AP$6*$B265/$N265)/200000</f>
        <v>0.33629783315685552</v>
      </c>
      <c r="AP265" s="5">
        <f t="shared" si="38"/>
        <v>1.6814891657842774</v>
      </c>
      <c r="AQ265" s="20">
        <f t="shared" si="39"/>
        <v>0.13629783315685551</v>
      </c>
    </row>
    <row r="266" spans="1:43" x14ac:dyDescent="0.25">
      <c r="B266" s="3">
        <v>15.9</v>
      </c>
      <c r="C266" s="4">
        <v>392</v>
      </c>
      <c r="D266" s="4">
        <v>2</v>
      </c>
      <c r="E266" s="3">
        <v>46</v>
      </c>
      <c r="F266" s="5">
        <v>2.8258773978663201</v>
      </c>
      <c r="G266" s="3">
        <v>30</v>
      </c>
      <c r="H266" s="3">
        <v>38</v>
      </c>
      <c r="I266" s="1">
        <v>150</v>
      </c>
      <c r="J266" s="3">
        <v>250</v>
      </c>
      <c r="K266" s="4">
        <v>397.2</v>
      </c>
      <c r="L266" s="5">
        <v>17625</v>
      </c>
      <c r="M266" s="4">
        <v>70.061381209483102</v>
      </c>
      <c r="N266" s="10">
        <v>2.2536170212766E-2</v>
      </c>
      <c r="O266" s="5">
        <v>35.700000000000003</v>
      </c>
      <c r="P266" s="4">
        <v>367.24084443015602</v>
      </c>
      <c r="Q266" s="5">
        <v>0.3</v>
      </c>
      <c r="R266" s="11">
        <f t="shared" si="30"/>
        <v>1.8362042221507801E-3</v>
      </c>
      <c r="V266" s="5">
        <f t="shared" si="31"/>
        <v>0.32894863322612555</v>
      </c>
      <c r="W266" s="5">
        <f t="shared" si="32"/>
        <v>1.0964954440870853</v>
      </c>
      <c r="Y266" s="5">
        <f t="shared" si="33"/>
        <v>0.32609850810516816</v>
      </c>
      <c r="Z266" s="5">
        <f t="shared" si="34"/>
        <v>1.0869950270172273</v>
      </c>
      <c r="AB266" s="5">
        <f>$AC$2*($AC$3+$AC$4*$F266/($N266*'Sem TS MC2020'!P258))*($AC$5*$G266+$AC$6*$B266/$N266)*'Sem TS MC2020'!R258*($J266-$M266)/($J266-$M266-$H266)</f>
        <v>0.35542588929908076</v>
      </c>
      <c r="AC266" s="5">
        <f t="shared" si="35"/>
        <v>1.1847529643302692</v>
      </c>
      <c r="AD266" s="20">
        <f t="shared" si="36"/>
        <v>5.5425889299080766E-2</v>
      </c>
      <c r="AE266" s="21">
        <f t="shared" si="37"/>
        <v>0.84405781636114452</v>
      </c>
      <c r="AF266" s="21">
        <f>AB266*(14.068*'Sem TS MC2020'!$P258^-0.457)/$Q266</f>
        <v>1.0878689889627871</v>
      </c>
      <c r="AG266" s="21"/>
      <c r="AO266" s="5">
        <f>$AP$2*($AP$3+$AP$4*$F266/($N266*'Sem TS MC2020'!P258))*($AP$5*$G266+$AP$6*$B266/$N266)*('Sem TS MC2020'!P258^$AP$7/200000)*($J266-$M266)/($J266-$M266-$H266)+('Sem TS MC2020'!P258-$C266/$AP$8)*($AP$5*$G266+$AP$6*$B266/$N266)/200000</f>
        <v>0.36433441984258969</v>
      </c>
      <c r="AP266" s="5">
        <f t="shared" si="38"/>
        <v>1.2144480661419657</v>
      </c>
      <c r="AQ266" s="20">
        <f t="shared" si="39"/>
        <v>6.4334419842589696E-2</v>
      </c>
    </row>
    <row r="267" spans="1:43" x14ac:dyDescent="0.25">
      <c r="A267" s="1" t="s">
        <v>77</v>
      </c>
      <c r="B267" s="3">
        <v>12.7</v>
      </c>
      <c r="C267" s="4">
        <v>392</v>
      </c>
      <c r="D267" s="4">
        <v>2</v>
      </c>
      <c r="E267" s="3">
        <v>52</v>
      </c>
      <c r="F267" s="5">
        <v>2.9208758709847902</v>
      </c>
      <c r="G267" s="3">
        <v>30</v>
      </c>
      <c r="H267" s="3">
        <v>36.5</v>
      </c>
      <c r="I267" s="1">
        <v>150</v>
      </c>
      <c r="J267" s="3">
        <v>250</v>
      </c>
      <c r="K267" s="4">
        <v>253.4</v>
      </c>
      <c r="L267" s="5">
        <v>15000</v>
      </c>
      <c r="M267" s="4">
        <v>58.075942632487198</v>
      </c>
      <c r="N267" s="10">
        <v>1.6893333333333298E-2</v>
      </c>
      <c r="O267" s="5">
        <v>15.6</v>
      </c>
      <c r="P267" s="4">
        <v>253.37547675213401</v>
      </c>
      <c r="Q267" s="5">
        <v>0.15</v>
      </c>
      <c r="R267" s="11">
        <f t="shared" ref="R267:R330" si="40">P267/200000</f>
        <v>1.26687738376067E-3</v>
      </c>
      <c r="V267" s="5">
        <f t="shared" ref="V267:V330" si="41">$W$2*($W$3*$G267+$W$4*$B267^$W$5*$N267^$W$6)*$R267^$W$7</f>
        <v>0.25366753369805239</v>
      </c>
      <c r="W267" s="5">
        <f t="shared" ref="W267:W330" si="42">V267/$Q267</f>
        <v>1.6911168913203494</v>
      </c>
      <c r="Y267" s="5">
        <f t="shared" ref="Y267:Y330" si="43">$Z$2*$B267^$Z$3*$R267^$Z$4*($Z$5*$N267^$Z$6+$Z$7)</f>
        <v>0.25054566105320986</v>
      </c>
      <c r="Z267" s="5">
        <f t="shared" ref="Z267:Z330" si="44">Y267/$Q267</f>
        <v>1.670304407021399</v>
      </c>
      <c r="AB267" s="5">
        <f>$AC$2*($AC$3+$AC$4*$F267/($N267*'Sem TS MC2020'!P259))*($AC$5*$G267+$AC$6*$B267/$N267)*'Sem TS MC2020'!R259*($J267-$M267)/($J267-$M267-$H267)</f>
        <v>0.25026049182946475</v>
      </c>
      <c r="AC267" s="5">
        <f t="shared" ref="AC267:AC330" si="45">AB267/$Q267</f>
        <v>1.6684032788630985</v>
      </c>
      <c r="AD267" s="20">
        <f t="shared" ref="AD267:AD330" si="46">AB267-$Q267</f>
        <v>0.10026049182946475</v>
      </c>
      <c r="AE267" s="21">
        <f t="shared" ref="AE267:AE330" si="47">1/AC267</f>
        <v>0.59937547034877015</v>
      </c>
      <c r="AF267" s="21">
        <f>AB267*(14.068*'Sem TS MC2020'!$P259^-0.457)/$Q267</f>
        <v>1.6884376316730942</v>
      </c>
      <c r="AG267" s="21"/>
      <c r="AO267" s="5">
        <f>$AP$2*($AP$3+$AP$4*$F267/($N267*'Sem TS MC2020'!P259))*($AP$5*$G267+$AP$6*$B267/$N267)*('Sem TS MC2020'!P259^$AP$7/200000)*($J267-$M267)/($J267-$M267-$H267)+('Sem TS MC2020'!P259-$C267/$AP$8)*($AP$5*$G267+$AP$6*$B267/$N267)/200000</f>
        <v>0.26500592172208481</v>
      </c>
      <c r="AP267" s="5">
        <f t="shared" ref="AP267:AP330" si="48">AO267/$Q267</f>
        <v>1.7667061448138988</v>
      </c>
      <c r="AQ267" s="20">
        <f t="shared" ref="AQ267:AQ330" si="49">AO267-$Q267</f>
        <v>0.11500592172208482</v>
      </c>
    </row>
    <row r="268" spans="1:43" x14ac:dyDescent="0.25">
      <c r="B268" s="3">
        <v>12.7</v>
      </c>
      <c r="C268" s="4">
        <v>392</v>
      </c>
      <c r="D268" s="4">
        <v>2</v>
      </c>
      <c r="E268" s="3">
        <v>52</v>
      </c>
      <c r="F268" s="5">
        <v>2.9208758709847902</v>
      </c>
      <c r="G268" s="3">
        <v>30</v>
      </c>
      <c r="H268" s="3">
        <v>36.5</v>
      </c>
      <c r="I268" s="1">
        <v>150</v>
      </c>
      <c r="J268" s="3">
        <v>250</v>
      </c>
      <c r="K268" s="4">
        <v>253.4</v>
      </c>
      <c r="L268" s="5">
        <v>15000</v>
      </c>
      <c r="M268" s="4">
        <v>58.075942632487198</v>
      </c>
      <c r="N268" s="10">
        <v>1.6893333333333298E-2</v>
      </c>
      <c r="O268" s="5">
        <v>19.600000000000001</v>
      </c>
      <c r="P268" s="4">
        <v>358.910938394982</v>
      </c>
      <c r="Q268" s="5">
        <v>0.2</v>
      </c>
      <c r="R268" s="11">
        <f t="shared" si="40"/>
        <v>1.79455469197491E-3</v>
      </c>
      <c r="V268" s="5">
        <f t="shared" si="41"/>
        <v>0.31446254992631401</v>
      </c>
      <c r="W268" s="5">
        <f t="shared" si="42"/>
        <v>1.5723127496315699</v>
      </c>
      <c r="Y268" s="5">
        <f t="shared" si="43"/>
        <v>0.31178439491062343</v>
      </c>
      <c r="Z268" s="5">
        <f t="shared" si="44"/>
        <v>1.5589219745531171</v>
      </c>
      <c r="AB268" s="5">
        <f>$AC$2*($AC$3+$AC$4*$F268/($N268*'Sem TS MC2020'!P260))*($AC$5*$G268+$AC$6*$B268/$N268)*'Sem TS MC2020'!R260*($J268-$M268)/($J268-$M268-$H268)</f>
        <v>0.33463611384387187</v>
      </c>
      <c r="AC268" s="5">
        <f t="shared" si="45"/>
        <v>1.6731805692193593</v>
      </c>
      <c r="AD268" s="20">
        <f t="shared" si="46"/>
        <v>0.13463611384387186</v>
      </c>
      <c r="AE268" s="21">
        <f t="shared" si="47"/>
        <v>0.59766412448033679</v>
      </c>
      <c r="AF268" s="21">
        <f>AB268*(14.068*'Sem TS MC2020'!$P260^-0.457)/$Q268</f>
        <v>1.5363550959484531</v>
      </c>
      <c r="AG268" s="21"/>
      <c r="AO268" s="5">
        <f>$AP$2*($AP$3+$AP$4*$F268/($N268*'Sem TS MC2020'!P260))*($AP$5*$G268+$AP$6*$B268/$N268)*('Sem TS MC2020'!P260^$AP$7/200000)*($J268-$M268)/($J268-$M268-$H268)+('Sem TS MC2020'!P260-$C268/$AP$8)*($AP$5*$G268+$AP$6*$B268/$N268)/200000</f>
        <v>0.34468909988261148</v>
      </c>
      <c r="AP268" s="5">
        <f t="shared" si="48"/>
        <v>1.7234454994130572</v>
      </c>
      <c r="AQ268" s="20">
        <f t="shared" si="49"/>
        <v>0.14468909988261147</v>
      </c>
    </row>
    <row r="269" spans="1:43" x14ac:dyDescent="0.25">
      <c r="A269" s="1" t="s">
        <v>78</v>
      </c>
      <c r="B269" s="3">
        <v>12.7</v>
      </c>
      <c r="C269" s="4">
        <v>392</v>
      </c>
      <c r="D269" s="4">
        <v>2</v>
      </c>
      <c r="E269" s="3">
        <v>52</v>
      </c>
      <c r="F269" s="5">
        <v>2.9208758709847902</v>
      </c>
      <c r="G269" s="3">
        <v>30</v>
      </c>
      <c r="H269" s="3">
        <v>36.5</v>
      </c>
      <c r="I269" s="1">
        <v>150</v>
      </c>
      <c r="J269" s="3">
        <v>250</v>
      </c>
      <c r="K269" s="4">
        <v>253.4</v>
      </c>
      <c r="L269" s="5">
        <v>15000</v>
      </c>
      <c r="M269" s="4">
        <v>58.075942632487198</v>
      </c>
      <c r="N269" s="10">
        <v>1.6893333333333298E-2</v>
      </c>
      <c r="O269" s="5">
        <v>15.7</v>
      </c>
      <c r="P269" s="4">
        <v>256.22827785507098</v>
      </c>
      <c r="Q269" s="5">
        <v>0.15</v>
      </c>
      <c r="R269" s="11">
        <f t="shared" si="40"/>
        <v>1.281141389275355E-3</v>
      </c>
      <c r="V269" s="5">
        <f t="shared" si="41"/>
        <v>0.25542596090969411</v>
      </c>
      <c r="W269" s="5">
        <f t="shared" si="42"/>
        <v>1.7028397393979608</v>
      </c>
      <c r="Y269" s="5">
        <f t="shared" si="43"/>
        <v>0.25231352015900288</v>
      </c>
      <c r="Z269" s="5">
        <f t="shared" si="44"/>
        <v>1.6820901343933525</v>
      </c>
      <c r="AB269" s="5">
        <f>$AC$2*($AC$3+$AC$4*$F269/($N269*'Sem TS MC2020'!P261))*($AC$5*$G269+$AC$6*$B269/$N269)*'Sem TS MC2020'!R261*($J269-$M269)/($J269-$M269-$H269)</f>
        <v>0.2525413068635462</v>
      </c>
      <c r="AC269" s="5">
        <f t="shared" si="45"/>
        <v>1.6836087124236414</v>
      </c>
      <c r="AD269" s="20">
        <f t="shared" si="46"/>
        <v>0.10254130686354621</v>
      </c>
      <c r="AE269" s="21">
        <f t="shared" si="47"/>
        <v>0.59396223874397069</v>
      </c>
      <c r="AF269" s="21">
        <f>AB269*(14.068*'Sem TS MC2020'!$P261^-0.457)/$Q269</f>
        <v>1.6988575053854236</v>
      </c>
      <c r="AG269" s="21"/>
      <c r="AO269" s="5">
        <f>$AP$2*($AP$3+$AP$4*$F269/($N269*'Sem TS MC2020'!P261))*($AP$5*$G269+$AP$6*$B269/$N269)*('Sem TS MC2020'!P261^$AP$7/200000)*($J269-$M269)/($J269-$M269-$H269)+('Sem TS MC2020'!P261-$C269/$AP$8)*($AP$5*$G269+$AP$6*$B269/$N269)/200000</f>
        <v>0.26721137965156649</v>
      </c>
      <c r="AP269" s="5">
        <f t="shared" si="48"/>
        <v>1.78140919767711</v>
      </c>
      <c r="AQ269" s="20">
        <f t="shared" si="49"/>
        <v>0.1172113796515665</v>
      </c>
    </row>
    <row r="270" spans="1:43" x14ac:dyDescent="0.25">
      <c r="B270" s="3">
        <v>12.7</v>
      </c>
      <c r="C270" s="4">
        <v>392</v>
      </c>
      <c r="D270" s="4">
        <v>2</v>
      </c>
      <c r="E270" s="3">
        <v>52</v>
      </c>
      <c r="F270" s="5">
        <v>2.9208758709847902</v>
      </c>
      <c r="G270" s="3">
        <v>30</v>
      </c>
      <c r="H270" s="3">
        <v>36.5</v>
      </c>
      <c r="I270" s="1">
        <v>150</v>
      </c>
      <c r="J270" s="3">
        <v>250</v>
      </c>
      <c r="K270" s="4">
        <v>253.4</v>
      </c>
      <c r="L270" s="5">
        <v>15000</v>
      </c>
      <c r="M270" s="4">
        <v>58.075942632487198</v>
      </c>
      <c r="N270" s="10">
        <v>1.6893333333333298E-2</v>
      </c>
      <c r="O270" s="5">
        <v>19.600000000000001</v>
      </c>
      <c r="P270" s="4">
        <v>358.910938394982</v>
      </c>
      <c r="Q270" s="5">
        <v>0.2</v>
      </c>
      <c r="R270" s="11">
        <f t="shared" si="40"/>
        <v>1.79455469197491E-3</v>
      </c>
      <c r="V270" s="5">
        <f t="shared" si="41"/>
        <v>0.31446254992631401</v>
      </c>
      <c r="W270" s="5">
        <f t="shared" si="42"/>
        <v>1.5723127496315699</v>
      </c>
      <c r="Y270" s="5">
        <f t="shared" si="43"/>
        <v>0.31178439491062343</v>
      </c>
      <c r="Z270" s="5">
        <f t="shared" si="44"/>
        <v>1.5589219745531171</v>
      </c>
      <c r="AB270" s="5">
        <f>$AC$2*($AC$3+$AC$4*$F270/($N270*'Sem TS MC2020'!P262))*($AC$5*$G270+$AC$6*$B270/$N270)*'Sem TS MC2020'!R262*($J270-$M270)/($J270-$M270-$H270)</f>
        <v>0.33463611384387187</v>
      </c>
      <c r="AC270" s="5">
        <f t="shared" si="45"/>
        <v>1.6731805692193593</v>
      </c>
      <c r="AD270" s="20">
        <f t="shared" si="46"/>
        <v>0.13463611384387186</v>
      </c>
      <c r="AE270" s="21">
        <f t="shared" si="47"/>
        <v>0.59766412448033679</v>
      </c>
      <c r="AF270" s="21">
        <f>AB270*(14.068*'Sem TS MC2020'!$P262^-0.457)/$Q270</f>
        <v>1.5363550959484531</v>
      </c>
      <c r="AG270" s="21"/>
      <c r="AO270" s="5">
        <f>$AP$2*($AP$3+$AP$4*$F270/($N270*'Sem TS MC2020'!P262))*($AP$5*$G270+$AP$6*$B270/$N270)*('Sem TS MC2020'!P262^$AP$7/200000)*($J270-$M270)/($J270-$M270-$H270)+('Sem TS MC2020'!P262-$C270/$AP$8)*($AP$5*$G270+$AP$6*$B270/$N270)/200000</f>
        <v>0.34468909988261148</v>
      </c>
      <c r="AP270" s="5">
        <f t="shared" si="48"/>
        <v>1.7234454994130572</v>
      </c>
      <c r="AQ270" s="20">
        <f t="shared" si="49"/>
        <v>0.14468909988261147</v>
      </c>
    </row>
    <row r="271" spans="1:43" x14ac:dyDescent="0.25">
      <c r="A271" s="1" t="s">
        <v>79</v>
      </c>
      <c r="B271" s="3">
        <v>15.9</v>
      </c>
      <c r="C271" s="4">
        <v>392</v>
      </c>
      <c r="D271" s="4">
        <v>2</v>
      </c>
      <c r="E271" s="3">
        <v>46</v>
      </c>
      <c r="F271" s="5">
        <v>2.9208758709847902</v>
      </c>
      <c r="G271" s="3">
        <v>30</v>
      </c>
      <c r="H271" s="3">
        <v>38</v>
      </c>
      <c r="I271" s="1">
        <v>150</v>
      </c>
      <c r="J271" s="3">
        <v>250</v>
      </c>
      <c r="K271" s="4">
        <v>397.2</v>
      </c>
      <c r="L271" s="5">
        <v>17625</v>
      </c>
      <c r="M271" s="4">
        <v>69.597967277749504</v>
      </c>
      <c r="N271" s="10">
        <v>2.2536170212766E-2</v>
      </c>
      <c r="O271" s="5">
        <v>19.5</v>
      </c>
      <c r="P271" s="4">
        <v>192.871553468033</v>
      </c>
      <c r="Q271" s="5">
        <v>0.15</v>
      </c>
      <c r="R271" s="11">
        <f t="shared" si="40"/>
        <v>9.6435776734016504E-4</v>
      </c>
      <c r="V271" s="5">
        <f t="shared" si="41"/>
        <v>0.2210873017348218</v>
      </c>
      <c r="W271" s="5">
        <f t="shared" si="42"/>
        <v>1.473915344898812</v>
      </c>
      <c r="Y271" s="5">
        <f t="shared" si="43"/>
        <v>0.217624614212579</v>
      </c>
      <c r="Z271" s="5">
        <f t="shared" si="44"/>
        <v>1.4508307614171934</v>
      </c>
      <c r="AB271" s="5">
        <f>$AC$2*($AC$3+$AC$4*$F271/($N271*'Sem TS MC2020'!P263))*($AC$5*$G271+$AC$6*$B271/$N271)*'Sem TS MC2020'!R263*($J271-$M271)/($J271-$M271-$H271)</f>
        <v>0.20770377337314611</v>
      </c>
      <c r="AC271" s="5">
        <f t="shared" si="45"/>
        <v>1.3846918224876408</v>
      </c>
      <c r="AD271" s="20">
        <f t="shared" si="46"/>
        <v>5.7703773373146111E-2</v>
      </c>
      <c r="AE271" s="21">
        <f t="shared" si="47"/>
        <v>0.72218235405150999</v>
      </c>
      <c r="AF271" s="21">
        <f>AB271*(14.068*'Sem TS MC2020'!$P263^-0.457)/$Q271</f>
        <v>1.5343361377572258</v>
      </c>
      <c r="AG271" s="21"/>
      <c r="AO271" s="5">
        <f>$AP$2*($AP$3+$AP$4*$F271/($N271*'Sem TS MC2020'!P263))*($AP$5*$G271+$AP$6*$B271/$N271)*('Sem TS MC2020'!P263^$AP$7/200000)*($J271-$M271)/($J271-$M271-$H271)+('Sem TS MC2020'!P263-$C271/$AP$8)*($AP$5*$G271+$AP$6*$B271/$N271)/200000</f>
        <v>0.22442384846679522</v>
      </c>
      <c r="AP271" s="5">
        <f t="shared" si="48"/>
        <v>1.4961589897786349</v>
      </c>
      <c r="AQ271" s="20">
        <f t="shared" si="49"/>
        <v>7.4423848466795228E-2</v>
      </c>
    </row>
    <row r="272" spans="1:43" x14ac:dyDescent="0.25">
      <c r="B272" s="3">
        <v>15.9</v>
      </c>
      <c r="C272" s="4">
        <v>392</v>
      </c>
      <c r="D272" s="4">
        <v>2</v>
      </c>
      <c r="E272" s="3">
        <v>46</v>
      </c>
      <c r="F272" s="5">
        <v>2.9208758709847902</v>
      </c>
      <c r="G272" s="3">
        <v>30</v>
      </c>
      <c r="H272" s="3">
        <v>38</v>
      </c>
      <c r="I272" s="1">
        <v>150</v>
      </c>
      <c r="J272" s="3">
        <v>250</v>
      </c>
      <c r="K272" s="4">
        <v>397.2</v>
      </c>
      <c r="L272" s="5">
        <v>17625</v>
      </c>
      <c r="M272" s="4">
        <v>69.597967277749504</v>
      </c>
      <c r="N272" s="10">
        <v>2.2536170212766E-2</v>
      </c>
      <c r="O272" s="5">
        <v>27.4</v>
      </c>
      <c r="P272" s="4">
        <v>331.11762492551497</v>
      </c>
      <c r="Q272" s="5">
        <v>0.25</v>
      </c>
      <c r="R272" s="11">
        <f t="shared" si="40"/>
        <v>1.6555881246275749E-3</v>
      </c>
      <c r="V272" s="5">
        <f t="shared" si="41"/>
        <v>0.30859039991194487</v>
      </c>
      <c r="W272" s="5">
        <f t="shared" si="42"/>
        <v>1.2343615996477795</v>
      </c>
      <c r="Y272" s="5">
        <f t="shared" si="43"/>
        <v>0.3055684290513227</v>
      </c>
      <c r="Z272" s="5">
        <f t="shared" si="44"/>
        <v>1.2222737162052908</v>
      </c>
      <c r="AB272" s="5">
        <f>$AC$2*($AC$3+$AC$4*$F272/($N272*'Sem TS MC2020'!P264))*($AC$5*$G272+$AC$6*$B272/$N272)*'Sem TS MC2020'!R264*($J272-$M272)/($J272-$M272-$H272)</f>
        <v>0.32315835944709592</v>
      </c>
      <c r="AC272" s="5">
        <f t="shared" si="45"/>
        <v>1.2926334377883837</v>
      </c>
      <c r="AD272" s="20">
        <f t="shared" si="46"/>
        <v>7.3158359447095922E-2</v>
      </c>
      <c r="AE272" s="21">
        <f t="shared" si="47"/>
        <v>0.77361452269944253</v>
      </c>
      <c r="AF272" s="21">
        <f>AB272*(14.068*'Sem TS MC2020'!$P264^-0.457)/$Q272</f>
        <v>1.2261301813533398</v>
      </c>
      <c r="AG272" s="21"/>
      <c r="AO272" s="5">
        <f>$AP$2*($AP$3+$AP$4*$F272/($N272*'Sem TS MC2020'!P264))*($AP$5*$G272+$AP$6*$B272/$N272)*('Sem TS MC2020'!P264^$AP$7/200000)*($J272-$M272)/($J272-$M272-$H272)+('Sem TS MC2020'!P264-$C272/$AP$8)*($AP$5*$G272+$AP$6*$B272/$N272)/200000</f>
        <v>0.33455049831774131</v>
      </c>
      <c r="AP272" s="5">
        <f t="shared" si="48"/>
        <v>1.3382019932709652</v>
      </c>
      <c r="AQ272" s="20">
        <f t="shared" si="49"/>
        <v>8.4550498317741307E-2</v>
      </c>
    </row>
    <row r="273" spans="1:43" x14ac:dyDescent="0.25">
      <c r="B273" s="3">
        <v>15.9</v>
      </c>
      <c r="C273" s="4">
        <v>392</v>
      </c>
      <c r="D273" s="4">
        <v>2</v>
      </c>
      <c r="E273" s="3">
        <v>46</v>
      </c>
      <c r="F273" s="5">
        <v>2.9208758709847902</v>
      </c>
      <c r="G273" s="3">
        <v>30</v>
      </c>
      <c r="H273" s="3">
        <v>38</v>
      </c>
      <c r="I273" s="1">
        <v>150</v>
      </c>
      <c r="J273" s="3">
        <v>250</v>
      </c>
      <c r="K273" s="4">
        <v>397.2</v>
      </c>
      <c r="L273" s="5">
        <v>17625</v>
      </c>
      <c r="M273" s="4">
        <v>69.597967277749504</v>
      </c>
      <c r="N273" s="10">
        <v>2.2536170212766E-2</v>
      </c>
      <c r="O273" s="5">
        <v>31.3</v>
      </c>
      <c r="P273" s="4">
        <v>366.45290270331498</v>
      </c>
      <c r="Q273" s="5">
        <v>0.3</v>
      </c>
      <c r="R273" s="11">
        <f t="shared" si="40"/>
        <v>1.8322645135165749E-3</v>
      </c>
      <c r="V273" s="5">
        <f t="shared" si="41"/>
        <v>0.32851298599859802</v>
      </c>
      <c r="W273" s="5">
        <f t="shared" si="42"/>
        <v>1.0950432866619935</v>
      </c>
      <c r="Y273" s="5">
        <f t="shared" si="43"/>
        <v>0.32565894115601302</v>
      </c>
      <c r="Z273" s="5">
        <f t="shared" si="44"/>
        <v>1.0855298038533767</v>
      </c>
      <c r="AB273" s="5">
        <f>$AC$2*($AC$3+$AC$4*$F273/($N273*'Sem TS MC2020'!P265))*($AC$5*$G273+$AC$6*$B273/$N273)*'Sem TS MC2020'!R265*($J273-$M273)/($J273-$M273-$H273)</f>
        <v>0.3526682024873643</v>
      </c>
      <c r="AC273" s="5">
        <f t="shared" si="45"/>
        <v>1.1755606749578811</v>
      </c>
      <c r="AD273" s="20">
        <f t="shared" si="46"/>
        <v>5.2668202487364313E-2</v>
      </c>
      <c r="AE273" s="21">
        <f t="shared" si="47"/>
        <v>0.85065792119647832</v>
      </c>
      <c r="AF273" s="21">
        <f>AB273*(14.068*'Sem TS MC2020'!$P265^-0.457)/$Q273</f>
        <v>1.0794284052741476</v>
      </c>
      <c r="AG273" s="21"/>
      <c r="AO273" s="5">
        <f>$AP$2*($AP$3+$AP$4*$F273/($N273*'Sem TS MC2020'!P265))*($AP$5*$G273+$AP$6*$B273/$N273)*('Sem TS MC2020'!P265^$AP$7/200000)*($J273-$M273)/($J273-$M273-$H273)+('Sem TS MC2020'!P265-$C273/$AP$8)*($AP$5*$G273+$AP$6*$B273/$N273)/200000</f>
        <v>0.36155668436918709</v>
      </c>
      <c r="AP273" s="5">
        <f t="shared" si="48"/>
        <v>1.2051889478972904</v>
      </c>
      <c r="AQ273" s="20">
        <f t="shared" si="49"/>
        <v>6.1556684369187098E-2</v>
      </c>
    </row>
    <row r="274" spans="1:43" x14ac:dyDescent="0.25">
      <c r="A274" s="1" t="s">
        <v>80</v>
      </c>
      <c r="B274" s="3">
        <v>15.9</v>
      </c>
      <c r="C274" s="4">
        <v>392</v>
      </c>
      <c r="D274" s="4">
        <v>2</v>
      </c>
      <c r="E274" s="3">
        <v>46</v>
      </c>
      <c r="F274" s="5">
        <v>2.9208758709847902</v>
      </c>
      <c r="G274" s="3">
        <v>30</v>
      </c>
      <c r="H274" s="3">
        <v>38</v>
      </c>
      <c r="I274" s="1">
        <v>150</v>
      </c>
      <c r="J274" s="3">
        <v>250</v>
      </c>
      <c r="K274" s="4">
        <v>397.2</v>
      </c>
      <c r="L274" s="5">
        <v>17625</v>
      </c>
      <c r="M274" s="4">
        <v>69.597967277749504</v>
      </c>
      <c r="N274" s="10">
        <v>2.2536170212766E-2</v>
      </c>
      <c r="O274" s="5">
        <v>19.600000000000001</v>
      </c>
      <c r="P274" s="4">
        <v>194.62150373964701</v>
      </c>
      <c r="Q274" s="5">
        <v>0.15</v>
      </c>
      <c r="R274" s="11">
        <f t="shared" si="40"/>
        <v>9.7310751869823504E-4</v>
      </c>
      <c r="V274" s="5">
        <f t="shared" si="41"/>
        <v>0.22232283485447335</v>
      </c>
      <c r="W274" s="5">
        <f t="shared" si="42"/>
        <v>1.4821522323631557</v>
      </c>
      <c r="Y274" s="5">
        <f t="shared" si="43"/>
        <v>0.21886254020249185</v>
      </c>
      <c r="Z274" s="5">
        <f t="shared" si="44"/>
        <v>1.4590836013499457</v>
      </c>
      <c r="AB274" s="5">
        <f>$AC$2*($AC$3+$AC$4*$F274/($N274*'Sem TS MC2020'!P266))*($AC$5*$G274+$AC$6*$B274/$N274)*'Sem TS MC2020'!R266*($J274-$M274)/($J274-$M274-$H274)</f>
        <v>0.20916522382977917</v>
      </c>
      <c r="AC274" s="5">
        <f t="shared" si="45"/>
        <v>1.3944348255318613</v>
      </c>
      <c r="AD274" s="20">
        <f t="shared" si="46"/>
        <v>5.9165223829779179E-2</v>
      </c>
      <c r="AE274" s="21">
        <f t="shared" si="47"/>
        <v>0.71713642092851693</v>
      </c>
      <c r="AF274" s="21">
        <f>AB274*(14.068*'Sem TS MC2020'!$P266^-0.457)/$Q274</f>
        <v>1.5415243878768725</v>
      </c>
      <c r="AG274" s="21"/>
      <c r="AO274" s="5">
        <f>$AP$2*($AP$3+$AP$4*$F274/($N274*'Sem TS MC2020'!P266))*($AP$5*$G274+$AP$6*$B274/$N274)*('Sem TS MC2020'!P266^$AP$7/200000)*($J274-$M274)/($J274-$M274-$H274)+('Sem TS MC2020'!P266-$C274/$AP$8)*($AP$5*$G274+$AP$6*$B274/$N274)/200000</f>
        <v>0.22587190994216699</v>
      </c>
      <c r="AP274" s="5">
        <f t="shared" si="48"/>
        <v>1.50581273294778</v>
      </c>
      <c r="AQ274" s="20">
        <f t="shared" si="49"/>
        <v>7.5871909942166998E-2</v>
      </c>
    </row>
    <row r="275" spans="1:43" x14ac:dyDescent="0.25">
      <c r="B275" s="3">
        <v>15.9</v>
      </c>
      <c r="C275" s="4">
        <v>392</v>
      </c>
      <c r="D275" s="4">
        <v>2</v>
      </c>
      <c r="E275" s="3">
        <v>46</v>
      </c>
      <c r="F275" s="5">
        <v>2.9208758709847902</v>
      </c>
      <c r="G275" s="3">
        <v>30</v>
      </c>
      <c r="H275" s="3">
        <v>38</v>
      </c>
      <c r="I275" s="1">
        <v>150</v>
      </c>
      <c r="J275" s="3">
        <v>250</v>
      </c>
      <c r="K275" s="4">
        <v>397.2</v>
      </c>
      <c r="L275" s="5">
        <v>17625</v>
      </c>
      <c r="M275" s="4">
        <v>69.597967277749504</v>
      </c>
      <c r="N275" s="10">
        <v>2.2536170212766E-2</v>
      </c>
      <c r="O275" s="5">
        <v>27.5</v>
      </c>
      <c r="P275" s="4">
        <v>332.86757519712899</v>
      </c>
      <c r="Q275" s="5">
        <v>0.25</v>
      </c>
      <c r="R275" s="11">
        <f t="shared" si="40"/>
        <v>1.664337875985645E-3</v>
      </c>
      <c r="V275" s="5">
        <f t="shared" si="41"/>
        <v>0.30959564577036719</v>
      </c>
      <c r="W275" s="5">
        <f t="shared" si="42"/>
        <v>1.2383825830814688</v>
      </c>
      <c r="Y275" s="5">
        <f t="shared" si="43"/>
        <v>0.30658160632541265</v>
      </c>
      <c r="Z275" s="5">
        <f t="shared" si="44"/>
        <v>1.2263264253016506</v>
      </c>
      <c r="AB275" s="5">
        <f>$AC$2*($AC$3+$AC$4*$F275/($N275*'Sem TS MC2020'!P267))*($AC$5*$G275+$AC$6*$B275/$N275)*'Sem TS MC2020'!R267*($J275-$M275)/($J275-$M275-$H275)</f>
        <v>0.32461980990372796</v>
      </c>
      <c r="AC275" s="5">
        <f t="shared" si="45"/>
        <v>1.2984792396149119</v>
      </c>
      <c r="AD275" s="20">
        <f t="shared" si="46"/>
        <v>7.4619809903727963E-2</v>
      </c>
      <c r="AE275" s="21">
        <f t="shared" si="47"/>
        <v>0.77013168134791943</v>
      </c>
      <c r="AF275" s="21">
        <f>AB275*(14.068*'Sem TS MC2020'!$P267^-0.457)/$Q275</f>
        <v>1.2296263841920774</v>
      </c>
      <c r="AG275" s="21"/>
      <c r="AO275" s="5">
        <f>$AP$2*($AP$3+$AP$4*$F275/($N275*'Sem TS MC2020'!P267))*($AP$5*$G275+$AP$6*$B275/$N275)*('Sem TS MC2020'!P267^$AP$7/200000)*($J275-$M275)/($J275-$M275-$H275)+('Sem TS MC2020'!P267-$C275/$AP$8)*($AP$5*$G275+$AP$6*$B275/$N275)/200000</f>
        <v>0.33589734504975322</v>
      </c>
      <c r="AP275" s="5">
        <f t="shared" si="48"/>
        <v>1.3435893801990129</v>
      </c>
      <c r="AQ275" s="20">
        <f t="shared" si="49"/>
        <v>8.5897345049753215E-2</v>
      </c>
    </row>
    <row r="276" spans="1:43" x14ac:dyDescent="0.25">
      <c r="A276" s="1" t="s">
        <v>81</v>
      </c>
      <c r="B276" s="3">
        <v>19.100000000000001</v>
      </c>
      <c r="C276" s="4">
        <v>392</v>
      </c>
      <c r="D276" s="4">
        <v>2</v>
      </c>
      <c r="E276" s="3">
        <v>40</v>
      </c>
      <c r="F276" s="5">
        <v>2.9208758709847902</v>
      </c>
      <c r="G276" s="3">
        <v>30</v>
      </c>
      <c r="H276" s="3">
        <v>39.5</v>
      </c>
      <c r="I276" s="1">
        <v>150</v>
      </c>
      <c r="J276" s="3">
        <v>250</v>
      </c>
      <c r="K276" s="4">
        <v>573</v>
      </c>
      <c r="L276" s="5">
        <v>20250</v>
      </c>
      <c r="M276" s="4">
        <v>80.017825486464005</v>
      </c>
      <c r="N276" s="10">
        <v>2.8296296296296299E-2</v>
      </c>
      <c r="O276" s="5">
        <v>19.7</v>
      </c>
      <c r="P276" s="4">
        <v>113.834697759034</v>
      </c>
      <c r="Q276" s="5">
        <v>0.15</v>
      </c>
      <c r="R276" s="11">
        <f t="shared" si="40"/>
        <v>5.6917348879517E-4</v>
      </c>
      <c r="V276" s="5">
        <f t="shared" si="41"/>
        <v>0.16428195011452754</v>
      </c>
      <c r="W276" s="5">
        <f t="shared" si="42"/>
        <v>1.095213000763517</v>
      </c>
      <c r="Y276" s="5">
        <f t="shared" si="43"/>
        <v>0.16156577752679574</v>
      </c>
      <c r="Z276" s="5">
        <f t="shared" si="44"/>
        <v>1.0771051835119716</v>
      </c>
      <c r="AB276" s="5">
        <f>$AC$2*($AC$3+$AC$4*$F276/($N276*'Sem TS MC2020'!P268))*($AC$5*$G276+$AC$6*$B276/$N276)*'Sem TS MC2020'!R268*($J276-$M276)/($J276-$M276-$H276)</f>
        <v>0.14258480068598373</v>
      </c>
      <c r="AC276" s="5">
        <f t="shared" si="45"/>
        <v>0.95056533790655817</v>
      </c>
      <c r="AD276" s="20">
        <f t="shared" si="46"/>
        <v>-7.4151993140162686E-3</v>
      </c>
      <c r="AE276" s="21">
        <f t="shared" si="47"/>
        <v>1.0520055383066169</v>
      </c>
      <c r="AF276" s="21">
        <f>AB276*(14.068*'Sem TS MC2020'!$P268^-0.457)/$Q276</f>
        <v>1.2244904518917721</v>
      </c>
      <c r="AG276" s="21"/>
      <c r="AO276" s="5">
        <f>$AP$2*($AP$3+$AP$4*$F276/($N276*'Sem TS MC2020'!P268))*($AP$5*$G276+$AP$6*$B276/$N276)*('Sem TS MC2020'!P268^$AP$7/200000)*($J276-$M276)/($J276-$M276-$H276)+('Sem TS MC2020'!P268-$C276/$AP$8)*($AP$5*$G276+$AP$6*$B276/$N276)/200000</f>
        <v>0.15915605804521438</v>
      </c>
      <c r="AP276" s="5">
        <f t="shared" si="48"/>
        <v>1.061040386968096</v>
      </c>
      <c r="AQ276" s="20">
        <f t="shared" si="49"/>
        <v>9.1560580452143825E-3</v>
      </c>
    </row>
    <row r="277" spans="1:43" x14ac:dyDescent="0.25">
      <c r="B277" s="3">
        <v>19.100000000000001</v>
      </c>
      <c r="C277" s="4">
        <v>392</v>
      </c>
      <c r="D277" s="4">
        <v>2</v>
      </c>
      <c r="E277" s="3">
        <v>40</v>
      </c>
      <c r="F277" s="5">
        <v>2.9208758709847902</v>
      </c>
      <c r="G277" s="3">
        <v>30</v>
      </c>
      <c r="H277" s="3">
        <v>39.5</v>
      </c>
      <c r="I277" s="1">
        <v>150</v>
      </c>
      <c r="J277" s="3">
        <v>250</v>
      </c>
      <c r="K277" s="4">
        <v>573</v>
      </c>
      <c r="L277" s="5">
        <v>20250</v>
      </c>
      <c r="M277" s="4">
        <v>80.017825486464005</v>
      </c>
      <c r="N277" s="10">
        <v>2.8296296296296299E-2</v>
      </c>
      <c r="O277" s="5">
        <v>27.5</v>
      </c>
      <c r="P277" s="4">
        <v>206.130330837803</v>
      </c>
      <c r="Q277" s="5">
        <v>0.2</v>
      </c>
      <c r="R277" s="11">
        <f t="shared" si="40"/>
        <v>1.0306516541890151E-3</v>
      </c>
      <c r="V277" s="5">
        <f t="shared" si="41"/>
        <v>0.23697031046265563</v>
      </c>
      <c r="W277" s="5">
        <f t="shared" si="42"/>
        <v>1.1848515523132781</v>
      </c>
      <c r="Y277" s="5">
        <f t="shared" si="43"/>
        <v>0.23457947103456753</v>
      </c>
      <c r="Z277" s="5">
        <f t="shared" si="44"/>
        <v>1.1728973551728377</v>
      </c>
      <c r="AB277" s="5">
        <f>$AC$2*($AC$3+$AC$4*$F277/($N277*'Sem TS MC2020'!P269))*($AC$5*$G277+$AC$6*$B277/$N277)*'Sem TS MC2020'!R269*($J277-$M277)/($J277-$M277-$H277)</f>
        <v>0.22326594474146436</v>
      </c>
      <c r="AC277" s="5">
        <f t="shared" si="45"/>
        <v>1.1163297237073218</v>
      </c>
      <c r="AD277" s="20">
        <f t="shared" si="46"/>
        <v>2.3265944741464345E-2</v>
      </c>
      <c r="AE277" s="21">
        <f t="shared" si="47"/>
        <v>0.89579268451171246</v>
      </c>
      <c r="AF277" s="21">
        <f>AB277*(14.068*'Sem TS MC2020'!$P269^-0.457)/$Q277</f>
        <v>1.2347014040464581</v>
      </c>
      <c r="AG277" s="21"/>
      <c r="AO277" s="5">
        <f>$AP$2*($AP$3+$AP$4*$F277/($N277*'Sem TS MC2020'!P269))*($AP$5*$G277+$AP$6*$B277/$N277)*('Sem TS MC2020'!P269^$AP$7/200000)*($J277-$M277)/($J277-$M277-$H277)+('Sem TS MC2020'!P269-$C277/$AP$8)*($AP$5*$G277+$AP$6*$B277/$N277)/200000</f>
        <v>0.24067925566039894</v>
      </c>
      <c r="AP277" s="5">
        <f t="shared" si="48"/>
        <v>1.2033962783019947</v>
      </c>
      <c r="AQ277" s="20">
        <f t="shared" si="49"/>
        <v>4.0679255660398927E-2</v>
      </c>
    </row>
    <row r="278" spans="1:43" x14ac:dyDescent="0.25">
      <c r="B278" s="3">
        <v>19.100000000000001</v>
      </c>
      <c r="C278" s="4">
        <v>392</v>
      </c>
      <c r="D278" s="4">
        <v>2</v>
      </c>
      <c r="E278" s="3">
        <v>40</v>
      </c>
      <c r="F278" s="5">
        <v>2.9208758709847902</v>
      </c>
      <c r="G278" s="3">
        <v>30</v>
      </c>
      <c r="H278" s="3">
        <v>39.5</v>
      </c>
      <c r="I278" s="1">
        <v>150</v>
      </c>
      <c r="J278" s="3">
        <v>250</v>
      </c>
      <c r="K278" s="4">
        <v>573</v>
      </c>
      <c r="L278" s="5">
        <v>20250</v>
      </c>
      <c r="M278" s="4">
        <v>80.017825486464005</v>
      </c>
      <c r="N278" s="10">
        <v>2.8296296296296299E-2</v>
      </c>
      <c r="O278" s="5">
        <v>35.4</v>
      </c>
      <c r="P278" s="4">
        <v>300.38893655306202</v>
      </c>
      <c r="Q278" s="5">
        <v>0.3</v>
      </c>
      <c r="R278" s="11">
        <f t="shared" si="40"/>
        <v>1.5019446827653101E-3</v>
      </c>
      <c r="V278" s="5">
        <f t="shared" si="41"/>
        <v>0.29895056045143648</v>
      </c>
      <c r="W278" s="5">
        <f t="shared" si="42"/>
        <v>0.99650186817145492</v>
      </c>
      <c r="Y278" s="5">
        <f t="shared" si="43"/>
        <v>0.29716277098894439</v>
      </c>
      <c r="Z278" s="5">
        <f t="shared" si="44"/>
        <v>0.99054256996314805</v>
      </c>
      <c r="AB278" s="5">
        <f>$AC$2*($AC$3+$AC$4*$F278/($N278*'Sem TS MC2020'!P270))*($AC$5*$G278+$AC$6*$B278/$N278)*'Sem TS MC2020'!R270*($J278-$M278)/($J278-$M278-$H278)</f>
        <v>0.30498146243868229</v>
      </c>
      <c r="AC278" s="5">
        <f t="shared" si="45"/>
        <v>1.0166048747956078</v>
      </c>
      <c r="AD278" s="20">
        <f t="shared" si="46"/>
        <v>4.9814624386823048E-3</v>
      </c>
      <c r="AE278" s="21">
        <f t="shared" si="47"/>
        <v>0.98366634352511217</v>
      </c>
      <c r="AF278" s="21">
        <f>AB278*(14.068*'Sem TS MC2020'!$P270^-0.457)/$Q278</f>
        <v>1.001848821587316</v>
      </c>
      <c r="AG278" s="21"/>
      <c r="AO278" s="5">
        <f>$AP$2*($AP$3+$AP$4*$F278/($N278*'Sem TS MC2020'!P270))*($AP$5*$G278+$AP$6*$B278/$N278)*('Sem TS MC2020'!P270^$AP$7/200000)*($J278-$M278)/($J278-$M278-$H278)+('Sem TS MC2020'!P270-$C278/$AP$8)*($AP$5*$G278+$AP$6*$B278/$N278)/200000</f>
        <v>0.31831409227405605</v>
      </c>
      <c r="AP278" s="5">
        <f t="shared" si="48"/>
        <v>1.0610469742468536</v>
      </c>
      <c r="AQ278" s="20">
        <f t="shared" si="49"/>
        <v>1.831409227405606E-2</v>
      </c>
    </row>
    <row r="279" spans="1:43" x14ac:dyDescent="0.25">
      <c r="B279" s="3">
        <v>19.100000000000001</v>
      </c>
      <c r="C279" s="4">
        <v>392</v>
      </c>
      <c r="D279" s="4">
        <v>2</v>
      </c>
      <c r="E279" s="3">
        <v>40</v>
      </c>
      <c r="F279" s="5">
        <v>2.9208758709847902</v>
      </c>
      <c r="G279" s="3">
        <v>30</v>
      </c>
      <c r="H279" s="3">
        <v>39.5</v>
      </c>
      <c r="I279" s="1">
        <v>150</v>
      </c>
      <c r="J279" s="3">
        <v>250</v>
      </c>
      <c r="K279" s="4">
        <v>573</v>
      </c>
      <c r="L279" s="5">
        <v>20250</v>
      </c>
      <c r="M279" s="4">
        <v>80.017825486464005</v>
      </c>
      <c r="N279" s="10">
        <v>2.8296296296296299E-2</v>
      </c>
      <c r="O279" s="5">
        <v>43.3</v>
      </c>
      <c r="P279" s="4">
        <v>371.049164141272</v>
      </c>
      <c r="Q279" s="5">
        <v>0.33</v>
      </c>
      <c r="R279" s="11">
        <f t="shared" si="40"/>
        <v>1.85524582070636E-3</v>
      </c>
      <c r="V279" s="5">
        <f t="shared" si="41"/>
        <v>0.34057094497931528</v>
      </c>
      <c r="W279" s="5">
        <f t="shared" si="42"/>
        <v>1.0320331666039857</v>
      </c>
      <c r="Y279" s="5">
        <f t="shared" si="43"/>
        <v>0.33932186444327483</v>
      </c>
      <c r="Z279" s="5">
        <f t="shared" si="44"/>
        <v>1.0282480740705298</v>
      </c>
      <c r="AB279" s="5">
        <f>$AC$2*($AC$3+$AC$4*$F279/($N279*'Sem TS MC2020'!P271))*($AC$5*$G279+$AC$6*$B279/$N279)*'Sem TS MC2020'!R271*($J279-$M279)/($J279-$M279-$H279)</f>
        <v>0.36623886205921491</v>
      </c>
      <c r="AC279" s="5">
        <f t="shared" si="45"/>
        <v>1.1098147335127724</v>
      </c>
      <c r="AD279" s="20">
        <f t="shared" si="46"/>
        <v>3.6238862059214894E-2</v>
      </c>
      <c r="AE279" s="21">
        <f t="shared" si="47"/>
        <v>0.90105129243942539</v>
      </c>
      <c r="AF279" s="21">
        <f>AB279*(14.068*'Sem TS MC2020'!$P271^-0.457)/$Q279</f>
        <v>1.0190588826802722</v>
      </c>
      <c r="AG279" s="21"/>
      <c r="AO279" s="5">
        <f>$AP$2*($AP$3+$AP$4*$F279/($N279*'Sem TS MC2020'!P271))*($AP$5*$G279+$AP$6*$B279/$N279)*('Sem TS MC2020'!P271^$AP$7/200000)*($J279-$M279)/($J279-$M279-$H279)+('Sem TS MC2020'!P271-$C279/$AP$8)*($AP$5*$G279+$AP$6*$B279/$N279)/200000</f>
        <v>0.37419239556731393</v>
      </c>
      <c r="AP279" s="5">
        <f t="shared" si="48"/>
        <v>1.1339163502039815</v>
      </c>
      <c r="AQ279" s="20">
        <f t="shared" si="49"/>
        <v>4.4192395567313913E-2</v>
      </c>
    </row>
    <row r="280" spans="1:43" x14ac:dyDescent="0.25">
      <c r="A280" s="1" t="s">
        <v>82</v>
      </c>
      <c r="B280" s="3">
        <v>19.100000000000001</v>
      </c>
      <c r="C280" s="4">
        <v>392</v>
      </c>
      <c r="D280" s="4">
        <v>2</v>
      </c>
      <c r="E280" s="3">
        <v>40</v>
      </c>
      <c r="F280" s="5">
        <v>2.9208758709847902</v>
      </c>
      <c r="G280" s="3">
        <v>30</v>
      </c>
      <c r="H280" s="3">
        <v>39.5</v>
      </c>
      <c r="I280" s="1">
        <v>150</v>
      </c>
      <c r="J280" s="3">
        <v>250</v>
      </c>
      <c r="K280" s="4">
        <v>573</v>
      </c>
      <c r="L280" s="5">
        <v>20250</v>
      </c>
      <c r="M280" s="4">
        <v>80.017825486464005</v>
      </c>
      <c r="N280" s="10">
        <v>2.8296296296296299E-2</v>
      </c>
      <c r="O280" s="5">
        <v>19.600000000000001</v>
      </c>
      <c r="P280" s="4">
        <v>112.885328525321</v>
      </c>
      <c r="Q280" s="5">
        <v>0.15</v>
      </c>
      <c r="R280" s="11">
        <f t="shared" si="40"/>
        <v>5.6442664262660496E-4</v>
      </c>
      <c r="V280" s="5">
        <f t="shared" si="41"/>
        <v>0.16343524684304028</v>
      </c>
      <c r="W280" s="5">
        <f t="shared" si="42"/>
        <v>1.0895683122869353</v>
      </c>
      <c r="Y280" s="5">
        <f t="shared" si="43"/>
        <v>0.16071826669799782</v>
      </c>
      <c r="Z280" s="5">
        <f t="shared" si="44"/>
        <v>1.0714551113199855</v>
      </c>
      <c r="AB280" s="5">
        <f>$AC$2*($AC$3+$AC$4*$F280/($N280*'Sem TS MC2020'!P272))*($AC$5*$G280+$AC$6*$B280/$N280)*'Sem TS MC2020'!R272*($J280-$M280)/($J280-$M280-$H280)</f>
        <v>0.14155042704424639</v>
      </c>
      <c r="AC280" s="5">
        <f t="shared" si="45"/>
        <v>0.94366951362830931</v>
      </c>
      <c r="AD280" s="20">
        <f t="shared" si="46"/>
        <v>-8.4495729557536037E-3</v>
      </c>
      <c r="AE280" s="21">
        <f t="shared" si="47"/>
        <v>1.059693023413574</v>
      </c>
      <c r="AF280" s="21">
        <f>AB280*(14.068*'Sem TS MC2020'!$P272^-0.457)/$Q280</f>
        <v>1.2184378869957342</v>
      </c>
      <c r="AG280" s="21"/>
      <c r="AO280" s="5">
        <f>$AP$2*($AP$3+$AP$4*$F280/($N280*'Sem TS MC2020'!P272))*($AP$5*$G280+$AP$6*$B280/$N280)*('Sem TS MC2020'!P272^$AP$7/200000)*($J280-$M280)/($J280-$M280-$H280)+('Sem TS MC2020'!P272-$C280/$AP$8)*($AP$5*$G280+$AP$6*$B280/$N280)/200000</f>
        <v>0.15806877409975623</v>
      </c>
      <c r="AP280" s="5">
        <f t="shared" si="48"/>
        <v>1.0537918273317082</v>
      </c>
      <c r="AQ280" s="20">
        <f t="shared" si="49"/>
        <v>8.0687740997562318E-3</v>
      </c>
    </row>
    <row r="281" spans="1:43" x14ac:dyDescent="0.25">
      <c r="B281" s="3">
        <v>19.100000000000001</v>
      </c>
      <c r="C281" s="4">
        <v>392</v>
      </c>
      <c r="D281" s="4">
        <v>2</v>
      </c>
      <c r="E281" s="3">
        <v>40</v>
      </c>
      <c r="F281" s="5">
        <v>2.9208758709847902</v>
      </c>
      <c r="G281" s="3">
        <v>30</v>
      </c>
      <c r="H281" s="3">
        <v>39.5</v>
      </c>
      <c r="I281" s="1">
        <v>150</v>
      </c>
      <c r="J281" s="3">
        <v>250</v>
      </c>
      <c r="K281" s="4">
        <v>573</v>
      </c>
      <c r="L281" s="5">
        <v>20250</v>
      </c>
      <c r="M281" s="4">
        <v>80.017825486464005</v>
      </c>
      <c r="N281" s="10">
        <v>2.8296296296296299E-2</v>
      </c>
      <c r="O281" s="5">
        <v>27.3</v>
      </c>
      <c r="P281" s="4">
        <v>203.74403702222699</v>
      </c>
      <c r="Q281" s="5">
        <v>0.25</v>
      </c>
      <c r="R281" s="11">
        <f t="shared" si="40"/>
        <v>1.0187201851111351E-3</v>
      </c>
      <c r="V281" s="5">
        <f t="shared" si="41"/>
        <v>0.23527391144741572</v>
      </c>
      <c r="W281" s="5">
        <f t="shared" si="42"/>
        <v>0.94109564578966287</v>
      </c>
      <c r="Y281" s="5">
        <f t="shared" si="43"/>
        <v>0.23287035803821624</v>
      </c>
      <c r="Z281" s="5">
        <f t="shared" si="44"/>
        <v>0.93148143215286494</v>
      </c>
      <c r="AB281" s="5">
        <f>$AC$2*($AC$3+$AC$4*$F281/($N281*'Sem TS MC2020'!P273))*($AC$5*$G281+$AC$6*$B281/$N281)*'Sem TS MC2020'!R273*($J281-$M281)/($J281-$M281-$H281)</f>
        <v>0.22119719745799074</v>
      </c>
      <c r="AC281" s="5">
        <f t="shared" si="45"/>
        <v>0.88478878983196296</v>
      </c>
      <c r="AD281" s="20">
        <f t="shared" si="46"/>
        <v>-2.8802802542009259E-2</v>
      </c>
      <c r="AE281" s="21">
        <f t="shared" si="47"/>
        <v>1.1302132344939833</v>
      </c>
      <c r="AF281" s="21">
        <f>AB281*(14.068*'Sem TS MC2020'!$P273^-0.457)/$Q281</f>
        <v>0.98187855858314355</v>
      </c>
      <c r="AG281" s="21"/>
      <c r="AO281" s="5">
        <f>$AP$2*($AP$3+$AP$4*$F281/($N281*'Sem TS MC2020'!P273))*($AP$5*$G281+$AP$6*$B281/$N281)*('Sem TS MC2020'!P273^$AP$7/200000)*($J281-$M281)/($J281-$M281-$H281)+('Sem TS MC2020'!P273-$C281/$AP$8)*($AP$5*$G281+$AP$6*$B281/$N281)/200000</f>
        <v>0.23865795701094206</v>
      </c>
      <c r="AP281" s="5">
        <f t="shared" si="48"/>
        <v>0.95463182804376823</v>
      </c>
      <c r="AQ281" s="20">
        <f t="shared" si="49"/>
        <v>-1.1342042989057943E-2</v>
      </c>
    </row>
    <row r="282" spans="1:43" x14ac:dyDescent="0.25">
      <c r="B282" s="3">
        <v>19.100000000000001</v>
      </c>
      <c r="C282" s="4">
        <v>392</v>
      </c>
      <c r="D282" s="4">
        <v>2</v>
      </c>
      <c r="E282" s="3">
        <v>40</v>
      </c>
      <c r="F282" s="5">
        <v>2.9208758709847902</v>
      </c>
      <c r="G282" s="3">
        <v>30</v>
      </c>
      <c r="H282" s="3">
        <v>39.5</v>
      </c>
      <c r="I282" s="1">
        <v>150</v>
      </c>
      <c r="J282" s="3">
        <v>250</v>
      </c>
      <c r="K282" s="4">
        <v>573</v>
      </c>
      <c r="L282" s="5">
        <v>20250</v>
      </c>
      <c r="M282" s="4">
        <v>80.017825486464005</v>
      </c>
      <c r="N282" s="10">
        <v>2.8296296296296299E-2</v>
      </c>
      <c r="O282" s="5">
        <v>35.1</v>
      </c>
      <c r="P282" s="4">
        <v>296.80949582969799</v>
      </c>
      <c r="Q282" s="5">
        <v>0.28000000000000003</v>
      </c>
      <c r="R282" s="11">
        <f t="shared" si="40"/>
        <v>1.48404747914849E-3</v>
      </c>
      <c r="V282" s="5">
        <f t="shared" si="41"/>
        <v>0.29674757746491243</v>
      </c>
      <c r="W282" s="5">
        <f t="shared" si="42"/>
        <v>1.0598127766604015</v>
      </c>
      <c r="Y282" s="5">
        <f t="shared" si="43"/>
        <v>0.29493406873570388</v>
      </c>
      <c r="Z282" s="5">
        <f t="shared" si="44"/>
        <v>1.0533359597703709</v>
      </c>
      <c r="AB282" s="5">
        <f>$AC$2*($AC$3+$AC$4*$F282/($N282*'Sem TS MC2020'!P274))*($AC$5*$G282+$AC$6*$B282/$N282)*'Sem TS MC2020'!R274*($J282-$M282)/($J282-$M282-$H282)</f>
        <v>0.30187834151347137</v>
      </c>
      <c r="AC282" s="5">
        <f t="shared" si="45"/>
        <v>1.0781369339766833</v>
      </c>
      <c r="AD282" s="20">
        <f t="shared" si="46"/>
        <v>2.1878341513471344E-2</v>
      </c>
      <c r="AE282" s="21">
        <f t="shared" si="47"/>
        <v>0.92752596491757588</v>
      </c>
      <c r="AF282" s="21">
        <f>AB282*(14.068*'Sem TS MC2020'!$P274^-0.457)/$Q282</f>
        <v>1.066628211699596</v>
      </c>
      <c r="AG282" s="21"/>
      <c r="AO282" s="5">
        <f>$AP$2*($AP$3+$AP$4*$F282/($N282*'Sem TS MC2020'!P274))*($AP$5*$G282+$AP$6*$B282/$N282)*('Sem TS MC2020'!P274^$AP$7/200000)*($J282-$M282)/($J282-$M282-$H282)+('Sem TS MC2020'!P274-$C282/$AP$8)*($AP$5*$G282+$AP$6*$B282/$N282)/200000</f>
        <v>0.3154358788972943</v>
      </c>
      <c r="AP282" s="5">
        <f t="shared" si="48"/>
        <v>1.1265567103474796</v>
      </c>
      <c r="AQ282" s="20">
        <f t="shared" si="49"/>
        <v>3.5435878897294271E-2</v>
      </c>
    </row>
    <row r="283" spans="1:43" x14ac:dyDescent="0.25">
      <c r="A283" s="1" t="s">
        <v>83</v>
      </c>
      <c r="B283" s="3">
        <v>15.9</v>
      </c>
      <c r="C283" s="4">
        <v>392</v>
      </c>
      <c r="D283" s="4">
        <v>2</v>
      </c>
      <c r="E283" s="3">
        <v>46</v>
      </c>
      <c r="F283" s="5">
        <v>3.3538794827423901</v>
      </c>
      <c r="G283" s="3">
        <v>30</v>
      </c>
      <c r="H283" s="3">
        <v>38</v>
      </c>
      <c r="I283" s="1">
        <v>150</v>
      </c>
      <c r="J283" s="3">
        <v>250</v>
      </c>
      <c r="K283" s="4">
        <v>397.2</v>
      </c>
      <c r="L283" s="5">
        <v>17625</v>
      </c>
      <c r="M283" s="4">
        <v>67.684138613099094</v>
      </c>
      <c r="N283" s="10">
        <v>2.2536170212766E-2</v>
      </c>
      <c r="O283" s="5">
        <v>27.5</v>
      </c>
      <c r="P283" s="4">
        <v>326.50507681397602</v>
      </c>
      <c r="Q283" s="5">
        <v>0.2</v>
      </c>
      <c r="R283" s="11">
        <f t="shared" si="40"/>
        <v>1.6325253840698802E-3</v>
      </c>
      <c r="V283" s="5">
        <f t="shared" si="41"/>
        <v>0.30593095702711626</v>
      </c>
      <c r="W283" s="5">
        <f t="shared" si="42"/>
        <v>1.5296547851355813</v>
      </c>
      <c r="Y283" s="5">
        <f t="shared" si="43"/>
        <v>0.30288828733621587</v>
      </c>
      <c r="Z283" s="5">
        <f t="shared" si="44"/>
        <v>1.5144414366810792</v>
      </c>
      <c r="AB283" s="5">
        <f>$AC$2*($AC$3+$AC$4*$F283/($N283*'Sem TS MC2020'!P275))*($AC$5*$G283+$AC$6*$B283/$N283)*'Sem TS MC2020'!R275*($J283-$M283)/($J283-$M283-$H283)</f>
        <v>0.31093919916291396</v>
      </c>
      <c r="AC283" s="5">
        <f t="shared" si="45"/>
        <v>1.5546959958145696</v>
      </c>
      <c r="AD283" s="20">
        <f t="shared" si="46"/>
        <v>0.11093919916291395</v>
      </c>
      <c r="AE283" s="21">
        <f t="shared" si="47"/>
        <v>0.64321256547397143</v>
      </c>
      <c r="AF283" s="21">
        <f>AB283*(14.068*'Sem TS MC2020'!$P275^-0.457)/$Q283</f>
        <v>1.4745283805688973</v>
      </c>
      <c r="AG283" s="21"/>
      <c r="AO283" s="5">
        <f>$AP$2*($AP$3+$AP$4*$F283/($N283*'Sem TS MC2020'!P275))*($AP$5*$G283+$AP$6*$B283/$N283)*('Sem TS MC2020'!P275^$AP$7/200000)*($J283-$M283)/($J283-$M283-$H283)+('Sem TS MC2020'!P275-$C283/$AP$8)*($AP$5*$G283+$AP$6*$B283/$N283)/200000</f>
        <v>0.32207006810184546</v>
      </c>
      <c r="AP283" s="5">
        <f t="shared" si="48"/>
        <v>1.6103503405092272</v>
      </c>
      <c r="AQ283" s="20">
        <f t="shared" si="49"/>
        <v>0.12207006810184545</v>
      </c>
    </row>
    <row r="284" spans="1:43" x14ac:dyDescent="0.25">
      <c r="B284" s="3">
        <v>15.9</v>
      </c>
      <c r="C284" s="4">
        <v>392</v>
      </c>
      <c r="D284" s="4">
        <v>2</v>
      </c>
      <c r="E284" s="3">
        <v>46</v>
      </c>
      <c r="F284" s="5">
        <v>3.3538794827423901</v>
      </c>
      <c r="G284" s="3">
        <v>30</v>
      </c>
      <c r="H284" s="3">
        <v>38</v>
      </c>
      <c r="I284" s="1">
        <v>150</v>
      </c>
      <c r="J284" s="3">
        <v>250</v>
      </c>
      <c r="K284" s="4">
        <v>397.2</v>
      </c>
      <c r="L284" s="5">
        <v>17625</v>
      </c>
      <c r="M284" s="4">
        <v>67.684138613099094</v>
      </c>
      <c r="N284" s="10">
        <v>2.2536170212766E-2</v>
      </c>
      <c r="O284" s="5">
        <v>31.4</v>
      </c>
      <c r="P284" s="4">
        <v>362.87183038768899</v>
      </c>
      <c r="Q284" s="5">
        <v>0.22</v>
      </c>
      <c r="R284" s="11">
        <f t="shared" si="40"/>
        <v>1.8143591519384449E-3</v>
      </c>
      <c r="V284" s="5">
        <f t="shared" si="41"/>
        <v>0.32652849889719926</v>
      </c>
      <c r="W284" s="5">
        <f t="shared" si="42"/>
        <v>1.4842204495327238</v>
      </c>
      <c r="Y284" s="5">
        <f t="shared" si="43"/>
        <v>0.32365673039218162</v>
      </c>
      <c r="Z284" s="5">
        <f t="shared" si="44"/>
        <v>1.4711669563280982</v>
      </c>
      <c r="AB284" s="5">
        <f>$AC$2*($AC$3+$AC$4*$F284/($N284*'Sem TS MC2020'!P276))*($AC$5*$G284+$AC$6*$B284/$N284)*'Sem TS MC2020'!R276*($J284-$M284)/($J284-$M284-$H284)</f>
        <v>0.34025887326163412</v>
      </c>
      <c r="AC284" s="5">
        <f t="shared" si="45"/>
        <v>1.5466312420983368</v>
      </c>
      <c r="AD284" s="20">
        <f t="shared" si="46"/>
        <v>0.12025887326163412</v>
      </c>
      <c r="AE284" s="21">
        <f t="shared" si="47"/>
        <v>0.64656653297865985</v>
      </c>
      <c r="AF284" s="21">
        <f>AB284*(14.068*'Sem TS MC2020'!$P276^-0.457)/$Q284</f>
        <v>1.420154425687298</v>
      </c>
      <c r="AG284" s="21"/>
      <c r="AO284" s="5">
        <f>$AP$2*($AP$3+$AP$4*$F284/($N284*'Sem TS MC2020'!P276))*($AP$5*$G284+$AP$6*$B284/$N284)*('Sem TS MC2020'!P276^$AP$7/200000)*($J284-$M284)/($J284-$M284-$H284)+('Sem TS MC2020'!P276-$C284/$AP$8)*($AP$5*$G284+$AP$6*$B284/$N284)/200000</f>
        <v>0.34905469188937832</v>
      </c>
      <c r="AP284" s="5">
        <f t="shared" si="48"/>
        <v>1.5866122358608106</v>
      </c>
      <c r="AQ284" s="20">
        <f t="shared" si="49"/>
        <v>0.12905469188937832</v>
      </c>
    </row>
    <row r="285" spans="1:43" x14ac:dyDescent="0.25">
      <c r="A285" s="1" t="s">
        <v>84</v>
      </c>
      <c r="B285" s="3">
        <v>15.9</v>
      </c>
      <c r="C285" s="4">
        <v>392</v>
      </c>
      <c r="D285" s="4">
        <v>2</v>
      </c>
      <c r="E285" s="3">
        <v>46</v>
      </c>
      <c r="F285" s="5">
        <v>3.3538794827423901</v>
      </c>
      <c r="G285" s="3">
        <v>30</v>
      </c>
      <c r="H285" s="3">
        <v>38</v>
      </c>
      <c r="I285" s="1">
        <v>150</v>
      </c>
      <c r="J285" s="3">
        <v>250</v>
      </c>
      <c r="K285" s="4">
        <v>397.2</v>
      </c>
      <c r="L285" s="5">
        <v>17625</v>
      </c>
      <c r="M285" s="4">
        <v>67.684138613099094</v>
      </c>
      <c r="N285" s="10">
        <v>2.2536170212766E-2</v>
      </c>
      <c r="O285" s="5">
        <v>27.5</v>
      </c>
      <c r="P285" s="4">
        <v>326.50507681397602</v>
      </c>
      <c r="Q285" s="5">
        <v>0.17</v>
      </c>
      <c r="R285" s="11">
        <f t="shared" si="40"/>
        <v>1.6325253840698802E-3</v>
      </c>
      <c r="V285" s="5">
        <f t="shared" si="41"/>
        <v>0.30593095702711626</v>
      </c>
      <c r="W285" s="5">
        <f t="shared" si="42"/>
        <v>1.7995938648653895</v>
      </c>
      <c r="Y285" s="5">
        <f t="shared" si="43"/>
        <v>0.30288828733621587</v>
      </c>
      <c r="Z285" s="5">
        <f t="shared" si="44"/>
        <v>1.7816958078600933</v>
      </c>
      <c r="AB285" s="5">
        <f>$AC$2*($AC$3+$AC$4*$F285/($N285*'Sem TS MC2020'!P277))*($AC$5*$G285+$AC$6*$B285/$N285)*'Sem TS MC2020'!R277*($J285-$M285)/($J285-$M285-$H285)</f>
        <v>0.31093919916291396</v>
      </c>
      <c r="AC285" s="5">
        <f t="shared" si="45"/>
        <v>1.8290541127230231</v>
      </c>
      <c r="AD285" s="20">
        <f t="shared" si="46"/>
        <v>0.14093919916291395</v>
      </c>
      <c r="AE285" s="21">
        <f t="shared" si="47"/>
        <v>0.54673068065287567</v>
      </c>
      <c r="AF285" s="21">
        <f>AB285*(14.068*'Sem TS MC2020'!$P277^-0.457)/$Q285</f>
        <v>1.7347392712575262</v>
      </c>
      <c r="AG285" s="21"/>
      <c r="AO285" s="5">
        <f>$AP$2*($AP$3+$AP$4*$F285/($N285*'Sem TS MC2020'!P277))*($AP$5*$G285+$AP$6*$B285/$N285)*('Sem TS MC2020'!P277^$AP$7/200000)*($J285-$M285)/($J285-$M285-$H285)+('Sem TS MC2020'!P277-$C285/$AP$8)*($AP$5*$G285+$AP$6*$B285/$N285)/200000</f>
        <v>0.32207006810184546</v>
      </c>
      <c r="AP285" s="5">
        <f t="shared" si="48"/>
        <v>1.8945298123637968</v>
      </c>
      <c r="AQ285" s="20">
        <f t="shared" si="49"/>
        <v>0.15207006810184545</v>
      </c>
    </row>
    <row r="286" spans="1:43" x14ac:dyDescent="0.25">
      <c r="B286" s="3">
        <v>15.9</v>
      </c>
      <c r="C286" s="4">
        <v>392</v>
      </c>
      <c r="D286" s="4">
        <v>2</v>
      </c>
      <c r="E286" s="3">
        <v>46</v>
      </c>
      <c r="F286" s="5">
        <v>3.3538794827423901</v>
      </c>
      <c r="G286" s="3">
        <v>30</v>
      </c>
      <c r="H286" s="3">
        <v>38</v>
      </c>
      <c r="I286" s="1">
        <v>150</v>
      </c>
      <c r="J286" s="3">
        <v>250</v>
      </c>
      <c r="K286" s="4">
        <v>397.2</v>
      </c>
      <c r="L286" s="5">
        <v>17625</v>
      </c>
      <c r="M286" s="4">
        <v>67.684138613099094</v>
      </c>
      <c r="N286" s="10">
        <v>2.2536170212766E-2</v>
      </c>
      <c r="O286" s="5">
        <v>31.4</v>
      </c>
      <c r="P286" s="4">
        <v>362.87183038768899</v>
      </c>
      <c r="Q286" s="5">
        <v>0.21</v>
      </c>
      <c r="R286" s="11">
        <f t="shared" si="40"/>
        <v>1.8143591519384449E-3</v>
      </c>
      <c r="V286" s="5">
        <f t="shared" si="41"/>
        <v>0.32652849889719926</v>
      </c>
      <c r="W286" s="5">
        <f t="shared" si="42"/>
        <v>1.554897613796187</v>
      </c>
      <c r="Y286" s="5">
        <f t="shared" si="43"/>
        <v>0.32365673039218162</v>
      </c>
      <c r="Z286" s="5">
        <f t="shared" si="44"/>
        <v>1.5412225256770553</v>
      </c>
      <c r="AB286" s="5">
        <f>$AC$2*($AC$3+$AC$4*$F286/($N286*'Sem TS MC2020'!P278))*($AC$5*$G286+$AC$6*$B286/$N286)*'Sem TS MC2020'!R278*($J286-$M286)/($J286-$M286-$H286)</f>
        <v>0.34025887326163412</v>
      </c>
      <c r="AC286" s="5">
        <f t="shared" si="45"/>
        <v>1.6202803488649244</v>
      </c>
      <c r="AD286" s="20">
        <f t="shared" si="46"/>
        <v>0.13025887326163413</v>
      </c>
      <c r="AE286" s="21">
        <f t="shared" si="47"/>
        <v>0.61717714511599342</v>
      </c>
      <c r="AF286" s="21">
        <f>AB286*(14.068*'Sem TS MC2020'!$P278^-0.457)/$Q286</f>
        <v>1.4877808269105028</v>
      </c>
      <c r="AG286" s="21"/>
      <c r="AO286" s="5">
        <f>$AP$2*($AP$3+$AP$4*$F286/($N286*'Sem TS MC2020'!P278))*($AP$5*$G286+$AP$6*$B286/$N286)*('Sem TS MC2020'!P278^$AP$7/200000)*($J286-$M286)/($J286-$M286-$H286)+('Sem TS MC2020'!P278-$C286/$AP$8)*($AP$5*$G286+$AP$6*$B286/$N286)/200000</f>
        <v>0.34905469188937832</v>
      </c>
      <c r="AP286" s="5">
        <f t="shared" si="48"/>
        <v>1.6621651994732303</v>
      </c>
      <c r="AQ286" s="20">
        <f t="shared" si="49"/>
        <v>0.13905469188937833</v>
      </c>
    </row>
    <row r="287" spans="1:43" x14ac:dyDescent="0.25">
      <c r="A287" s="1" t="s">
        <v>85</v>
      </c>
      <c r="B287" s="3">
        <v>19.100000000000001</v>
      </c>
      <c r="C287" s="4">
        <v>392</v>
      </c>
      <c r="D287" s="4">
        <v>2</v>
      </c>
      <c r="E287" s="3">
        <v>40</v>
      </c>
      <c r="F287" s="5">
        <v>3.3538794827423901</v>
      </c>
      <c r="G287" s="3">
        <v>30</v>
      </c>
      <c r="H287" s="3">
        <v>39.5</v>
      </c>
      <c r="I287" s="1">
        <v>150</v>
      </c>
      <c r="J287" s="3">
        <v>250</v>
      </c>
      <c r="K287" s="4">
        <v>573</v>
      </c>
      <c r="L287" s="5">
        <v>20250</v>
      </c>
      <c r="M287" s="4">
        <v>77.918977712586099</v>
      </c>
      <c r="N287" s="10">
        <v>2.8296296296296299E-2</v>
      </c>
      <c r="O287" s="5">
        <v>23.4</v>
      </c>
      <c r="P287" s="4">
        <v>147.261960689549</v>
      </c>
      <c r="Q287" s="5">
        <v>0.17</v>
      </c>
      <c r="R287" s="11">
        <f t="shared" si="40"/>
        <v>7.3630980344774495E-4</v>
      </c>
      <c r="V287" s="5">
        <f t="shared" si="41"/>
        <v>0.19256629383744442</v>
      </c>
      <c r="W287" s="5">
        <f t="shared" si="42"/>
        <v>1.1327429049261435</v>
      </c>
      <c r="Y287" s="5">
        <f t="shared" si="43"/>
        <v>0.18991959371532338</v>
      </c>
      <c r="Z287" s="5">
        <f t="shared" si="44"/>
        <v>1.1171740806783728</v>
      </c>
      <c r="AB287" s="5">
        <f>$AC$2*($AC$3+$AC$4*$F287/($N287*'Sem TS MC2020'!P279))*($AC$5*$G287+$AC$6*$B287/$N287)*'Sem TS MC2020'!R279*($J287-$M287)/($J287-$M287-$H287)</f>
        <v>0.17023976588773132</v>
      </c>
      <c r="AC287" s="5">
        <f t="shared" si="45"/>
        <v>1.0014103875748901</v>
      </c>
      <c r="AD287" s="20">
        <f t="shared" si="46"/>
        <v>2.3976588773130803E-4</v>
      </c>
      <c r="AE287" s="21">
        <f t="shared" si="47"/>
        <v>0.99859159881663939</v>
      </c>
      <c r="AF287" s="21">
        <f>AB287*(14.068*'Sem TS MC2020'!$P279^-0.457)/$Q287</f>
        <v>1.1944799354767588</v>
      </c>
      <c r="AG287" s="21"/>
      <c r="AO287" s="5">
        <f>$AP$2*($AP$3+$AP$4*$F287/($N287*'Sem TS MC2020'!P279))*($AP$5*$G287+$AP$6*$B287/$N287)*('Sem TS MC2020'!P279^$AP$7/200000)*($J287-$M287)/($J287-$M287-$H287)+('Sem TS MC2020'!P279-$C287/$AP$8)*($AP$5*$G287+$AP$6*$B287/$N287)/200000</f>
        <v>0.18682812308645322</v>
      </c>
      <c r="AP287" s="5">
        <f t="shared" si="48"/>
        <v>1.0989889593320776</v>
      </c>
      <c r="AQ287" s="20">
        <f t="shared" si="49"/>
        <v>1.6828123086453206E-2</v>
      </c>
    </row>
    <row r="288" spans="1:43" x14ac:dyDescent="0.25">
      <c r="B288" s="3">
        <v>19.100000000000001</v>
      </c>
      <c r="C288" s="4">
        <v>392</v>
      </c>
      <c r="D288" s="4">
        <v>2</v>
      </c>
      <c r="E288" s="3">
        <v>40</v>
      </c>
      <c r="F288" s="5">
        <v>3.3538794827423901</v>
      </c>
      <c r="G288" s="3">
        <v>30</v>
      </c>
      <c r="H288" s="3">
        <v>39.5</v>
      </c>
      <c r="I288" s="1">
        <v>150</v>
      </c>
      <c r="J288" s="3">
        <v>250</v>
      </c>
      <c r="K288" s="4">
        <v>573</v>
      </c>
      <c r="L288" s="5">
        <v>20250</v>
      </c>
      <c r="M288" s="4">
        <v>77.918977712586099</v>
      </c>
      <c r="N288" s="10">
        <v>2.8296296296296299E-2</v>
      </c>
      <c r="O288" s="5">
        <v>27.4</v>
      </c>
      <c r="P288" s="4">
        <v>196.13239467506901</v>
      </c>
      <c r="Q288" s="5">
        <v>0.18</v>
      </c>
      <c r="R288" s="11">
        <f t="shared" si="40"/>
        <v>9.8066197337534503E-4</v>
      </c>
      <c r="V288" s="5">
        <f t="shared" si="41"/>
        <v>0.22981126969007948</v>
      </c>
      <c r="W288" s="5">
        <f t="shared" si="42"/>
        <v>1.2767292760559972</v>
      </c>
      <c r="Y288" s="5">
        <f t="shared" si="43"/>
        <v>0.2273682761257475</v>
      </c>
      <c r="Z288" s="5">
        <f t="shared" si="44"/>
        <v>1.2631570895874862</v>
      </c>
      <c r="AB288" s="5">
        <f>$AC$2*($AC$3+$AC$4*$F288/($N288*'Sem TS MC2020'!P280))*($AC$5*$G288+$AC$6*$B288/$N288)*'Sem TS MC2020'!R280*($J288-$M288)/($J288-$M288-$H288)</f>
        <v>0.21130621397534047</v>
      </c>
      <c r="AC288" s="5">
        <f t="shared" si="45"/>
        <v>1.1739234109741137</v>
      </c>
      <c r="AD288" s="20">
        <f t="shared" si="46"/>
        <v>3.1306213975340474E-2</v>
      </c>
      <c r="AE288" s="21">
        <f t="shared" si="47"/>
        <v>0.85184432872857252</v>
      </c>
      <c r="AF288" s="21">
        <f>AB288*(14.068*'Sem TS MC2020'!$P280^-0.457)/$Q288</f>
        <v>1.3028252597022696</v>
      </c>
      <c r="AG288" s="21"/>
      <c r="AO288" s="5">
        <f>$AP$2*($AP$3+$AP$4*$F288/($N288*'Sem TS MC2020'!P280))*($AP$5*$G288+$AP$6*$B288/$N288)*('Sem TS MC2020'!P280^$AP$7/200000)*($J288-$M288)/($J288-$M288-$H288)+('Sem TS MC2020'!P280-$C288/$AP$8)*($AP$5*$G288+$AP$6*$B288/$N288)/200000</f>
        <v>0.22794556968631885</v>
      </c>
      <c r="AP288" s="5">
        <f t="shared" si="48"/>
        <v>1.2663642760351048</v>
      </c>
      <c r="AQ288" s="20">
        <f t="shared" si="49"/>
        <v>4.7945569686318856E-2</v>
      </c>
    </row>
    <row r="289" spans="1:43" x14ac:dyDescent="0.25">
      <c r="B289" s="3">
        <v>19.100000000000001</v>
      </c>
      <c r="C289" s="4">
        <v>392</v>
      </c>
      <c r="D289" s="4">
        <v>2</v>
      </c>
      <c r="E289" s="3">
        <v>40</v>
      </c>
      <c r="F289" s="5">
        <v>3.3538794827423901</v>
      </c>
      <c r="G289" s="3">
        <v>30</v>
      </c>
      <c r="H289" s="3">
        <v>39.5</v>
      </c>
      <c r="I289" s="1">
        <v>150</v>
      </c>
      <c r="J289" s="3">
        <v>250</v>
      </c>
      <c r="K289" s="4">
        <v>573</v>
      </c>
      <c r="L289" s="5">
        <v>20250</v>
      </c>
      <c r="M289" s="4">
        <v>77.918977712586099</v>
      </c>
      <c r="N289" s="10">
        <v>2.8296296296296299E-2</v>
      </c>
      <c r="O289" s="5">
        <v>31.3</v>
      </c>
      <c r="P289" s="4">
        <v>243.78106781095099</v>
      </c>
      <c r="Q289" s="5">
        <v>0.2</v>
      </c>
      <c r="R289" s="11">
        <f t="shared" si="40"/>
        <v>1.2189053390547549E-3</v>
      </c>
      <c r="V289" s="5">
        <f t="shared" si="41"/>
        <v>0.26281331825153531</v>
      </c>
      <c r="W289" s="5">
        <f t="shared" si="42"/>
        <v>1.3140665912576766</v>
      </c>
      <c r="Y289" s="5">
        <f t="shared" si="43"/>
        <v>0.26064228451975402</v>
      </c>
      <c r="Z289" s="5">
        <f t="shared" si="44"/>
        <v>1.3032114225987701</v>
      </c>
      <c r="AB289" s="5">
        <f>$AC$2*($AC$3+$AC$4*$F289/($N289*'Sem TS MC2020'!P281))*($AC$5*$G289+$AC$6*$B289/$N289)*'Sem TS MC2020'!R281*($J289-$M289)/($J289-$M289-$H289)</f>
        <v>0.25134600086075881</v>
      </c>
      <c r="AC289" s="5">
        <f t="shared" si="45"/>
        <v>1.2567300043037939</v>
      </c>
      <c r="AD289" s="20">
        <f t="shared" si="46"/>
        <v>5.13460008607588E-2</v>
      </c>
      <c r="AE289" s="21">
        <f t="shared" si="47"/>
        <v>0.7957158630536415</v>
      </c>
      <c r="AF289" s="21">
        <f>AB289*(14.068*'Sem TS MC2020'!$P281^-0.457)/$Q289</f>
        <v>1.3124314699800932</v>
      </c>
      <c r="AG289" s="21"/>
      <c r="AO289" s="5">
        <f>$AP$2*($AP$3+$AP$4*$F289/($N289*'Sem TS MC2020'!P281))*($AP$5*$G289+$AP$6*$B289/$N289)*('Sem TS MC2020'!P281^$AP$7/200000)*($J289-$M289)/($J289-$M289-$H289)+('Sem TS MC2020'!P281-$C289/$AP$8)*($AP$5*$G289+$AP$6*$B289/$N289)/200000</f>
        <v>0.26678593044453669</v>
      </c>
      <c r="AP289" s="5">
        <f t="shared" si="48"/>
        <v>1.3339296522226833</v>
      </c>
      <c r="AQ289" s="20">
        <f t="shared" si="49"/>
        <v>6.6785930444536679E-2</v>
      </c>
    </row>
    <row r="290" spans="1:43" x14ac:dyDescent="0.25">
      <c r="B290" s="3">
        <v>19.100000000000001</v>
      </c>
      <c r="C290" s="4">
        <v>392</v>
      </c>
      <c r="D290" s="4">
        <v>2</v>
      </c>
      <c r="E290" s="3">
        <v>40</v>
      </c>
      <c r="F290" s="5">
        <v>3.3538794827423901</v>
      </c>
      <c r="G290" s="3">
        <v>30</v>
      </c>
      <c r="H290" s="3">
        <v>39.5</v>
      </c>
      <c r="I290" s="1">
        <v>150</v>
      </c>
      <c r="J290" s="3">
        <v>250</v>
      </c>
      <c r="K290" s="4">
        <v>573</v>
      </c>
      <c r="L290" s="5">
        <v>20250</v>
      </c>
      <c r="M290" s="4">
        <v>77.918977712586099</v>
      </c>
      <c r="N290" s="10">
        <v>2.8296296296296299E-2</v>
      </c>
      <c r="O290" s="5">
        <v>35.299999999999997</v>
      </c>
      <c r="P290" s="4">
        <v>292.651501796471</v>
      </c>
      <c r="Q290" s="5">
        <v>0.2</v>
      </c>
      <c r="R290" s="11">
        <f t="shared" si="40"/>
        <v>1.4632575089823549E-3</v>
      </c>
      <c r="V290" s="5">
        <f t="shared" si="41"/>
        <v>0.29417570449968966</v>
      </c>
      <c r="W290" s="5">
        <f t="shared" si="42"/>
        <v>1.4708785224984482</v>
      </c>
      <c r="Y290" s="5">
        <f t="shared" si="43"/>
        <v>0.29233254313770063</v>
      </c>
      <c r="Z290" s="5">
        <f t="shared" si="44"/>
        <v>1.4616627156885031</v>
      </c>
      <c r="AB290" s="5">
        <f>$AC$2*($AC$3+$AC$4*$F290/($N290*'Sem TS MC2020'!P282))*($AC$5*$G290+$AC$6*$B290/$N290)*'Sem TS MC2020'!R282*($J290-$M290)/($J290-$M290-$H290)</f>
        <v>0.29241244894836799</v>
      </c>
      <c r="AC290" s="5">
        <f t="shared" si="45"/>
        <v>1.4620622447418399</v>
      </c>
      <c r="AD290" s="20">
        <f t="shared" si="46"/>
        <v>9.2412448948367976E-2</v>
      </c>
      <c r="AE290" s="21">
        <f t="shared" si="47"/>
        <v>0.68396540817355733</v>
      </c>
      <c r="AF290" s="21">
        <f>AB290*(14.068*'Sem TS MC2020'!$P282^-0.457)/$Q290</f>
        <v>1.4452109245951266</v>
      </c>
      <c r="AG290" s="21"/>
      <c r="AO290" s="5">
        <f>$AP$2*($AP$3+$AP$4*$F290/($N290*'Sem TS MC2020'!P282))*($AP$5*$G290+$AP$6*$B290/$N290)*('Sem TS MC2020'!P282^$AP$7/200000)*($J290-$M290)/($J290-$M290-$H290)+('Sem TS MC2020'!P282-$C290/$AP$8)*($AP$5*$G290+$AP$6*$B290/$N290)/200000</f>
        <v>0.30556895517735094</v>
      </c>
      <c r="AP290" s="5">
        <f t="shared" si="48"/>
        <v>1.5278447758867546</v>
      </c>
      <c r="AQ290" s="20">
        <f t="shared" si="49"/>
        <v>0.10556895517735093</v>
      </c>
    </row>
    <row r="291" spans="1:43" x14ac:dyDescent="0.25">
      <c r="B291" s="3">
        <v>19.100000000000001</v>
      </c>
      <c r="C291" s="4">
        <v>392</v>
      </c>
      <c r="D291" s="4">
        <v>2</v>
      </c>
      <c r="E291" s="3">
        <v>40</v>
      </c>
      <c r="F291" s="5">
        <v>3.3538794827423901</v>
      </c>
      <c r="G291" s="3">
        <v>30</v>
      </c>
      <c r="H291" s="3">
        <v>39.5</v>
      </c>
      <c r="I291" s="1">
        <v>150</v>
      </c>
      <c r="J291" s="3">
        <v>250</v>
      </c>
      <c r="K291" s="4">
        <v>573</v>
      </c>
      <c r="L291" s="5">
        <v>20250</v>
      </c>
      <c r="M291" s="4">
        <v>77.918977712586099</v>
      </c>
      <c r="N291" s="10">
        <v>2.8296296296296299E-2</v>
      </c>
      <c r="O291" s="5">
        <v>39.1</v>
      </c>
      <c r="P291" s="4">
        <v>339.07841408271599</v>
      </c>
      <c r="Q291" s="5">
        <v>0.25</v>
      </c>
      <c r="R291" s="11">
        <f t="shared" si="40"/>
        <v>1.6953920704135799E-3</v>
      </c>
      <c r="V291" s="5">
        <f t="shared" si="41"/>
        <v>0.32215403361750183</v>
      </c>
      <c r="W291" s="5">
        <f t="shared" si="42"/>
        <v>1.2886161344700073</v>
      </c>
      <c r="Y291" s="5">
        <f t="shared" si="43"/>
        <v>0.32065452960879148</v>
      </c>
      <c r="Z291" s="5">
        <f t="shared" si="44"/>
        <v>1.2826181184351659</v>
      </c>
      <c r="AB291" s="5">
        <f>$AC$2*($AC$3+$AC$4*$F291/($N291*'Sem TS MC2020'!P283))*($AC$5*$G291+$AC$6*$B291/$N291)*'Sem TS MC2020'!R283*($J291-$M291)/($J291-$M291-$H291)</f>
        <v>0.33142557463159655</v>
      </c>
      <c r="AC291" s="5">
        <f t="shared" si="45"/>
        <v>1.3257022985263862</v>
      </c>
      <c r="AD291" s="20">
        <f t="shared" si="46"/>
        <v>8.1425574631596553E-2</v>
      </c>
      <c r="AE291" s="21">
        <f t="shared" si="47"/>
        <v>0.75431716540853266</v>
      </c>
      <c r="AF291" s="21">
        <f>AB291*(14.068*'Sem TS MC2020'!$P283^-0.457)/$Q291</f>
        <v>1.2506035149438899</v>
      </c>
      <c r="AG291" s="21"/>
      <c r="AO291" s="5">
        <f>$AP$2*($AP$3+$AP$4*$F291/($N291*'Sem TS MC2020'!P283))*($AP$5*$G291+$AP$6*$B291/$N291)*('Sem TS MC2020'!P283^$AP$7/200000)*($J291-$M291)/($J291-$M291-$H291)+('Sem TS MC2020'!P283-$C291/$AP$8)*($AP$5*$G291+$AP$6*$B291/$N291)/200000</f>
        <v>0.34157665930462416</v>
      </c>
      <c r="AP291" s="5">
        <f t="shared" si="48"/>
        <v>1.3663066372184967</v>
      </c>
      <c r="AQ291" s="20">
        <f t="shared" si="49"/>
        <v>9.1576659304624164E-2</v>
      </c>
    </row>
    <row r="292" spans="1:43" x14ac:dyDescent="0.25">
      <c r="B292" s="3">
        <v>19.100000000000001</v>
      </c>
      <c r="C292" s="4">
        <v>392</v>
      </c>
      <c r="D292" s="4">
        <v>2</v>
      </c>
      <c r="E292" s="3">
        <v>40</v>
      </c>
      <c r="F292" s="5">
        <v>3.3538794827423901</v>
      </c>
      <c r="G292" s="3">
        <v>30</v>
      </c>
      <c r="H292" s="3">
        <v>39.5</v>
      </c>
      <c r="I292" s="1">
        <v>150</v>
      </c>
      <c r="J292" s="3">
        <v>250</v>
      </c>
      <c r="K292" s="4">
        <v>573</v>
      </c>
      <c r="L292" s="5">
        <v>20250</v>
      </c>
      <c r="M292" s="4">
        <v>77.918977712586099</v>
      </c>
      <c r="N292" s="10">
        <v>2.8296296296296299E-2</v>
      </c>
      <c r="O292" s="5">
        <v>43.1</v>
      </c>
      <c r="P292" s="4">
        <v>368.149462034831</v>
      </c>
      <c r="Q292" s="5">
        <v>0.27</v>
      </c>
      <c r="R292" s="11">
        <f t="shared" si="40"/>
        <v>1.840747310174155E-3</v>
      </c>
      <c r="V292" s="5">
        <f t="shared" si="41"/>
        <v>0.33892632148312007</v>
      </c>
      <c r="W292" s="5">
        <f t="shared" si="42"/>
        <v>1.2552826721597039</v>
      </c>
      <c r="Y292" s="5">
        <f t="shared" si="43"/>
        <v>0.33765413154569462</v>
      </c>
      <c r="Z292" s="5">
        <f t="shared" si="44"/>
        <v>1.2505708575766468</v>
      </c>
      <c r="AB292" s="5">
        <f>$AC$2*($AC$3+$AC$4*$F292/($N292*'Sem TS MC2020'!P284))*($AC$5*$G292+$AC$6*$B292/$N292)*'Sem TS MC2020'!R284*($J292-$M292)/($J292-$M292-$H292)</f>
        <v>0.3558543464720853</v>
      </c>
      <c r="AC292" s="5">
        <f t="shared" si="45"/>
        <v>1.3179790610077233</v>
      </c>
      <c r="AD292" s="20">
        <f t="shared" si="46"/>
        <v>8.5854346472085286E-2</v>
      </c>
      <c r="AE292" s="21">
        <f t="shared" si="47"/>
        <v>0.75873739544496455</v>
      </c>
      <c r="AF292" s="21">
        <f>AB292*(14.068*'Sem TS MC2020'!$P284^-0.457)/$Q292</f>
        <v>1.2102004314317996</v>
      </c>
      <c r="AG292" s="21"/>
      <c r="AO292" s="5">
        <f>$AP$2*($AP$3+$AP$4*$F292/($N292*'Sem TS MC2020'!P284))*($AP$5*$G292+$AP$6*$B292/$N292)*('Sem TS MC2020'!P284^$AP$7/200000)*($J292-$M292)/($J292-$M292-$H292)+('Sem TS MC2020'!P284-$C292/$AP$8)*($AP$5*$G292+$AP$6*$B292/$N292)/200000</f>
        <v>0.36375923792301496</v>
      </c>
      <c r="AP292" s="5">
        <f t="shared" si="48"/>
        <v>1.3472564367519071</v>
      </c>
      <c r="AQ292" s="20">
        <f t="shared" si="49"/>
        <v>9.3759237923014938E-2</v>
      </c>
    </row>
    <row r="293" spans="1:43" x14ac:dyDescent="0.25">
      <c r="A293" s="1" t="s">
        <v>86</v>
      </c>
      <c r="B293" s="3">
        <v>19.100000000000001</v>
      </c>
      <c r="C293" s="4">
        <v>392</v>
      </c>
      <c r="D293" s="4">
        <v>2</v>
      </c>
      <c r="E293" s="3">
        <v>40</v>
      </c>
      <c r="F293" s="5">
        <v>3.3538794827423901</v>
      </c>
      <c r="G293" s="3">
        <v>30</v>
      </c>
      <c r="H293" s="3">
        <v>39.5</v>
      </c>
      <c r="I293" s="1">
        <v>150</v>
      </c>
      <c r="J293" s="3">
        <v>250</v>
      </c>
      <c r="K293" s="4">
        <v>573</v>
      </c>
      <c r="L293" s="5">
        <v>20250</v>
      </c>
      <c r="M293" s="4">
        <v>77.918977712586099</v>
      </c>
      <c r="N293" s="10">
        <v>2.8296296296296299E-2</v>
      </c>
      <c r="O293" s="5">
        <v>31.3</v>
      </c>
      <c r="P293" s="4">
        <v>243.78106781095099</v>
      </c>
      <c r="Q293" s="5">
        <v>0.18</v>
      </c>
      <c r="R293" s="11">
        <f t="shared" si="40"/>
        <v>1.2189053390547549E-3</v>
      </c>
      <c r="V293" s="5">
        <f t="shared" si="41"/>
        <v>0.26281331825153531</v>
      </c>
      <c r="W293" s="5">
        <f t="shared" si="42"/>
        <v>1.4600739902863074</v>
      </c>
      <c r="Y293" s="5">
        <f t="shared" si="43"/>
        <v>0.26064228451975402</v>
      </c>
      <c r="Z293" s="5">
        <f t="shared" si="44"/>
        <v>1.4480126917764113</v>
      </c>
      <c r="AB293" s="5">
        <f>$AC$2*($AC$3+$AC$4*$F293/($N293*'Sem TS MC2020'!P285))*($AC$5*$G293+$AC$6*$B293/$N293)*'Sem TS MC2020'!R285*($J293-$M293)/($J293-$M293-$H293)</f>
        <v>0.25134600086075881</v>
      </c>
      <c r="AC293" s="5">
        <f t="shared" si="45"/>
        <v>1.3963666714486602</v>
      </c>
      <c r="AD293" s="20">
        <f t="shared" si="46"/>
        <v>7.1346000860758818E-2</v>
      </c>
      <c r="AE293" s="21">
        <f t="shared" si="47"/>
        <v>0.71614427674827719</v>
      </c>
      <c r="AF293" s="21">
        <f>AB293*(14.068*'Sem TS MC2020'!$P285^-0.457)/$Q293</f>
        <v>1.4582571888667704</v>
      </c>
      <c r="AG293" s="21"/>
      <c r="AO293" s="5">
        <f>$AP$2*($AP$3+$AP$4*$F293/($N293*'Sem TS MC2020'!P285))*($AP$5*$G293+$AP$6*$B293/$N293)*('Sem TS MC2020'!P285^$AP$7/200000)*($J293-$M293)/($J293-$M293-$H293)+('Sem TS MC2020'!P285-$C293/$AP$8)*($AP$5*$G293+$AP$6*$B293/$N293)/200000</f>
        <v>0.26678593044453669</v>
      </c>
      <c r="AP293" s="5">
        <f t="shared" si="48"/>
        <v>1.4821440580252039</v>
      </c>
      <c r="AQ293" s="20">
        <f t="shared" si="49"/>
        <v>8.6785930444536696E-2</v>
      </c>
    </row>
    <row r="294" spans="1:43" x14ac:dyDescent="0.25">
      <c r="B294" s="3">
        <v>19.100000000000001</v>
      </c>
      <c r="C294" s="4">
        <v>392</v>
      </c>
      <c r="D294" s="4">
        <v>2</v>
      </c>
      <c r="E294" s="3">
        <v>40</v>
      </c>
      <c r="F294" s="5">
        <v>3.3538794827423901</v>
      </c>
      <c r="G294" s="3">
        <v>30</v>
      </c>
      <c r="H294" s="3">
        <v>39.5</v>
      </c>
      <c r="I294" s="1">
        <v>150</v>
      </c>
      <c r="J294" s="3">
        <v>250</v>
      </c>
      <c r="K294" s="4">
        <v>573</v>
      </c>
      <c r="L294" s="5">
        <v>20250</v>
      </c>
      <c r="M294" s="4">
        <v>77.918977712586099</v>
      </c>
      <c r="N294" s="10">
        <v>2.8296296296296299E-2</v>
      </c>
      <c r="O294" s="5">
        <v>35.1</v>
      </c>
      <c r="P294" s="4">
        <v>290.20798009719499</v>
      </c>
      <c r="Q294" s="5">
        <v>0.19</v>
      </c>
      <c r="R294" s="11">
        <f t="shared" si="40"/>
        <v>1.451039900485975E-3</v>
      </c>
      <c r="V294" s="5">
        <f t="shared" si="41"/>
        <v>0.29265776678817773</v>
      </c>
      <c r="W294" s="5">
        <f t="shared" si="42"/>
        <v>1.5403040357272513</v>
      </c>
      <c r="Y294" s="5">
        <f t="shared" si="43"/>
        <v>0.29079729428113438</v>
      </c>
      <c r="Z294" s="5">
        <f t="shared" si="44"/>
        <v>1.5305120751638652</v>
      </c>
      <c r="AB294" s="5">
        <f>$AC$2*($AC$3+$AC$4*$F294/($N294*'Sem TS MC2020'!P286))*($AC$5*$G294+$AC$6*$B294/$N294)*'Sem TS MC2020'!R286*($J294-$M294)/($J294-$M294-$H294)</f>
        <v>0.29035912654398749</v>
      </c>
      <c r="AC294" s="5">
        <f t="shared" si="45"/>
        <v>1.5282059291788814</v>
      </c>
      <c r="AD294" s="20">
        <f t="shared" si="46"/>
        <v>0.10035912654398749</v>
      </c>
      <c r="AE294" s="21">
        <f t="shared" si="47"/>
        <v>0.6543620731384735</v>
      </c>
      <c r="AF294" s="21">
        <f>AB294*(14.068*'Sem TS MC2020'!$P286^-0.457)/$Q294</f>
        <v>1.5145197529707572</v>
      </c>
      <c r="AG294" s="21"/>
      <c r="AO294" s="5">
        <f>$AP$2*($AP$3+$AP$4*$F294/($N294*'Sem TS MC2020'!P286))*($AP$5*$G294+$AP$6*$B294/$N294)*('Sem TS MC2020'!P286^$AP$7/200000)*($J294-$M294)/($J294-$M294-$H294)+('Sem TS MC2020'!P286-$C294/$AP$8)*($AP$5*$G294+$AP$6*$B294/$N294)/200000</f>
        <v>0.30365238593524668</v>
      </c>
      <c r="AP294" s="5">
        <f t="shared" si="48"/>
        <v>1.598170452290772</v>
      </c>
      <c r="AQ294" s="20">
        <f t="shared" si="49"/>
        <v>0.11365238593524668</v>
      </c>
    </row>
    <row r="295" spans="1:43" x14ac:dyDescent="0.25">
      <c r="B295" s="3">
        <v>19.100000000000001</v>
      </c>
      <c r="C295" s="4">
        <v>392</v>
      </c>
      <c r="D295" s="4">
        <v>2</v>
      </c>
      <c r="E295" s="3">
        <v>40</v>
      </c>
      <c r="F295" s="5">
        <v>3.3538794827423901</v>
      </c>
      <c r="G295" s="3">
        <v>30</v>
      </c>
      <c r="H295" s="3">
        <v>39.5</v>
      </c>
      <c r="I295" s="1">
        <v>150</v>
      </c>
      <c r="J295" s="3">
        <v>250</v>
      </c>
      <c r="K295" s="4">
        <v>573</v>
      </c>
      <c r="L295" s="5">
        <v>20250</v>
      </c>
      <c r="M295" s="4">
        <v>77.918977712586099</v>
      </c>
      <c r="N295" s="10">
        <v>2.8296296296296299E-2</v>
      </c>
      <c r="O295" s="5">
        <v>39.1</v>
      </c>
      <c r="P295" s="4">
        <v>339.07841408271599</v>
      </c>
      <c r="Q295" s="5">
        <v>0.21</v>
      </c>
      <c r="R295" s="11">
        <f t="shared" si="40"/>
        <v>1.6953920704135799E-3</v>
      </c>
      <c r="V295" s="5">
        <f t="shared" si="41"/>
        <v>0.32215403361750183</v>
      </c>
      <c r="W295" s="5">
        <f t="shared" si="42"/>
        <v>1.5340668267500088</v>
      </c>
      <c r="Y295" s="5">
        <f t="shared" si="43"/>
        <v>0.32065452960879148</v>
      </c>
      <c r="Z295" s="5">
        <f t="shared" si="44"/>
        <v>1.5269263314704358</v>
      </c>
      <c r="AB295" s="5">
        <f>$AC$2*($AC$3+$AC$4*$F295/($N295*'Sem TS MC2020'!P287))*($AC$5*$G295+$AC$6*$B295/$N295)*'Sem TS MC2020'!R287*($J295-$M295)/($J295-$M295-$H295)</f>
        <v>0.33142557463159655</v>
      </c>
      <c r="AC295" s="5">
        <f t="shared" si="45"/>
        <v>1.5782170220552219</v>
      </c>
      <c r="AD295" s="20">
        <f t="shared" si="46"/>
        <v>0.12142557463159656</v>
      </c>
      <c r="AE295" s="21">
        <f t="shared" si="47"/>
        <v>0.6336264189431674</v>
      </c>
      <c r="AF295" s="21">
        <f>AB295*(14.068*'Sem TS MC2020'!$P287^-0.457)/$Q295</f>
        <v>1.4888137082665356</v>
      </c>
      <c r="AG295" s="21"/>
      <c r="AO295" s="5">
        <f>$AP$2*($AP$3+$AP$4*$F295/($N295*'Sem TS MC2020'!P287))*($AP$5*$G295+$AP$6*$B295/$N295)*('Sem TS MC2020'!P287^$AP$7/200000)*($J295-$M295)/($J295-$M295-$H295)+('Sem TS MC2020'!P287-$C295/$AP$8)*($AP$5*$G295+$AP$6*$B295/$N295)/200000</f>
        <v>0.34157665930462416</v>
      </c>
      <c r="AP295" s="5">
        <f t="shared" si="48"/>
        <v>1.6265555204982103</v>
      </c>
      <c r="AQ295" s="20">
        <f t="shared" si="49"/>
        <v>0.13157665930462417</v>
      </c>
    </row>
    <row r="296" spans="1:43" x14ac:dyDescent="0.25">
      <c r="B296" s="3">
        <v>19.100000000000001</v>
      </c>
      <c r="C296" s="4">
        <v>392</v>
      </c>
      <c r="D296" s="4">
        <v>2</v>
      </c>
      <c r="E296" s="3">
        <v>40</v>
      </c>
      <c r="F296" s="5">
        <v>3.3538794827423901</v>
      </c>
      <c r="G296" s="3">
        <v>30</v>
      </c>
      <c r="H296" s="3">
        <v>39.5</v>
      </c>
      <c r="I296" s="1">
        <v>150</v>
      </c>
      <c r="J296" s="3">
        <v>250</v>
      </c>
      <c r="K296" s="4">
        <v>573</v>
      </c>
      <c r="L296" s="5">
        <v>20250</v>
      </c>
      <c r="M296" s="4">
        <v>77.918977712586099</v>
      </c>
      <c r="N296" s="10">
        <v>2.8296296296296299E-2</v>
      </c>
      <c r="O296" s="5">
        <v>43.1</v>
      </c>
      <c r="P296" s="4">
        <v>368.149462034831</v>
      </c>
      <c r="Q296" s="5">
        <v>0.26</v>
      </c>
      <c r="R296" s="11">
        <f t="shared" si="40"/>
        <v>1.840747310174155E-3</v>
      </c>
      <c r="V296" s="5">
        <f t="shared" si="41"/>
        <v>0.33892632148312007</v>
      </c>
      <c r="W296" s="5">
        <f t="shared" si="42"/>
        <v>1.3035627749350771</v>
      </c>
      <c r="Y296" s="5">
        <f t="shared" si="43"/>
        <v>0.33765413154569462</v>
      </c>
      <c r="Z296" s="5">
        <f t="shared" si="44"/>
        <v>1.2986697367142102</v>
      </c>
      <c r="AB296" s="5">
        <f>$AC$2*($AC$3+$AC$4*$F296/($N296*'Sem TS MC2020'!P288))*($AC$5*$G296+$AC$6*$B296/$N296)*'Sem TS MC2020'!R288*($J296-$M296)/($J296-$M296-$H296)</f>
        <v>0.3558543464720853</v>
      </c>
      <c r="AC296" s="5">
        <f t="shared" si="45"/>
        <v>1.3686705633541743</v>
      </c>
      <c r="AD296" s="20">
        <f t="shared" si="46"/>
        <v>9.5854346472085294E-2</v>
      </c>
      <c r="AE296" s="21">
        <f t="shared" si="47"/>
        <v>0.73063601042848436</v>
      </c>
      <c r="AF296" s="21">
        <f>AB296*(14.068*'Sem TS MC2020'!$P288^-0.457)/$Q296</f>
        <v>1.2567466018714843</v>
      </c>
      <c r="AG296" s="21"/>
      <c r="AO296" s="5">
        <f>$AP$2*($AP$3+$AP$4*$F296/($N296*'Sem TS MC2020'!P288))*($AP$5*$G296+$AP$6*$B296/$N296)*('Sem TS MC2020'!P288^$AP$7/200000)*($J296-$M296)/($J296-$M296-$H296)+('Sem TS MC2020'!P288-$C296/$AP$8)*($AP$5*$G296+$AP$6*$B296/$N296)/200000</f>
        <v>0.36375923792301496</v>
      </c>
      <c r="AP296" s="5">
        <f t="shared" si="48"/>
        <v>1.399073992011596</v>
      </c>
      <c r="AQ296" s="20">
        <f t="shared" si="49"/>
        <v>0.10375923792301495</v>
      </c>
    </row>
    <row r="297" spans="1:43" x14ac:dyDescent="0.25">
      <c r="A297" s="1" t="s">
        <v>87</v>
      </c>
      <c r="B297" s="3">
        <v>19.100000000000001</v>
      </c>
      <c r="C297" s="4">
        <v>276</v>
      </c>
      <c r="D297" s="4">
        <v>2</v>
      </c>
      <c r="E297" s="3">
        <v>69.8</v>
      </c>
      <c r="F297" s="5">
        <v>2.9003288251790802</v>
      </c>
      <c r="G297" s="3">
        <v>31.8</v>
      </c>
      <c r="H297" s="3">
        <v>41.4</v>
      </c>
      <c r="I297" s="1">
        <v>152.4</v>
      </c>
      <c r="J297" s="3">
        <v>381</v>
      </c>
      <c r="K297" s="4">
        <v>568</v>
      </c>
      <c r="L297" s="5">
        <v>20863.560000000001</v>
      </c>
      <c r="M297" s="4">
        <v>105.951899677992</v>
      </c>
      <c r="N297" s="10">
        <v>2.72245005166903E-2</v>
      </c>
      <c r="O297" s="5">
        <v>35.088900000000002</v>
      </c>
      <c r="P297" s="4">
        <v>131.31218431194301</v>
      </c>
      <c r="Q297" s="5">
        <v>0.17</v>
      </c>
      <c r="R297" s="11">
        <f t="shared" si="40"/>
        <v>6.5656092155971508E-4</v>
      </c>
      <c r="V297" s="5">
        <f t="shared" si="41"/>
        <v>0.1823164887016413</v>
      </c>
      <c r="W297" s="5">
        <f t="shared" si="42"/>
        <v>1.0724499335390665</v>
      </c>
      <c r="Y297" s="5">
        <f t="shared" si="43"/>
        <v>0.17954866730318958</v>
      </c>
      <c r="Z297" s="5">
        <f t="shared" si="44"/>
        <v>1.0561686311952327</v>
      </c>
      <c r="AB297" s="5">
        <f>$AC$2*($AC$3+$AC$4*$F297/($N297*'Sem TS MC2020'!P289))*($AC$5*$G297+$AC$6*$B297/$N297)*'Sem TS MC2020'!R289*($J297-$M297)/($J297-$M297-$H297)</f>
        <v>0.14915156231418092</v>
      </c>
      <c r="AC297" s="5">
        <f t="shared" si="45"/>
        <v>0.87736213125988771</v>
      </c>
      <c r="AD297" s="20">
        <f t="shared" si="46"/>
        <v>-2.0848437685819093E-2</v>
      </c>
      <c r="AE297" s="21">
        <f t="shared" si="47"/>
        <v>1.1397802165954039</v>
      </c>
      <c r="AF297" s="21">
        <f>AB297*(14.068*'Sem TS MC2020'!$P289^-0.457)/$Q297</f>
        <v>1.0885880574240472</v>
      </c>
      <c r="AG297" s="21"/>
      <c r="AO297" s="5">
        <f>$AP$2*($AP$3+$AP$4*$F297/($N297*'Sem TS MC2020'!P289))*($AP$5*$G297+$AP$6*$B297/$N297)*('Sem TS MC2020'!P289^$AP$7/200000)*($J297-$M297)/($J297-$M297-$H297)+('Sem TS MC2020'!P289-$C297/$AP$8)*($AP$5*$G297+$AP$6*$B297/$N297)/200000</f>
        <v>0.16921282695416762</v>
      </c>
      <c r="AP297" s="5">
        <f t="shared" si="48"/>
        <v>0.99536957031863293</v>
      </c>
      <c r="AQ297" s="20">
        <f t="shared" si="49"/>
        <v>-7.8717304583239556E-4</v>
      </c>
    </row>
    <row r="298" spans="1:43" x14ac:dyDescent="0.25">
      <c r="B298" s="3">
        <v>19.100000000000001</v>
      </c>
      <c r="C298" s="4">
        <v>276</v>
      </c>
      <c r="D298" s="4">
        <v>2</v>
      </c>
      <c r="E298" s="3">
        <v>69.8</v>
      </c>
      <c r="F298" s="5">
        <v>2.9003288251790802</v>
      </c>
      <c r="G298" s="3">
        <v>31.8</v>
      </c>
      <c r="H298" s="3">
        <v>41.4</v>
      </c>
      <c r="I298" s="1">
        <v>152.4</v>
      </c>
      <c r="J298" s="3">
        <v>381</v>
      </c>
      <c r="K298" s="4">
        <v>568</v>
      </c>
      <c r="L298" s="5">
        <v>20863.560000000001</v>
      </c>
      <c r="M298" s="4">
        <v>105.951899677992</v>
      </c>
      <c r="N298" s="10">
        <v>2.72245005166903E-2</v>
      </c>
      <c r="O298" s="5">
        <v>42.257599999999996</v>
      </c>
      <c r="P298" s="4">
        <v>183.72363442547999</v>
      </c>
      <c r="Q298" s="5">
        <v>0.23</v>
      </c>
      <c r="R298" s="11">
        <f t="shared" si="40"/>
        <v>9.1861817212739996E-4</v>
      </c>
      <c r="V298" s="5">
        <f t="shared" si="41"/>
        <v>0.2242960211070488</v>
      </c>
      <c r="W298" s="5">
        <f t="shared" si="42"/>
        <v>0.97520009176977729</v>
      </c>
      <c r="Y298" s="5">
        <f t="shared" si="43"/>
        <v>0.22170846107143552</v>
      </c>
      <c r="Z298" s="5">
        <f t="shared" si="44"/>
        <v>0.96394983074537177</v>
      </c>
      <c r="AB298" s="5">
        <f>$AC$2*($AC$3+$AC$4*$F298/($N298*'Sem TS MC2020'!P290))*($AC$5*$G298+$AC$6*$B298/$N298)*'Sem TS MC2020'!R290*($J298-$M298)/($J298-$M298-$H298)</f>
        <v>0.19179810757920662</v>
      </c>
      <c r="AC298" s="5">
        <f t="shared" si="45"/>
        <v>0.83390481556176788</v>
      </c>
      <c r="AD298" s="20">
        <f t="shared" si="46"/>
        <v>-3.8201892420793387E-2</v>
      </c>
      <c r="AE298" s="21">
        <f t="shared" si="47"/>
        <v>1.1991776295551675</v>
      </c>
      <c r="AF298" s="21">
        <f>AB298*(14.068*'Sem TS MC2020'!$P290^-0.457)/$Q298</f>
        <v>0.95039738558545916</v>
      </c>
      <c r="AG298" s="21"/>
      <c r="AO298" s="5">
        <f>$AP$2*($AP$3+$AP$4*$F298/($N298*'Sem TS MC2020'!P290))*($AP$5*$G298+$AP$6*$B298/$N298)*('Sem TS MC2020'!P290^$AP$7/200000)*($J298-$M298)/($J298-$M298-$H298)+('Sem TS MC2020'!P290-$C298/$AP$8)*($AP$5*$G298+$AP$6*$B298/$N298)/200000</f>
        <v>0.21259003550528618</v>
      </c>
      <c r="AP298" s="5">
        <f t="shared" si="48"/>
        <v>0.92430450219689642</v>
      </c>
      <c r="AQ298" s="20">
        <f t="shared" si="49"/>
        <v>-1.7409964494713825E-2</v>
      </c>
    </row>
    <row r="299" spans="1:43" x14ac:dyDescent="0.25">
      <c r="B299" s="3">
        <v>19.100000000000001</v>
      </c>
      <c r="C299" s="4">
        <v>276</v>
      </c>
      <c r="D299" s="4">
        <v>2</v>
      </c>
      <c r="E299" s="3">
        <v>69.8</v>
      </c>
      <c r="F299" s="5">
        <v>2.9003288251790802</v>
      </c>
      <c r="G299" s="3">
        <v>31.8</v>
      </c>
      <c r="H299" s="3">
        <v>41.4</v>
      </c>
      <c r="I299" s="1">
        <v>152.4</v>
      </c>
      <c r="J299" s="3">
        <v>381</v>
      </c>
      <c r="K299" s="4">
        <v>568</v>
      </c>
      <c r="L299" s="5">
        <v>20863.560000000001</v>
      </c>
      <c r="M299" s="4">
        <v>105.951899677992</v>
      </c>
      <c r="N299" s="10">
        <v>2.72245005166903E-2</v>
      </c>
      <c r="O299" s="5">
        <v>48.808900000000001</v>
      </c>
      <c r="P299" s="4">
        <v>223.27421245905401</v>
      </c>
      <c r="Q299" s="5">
        <v>0.27</v>
      </c>
      <c r="R299" s="11">
        <f t="shared" si="40"/>
        <v>1.11637106229527E-3</v>
      </c>
      <c r="V299" s="5">
        <f t="shared" si="41"/>
        <v>0.25296774099818831</v>
      </c>
      <c r="W299" s="5">
        <f t="shared" si="42"/>
        <v>0.93691755925254927</v>
      </c>
      <c r="Y299" s="5">
        <f t="shared" si="43"/>
        <v>0.25058625714296584</v>
      </c>
      <c r="Z299" s="5">
        <f t="shared" si="44"/>
        <v>0.9280972486776512</v>
      </c>
      <c r="AB299" s="5">
        <f>$AC$2*($AC$3+$AC$4*$F299/($N299*'Sem TS MC2020'!P291))*($AC$5*$G299+$AC$6*$B299/$N299)*'Sem TS MC2020'!R291*($J299-$M299)/($J299-$M299-$H299)</f>
        <v>0.2239799211469089</v>
      </c>
      <c r="AC299" s="5">
        <f t="shared" si="45"/>
        <v>0.82955526350706998</v>
      </c>
      <c r="AD299" s="20">
        <f t="shared" si="46"/>
        <v>-4.6020078853091118E-2</v>
      </c>
      <c r="AE299" s="21">
        <f t="shared" si="47"/>
        <v>1.2054651980295432</v>
      </c>
      <c r="AF299" s="21">
        <f>AB299*(14.068*'Sem TS MC2020'!$P291^-0.457)/$Q299</f>
        <v>0.89480026746532748</v>
      </c>
      <c r="AG299" s="21"/>
      <c r="AO299" s="5">
        <f>$AP$2*($AP$3+$AP$4*$F299/($N299*'Sem TS MC2020'!P291))*($AP$5*$G299+$AP$6*$B299/$N299)*('Sem TS MC2020'!P291^$AP$7/200000)*($J299-$M299)/($J299-$M299-$H299)+('Sem TS MC2020'!P291-$C299/$AP$8)*($AP$5*$G299+$AP$6*$B299/$N299)/200000</f>
        <v>0.24427003267070974</v>
      </c>
      <c r="AP299" s="5">
        <f t="shared" si="48"/>
        <v>0.90470382470633226</v>
      </c>
      <c r="AQ299" s="20">
        <f t="shared" si="49"/>
        <v>-2.5729967329290282E-2</v>
      </c>
    </row>
    <row r="300" spans="1:43" x14ac:dyDescent="0.25">
      <c r="A300" s="1" t="s">
        <v>88</v>
      </c>
      <c r="B300" s="3">
        <v>19.100000000000001</v>
      </c>
      <c r="C300" s="4">
        <v>276</v>
      </c>
      <c r="D300" s="4">
        <v>2</v>
      </c>
      <c r="E300" s="3">
        <v>69.8</v>
      </c>
      <c r="F300" s="5">
        <v>2.8466918957142102</v>
      </c>
      <c r="G300" s="3">
        <v>31.8</v>
      </c>
      <c r="H300" s="3">
        <v>41.4</v>
      </c>
      <c r="I300" s="1">
        <v>152.4</v>
      </c>
      <c r="J300" s="3">
        <v>381</v>
      </c>
      <c r="K300" s="4">
        <v>568</v>
      </c>
      <c r="L300" s="5">
        <v>20863.560000000001</v>
      </c>
      <c r="M300" s="4">
        <v>106.355513236104</v>
      </c>
      <c r="N300" s="10">
        <v>2.72245005166903E-2</v>
      </c>
      <c r="O300" s="5">
        <v>48.808900000000001</v>
      </c>
      <c r="P300" s="4">
        <v>224.17342621352</v>
      </c>
      <c r="Q300" s="5">
        <v>0.16</v>
      </c>
      <c r="R300" s="11">
        <f t="shared" si="40"/>
        <v>1.1208671310675999E-3</v>
      </c>
      <c r="V300" s="5">
        <f t="shared" si="41"/>
        <v>0.25359585753173697</v>
      </c>
      <c r="W300" s="5">
        <f t="shared" si="42"/>
        <v>1.584974109573356</v>
      </c>
      <c r="Y300" s="5">
        <f t="shared" si="43"/>
        <v>0.25121956724618666</v>
      </c>
      <c r="Z300" s="5">
        <f t="shared" si="44"/>
        <v>1.5701222952886666</v>
      </c>
      <c r="AB300" s="5">
        <f>$AC$2*($AC$3+$AC$4*$F300/($N300*'Sem TS MC2020'!P292))*($AC$5*$G300+$AC$6*$B300/$N300)*'Sem TS MC2020'!R292*($J300-$M300)/($J300-$M300-$H300)</f>
        <v>0.22514060612865844</v>
      </c>
      <c r="AC300" s="5">
        <f t="shared" si="45"/>
        <v>1.4071287883041153</v>
      </c>
      <c r="AD300" s="20">
        <f t="shared" si="46"/>
        <v>6.5140606128658435E-2</v>
      </c>
      <c r="AE300" s="21">
        <f t="shared" si="47"/>
        <v>0.71066700383922166</v>
      </c>
      <c r="AF300" s="21">
        <f>AB300*(14.068*'Sem TS MC2020'!$P292^-0.457)/$Q300</f>
        <v>1.5178002859142292</v>
      </c>
      <c r="AG300" s="21"/>
      <c r="AO300" s="5">
        <f>$AP$2*($AP$3+$AP$4*$F300/($N300*'Sem TS MC2020'!P292))*($AP$5*$G300+$AP$6*$B300/$N300)*('Sem TS MC2020'!P292^$AP$7/200000)*($J300-$M300)/($J300-$M300-$H300)+('Sem TS MC2020'!P292-$C300/$AP$8)*($AP$5*$G300+$AP$6*$B300/$N300)/200000</f>
        <v>0.24551357557892123</v>
      </c>
      <c r="AP300" s="5">
        <f t="shared" si="48"/>
        <v>1.5344598473682576</v>
      </c>
      <c r="AQ300" s="20">
        <f t="shared" si="49"/>
        <v>8.5513575578921225E-2</v>
      </c>
    </row>
    <row r="301" spans="1:43" x14ac:dyDescent="0.25">
      <c r="A301" s="1" t="s">
        <v>89</v>
      </c>
      <c r="B301" s="3">
        <v>19.100000000000001</v>
      </c>
      <c r="C301" s="4">
        <v>276</v>
      </c>
      <c r="D301" s="4">
        <v>2</v>
      </c>
      <c r="E301" s="3">
        <v>69.8</v>
      </c>
      <c r="F301" s="5">
        <v>2.7113214734883302</v>
      </c>
      <c r="G301" s="3">
        <v>38.200000000000003</v>
      </c>
      <c r="H301" s="3">
        <v>47.7</v>
      </c>
      <c r="I301" s="1">
        <v>152.4</v>
      </c>
      <c r="J301" s="3">
        <v>381</v>
      </c>
      <c r="K301" s="4">
        <v>568</v>
      </c>
      <c r="L301" s="5">
        <v>21823.68</v>
      </c>
      <c r="M301" s="4">
        <v>106.225416011626</v>
      </c>
      <c r="N301" s="10">
        <v>2.6026774586137599E-2</v>
      </c>
      <c r="O301" s="5">
        <v>42.257599999999996</v>
      </c>
      <c r="P301" s="4">
        <v>191.764922934407</v>
      </c>
      <c r="Q301" s="5">
        <v>0.16</v>
      </c>
      <c r="R301" s="11">
        <f t="shared" si="40"/>
        <v>9.58824614672035E-4</v>
      </c>
      <c r="V301" s="5">
        <f t="shared" si="41"/>
        <v>0.23459571061555737</v>
      </c>
      <c r="W301" s="5">
        <f t="shared" si="42"/>
        <v>1.4662231913472334</v>
      </c>
      <c r="Y301" s="5">
        <f t="shared" si="43"/>
        <v>0.23203479354088391</v>
      </c>
      <c r="Z301" s="5">
        <f t="shared" si="44"/>
        <v>1.4502174596305244</v>
      </c>
      <c r="AB301" s="5">
        <f>$AC$2*($AC$3+$AC$4*$F301/($N301*'Sem TS MC2020'!P293))*($AC$5*$G301+$AC$6*$B301/$N301)*'Sem TS MC2020'!R293*($J301-$M301)/($J301-$M301-$H301)</f>
        <v>0.22115771984285904</v>
      </c>
      <c r="AC301" s="5">
        <f t="shared" si="45"/>
        <v>1.3822357490178689</v>
      </c>
      <c r="AD301" s="20">
        <f t="shared" si="46"/>
        <v>6.1157719842859032E-2</v>
      </c>
      <c r="AE301" s="21">
        <f t="shared" si="47"/>
        <v>0.72346558878291056</v>
      </c>
      <c r="AF301" s="21">
        <f>AB301*(14.068*'Sem TS MC2020'!$P293^-0.457)/$Q301</f>
        <v>1.56011904773966</v>
      </c>
      <c r="AG301" s="21"/>
      <c r="AO301" s="5">
        <f>$AP$2*($AP$3+$AP$4*$F301/($N301*'Sem TS MC2020'!P293))*($AP$5*$G301+$AP$6*$B301/$N301)*('Sem TS MC2020'!P293^$AP$7/200000)*($J301-$M301)/($J301-$M301-$H301)+('Sem TS MC2020'!P293-$C301/$AP$8)*($AP$5*$G301+$AP$6*$B301/$N301)/200000</f>
        <v>0.24277926433982741</v>
      </c>
      <c r="AP301" s="5">
        <f t="shared" si="48"/>
        <v>1.5173704021239214</v>
      </c>
      <c r="AQ301" s="20">
        <f t="shared" si="49"/>
        <v>8.2779264339827408E-2</v>
      </c>
    </row>
    <row r="302" spans="1:43" x14ac:dyDescent="0.25">
      <c r="B302" s="3">
        <v>19.100000000000001</v>
      </c>
      <c r="C302" s="4">
        <v>276</v>
      </c>
      <c r="D302" s="4">
        <v>2</v>
      </c>
      <c r="E302" s="3">
        <v>69.8</v>
      </c>
      <c r="F302" s="5">
        <v>2.7113214734883302</v>
      </c>
      <c r="G302" s="3">
        <v>38.200000000000003</v>
      </c>
      <c r="H302" s="3">
        <v>47.7</v>
      </c>
      <c r="I302" s="1">
        <v>152.4</v>
      </c>
      <c r="J302" s="3">
        <v>381</v>
      </c>
      <c r="K302" s="4">
        <v>568</v>
      </c>
      <c r="L302" s="5">
        <v>21823.68</v>
      </c>
      <c r="M302" s="4">
        <v>106.225416011626</v>
      </c>
      <c r="N302" s="10">
        <v>2.6026774586137599E-2</v>
      </c>
      <c r="O302" s="5">
        <v>48.808900000000001</v>
      </c>
      <c r="P302" s="4">
        <v>224.52366430869</v>
      </c>
      <c r="Q302" s="5">
        <v>0.2</v>
      </c>
      <c r="R302" s="11">
        <f t="shared" si="40"/>
        <v>1.12261832154345E-3</v>
      </c>
      <c r="V302" s="5">
        <f t="shared" si="41"/>
        <v>0.25857123994153614</v>
      </c>
      <c r="W302" s="5">
        <f t="shared" si="42"/>
        <v>1.2928561997076806</v>
      </c>
      <c r="Y302" s="5">
        <f t="shared" si="43"/>
        <v>0.2561926614907194</v>
      </c>
      <c r="Z302" s="5">
        <f t="shared" si="44"/>
        <v>1.2809633074535969</v>
      </c>
      <c r="AB302" s="5">
        <f>$AC$2*($AC$3+$AC$4*$F302/($N302*'Sem TS MC2020'!P294))*($AC$5*$G302+$AC$6*$B302/$N302)*'Sem TS MC2020'!R294*($J302-$M302)/($J302-$M302-$H302)</f>
        <v>0.25100206021771704</v>
      </c>
      <c r="AC302" s="5">
        <f t="shared" si="45"/>
        <v>1.2550103010885851</v>
      </c>
      <c r="AD302" s="20">
        <f t="shared" si="46"/>
        <v>5.1002060217717027E-2</v>
      </c>
      <c r="AE302" s="21">
        <f t="shared" si="47"/>
        <v>0.79680620878777542</v>
      </c>
      <c r="AF302" s="21">
        <f>AB302*(14.068*'Sem TS MC2020'!$P294^-0.457)/$Q302</f>
        <v>1.3537175912045025</v>
      </c>
      <c r="AG302" s="21"/>
      <c r="AO302" s="5">
        <f>$AP$2*($AP$3+$AP$4*$F302/($N302*'Sem TS MC2020'!P294))*($AP$5*$G302+$AP$6*$B302/$N302)*('Sem TS MC2020'!P294^$AP$7/200000)*($J302-$M302)/($J302-$M302-$H302)+('Sem TS MC2020'!P294-$C302/$AP$8)*($AP$5*$G302+$AP$6*$B302/$N302)/200000</f>
        <v>0.27184155342991373</v>
      </c>
      <c r="AP302" s="5">
        <f t="shared" si="48"/>
        <v>1.3592077671495686</v>
      </c>
      <c r="AQ302" s="20">
        <f t="shared" si="49"/>
        <v>7.1841553429913718E-2</v>
      </c>
    </row>
    <row r="303" spans="1:43" x14ac:dyDescent="0.25">
      <c r="A303" s="1" t="s">
        <v>90</v>
      </c>
      <c r="B303" s="3">
        <v>22.2</v>
      </c>
      <c r="C303" s="4">
        <v>276</v>
      </c>
      <c r="D303" s="4">
        <v>2</v>
      </c>
      <c r="E303" s="3">
        <v>63.6</v>
      </c>
      <c r="F303" s="5">
        <v>2.6879866270061701</v>
      </c>
      <c r="G303" s="3">
        <v>12.8</v>
      </c>
      <c r="H303" s="3">
        <v>23.9</v>
      </c>
      <c r="I303" s="1">
        <v>152.4</v>
      </c>
      <c r="J303" s="3">
        <v>381</v>
      </c>
      <c r="K303" s="4">
        <v>774</v>
      </c>
      <c r="L303" s="5">
        <v>12748.26</v>
      </c>
      <c r="M303" s="4">
        <v>125.501027414761</v>
      </c>
      <c r="N303" s="10">
        <v>6.0714168051169297E-2</v>
      </c>
      <c r="O303" s="5">
        <v>66.198999999999998</v>
      </c>
      <c r="P303" s="4">
        <v>244.57971130479399</v>
      </c>
      <c r="Q303" s="5">
        <v>0.17</v>
      </c>
      <c r="R303" s="11">
        <f t="shared" si="40"/>
        <v>1.22289855652397E-3</v>
      </c>
      <c r="V303" s="5">
        <f t="shared" si="41"/>
        <v>0.21207061946179084</v>
      </c>
      <c r="W303" s="5">
        <f t="shared" si="42"/>
        <v>1.2474742321281813</v>
      </c>
      <c r="Y303" s="5">
        <f t="shared" si="43"/>
        <v>0.21841462723445074</v>
      </c>
      <c r="Z303" s="5">
        <f t="shared" si="44"/>
        <v>1.2847919249085336</v>
      </c>
      <c r="AB303" s="5">
        <f>$AC$2*($AC$3+$AC$4*$F303/($N303*'Sem TS MC2020'!P295))*($AC$5*$G303+$AC$6*$B303/$N303)*'Sem TS MC2020'!R295*($J303-$M303)/($J303-$M303-$H303)</f>
        <v>0.11726028326870769</v>
      </c>
      <c r="AC303" s="5">
        <f t="shared" si="45"/>
        <v>0.68976637216886871</v>
      </c>
      <c r="AD303" s="20">
        <f t="shared" si="46"/>
        <v>-5.2739716731292324E-2</v>
      </c>
      <c r="AE303" s="21">
        <f t="shared" si="47"/>
        <v>1.4497662402062996</v>
      </c>
      <c r="AF303" s="21">
        <f>AB303*(14.068*'Sem TS MC2020'!$P295^-0.457)/$Q303</f>
        <v>0.74964482748371286</v>
      </c>
      <c r="AG303" s="21"/>
      <c r="AO303" s="5">
        <f>$AP$2*($AP$3+$AP$4*$F303/($N303*'Sem TS MC2020'!P295))*($AP$5*$G303+$AP$6*$B303/$N303)*('Sem TS MC2020'!P295^$AP$7/200000)*($J303-$M303)/($J303-$M303-$H303)+('Sem TS MC2020'!P295-$C303/$AP$8)*($AP$5*$G303+$AP$6*$B303/$N303)/200000</f>
        <v>0.12943155838630338</v>
      </c>
      <c r="AP303" s="5">
        <f t="shared" si="48"/>
        <v>0.76136210815472571</v>
      </c>
      <c r="AQ303" s="20">
        <f t="shared" si="49"/>
        <v>-4.0568441613696632E-2</v>
      </c>
    </row>
    <row r="304" spans="1:43" x14ac:dyDescent="0.25">
      <c r="A304" s="1" t="s">
        <v>91</v>
      </c>
      <c r="B304" s="3">
        <v>22.2</v>
      </c>
      <c r="C304" s="4">
        <v>276</v>
      </c>
      <c r="D304" s="4">
        <v>2</v>
      </c>
      <c r="E304" s="3">
        <v>63.6</v>
      </c>
      <c r="F304" s="5">
        <v>2.3846015710371402</v>
      </c>
      <c r="G304" s="3">
        <v>38</v>
      </c>
      <c r="H304" s="3">
        <v>49.1</v>
      </c>
      <c r="I304" s="1">
        <v>152.4</v>
      </c>
      <c r="J304" s="3">
        <v>381</v>
      </c>
      <c r="K304" s="4">
        <v>774</v>
      </c>
      <c r="L304" s="5">
        <v>24399.24</v>
      </c>
      <c r="M304" s="4">
        <v>122.856933294706</v>
      </c>
      <c r="N304" s="10">
        <v>3.17222995470351E-2</v>
      </c>
      <c r="O304" s="5">
        <v>43.938299999999998</v>
      </c>
      <c r="P304" s="4">
        <v>140.827277262883</v>
      </c>
      <c r="Q304" s="5">
        <v>0.15</v>
      </c>
      <c r="R304" s="11">
        <f t="shared" si="40"/>
        <v>7.0413638631441498E-4</v>
      </c>
      <c r="V304" s="5">
        <f t="shared" si="41"/>
        <v>0.19754548547492898</v>
      </c>
      <c r="W304" s="5">
        <f t="shared" si="42"/>
        <v>1.3169699031661932</v>
      </c>
      <c r="Y304" s="5">
        <f t="shared" si="43"/>
        <v>0.19595799200591946</v>
      </c>
      <c r="Z304" s="5">
        <f t="shared" si="44"/>
        <v>1.3063866133727964</v>
      </c>
      <c r="AB304" s="5">
        <f>$AC$2*($AC$3+$AC$4*$F304/($N304*'Sem TS MC2020'!P296))*($AC$5*$G304+$AC$6*$B304/$N304)*'Sem TS MC2020'!R296*($J304-$M304)/($J304-$M304-$H304)</f>
        <v>0.17391535424949262</v>
      </c>
      <c r="AC304" s="5">
        <f t="shared" si="45"/>
        <v>1.1594356949966176</v>
      </c>
      <c r="AD304" s="20">
        <f t="shared" si="46"/>
        <v>2.3915354249492621E-2</v>
      </c>
      <c r="AE304" s="21">
        <f t="shared" si="47"/>
        <v>0.86248854017118848</v>
      </c>
      <c r="AF304" s="21">
        <f>AB304*(14.068*'Sem TS MC2020'!$P296^-0.457)/$Q304</f>
        <v>1.4649327725417234</v>
      </c>
      <c r="AG304" s="21"/>
      <c r="AO304" s="5">
        <f>$AP$2*($AP$3+$AP$4*$F304/($N304*'Sem TS MC2020'!P296))*($AP$5*$G304+$AP$6*$B304/$N304)*('Sem TS MC2020'!P296^$AP$7/200000)*($J304-$M304)/($J304-$M304-$H304)+('Sem TS MC2020'!P296-$C304/$AP$8)*($AP$5*$G304+$AP$6*$B304/$N304)/200000</f>
        <v>0.19654286096199364</v>
      </c>
      <c r="AP304" s="5">
        <f t="shared" si="48"/>
        <v>1.3102857397466243</v>
      </c>
      <c r="AQ304" s="20">
        <f t="shared" si="49"/>
        <v>4.6542860961993643E-2</v>
      </c>
    </row>
    <row r="305" spans="1:43" x14ac:dyDescent="0.25">
      <c r="B305" s="3">
        <v>22.2</v>
      </c>
      <c r="C305" s="4">
        <v>276</v>
      </c>
      <c r="D305" s="4">
        <v>2</v>
      </c>
      <c r="E305" s="3">
        <v>63.6</v>
      </c>
      <c r="F305" s="5">
        <v>2.3846015710371402</v>
      </c>
      <c r="G305" s="3">
        <v>38</v>
      </c>
      <c r="H305" s="3">
        <v>49.1</v>
      </c>
      <c r="I305" s="1">
        <v>152.4</v>
      </c>
      <c r="J305" s="3">
        <v>381</v>
      </c>
      <c r="K305" s="4">
        <v>774</v>
      </c>
      <c r="L305" s="5">
        <v>24399.24</v>
      </c>
      <c r="M305" s="4">
        <v>122.856933294706</v>
      </c>
      <c r="N305" s="10">
        <v>3.17222995470351E-2</v>
      </c>
      <c r="O305" s="5">
        <v>51.106999999999999</v>
      </c>
      <c r="P305" s="4">
        <v>178.83384524302599</v>
      </c>
      <c r="Q305" s="5">
        <v>0.19</v>
      </c>
      <c r="R305" s="11">
        <f t="shared" si="40"/>
        <v>8.9416922621512996E-4</v>
      </c>
      <c r="V305" s="5">
        <f t="shared" si="41"/>
        <v>0.2289226887673983</v>
      </c>
      <c r="W305" s="5">
        <f t="shared" si="42"/>
        <v>1.2048562566705174</v>
      </c>
      <c r="Y305" s="5">
        <f t="shared" si="43"/>
        <v>0.22768063911960559</v>
      </c>
      <c r="Z305" s="5">
        <f t="shared" si="44"/>
        <v>1.198319153261082</v>
      </c>
      <c r="AB305" s="5">
        <f>$AC$2*($AC$3+$AC$4*$F305/($N305*'Sem TS MC2020'!P297))*($AC$5*$G305+$AC$6*$B305/$N305)*'Sem TS MC2020'!R297*($J305-$M305)/($J305-$M305-$H305)</f>
        <v>0.20981493224444273</v>
      </c>
      <c r="AC305" s="5">
        <f t="shared" si="45"/>
        <v>1.1042891170760143</v>
      </c>
      <c r="AD305" s="20">
        <f t="shared" si="46"/>
        <v>1.9814932244442723E-2</v>
      </c>
      <c r="AE305" s="21">
        <f t="shared" si="47"/>
        <v>0.90555995213268459</v>
      </c>
      <c r="AF305" s="21">
        <f>AB305*(14.068*'Sem TS MC2020'!$P297^-0.457)/$Q305</f>
        <v>1.3021399038844761</v>
      </c>
      <c r="AG305" s="21"/>
      <c r="AO305" s="5">
        <f>$AP$2*($AP$3+$AP$4*$F305/($N305*'Sem TS MC2020'!P297))*($AP$5*$G305+$AP$6*$B305/$N305)*('Sem TS MC2020'!P297^$AP$7/200000)*($J305-$M305)/($J305-$M305-$H305)+('Sem TS MC2020'!P297-$C305/$AP$8)*($AP$5*$G305+$AP$6*$B305/$N305)/200000</f>
        <v>0.23254613104250146</v>
      </c>
      <c r="AP305" s="5">
        <f t="shared" si="48"/>
        <v>1.2239270054868499</v>
      </c>
      <c r="AQ305" s="20">
        <f t="shared" si="49"/>
        <v>4.2546131042501462E-2</v>
      </c>
    </row>
    <row r="306" spans="1:43" x14ac:dyDescent="0.25">
      <c r="B306" s="3">
        <v>22.2</v>
      </c>
      <c r="C306" s="4">
        <v>276</v>
      </c>
      <c r="D306" s="4">
        <v>2</v>
      </c>
      <c r="E306" s="3">
        <v>63.6</v>
      </c>
      <c r="F306" s="5">
        <v>2.3846015710371402</v>
      </c>
      <c r="G306" s="3">
        <v>38</v>
      </c>
      <c r="H306" s="3">
        <v>49.1</v>
      </c>
      <c r="I306" s="1">
        <v>152.4</v>
      </c>
      <c r="J306" s="3">
        <v>381</v>
      </c>
      <c r="K306" s="4">
        <v>774</v>
      </c>
      <c r="L306" s="5">
        <v>24399.24</v>
      </c>
      <c r="M306" s="4">
        <v>122.856933294706</v>
      </c>
      <c r="N306" s="10">
        <v>3.17222995470351E-2</v>
      </c>
      <c r="O306" s="5">
        <v>58.755899999999997</v>
      </c>
      <c r="P306" s="4">
        <v>219.38630772901499</v>
      </c>
      <c r="Q306" s="5">
        <v>0.22</v>
      </c>
      <c r="R306" s="11">
        <f t="shared" si="40"/>
        <v>1.0969315386450749E-3</v>
      </c>
      <c r="V306" s="5">
        <f t="shared" si="41"/>
        <v>0.25968904987819991</v>
      </c>
      <c r="W306" s="5">
        <f t="shared" si="42"/>
        <v>1.1804047721736359</v>
      </c>
      <c r="Y306" s="5">
        <f t="shared" si="43"/>
        <v>0.25886137812287419</v>
      </c>
      <c r="Z306" s="5">
        <f t="shared" si="44"/>
        <v>1.1766426278312463</v>
      </c>
      <c r="AB306" s="5">
        <f>$AC$2*($AC$3+$AC$4*$F306/($N306*'Sem TS MC2020'!P298))*($AC$5*$G306+$AC$6*$B306/$N306)*'Sem TS MC2020'!R298*($J306-$M306)/($J306-$M306-$H306)</f>
        <v>0.24811926666010725</v>
      </c>
      <c r="AC306" s="5">
        <f t="shared" si="45"/>
        <v>1.127814848455033</v>
      </c>
      <c r="AD306" s="20">
        <f t="shared" si="46"/>
        <v>2.8119266660107251E-2</v>
      </c>
      <c r="AE306" s="21">
        <f t="shared" si="47"/>
        <v>0.88667036204557548</v>
      </c>
      <c r="AF306" s="21">
        <f>AB306*(14.068*'Sem TS MC2020'!$P298^-0.457)/$Q306</f>
        <v>1.2477617656777382</v>
      </c>
      <c r="AG306" s="21"/>
      <c r="AO306" s="5">
        <f>$AP$2*($AP$3+$AP$4*$F306/($N306*'Sem TS MC2020'!P298))*($AP$5*$G306+$AP$6*$B306/$N306)*('Sem TS MC2020'!P298^$AP$7/200000)*($J306-$M306)/($J306-$M306-$H306)+('Sem TS MC2020'!P298-$C306/$AP$8)*($AP$5*$G306+$AP$6*$B306/$N306)/200000</f>
        <v>0.26983809167292294</v>
      </c>
      <c r="AP306" s="5">
        <f t="shared" si="48"/>
        <v>1.226536780331468</v>
      </c>
      <c r="AQ306" s="20">
        <f t="shared" si="49"/>
        <v>4.9838091672922941E-2</v>
      </c>
    </row>
    <row r="307" spans="1:43" x14ac:dyDescent="0.25">
      <c r="B307" s="3">
        <v>22.2</v>
      </c>
      <c r="C307" s="4">
        <v>276</v>
      </c>
      <c r="D307" s="4">
        <v>2</v>
      </c>
      <c r="E307" s="3">
        <v>63.6</v>
      </c>
      <c r="F307" s="5">
        <v>2.3846015710371402</v>
      </c>
      <c r="G307" s="3">
        <v>38</v>
      </c>
      <c r="H307" s="3">
        <v>49.1</v>
      </c>
      <c r="I307" s="1">
        <v>152.4</v>
      </c>
      <c r="J307" s="3">
        <v>381</v>
      </c>
      <c r="K307" s="4">
        <v>774</v>
      </c>
      <c r="L307" s="5">
        <v>24399.24</v>
      </c>
      <c r="M307" s="4">
        <v>122.856933294706</v>
      </c>
      <c r="N307" s="10">
        <v>3.17222995470351E-2</v>
      </c>
      <c r="O307" s="5">
        <v>66.198999999999998</v>
      </c>
      <c r="P307" s="4">
        <v>237.16022682785899</v>
      </c>
      <c r="Q307" s="5">
        <v>0.27</v>
      </c>
      <c r="R307" s="11">
        <f t="shared" si="40"/>
        <v>1.1858011341392949E-3</v>
      </c>
      <c r="V307" s="5">
        <f t="shared" si="41"/>
        <v>0.27247595912414968</v>
      </c>
      <c r="W307" s="5">
        <f t="shared" si="42"/>
        <v>1.009170218978332</v>
      </c>
      <c r="Y307" s="5">
        <f t="shared" si="43"/>
        <v>0.27184037911903075</v>
      </c>
      <c r="Z307" s="5">
        <f t="shared" si="44"/>
        <v>1.006816218959373</v>
      </c>
      <c r="AB307" s="5">
        <f>$AC$2*($AC$3+$AC$4*$F307/($N307*'Sem TS MC2020'!P299))*($AC$5*$G307+$AC$6*$B307/$N307)*'Sem TS MC2020'!R299*($J307-$M307)/($J307-$M307-$H307)</f>
        <v>0.26490784371074499</v>
      </c>
      <c r="AC307" s="5">
        <f t="shared" si="45"/>
        <v>0.9811401618916481</v>
      </c>
      <c r="AD307" s="20">
        <f t="shared" si="46"/>
        <v>-5.0921562892550232E-3</v>
      </c>
      <c r="AE307" s="21">
        <f t="shared" si="47"/>
        <v>1.0192223688733626</v>
      </c>
      <c r="AF307" s="21">
        <f>AB307*(14.068*'Sem TS MC2020'!$P299^-0.457)/$Q307</f>
        <v>1.0583074062722035</v>
      </c>
      <c r="AG307" s="21"/>
      <c r="AO307" s="5">
        <f>$AP$2*($AP$3+$AP$4*$F307/($N307*'Sem TS MC2020'!P299))*($AP$5*$G307+$AP$6*$B307/$N307)*('Sem TS MC2020'!P299^$AP$7/200000)*($J307-$M307)/($J307-$M307-$H307)+('Sem TS MC2020'!P299-$C307/$AP$8)*($AP$5*$G307+$AP$6*$B307/$N307)/200000</f>
        <v>0.28587071233567196</v>
      </c>
      <c r="AP307" s="5">
        <f t="shared" si="48"/>
        <v>1.0587804160580443</v>
      </c>
      <c r="AQ307" s="20">
        <f t="shared" si="49"/>
        <v>1.5870712335671944E-2</v>
      </c>
    </row>
    <row r="308" spans="1:43" x14ac:dyDescent="0.25">
      <c r="A308" s="1" t="s">
        <v>92</v>
      </c>
      <c r="B308" s="3">
        <v>22.2</v>
      </c>
      <c r="C308" s="4">
        <v>276</v>
      </c>
      <c r="D308" s="4">
        <v>2</v>
      </c>
      <c r="E308" s="3">
        <v>63.6</v>
      </c>
      <c r="F308" s="5">
        <v>2.8648423476200802</v>
      </c>
      <c r="G308" s="3">
        <v>38</v>
      </c>
      <c r="H308" s="3">
        <v>49.1</v>
      </c>
      <c r="I308" s="1">
        <v>152.4</v>
      </c>
      <c r="J308" s="3">
        <v>381</v>
      </c>
      <c r="K308" s="4">
        <v>774</v>
      </c>
      <c r="L308" s="5">
        <v>24399.24</v>
      </c>
      <c r="M308" s="4">
        <v>118.551137802315</v>
      </c>
      <c r="N308" s="10">
        <v>3.17222995470351E-2</v>
      </c>
      <c r="O308" s="5">
        <v>58.755899999999997</v>
      </c>
      <c r="P308" s="4">
        <v>210.25350299134499</v>
      </c>
      <c r="Q308" s="5">
        <v>0.17</v>
      </c>
      <c r="R308" s="11">
        <f t="shared" si="40"/>
        <v>1.0512675149567249E-3</v>
      </c>
      <c r="V308" s="5">
        <f t="shared" si="41"/>
        <v>0.25296471263819498</v>
      </c>
      <c r="W308" s="5">
        <f t="shared" si="42"/>
        <v>1.4880277214011468</v>
      </c>
      <c r="Y308" s="5">
        <f t="shared" si="43"/>
        <v>0.25204055997467162</v>
      </c>
      <c r="Z308" s="5">
        <f t="shared" si="44"/>
        <v>1.482591529262774</v>
      </c>
      <c r="AB308" s="5">
        <f>$AC$2*($AC$3+$AC$4*$F308/($N308*'Sem TS MC2020'!P300))*($AC$5*$G308+$AC$6*$B308/$N308)*'Sem TS MC2020'!R300*($J308-$M308)/($J308-$M308-$H308)</f>
        <v>0.23647544196197978</v>
      </c>
      <c r="AC308" s="5">
        <f t="shared" si="45"/>
        <v>1.3910320115410575</v>
      </c>
      <c r="AD308" s="20">
        <f t="shared" si="46"/>
        <v>6.647544196197977E-2</v>
      </c>
      <c r="AE308" s="21">
        <f t="shared" si="47"/>
        <v>0.71889071689453654</v>
      </c>
      <c r="AF308" s="21">
        <f>AB308*(14.068*'Sem TS MC2020'!$P300^-0.457)/$Q308</f>
        <v>1.542437808068073</v>
      </c>
      <c r="AG308" s="21"/>
      <c r="AO308" s="5">
        <f>$AP$2*($AP$3+$AP$4*$F308/($N308*'Sem TS MC2020'!P300))*($AP$5*$G308+$AP$6*$B308/$N308)*('Sem TS MC2020'!P300^$AP$7/200000)*($J308-$M308)/($J308-$M308-$H308)+('Sem TS MC2020'!P300-$C308/$AP$8)*($AP$5*$G308+$AP$6*$B308/$N308)/200000</f>
        <v>0.25749699589501673</v>
      </c>
      <c r="AP308" s="5">
        <f t="shared" si="48"/>
        <v>1.5146882111471571</v>
      </c>
      <c r="AQ308" s="20">
        <f t="shared" si="49"/>
        <v>8.7496995895016721E-2</v>
      </c>
    </row>
    <row r="309" spans="1:43" x14ac:dyDescent="0.25">
      <c r="B309" s="3">
        <v>22.2</v>
      </c>
      <c r="C309" s="4">
        <v>276</v>
      </c>
      <c r="D309" s="4">
        <v>2</v>
      </c>
      <c r="E309" s="3">
        <v>63.6</v>
      </c>
      <c r="F309" s="5">
        <v>2.8648423476200802</v>
      </c>
      <c r="G309" s="3">
        <v>38</v>
      </c>
      <c r="H309" s="3">
        <v>49.1</v>
      </c>
      <c r="I309" s="1">
        <v>152.4</v>
      </c>
      <c r="J309" s="3">
        <v>381</v>
      </c>
      <c r="K309" s="4">
        <v>774</v>
      </c>
      <c r="L309" s="5">
        <v>24399.24</v>
      </c>
      <c r="M309" s="4">
        <v>118.551137802315</v>
      </c>
      <c r="N309" s="10">
        <v>3.17222995470351E-2</v>
      </c>
      <c r="O309" s="5">
        <v>66.198999999999998</v>
      </c>
      <c r="P309" s="4">
        <v>230.12722674031301</v>
      </c>
      <c r="Q309" s="5">
        <v>0.2</v>
      </c>
      <c r="R309" s="11">
        <f t="shared" si="40"/>
        <v>1.150636133701565E-3</v>
      </c>
      <c r="V309" s="5">
        <f t="shared" si="41"/>
        <v>0.26746171346915865</v>
      </c>
      <c r="W309" s="5">
        <f t="shared" si="42"/>
        <v>1.3373085673457932</v>
      </c>
      <c r="Y309" s="5">
        <f t="shared" si="43"/>
        <v>0.26674948362228768</v>
      </c>
      <c r="Z309" s="5">
        <f t="shared" si="44"/>
        <v>1.3337474181114384</v>
      </c>
      <c r="AB309" s="5">
        <f>$AC$2*($AC$3+$AC$4*$F309/($N309*'Sem TS MC2020'!P301))*($AC$5*$G309+$AC$6*$B309/$N309)*'Sem TS MC2020'!R301*($J309-$M309)/($J309-$M309-$H309)</f>
        <v>0.25463840502044649</v>
      </c>
      <c r="AC309" s="5">
        <f t="shared" si="45"/>
        <v>1.2731920251022324</v>
      </c>
      <c r="AD309" s="20">
        <f t="shared" si="46"/>
        <v>5.4638405020446479E-2</v>
      </c>
      <c r="AE309" s="21">
        <f t="shared" si="47"/>
        <v>0.78542747699012949</v>
      </c>
      <c r="AF309" s="21">
        <f>AB309*(14.068*'Sem TS MC2020'!$P301^-0.457)/$Q309</f>
        <v>1.3733293183866226</v>
      </c>
      <c r="AG309" s="21"/>
      <c r="AO309" s="5">
        <f>$AP$2*($AP$3+$AP$4*$F309/($N309*'Sem TS MC2020'!P301))*($AP$5*$G309+$AP$6*$B309/$N309)*('Sem TS MC2020'!P301^$AP$7/200000)*($J309-$M309)/($J309-$M309-$H309)+('Sem TS MC2020'!P301-$C309/$AP$8)*($AP$5*$G309+$AP$6*$B309/$N309)/200000</f>
        <v>0.27496267898061738</v>
      </c>
      <c r="AP309" s="5">
        <f t="shared" si="48"/>
        <v>1.3748133949030867</v>
      </c>
      <c r="AQ309" s="20">
        <f t="shared" si="49"/>
        <v>7.496267898061737E-2</v>
      </c>
    </row>
    <row r="310" spans="1:43" x14ac:dyDescent="0.25">
      <c r="A310" s="1" t="s">
        <v>93</v>
      </c>
      <c r="B310" s="3">
        <v>22.2</v>
      </c>
      <c r="C310" s="4">
        <v>276</v>
      </c>
      <c r="D310" s="4">
        <v>2</v>
      </c>
      <c r="E310" s="3">
        <v>63.6</v>
      </c>
      <c r="F310" s="5">
        <v>2.8336917902498899</v>
      </c>
      <c r="G310" s="3">
        <v>38</v>
      </c>
      <c r="H310" s="3">
        <v>49.1</v>
      </c>
      <c r="I310" s="1">
        <v>152.4</v>
      </c>
      <c r="J310" s="3">
        <v>381</v>
      </c>
      <c r="K310" s="4">
        <v>774</v>
      </c>
      <c r="L310" s="5">
        <v>24399.24</v>
      </c>
      <c r="M310" s="4">
        <v>118.804893272016</v>
      </c>
      <c r="N310" s="10">
        <v>3.17222995470351E-2</v>
      </c>
      <c r="O310" s="5">
        <v>43.938299999999998</v>
      </c>
      <c r="P310" s="4">
        <v>130.47854270038201</v>
      </c>
      <c r="Q310" s="5">
        <v>0.15</v>
      </c>
      <c r="R310" s="11">
        <f t="shared" si="40"/>
        <v>6.5239271350191002E-4</v>
      </c>
      <c r="V310" s="5">
        <f t="shared" si="41"/>
        <v>0.18845817767758233</v>
      </c>
      <c r="W310" s="5">
        <f t="shared" si="42"/>
        <v>1.2563878511838822</v>
      </c>
      <c r="Y310" s="5">
        <f t="shared" si="43"/>
        <v>0.18678682249030787</v>
      </c>
      <c r="Z310" s="5">
        <f t="shared" si="44"/>
        <v>1.2452454832687192</v>
      </c>
      <c r="AB310" s="5">
        <f>$AC$2*($AC$3+$AC$4*$F310/($N310*'Sem TS MC2020'!P302))*($AC$5*$G310+$AC$6*$B310/$N310)*'Sem TS MC2020'!R302*($J310-$M310)/($J310-$M310-$H310)</f>
        <v>0.16361895575980925</v>
      </c>
      <c r="AC310" s="5">
        <f t="shared" si="45"/>
        <v>1.0907930383987283</v>
      </c>
      <c r="AD310" s="20">
        <f t="shared" si="46"/>
        <v>1.3618955759809259E-2</v>
      </c>
      <c r="AE310" s="21">
        <f t="shared" si="47"/>
        <v>0.91676419338721538</v>
      </c>
      <c r="AF310" s="21">
        <f>AB310*(14.068*'Sem TS MC2020'!$P302^-0.457)/$Q310</f>
        <v>1.3811238729162334</v>
      </c>
      <c r="AG310" s="21"/>
      <c r="AO310" s="5">
        <f>$AP$2*($AP$3+$AP$4*$F310/($N310*'Sem TS MC2020'!P302))*($AP$5*$G310+$AP$6*$B310/$N310)*('Sem TS MC2020'!P302^$AP$7/200000)*($J310-$M310)/($J310-$M310-$H310)+('Sem TS MC2020'!P302-$C310/$AP$8)*($AP$5*$G310+$AP$6*$B310/$N310)/200000</f>
        <v>0.18500102031149296</v>
      </c>
      <c r="AP310" s="5">
        <f t="shared" si="48"/>
        <v>1.2333401354099531</v>
      </c>
      <c r="AQ310" s="20">
        <f t="shared" si="49"/>
        <v>3.5001020311492964E-2</v>
      </c>
    </row>
    <row r="311" spans="1:43" x14ac:dyDescent="0.25">
      <c r="B311" s="3">
        <v>22.2</v>
      </c>
      <c r="C311" s="4">
        <v>276</v>
      </c>
      <c r="D311" s="4">
        <v>2</v>
      </c>
      <c r="E311" s="3">
        <v>63.6</v>
      </c>
      <c r="F311" s="5">
        <v>2.8336917902498899</v>
      </c>
      <c r="G311" s="3">
        <v>38</v>
      </c>
      <c r="H311" s="3">
        <v>49.1</v>
      </c>
      <c r="I311" s="1">
        <v>152.4</v>
      </c>
      <c r="J311" s="3">
        <v>381</v>
      </c>
      <c r="K311" s="4">
        <v>774</v>
      </c>
      <c r="L311" s="5">
        <v>24399.24</v>
      </c>
      <c r="M311" s="4">
        <v>118.804893272016</v>
      </c>
      <c r="N311" s="10">
        <v>3.17222995470351E-2</v>
      </c>
      <c r="O311" s="5">
        <v>51.106999999999999</v>
      </c>
      <c r="P311" s="4">
        <v>169.35562689037701</v>
      </c>
      <c r="Q311" s="5">
        <v>0.18</v>
      </c>
      <c r="R311" s="11">
        <f t="shared" si="40"/>
        <v>8.4677813445188503E-4</v>
      </c>
      <c r="V311" s="5">
        <f t="shared" si="41"/>
        <v>0.2213587717529604</v>
      </c>
      <c r="W311" s="5">
        <f t="shared" si="42"/>
        <v>1.2297709541831134</v>
      </c>
      <c r="Y311" s="5">
        <f t="shared" si="43"/>
        <v>0.2200259217835597</v>
      </c>
      <c r="Z311" s="5">
        <f t="shared" si="44"/>
        <v>1.2223662321308872</v>
      </c>
      <c r="AB311" s="5">
        <f>$AC$2*($AC$3+$AC$4*$F311/($N311*'Sem TS MC2020'!P303))*($AC$5*$G311+$AC$6*$B311/$N311)*'Sem TS MC2020'!R303*($J311-$M311)/($J311-$M311-$H311)</f>
        <v>0.19922340493040031</v>
      </c>
      <c r="AC311" s="5">
        <f t="shared" si="45"/>
        <v>1.1067966940577796</v>
      </c>
      <c r="AD311" s="20">
        <f t="shared" si="46"/>
        <v>1.9223404930400312E-2</v>
      </c>
      <c r="AE311" s="21">
        <f t="shared" si="47"/>
        <v>0.90350830045738795</v>
      </c>
      <c r="AF311" s="21">
        <f>AB311*(14.068*'Sem TS MC2020'!$P303^-0.457)/$Q311</f>
        <v>1.3078621023851198</v>
      </c>
      <c r="AG311" s="21"/>
      <c r="AO311" s="5">
        <f>$AP$2*($AP$3+$AP$4*$F311/($N311*'Sem TS MC2020'!P303))*($AP$5*$G311+$AP$6*$B311/$N311)*('Sem TS MC2020'!P303^$AP$7/200000)*($J311-$M311)/($J311-$M311-$H311)+('Sem TS MC2020'!P303-$C311/$AP$8)*($AP$5*$G311+$AP$6*$B311/$N311)/200000</f>
        <v>0.22101435667102631</v>
      </c>
      <c r="AP311" s="5">
        <f t="shared" si="48"/>
        <v>1.2278575370612574</v>
      </c>
      <c r="AQ311" s="20">
        <f t="shared" si="49"/>
        <v>4.101435667102632E-2</v>
      </c>
    </row>
    <row r="312" spans="1:43" x14ac:dyDescent="0.25">
      <c r="B312" s="3">
        <v>22.2</v>
      </c>
      <c r="C312" s="4">
        <v>276</v>
      </c>
      <c r="D312" s="4">
        <v>2</v>
      </c>
      <c r="E312" s="3">
        <v>63.6</v>
      </c>
      <c r="F312" s="5">
        <v>2.8336917902498899</v>
      </c>
      <c r="G312" s="3">
        <v>38</v>
      </c>
      <c r="H312" s="3">
        <v>49.1</v>
      </c>
      <c r="I312" s="1">
        <v>152.4</v>
      </c>
      <c r="J312" s="3">
        <v>381</v>
      </c>
      <c r="K312" s="4">
        <v>774</v>
      </c>
      <c r="L312" s="5">
        <v>24399.24</v>
      </c>
      <c r="M312" s="4">
        <v>118.804893272016</v>
      </c>
      <c r="N312" s="10">
        <v>3.17222995470351E-2</v>
      </c>
      <c r="O312" s="5">
        <v>58.755899999999997</v>
      </c>
      <c r="P312" s="4">
        <v>210.83691767683001</v>
      </c>
      <c r="Q312" s="5">
        <v>0.22</v>
      </c>
      <c r="R312" s="11">
        <f t="shared" si="40"/>
        <v>1.0541845883841501E-3</v>
      </c>
      <c r="V312" s="5">
        <f t="shared" si="41"/>
        <v>0.25339757386242473</v>
      </c>
      <c r="W312" s="5">
        <f t="shared" si="42"/>
        <v>1.1518071539201125</v>
      </c>
      <c r="Y312" s="5">
        <f t="shared" si="43"/>
        <v>0.25247953546867058</v>
      </c>
      <c r="Z312" s="5">
        <f t="shared" si="44"/>
        <v>1.1476342521303209</v>
      </c>
      <c r="AB312" s="5">
        <f>$AC$2*($AC$3+$AC$4*$F312/($N312*'Sem TS MC2020'!P304))*($AC$5*$G312+$AC$6*$B312/$N312)*'Sem TS MC2020'!R304*($J312-$M312)/($J312-$M312-$H312)</f>
        <v>0.23721284112677127</v>
      </c>
      <c r="AC312" s="5">
        <f t="shared" si="45"/>
        <v>1.0782401869398694</v>
      </c>
      <c r="AD312" s="20">
        <f t="shared" si="46"/>
        <v>1.7212841126771267E-2</v>
      </c>
      <c r="AE312" s="21">
        <f t="shared" si="47"/>
        <v>0.92743714444374281</v>
      </c>
      <c r="AF312" s="21">
        <f>AB312*(14.068*'Sem TS MC2020'!$P304^-0.457)/$Q312</f>
        <v>1.1954423202297517</v>
      </c>
      <c r="AG312" s="21"/>
      <c r="AO312" s="5">
        <f>$AP$2*($AP$3+$AP$4*$F312/($N312*'Sem TS MC2020'!P304))*($AP$5*$G312+$AP$6*$B312/$N312)*('Sem TS MC2020'!P304^$AP$7/200000)*($J312-$M312)/($J312-$M312-$H312)+('Sem TS MC2020'!P304-$C312/$AP$8)*($AP$5*$G312+$AP$6*$B312/$N312)/200000</f>
        <v>0.25828003352737783</v>
      </c>
      <c r="AP312" s="5">
        <f t="shared" si="48"/>
        <v>1.1740001523971719</v>
      </c>
      <c r="AQ312" s="20">
        <f t="shared" si="49"/>
        <v>3.8280033527377827E-2</v>
      </c>
    </row>
    <row r="313" spans="1:43" x14ac:dyDescent="0.25">
      <c r="B313" s="3">
        <v>22.2</v>
      </c>
      <c r="C313" s="4">
        <v>276</v>
      </c>
      <c r="D313" s="4">
        <v>2</v>
      </c>
      <c r="E313" s="3">
        <v>63.6</v>
      </c>
      <c r="F313" s="5">
        <v>2.8336917902498899</v>
      </c>
      <c r="G313" s="3">
        <v>38</v>
      </c>
      <c r="H313" s="3">
        <v>49.1</v>
      </c>
      <c r="I313" s="1">
        <v>152.4</v>
      </c>
      <c r="J313" s="3">
        <v>381</v>
      </c>
      <c r="K313" s="4">
        <v>774</v>
      </c>
      <c r="L313" s="5">
        <v>24399.24</v>
      </c>
      <c r="M313" s="4">
        <v>118.804893272016</v>
      </c>
      <c r="N313" s="10">
        <v>3.17222995470351E-2</v>
      </c>
      <c r="O313" s="5">
        <v>66.198999999999998</v>
      </c>
      <c r="P313" s="4">
        <v>230.58159218797201</v>
      </c>
      <c r="Q313" s="5">
        <v>0.25</v>
      </c>
      <c r="R313" s="11">
        <f t="shared" si="40"/>
        <v>1.1529079609398601E-3</v>
      </c>
      <c r="V313" s="5">
        <f t="shared" si="41"/>
        <v>0.26778741514447357</v>
      </c>
      <c r="W313" s="5">
        <f t="shared" si="42"/>
        <v>1.0711496605778943</v>
      </c>
      <c r="Y313" s="5">
        <f t="shared" si="43"/>
        <v>0.26708011277900323</v>
      </c>
      <c r="Z313" s="5">
        <f t="shared" si="44"/>
        <v>1.0683204511160129</v>
      </c>
      <c r="AB313" s="5">
        <f>$AC$2*($AC$3+$AC$4*$F313/($N313*'Sem TS MC2020'!P305))*($AC$5*$G313+$AC$6*$B313/$N313)*'Sem TS MC2020'!R305*($J313-$M313)/($J313-$M313-$H313)</f>
        <v>0.25529542820007772</v>
      </c>
      <c r="AC313" s="5">
        <f t="shared" si="45"/>
        <v>1.0211817128003109</v>
      </c>
      <c r="AD313" s="20">
        <f t="shared" si="46"/>
        <v>5.2954282000777231E-3</v>
      </c>
      <c r="AE313" s="21">
        <f t="shared" si="47"/>
        <v>0.97925764578938079</v>
      </c>
      <c r="AF313" s="21">
        <f>AB313*(14.068*'Sem TS MC2020'!$P305^-0.457)/$Q313</f>
        <v>1.1014982484486786</v>
      </c>
      <c r="AG313" s="21"/>
      <c r="AO313" s="5">
        <f>$AP$2*($AP$3+$AP$4*$F313/($N313*'Sem TS MC2020'!P305))*($AP$5*$G313+$AP$6*$B313/$N313)*('Sem TS MC2020'!P305^$AP$7/200000)*($J313-$M313)/($J313-$M313-$H313)+('Sem TS MC2020'!P305-$C313/$AP$8)*($AP$5*$G313+$AP$6*$B313/$N313)/200000</f>
        <v>0.2756607051018411</v>
      </c>
      <c r="AP313" s="5">
        <f t="shared" si="48"/>
        <v>1.1026428204073644</v>
      </c>
      <c r="AQ313" s="20">
        <f t="shared" si="49"/>
        <v>2.5660705101841097E-2</v>
      </c>
    </row>
    <row r="314" spans="1:43" x14ac:dyDescent="0.25">
      <c r="A314" s="1" t="s">
        <v>94</v>
      </c>
      <c r="B314" s="3">
        <v>22.2</v>
      </c>
      <c r="C314" s="4">
        <v>276</v>
      </c>
      <c r="D314" s="4">
        <v>2</v>
      </c>
      <c r="E314" s="3">
        <v>63.6</v>
      </c>
      <c r="F314" s="5">
        <v>2.7563734268389202</v>
      </c>
      <c r="G314" s="3">
        <v>38</v>
      </c>
      <c r="H314" s="3">
        <v>49.1</v>
      </c>
      <c r="I314" s="1">
        <v>152.4</v>
      </c>
      <c r="J314" s="3">
        <v>381</v>
      </c>
      <c r="K314" s="4">
        <v>774</v>
      </c>
      <c r="L314" s="5">
        <v>24399.24</v>
      </c>
      <c r="M314" s="4">
        <v>119.44859227094101</v>
      </c>
      <c r="N314" s="10">
        <v>3.17222995470351E-2</v>
      </c>
      <c r="O314" s="5">
        <v>43.938299999999998</v>
      </c>
      <c r="P314" s="4">
        <v>132.243766638631</v>
      </c>
      <c r="Q314" s="5">
        <v>0.2</v>
      </c>
      <c r="R314" s="11">
        <f t="shared" si="40"/>
        <v>6.6121883319315497E-4</v>
      </c>
      <c r="V314" s="5">
        <f t="shared" si="41"/>
        <v>0.19002724371718985</v>
      </c>
      <c r="W314" s="5">
        <f t="shared" si="42"/>
        <v>0.95013621858594921</v>
      </c>
      <c r="Y314" s="5">
        <f t="shared" si="43"/>
        <v>0.18836981584859497</v>
      </c>
      <c r="Z314" s="5">
        <f t="shared" si="44"/>
        <v>0.94184907924297478</v>
      </c>
      <c r="AB314" s="5">
        <f>$AC$2*($AC$3+$AC$4*$F314/($N314*'Sem TS MC2020'!P306))*($AC$5*$G314+$AC$6*$B314/$N314)*'Sem TS MC2020'!R306*($J314-$M314)/($J314-$M314-$H314)</f>
        <v>0.1653630203754084</v>
      </c>
      <c r="AC314" s="5">
        <f t="shared" si="45"/>
        <v>0.82681510187704199</v>
      </c>
      <c r="AD314" s="20">
        <f t="shared" si="46"/>
        <v>-3.4636979624591613E-2</v>
      </c>
      <c r="AE314" s="21">
        <f t="shared" si="47"/>
        <v>1.2094602502177239</v>
      </c>
      <c r="AF314" s="21">
        <f>AB314*(14.068*'Sem TS MC2020'!$P306^-0.457)/$Q314</f>
        <v>1.0465330053763393</v>
      </c>
      <c r="AG314" s="21"/>
      <c r="AO314" s="5">
        <f>$AP$2*($AP$3+$AP$4*$F314/($N314*'Sem TS MC2020'!P306))*($AP$5*$G314+$AP$6*$B314/$N314)*('Sem TS MC2020'!P306^$AP$7/200000)*($J314-$M314)/($J314-$M314-$H314)+('Sem TS MC2020'!P306-$C314/$AP$8)*($AP$5*$G314+$AP$6*$B314/$N314)/200000</f>
        <v>0.18695878862055024</v>
      </c>
      <c r="AP314" s="5">
        <f t="shared" si="48"/>
        <v>0.9347939431027511</v>
      </c>
      <c r="AQ314" s="20">
        <f t="shared" si="49"/>
        <v>-1.3041211379449774E-2</v>
      </c>
    </row>
    <row r="315" spans="1:43" x14ac:dyDescent="0.25">
      <c r="B315" s="3">
        <v>22.2</v>
      </c>
      <c r="C315" s="4">
        <v>276</v>
      </c>
      <c r="D315" s="4">
        <v>2</v>
      </c>
      <c r="E315" s="3">
        <v>63.6</v>
      </c>
      <c r="F315" s="5">
        <v>2.7563734268389202</v>
      </c>
      <c r="G315" s="3">
        <v>38</v>
      </c>
      <c r="H315" s="3">
        <v>49.1</v>
      </c>
      <c r="I315" s="1">
        <v>152.4</v>
      </c>
      <c r="J315" s="3">
        <v>381</v>
      </c>
      <c r="K315" s="4">
        <v>774</v>
      </c>
      <c r="L315" s="5">
        <v>24399.24</v>
      </c>
      <c r="M315" s="4">
        <v>119.44859227094101</v>
      </c>
      <c r="N315" s="10">
        <v>3.17222995470351E-2</v>
      </c>
      <c r="O315" s="5">
        <v>51.106999999999999</v>
      </c>
      <c r="P315" s="4">
        <v>170.96977634729501</v>
      </c>
      <c r="Q315" s="5">
        <v>0.25</v>
      </c>
      <c r="R315" s="11">
        <f t="shared" si="40"/>
        <v>8.5484888173647502E-4</v>
      </c>
      <c r="V315" s="5">
        <f t="shared" si="41"/>
        <v>0.22265815146183057</v>
      </c>
      <c r="W315" s="5">
        <f t="shared" si="42"/>
        <v>0.89063260584732229</v>
      </c>
      <c r="Y315" s="5">
        <f t="shared" si="43"/>
        <v>0.22134057241300742</v>
      </c>
      <c r="Z315" s="5">
        <f t="shared" si="44"/>
        <v>0.88536228965202968</v>
      </c>
      <c r="AB315" s="5">
        <f>$AC$2*($AC$3+$AC$4*$F315/($N315*'Sem TS MC2020'!P307))*($AC$5*$G315+$AC$6*$B315/$N315)*'Sem TS MC2020'!R307*($J315-$M315)/($J315-$M315-$H315)</f>
        <v>0.201013841142553</v>
      </c>
      <c r="AC315" s="5">
        <f t="shared" si="45"/>
        <v>0.80405536457021198</v>
      </c>
      <c r="AD315" s="20">
        <f t="shared" si="46"/>
        <v>-4.8986158857447004E-2</v>
      </c>
      <c r="AE315" s="21">
        <f t="shared" si="47"/>
        <v>1.2436954519102368</v>
      </c>
      <c r="AF315" s="21">
        <f>AB315*(14.068*'Sem TS MC2020'!$P307^-0.457)/$Q315</f>
        <v>0.94980469189608829</v>
      </c>
      <c r="AG315" s="21"/>
      <c r="AO315" s="5">
        <f>$AP$2*($AP$3+$AP$4*$F315/($N315*'Sem TS MC2020'!P307))*($AP$5*$G315+$AP$6*$B315/$N315)*('Sem TS MC2020'!P307^$AP$7/200000)*($J315-$M315)/($J315-$M315-$H315)+('Sem TS MC2020'!P307-$C315/$AP$8)*($AP$5*$G315+$AP$6*$B315/$N315)/200000</f>
        <v>0.2229666728849593</v>
      </c>
      <c r="AP315" s="5">
        <f t="shared" si="48"/>
        <v>0.89186669153983722</v>
      </c>
      <c r="AQ315" s="20">
        <f t="shared" si="49"/>
        <v>-2.7033327115040695E-2</v>
      </c>
    </row>
    <row r="316" spans="1:43" x14ac:dyDescent="0.25">
      <c r="B316" s="3">
        <v>22.2</v>
      </c>
      <c r="C316" s="4">
        <v>276</v>
      </c>
      <c r="D316" s="4">
        <v>2</v>
      </c>
      <c r="E316" s="3">
        <v>63.6</v>
      </c>
      <c r="F316" s="5">
        <v>2.7563734268389202</v>
      </c>
      <c r="G316" s="3">
        <v>38</v>
      </c>
      <c r="H316" s="3">
        <v>49.1</v>
      </c>
      <c r="I316" s="1">
        <v>152.4</v>
      </c>
      <c r="J316" s="3">
        <v>381</v>
      </c>
      <c r="K316" s="4">
        <v>774</v>
      </c>
      <c r="L316" s="5">
        <v>24399.24</v>
      </c>
      <c r="M316" s="4">
        <v>119.44859227094101</v>
      </c>
      <c r="N316" s="10">
        <v>3.17222995470351E-2</v>
      </c>
      <c r="O316" s="5">
        <v>58.755899999999997</v>
      </c>
      <c r="P316" s="4">
        <v>212.289872830702</v>
      </c>
      <c r="Q316" s="5">
        <v>0.3</v>
      </c>
      <c r="R316" s="11">
        <f t="shared" si="40"/>
        <v>1.06144936415351E-3</v>
      </c>
      <c r="V316" s="5">
        <f t="shared" si="41"/>
        <v>0.25447359664776403</v>
      </c>
      <c r="W316" s="5">
        <f t="shared" si="42"/>
        <v>0.84824532215921344</v>
      </c>
      <c r="Y316" s="5">
        <f t="shared" si="43"/>
        <v>0.25357081521174601</v>
      </c>
      <c r="Z316" s="5">
        <f t="shared" si="44"/>
        <v>0.84523605070582009</v>
      </c>
      <c r="AB316" s="5">
        <f>$AC$2*($AC$3+$AC$4*$F316/($N316*'Sem TS MC2020'!P308))*($AC$5*$G316+$AC$6*$B316/$N316)*'Sem TS MC2020'!R308*($J316-$M316)/($J316-$M316-$H316)</f>
        <v>0.23905275516682647</v>
      </c>
      <c r="AC316" s="5">
        <f t="shared" si="45"/>
        <v>0.7968425172227549</v>
      </c>
      <c r="AD316" s="20">
        <f t="shared" si="46"/>
        <v>-6.0947244833173514E-2</v>
      </c>
      <c r="AE316" s="21">
        <f t="shared" si="47"/>
        <v>1.2549531160627729</v>
      </c>
      <c r="AF316" s="21">
        <f>AB316*(14.068*'Sem TS MC2020'!$P308^-0.457)/$Q316</f>
        <v>0.88316096487147933</v>
      </c>
      <c r="AG316" s="21"/>
      <c r="AO316" s="5">
        <f>$AP$2*($AP$3+$AP$4*$F316/($N316*'Sem TS MC2020'!P308))*($AP$5*$G316+$AP$6*$B316/$N316)*('Sem TS MC2020'!P308^$AP$7/200000)*($J316-$M316)/($J316-$M316-$H316)+('Sem TS MC2020'!P308-$C316/$AP$8)*($AP$5*$G316+$AP$6*$B316/$N316)/200000</f>
        <v>0.26023300060820864</v>
      </c>
      <c r="AP316" s="5">
        <f t="shared" si="48"/>
        <v>0.86744333536069551</v>
      </c>
      <c r="AQ316" s="20">
        <f t="shared" si="49"/>
        <v>-3.9766999391791347E-2</v>
      </c>
    </row>
    <row r="317" spans="1:43" x14ac:dyDescent="0.25">
      <c r="B317" s="3">
        <v>22.2</v>
      </c>
      <c r="C317" s="4">
        <v>276</v>
      </c>
      <c r="D317" s="4">
        <v>2</v>
      </c>
      <c r="E317" s="3">
        <v>63.6</v>
      </c>
      <c r="F317" s="5">
        <v>2.7563734268389202</v>
      </c>
      <c r="G317" s="3">
        <v>38</v>
      </c>
      <c r="H317" s="3">
        <v>49.1</v>
      </c>
      <c r="I317" s="1">
        <v>152.4</v>
      </c>
      <c r="J317" s="3">
        <v>381</v>
      </c>
      <c r="K317" s="4">
        <v>774</v>
      </c>
      <c r="L317" s="5">
        <v>24399.24</v>
      </c>
      <c r="M317" s="4">
        <v>119.44859227094101</v>
      </c>
      <c r="N317" s="10">
        <v>3.17222995470351E-2</v>
      </c>
      <c r="O317" s="5">
        <v>66.198999999999998</v>
      </c>
      <c r="P317" s="4">
        <v>231.71038661669701</v>
      </c>
      <c r="Q317" s="5">
        <v>0.35</v>
      </c>
      <c r="R317" s="11">
        <f t="shared" si="40"/>
        <v>1.1585519330834851E-3</v>
      </c>
      <c r="V317" s="5">
        <f t="shared" si="41"/>
        <v>0.26859550403695764</v>
      </c>
      <c r="W317" s="5">
        <f t="shared" si="42"/>
        <v>0.76741572581987905</v>
      </c>
      <c r="Y317" s="5">
        <f t="shared" si="43"/>
        <v>0.26790045804342888</v>
      </c>
      <c r="Z317" s="5">
        <f t="shared" si="44"/>
        <v>0.76542988012408253</v>
      </c>
      <c r="AB317" s="5">
        <f>$AC$2*($AC$3+$AC$4*$F317/($N317*'Sem TS MC2020'!P309))*($AC$5*$G317+$AC$6*$B317/$N317)*'Sem TS MC2020'!R309*($J317-$M317)/($J317-$M317-$H317)</f>
        <v>0.25693110776238165</v>
      </c>
      <c r="AC317" s="5">
        <f t="shared" si="45"/>
        <v>0.73408887932109046</v>
      </c>
      <c r="AD317" s="20">
        <f t="shared" si="46"/>
        <v>-9.3068892237618328E-2</v>
      </c>
      <c r="AE317" s="21">
        <f t="shared" si="47"/>
        <v>1.3622328687567544</v>
      </c>
      <c r="AF317" s="21">
        <f>AB317*(14.068*'Sem TS MC2020'!$P309^-0.457)/$Q317</f>
        <v>0.7918253966382508</v>
      </c>
      <c r="AG317" s="21"/>
      <c r="AO317" s="5">
        <f>$AP$2*($AP$3+$AP$4*$F317/($N317*'Sem TS MC2020'!P309))*($AP$5*$G317+$AP$6*$B317/$N317)*('Sem TS MC2020'!P309^$AP$7/200000)*($J317-$M317)/($J317-$M317-$H317)+('Sem TS MC2020'!P309-$C317/$AP$8)*($AP$5*$G317+$AP$6*$B317/$N317)/200000</f>
        <v>0.27739838319184068</v>
      </c>
      <c r="AP317" s="5">
        <f t="shared" si="48"/>
        <v>0.7925668091195448</v>
      </c>
      <c r="AQ317" s="20">
        <f t="shared" si="49"/>
        <v>-7.2601616808159297E-2</v>
      </c>
    </row>
    <row r="318" spans="1:43" x14ac:dyDescent="0.25">
      <c r="A318" s="1" t="s">
        <v>95</v>
      </c>
      <c r="B318" s="3">
        <v>28.7</v>
      </c>
      <c r="C318" s="4">
        <v>276</v>
      </c>
      <c r="D318" s="4">
        <v>2</v>
      </c>
      <c r="E318" s="3">
        <v>50.6</v>
      </c>
      <c r="F318" s="5">
        <v>2.7748174021560699</v>
      </c>
      <c r="G318" s="3">
        <v>22.2</v>
      </c>
      <c r="H318" s="3">
        <v>36.6</v>
      </c>
      <c r="I318" s="1">
        <v>152.4</v>
      </c>
      <c r="J318" s="3">
        <v>381</v>
      </c>
      <c r="K318" s="4">
        <v>1290</v>
      </c>
      <c r="L318" s="5">
        <v>19522.439999999999</v>
      </c>
      <c r="M318" s="4">
        <v>148.01498573118499</v>
      </c>
      <c r="N318" s="10">
        <v>6.6077805848039503E-2</v>
      </c>
      <c r="O318" s="5">
        <v>89.111400000000003</v>
      </c>
      <c r="P318" s="4">
        <v>203.54339028531399</v>
      </c>
      <c r="Q318" s="5">
        <v>0.17</v>
      </c>
      <c r="R318" s="11">
        <f t="shared" si="40"/>
        <v>1.01771695142657E-3</v>
      </c>
      <c r="V318" s="5">
        <f t="shared" si="41"/>
        <v>0.21711822499498085</v>
      </c>
      <c r="W318" s="5">
        <f t="shared" si="42"/>
        <v>1.2771660293822402</v>
      </c>
      <c r="Y318" s="5">
        <f t="shared" si="43"/>
        <v>0.2265703239271942</v>
      </c>
      <c r="Z318" s="5">
        <f t="shared" si="44"/>
        <v>1.3327666113364365</v>
      </c>
      <c r="AB318" s="5">
        <f>$AC$2*($AC$3+$AC$4*$F318/($N318*'Sem TS MC2020'!P310))*($AC$5*$G318+$AC$6*$B318/$N318)*'Sem TS MC2020'!R310*($J318-$M318)/($J318-$M318-$H318)</f>
        <v>0.13974102612683337</v>
      </c>
      <c r="AC318" s="5">
        <f t="shared" si="45"/>
        <v>0.82200603604019618</v>
      </c>
      <c r="AD318" s="20">
        <f t="shared" si="46"/>
        <v>-3.0258973873166645E-2</v>
      </c>
      <c r="AE318" s="21">
        <f t="shared" si="47"/>
        <v>1.2165360790016144</v>
      </c>
      <c r="AF318" s="21">
        <f>AB318*(14.068*'Sem TS MC2020'!$P310^-0.457)/$Q318</f>
        <v>0.95560301149558791</v>
      </c>
      <c r="AG318" s="21"/>
      <c r="AO318" s="5">
        <f>$AP$2*($AP$3+$AP$4*$F318/($N318*'Sem TS MC2020'!P310))*($AP$5*$G318+$AP$6*$B318/$N318)*('Sem TS MC2020'!P310^$AP$7/200000)*($J318-$M318)/($J318-$M318-$H318)+('Sem TS MC2020'!P310-$C318/$AP$8)*($AP$5*$G318+$AP$6*$B318/$N318)/200000</f>
        <v>0.15472686316130341</v>
      </c>
      <c r="AP318" s="5">
        <f t="shared" si="48"/>
        <v>0.91015801859590229</v>
      </c>
      <c r="AQ318" s="20">
        <f t="shared" si="49"/>
        <v>-1.5273136838696605E-2</v>
      </c>
    </row>
    <row r="319" spans="1:43" x14ac:dyDescent="0.25">
      <c r="B319" s="3">
        <v>28.7</v>
      </c>
      <c r="C319" s="4">
        <v>276</v>
      </c>
      <c r="D319" s="4">
        <v>2</v>
      </c>
      <c r="E319" s="3">
        <v>50.6</v>
      </c>
      <c r="F319" s="5">
        <v>2.7748174021560699</v>
      </c>
      <c r="G319" s="3">
        <v>22.2</v>
      </c>
      <c r="H319" s="3">
        <v>36.6</v>
      </c>
      <c r="I319" s="1">
        <v>152.4</v>
      </c>
      <c r="J319" s="3">
        <v>381</v>
      </c>
      <c r="K319" s="4">
        <v>1290</v>
      </c>
      <c r="L319" s="5">
        <v>19522.439999999999</v>
      </c>
      <c r="M319" s="4">
        <v>148.01498573118499</v>
      </c>
      <c r="N319" s="10">
        <v>6.6077805848039503E-2</v>
      </c>
      <c r="O319" s="5">
        <v>104.61499999999999</v>
      </c>
      <c r="P319" s="4">
        <v>249.44312023789999</v>
      </c>
      <c r="Q319" s="5">
        <v>0.2</v>
      </c>
      <c r="R319" s="11">
        <f t="shared" si="40"/>
        <v>1.2472156011895E-3</v>
      </c>
      <c r="V319" s="5">
        <f t="shared" si="41"/>
        <v>0.24614235000102799</v>
      </c>
      <c r="W319" s="5">
        <f t="shared" si="42"/>
        <v>1.2307117500051399</v>
      </c>
      <c r="Y319" s="5">
        <f t="shared" si="43"/>
        <v>0.25743319582810598</v>
      </c>
      <c r="Z319" s="5">
        <f t="shared" si="44"/>
        <v>1.2871659791405299</v>
      </c>
      <c r="AB319" s="5">
        <f>$AC$2*($AC$3+$AC$4*$F319/($N319*'Sem TS MC2020'!P311))*($AC$5*$G319+$AC$6*$B319/$N319)*'Sem TS MC2020'!R311*($J319-$M319)/($J319-$M319-$H319)</f>
        <v>0.16668220416447735</v>
      </c>
      <c r="AC319" s="5">
        <f t="shared" si="45"/>
        <v>0.83341102082238672</v>
      </c>
      <c r="AD319" s="20">
        <f t="shared" si="46"/>
        <v>-3.3317795835522662E-2</v>
      </c>
      <c r="AE319" s="21">
        <f t="shared" si="47"/>
        <v>1.1998881404438688</v>
      </c>
      <c r="AF319" s="21">
        <f>AB319*(14.068*'Sem TS MC2020'!$P311^-0.457)/$Q319</f>
        <v>0.90038200320546402</v>
      </c>
      <c r="AG319" s="21"/>
      <c r="AO319" s="5">
        <f>$AP$2*($AP$3+$AP$4*$F319/($N319*'Sem TS MC2020'!P311))*($AP$5*$G319+$AP$6*$B319/$N319)*('Sem TS MC2020'!P311^$AP$7/200000)*($J319-$M319)/($J319-$M319-$H319)+('Sem TS MC2020'!P311-$C319/$AP$8)*($AP$5*$G319+$AP$6*$B319/$N319)/200000</f>
        <v>0.18050225918100082</v>
      </c>
      <c r="AP319" s="5">
        <f t="shared" si="48"/>
        <v>0.90251129590500412</v>
      </c>
      <c r="AQ319" s="20">
        <f t="shared" si="49"/>
        <v>-1.9497740818999187E-2</v>
      </c>
    </row>
    <row r="320" spans="1:43" x14ac:dyDescent="0.25">
      <c r="A320" s="1" t="s">
        <v>96</v>
      </c>
      <c r="B320" s="3">
        <v>28.7</v>
      </c>
      <c r="C320" s="4">
        <v>276</v>
      </c>
      <c r="D320" s="4">
        <v>2</v>
      </c>
      <c r="E320" s="3">
        <v>50.6</v>
      </c>
      <c r="F320" s="5">
        <v>2.8017146470593901</v>
      </c>
      <c r="G320" s="3">
        <v>38.200000000000003</v>
      </c>
      <c r="H320" s="3">
        <v>52.5</v>
      </c>
      <c r="I320" s="1">
        <v>152.4</v>
      </c>
      <c r="J320" s="3">
        <v>381</v>
      </c>
      <c r="K320" s="4">
        <v>1290</v>
      </c>
      <c r="L320" s="5">
        <v>28003.5</v>
      </c>
      <c r="M320" s="4">
        <v>143.36625380284801</v>
      </c>
      <c r="N320" s="10">
        <v>4.6065670362633197E-2</v>
      </c>
      <c r="O320" s="5">
        <v>64.998500000000007</v>
      </c>
      <c r="P320" s="4">
        <v>131.979351866831</v>
      </c>
      <c r="Q320" s="5">
        <v>0.17</v>
      </c>
      <c r="R320" s="11">
        <f t="shared" si="40"/>
        <v>6.59896759334155E-4</v>
      </c>
      <c r="V320" s="5">
        <f t="shared" si="41"/>
        <v>0.19305334762171433</v>
      </c>
      <c r="W320" s="5">
        <f t="shared" si="42"/>
        <v>1.1356079271865549</v>
      </c>
      <c r="Y320" s="5">
        <f t="shared" si="43"/>
        <v>0.19545209646914186</v>
      </c>
      <c r="Z320" s="5">
        <f t="shared" si="44"/>
        <v>1.1497182145243638</v>
      </c>
      <c r="AB320" s="5">
        <f>$AC$2*($AC$3+$AC$4*$F320/($N320*'Sem TS MC2020'!P312))*($AC$5*$G320+$AC$6*$B320/$N320)*'Sem TS MC2020'!R312*($J320-$M320)/($J320-$M320-$H320)</f>
        <v>0.15827682091712705</v>
      </c>
      <c r="AC320" s="5">
        <f t="shared" si="45"/>
        <v>0.93104012304192374</v>
      </c>
      <c r="AD320" s="20">
        <f t="shared" si="46"/>
        <v>-1.1723179082872959E-2</v>
      </c>
      <c r="AE320" s="21">
        <f t="shared" si="47"/>
        <v>1.0740675672846067</v>
      </c>
      <c r="AF320" s="21">
        <f>AB320*(14.068*'Sem TS MC2020'!$P312^-0.457)/$Q320</f>
        <v>1.2220758634609998</v>
      </c>
      <c r="AG320" s="21"/>
      <c r="AO320" s="5">
        <f>$AP$2*($AP$3+$AP$4*$F320/($N320*'Sem TS MC2020'!P312))*($AP$5*$G320+$AP$6*$B320/$N320)*('Sem TS MC2020'!P312^$AP$7/200000)*($J320-$M320)/($J320-$M320-$H320)+('Sem TS MC2020'!P312-$C320/$AP$8)*($AP$5*$G320+$AP$6*$B320/$N320)/200000</f>
        <v>0.17965269055045244</v>
      </c>
      <c r="AP320" s="5">
        <f t="shared" si="48"/>
        <v>1.0567805326497202</v>
      </c>
      <c r="AQ320" s="20">
        <f t="shared" si="49"/>
        <v>9.6526905504524252E-3</v>
      </c>
    </row>
    <row r="321" spans="1:43" x14ac:dyDescent="0.25">
      <c r="B321" s="3">
        <v>28.7</v>
      </c>
      <c r="C321" s="4">
        <v>276</v>
      </c>
      <c r="D321" s="4">
        <v>2</v>
      </c>
      <c r="E321" s="3">
        <v>50.6</v>
      </c>
      <c r="F321" s="5">
        <v>2.8017146470593901</v>
      </c>
      <c r="G321" s="3">
        <v>38.200000000000003</v>
      </c>
      <c r="H321" s="3">
        <v>52.5</v>
      </c>
      <c r="I321" s="1">
        <v>152.4</v>
      </c>
      <c r="J321" s="3">
        <v>381</v>
      </c>
      <c r="K321" s="4">
        <v>1290</v>
      </c>
      <c r="L321" s="5">
        <v>28003.5</v>
      </c>
      <c r="M321" s="4">
        <v>143.36625380284801</v>
      </c>
      <c r="N321" s="10">
        <v>4.6065670362633197E-2</v>
      </c>
      <c r="O321" s="5">
        <v>77.037800000000004</v>
      </c>
      <c r="P321" s="4">
        <v>169.01358091924101</v>
      </c>
      <c r="Q321" s="5">
        <v>0.2</v>
      </c>
      <c r="R321" s="11">
        <f t="shared" si="40"/>
        <v>8.4506790459620504E-4</v>
      </c>
      <c r="V321" s="5">
        <f t="shared" si="41"/>
        <v>0.22488100293956337</v>
      </c>
      <c r="W321" s="5">
        <f t="shared" si="42"/>
        <v>1.1244050146978168</v>
      </c>
      <c r="Y321" s="5">
        <f t="shared" si="43"/>
        <v>0.22829549287567028</v>
      </c>
      <c r="Z321" s="5">
        <f t="shared" si="44"/>
        <v>1.1414774643783514</v>
      </c>
      <c r="AB321" s="5">
        <f>$AC$2*($AC$3+$AC$4*$F321/($N321*'Sem TS MC2020'!P313))*($AC$5*$G321+$AC$6*$B321/$N321)*'Sem TS MC2020'!R313*($J321-$M321)/($J321-$M321-$H321)</f>
        <v>0.19421923218855983</v>
      </c>
      <c r="AC321" s="5">
        <f t="shared" si="45"/>
        <v>0.97109616094279905</v>
      </c>
      <c r="AD321" s="20">
        <f t="shared" si="46"/>
        <v>-5.780767811440185E-3</v>
      </c>
      <c r="AE321" s="21">
        <f t="shared" si="47"/>
        <v>1.029764136879235</v>
      </c>
      <c r="AF321" s="21">
        <f>AB321*(14.068*'Sem TS MC2020'!$P313^-0.457)/$Q321</f>
        <v>1.1794109646082247</v>
      </c>
      <c r="AG321" s="21"/>
      <c r="AO321" s="5">
        <f>$AP$2*($AP$3+$AP$4*$F321/($N321*'Sem TS MC2020'!P313))*($AP$5*$G321+$AP$6*$B321/$N321)*('Sem TS MC2020'!P313^$AP$7/200000)*($J321-$M321)/($J321-$M321-$H321)+('Sem TS MC2020'!P313-$C321/$AP$8)*($AP$5*$G321+$AP$6*$B321/$N321)/200000</f>
        <v>0.21567666590705206</v>
      </c>
      <c r="AP321" s="5">
        <f t="shared" si="48"/>
        <v>1.0783833295352603</v>
      </c>
      <c r="AQ321" s="20">
        <f t="shared" si="49"/>
        <v>1.5676665907052051E-2</v>
      </c>
    </row>
    <row r="322" spans="1:43" x14ac:dyDescent="0.25">
      <c r="B322" s="3">
        <v>28.7</v>
      </c>
      <c r="C322" s="4">
        <v>276</v>
      </c>
      <c r="D322" s="4">
        <v>2</v>
      </c>
      <c r="E322" s="3">
        <v>50.6</v>
      </c>
      <c r="F322" s="5">
        <v>2.8017146470593901</v>
      </c>
      <c r="G322" s="3">
        <v>38.200000000000003</v>
      </c>
      <c r="H322" s="3">
        <v>52.5</v>
      </c>
      <c r="I322" s="1">
        <v>152.4</v>
      </c>
      <c r="J322" s="3">
        <v>381</v>
      </c>
      <c r="K322" s="4">
        <v>1290</v>
      </c>
      <c r="L322" s="5">
        <v>28003.5</v>
      </c>
      <c r="M322" s="4">
        <v>143.36625380284801</v>
      </c>
      <c r="N322" s="10">
        <v>4.6065670362633197E-2</v>
      </c>
      <c r="O322" s="5">
        <v>88.802700000000002</v>
      </c>
      <c r="P322" s="4">
        <v>206.91879624538299</v>
      </c>
      <c r="Q322" s="5">
        <v>0.25</v>
      </c>
      <c r="R322" s="11">
        <f t="shared" si="40"/>
        <v>1.0345939812269149E-3</v>
      </c>
      <c r="V322" s="5">
        <f t="shared" si="41"/>
        <v>0.25478491147138932</v>
      </c>
      <c r="W322" s="5">
        <f t="shared" si="42"/>
        <v>1.0191396458855573</v>
      </c>
      <c r="Y322" s="5">
        <f t="shared" si="43"/>
        <v>0.2592298060805131</v>
      </c>
      <c r="Z322" s="5">
        <f t="shared" si="44"/>
        <v>1.0369192243220524</v>
      </c>
      <c r="AB322" s="5">
        <f>$AC$2*($AC$3+$AC$4*$F322/($N322*'Sem TS MC2020'!P314))*($AC$5*$G322+$AC$6*$B322/$N322)*'Sem TS MC2020'!R314*($J322-$M322)/($J322-$M322-$H322)</f>
        <v>0.22934244320309269</v>
      </c>
      <c r="AC322" s="5">
        <f t="shared" si="45"/>
        <v>0.91736977281237075</v>
      </c>
      <c r="AD322" s="20">
        <f t="shared" si="46"/>
        <v>-2.0657556796907312E-2</v>
      </c>
      <c r="AE322" s="21">
        <f t="shared" si="47"/>
        <v>1.0900729778073139</v>
      </c>
      <c r="AF322" s="21">
        <f>AB322*(14.068*'Sem TS MC2020'!$P314^-0.457)/$Q322</f>
        <v>1.0440955852004306</v>
      </c>
      <c r="AG322" s="21"/>
      <c r="AO322" s="5">
        <f>$AP$2*($AP$3+$AP$4*$F322/($N322*'Sem TS MC2020'!P314))*($AP$5*$G322+$AP$6*$B322/$N322)*('Sem TS MC2020'!P314^$AP$7/200000)*($J322-$M322)/($J322-$M322-$H322)+('Sem TS MC2020'!P314-$C322/$AP$8)*($AP$5*$G322+$AP$6*$B322/$N322)/200000</f>
        <v>0.24979982683695476</v>
      </c>
      <c r="AP322" s="5">
        <f t="shared" si="48"/>
        <v>0.99919930734781903</v>
      </c>
      <c r="AQ322" s="20">
        <f t="shared" si="49"/>
        <v>-2.0017316304524191E-4</v>
      </c>
    </row>
    <row r="323" spans="1:43" x14ac:dyDescent="0.25">
      <c r="B323" s="3">
        <v>28.7</v>
      </c>
      <c r="C323" s="4">
        <v>276</v>
      </c>
      <c r="D323" s="4">
        <v>2</v>
      </c>
      <c r="E323" s="3">
        <v>50.6</v>
      </c>
      <c r="F323" s="5">
        <v>2.8017146470593901</v>
      </c>
      <c r="G323" s="3">
        <v>38.200000000000003</v>
      </c>
      <c r="H323" s="3">
        <v>52.5</v>
      </c>
      <c r="I323" s="1">
        <v>152.4</v>
      </c>
      <c r="J323" s="3">
        <v>381</v>
      </c>
      <c r="K323" s="4">
        <v>1290</v>
      </c>
      <c r="L323" s="5">
        <v>28003.5</v>
      </c>
      <c r="M323" s="4">
        <v>143.36625380284801</v>
      </c>
      <c r="N323" s="10">
        <v>4.6065670362633197E-2</v>
      </c>
      <c r="O323" s="5">
        <v>104.61499999999999</v>
      </c>
      <c r="P323" s="4">
        <v>242.58289538577</v>
      </c>
      <c r="Q323" s="5">
        <v>0.28999999999999998</v>
      </c>
      <c r="R323" s="11">
        <f t="shared" si="40"/>
        <v>1.21291447692885E-3</v>
      </c>
      <c r="V323" s="5">
        <f t="shared" si="41"/>
        <v>0.28105018042681312</v>
      </c>
      <c r="W323" s="5">
        <f t="shared" si="42"/>
        <v>0.96913855319590736</v>
      </c>
      <c r="Y323" s="5">
        <f t="shared" si="43"/>
        <v>0.28645391405098369</v>
      </c>
      <c r="Z323" s="5">
        <f t="shared" si="44"/>
        <v>0.98777211741718518</v>
      </c>
      <c r="AB323" s="5">
        <f>$AC$2*($AC$3+$AC$4*$F323/($N323*'Sem TS MC2020'!P315))*($AC$5*$G323+$AC$6*$B323/$N323)*'Sem TS MC2020'!R315*($J323-$M323)/($J323-$M323-$H323)</f>
        <v>0.26238902185917362</v>
      </c>
      <c r="AC323" s="5">
        <f t="shared" si="45"/>
        <v>0.90478973054887457</v>
      </c>
      <c r="AD323" s="20">
        <f t="shared" si="46"/>
        <v>-2.7610978140826359E-2</v>
      </c>
      <c r="AE323" s="21">
        <f t="shared" si="47"/>
        <v>1.1052291667737739</v>
      </c>
      <c r="AF323" s="21">
        <f>AB323*(14.068*'Sem TS MC2020'!$P315^-0.457)/$Q323</f>
        <v>0.97595196909761373</v>
      </c>
      <c r="AG323" s="21"/>
      <c r="AO323" s="5">
        <f>$AP$2*($AP$3+$AP$4*$F323/($N323*'Sem TS MC2020'!P315))*($AP$5*$G323+$AP$6*$B323/$N323)*('Sem TS MC2020'!P315^$AP$7/200000)*($J323-$M323)/($J323-$M323-$H323)+('Sem TS MC2020'!P315-$C323/$AP$8)*($AP$5*$G323+$AP$6*$B323/$N323)/200000</f>
        <v>0.28110195907531355</v>
      </c>
      <c r="AP323" s="5">
        <f t="shared" si="48"/>
        <v>0.96931710025970197</v>
      </c>
      <c r="AQ323" s="20">
        <f t="shared" si="49"/>
        <v>-8.8980409246864345E-3</v>
      </c>
    </row>
    <row r="324" spans="1:43" x14ac:dyDescent="0.25">
      <c r="A324" s="1" t="s">
        <v>97</v>
      </c>
      <c r="B324" s="3">
        <v>28.7</v>
      </c>
      <c r="C324" s="4">
        <v>276</v>
      </c>
      <c r="D324" s="4">
        <v>2</v>
      </c>
      <c r="E324" s="3">
        <v>50.6</v>
      </c>
      <c r="F324" s="5">
        <v>2.7153116457984501</v>
      </c>
      <c r="G324" s="3">
        <v>38.200000000000003</v>
      </c>
      <c r="H324" s="3">
        <v>52.5</v>
      </c>
      <c r="I324" s="1">
        <v>152.4</v>
      </c>
      <c r="J324" s="3">
        <v>381</v>
      </c>
      <c r="K324" s="4">
        <v>1290</v>
      </c>
      <c r="L324" s="5">
        <v>28003.5</v>
      </c>
      <c r="M324" s="4">
        <v>144.17675602863099</v>
      </c>
      <c r="N324" s="10">
        <v>4.6065670362633197E-2</v>
      </c>
      <c r="O324" s="5">
        <v>77.037800000000004</v>
      </c>
      <c r="P324" s="4">
        <v>170.44511898843001</v>
      </c>
      <c r="Q324" s="5">
        <v>0.17</v>
      </c>
      <c r="R324" s="11">
        <f t="shared" si="40"/>
        <v>8.5222559494215009E-4</v>
      </c>
      <c r="V324" s="5">
        <f t="shared" si="41"/>
        <v>0.22605432429933986</v>
      </c>
      <c r="W324" s="5">
        <f t="shared" si="42"/>
        <v>1.3297313194078815</v>
      </c>
      <c r="Y324" s="5">
        <f t="shared" si="43"/>
        <v>0.22950792152072244</v>
      </c>
      <c r="Z324" s="5">
        <f t="shared" si="44"/>
        <v>1.3500465971807201</v>
      </c>
      <c r="AB324" s="5">
        <f>$AC$2*($AC$3+$AC$4*$F324/($N324*'Sem TS MC2020'!P316))*($AC$5*$G324+$AC$6*$B324/$N324)*'Sem TS MC2020'!R316*($J324-$M324)/($J324-$M324-$H324)</f>
        <v>0.19573392154732208</v>
      </c>
      <c r="AC324" s="5">
        <f t="shared" si="45"/>
        <v>1.1513760091018945</v>
      </c>
      <c r="AD324" s="20">
        <f t="shared" si="46"/>
        <v>2.5733921547322069E-2</v>
      </c>
      <c r="AE324" s="21">
        <f t="shared" si="47"/>
        <v>0.86852600027685822</v>
      </c>
      <c r="AF324" s="21">
        <f>AB324*(14.068*'Sem TS MC2020'!$P316^-0.457)/$Q324</f>
        <v>1.3977483555440375</v>
      </c>
      <c r="AG324" s="21"/>
      <c r="AO324" s="5">
        <f>$AP$2*($AP$3+$AP$4*$F324/($N324*'Sem TS MC2020'!P316))*($AP$5*$G324+$AP$6*$B324/$N324)*('Sem TS MC2020'!P316^$AP$7/200000)*($J324-$M324)/($J324-$M324-$H324)+('Sem TS MC2020'!P316-$C324/$AP$8)*($AP$5*$G324+$AP$6*$B324/$N324)/200000</f>
        <v>0.21732455087549521</v>
      </c>
      <c r="AP324" s="5">
        <f t="shared" si="48"/>
        <v>1.2783797110323247</v>
      </c>
      <c r="AQ324" s="20">
        <f t="shared" si="49"/>
        <v>4.7324550875495197E-2</v>
      </c>
    </row>
    <row r="325" spans="1:43" x14ac:dyDescent="0.25">
      <c r="A325" s="1" t="s">
        <v>98</v>
      </c>
      <c r="B325" s="3">
        <v>28.7</v>
      </c>
      <c r="C325" s="4">
        <v>276</v>
      </c>
      <c r="D325" s="4">
        <v>2</v>
      </c>
      <c r="E325" s="3">
        <v>50.6</v>
      </c>
      <c r="F325" s="5">
        <v>2.8017146470593901</v>
      </c>
      <c r="G325" s="3">
        <v>38.200000000000003</v>
      </c>
      <c r="H325" s="3">
        <v>52.5</v>
      </c>
      <c r="I325" s="1">
        <v>152.4</v>
      </c>
      <c r="J325" s="3">
        <v>381</v>
      </c>
      <c r="K325" s="4">
        <v>1290</v>
      </c>
      <c r="L325" s="5">
        <v>28003.5</v>
      </c>
      <c r="M325" s="4">
        <v>143.36625380284801</v>
      </c>
      <c r="N325" s="10">
        <v>4.6065670362633197E-2</v>
      </c>
      <c r="O325" s="5">
        <v>64.998500000000007</v>
      </c>
      <c r="P325" s="4">
        <v>131.979351866831</v>
      </c>
      <c r="Q325" s="5">
        <v>0.15</v>
      </c>
      <c r="R325" s="11">
        <f t="shared" si="40"/>
        <v>6.59896759334155E-4</v>
      </c>
      <c r="V325" s="5">
        <f t="shared" si="41"/>
        <v>0.19305334762171433</v>
      </c>
      <c r="W325" s="5">
        <f t="shared" si="42"/>
        <v>1.2870223174780957</v>
      </c>
      <c r="Y325" s="5">
        <f t="shared" si="43"/>
        <v>0.19545209646914186</v>
      </c>
      <c r="Z325" s="5">
        <f t="shared" si="44"/>
        <v>1.3030139764609459</v>
      </c>
      <c r="AB325" s="5">
        <f>$AC$2*($AC$3+$AC$4*$F325/($N325*'Sem TS MC2020'!P317))*($AC$5*$G325+$AC$6*$B325/$N325)*'Sem TS MC2020'!R317*($J325-$M325)/($J325-$M325-$H325)</f>
        <v>0.15827682091712705</v>
      </c>
      <c r="AC325" s="5">
        <f t="shared" si="45"/>
        <v>1.0551788061141805</v>
      </c>
      <c r="AD325" s="20">
        <f t="shared" si="46"/>
        <v>8.276820917127059E-3</v>
      </c>
      <c r="AE325" s="21">
        <f t="shared" si="47"/>
        <v>0.94770667701582934</v>
      </c>
      <c r="AF325" s="21">
        <f>AB325*(14.068*'Sem TS MC2020'!$P317^-0.457)/$Q325</f>
        <v>1.3850193119224665</v>
      </c>
      <c r="AG325" s="21"/>
      <c r="AO325" s="5">
        <f>$AP$2*($AP$3+$AP$4*$F325/($N325*'Sem TS MC2020'!P317))*($AP$5*$G325+$AP$6*$B325/$N325)*('Sem TS MC2020'!P317^$AP$7/200000)*($J325-$M325)/($J325-$M325-$H325)+('Sem TS MC2020'!P317-$C325/$AP$8)*($AP$5*$G325+$AP$6*$B325/$N325)/200000</f>
        <v>0.17965269055045244</v>
      </c>
      <c r="AP325" s="5">
        <f t="shared" si="48"/>
        <v>1.1976846036696829</v>
      </c>
      <c r="AQ325" s="20">
        <f t="shared" si="49"/>
        <v>2.9652690550452443E-2</v>
      </c>
    </row>
    <row r="326" spans="1:43" x14ac:dyDescent="0.25">
      <c r="B326" s="3">
        <v>28.7</v>
      </c>
      <c r="C326" s="4">
        <v>276</v>
      </c>
      <c r="D326" s="4">
        <v>2</v>
      </c>
      <c r="E326" s="3">
        <v>50.6</v>
      </c>
      <c r="F326" s="5">
        <v>2.8017146470593901</v>
      </c>
      <c r="G326" s="3">
        <v>38.200000000000003</v>
      </c>
      <c r="H326" s="3">
        <v>52.5</v>
      </c>
      <c r="I326" s="1">
        <v>152.4</v>
      </c>
      <c r="J326" s="3">
        <v>381</v>
      </c>
      <c r="K326" s="4">
        <v>1290</v>
      </c>
      <c r="L326" s="5">
        <v>28003.5</v>
      </c>
      <c r="M326" s="4">
        <v>143.36625380284801</v>
      </c>
      <c r="N326" s="10">
        <v>4.6065670362633197E-2</v>
      </c>
      <c r="O326" s="5">
        <v>77.037800000000004</v>
      </c>
      <c r="P326" s="4">
        <v>169.01358091924101</v>
      </c>
      <c r="Q326" s="5">
        <v>0.16</v>
      </c>
      <c r="R326" s="11">
        <f t="shared" si="40"/>
        <v>8.4506790459620504E-4</v>
      </c>
      <c r="V326" s="5">
        <f t="shared" si="41"/>
        <v>0.22488100293956337</v>
      </c>
      <c r="W326" s="5">
        <f t="shared" si="42"/>
        <v>1.405506268372271</v>
      </c>
      <c r="Y326" s="5">
        <f t="shared" si="43"/>
        <v>0.22829549287567028</v>
      </c>
      <c r="Z326" s="5">
        <f t="shared" si="44"/>
        <v>1.4268468304729391</v>
      </c>
      <c r="AB326" s="5">
        <f>$AC$2*($AC$3+$AC$4*$F326/($N326*'Sem TS MC2020'!P318))*($AC$5*$G326+$AC$6*$B326/$N326)*'Sem TS MC2020'!R318*($J326-$M326)/($J326-$M326-$H326)</f>
        <v>0.19421923218855983</v>
      </c>
      <c r="AC326" s="5">
        <f t="shared" si="45"/>
        <v>1.213870201178499</v>
      </c>
      <c r="AD326" s="20">
        <f t="shared" si="46"/>
        <v>3.4219232188559823E-2</v>
      </c>
      <c r="AE326" s="21">
        <f t="shared" si="47"/>
        <v>0.82381130950338777</v>
      </c>
      <c r="AF326" s="21">
        <f>AB326*(14.068*'Sem TS MC2020'!$P318^-0.457)/$Q326</f>
        <v>1.474263705760281</v>
      </c>
      <c r="AG326" s="21"/>
      <c r="AO326" s="5">
        <f>$AP$2*($AP$3+$AP$4*$F326/($N326*'Sem TS MC2020'!P318))*($AP$5*$G326+$AP$6*$B326/$N326)*('Sem TS MC2020'!P318^$AP$7/200000)*($J326-$M326)/($J326-$M326-$H326)+('Sem TS MC2020'!P318-$C326/$AP$8)*($AP$5*$G326+$AP$6*$B326/$N326)/200000</f>
        <v>0.21567666590705206</v>
      </c>
      <c r="AP326" s="5">
        <f t="shared" si="48"/>
        <v>1.3479791619190753</v>
      </c>
      <c r="AQ326" s="20">
        <f t="shared" si="49"/>
        <v>5.5676665907052059E-2</v>
      </c>
    </row>
    <row r="327" spans="1:43" x14ac:dyDescent="0.25">
      <c r="B327" s="3">
        <v>28.7</v>
      </c>
      <c r="C327" s="4">
        <v>276</v>
      </c>
      <c r="D327" s="4">
        <v>2</v>
      </c>
      <c r="E327" s="3">
        <v>50.6</v>
      </c>
      <c r="F327" s="5">
        <v>2.8017146470593901</v>
      </c>
      <c r="G327" s="3">
        <v>38.200000000000003</v>
      </c>
      <c r="H327" s="3">
        <v>52.5</v>
      </c>
      <c r="I327" s="1">
        <v>152.4</v>
      </c>
      <c r="J327" s="3">
        <v>381</v>
      </c>
      <c r="K327" s="4">
        <v>1290</v>
      </c>
      <c r="L327" s="5">
        <v>28003.5</v>
      </c>
      <c r="M327" s="4">
        <v>143.36625380284801</v>
      </c>
      <c r="N327" s="10">
        <v>4.6065670362633197E-2</v>
      </c>
      <c r="O327" s="5">
        <v>88.802700000000002</v>
      </c>
      <c r="P327" s="4">
        <v>206.91879624538299</v>
      </c>
      <c r="Q327" s="5">
        <v>0.22</v>
      </c>
      <c r="R327" s="11">
        <f t="shared" si="40"/>
        <v>1.0345939812269149E-3</v>
      </c>
      <c r="V327" s="5">
        <f t="shared" si="41"/>
        <v>0.25478491147138932</v>
      </c>
      <c r="W327" s="5">
        <f t="shared" si="42"/>
        <v>1.1581132339608606</v>
      </c>
      <c r="Y327" s="5">
        <f t="shared" si="43"/>
        <v>0.2592298060805131</v>
      </c>
      <c r="Z327" s="5">
        <f t="shared" si="44"/>
        <v>1.1783173003659686</v>
      </c>
      <c r="AB327" s="5">
        <f>$AC$2*($AC$3+$AC$4*$F327/($N327*'Sem TS MC2020'!P319))*($AC$5*$G327+$AC$6*$B327/$N327)*'Sem TS MC2020'!R319*($J327-$M327)/($J327-$M327-$H327)</f>
        <v>0.22934244320309269</v>
      </c>
      <c r="AC327" s="5">
        <f t="shared" si="45"/>
        <v>1.0424656509231485</v>
      </c>
      <c r="AD327" s="20">
        <f t="shared" si="46"/>
        <v>9.3424432030926874E-3</v>
      </c>
      <c r="AE327" s="21">
        <f t="shared" si="47"/>
        <v>0.95926422047043636</v>
      </c>
      <c r="AF327" s="21">
        <f>AB327*(14.068*'Sem TS MC2020'!$P319^-0.457)/$Q327</f>
        <v>1.1864722559095802</v>
      </c>
      <c r="AG327" s="21"/>
      <c r="AO327" s="5">
        <f>$AP$2*($AP$3+$AP$4*$F327/($N327*'Sem TS MC2020'!P319))*($AP$5*$G327+$AP$6*$B327/$N327)*('Sem TS MC2020'!P319^$AP$7/200000)*($J327-$M327)/($J327-$M327-$H327)+('Sem TS MC2020'!P319-$C327/$AP$8)*($AP$5*$G327+$AP$6*$B327/$N327)/200000</f>
        <v>0.24979982683695476</v>
      </c>
      <c r="AP327" s="5">
        <f t="shared" si="48"/>
        <v>1.1354537583497943</v>
      </c>
      <c r="AQ327" s="20">
        <f t="shared" si="49"/>
        <v>2.9799826836954757E-2</v>
      </c>
    </row>
    <row r="328" spans="1:43" x14ac:dyDescent="0.25">
      <c r="B328" s="3">
        <v>28.7</v>
      </c>
      <c r="C328" s="4">
        <v>276</v>
      </c>
      <c r="D328" s="4">
        <v>2</v>
      </c>
      <c r="E328" s="3">
        <v>50.6</v>
      </c>
      <c r="F328" s="5">
        <v>2.8017146470593901</v>
      </c>
      <c r="G328" s="3">
        <v>38.200000000000003</v>
      </c>
      <c r="H328" s="3">
        <v>52.5</v>
      </c>
      <c r="I328" s="1">
        <v>152.4</v>
      </c>
      <c r="J328" s="3">
        <v>381</v>
      </c>
      <c r="K328" s="4">
        <v>1290</v>
      </c>
      <c r="L328" s="5">
        <v>28003.5</v>
      </c>
      <c r="M328" s="4">
        <v>143.36625380284801</v>
      </c>
      <c r="N328" s="10">
        <v>4.6065670362633197E-2</v>
      </c>
      <c r="O328" s="5">
        <v>104.61499999999999</v>
      </c>
      <c r="P328" s="4">
        <v>242.58289538577</v>
      </c>
      <c r="Q328" s="5">
        <v>0.26</v>
      </c>
      <c r="R328" s="11">
        <f t="shared" si="40"/>
        <v>1.21291447692885E-3</v>
      </c>
      <c r="V328" s="5">
        <f t="shared" si="41"/>
        <v>0.28105018042681312</v>
      </c>
      <c r="W328" s="5">
        <f t="shared" si="42"/>
        <v>1.0809622324108197</v>
      </c>
      <c r="Y328" s="5">
        <f t="shared" si="43"/>
        <v>0.28645391405098369</v>
      </c>
      <c r="Z328" s="5">
        <f t="shared" si="44"/>
        <v>1.1017458232730142</v>
      </c>
      <c r="AB328" s="5">
        <f>$AC$2*($AC$3+$AC$4*$F328/($N328*'Sem TS MC2020'!P320))*($AC$5*$G328+$AC$6*$B328/$N328)*'Sem TS MC2020'!R320*($J328-$M328)/($J328-$M328-$H328)</f>
        <v>0.26238902185917362</v>
      </c>
      <c r="AC328" s="5">
        <f t="shared" si="45"/>
        <v>1.0091885456122063</v>
      </c>
      <c r="AD328" s="20">
        <f t="shared" si="46"/>
        <v>2.3890218591736123E-3</v>
      </c>
      <c r="AE328" s="21">
        <f t="shared" si="47"/>
        <v>0.99089511503855587</v>
      </c>
      <c r="AF328" s="21">
        <f>AB328*(14.068*'Sem TS MC2020'!$P320^-0.457)/$Q328</f>
        <v>1.0885618116857998</v>
      </c>
      <c r="AG328" s="21"/>
      <c r="AO328" s="5">
        <f>$AP$2*($AP$3+$AP$4*$F328/($N328*'Sem TS MC2020'!P320))*($AP$5*$G328+$AP$6*$B328/$N328)*('Sem TS MC2020'!P320^$AP$7/200000)*($J328-$M328)/($J328-$M328-$H328)+('Sem TS MC2020'!P320-$C328/$AP$8)*($AP$5*$G328+$AP$6*$B328/$N328)/200000</f>
        <v>0.28110195907531355</v>
      </c>
      <c r="AP328" s="5">
        <f t="shared" si="48"/>
        <v>1.0811613810588983</v>
      </c>
      <c r="AQ328" s="20">
        <f t="shared" si="49"/>
        <v>2.1101959075313537E-2</v>
      </c>
    </row>
    <row r="329" spans="1:43" x14ac:dyDescent="0.25">
      <c r="A329" s="1" t="s">
        <v>99</v>
      </c>
      <c r="B329" s="3">
        <v>28.7</v>
      </c>
      <c r="C329" s="4">
        <v>276</v>
      </c>
      <c r="D329" s="4">
        <v>2</v>
      </c>
      <c r="E329" s="3">
        <v>50.6</v>
      </c>
      <c r="F329" s="5">
        <v>2.5244480681033798</v>
      </c>
      <c r="G329" s="3">
        <v>38.200000000000003</v>
      </c>
      <c r="H329" s="3">
        <v>52.5</v>
      </c>
      <c r="I329" s="1">
        <v>152.4</v>
      </c>
      <c r="J329" s="3">
        <v>381</v>
      </c>
      <c r="K329" s="4">
        <v>1290</v>
      </c>
      <c r="L329" s="5">
        <v>28003.5</v>
      </c>
      <c r="M329" s="4">
        <v>146.0713467674</v>
      </c>
      <c r="N329" s="10">
        <v>4.6065670362633197E-2</v>
      </c>
      <c r="O329" s="5">
        <v>77.037800000000004</v>
      </c>
      <c r="P329" s="4">
        <v>173.64202143250199</v>
      </c>
      <c r="Q329" s="5">
        <v>0.17</v>
      </c>
      <c r="R329" s="11">
        <f t="shared" si="40"/>
        <v>8.6821010716251E-4</v>
      </c>
      <c r="V329" s="5">
        <f t="shared" si="41"/>
        <v>0.22866103882900329</v>
      </c>
      <c r="W329" s="5">
        <f t="shared" si="42"/>
        <v>1.3450649342882546</v>
      </c>
      <c r="Y329" s="5">
        <f t="shared" si="43"/>
        <v>0.23220191962044306</v>
      </c>
      <c r="Z329" s="5">
        <f t="shared" si="44"/>
        <v>1.3658936448261356</v>
      </c>
      <c r="AB329" s="5">
        <f>$AC$2*($AC$3+$AC$4*$F329/($N329*'Sem TS MC2020'!P321))*($AC$5*$G329+$AC$6*$B329/$N329)*'Sem TS MC2020'!R321*($J329-$M329)/($J329-$M329-$H329)</f>
        <v>0.19915070338749424</v>
      </c>
      <c r="AC329" s="5">
        <f t="shared" si="45"/>
        <v>1.1714747258087896</v>
      </c>
      <c r="AD329" s="20">
        <f t="shared" si="46"/>
        <v>2.9150703387494231E-2</v>
      </c>
      <c r="AE329" s="21">
        <f t="shared" si="47"/>
        <v>0.85362490369529487</v>
      </c>
      <c r="AF329" s="21">
        <f>AB329*(14.068*'Sem TS MC2020'!$P321^-0.457)/$Q329</f>
        <v>1.4206833457760468</v>
      </c>
      <c r="AG329" s="21"/>
      <c r="AO329" s="5">
        <f>$AP$2*($AP$3+$AP$4*$F329/($N329*'Sem TS MC2020'!P321))*($AP$5*$G329+$AP$6*$B329/$N329)*('Sem TS MC2020'!P321^$AP$7/200000)*($J329-$M329)/($J329-$M329-$H329)+('Sem TS MC2020'!P321-$C329/$AP$8)*($AP$5*$G329+$AP$6*$B329/$N329)/200000</f>
        <v>0.2210367261431237</v>
      </c>
      <c r="AP329" s="5">
        <f t="shared" si="48"/>
        <v>1.3002160361360215</v>
      </c>
      <c r="AQ329" s="20">
        <f t="shared" si="49"/>
        <v>5.1036726143123684E-2</v>
      </c>
    </row>
    <row r="330" spans="1:43" x14ac:dyDescent="0.25">
      <c r="B330" s="3">
        <v>28.7</v>
      </c>
      <c r="C330" s="4">
        <v>276</v>
      </c>
      <c r="D330" s="4">
        <v>2</v>
      </c>
      <c r="E330" s="3">
        <v>50.6</v>
      </c>
      <c r="F330" s="5">
        <v>2.5244480681033798</v>
      </c>
      <c r="G330" s="3">
        <v>38.200000000000003</v>
      </c>
      <c r="H330" s="3">
        <v>52.5</v>
      </c>
      <c r="I330" s="1">
        <v>152.4</v>
      </c>
      <c r="J330" s="3">
        <v>381</v>
      </c>
      <c r="K330" s="4">
        <v>1290</v>
      </c>
      <c r="L330" s="5">
        <v>28003.5</v>
      </c>
      <c r="M330" s="4">
        <v>146.0713467674</v>
      </c>
      <c r="N330" s="10">
        <v>4.6065670362633197E-2</v>
      </c>
      <c r="O330" s="5">
        <v>88.802700000000002</v>
      </c>
      <c r="P330" s="4">
        <v>211.192425244779</v>
      </c>
      <c r="Q330" s="5">
        <v>0.2</v>
      </c>
      <c r="R330" s="11">
        <f t="shared" si="40"/>
        <v>1.055962126223895E-3</v>
      </c>
      <c r="V330" s="5">
        <f t="shared" si="41"/>
        <v>0.2580189921336874</v>
      </c>
      <c r="W330" s="5">
        <f t="shared" si="42"/>
        <v>1.2900949606684369</v>
      </c>
      <c r="Y330" s="5">
        <f t="shared" si="43"/>
        <v>0.26257934857408627</v>
      </c>
      <c r="Z330" s="5">
        <f t="shared" si="44"/>
        <v>1.3128967428704312</v>
      </c>
      <c r="AB330" s="5">
        <f>$AC$2*($AC$3+$AC$4*$F330/($N330*'Sem TS MC2020'!P322))*($AC$5*$G330+$AC$6*$B330/$N330)*'Sem TS MC2020'!R322*($J330-$M330)/($J330-$M330-$H330)</f>
        <v>0.2345025338675116</v>
      </c>
      <c r="AC330" s="5">
        <f t="shared" si="45"/>
        <v>1.172512669337558</v>
      </c>
      <c r="AD330" s="20">
        <f t="shared" si="46"/>
        <v>3.4502533867511592E-2</v>
      </c>
      <c r="AE330" s="21">
        <f t="shared" si="47"/>
        <v>0.85286924922097118</v>
      </c>
      <c r="AF330" s="21">
        <f>AB330*(14.068*'Sem TS MC2020'!$P322^-0.457)/$Q330</f>
        <v>1.3325233249129593</v>
      </c>
      <c r="AG330" s="21"/>
      <c r="AO330" s="5">
        <f>$AP$2*($AP$3+$AP$4*$F330/($N330*'Sem TS MC2020'!P322))*($AP$5*$G330+$AP$6*$B330/$N330)*('Sem TS MC2020'!P322^$AP$7/200000)*($J330-$M330)/($J330-$M330-$H330)+('Sem TS MC2020'!P322-$C330/$AP$8)*($AP$5*$G330+$AP$6*$B330/$N330)/200000</f>
        <v>0.2552535376371593</v>
      </c>
      <c r="AP330" s="5">
        <f t="shared" si="48"/>
        <v>1.2762676881857964</v>
      </c>
      <c r="AQ330" s="20">
        <f t="shared" si="49"/>
        <v>5.5253537637159289E-2</v>
      </c>
    </row>
    <row r="331" spans="1:43" x14ac:dyDescent="0.25">
      <c r="B331" s="3">
        <v>28.7</v>
      </c>
      <c r="C331" s="4">
        <v>276</v>
      </c>
      <c r="D331" s="4">
        <v>2</v>
      </c>
      <c r="E331" s="3">
        <v>50.6</v>
      </c>
      <c r="F331" s="5">
        <v>2.5244480681033798</v>
      </c>
      <c r="G331" s="3">
        <v>38.200000000000003</v>
      </c>
      <c r="H331" s="3">
        <v>52.5</v>
      </c>
      <c r="I331" s="1">
        <v>152.4</v>
      </c>
      <c r="J331" s="3">
        <v>381</v>
      </c>
      <c r="K331" s="4">
        <v>1290</v>
      </c>
      <c r="L331" s="5">
        <v>28003.5</v>
      </c>
      <c r="M331" s="4">
        <v>146.0713467674</v>
      </c>
      <c r="N331" s="10">
        <v>4.6065670362633197E-2</v>
      </c>
      <c r="O331" s="5">
        <v>104.61499999999999</v>
      </c>
      <c r="P331" s="4">
        <v>245.49875842797999</v>
      </c>
      <c r="Q331" s="5">
        <v>0.24</v>
      </c>
      <c r="R331" s="11">
        <f t="shared" ref="R331:R351" si="50">P331/200000</f>
        <v>1.2274937921399E-3</v>
      </c>
      <c r="V331" s="5">
        <f t="shared" ref="V331:V351" si="51">$W$2*($W$3*$G331+$W$4*$B331^$W$5*$N331^$W$6)*$R331^$W$7</f>
        <v>0.28312978450853354</v>
      </c>
      <c r="W331" s="5">
        <f t="shared" ref="W331:W351" si="52">V331/$Q331</f>
        <v>1.1797074354522232</v>
      </c>
      <c r="Y331" s="5">
        <f t="shared" ref="Y331:Y351" si="53">$Z$2*$B331^$Z$3*$R331^$Z$4*($Z$5*$N331^$Z$6+$Z$7)</f>
        <v>0.28861143295046604</v>
      </c>
      <c r="Z331" s="5">
        <f t="shared" ref="Z331:Z351" si="54">Y331/$Q331</f>
        <v>1.2025476372936086</v>
      </c>
      <c r="AB331" s="5">
        <f>$AC$2*($AC$3+$AC$4*$F331/($N331*'Sem TS MC2020'!P323))*($AC$5*$G331+$AC$6*$B331/$N331)*'Sem TS MC2020'!R323*($J331-$M331)/($J331-$M331-$H331)</f>
        <v>0.26680023381093926</v>
      </c>
      <c r="AC331" s="5">
        <f t="shared" ref="AC331:AC351" si="55">AB331/$Q331</f>
        <v>1.1116676408789137</v>
      </c>
      <c r="AD331" s="20">
        <f t="shared" ref="AD331:AD351" si="56">AB331-$Q331</f>
        <v>2.6800233810939267E-2</v>
      </c>
      <c r="AE331" s="21">
        <f t="shared" ref="AE331:AE351" si="57">1/AC331</f>
        <v>0.89954943656484743</v>
      </c>
      <c r="AF331" s="21">
        <f>AB331*(14.068*'Sem TS MC2020'!$P323^-0.457)/$Q331</f>
        <v>1.1991009473988155</v>
      </c>
      <c r="AG331" s="21"/>
      <c r="AO331" s="5">
        <f>$AP$2*($AP$3+$AP$4*$F331/($N331*'Sem TS MC2020'!P323))*($AP$5*$G331+$AP$6*$B331/$N331)*('Sem TS MC2020'!P323^$AP$7/200000)*($J331-$M331)/($J331-$M331-$H331)+('Sem TS MC2020'!P323-$C331/$AP$8)*($AP$5*$G331+$AP$6*$B331/$N331)/200000</f>
        <v>0.28575241655365624</v>
      </c>
      <c r="AP331" s="5">
        <f t="shared" ref="AP331:AP351" si="58">AO331/$Q331</f>
        <v>1.1906350689735676</v>
      </c>
      <c r="AQ331" s="20">
        <f t="shared" ref="AQ331:AQ351" si="59">AO331-$Q331</f>
        <v>4.575241655365625E-2</v>
      </c>
    </row>
    <row r="332" spans="1:43" x14ac:dyDescent="0.25">
      <c r="A332" s="1" t="s">
        <v>100</v>
      </c>
      <c r="B332" s="3">
        <v>32.299999999999997</v>
      </c>
      <c r="C332" s="4">
        <v>276</v>
      </c>
      <c r="D332" s="4">
        <v>1</v>
      </c>
      <c r="E332" s="3">
        <v>60</v>
      </c>
      <c r="F332" s="5">
        <v>2.5382184533279299</v>
      </c>
      <c r="G332" s="3">
        <v>38.299999999999997</v>
      </c>
      <c r="H332" s="3">
        <v>54.4</v>
      </c>
      <c r="I332" s="1">
        <v>152.4</v>
      </c>
      <c r="J332" s="3">
        <v>381</v>
      </c>
      <c r="K332" s="4">
        <v>819</v>
      </c>
      <c r="L332" s="5">
        <v>29016.959999999999</v>
      </c>
      <c r="M332" s="4">
        <v>122.838831239211</v>
      </c>
      <c r="N332" s="10">
        <v>2.82248726262158E-2</v>
      </c>
      <c r="O332" s="5">
        <v>39.959499999999998</v>
      </c>
      <c r="P332" s="4">
        <v>106.35320377433101</v>
      </c>
      <c r="Q332" s="5">
        <v>0.17</v>
      </c>
      <c r="R332" s="11">
        <f t="shared" si="50"/>
        <v>5.3176601887165503E-4</v>
      </c>
      <c r="V332" s="5">
        <f t="shared" si="51"/>
        <v>0.22450826719258249</v>
      </c>
      <c r="W332" s="5">
        <f t="shared" si="52"/>
        <v>1.3206368658387204</v>
      </c>
      <c r="Y332" s="5">
        <f t="shared" si="53"/>
        <v>0.22397688140286556</v>
      </c>
      <c r="Z332" s="5">
        <f t="shared" si="54"/>
        <v>1.3175110670756798</v>
      </c>
      <c r="AB332" s="5">
        <f>$AC$2*($AC$3+$AC$4*$F332/($N332*'Sem TS MC2020'!P324))*($AC$5*$G332+$AC$6*$B332/$N332)*'Sem TS MC2020'!R324*($J332-$M332)/($J332-$M332-$H332)</f>
        <v>0.20598343245511722</v>
      </c>
      <c r="AC332" s="5">
        <f t="shared" si="55"/>
        <v>1.2116672497359835</v>
      </c>
      <c r="AD332" s="20">
        <f t="shared" si="56"/>
        <v>3.5983432455117204E-2</v>
      </c>
      <c r="AE332" s="21">
        <f t="shared" si="57"/>
        <v>0.82530909390997831</v>
      </c>
      <c r="AF332" s="21">
        <f>AB332*(14.068*'Sem TS MC2020'!$P324^-0.457)/$Q332</f>
        <v>1.6269152892735701</v>
      </c>
      <c r="AG332" s="21"/>
      <c r="AO332" s="5">
        <f>$AP$2*($AP$3+$AP$4*$F332/($N332*'Sem TS MC2020'!P324))*($AP$5*$G332+$AP$6*$B332/$N332)*('Sem TS MC2020'!P324^$AP$7/200000)*($J332-$M332)/($J332-$M332-$H332)+('Sem TS MC2020'!P324-$C332/$AP$8)*($AP$5*$G332+$AP$6*$B332/$N332)/200000</f>
        <v>0.2407483275125975</v>
      </c>
      <c r="AP332" s="5">
        <f t="shared" si="58"/>
        <v>1.4161666324270441</v>
      </c>
      <c r="AQ332" s="20">
        <f t="shared" si="59"/>
        <v>7.0748327512597492E-2</v>
      </c>
    </row>
    <row r="333" spans="1:43" x14ac:dyDescent="0.25">
      <c r="B333" s="3">
        <v>32.299999999999997</v>
      </c>
      <c r="C333" s="4">
        <v>276</v>
      </c>
      <c r="D333" s="4">
        <v>1</v>
      </c>
      <c r="E333" s="3">
        <v>60</v>
      </c>
      <c r="F333" s="5">
        <v>2.5382184533279299</v>
      </c>
      <c r="G333" s="3">
        <v>38.299999999999997</v>
      </c>
      <c r="H333" s="3">
        <v>54.4</v>
      </c>
      <c r="I333" s="1">
        <v>152.4</v>
      </c>
      <c r="J333" s="3">
        <v>381</v>
      </c>
      <c r="K333" s="4">
        <v>819</v>
      </c>
      <c r="L333" s="5">
        <v>29016.959999999999</v>
      </c>
      <c r="M333" s="4">
        <v>122.838831239211</v>
      </c>
      <c r="N333" s="10">
        <v>2.82248726262158E-2</v>
      </c>
      <c r="O333" s="5">
        <v>49.186199999999999</v>
      </c>
      <c r="P333" s="4">
        <v>150.363502382333</v>
      </c>
      <c r="Q333" s="5">
        <v>0.23</v>
      </c>
      <c r="R333" s="11">
        <f t="shared" si="50"/>
        <v>7.5181751191166497E-4</v>
      </c>
      <c r="V333" s="5">
        <f t="shared" si="51"/>
        <v>0.27798676082604995</v>
      </c>
      <c r="W333" s="5">
        <f t="shared" si="52"/>
        <v>1.2086380905480432</v>
      </c>
      <c r="Y333" s="5">
        <f t="shared" si="53"/>
        <v>0.27838721025305113</v>
      </c>
      <c r="Z333" s="5">
        <f t="shared" si="54"/>
        <v>1.2103791750132658</v>
      </c>
      <c r="AB333" s="5">
        <f>$AC$2*($AC$3+$AC$4*$F333/($N333*'Sem TS MC2020'!P325))*($AC$5*$G333+$AC$6*$B333/$N333)*'Sem TS MC2020'!R325*($J333-$M333)/($J333-$M333-$H333)</f>
        <v>0.27263767199583117</v>
      </c>
      <c r="AC333" s="5">
        <f t="shared" si="55"/>
        <v>1.1853811825905702</v>
      </c>
      <c r="AD333" s="20">
        <f t="shared" si="56"/>
        <v>4.2637671995831156E-2</v>
      </c>
      <c r="AE333" s="21">
        <f t="shared" si="57"/>
        <v>0.84361048976209307</v>
      </c>
      <c r="AF333" s="21">
        <f>AB333*(14.068*'Sem TS MC2020'!$P325^-0.457)/$Q333</f>
        <v>1.4474633813404987</v>
      </c>
      <c r="AG333" s="21"/>
      <c r="AO333" s="5">
        <f>$AP$2*($AP$3+$AP$4*$F333/($N333*'Sem TS MC2020'!P325))*($AP$5*$G333+$AP$6*$B333/$N333)*('Sem TS MC2020'!P325^$AP$7/200000)*($J333-$M333)/($J333-$M333-$H333)+('Sem TS MC2020'!P325-$C333/$AP$8)*($AP$5*$G333+$AP$6*$B333/$N333)/200000</f>
        <v>0.31083560593023918</v>
      </c>
      <c r="AP333" s="5">
        <f t="shared" si="58"/>
        <v>1.351459156218431</v>
      </c>
      <c r="AQ333" s="20">
        <f t="shared" si="59"/>
        <v>8.0835605930239168E-2</v>
      </c>
    </row>
    <row r="334" spans="1:43" x14ac:dyDescent="0.25">
      <c r="B334" s="3">
        <v>32.299999999999997</v>
      </c>
      <c r="C334" s="4">
        <v>276</v>
      </c>
      <c r="D334" s="4">
        <v>1</v>
      </c>
      <c r="E334" s="3">
        <v>60</v>
      </c>
      <c r="F334" s="5">
        <v>2.5382184533279299</v>
      </c>
      <c r="G334" s="3">
        <v>38.299999999999997</v>
      </c>
      <c r="H334" s="3">
        <v>54.4</v>
      </c>
      <c r="I334" s="1">
        <v>152.4</v>
      </c>
      <c r="J334" s="3">
        <v>381</v>
      </c>
      <c r="K334" s="4">
        <v>819</v>
      </c>
      <c r="L334" s="5">
        <v>29016.959999999999</v>
      </c>
      <c r="M334" s="4">
        <v>122.838831239211</v>
      </c>
      <c r="N334" s="10">
        <v>2.82248726262158E-2</v>
      </c>
      <c r="O334" s="5">
        <v>57.349600000000002</v>
      </c>
      <c r="P334" s="4">
        <v>193.147127255323</v>
      </c>
      <c r="Q334" s="5">
        <v>0.27</v>
      </c>
      <c r="R334" s="11">
        <f t="shared" si="50"/>
        <v>9.6573563627661496E-4</v>
      </c>
      <c r="V334" s="5">
        <f t="shared" si="51"/>
        <v>0.32442946024444558</v>
      </c>
      <c r="W334" s="5">
        <f t="shared" si="52"/>
        <v>1.2015905934979465</v>
      </c>
      <c r="Y334" s="5">
        <f t="shared" si="53"/>
        <v>0.32579292880025684</v>
      </c>
      <c r="Z334" s="5">
        <f t="shared" si="54"/>
        <v>1.2066404770379882</v>
      </c>
      <c r="AB334" s="5">
        <f>$AC$2*($AC$3+$AC$4*$F334/($N334*'Sem TS MC2020'!P326))*($AC$5*$G334+$AC$6*$B334/$N334)*'Sem TS MC2020'!R326*($J334-$M334)/($J334-$M334-$H334)</f>
        <v>0.33161056794635146</v>
      </c>
      <c r="AC334" s="5">
        <f t="shared" si="55"/>
        <v>1.2281872886901906</v>
      </c>
      <c r="AD334" s="20">
        <f t="shared" si="56"/>
        <v>6.1610567946351447E-2</v>
      </c>
      <c r="AE334" s="21">
        <f t="shared" si="57"/>
        <v>0.81420806843429994</v>
      </c>
      <c r="AF334" s="21">
        <f>AB334*(14.068*'Sem TS MC2020'!$P326^-0.457)/$Q334</f>
        <v>1.3980996932916352</v>
      </c>
      <c r="AG334" s="21"/>
      <c r="AO334" s="5">
        <f>$AP$2*($AP$3+$AP$4*$F334/($N334*'Sem TS MC2020'!P326))*($AP$5*$G334+$AP$6*$B334/$N334)*('Sem TS MC2020'!P326^$AP$7/200000)*($J334-$M334)/($J334-$M334-$H334)+('Sem TS MC2020'!P326-$C334/$AP$8)*($AP$5*$G334+$AP$6*$B334/$N334)/200000</f>
        <v>0.37049169172459268</v>
      </c>
      <c r="AP334" s="5">
        <f t="shared" si="58"/>
        <v>1.3721914508318247</v>
      </c>
      <c r="AQ334" s="20">
        <f t="shared" si="59"/>
        <v>0.10049169172459266</v>
      </c>
    </row>
    <row r="335" spans="1:43" x14ac:dyDescent="0.25">
      <c r="B335" s="3">
        <v>32.299999999999997</v>
      </c>
      <c r="C335" s="4">
        <v>276</v>
      </c>
      <c r="D335" s="4">
        <v>1</v>
      </c>
      <c r="E335" s="3">
        <v>60</v>
      </c>
      <c r="F335" s="5">
        <v>2.5382184533279299</v>
      </c>
      <c r="G335" s="3">
        <v>38.299999999999997</v>
      </c>
      <c r="H335" s="3">
        <v>54.4</v>
      </c>
      <c r="I335" s="1">
        <v>152.4</v>
      </c>
      <c r="J335" s="3">
        <v>381</v>
      </c>
      <c r="K335" s="4">
        <v>819</v>
      </c>
      <c r="L335" s="5">
        <v>29016.959999999999</v>
      </c>
      <c r="M335" s="4">
        <v>122.838831239211</v>
      </c>
      <c r="N335" s="10">
        <v>2.82248726262158E-2</v>
      </c>
      <c r="O335" s="5">
        <v>63.180599999999998</v>
      </c>
      <c r="P335" s="4">
        <v>223.70685930745901</v>
      </c>
      <c r="Q335" s="5">
        <v>0.31</v>
      </c>
      <c r="R335" s="11">
        <f t="shared" si="50"/>
        <v>1.118534296537295E-3</v>
      </c>
      <c r="V335" s="5">
        <f t="shared" si="51"/>
        <v>0.35520523710631202</v>
      </c>
      <c r="W335" s="5">
        <f t="shared" si="52"/>
        <v>1.1458233455042324</v>
      </c>
      <c r="Y335" s="5">
        <f t="shared" si="53"/>
        <v>0.35727483863757059</v>
      </c>
      <c r="Z335" s="5">
        <f t="shared" si="54"/>
        <v>1.1524994794760341</v>
      </c>
      <c r="AB335" s="5">
        <f>$AC$2*($AC$3+$AC$4*$F335/($N335*'Sem TS MC2020'!P327))*($AC$5*$G335+$AC$6*$B335/$N335)*'Sem TS MC2020'!R327*($J335-$M335)/($J335-$M335-$H335)</f>
        <v>0.37373406505386603</v>
      </c>
      <c r="AC335" s="5">
        <f t="shared" si="55"/>
        <v>1.2055937582382774</v>
      </c>
      <c r="AD335" s="20">
        <f t="shared" si="56"/>
        <v>6.3734065053866029E-2</v>
      </c>
      <c r="AE335" s="21">
        <f t="shared" si="57"/>
        <v>0.82946680269918649</v>
      </c>
      <c r="AF335" s="21">
        <f>AB335*(14.068*'Sem TS MC2020'!$P327^-0.457)/$Q335</f>
        <v>1.3129740745727561</v>
      </c>
      <c r="AG335" s="21"/>
      <c r="AO335" s="5">
        <f>$AP$2*($AP$3+$AP$4*$F335/($N335*'Sem TS MC2020'!P327))*($AP$5*$G335+$AP$6*$B335/$N335)*('Sem TS MC2020'!P327^$AP$7/200000)*($J335-$M335)/($J335-$M335-$H335)+('Sem TS MC2020'!P327-$C335/$AP$8)*($AP$5*$G335+$AP$6*$B335/$N335)/200000</f>
        <v>0.41201122308667815</v>
      </c>
      <c r="AP335" s="5">
        <f t="shared" si="58"/>
        <v>1.3290684615699295</v>
      </c>
      <c r="AQ335" s="20">
        <f t="shared" si="59"/>
        <v>0.10201122308667815</v>
      </c>
    </row>
    <row r="336" spans="1:43" x14ac:dyDescent="0.25">
      <c r="B336" s="3">
        <v>32.299999999999997</v>
      </c>
      <c r="C336" s="4">
        <v>276</v>
      </c>
      <c r="D336" s="4">
        <v>1</v>
      </c>
      <c r="E336" s="3">
        <v>60</v>
      </c>
      <c r="F336" s="5">
        <v>2.5382184533279299</v>
      </c>
      <c r="G336" s="3">
        <v>38.299999999999997</v>
      </c>
      <c r="H336" s="3">
        <v>54.4</v>
      </c>
      <c r="I336" s="1">
        <v>152.4</v>
      </c>
      <c r="J336" s="3">
        <v>381</v>
      </c>
      <c r="K336" s="4">
        <v>819</v>
      </c>
      <c r="L336" s="5">
        <v>29016.959999999999</v>
      </c>
      <c r="M336" s="4">
        <v>122.838831239211</v>
      </c>
      <c r="N336" s="10">
        <v>2.82248726262158E-2</v>
      </c>
      <c r="O336" s="5">
        <v>67.125100000000003</v>
      </c>
      <c r="P336" s="4">
        <v>230.74497923928399</v>
      </c>
      <c r="Q336" s="5">
        <v>0.35</v>
      </c>
      <c r="R336" s="11">
        <f t="shared" si="50"/>
        <v>1.1537248961964199E-3</v>
      </c>
      <c r="V336" s="5">
        <f t="shared" si="51"/>
        <v>0.36205940742107412</v>
      </c>
      <c r="W336" s="5">
        <f t="shared" si="52"/>
        <v>1.0344554497744975</v>
      </c>
      <c r="Y336" s="5">
        <f t="shared" si="53"/>
        <v>0.36429305369244736</v>
      </c>
      <c r="Z336" s="5">
        <f t="shared" si="54"/>
        <v>1.0408372962641355</v>
      </c>
      <c r="AB336" s="5">
        <f>$AC$2*($AC$3+$AC$4*$F336/($N336*'Sem TS MC2020'!P328))*($AC$5*$G336+$AC$6*$B336/$N336)*'Sem TS MC2020'!R328*($J336-$M336)/($J336-$M336-$H336)</f>
        <v>0.3834354009191398</v>
      </c>
      <c r="AC336" s="5">
        <f t="shared" si="55"/>
        <v>1.0955297169118281</v>
      </c>
      <c r="AD336" s="20">
        <f t="shared" si="56"/>
        <v>3.3435400919139824E-2</v>
      </c>
      <c r="AE336" s="21">
        <f t="shared" si="57"/>
        <v>0.91280043303515734</v>
      </c>
      <c r="AF336" s="21">
        <f>AB336*(14.068*'Sem TS MC2020'!$P328^-0.457)/$Q336</f>
        <v>1.1816937663256282</v>
      </c>
      <c r="AG336" s="21"/>
      <c r="AO336" s="5">
        <f>$AP$2*($AP$3+$AP$4*$F336/($N336*'Sem TS MC2020'!P328))*($AP$5*$G336+$AP$6*$B336/$N336)*('Sem TS MC2020'!P328^$AP$7/200000)*($J336-$M336)/($J336-$M336-$H336)+('Sem TS MC2020'!P328-$C336/$AP$8)*($AP$5*$G336+$AP$6*$B336/$N336)/200000</f>
        <v>0.42145966512998279</v>
      </c>
      <c r="AP336" s="5">
        <f t="shared" si="58"/>
        <v>1.2041704717999508</v>
      </c>
      <c r="AQ336" s="20">
        <f t="shared" si="59"/>
        <v>7.1459665129982808E-2</v>
      </c>
    </row>
    <row r="337" spans="1:43" x14ac:dyDescent="0.25">
      <c r="A337" s="1" t="s">
        <v>101</v>
      </c>
      <c r="B337" s="3">
        <v>32.299999999999997</v>
      </c>
      <c r="C337" s="4">
        <v>276</v>
      </c>
      <c r="D337" s="4">
        <v>1</v>
      </c>
      <c r="E337" s="3">
        <v>60</v>
      </c>
      <c r="F337" s="5">
        <v>2.8108695189494299</v>
      </c>
      <c r="G337" s="3">
        <v>38.299999999999997</v>
      </c>
      <c r="H337" s="3">
        <v>54.4</v>
      </c>
      <c r="I337" s="1">
        <v>152.4</v>
      </c>
      <c r="J337" s="3">
        <v>381</v>
      </c>
      <c r="K337" s="4">
        <v>819</v>
      </c>
      <c r="L337" s="5">
        <v>29016.959999999999</v>
      </c>
      <c r="M337" s="4">
        <v>120.446116576203</v>
      </c>
      <c r="N337" s="10">
        <v>2.82248726262158E-2</v>
      </c>
      <c r="O337" s="5">
        <v>39.959499999999998</v>
      </c>
      <c r="P337" s="4">
        <v>99.532458974281994</v>
      </c>
      <c r="Q337" s="5">
        <v>0.19</v>
      </c>
      <c r="R337" s="11">
        <f t="shared" si="50"/>
        <v>4.9766229487141001E-4</v>
      </c>
      <c r="V337" s="5">
        <f t="shared" si="51"/>
        <v>0.21551200752738886</v>
      </c>
      <c r="W337" s="5">
        <f t="shared" si="52"/>
        <v>1.1342737238283624</v>
      </c>
      <c r="Y337" s="5">
        <f t="shared" si="53"/>
        <v>0.2148452140223151</v>
      </c>
      <c r="Z337" s="5">
        <f t="shared" si="54"/>
        <v>1.1307642843279742</v>
      </c>
      <c r="AB337" s="5">
        <f>$AC$2*($AC$3+$AC$4*$F337/($N337*'Sem TS MC2020'!P329))*($AC$5*$G337+$AC$6*$B337/$N337)*'Sem TS MC2020'!R329*($J337-$M337)/($J337-$M337-$H337)</f>
        <v>0.19581756126252106</v>
      </c>
      <c r="AC337" s="5">
        <f t="shared" si="55"/>
        <v>1.0306187434869529</v>
      </c>
      <c r="AD337" s="20">
        <f t="shared" si="56"/>
        <v>5.8175612625210593E-3</v>
      </c>
      <c r="AE337" s="21">
        <f t="shared" si="57"/>
        <v>0.97029091147386015</v>
      </c>
      <c r="AF337" s="21">
        <f>AB337*(14.068*'Sem TS MC2020'!$P329^-0.457)/$Q337</f>
        <v>1.385584413176453</v>
      </c>
      <c r="AG337" s="21"/>
      <c r="AO337" s="5">
        <f>$AP$2*($AP$3+$AP$4*$F337/($N337*'Sem TS MC2020'!P329))*($AP$5*$G337+$AP$6*$B337/$N337)*('Sem TS MC2020'!P329^$AP$7/200000)*($J337-$M337)/($J337-$M337-$H337)+('Sem TS MC2020'!P329-$C337/$AP$8)*($AP$5*$G337+$AP$6*$B337/$N337)/200000</f>
        <v>0.22882229957393904</v>
      </c>
      <c r="AP337" s="5">
        <f t="shared" si="58"/>
        <v>1.2043278924944161</v>
      </c>
      <c r="AQ337" s="20">
        <f t="shared" si="59"/>
        <v>3.882229957393904E-2</v>
      </c>
    </row>
    <row r="338" spans="1:43" x14ac:dyDescent="0.25">
      <c r="B338" s="3">
        <v>32.299999999999997</v>
      </c>
      <c r="C338" s="4">
        <v>276</v>
      </c>
      <c r="D338" s="4">
        <v>1</v>
      </c>
      <c r="E338" s="3">
        <v>60</v>
      </c>
      <c r="F338" s="5">
        <v>2.8108695189494299</v>
      </c>
      <c r="G338" s="3">
        <v>38.299999999999997</v>
      </c>
      <c r="H338" s="3">
        <v>54.4</v>
      </c>
      <c r="I338" s="1">
        <v>152.4</v>
      </c>
      <c r="J338" s="3">
        <v>381</v>
      </c>
      <c r="K338" s="4">
        <v>819</v>
      </c>
      <c r="L338" s="5">
        <v>29016.959999999999</v>
      </c>
      <c r="M338" s="4">
        <v>120.446116576203</v>
      </c>
      <c r="N338" s="10">
        <v>2.82248726262158E-2</v>
      </c>
      <c r="O338" s="5">
        <v>49.186199999999999</v>
      </c>
      <c r="P338" s="4">
        <v>143.73763283392199</v>
      </c>
      <c r="Q338" s="5">
        <v>0.24</v>
      </c>
      <c r="R338" s="11">
        <f t="shared" si="50"/>
        <v>7.1868816416960997E-4</v>
      </c>
      <c r="V338" s="5">
        <f t="shared" si="51"/>
        <v>0.27036360157205097</v>
      </c>
      <c r="W338" s="5">
        <f t="shared" si="52"/>
        <v>1.1265150065502125</v>
      </c>
      <c r="Y338" s="5">
        <f t="shared" si="53"/>
        <v>0.27061888330094985</v>
      </c>
      <c r="Z338" s="5">
        <f t="shared" si="54"/>
        <v>1.1275786804206245</v>
      </c>
      <c r="AB338" s="5">
        <f>$AC$2*($AC$3+$AC$4*$F338/($N338*'Sem TS MC2020'!P330))*($AC$5*$G338+$AC$6*$B338/$N338)*'Sem TS MC2020'!R330*($J338-$M338)/($J338-$M338-$H338)</f>
        <v>0.26212365023833178</v>
      </c>
      <c r="AC338" s="5">
        <f t="shared" si="55"/>
        <v>1.0921818759930491</v>
      </c>
      <c r="AD338" s="20">
        <f t="shared" si="56"/>
        <v>2.2123650238331793E-2</v>
      </c>
      <c r="AE338" s="21">
        <f t="shared" si="57"/>
        <v>0.91559841998913039</v>
      </c>
      <c r="AF338" s="21">
        <f>AB338*(14.068*'Sem TS MC2020'!$P330^-0.457)/$Q338</f>
        <v>1.3353585880335752</v>
      </c>
      <c r="AG338" s="21"/>
      <c r="AO338" s="5">
        <f>$AP$2*($AP$3+$AP$4*$F338/($N338*'Sem TS MC2020'!P330))*($AP$5*$G338+$AP$6*$B338/$N338)*('Sem TS MC2020'!P330^$AP$7/200000)*($J338-$M338)/($J338-$M338-$H338)+('Sem TS MC2020'!P330-$C338/$AP$8)*($AP$5*$G338+$AP$6*$B338/$N338)/200000</f>
        <v>0.29898152666542083</v>
      </c>
      <c r="AP338" s="5">
        <f t="shared" si="58"/>
        <v>1.2457563611059201</v>
      </c>
      <c r="AQ338" s="20">
        <f t="shared" si="59"/>
        <v>5.8981526665420836E-2</v>
      </c>
    </row>
    <row r="339" spans="1:43" x14ac:dyDescent="0.25">
      <c r="B339" s="3">
        <v>32.299999999999997</v>
      </c>
      <c r="C339" s="4">
        <v>276</v>
      </c>
      <c r="D339" s="4">
        <v>1</v>
      </c>
      <c r="E339" s="3">
        <v>60</v>
      </c>
      <c r="F339" s="5">
        <v>2.8108695189494299</v>
      </c>
      <c r="G339" s="3">
        <v>38.299999999999997</v>
      </c>
      <c r="H339" s="3">
        <v>54.4</v>
      </c>
      <c r="I339" s="1">
        <v>152.4</v>
      </c>
      <c r="J339" s="3">
        <v>381</v>
      </c>
      <c r="K339" s="4">
        <v>819</v>
      </c>
      <c r="L339" s="5">
        <v>29016.959999999999</v>
      </c>
      <c r="M339" s="4">
        <v>120.446116576203</v>
      </c>
      <c r="N339" s="10">
        <v>2.82248726262158E-2</v>
      </c>
      <c r="O339" s="5">
        <v>57.349600000000002</v>
      </c>
      <c r="P339" s="4">
        <v>187.176740338077</v>
      </c>
      <c r="Q339" s="5">
        <v>0.28999999999999998</v>
      </c>
      <c r="R339" s="11">
        <f t="shared" si="50"/>
        <v>9.3588370169038503E-4</v>
      </c>
      <c r="V339" s="5">
        <f t="shared" si="51"/>
        <v>0.3182047378364482</v>
      </c>
      <c r="W339" s="5">
        <f t="shared" si="52"/>
        <v>1.0972577166774076</v>
      </c>
      <c r="Y339" s="5">
        <f t="shared" si="53"/>
        <v>0.31943169903147572</v>
      </c>
      <c r="Z339" s="5">
        <f t="shared" si="54"/>
        <v>1.1014886173499163</v>
      </c>
      <c r="AB339" s="5">
        <f>$AC$2*($AC$3+$AC$4*$F339/($N339*'Sem TS MC2020'!P331))*($AC$5*$G339+$AC$6*$B339/$N339)*'Sem TS MC2020'!R331*($J339-$M339)/($J339-$M339-$H339)</f>
        <v>0.32078851706451356</v>
      </c>
      <c r="AC339" s="5">
        <f t="shared" si="55"/>
        <v>1.1061673002224606</v>
      </c>
      <c r="AD339" s="20">
        <f t="shared" si="56"/>
        <v>3.0788517064513576E-2</v>
      </c>
      <c r="AE339" s="21">
        <f t="shared" si="57"/>
        <v>0.90402238413564628</v>
      </c>
      <c r="AF339" s="21">
        <f>AB339*(14.068*'Sem TS MC2020'!$P331^-0.457)/$Q339</f>
        <v>1.2608044695801781</v>
      </c>
      <c r="AG339" s="21"/>
      <c r="AO339" s="5">
        <f>$AP$2*($AP$3+$AP$4*$F339/($N339*'Sem TS MC2020'!P331))*($AP$5*$G339+$AP$6*$B339/$N339)*('Sem TS MC2020'!P331^$AP$7/200000)*($J339-$M339)/($J339-$M339-$H339)+('Sem TS MC2020'!P331-$C339/$AP$8)*($AP$5*$G339+$AP$6*$B339/$N339)/200000</f>
        <v>0.35864557015312071</v>
      </c>
      <c r="AP339" s="5">
        <f t="shared" si="58"/>
        <v>1.236708862596968</v>
      </c>
      <c r="AQ339" s="20">
        <f t="shared" si="59"/>
        <v>6.8645570153120727E-2</v>
      </c>
    </row>
    <row r="340" spans="1:43" x14ac:dyDescent="0.25">
      <c r="B340" s="3">
        <v>32.299999999999997</v>
      </c>
      <c r="C340" s="4">
        <v>276</v>
      </c>
      <c r="D340" s="4">
        <v>1</v>
      </c>
      <c r="E340" s="3">
        <v>60</v>
      </c>
      <c r="F340" s="5">
        <v>2.8108695189494299</v>
      </c>
      <c r="G340" s="3">
        <v>38.299999999999997</v>
      </c>
      <c r="H340" s="3">
        <v>54.4</v>
      </c>
      <c r="I340" s="1">
        <v>152.4</v>
      </c>
      <c r="J340" s="3">
        <v>381</v>
      </c>
      <c r="K340" s="4">
        <v>819</v>
      </c>
      <c r="L340" s="5">
        <v>29016.959999999999</v>
      </c>
      <c r="M340" s="4">
        <v>120.446116576203</v>
      </c>
      <c r="N340" s="10">
        <v>2.82248726262158E-2</v>
      </c>
      <c r="O340" s="5">
        <v>63.180599999999998</v>
      </c>
      <c r="P340" s="4">
        <v>218.20467426961699</v>
      </c>
      <c r="Q340" s="5">
        <v>0.36</v>
      </c>
      <c r="R340" s="11">
        <f t="shared" si="50"/>
        <v>1.0910233713480849E-3</v>
      </c>
      <c r="V340" s="5">
        <f t="shared" si="51"/>
        <v>0.34978916315120939</v>
      </c>
      <c r="W340" s="5">
        <f t="shared" si="52"/>
        <v>0.97163656430891499</v>
      </c>
      <c r="Y340" s="5">
        <f t="shared" si="53"/>
        <v>0.35173084393259724</v>
      </c>
      <c r="Z340" s="5">
        <f t="shared" si="54"/>
        <v>0.9770301220349924</v>
      </c>
      <c r="AB340" s="5">
        <f>$AC$2*($AC$3+$AC$4*$F340/($N340*'Sem TS MC2020'!P332))*($AC$5*$G340+$AC$6*$B340/$N340)*'Sem TS MC2020'!R332*($J340-$M340)/($J340-$M340-$H340)</f>
        <v>0.36269199336892755</v>
      </c>
      <c r="AC340" s="5">
        <f t="shared" si="55"/>
        <v>1.0074777593581321</v>
      </c>
      <c r="AD340" s="20">
        <f t="shared" si="56"/>
        <v>2.6919933689275588E-3</v>
      </c>
      <c r="AE340" s="21">
        <f t="shared" si="57"/>
        <v>0.99257774249736663</v>
      </c>
      <c r="AF340" s="21">
        <f>AB340*(14.068*'Sem TS MC2020'!$P332^-0.457)/$Q340</f>
        <v>1.0986111669595198</v>
      </c>
      <c r="AG340" s="21"/>
      <c r="AO340" s="5">
        <f>$AP$2*($AP$3+$AP$4*$F340/($N340*'Sem TS MC2020'!P332))*($AP$5*$G340+$AP$6*$B340/$N340)*('Sem TS MC2020'!P332^$AP$7/200000)*($J340-$M340)/($J340-$M340-$H340)+('Sem TS MC2020'!P332-$C340/$AP$8)*($AP$5*$G340+$AP$6*$B340/$N340)/200000</f>
        <v>0.40014834123124571</v>
      </c>
      <c r="AP340" s="5">
        <f t="shared" si="58"/>
        <v>1.1115231700867936</v>
      </c>
      <c r="AQ340" s="20">
        <f t="shared" si="59"/>
        <v>4.0148341231245721E-2</v>
      </c>
    </row>
    <row r="341" spans="1:43" x14ac:dyDescent="0.25">
      <c r="B341" s="3">
        <v>32.299999999999997</v>
      </c>
      <c r="C341" s="4">
        <v>276</v>
      </c>
      <c r="D341" s="4">
        <v>1</v>
      </c>
      <c r="E341" s="3">
        <v>60</v>
      </c>
      <c r="F341" s="5">
        <v>2.8108695189494299</v>
      </c>
      <c r="G341" s="3">
        <v>38.299999999999997</v>
      </c>
      <c r="H341" s="3">
        <v>54.4</v>
      </c>
      <c r="I341" s="1">
        <v>152.4</v>
      </c>
      <c r="J341" s="3">
        <v>381</v>
      </c>
      <c r="K341" s="4">
        <v>819</v>
      </c>
      <c r="L341" s="5">
        <v>29016.959999999999</v>
      </c>
      <c r="M341" s="4">
        <v>120.446116576203</v>
      </c>
      <c r="N341" s="10">
        <v>2.82248726262158E-2</v>
      </c>
      <c r="O341" s="5">
        <v>67.125100000000003</v>
      </c>
      <c r="P341" s="4">
        <v>226.309268981256</v>
      </c>
      <c r="Q341" s="5">
        <v>0.42</v>
      </c>
      <c r="R341" s="11">
        <f t="shared" si="50"/>
        <v>1.13154634490628E-3</v>
      </c>
      <c r="V341" s="5">
        <f t="shared" si="51"/>
        <v>0.35774912212001897</v>
      </c>
      <c r="W341" s="5">
        <f t="shared" si="52"/>
        <v>0.8517836240952833</v>
      </c>
      <c r="Y341" s="5">
        <f t="shared" si="53"/>
        <v>0.35987932859887833</v>
      </c>
      <c r="Z341" s="5">
        <f t="shared" si="54"/>
        <v>0.85685554428304367</v>
      </c>
      <c r="AB341" s="5">
        <f>$AC$2*($AC$3+$AC$4*$F341/($N341*'Sem TS MC2020'!P333))*($AC$5*$G341+$AC$6*$B341/$N341)*'Sem TS MC2020'!R333*($J341-$M341)/($J341-$M341-$H341)</f>
        <v>0.37363731422739682</v>
      </c>
      <c r="AC341" s="5">
        <f t="shared" si="55"/>
        <v>0.88961265292237346</v>
      </c>
      <c r="AD341" s="20">
        <f t="shared" si="56"/>
        <v>-4.6362685772603163E-2</v>
      </c>
      <c r="AE341" s="21">
        <f t="shared" si="57"/>
        <v>1.1240847313884359</v>
      </c>
      <c r="AF341" s="21">
        <f>AB341*(14.068*'Sem TS MC2020'!$P333^-0.457)/$Q341</f>
        <v>0.95958120548854209</v>
      </c>
      <c r="AG341" s="21"/>
      <c r="AO341" s="5">
        <f>$AP$2*($AP$3+$AP$4*$F341/($N341*'Sem TS MC2020'!P333))*($AP$5*$G341+$AP$6*$B341/$N341)*('Sem TS MC2020'!P333^$AP$7/200000)*($J341-$M341)/($J341-$M341-$H341)+('Sem TS MC2020'!P333-$C341/$AP$8)*($AP$5*$G341+$AP$6*$B341/$N341)/200000</f>
        <v>0.41085438186828704</v>
      </c>
      <c r="AP341" s="5">
        <f t="shared" si="58"/>
        <v>0.97822471873401684</v>
      </c>
      <c r="AQ341" s="20">
        <f t="shared" si="59"/>
        <v>-9.1456181317129404E-3</v>
      </c>
    </row>
    <row r="342" spans="1:43" x14ac:dyDescent="0.25">
      <c r="A342" s="1" t="s">
        <v>102</v>
      </c>
      <c r="B342" s="3">
        <v>28.7</v>
      </c>
      <c r="C342" s="4">
        <v>276</v>
      </c>
      <c r="D342" s="4">
        <v>2</v>
      </c>
      <c r="E342" s="3">
        <v>50.6</v>
      </c>
      <c r="F342" s="5">
        <v>2.5765786179080399</v>
      </c>
      <c r="G342" s="3">
        <v>38</v>
      </c>
      <c r="H342" s="3">
        <v>52.3</v>
      </c>
      <c r="I342" s="1">
        <v>152.4</v>
      </c>
      <c r="J342" s="3">
        <v>584.20000000000005</v>
      </c>
      <c r="K342" s="4">
        <v>1290</v>
      </c>
      <c r="L342" s="5">
        <v>27896.82</v>
      </c>
      <c r="M342" s="4">
        <v>196.92661613933601</v>
      </c>
      <c r="N342" s="10">
        <v>4.6241829713924397E-2</v>
      </c>
      <c r="O342" s="5">
        <v>110.208</v>
      </c>
      <c r="P342" s="4">
        <v>139.22648337646001</v>
      </c>
      <c r="Q342" s="5">
        <v>0.18</v>
      </c>
      <c r="R342" s="11">
        <f t="shared" si="50"/>
        <v>6.9613241688230008E-4</v>
      </c>
      <c r="V342" s="5">
        <f t="shared" si="51"/>
        <v>0.19921098212130484</v>
      </c>
      <c r="W342" s="5">
        <f t="shared" si="52"/>
        <v>1.1067276784516935</v>
      </c>
      <c r="Y342" s="5">
        <f t="shared" si="53"/>
        <v>0.20184572849216692</v>
      </c>
      <c r="Z342" s="5">
        <f t="shared" si="54"/>
        <v>1.1213651582898163</v>
      </c>
      <c r="AB342" s="5">
        <f>$AC$2*($AC$3+$AC$4*$F342/($N342*'Sem TS MC2020'!P334))*($AC$5*$G342+$AC$6*$B342/$N342)*'Sem TS MC2020'!R334*($J342-$M342)/($J342-$M342-$H342)</f>
        <v>0.14826835622133144</v>
      </c>
      <c r="AC342" s="5">
        <f t="shared" si="55"/>
        <v>0.82371309011850802</v>
      </c>
      <c r="AD342" s="20">
        <f t="shared" si="56"/>
        <v>-3.173164377866855E-2</v>
      </c>
      <c r="AE342" s="21">
        <f t="shared" si="57"/>
        <v>1.2140149428196285</v>
      </c>
      <c r="AF342" s="21">
        <f>AB342*(14.068*'Sem TS MC2020'!$P334^-0.457)/$Q342</f>
        <v>1.0710717349240593</v>
      </c>
      <c r="AG342" s="21"/>
      <c r="AO342" s="5">
        <f>$AP$2*($AP$3+$AP$4*$F342/($N342*'Sem TS MC2020'!P334))*($AP$5*$G342+$AP$6*$B342/$N342)*('Sem TS MC2020'!P334^$AP$7/200000)*($J342-$M342)/($J342-$M342-$H342)+('Sem TS MC2020'!P334-$C342/$AP$8)*($AP$5*$G342+$AP$6*$B342/$N342)/200000</f>
        <v>0.16819194745172217</v>
      </c>
      <c r="AP342" s="5">
        <f t="shared" si="58"/>
        <v>0.93439970806512318</v>
      </c>
      <c r="AQ342" s="20">
        <f t="shared" si="59"/>
        <v>-1.1808052548277825E-2</v>
      </c>
    </row>
    <row r="343" spans="1:43" x14ac:dyDescent="0.25">
      <c r="B343" s="3">
        <v>28.7</v>
      </c>
      <c r="C343" s="4">
        <v>276</v>
      </c>
      <c r="D343" s="4">
        <v>2</v>
      </c>
      <c r="E343" s="3">
        <v>50.6</v>
      </c>
      <c r="F343" s="5">
        <v>2.5765786179080399</v>
      </c>
      <c r="G343" s="3">
        <v>38</v>
      </c>
      <c r="H343" s="3">
        <v>52.3</v>
      </c>
      <c r="I343" s="1">
        <v>152.4</v>
      </c>
      <c r="J343" s="3">
        <v>584.20000000000005</v>
      </c>
      <c r="K343" s="4">
        <v>1290</v>
      </c>
      <c r="L343" s="5">
        <v>27896.82</v>
      </c>
      <c r="M343" s="4">
        <v>196.92661613933601</v>
      </c>
      <c r="N343" s="10">
        <v>4.6241829713924397E-2</v>
      </c>
      <c r="O343" s="5">
        <v>132.25800000000001</v>
      </c>
      <c r="P343" s="4">
        <v>180.49731497919601</v>
      </c>
      <c r="Q343" s="5">
        <v>0.22</v>
      </c>
      <c r="R343" s="11">
        <f t="shared" si="50"/>
        <v>9.0248657489597997E-4</v>
      </c>
      <c r="V343" s="5">
        <f t="shared" si="51"/>
        <v>0.23381875461876875</v>
      </c>
      <c r="W343" s="5">
        <f t="shared" si="52"/>
        <v>1.0628125209944035</v>
      </c>
      <c r="Y343" s="5">
        <f t="shared" si="53"/>
        <v>0.23758874716415979</v>
      </c>
      <c r="Z343" s="5">
        <f t="shared" si="54"/>
        <v>1.0799488507461807</v>
      </c>
      <c r="AB343" s="5">
        <f>$AC$2*($AC$3+$AC$4*$F343/($N343*'Sem TS MC2020'!P335))*($AC$5*$G343+$AC$6*$B343/$N343)*'Sem TS MC2020'!R335*($J343-$M343)/($J343-$M343-$H343)</f>
        <v>0.18381404105315585</v>
      </c>
      <c r="AC343" s="5">
        <f t="shared" si="55"/>
        <v>0.83551836842343574</v>
      </c>
      <c r="AD343" s="20">
        <f t="shared" si="56"/>
        <v>-3.6185958946844149E-2</v>
      </c>
      <c r="AE343" s="21">
        <f t="shared" si="57"/>
        <v>1.1968617780204276</v>
      </c>
      <c r="AF343" s="21">
        <f>AB343*(14.068*'Sem TS MC2020'!$P335^-0.457)/$Q343</f>
        <v>0.99953995206881674</v>
      </c>
      <c r="AG343" s="21"/>
      <c r="AO343" s="5">
        <f>$AP$2*($AP$3+$AP$4*$F343/($N343*'Sem TS MC2020'!P335))*($AP$5*$G343+$AP$6*$B343/$N343)*('Sem TS MC2020'!P335^$AP$7/200000)*($J343-$M343)/($J343-$M343-$H343)+('Sem TS MC2020'!P335-$C343/$AP$8)*($AP$5*$G343+$AP$6*$B343/$N343)/200000</f>
        <v>0.20376944612847792</v>
      </c>
      <c r="AP343" s="5">
        <f t="shared" si="58"/>
        <v>0.92622475512944502</v>
      </c>
      <c r="AQ343" s="20">
        <f t="shared" si="59"/>
        <v>-1.6230553871522085E-2</v>
      </c>
    </row>
    <row r="344" spans="1:43" x14ac:dyDescent="0.25">
      <c r="B344" s="3">
        <v>28.7</v>
      </c>
      <c r="C344" s="4">
        <v>276</v>
      </c>
      <c r="D344" s="4">
        <v>2</v>
      </c>
      <c r="E344" s="3">
        <v>50.6</v>
      </c>
      <c r="F344" s="5">
        <v>2.5765786179080399</v>
      </c>
      <c r="G344" s="3">
        <v>38</v>
      </c>
      <c r="H344" s="3">
        <v>52.3</v>
      </c>
      <c r="I344" s="1">
        <v>152.4</v>
      </c>
      <c r="J344" s="3">
        <v>584.20000000000005</v>
      </c>
      <c r="K344" s="4">
        <v>1290</v>
      </c>
      <c r="L344" s="5">
        <v>27896.82</v>
      </c>
      <c r="M344" s="4">
        <v>196.92661613933601</v>
      </c>
      <c r="N344" s="10">
        <v>4.6241829713924397E-2</v>
      </c>
      <c r="O344" s="5">
        <v>149.268</v>
      </c>
      <c r="P344" s="4">
        <v>213.14386705439</v>
      </c>
      <c r="Q344" s="5">
        <v>0.27</v>
      </c>
      <c r="R344" s="11">
        <f t="shared" si="50"/>
        <v>1.0657193352719501E-3</v>
      </c>
      <c r="V344" s="5">
        <f t="shared" si="51"/>
        <v>0.25907650855099301</v>
      </c>
      <c r="W344" s="5">
        <f t="shared" si="52"/>
        <v>0.95954262426293702</v>
      </c>
      <c r="Y344" s="5">
        <f t="shared" si="53"/>
        <v>0.26373561622262176</v>
      </c>
      <c r="Z344" s="5">
        <f t="shared" si="54"/>
        <v>0.97679857860230279</v>
      </c>
      <c r="AB344" s="5">
        <f>$AC$2*($AC$3+$AC$4*$F344/($N344*'Sem TS MC2020'!P336))*($AC$5*$G344+$AC$6*$B344/$N344)*'Sem TS MC2020'!R336*($J344-$M344)/($J344-$M344-$H344)</f>
        <v>0.21123499792342004</v>
      </c>
      <c r="AC344" s="5">
        <f t="shared" si="55"/>
        <v>0.78235184416081494</v>
      </c>
      <c r="AD344" s="20">
        <f t="shared" si="56"/>
        <v>-5.8765002076579975E-2</v>
      </c>
      <c r="AE344" s="21">
        <f t="shared" si="57"/>
        <v>1.2781972810106226</v>
      </c>
      <c r="AF344" s="21">
        <f>AB344*(14.068*'Sem TS MC2020'!$P336^-0.457)/$Q344</f>
        <v>0.88559123532548412</v>
      </c>
      <c r="AG344" s="21"/>
      <c r="AO344" s="5">
        <f>$AP$2*($AP$3+$AP$4*$F344/($N344*'Sem TS MC2020'!P336))*($AP$5*$G344+$AP$6*$B344/$N344)*('Sem TS MC2020'!P336^$AP$7/200000)*($J344-$M344)/($J344-$M344-$H344)+('Sem TS MC2020'!P336-$C344/$AP$8)*($AP$5*$G344+$AP$6*$B344/$N344)/200000</f>
        <v>0.23041891906162312</v>
      </c>
      <c r="AP344" s="5">
        <f t="shared" si="58"/>
        <v>0.85340340393193748</v>
      </c>
      <c r="AQ344" s="20">
        <f t="shared" si="59"/>
        <v>-3.9581080938376895E-2</v>
      </c>
    </row>
    <row r="345" spans="1:43" x14ac:dyDescent="0.25">
      <c r="B345" s="3">
        <v>28.7</v>
      </c>
      <c r="C345" s="4">
        <v>276</v>
      </c>
      <c r="D345" s="4">
        <v>2</v>
      </c>
      <c r="E345" s="3">
        <v>50.6</v>
      </c>
      <c r="F345" s="5">
        <v>2.5765786179080399</v>
      </c>
      <c r="G345" s="3">
        <v>38</v>
      </c>
      <c r="H345" s="3">
        <v>52.3</v>
      </c>
      <c r="I345" s="1">
        <v>152.4</v>
      </c>
      <c r="J345" s="3">
        <v>584.20000000000005</v>
      </c>
      <c r="K345" s="4">
        <v>1290</v>
      </c>
      <c r="L345" s="5">
        <v>27896.82</v>
      </c>
      <c r="M345" s="4">
        <v>196.92661613933601</v>
      </c>
      <c r="N345" s="10">
        <v>4.6241829713924397E-2</v>
      </c>
      <c r="O345" s="5">
        <v>168.88200000000001</v>
      </c>
      <c r="P345" s="4">
        <v>245.03832142351999</v>
      </c>
      <c r="Q345" s="5">
        <v>0.32</v>
      </c>
      <c r="R345" s="11">
        <f t="shared" si="50"/>
        <v>1.2251916071175999E-3</v>
      </c>
      <c r="V345" s="5">
        <f t="shared" si="51"/>
        <v>0.28235421561004764</v>
      </c>
      <c r="W345" s="5">
        <f t="shared" si="52"/>
        <v>0.88235692378139885</v>
      </c>
      <c r="Y345" s="5">
        <f t="shared" si="53"/>
        <v>0.28787317422768521</v>
      </c>
      <c r="Z345" s="5">
        <f t="shared" si="54"/>
        <v>0.89960366946151626</v>
      </c>
      <c r="AB345" s="5">
        <f>$AC$2*($AC$3+$AC$4*$F345/($N345*'Sem TS MC2020'!P337))*($AC$5*$G345+$AC$6*$B345/$N345)*'Sem TS MC2020'!R337*($J345-$M345)/($J345-$M345-$H345)</f>
        <v>0.23802424217935617</v>
      </c>
      <c r="AC345" s="5">
        <f t="shared" si="55"/>
        <v>0.74382575681048801</v>
      </c>
      <c r="AD345" s="20">
        <f t="shared" si="56"/>
        <v>-8.1975757820643841E-2</v>
      </c>
      <c r="AE345" s="21">
        <f t="shared" si="57"/>
        <v>1.344400877280699</v>
      </c>
      <c r="AF345" s="21">
        <f>AB345*(14.068*'Sem TS MC2020'!$P337^-0.457)/$Q345</f>
        <v>0.80232808520532273</v>
      </c>
      <c r="AG345" s="21"/>
      <c r="AO345" s="5">
        <f>$AP$2*($AP$3+$AP$4*$F345/($N345*'Sem TS MC2020'!P337))*($AP$5*$G345+$AP$6*$B345/$N345)*('Sem TS MC2020'!P337^$AP$7/200000)*($J345-$M345)/($J345-$M345-$H345)+('Sem TS MC2020'!P337-$C345/$AP$8)*($AP$5*$G345+$AP$6*$B345/$N345)/200000</f>
        <v>0.25589580799104505</v>
      </c>
      <c r="AP345" s="5">
        <f t="shared" si="58"/>
        <v>0.79967439997201573</v>
      </c>
      <c r="AQ345" s="20">
        <f t="shared" si="59"/>
        <v>-6.4104192008954952E-2</v>
      </c>
    </row>
    <row r="346" spans="1:43" x14ac:dyDescent="0.25">
      <c r="A346" s="1" t="s">
        <v>103</v>
      </c>
      <c r="B346" s="3">
        <v>28.7</v>
      </c>
      <c r="C346" s="4">
        <v>276</v>
      </c>
      <c r="D346" s="4">
        <v>2</v>
      </c>
      <c r="E346" s="3">
        <v>50.6</v>
      </c>
      <c r="F346" s="5">
        <v>2.5765786179080399</v>
      </c>
      <c r="G346" s="3">
        <v>38</v>
      </c>
      <c r="H346" s="3">
        <v>52.3</v>
      </c>
      <c r="I346" s="1">
        <v>152.4</v>
      </c>
      <c r="J346" s="3">
        <v>584.20000000000005</v>
      </c>
      <c r="K346" s="4">
        <v>1290</v>
      </c>
      <c r="L346" s="5">
        <v>27896.82</v>
      </c>
      <c r="M346" s="4">
        <v>196.92661613933601</v>
      </c>
      <c r="N346" s="10">
        <v>4.6241829713924397E-2</v>
      </c>
      <c r="O346" s="5">
        <v>132.25800000000001</v>
      </c>
      <c r="P346" s="4">
        <v>180.49731497919601</v>
      </c>
      <c r="Q346" s="5">
        <v>0.16</v>
      </c>
      <c r="R346" s="11">
        <f t="shared" si="50"/>
        <v>9.0248657489597997E-4</v>
      </c>
      <c r="V346" s="5">
        <f t="shared" si="51"/>
        <v>0.23381875461876875</v>
      </c>
      <c r="W346" s="5">
        <f t="shared" si="52"/>
        <v>1.4613672163673046</v>
      </c>
      <c r="Y346" s="5">
        <f t="shared" si="53"/>
        <v>0.23758874716415979</v>
      </c>
      <c r="Z346" s="5">
        <f t="shared" si="54"/>
        <v>1.4849296697759986</v>
      </c>
      <c r="AB346" s="5">
        <f>$AC$2*($AC$3+$AC$4*$F346/($N346*'Sem TS MC2020'!P338))*($AC$5*$G346+$AC$6*$B346/$N346)*'Sem TS MC2020'!R338*($J346-$M346)/($J346-$M346-$H346)</f>
        <v>0.18381404105315585</v>
      </c>
      <c r="AC346" s="5">
        <f t="shared" si="55"/>
        <v>1.1488377565822241</v>
      </c>
      <c r="AD346" s="20">
        <f t="shared" si="56"/>
        <v>2.3814041053155849E-2</v>
      </c>
      <c r="AE346" s="21">
        <f t="shared" si="57"/>
        <v>0.87044492946940188</v>
      </c>
      <c r="AF346" s="21">
        <f>AB346*(14.068*'Sem TS MC2020'!$P338^-0.457)/$Q346</f>
        <v>1.374367434094623</v>
      </c>
      <c r="AG346" s="21"/>
      <c r="AO346" s="5">
        <f>$AP$2*($AP$3+$AP$4*$F346/($N346*'Sem TS MC2020'!P338))*($AP$5*$G346+$AP$6*$B346/$N346)*('Sem TS MC2020'!P338^$AP$7/200000)*($J346-$M346)/($J346-$M346-$H346)+('Sem TS MC2020'!P338-$C346/$AP$8)*($AP$5*$G346+$AP$6*$B346/$N346)/200000</f>
        <v>0.20376944612847792</v>
      </c>
      <c r="AP346" s="5">
        <f t="shared" si="58"/>
        <v>1.2735590383029869</v>
      </c>
      <c r="AQ346" s="20">
        <f t="shared" si="59"/>
        <v>4.3769446128477912E-2</v>
      </c>
    </row>
    <row r="347" spans="1:43" x14ac:dyDescent="0.25">
      <c r="B347" s="3">
        <v>28.7</v>
      </c>
      <c r="C347" s="4">
        <v>276</v>
      </c>
      <c r="D347" s="4">
        <v>2</v>
      </c>
      <c r="E347" s="3">
        <v>50.6</v>
      </c>
      <c r="F347" s="5">
        <v>2.5765786179080399</v>
      </c>
      <c r="G347" s="3">
        <v>38</v>
      </c>
      <c r="H347" s="3">
        <v>52.3</v>
      </c>
      <c r="I347" s="1">
        <v>152.4</v>
      </c>
      <c r="J347" s="3">
        <v>584.20000000000005</v>
      </c>
      <c r="K347" s="4">
        <v>1290</v>
      </c>
      <c r="L347" s="5">
        <v>27896.82</v>
      </c>
      <c r="M347" s="4">
        <v>196.92661613933601</v>
      </c>
      <c r="N347" s="10">
        <v>4.6241829713924397E-2</v>
      </c>
      <c r="O347" s="5">
        <v>149.268</v>
      </c>
      <c r="P347" s="4">
        <v>213.14386705439</v>
      </c>
      <c r="Q347" s="5">
        <v>0.19</v>
      </c>
      <c r="R347" s="11">
        <f t="shared" si="50"/>
        <v>1.0657193352719501E-3</v>
      </c>
      <c r="V347" s="5">
        <f t="shared" si="51"/>
        <v>0.25907650855099301</v>
      </c>
      <c r="W347" s="5">
        <f t="shared" si="52"/>
        <v>1.3635605713210159</v>
      </c>
      <c r="Y347" s="5">
        <f t="shared" si="53"/>
        <v>0.26373561622262176</v>
      </c>
      <c r="Z347" s="5">
        <f t="shared" si="54"/>
        <v>1.3880821906453777</v>
      </c>
      <c r="AB347" s="5">
        <f>$AC$2*($AC$3+$AC$4*$F347/($N347*'Sem TS MC2020'!P339))*($AC$5*$G347+$AC$6*$B347/$N347)*'Sem TS MC2020'!R339*($J347-$M347)/($J347-$M347-$H347)</f>
        <v>0.21123499792342004</v>
      </c>
      <c r="AC347" s="5">
        <f t="shared" si="55"/>
        <v>1.1117631469653686</v>
      </c>
      <c r="AD347" s="20">
        <f t="shared" si="56"/>
        <v>2.123499792342004E-2</v>
      </c>
      <c r="AE347" s="21">
        <f t="shared" si="57"/>
        <v>0.89947216071117886</v>
      </c>
      <c r="AF347" s="21">
        <f>AB347*(14.068*'Sem TS MC2020'!$P339^-0.457)/$Q347</f>
        <v>1.2584717554625302</v>
      </c>
      <c r="AG347" s="21"/>
      <c r="AO347" s="5">
        <f>$AP$2*($AP$3+$AP$4*$F347/($N347*'Sem TS MC2020'!P339))*($AP$5*$G347+$AP$6*$B347/$N347)*('Sem TS MC2020'!P339^$AP$7/200000)*($J347-$M347)/($J347-$M347-$H347)+('Sem TS MC2020'!P339-$C347/$AP$8)*($AP$5*$G347+$AP$6*$B347/$N347)/200000</f>
        <v>0.23041891906162312</v>
      </c>
      <c r="AP347" s="5">
        <f t="shared" si="58"/>
        <v>1.2127311529559111</v>
      </c>
      <c r="AQ347" s="20">
        <f t="shared" si="59"/>
        <v>4.0418919061623121E-2</v>
      </c>
    </row>
    <row r="348" spans="1:43" x14ac:dyDescent="0.25">
      <c r="B348" s="3">
        <v>28.7</v>
      </c>
      <c r="C348" s="4">
        <v>276</v>
      </c>
      <c r="D348" s="4">
        <v>2</v>
      </c>
      <c r="E348" s="3">
        <v>50.6</v>
      </c>
      <c r="F348" s="5">
        <v>2.5765786179080399</v>
      </c>
      <c r="G348" s="3">
        <v>38</v>
      </c>
      <c r="H348" s="3">
        <v>52.3</v>
      </c>
      <c r="I348" s="1">
        <v>152.4</v>
      </c>
      <c r="J348" s="3">
        <v>584.20000000000005</v>
      </c>
      <c r="K348" s="4">
        <v>1290</v>
      </c>
      <c r="L348" s="5">
        <v>27896.82</v>
      </c>
      <c r="M348" s="4">
        <v>196.92661613933601</v>
      </c>
      <c r="N348" s="10">
        <v>4.6241829713924397E-2</v>
      </c>
      <c r="O348" s="5">
        <v>168.88200000000001</v>
      </c>
      <c r="P348" s="4">
        <v>245.03832142351999</v>
      </c>
      <c r="Q348" s="5">
        <v>0.22</v>
      </c>
      <c r="R348" s="11">
        <f t="shared" si="50"/>
        <v>1.2251916071175999E-3</v>
      </c>
      <c r="V348" s="5">
        <f t="shared" si="51"/>
        <v>0.28235421561004764</v>
      </c>
      <c r="W348" s="5">
        <f t="shared" si="52"/>
        <v>1.2834282527729439</v>
      </c>
      <c r="Y348" s="5">
        <f t="shared" si="53"/>
        <v>0.28787317422768521</v>
      </c>
      <c r="Z348" s="5">
        <f t="shared" si="54"/>
        <v>1.30851442830766</v>
      </c>
      <c r="AB348" s="5">
        <f>$AC$2*($AC$3+$AC$4*$F348/($N348*'Sem TS MC2020'!P340))*($AC$5*$G348+$AC$6*$B348/$N348)*'Sem TS MC2020'!R340*($J348-$M348)/($J348-$M348-$H348)</f>
        <v>0.23802424217935617</v>
      </c>
      <c r="AC348" s="5">
        <f t="shared" si="55"/>
        <v>1.081928373542528</v>
      </c>
      <c r="AD348" s="20">
        <f t="shared" si="56"/>
        <v>1.8024242179356165E-2</v>
      </c>
      <c r="AE348" s="21">
        <f t="shared" si="57"/>
        <v>0.92427560313048063</v>
      </c>
      <c r="AF348" s="21">
        <f>AB348*(14.068*'Sem TS MC2020'!$P340^-0.457)/$Q348</f>
        <v>1.1670226693895602</v>
      </c>
      <c r="AG348" s="21"/>
      <c r="AO348" s="5">
        <f>$AP$2*($AP$3+$AP$4*$F348/($N348*'Sem TS MC2020'!P340))*($AP$5*$G348+$AP$6*$B348/$N348)*('Sem TS MC2020'!P340^$AP$7/200000)*($J348-$M348)/($J348-$M348-$H348)+('Sem TS MC2020'!P340-$C348/$AP$8)*($AP$5*$G348+$AP$6*$B348/$N348)/200000</f>
        <v>0.25589580799104505</v>
      </c>
      <c r="AP348" s="5">
        <f t="shared" si="58"/>
        <v>1.1631627635956594</v>
      </c>
      <c r="AQ348" s="20">
        <f t="shared" si="59"/>
        <v>3.5895807991045053E-2</v>
      </c>
    </row>
    <row r="349" spans="1:43" x14ac:dyDescent="0.25">
      <c r="A349" s="1" t="s">
        <v>104</v>
      </c>
      <c r="B349" s="3">
        <v>35.799999999999997</v>
      </c>
      <c r="C349" s="4">
        <v>276</v>
      </c>
      <c r="D349" s="4">
        <v>2</v>
      </c>
      <c r="E349" s="3">
        <v>36.4</v>
      </c>
      <c r="F349" s="5">
        <v>2.5478355335404399</v>
      </c>
      <c r="G349" s="3">
        <v>38</v>
      </c>
      <c r="H349" s="3">
        <v>55.9</v>
      </c>
      <c r="I349" s="1">
        <v>152.4</v>
      </c>
      <c r="J349" s="3">
        <v>584.20000000000005</v>
      </c>
      <c r="K349" s="4">
        <v>2012</v>
      </c>
      <c r="L349" s="5">
        <v>29817.06</v>
      </c>
      <c r="M349" s="4">
        <v>231.96707915484501</v>
      </c>
      <c r="N349" s="10">
        <v>6.7478148415705597E-2</v>
      </c>
      <c r="O349" s="5">
        <v>167.03399999999999</v>
      </c>
      <c r="P349" s="4">
        <v>150.91882200011699</v>
      </c>
      <c r="Q349" s="5">
        <v>0.17</v>
      </c>
      <c r="R349" s="11">
        <f t="shared" si="50"/>
        <v>7.5459411000058495E-4</v>
      </c>
      <c r="V349" s="5">
        <f t="shared" si="51"/>
        <v>0.20748443007159065</v>
      </c>
      <c r="W349" s="5">
        <f t="shared" si="52"/>
        <v>1.2204966474799448</v>
      </c>
      <c r="Y349" s="5">
        <f t="shared" si="53"/>
        <v>0.21774458411661757</v>
      </c>
      <c r="Z349" s="5">
        <f t="shared" si="54"/>
        <v>1.2808504948036326</v>
      </c>
      <c r="AB349" s="5">
        <f>$AC$2*($AC$3+$AC$4*$F349/($N349*'Sem TS MC2020'!P341))*($AC$5*$G349+$AC$6*$B349/$N349)*'Sem TS MC2020'!R341*($J349-$M349)/($J349-$M349-$H349)</f>
        <v>0.14653421895379309</v>
      </c>
      <c r="AC349" s="5">
        <f t="shared" si="55"/>
        <v>0.86196599384584172</v>
      </c>
      <c r="AD349" s="20">
        <f t="shared" si="56"/>
        <v>-2.3465781046206918E-2</v>
      </c>
      <c r="AE349" s="21">
        <f t="shared" si="57"/>
        <v>1.1601385752334505</v>
      </c>
      <c r="AF349" s="21">
        <f>AB349*(14.068*'Sem TS MC2020'!$P341^-0.457)/$Q349</f>
        <v>1.1184265960742499</v>
      </c>
      <c r="AG349" s="21"/>
      <c r="AO349" s="5">
        <f>$AP$2*($AP$3+$AP$4*$F349/($N349*'Sem TS MC2020'!P341))*($AP$5*$G349+$AP$6*$B349/$N349)*('Sem TS MC2020'!P341^$AP$7/200000)*($J349-$M349)/($J349-$M349-$H349)+('Sem TS MC2020'!P341-$C349/$AP$8)*($AP$5*$G349+$AP$6*$B349/$N349)/200000</f>
        <v>0.16483959234659232</v>
      </c>
      <c r="AP349" s="5">
        <f t="shared" si="58"/>
        <v>0.96964466086230772</v>
      </c>
      <c r="AQ349" s="20">
        <f t="shared" si="59"/>
        <v>-5.1604076534076948E-3</v>
      </c>
    </row>
    <row r="350" spans="1:43" x14ac:dyDescent="0.25">
      <c r="A350" s="1" t="s">
        <v>105</v>
      </c>
      <c r="B350" s="3">
        <v>35.799999999999997</v>
      </c>
      <c r="C350" s="4">
        <v>276</v>
      </c>
      <c r="D350" s="4">
        <v>2</v>
      </c>
      <c r="E350" s="3">
        <v>36.4</v>
      </c>
      <c r="F350" s="5">
        <v>2.7563734268389202</v>
      </c>
      <c r="G350" s="3">
        <v>38</v>
      </c>
      <c r="H350" s="3">
        <v>55.9</v>
      </c>
      <c r="I350" s="1">
        <v>152.4</v>
      </c>
      <c r="J350" s="3">
        <v>584.20000000000005</v>
      </c>
      <c r="K350" s="4">
        <v>2012</v>
      </c>
      <c r="L350" s="5">
        <v>29817.06</v>
      </c>
      <c r="M350" s="4">
        <v>228.69980068753699</v>
      </c>
      <c r="N350" s="10">
        <v>6.7478148415705597E-2</v>
      </c>
      <c r="O350" s="5">
        <v>130.78800000000001</v>
      </c>
      <c r="P350" s="4">
        <v>108.34917327528299</v>
      </c>
      <c r="Q350" s="5">
        <v>0.19</v>
      </c>
      <c r="R350" s="11">
        <f t="shared" si="50"/>
        <v>5.41745866376415E-4</v>
      </c>
      <c r="V350" s="5">
        <f t="shared" si="51"/>
        <v>0.16911737409463329</v>
      </c>
      <c r="W350" s="5">
        <f t="shared" si="52"/>
        <v>0.89009144260333306</v>
      </c>
      <c r="Y350" s="5">
        <f t="shared" si="53"/>
        <v>0.17683449251004188</v>
      </c>
      <c r="Z350" s="5">
        <f t="shared" si="54"/>
        <v>0.93070785531600986</v>
      </c>
      <c r="AB350" s="5">
        <f>$AC$2*($AC$3+$AC$4*$F350/($N350*'Sem TS MC2020'!P342))*($AC$5*$G350+$AC$6*$B350/$N350)*'Sem TS MC2020'!R342*($J350-$M350)/($J350-$M350-$H350)</f>
        <v>0.10873660392163587</v>
      </c>
      <c r="AC350" s="5">
        <f t="shared" si="55"/>
        <v>0.5722979153770309</v>
      </c>
      <c r="AD350" s="20">
        <f t="shared" si="56"/>
        <v>-8.1263396078364136E-2</v>
      </c>
      <c r="AE350" s="21">
        <f t="shared" si="57"/>
        <v>1.7473416784004852</v>
      </c>
      <c r="AF350" s="21">
        <f>AB350*(14.068*'Sem TS MC2020'!$P342^-0.457)/$Q350</f>
        <v>0.83132060329934265</v>
      </c>
      <c r="AG350" s="21"/>
      <c r="AO350" s="5">
        <f>$AP$2*($AP$3+$AP$4*$F350/($N350*'Sem TS MC2020'!P342))*($AP$5*$G350+$AP$6*$B350/$N350)*('Sem TS MC2020'!P342^$AP$7/200000)*($J350-$M350)/($J350-$M350-$H350)+('Sem TS MC2020'!P342-$C350/$AP$8)*($AP$5*$G350+$AP$6*$B350/$N350)/200000</f>
        <v>0.12596056373655043</v>
      </c>
      <c r="AP350" s="5">
        <f t="shared" si="58"/>
        <v>0.66295033545552862</v>
      </c>
      <c r="AQ350" s="20">
        <f t="shared" si="59"/>
        <v>-6.4039436263449573E-2</v>
      </c>
    </row>
    <row r="351" spans="1:43" x14ac:dyDescent="0.25">
      <c r="B351" s="3">
        <v>35.799999999999997</v>
      </c>
      <c r="C351" s="4">
        <v>276</v>
      </c>
      <c r="D351" s="4">
        <v>2</v>
      </c>
      <c r="E351" s="3">
        <v>36.4</v>
      </c>
      <c r="F351" s="5">
        <v>2.7563734268389202</v>
      </c>
      <c r="G351" s="3">
        <v>38</v>
      </c>
      <c r="H351" s="3">
        <v>55.9</v>
      </c>
      <c r="I351" s="1">
        <v>152.4</v>
      </c>
      <c r="J351" s="3">
        <v>584.20000000000005</v>
      </c>
      <c r="K351" s="4">
        <v>2012</v>
      </c>
      <c r="L351" s="5">
        <v>29817.06</v>
      </c>
      <c r="M351" s="4">
        <v>228.69980068753699</v>
      </c>
      <c r="N351" s="10">
        <v>6.7478148415705597E-2</v>
      </c>
      <c r="O351" s="5">
        <v>167.03399999999999</v>
      </c>
      <c r="P351" s="4">
        <v>148.199286582844</v>
      </c>
      <c r="Q351" s="5">
        <v>0.25</v>
      </c>
      <c r="R351" s="11">
        <f t="shared" si="50"/>
        <v>7.4099643291421994E-4</v>
      </c>
      <c r="V351" s="5">
        <f t="shared" si="51"/>
        <v>0.20516953870750212</v>
      </c>
      <c r="W351" s="5">
        <f t="shared" si="52"/>
        <v>0.8206781548300085</v>
      </c>
      <c r="Y351" s="5">
        <f t="shared" si="53"/>
        <v>0.21527215647202269</v>
      </c>
      <c r="Z351" s="5">
        <f t="shared" si="54"/>
        <v>0.86108862588809076</v>
      </c>
      <c r="AB351" s="5">
        <f>$AC$2*($AC$3+$AC$4*$F351/($N351*'Sem TS MC2020'!P343))*($AC$5*$G351+$AC$6*$B351/$N351)*'Sem TS MC2020'!R343*($J351-$M351)/($J351-$M351-$H351)</f>
        <v>0.14438008532206043</v>
      </c>
      <c r="AC351" s="5">
        <f t="shared" si="55"/>
        <v>0.5775203412882417</v>
      </c>
      <c r="AD351" s="20">
        <f t="shared" si="56"/>
        <v>-0.10561991467793957</v>
      </c>
      <c r="AE351" s="21">
        <f t="shared" si="57"/>
        <v>1.7315407415249773</v>
      </c>
      <c r="AF351" s="21">
        <f>AB351*(14.068*'Sem TS MC2020'!$P343^-0.457)/$Q351</f>
        <v>0.75017634305003711</v>
      </c>
      <c r="AG351" s="21"/>
      <c r="AO351" s="5">
        <f>$AP$2*($AP$3+$AP$4*$F351/($N351*'Sem TS MC2020'!P343))*($AP$5*$G351+$AP$6*$B351/$N351)*('Sem TS MC2020'!P343^$AP$7/200000)*($J351-$M351)/($J351-$M351-$H351)+('Sem TS MC2020'!P343-$C351/$AP$8)*($AP$5*$G351+$AP$6*$B351/$N351)/200000</f>
        <v>0.16246279201389008</v>
      </c>
      <c r="AP351" s="5">
        <f t="shared" si="58"/>
        <v>0.64985116805556031</v>
      </c>
      <c r="AQ351" s="20">
        <f t="shared" si="59"/>
        <v>-8.7537207986109922E-2</v>
      </c>
    </row>
    <row r="352" spans="1:43" x14ac:dyDescent="0.25">
      <c r="Y352" s="1"/>
      <c r="Z352" s="1"/>
      <c r="AB352" s="1"/>
      <c r="AC352" s="1"/>
      <c r="AO352" s="1"/>
      <c r="AP352" s="1"/>
    </row>
    <row r="353" spans="22:43" x14ac:dyDescent="0.25">
      <c r="V353" s="1" t="s">
        <v>106</v>
      </c>
      <c r="W353" s="5">
        <f>AVERAGE(W11:W351)</f>
        <v>1.0657682636078349</v>
      </c>
      <c r="Y353" s="1" t="s">
        <v>106</v>
      </c>
      <c r="Z353" s="5">
        <f>AVERAGE(Z11:Z351)</f>
        <v>1.0679615747817521</v>
      </c>
      <c r="AB353" s="1" t="s">
        <v>106</v>
      </c>
      <c r="AC353" s="5">
        <f>AVERAGE(AC11:AC351)</f>
        <v>1.0217586890110915</v>
      </c>
      <c r="AD353" s="5"/>
      <c r="AE353" s="1"/>
      <c r="AF353" s="5">
        <f>AVERAGE(AF11:AF351)</f>
        <v>1.056549955137597</v>
      </c>
      <c r="AG353" s="5"/>
      <c r="AO353" s="1" t="s">
        <v>106</v>
      </c>
      <c r="AP353" s="5">
        <f>AVERAGE(AP11:AP351)</f>
        <v>1.0685153312266356</v>
      </c>
      <c r="AQ353" s="5"/>
    </row>
    <row r="354" spans="22:43" x14ac:dyDescent="0.25">
      <c r="V354" s="1" t="s">
        <v>107</v>
      </c>
      <c r="W354" s="5">
        <f>_xlfn.STDEV.S(W11:W351)</f>
        <v>0.31396392890807684</v>
      </c>
      <c r="Y354" s="1" t="s">
        <v>107</v>
      </c>
      <c r="Z354" s="5">
        <f>_xlfn.STDEV.S(Z11:Z351)</f>
        <v>0.3149129707111028</v>
      </c>
      <c r="AB354" s="1" t="s">
        <v>107</v>
      </c>
      <c r="AC354" s="5">
        <f>_xlfn.STDEV.S(AC11:AC351)</f>
        <v>0.33653159023610929</v>
      </c>
      <c r="AD354" s="5"/>
      <c r="AE354" s="1"/>
      <c r="AF354" s="5">
        <f>_xlfn.STDEV.S(AF11:AF351)</f>
        <v>0.31865007139560492</v>
      </c>
      <c r="AG354" s="5"/>
      <c r="AO354" s="1" t="s">
        <v>107</v>
      </c>
      <c r="AP354" s="5">
        <f>_xlfn.STDEV.S(AP11:AP351)</f>
        <v>0.34636504078773589</v>
      </c>
      <c r="AQ354" s="5"/>
    </row>
    <row r="355" spans="22:43" x14ac:dyDescent="0.25">
      <c r="V355" s="1" t="s">
        <v>108</v>
      </c>
      <c r="W355" s="9">
        <f>W354/W353</f>
        <v>0.29458930203574207</v>
      </c>
      <c r="Y355" s="1" t="s">
        <v>108</v>
      </c>
      <c r="Z355" s="9">
        <f>Z354/Z353</f>
        <v>0.29487294126238406</v>
      </c>
      <c r="AB355" s="1" t="s">
        <v>108</v>
      </c>
      <c r="AC355" s="9">
        <f>AC354/AC353</f>
        <v>0.32936503878603784</v>
      </c>
      <c r="AE355" s="1"/>
      <c r="AF355" s="9">
        <f>AF354/AF353</f>
        <v>0.30159489368782982</v>
      </c>
      <c r="AG355" s="9"/>
      <c r="AO355" s="1" t="s">
        <v>108</v>
      </c>
      <c r="AP355" s="9">
        <f>AP354/AP353</f>
        <v>0.32415542450861734</v>
      </c>
    </row>
  </sheetData>
  <mergeCells count="1">
    <mergeCell ref="B9:P9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347"/>
  <sheetViews>
    <sheetView topLeftCell="G1" zoomScale="120" zoomScaleNormal="120" workbookViewId="0">
      <selection activeCell="A12" sqref="A12"/>
    </sheetView>
  </sheetViews>
  <sheetFormatPr defaultColWidth="8.5703125" defaultRowHeight="15" x14ac:dyDescent="0.25"/>
  <cols>
    <col min="1" max="1" width="33.140625" customWidth="1"/>
    <col min="2" max="2" width="24.85546875" style="1" customWidth="1"/>
    <col min="3" max="3" width="24.85546875" style="4" customWidth="1"/>
    <col min="4" max="4" width="29.5703125" style="1" customWidth="1"/>
    <col min="5" max="5" width="29.42578125" style="3" customWidth="1"/>
    <col min="6" max="6" width="36.85546875" style="5" customWidth="1"/>
    <col min="7" max="7" width="16.42578125" style="1" customWidth="1"/>
    <col min="8" max="8" width="44.5703125" style="1" customWidth="1"/>
    <col min="9" max="9" width="20.42578125" style="1" customWidth="1"/>
    <col min="10" max="10" width="19.85546875" style="1" customWidth="1"/>
    <col min="11" max="11" width="29.85546875" style="1" customWidth="1"/>
    <col min="12" max="12" width="31.140625" style="1" customWidth="1"/>
    <col min="13" max="13" width="30.5703125" style="4" customWidth="1"/>
    <col min="14" max="14" width="16.42578125" style="10" customWidth="1"/>
    <col min="15" max="15" width="23.140625" style="10" customWidth="1"/>
    <col min="16" max="16" width="22.5703125" style="4" customWidth="1"/>
    <col min="17" max="17" width="9.5703125" style="5" customWidth="1"/>
    <col min="18" max="18" width="22.140625" style="11" customWidth="1"/>
    <col min="22" max="23" width="8.85546875" style="1" customWidth="1"/>
  </cols>
  <sheetData>
    <row r="1" spans="1:23" x14ac:dyDescent="0.25">
      <c r="A1" t="s">
        <v>8</v>
      </c>
      <c r="B1" s="47" t="s">
        <v>9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5" t="s">
        <v>10</v>
      </c>
    </row>
    <row r="2" spans="1:23" ht="30" x14ac:dyDescent="0.25">
      <c r="B2" s="1" t="s">
        <v>109</v>
      </c>
      <c r="C2" s="4" t="s">
        <v>12</v>
      </c>
      <c r="D2" s="1" t="s">
        <v>13</v>
      </c>
      <c r="E2" s="3" t="s">
        <v>14</v>
      </c>
      <c r="F2" s="5" t="s">
        <v>110</v>
      </c>
      <c r="G2" s="1" t="s">
        <v>111</v>
      </c>
      <c r="H2" s="1" t="s">
        <v>112</v>
      </c>
      <c r="I2" s="1" t="s">
        <v>119</v>
      </c>
      <c r="J2" s="16" t="s">
        <v>120</v>
      </c>
      <c r="K2" s="16" t="s">
        <v>121</v>
      </c>
      <c r="L2" s="16" t="s">
        <v>122</v>
      </c>
      <c r="M2" s="17" t="s">
        <v>123</v>
      </c>
      <c r="N2" s="10" t="s">
        <v>113</v>
      </c>
      <c r="O2" s="10" t="s">
        <v>129</v>
      </c>
      <c r="P2" s="4" t="s">
        <v>114</v>
      </c>
      <c r="Q2" s="5" t="s">
        <v>115</v>
      </c>
      <c r="R2" s="19" t="s">
        <v>130</v>
      </c>
    </row>
    <row r="3" spans="1:23" x14ac:dyDescent="0.25">
      <c r="A3" t="s">
        <v>22</v>
      </c>
      <c r="B3" s="1">
        <v>20</v>
      </c>
      <c r="C3" s="4">
        <v>500</v>
      </c>
      <c r="D3" s="1">
        <v>2</v>
      </c>
      <c r="E3" s="3">
        <v>126</v>
      </c>
      <c r="F3" s="5">
        <v>4.1203405239014401</v>
      </c>
      <c r="G3" s="1">
        <v>25</v>
      </c>
      <c r="H3" s="1">
        <v>39</v>
      </c>
      <c r="I3" s="1">
        <v>216</v>
      </c>
      <c r="J3" s="1">
        <v>201</v>
      </c>
      <c r="K3" s="1">
        <v>628</v>
      </c>
      <c r="L3" s="1">
        <v>29484</v>
      </c>
      <c r="M3" s="4">
        <v>57.361776585620298</v>
      </c>
      <c r="N3" s="10">
        <v>2.1299687966354602E-2</v>
      </c>
      <c r="O3" s="5">
        <v>20.8</v>
      </c>
      <c r="P3" s="4">
        <v>231.81100493873399</v>
      </c>
      <c r="Q3" s="5">
        <v>0.16</v>
      </c>
      <c r="R3" s="11">
        <f t="shared" ref="R3:R66" si="0">P3/200000</f>
        <v>1.1590550246936698E-3</v>
      </c>
      <c r="V3" s="5"/>
      <c r="W3" s="5"/>
    </row>
    <row r="4" spans="1:23" x14ac:dyDescent="0.25">
      <c r="B4" s="1">
        <v>20</v>
      </c>
      <c r="C4" s="4">
        <v>500</v>
      </c>
      <c r="D4" s="1">
        <v>2</v>
      </c>
      <c r="E4" s="3">
        <v>126</v>
      </c>
      <c r="F4" s="5">
        <v>4.1203405239014401</v>
      </c>
      <c r="G4" s="1">
        <v>25</v>
      </c>
      <c r="H4" s="1">
        <v>39</v>
      </c>
      <c r="I4" s="1">
        <v>216</v>
      </c>
      <c r="J4" s="1">
        <v>201</v>
      </c>
      <c r="K4" s="1">
        <v>628</v>
      </c>
      <c r="L4" s="1">
        <v>29484</v>
      </c>
      <c r="M4" s="4">
        <v>57.361776585620298</v>
      </c>
      <c r="N4" s="10">
        <v>2.1299687966354602E-2</v>
      </c>
      <c r="O4" s="5">
        <v>27.3</v>
      </c>
      <c r="P4" s="4">
        <v>304.25194398208799</v>
      </c>
      <c r="Q4" s="5">
        <v>0.23</v>
      </c>
      <c r="R4" s="11">
        <f t="shared" si="0"/>
        <v>1.5212597199104399E-3</v>
      </c>
      <c r="V4" s="5"/>
      <c r="W4" s="5"/>
    </row>
    <row r="5" spans="1:23" x14ac:dyDescent="0.25">
      <c r="B5" s="1">
        <v>20</v>
      </c>
      <c r="C5" s="4">
        <v>500</v>
      </c>
      <c r="D5" s="1">
        <v>2</v>
      </c>
      <c r="E5" s="3">
        <v>126</v>
      </c>
      <c r="F5" s="5">
        <v>4.1203405239014401</v>
      </c>
      <c r="G5" s="1">
        <v>25</v>
      </c>
      <c r="H5" s="1">
        <v>39</v>
      </c>
      <c r="I5" s="1">
        <v>216</v>
      </c>
      <c r="J5" s="1">
        <v>201</v>
      </c>
      <c r="K5" s="1">
        <v>628</v>
      </c>
      <c r="L5" s="1">
        <v>29484</v>
      </c>
      <c r="M5" s="4">
        <v>57.361776585620298</v>
      </c>
      <c r="N5" s="10">
        <v>2.1299687966354602E-2</v>
      </c>
      <c r="O5" s="5">
        <v>28.2</v>
      </c>
      <c r="P5" s="4">
        <v>314.28222784962901</v>
      </c>
      <c r="Q5" s="5">
        <v>0.24</v>
      </c>
      <c r="R5" s="11">
        <f t="shared" si="0"/>
        <v>1.5714111392481451E-3</v>
      </c>
      <c r="V5" s="5"/>
      <c r="W5" s="5"/>
    </row>
    <row r="6" spans="1:23" x14ac:dyDescent="0.25">
      <c r="B6" s="1">
        <v>20</v>
      </c>
      <c r="C6" s="4">
        <v>500</v>
      </c>
      <c r="D6" s="1">
        <v>2</v>
      </c>
      <c r="E6" s="3">
        <v>126</v>
      </c>
      <c r="F6" s="5">
        <v>4.1203405239014401</v>
      </c>
      <c r="G6" s="1">
        <v>25</v>
      </c>
      <c r="H6" s="1">
        <v>39</v>
      </c>
      <c r="I6" s="1">
        <v>216</v>
      </c>
      <c r="J6" s="1">
        <v>201</v>
      </c>
      <c r="K6" s="1">
        <v>628</v>
      </c>
      <c r="L6" s="1">
        <v>29484</v>
      </c>
      <c r="M6" s="4">
        <v>57.361776585620298</v>
      </c>
      <c r="N6" s="10">
        <v>2.1299687966354602E-2</v>
      </c>
      <c r="O6" s="5">
        <v>32.6</v>
      </c>
      <c r="P6" s="4">
        <v>363.31917120205401</v>
      </c>
      <c r="Q6" s="5">
        <v>0.27</v>
      </c>
      <c r="R6" s="11">
        <f t="shared" si="0"/>
        <v>1.8165958560102701E-3</v>
      </c>
      <c r="V6" s="5"/>
      <c r="W6" s="5"/>
    </row>
    <row r="7" spans="1:23" x14ac:dyDescent="0.25">
      <c r="B7" s="1">
        <v>20</v>
      </c>
      <c r="C7" s="4">
        <v>500</v>
      </c>
      <c r="D7" s="1">
        <v>2</v>
      </c>
      <c r="E7" s="3">
        <v>126</v>
      </c>
      <c r="F7" s="5">
        <v>4.1203405239014401</v>
      </c>
      <c r="G7" s="1">
        <v>25</v>
      </c>
      <c r="H7" s="1">
        <v>39</v>
      </c>
      <c r="I7" s="1">
        <v>216</v>
      </c>
      <c r="J7" s="1">
        <v>201</v>
      </c>
      <c r="K7" s="1">
        <v>628</v>
      </c>
      <c r="L7" s="1">
        <v>29484</v>
      </c>
      <c r="M7" s="4">
        <v>57.361776585620298</v>
      </c>
      <c r="N7" s="10">
        <v>2.1299687966354602E-2</v>
      </c>
      <c r="O7" s="5">
        <v>41.2</v>
      </c>
      <c r="P7" s="4">
        <v>459.16410593633799</v>
      </c>
      <c r="Q7" s="5">
        <v>0.35</v>
      </c>
      <c r="R7" s="11">
        <f t="shared" si="0"/>
        <v>2.2958205296816901E-3</v>
      </c>
      <c r="V7" s="5"/>
      <c r="W7" s="5"/>
    </row>
    <row r="8" spans="1:23" x14ac:dyDescent="0.25">
      <c r="B8" s="1">
        <v>20</v>
      </c>
      <c r="C8" s="4">
        <v>500</v>
      </c>
      <c r="D8" s="1">
        <v>2</v>
      </c>
      <c r="E8" s="3">
        <v>126</v>
      </c>
      <c r="F8" s="5">
        <v>4.1203405239014401</v>
      </c>
      <c r="G8" s="1">
        <v>25</v>
      </c>
      <c r="H8" s="1">
        <v>39</v>
      </c>
      <c r="I8" s="1">
        <v>216</v>
      </c>
      <c r="J8" s="1">
        <v>201</v>
      </c>
      <c r="K8" s="1">
        <v>628</v>
      </c>
      <c r="L8" s="1">
        <v>29484</v>
      </c>
      <c r="M8" s="4">
        <v>57.361776585620298</v>
      </c>
      <c r="N8" s="10">
        <v>2.1299687966354602E-2</v>
      </c>
      <c r="O8" s="5">
        <v>44.9</v>
      </c>
      <c r="P8" s="4">
        <v>500</v>
      </c>
      <c r="Q8" s="5">
        <v>0.4</v>
      </c>
      <c r="R8" s="11">
        <f t="shared" si="0"/>
        <v>2.5000000000000001E-3</v>
      </c>
      <c r="V8" s="5"/>
      <c r="W8" s="5"/>
    </row>
    <row r="9" spans="1:23" x14ac:dyDescent="0.25">
      <c r="A9" t="s">
        <v>23</v>
      </c>
      <c r="B9" s="1">
        <v>10</v>
      </c>
      <c r="C9" s="4">
        <v>500</v>
      </c>
      <c r="D9" s="1">
        <v>8</v>
      </c>
      <c r="E9" s="3">
        <v>87.7</v>
      </c>
      <c r="F9" s="5">
        <v>4.1311267633290099</v>
      </c>
      <c r="G9" s="1">
        <v>25</v>
      </c>
      <c r="H9" s="1">
        <v>53</v>
      </c>
      <c r="I9" s="1">
        <v>308</v>
      </c>
      <c r="J9" s="1">
        <v>604</v>
      </c>
      <c r="K9" s="1">
        <v>628</v>
      </c>
      <c r="L9" s="1">
        <v>43428</v>
      </c>
      <c r="M9" s="4">
        <v>99.696400381800601</v>
      </c>
      <c r="N9" s="10">
        <v>1.44607165883762E-2</v>
      </c>
      <c r="O9" s="5">
        <v>105</v>
      </c>
      <c r="P9" s="4">
        <v>322.91971563781198</v>
      </c>
      <c r="Q9" s="5">
        <v>0.16</v>
      </c>
      <c r="R9" s="11">
        <f t="shared" si="0"/>
        <v>1.6145985781890599E-3</v>
      </c>
      <c r="V9" s="5"/>
      <c r="W9" s="5"/>
    </row>
    <row r="10" spans="1:23" x14ac:dyDescent="0.25">
      <c r="B10" s="1">
        <v>10</v>
      </c>
      <c r="C10" s="4">
        <v>500</v>
      </c>
      <c r="D10" s="1">
        <v>8</v>
      </c>
      <c r="E10" s="3">
        <v>87.7</v>
      </c>
      <c r="F10" s="5">
        <v>4.1311267633290099</v>
      </c>
      <c r="G10" s="1">
        <v>25</v>
      </c>
      <c r="H10" s="1">
        <v>53</v>
      </c>
      <c r="I10" s="1">
        <v>308</v>
      </c>
      <c r="J10" s="1">
        <v>604</v>
      </c>
      <c r="K10" s="1">
        <v>628</v>
      </c>
      <c r="L10" s="1">
        <v>43428</v>
      </c>
      <c r="M10" s="4">
        <v>99.696400381800601</v>
      </c>
      <c r="N10" s="10">
        <v>1.44607165883762E-2</v>
      </c>
      <c r="O10" s="5">
        <v>119.6</v>
      </c>
      <c r="P10" s="4">
        <v>367.82093324078397</v>
      </c>
      <c r="Q10" s="5">
        <v>0.18</v>
      </c>
      <c r="R10" s="11">
        <f t="shared" si="0"/>
        <v>1.8391046662039198E-3</v>
      </c>
      <c r="V10" s="5"/>
      <c r="W10" s="5"/>
    </row>
    <row r="11" spans="1:23" x14ac:dyDescent="0.25">
      <c r="B11" s="1">
        <v>10</v>
      </c>
      <c r="C11" s="4">
        <v>500</v>
      </c>
      <c r="D11" s="1">
        <v>8</v>
      </c>
      <c r="E11" s="3">
        <v>87.7</v>
      </c>
      <c r="F11" s="5">
        <v>4.1311267633290099</v>
      </c>
      <c r="G11" s="1">
        <v>25</v>
      </c>
      <c r="H11" s="1">
        <v>53</v>
      </c>
      <c r="I11" s="1">
        <v>308</v>
      </c>
      <c r="J11" s="1">
        <v>604</v>
      </c>
      <c r="K11" s="1">
        <v>628</v>
      </c>
      <c r="L11" s="1">
        <v>43428</v>
      </c>
      <c r="M11" s="4">
        <v>99.696400381800601</v>
      </c>
      <c r="N11" s="10">
        <v>1.44607165883762E-2</v>
      </c>
      <c r="O11" s="5">
        <v>174.3</v>
      </c>
      <c r="P11" s="4">
        <v>500</v>
      </c>
      <c r="Q11" s="5">
        <v>0.26</v>
      </c>
      <c r="R11" s="11">
        <f t="shared" si="0"/>
        <v>2.5000000000000001E-3</v>
      </c>
      <c r="V11" s="5"/>
      <c r="W11" s="5"/>
    </row>
    <row r="12" spans="1:23" x14ac:dyDescent="0.25">
      <c r="A12" t="s">
        <v>24</v>
      </c>
      <c r="B12" s="1">
        <v>10</v>
      </c>
      <c r="C12" s="4">
        <v>628</v>
      </c>
      <c r="D12" s="1">
        <v>4</v>
      </c>
      <c r="E12" s="3">
        <v>32.466666666666697</v>
      </c>
      <c r="F12" s="5">
        <v>3.262</v>
      </c>
      <c r="G12" s="1">
        <v>25</v>
      </c>
      <c r="H12" s="1">
        <v>36</v>
      </c>
      <c r="I12" s="1">
        <v>200</v>
      </c>
      <c r="J12" s="1">
        <v>600</v>
      </c>
      <c r="K12" s="1">
        <v>314</v>
      </c>
      <c r="L12" s="1">
        <v>17200</v>
      </c>
      <c r="M12" s="4">
        <v>95.721926864521507</v>
      </c>
      <c r="N12" s="10">
        <v>1.8255813953488399E-2</v>
      </c>
      <c r="O12" s="5">
        <v>47.625</v>
      </c>
      <c r="P12" s="4">
        <v>285.04803218471699</v>
      </c>
      <c r="Q12" s="5">
        <v>0.16</v>
      </c>
      <c r="R12" s="11">
        <f t="shared" si="0"/>
        <v>1.4252401609235849E-3</v>
      </c>
      <c r="V12" s="5"/>
      <c r="W12" s="5"/>
    </row>
    <row r="13" spans="1:23" x14ac:dyDescent="0.25">
      <c r="B13" s="1">
        <v>10</v>
      </c>
      <c r="C13" s="4">
        <v>628</v>
      </c>
      <c r="D13" s="1">
        <v>4</v>
      </c>
      <c r="E13" s="3">
        <v>32.466666666666697</v>
      </c>
      <c r="F13" s="5">
        <v>3.262</v>
      </c>
      <c r="G13" s="1">
        <v>25</v>
      </c>
      <c r="H13" s="1">
        <v>36</v>
      </c>
      <c r="I13" s="1">
        <v>200</v>
      </c>
      <c r="J13" s="1">
        <v>600</v>
      </c>
      <c r="K13" s="1">
        <v>314</v>
      </c>
      <c r="L13" s="1">
        <v>17200</v>
      </c>
      <c r="M13" s="4">
        <v>95.721926864521507</v>
      </c>
      <c r="N13" s="10">
        <v>1.8255813953488399E-2</v>
      </c>
      <c r="O13" s="5">
        <v>54.3</v>
      </c>
      <c r="P13" s="4">
        <v>324.99964614446401</v>
      </c>
      <c r="Q13" s="5">
        <v>0.2</v>
      </c>
      <c r="R13" s="11">
        <f t="shared" si="0"/>
        <v>1.62499823072232E-3</v>
      </c>
      <c r="V13" s="5"/>
      <c r="W13" s="5"/>
    </row>
    <row r="14" spans="1:23" x14ac:dyDescent="0.25">
      <c r="B14" s="1">
        <v>10</v>
      </c>
      <c r="C14" s="4">
        <v>628</v>
      </c>
      <c r="D14" s="1">
        <v>4</v>
      </c>
      <c r="E14" s="3">
        <v>32.466666666666697</v>
      </c>
      <c r="F14" s="5">
        <v>3.262</v>
      </c>
      <c r="G14" s="1">
        <v>25</v>
      </c>
      <c r="H14" s="1">
        <v>36</v>
      </c>
      <c r="I14" s="1">
        <v>200</v>
      </c>
      <c r="J14" s="1">
        <v>600</v>
      </c>
      <c r="K14" s="1">
        <v>314</v>
      </c>
      <c r="L14" s="1">
        <v>17200</v>
      </c>
      <c r="M14" s="4">
        <v>95.721926864521507</v>
      </c>
      <c r="N14" s="10">
        <v>1.8255813953488399E-2</v>
      </c>
      <c r="O14" s="5">
        <v>61.424999999999997</v>
      </c>
      <c r="P14" s="4">
        <v>367.64462733745302</v>
      </c>
      <c r="Q14" s="5">
        <v>0.2</v>
      </c>
      <c r="R14" s="11">
        <f t="shared" si="0"/>
        <v>1.8382231366872652E-3</v>
      </c>
      <c r="V14" s="5"/>
      <c r="W14" s="5"/>
    </row>
    <row r="15" spans="1:23" x14ac:dyDescent="0.25">
      <c r="B15" s="1">
        <v>10</v>
      </c>
      <c r="C15" s="4">
        <v>628</v>
      </c>
      <c r="D15" s="1">
        <v>4</v>
      </c>
      <c r="E15" s="3">
        <v>32.466666666666697</v>
      </c>
      <c r="F15" s="5">
        <v>3.262</v>
      </c>
      <c r="G15" s="1">
        <v>25</v>
      </c>
      <c r="H15" s="1">
        <v>36</v>
      </c>
      <c r="I15" s="1">
        <v>200</v>
      </c>
      <c r="J15" s="1">
        <v>600</v>
      </c>
      <c r="K15" s="1">
        <v>314</v>
      </c>
      <c r="L15" s="1">
        <v>17200</v>
      </c>
      <c r="M15" s="4">
        <v>95.721926864521507</v>
      </c>
      <c r="N15" s="10">
        <v>1.8255813953488399E-2</v>
      </c>
      <c r="O15" s="5">
        <v>68.625</v>
      </c>
      <c r="P15" s="4">
        <v>410.73850306931598</v>
      </c>
      <c r="Q15" s="5">
        <v>0.24</v>
      </c>
      <c r="R15" s="11">
        <f t="shared" si="0"/>
        <v>2.0536925153465798E-3</v>
      </c>
      <c r="V15" s="5"/>
      <c r="W15" s="5"/>
    </row>
    <row r="16" spans="1:23" x14ac:dyDescent="0.25">
      <c r="B16" s="1">
        <v>10</v>
      </c>
      <c r="C16" s="4">
        <v>628</v>
      </c>
      <c r="D16" s="1">
        <v>4</v>
      </c>
      <c r="E16" s="3">
        <v>32.466666666666697</v>
      </c>
      <c r="F16" s="5">
        <v>3.262</v>
      </c>
      <c r="G16" s="1">
        <v>25</v>
      </c>
      <c r="H16" s="1">
        <v>36</v>
      </c>
      <c r="I16" s="1">
        <v>200</v>
      </c>
      <c r="J16" s="1">
        <v>600</v>
      </c>
      <c r="K16" s="1">
        <v>314</v>
      </c>
      <c r="L16" s="1">
        <v>17200</v>
      </c>
      <c r="M16" s="4">
        <v>95.721926864521507</v>
      </c>
      <c r="N16" s="10">
        <v>1.8255813953488399E-2</v>
      </c>
      <c r="O16" s="5">
        <v>73.275000000000006</v>
      </c>
      <c r="P16" s="4">
        <v>438.56996447947699</v>
      </c>
      <c r="Q16" s="5">
        <v>0.3</v>
      </c>
      <c r="R16" s="11">
        <f t="shared" si="0"/>
        <v>2.1928498223973848E-3</v>
      </c>
      <c r="V16" s="5"/>
      <c r="W16" s="5"/>
    </row>
    <row r="17" spans="1:23" x14ac:dyDescent="0.25">
      <c r="B17" s="1">
        <v>10</v>
      </c>
      <c r="C17" s="4">
        <v>628</v>
      </c>
      <c r="D17" s="1">
        <v>4</v>
      </c>
      <c r="E17" s="3">
        <v>32.466666666666697</v>
      </c>
      <c r="F17" s="5">
        <v>3.262</v>
      </c>
      <c r="G17" s="1">
        <v>25</v>
      </c>
      <c r="H17" s="1">
        <v>36</v>
      </c>
      <c r="I17" s="1">
        <v>200</v>
      </c>
      <c r="J17" s="1">
        <v>600</v>
      </c>
      <c r="K17" s="1">
        <v>314</v>
      </c>
      <c r="L17" s="1">
        <v>17200</v>
      </c>
      <c r="M17" s="4">
        <v>95.721926864521507</v>
      </c>
      <c r="N17" s="10">
        <v>1.8255813953488399E-2</v>
      </c>
      <c r="O17" s="5">
        <v>83.25</v>
      </c>
      <c r="P17" s="4">
        <v>498.27293814966202</v>
      </c>
      <c r="Q17" s="5">
        <v>0.32</v>
      </c>
      <c r="R17" s="11">
        <f t="shared" si="0"/>
        <v>2.4913646907483099E-3</v>
      </c>
      <c r="V17" s="5"/>
      <c r="W17" s="5"/>
    </row>
    <row r="18" spans="1:23" x14ac:dyDescent="0.25">
      <c r="B18" s="1">
        <v>10</v>
      </c>
      <c r="C18" s="4">
        <v>628</v>
      </c>
      <c r="D18" s="1">
        <v>4</v>
      </c>
      <c r="E18" s="3">
        <v>32.466666666666697</v>
      </c>
      <c r="F18" s="5">
        <v>3.262</v>
      </c>
      <c r="G18" s="1">
        <v>25</v>
      </c>
      <c r="H18" s="1">
        <v>36</v>
      </c>
      <c r="I18" s="1">
        <v>200</v>
      </c>
      <c r="J18" s="1">
        <v>600</v>
      </c>
      <c r="K18" s="1">
        <v>314</v>
      </c>
      <c r="L18" s="1">
        <v>17200</v>
      </c>
      <c r="M18" s="4">
        <v>95.721926864521507</v>
      </c>
      <c r="N18" s="10">
        <v>1.8255813953488399E-2</v>
      </c>
      <c r="O18" s="5">
        <v>84</v>
      </c>
      <c r="P18" s="4">
        <v>502.76188353839802</v>
      </c>
      <c r="Q18" s="5">
        <v>0.38</v>
      </c>
      <c r="R18" s="11">
        <f t="shared" si="0"/>
        <v>2.51380941769199E-3</v>
      </c>
      <c r="V18" s="5"/>
      <c r="W18" s="5"/>
    </row>
    <row r="19" spans="1:23" x14ac:dyDescent="0.25">
      <c r="B19" s="1">
        <v>10</v>
      </c>
      <c r="C19" s="4">
        <v>628</v>
      </c>
      <c r="D19" s="1">
        <v>4</v>
      </c>
      <c r="E19" s="3">
        <v>32.466666666666697</v>
      </c>
      <c r="F19" s="5">
        <v>3.262</v>
      </c>
      <c r="G19" s="1">
        <v>25</v>
      </c>
      <c r="H19" s="1">
        <v>36</v>
      </c>
      <c r="I19" s="1">
        <v>200</v>
      </c>
      <c r="J19" s="1">
        <v>600</v>
      </c>
      <c r="K19" s="1">
        <v>314</v>
      </c>
      <c r="L19" s="1">
        <v>17200</v>
      </c>
      <c r="M19" s="4">
        <v>95.721926864521507</v>
      </c>
      <c r="N19" s="10">
        <v>1.8255813953488399E-2</v>
      </c>
      <c r="O19" s="5">
        <v>90</v>
      </c>
      <c r="P19" s="4">
        <v>538.67344664828295</v>
      </c>
      <c r="Q19" s="5">
        <v>0.42</v>
      </c>
      <c r="R19" s="11">
        <f t="shared" si="0"/>
        <v>2.6933672332414148E-3</v>
      </c>
      <c r="V19" s="5"/>
      <c r="W19" s="5"/>
    </row>
    <row r="20" spans="1:23" x14ac:dyDescent="0.25">
      <c r="B20" s="1">
        <v>10</v>
      </c>
      <c r="C20" s="4">
        <v>628</v>
      </c>
      <c r="D20" s="1">
        <v>4</v>
      </c>
      <c r="E20" s="3">
        <v>32.466666666666697</v>
      </c>
      <c r="F20" s="5">
        <v>3.262</v>
      </c>
      <c r="G20" s="1">
        <v>25</v>
      </c>
      <c r="H20" s="1">
        <v>36</v>
      </c>
      <c r="I20" s="1">
        <v>200</v>
      </c>
      <c r="J20" s="1">
        <v>600</v>
      </c>
      <c r="K20" s="1">
        <v>314</v>
      </c>
      <c r="L20" s="1">
        <v>17200</v>
      </c>
      <c r="M20" s="4">
        <v>95.721926864521507</v>
      </c>
      <c r="N20" s="10">
        <v>1.8255813953488399E-2</v>
      </c>
      <c r="O20" s="5">
        <v>108</v>
      </c>
      <c r="P20" s="4">
        <v>628</v>
      </c>
      <c r="Q20" s="5">
        <v>0.44</v>
      </c>
      <c r="R20" s="11">
        <f t="shared" si="0"/>
        <v>3.14E-3</v>
      </c>
      <c r="V20" s="5"/>
      <c r="W20" s="5"/>
    </row>
    <row r="21" spans="1:23" x14ac:dyDescent="0.25">
      <c r="B21" s="1">
        <v>10</v>
      </c>
      <c r="C21" s="4">
        <v>628</v>
      </c>
      <c r="D21" s="1">
        <v>4</v>
      </c>
      <c r="E21" s="3">
        <v>32.466666666666697</v>
      </c>
      <c r="F21" s="5">
        <v>3.262</v>
      </c>
      <c r="G21" s="1">
        <v>25</v>
      </c>
      <c r="H21" s="1">
        <v>36</v>
      </c>
      <c r="I21" s="1">
        <v>200</v>
      </c>
      <c r="J21" s="1">
        <v>600</v>
      </c>
      <c r="K21" s="1">
        <v>314</v>
      </c>
      <c r="L21" s="1">
        <v>17200</v>
      </c>
      <c r="M21" s="4">
        <v>95.721926864521507</v>
      </c>
      <c r="N21" s="10">
        <v>1.8255813953488399E-2</v>
      </c>
      <c r="O21" s="5">
        <v>120</v>
      </c>
      <c r="P21" s="4">
        <v>628</v>
      </c>
      <c r="Q21" s="5">
        <v>0.5</v>
      </c>
      <c r="R21" s="11">
        <f t="shared" si="0"/>
        <v>3.14E-3</v>
      </c>
      <c r="V21" s="5"/>
      <c r="W21" s="5"/>
    </row>
    <row r="22" spans="1:23" x14ac:dyDescent="0.25">
      <c r="A22" t="s">
        <v>25</v>
      </c>
      <c r="B22" s="1">
        <v>10</v>
      </c>
      <c r="C22" s="4">
        <v>628</v>
      </c>
      <c r="D22" s="1">
        <v>4</v>
      </c>
      <c r="E22" s="3">
        <v>32.466666666666697</v>
      </c>
      <c r="F22" s="5">
        <v>3.5139999999999998</v>
      </c>
      <c r="G22" s="1">
        <v>25</v>
      </c>
      <c r="H22" s="1">
        <v>36</v>
      </c>
      <c r="I22" s="1">
        <v>200</v>
      </c>
      <c r="J22" s="1">
        <v>600</v>
      </c>
      <c r="K22" s="1">
        <v>314</v>
      </c>
      <c r="L22" s="1">
        <v>17200</v>
      </c>
      <c r="M22" s="4">
        <v>87.120678710097707</v>
      </c>
      <c r="N22" s="10">
        <v>1.8255813953488399E-2</v>
      </c>
      <c r="O22" s="5">
        <v>54</v>
      </c>
      <c r="P22" s="4">
        <v>321.47187644259401</v>
      </c>
      <c r="Q22" s="5">
        <v>0.24</v>
      </c>
      <c r="R22" s="11">
        <f t="shared" si="0"/>
        <v>1.6073593822129701E-3</v>
      </c>
      <c r="V22" s="5"/>
      <c r="W22" s="5"/>
    </row>
    <row r="23" spans="1:23" x14ac:dyDescent="0.25">
      <c r="B23" s="1">
        <v>10</v>
      </c>
      <c r="C23" s="4">
        <v>628</v>
      </c>
      <c r="D23" s="1">
        <v>4</v>
      </c>
      <c r="E23" s="3">
        <v>32.466666666666697</v>
      </c>
      <c r="F23" s="5">
        <v>3.5139999999999998</v>
      </c>
      <c r="G23" s="1">
        <v>25</v>
      </c>
      <c r="H23" s="1">
        <v>36</v>
      </c>
      <c r="I23" s="1">
        <v>200</v>
      </c>
      <c r="J23" s="1">
        <v>600</v>
      </c>
      <c r="K23" s="1">
        <v>314</v>
      </c>
      <c r="L23" s="1">
        <v>17200</v>
      </c>
      <c r="M23" s="4">
        <v>87.120678710097707</v>
      </c>
      <c r="N23" s="10">
        <v>1.8255813953488399E-2</v>
      </c>
      <c r="O23" s="5">
        <v>60</v>
      </c>
      <c r="P23" s="4">
        <v>357.19097382510398</v>
      </c>
      <c r="Q23" s="5">
        <v>0.3</v>
      </c>
      <c r="R23" s="11">
        <f t="shared" si="0"/>
        <v>1.78595486912552E-3</v>
      </c>
      <c r="V23" s="5"/>
      <c r="W23" s="5"/>
    </row>
    <row r="24" spans="1:23" x14ac:dyDescent="0.25">
      <c r="B24" s="1">
        <v>10</v>
      </c>
      <c r="C24" s="4">
        <v>628</v>
      </c>
      <c r="D24" s="1">
        <v>4</v>
      </c>
      <c r="E24" s="3">
        <v>32.466666666666697</v>
      </c>
      <c r="F24" s="5">
        <v>3.5139999999999998</v>
      </c>
      <c r="G24" s="1">
        <v>25</v>
      </c>
      <c r="H24" s="1">
        <v>36</v>
      </c>
      <c r="I24" s="1">
        <v>200</v>
      </c>
      <c r="J24" s="1">
        <v>600</v>
      </c>
      <c r="K24" s="1">
        <v>314</v>
      </c>
      <c r="L24" s="1">
        <v>17200</v>
      </c>
      <c r="M24" s="4">
        <v>87.120678710097707</v>
      </c>
      <c r="N24" s="10">
        <v>1.8255813953488399E-2</v>
      </c>
      <c r="O24" s="5">
        <v>62.25</v>
      </c>
      <c r="P24" s="4">
        <v>370.58563534354499</v>
      </c>
      <c r="Q24" s="5">
        <v>0.3</v>
      </c>
      <c r="R24" s="11">
        <f t="shared" si="0"/>
        <v>1.8529281767177249E-3</v>
      </c>
      <c r="V24" s="5"/>
      <c r="W24" s="5"/>
    </row>
    <row r="25" spans="1:23" x14ac:dyDescent="0.25">
      <c r="B25" s="1">
        <v>10</v>
      </c>
      <c r="C25" s="4">
        <v>628</v>
      </c>
      <c r="D25" s="1">
        <v>4</v>
      </c>
      <c r="E25" s="3">
        <v>32.466666666666697</v>
      </c>
      <c r="F25" s="5">
        <v>3.5139999999999998</v>
      </c>
      <c r="G25" s="1">
        <v>25</v>
      </c>
      <c r="H25" s="1">
        <v>36</v>
      </c>
      <c r="I25" s="1">
        <v>200</v>
      </c>
      <c r="J25" s="1">
        <v>600</v>
      </c>
      <c r="K25" s="1">
        <v>314</v>
      </c>
      <c r="L25" s="1">
        <v>17200</v>
      </c>
      <c r="M25" s="4">
        <v>87.120678710097707</v>
      </c>
      <c r="N25" s="10">
        <v>1.8255813953488399E-2</v>
      </c>
      <c r="O25" s="5">
        <v>66</v>
      </c>
      <c r="P25" s="4">
        <v>392.91007120761401</v>
      </c>
      <c r="Q25" s="5">
        <v>0.3</v>
      </c>
      <c r="R25" s="11">
        <f t="shared" si="0"/>
        <v>1.9645503560380699E-3</v>
      </c>
      <c r="V25" s="5"/>
      <c r="W25" s="5"/>
    </row>
    <row r="26" spans="1:23" x14ac:dyDescent="0.25">
      <c r="B26" s="1">
        <v>10</v>
      </c>
      <c r="C26" s="4">
        <v>628</v>
      </c>
      <c r="D26" s="1">
        <v>4</v>
      </c>
      <c r="E26" s="3">
        <v>32.466666666666697</v>
      </c>
      <c r="F26" s="5">
        <v>3.5139999999999998</v>
      </c>
      <c r="G26" s="1">
        <v>25</v>
      </c>
      <c r="H26" s="1">
        <v>36</v>
      </c>
      <c r="I26" s="1">
        <v>200</v>
      </c>
      <c r="J26" s="1">
        <v>600</v>
      </c>
      <c r="K26" s="1">
        <v>314</v>
      </c>
      <c r="L26" s="1">
        <v>17200</v>
      </c>
      <c r="M26" s="4">
        <v>87.120678710097707</v>
      </c>
      <c r="N26" s="10">
        <v>1.8255813953488399E-2</v>
      </c>
      <c r="O26" s="5">
        <v>71.25</v>
      </c>
      <c r="P26" s="4">
        <v>424.16428141731097</v>
      </c>
      <c r="Q26" s="5">
        <v>0.38</v>
      </c>
      <c r="R26" s="11">
        <f t="shared" si="0"/>
        <v>2.1208214070865547E-3</v>
      </c>
      <c r="V26" s="5"/>
      <c r="W26" s="5"/>
    </row>
    <row r="27" spans="1:23" x14ac:dyDescent="0.25">
      <c r="B27" s="1">
        <v>10</v>
      </c>
      <c r="C27" s="4">
        <v>628</v>
      </c>
      <c r="D27" s="1">
        <v>4</v>
      </c>
      <c r="E27" s="3">
        <v>32.466666666666697</v>
      </c>
      <c r="F27" s="5">
        <v>3.5139999999999998</v>
      </c>
      <c r="G27" s="1">
        <v>25</v>
      </c>
      <c r="H27" s="1">
        <v>36</v>
      </c>
      <c r="I27" s="1">
        <v>200</v>
      </c>
      <c r="J27" s="1">
        <v>600</v>
      </c>
      <c r="K27" s="1">
        <v>314</v>
      </c>
      <c r="L27" s="1">
        <v>17200</v>
      </c>
      <c r="M27" s="4">
        <v>87.120678710097707</v>
      </c>
      <c r="N27" s="10">
        <v>1.8255813953488399E-2</v>
      </c>
      <c r="O27" s="5">
        <v>82.5</v>
      </c>
      <c r="P27" s="4">
        <v>491.13758900951802</v>
      </c>
      <c r="Q27" s="5">
        <v>0.44</v>
      </c>
      <c r="R27" s="11">
        <f t="shared" si="0"/>
        <v>2.4556879450475903E-3</v>
      </c>
      <c r="V27" s="5"/>
      <c r="W27" s="5"/>
    </row>
    <row r="28" spans="1:23" x14ac:dyDescent="0.25">
      <c r="A28" t="s">
        <v>26</v>
      </c>
      <c r="B28" s="1">
        <v>16</v>
      </c>
      <c r="C28" s="4">
        <v>571</v>
      </c>
      <c r="D28" s="1">
        <v>4</v>
      </c>
      <c r="E28" s="3">
        <v>37</v>
      </c>
      <c r="F28" s="5">
        <v>4.2587999999999999</v>
      </c>
      <c r="G28" s="1">
        <v>33</v>
      </c>
      <c r="H28" s="1">
        <v>59</v>
      </c>
      <c r="I28" s="1">
        <v>125</v>
      </c>
      <c r="J28" s="1">
        <v>250</v>
      </c>
      <c r="K28" s="1">
        <v>800</v>
      </c>
      <c r="L28" s="1">
        <v>19625</v>
      </c>
      <c r="M28" s="4">
        <v>86</v>
      </c>
      <c r="N28" s="10">
        <v>4.0800000000000003E-2</v>
      </c>
      <c r="O28" s="5">
        <v>18.2</v>
      </c>
      <c r="P28" s="4">
        <v>140.041965597591</v>
      </c>
      <c r="Q28" s="5">
        <v>0.18</v>
      </c>
      <c r="R28" s="11">
        <f t="shared" si="0"/>
        <v>7.0020982798795503E-4</v>
      </c>
      <c r="V28" s="5"/>
      <c r="W28" s="5"/>
    </row>
    <row r="29" spans="1:23" x14ac:dyDescent="0.25">
      <c r="B29" s="1">
        <v>16</v>
      </c>
      <c r="C29" s="4">
        <v>571</v>
      </c>
      <c r="D29" s="1">
        <v>4</v>
      </c>
      <c r="E29" s="3">
        <v>37</v>
      </c>
      <c r="F29" s="5">
        <v>4.2587999999999999</v>
      </c>
      <c r="G29" s="1">
        <v>33</v>
      </c>
      <c r="H29" s="1">
        <v>59</v>
      </c>
      <c r="I29" s="1">
        <v>125</v>
      </c>
      <c r="J29" s="1">
        <v>250</v>
      </c>
      <c r="K29" s="1">
        <v>800</v>
      </c>
      <c r="L29" s="1">
        <v>19625</v>
      </c>
      <c r="M29" s="4">
        <v>86</v>
      </c>
      <c r="N29" s="10">
        <v>4.0800000000000003E-2</v>
      </c>
      <c r="O29" s="5">
        <v>26.2</v>
      </c>
      <c r="P29" s="4">
        <v>201.59887355257601</v>
      </c>
      <c r="Q29" s="5">
        <v>0.2</v>
      </c>
      <c r="R29" s="11">
        <f t="shared" si="0"/>
        <v>1.0079943677628799E-3</v>
      </c>
      <c r="V29" s="5"/>
      <c r="W29" s="5"/>
    </row>
    <row r="30" spans="1:23" x14ac:dyDescent="0.25">
      <c r="B30" s="1">
        <v>16</v>
      </c>
      <c r="C30" s="4">
        <v>571</v>
      </c>
      <c r="D30" s="1">
        <v>4</v>
      </c>
      <c r="E30" s="3">
        <v>37</v>
      </c>
      <c r="F30" s="5">
        <v>4.2587999999999999</v>
      </c>
      <c r="G30" s="1">
        <v>33</v>
      </c>
      <c r="H30" s="1">
        <v>59</v>
      </c>
      <c r="I30" s="1">
        <v>125</v>
      </c>
      <c r="J30" s="1">
        <v>250</v>
      </c>
      <c r="K30" s="1">
        <v>800</v>
      </c>
      <c r="L30" s="1">
        <v>19625</v>
      </c>
      <c r="M30" s="4">
        <v>86</v>
      </c>
      <c r="N30" s="10">
        <v>4.0800000000000003E-2</v>
      </c>
      <c r="O30" s="5">
        <v>31.7</v>
      </c>
      <c r="P30" s="4">
        <v>243.91924777162799</v>
      </c>
      <c r="Q30" s="5">
        <v>0.26</v>
      </c>
      <c r="R30" s="11">
        <f t="shared" si="0"/>
        <v>1.21959623885814E-3</v>
      </c>
      <c r="V30" s="5"/>
      <c r="W30" s="5"/>
    </row>
    <row r="31" spans="1:23" x14ac:dyDescent="0.25">
      <c r="B31" s="1">
        <v>16</v>
      </c>
      <c r="C31" s="4">
        <v>571</v>
      </c>
      <c r="D31" s="1">
        <v>4</v>
      </c>
      <c r="E31" s="3">
        <v>37</v>
      </c>
      <c r="F31" s="5">
        <v>4.2587999999999999</v>
      </c>
      <c r="G31" s="1">
        <v>33</v>
      </c>
      <c r="H31" s="1">
        <v>59</v>
      </c>
      <c r="I31" s="1">
        <v>125</v>
      </c>
      <c r="J31" s="1">
        <v>250</v>
      </c>
      <c r="K31" s="1">
        <v>800</v>
      </c>
      <c r="L31" s="1">
        <v>19625</v>
      </c>
      <c r="M31" s="4">
        <v>86</v>
      </c>
      <c r="N31" s="10">
        <v>4.0800000000000003E-2</v>
      </c>
      <c r="O31" s="5">
        <v>40.799999999999997</v>
      </c>
      <c r="P31" s="4">
        <v>313.94023057042398</v>
      </c>
      <c r="Q31" s="5">
        <v>0.44</v>
      </c>
      <c r="R31" s="11">
        <f t="shared" si="0"/>
        <v>1.5697011528521198E-3</v>
      </c>
      <c r="V31" s="5"/>
      <c r="W31" s="5"/>
    </row>
    <row r="32" spans="1:23" x14ac:dyDescent="0.25">
      <c r="B32" s="1">
        <v>16</v>
      </c>
      <c r="C32" s="4">
        <v>571</v>
      </c>
      <c r="D32" s="1">
        <v>4</v>
      </c>
      <c r="E32" s="3">
        <v>37</v>
      </c>
      <c r="F32" s="5">
        <v>4.2587999999999999</v>
      </c>
      <c r="G32" s="1">
        <v>33</v>
      </c>
      <c r="H32" s="1">
        <v>59</v>
      </c>
      <c r="I32" s="1">
        <v>125</v>
      </c>
      <c r="J32" s="1">
        <v>250</v>
      </c>
      <c r="K32" s="1">
        <v>800</v>
      </c>
      <c r="L32" s="1">
        <v>19625</v>
      </c>
      <c r="M32" s="4">
        <v>86</v>
      </c>
      <c r="N32" s="10">
        <v>4.0800000000000003E-2</v>
      </c>
      <c r="O32" s="5">
        <v>54.1</v>
      </c>
      <c r="P32" s="4">
        <v>416.27859004558701</v>
      </c>
      <c r="Q32" s="5">
        <v>0.6</v>
      </c>
      <c r="R32" s="11">
        <f t="shared" si="0"/>
        <v>2.081392950227935E-3</v>
      </c>
      <c r="V32" s="5"/>
      <c r="W32" s="5"/>
    </row>
    <row r="33" spans="1:23" x14ac:dyDescent="0.25">
      <c r="A33" t="s">
        <v>27</v>
      </c>
      <c r="B33" s="1">
        <v>12</v>
      </c>
      <c r="C33" s="4">
        <v>500</v>
      </c>
      <c r="D33" s="1">
        <v>4</v>
      </c>
      <c r="E33" s="3">
        <v>79.3</v>
      </c>
      <c r="F33" s="5">
        <v>2.6933292113182898</v>
      </c>
      <c r="G33" s="1">
        <v>20</v>
      </c>
      <c r="H33" s="1">
        <v>38</v>
      </c>
      <c r="I33" s="1">
        <v>350</v>
      </c>
      <c r="J33" s="1">
        <v>450</v>
      </c>
      <c r="K33" s="1">
        <v>452</v>
      </c>
      <c r="L33" s="1">
        <v>34300</v>
      </c>
      <c r="M33" s="4">
        <v>76.169428201642404</v>
      </c>
      <c r="N33" s="10">
        <v>1.3177842565597699E-2</v>
      </c>
      <c r="O33" s="5">
        <v>52.5</v>
      </c>
      <c r="P33" s="4">
        <v>300.43295624924099</v>
      </c>
      <c r="Q33" s="5">
        <v>0.36</v>
      </c>
      <c r="R33" s="11">
        <f t="shared" si="0"/>
        <v>1.5021647812462049E-3</v>
      </c>
      <c r="V33" s="5"/>
      <c r="W33" s="5"/>
    </row>
    <row r="34" spans="1:23" x14ac:dyDescent="0.25">
      <c r="B34" s="1">
        <v>12</v>
      </c>
      <c r="C34" s="4">
        <v>500</v>
      </c>
      <c r="D34" s="1">
        <v>4</v>
      </c>
      <c r="E34" s="3">
        <v>79.3</v>
      </c>
      <c r="F34" s="5">
        <v>2.6933292113182898</v>
      </c>
      <c r="G34" s="1">
        <v>20</v>
      </c>
      <c r="H34" s="1">
        <v>38</v>
      </c>
      <c r="I34" s="1">
        <v>350</v>
      </c>
      <c r="J34" s="1">
        <v>450</v>
      </c>
      <c r="K34" s="1">
        <v>452</v>
      </c>
      <c r="L34" s="1">
        <v>34300</v>
      </c>
      <c r="M34" s="4">
        <v>76.169428201642404</v>
      </c>
      <c r="N34" s="10">
        <v>1.3177842565597699E-2</v>
      </c>
      <c r="O34" s="5">
        <v>67.5</v>
      </c>
      <c r="P34" s="4">
        <v>386.27094374902401</v>
      </c>
      <c r="Q34" s="5">
        <v>0.43</v>
      </c>
      <c r="R34" s="11">
        <f t="shared" si="0"/>
        <v>1.93135471874512E-3</v>
      </c>
      <c r="V34" s="5"/>
      <c r="W34" s="5"/>
    </row>
    <row r="35" spans="1:23" x14ac:dyDescent="0.25">
      <c r="B35" s="1">
        <v>12</v>
      </c>
      <c r="C35" s="4">
        <v>500</v>
      </c>
      <c r="D35" s="1">
        <v>4</v>
      </c>
      <c r="E35" s="3">
        <v>79.3</v>
      </c>
      <c r="F35" s="5">
        <v>2.6933292113182898</v>
      </c>
      <c r="G35" s="1">
        <v>20</v>
      </c>
      <c r="H35" s="1">
        <v>38</v>
      </c>
      <c r="I35" s="1">
        <v>350</v>
      </c>
      <c r="J35" s="1">
        <v>450</v>
      </c>
      <c r="K35" s="1">
        <v>452</v>
      </c>
      <c r="L35" s="1">
        <v>34300</v>
      </c>
      <c r="M35" s="4">
        <v>76.169428201642404</v>
      </c>
      <c r="N35" s="10">
        <v>1.3177842565597699E-2</v>
      </c>
      <c r="O35" s="5">
        <v>90</v>
      </c>
      <c r="P35" s="4">
        <v>500</v>
      </c>
      <c r="Q35" s="5">
        <v>0.56000000000000005</v>
      </c>
      <c r="R35" s="11">
        <f t="shared" si="0"/>
        <v>2.5000000000000001E-3</v>
      </c>
      <c r="V35" s="5"/>
      <c r="W35" s="5"/>
    </row>
    <row r="36" spans="1:23" x14ac:dyDescent="0.25">
      <c r="B36" s="1">
        <v>12</v>
      </c>
      <c r="C36" s="4">
        <v>500</v>
      </c>
      <c r="D36" s="1">
        <v>4</v>
      </c>
      <c r="E36" s="3">
        <v>79.3</v>
      </c>
      <c r="F36" s="5">
        <v>2.6933292113182898</v>
      </c>
      <c r="G36" s="1">
        <v>20</v>
      </c>
      <c r="H36" s="1">
        <v>38</v>
      </c>
      <c r="I36" s="1">
        <v>350</v>
      </c>
      <c r="J36" s="1">
        <v>450</v>
      </c>
      <c r="K36" s="1">
        <v>452</v>
      </c>
      <c r="L36" s="1">
        <v>34300</v>
      </c>
      <c r="M36" s="4">
        <v>76.169428201642404</v>
      </c>
      <c r="N36" s="10">
        <v>1.3177842565597699E-2</v>
      </c>
      <c r="O36" s="5">
        <v>112.5</v>
      </c>
      <c r="P36" s="4">
        <v>500</v>
      </c>
      <c r="Q36" s="5">
        <v>0.71</v>
      </c>
      <c r="R36" s="11">
        <f t="shared" si="0"/>
        <v>2.5000000000000001E-3</v>
      </c>
      <c r="V36" s="5"/>
      <c r="W36" s="5"/>
    </row>
    <row r="37" spans="1:23" x14ac:dyDescent="0.25">
      <c r="B37" s="1">
        <v>12</v>
      </c>
      <c r="C37" s="4">
        <v>500</v>
      </c>
      <c r="D37" s="1">
        <v>4</v>
      </c>
      <c r="E37" s="3">
        <v>79.3</v>
      </c>
      <c r="F37" s="5">
        <v>2.6933292113182898</v>
      </c>
      <c r="G37" s="1">
        <v>20</v>
      </c>
      <c r="H37" s="1">
        <v>38</v>
      </c>
      <c r="I37" s="1">
        <v>350</v>
      </c>
      <c r="J37" s="1">
        <v>450</v>
      </c>
      <c r="K37" s="1">
        <v>452</v>
      </c>
      <c r="L37" s="1">
        <v>34300</v>
      </c>
      <c r="M37" s="4">
        <v>76.169428201642404</v>
      </c>
      <c r="N37" s="10">
        <v>1.3177842565597699E-2</v>
      </c>
      <c r="O37" s="5">
        <v>120</v>
      </c>
      <c r="P37" s="4">
        <v>500</v>
      </c>
      <c r="Q37" s="5">
        <v>0.79</v>
      </c>
      <c r="R37" s="11">
        <f t="shared" si="0"/>
        <v>2.5000000000000001E-3</v>
      </c>
      <c r="V37" s="5"/>
      <c r="W37" s="5"/>
    </row>
    <row r="38" spans="1:23" x14ac:dyDescent="0.25">
      <c r="A38" t="s">
        <v>28</v>
      </c>
      <c r="B38" s="1">
        <v>25</v>
      </c>
      <c r="C38" s="4">
        <v>500</v>
      </c>
      <c r="D38" s="1">
        <v>4</v>
      </c>
      <c r="E38" s="3">
        <v>62</v>
      </c>
      <c r="F38" s="5">
        <v>2.6933292113182898</v>
      </c>
      <c r="G38" s="1">
        <v>20</v>
      </c>
      <c r="H38" s="1">
        <v>44.5</v>
      </c>
      <c r="I38" s="1">
        <v>350</v>
      </c>
      <c r="J38" s="1">
        <v>450</v>
      </c>
      <c r="K38" s="1">
        <v>1964</v>
      </c>
      <c r="L38" s="1">
        <v>54512.5</v>
      </c>
      <c r="M38" s="4">
        <v>140.92716892937</v>
      </c>
      <c r="N38" s="10">
        <v>3.60284338454483E-2</v>
      </c>
      <c r="O38" s="5">
        <v>75</v>
      </c>
      <c r="P38" s="4">
        <v>106.512655225995</v>
      </c>
      <c r="Q38" s="5">
        <v>0.2</v>
      </c>
      <c r="R38" s="11">
        <f t="shared" si="0"/>
        <v>5.3256327612997501E-4</v>
      </c>
      <c r="V38" s="5"/>
      <c r="W38" s="5"/>
    </row>
    <row r="39" spans="1:23" x14ac:dyDescent="0.25">
      <c r="B39" s="1">
        <v>25</v>
      </c>
      <c r="C39" s="4">
        <v>500</v>
      </c>
      <c r="D39" s="1">
        <v>4</v>
      </c>
      <c r="E39" s="3">
        <v>62</v>
      </c>
      <c r="F39" s="5">
        <v>2.6933292113182898</v>
      </c>
      <c r="G39" s="1">
        <v>20</v>
      </c>
      <c r="H39" s="1">
        <v>44.5</v>
      </c>
      <c r="I39" s="1">
        <v>350</v>
      </c>
      <c r="J39" s="1">
        <v>450</v>
      </c>
      <c r="K39" s="1">
        <v>1964</v>
      </c>
      <c r="L39" s="1">
        <v>54512.5</v>
      </c>
      <c r="M39" s="4">
        <v>140.92716892937</v>
      </c>
      <c r="N39" s="10">
        <v>3.60284338454483E-2</v>
      </c>
      <c r="O39" s="5">
        <v>135</v>
      </c>
      <c r="P39" s="4">
        <v>191.72277940679001</v>
      </c>
      <c r="Q39" s="5">
        <v>0.25</v>
      </c>
      <c r="R39" s="11">
        <f t="shared" si="0"/>
        <v>9.5861389703395003E-4</v>
      </c>
      <c r="V39" s="5"/>
      <c r="W39" s="5"/>
    </row>
    <row r="40" spans="1:23" x14ac:dyDescent="0.25">
      <c r="B40" s="1">
        <v>25</v>
      </c>
      <c r="C40" s="4">
        <v>500</v>
      </c>
      <c r="D40" s="1">
        <v>4</v>
      </c>
      <c r="E40" s="3">
        <v>62</v>
      </c>
      <c r="F40" s="5">
        <v>2.6933292113182898</v>
      </c>
      <c r="G40" s="1">
        <v>20</v>
      </c>
      <c r="H40" s="1">
        <v>44.5</v>
      </c>
      <c r="I40" s="1">
        <v>350</v>
      </c>
      <c r="J40" s="1">
        <v>450</v>
      </c>
      <c r="K40" s="1">
        <v>1964</v>
      </c>
      <c r="L40" s="1">
        <v>54512.5</v>
      </c>
      <c r="M40" s="4">
        <v>140.92716892937</v>
      </c>
      <c r="N40" s="10">
        <v>3.60284338454483E-2</v>
      </c>
      <c r="O40" s="5">
        <v>195</v>
      </c>
      <c r="P40" s="4">
        <v>276.932903587586</v>
      </c>
      <c r="Q40" s="5">
        <v>0.36</v>
      </c>
      <c r="R40" s="11">
        <f t="shared" si="0"/>
        <v>1.38466451793793E-3</v>
      </c>
      <c r="V40" s="5"/>
      <c r="W40" s="5"/>
    </row>
    <row r="41" spans="1:23" x14ac:dyDescent="0.25">
      <c r="B41" s="1">
        <v>25</v>
      </c>
      <c r="C41" s="4">
        <v>500</v>
      </c>
      <c r="D41" s="1">
        <v>4</v>
      </c>
      <c r="E41" s="3">
        <v>62</v>
      </c>
      <c r="F41" s="5">
        <v>2.6933292113182898</v>
      </c>
      <c r="G41" s="1">
        <v>20</v>
      </c>
      <c r="H41" s="1">
        <v>44.5</v>
      </c>
      <c r="I41" s="1">
        <v>350</v>
      </c>
      <c r="J41" s="1">
        <v>450</v>
      </c>
      <c r="K41" s="1">
        <v>1964</v>
      </c>
      <c r="L41" s="1">
        <v>54512.5</v>
      </c>
      <c r="M41" s="4">
        <v>140.92716892937</v>
      </c>
      <c r="N41" s="10">
        <v>3.60284338454483E-2</v>
      </c>
      <c r="O41" s="5">
        <v>255</v>
      </c>
      <c r="P41" s="4">
        <v>362.14302776838201</v>
      </c>
      <c r="Q41" s="5">
        <v>0.47</v>
      </c>
      <c r="R41" s="11">
        <f t="shared" si="0"/>
        <v>1.81071513884191E-3</v>
      </c>
      <c r="V41" s="5"/>
      <c r="W41" s="5"/>
    </row>
    <row r="42" spans="1:23" x14ac:dyDescent="0.25">
      <c r="B42" s="1">
        <v>25</v>
      </c>
      <c r="C42" s="4">
        <v>500</v>
      </c>
      <c r="D42" s="1">
        <v>4</v>
      </c>
      <c r="E42" s="3">
        <v>62</v>
      </c>
      <c r="F42" s="5">
        <v>2.6933292113182898</v>
      </c>
      <c r="G42" s="1">
        <v>20</v>
      </c>
      <c r="H42" s="1">
        <v>44.5</v>
      </c>
      <c r="I42" s="1">
        <v>350</v>
      </c>
      <c r="J42" s="1">
        <v>450</v>
      </c>
      <c r="K42" s="1">
        <v>1964</v>
      </c>
      <c r="L42" s="1">
        <v>54512.5</v>
      </c>
      <c r="M42" s="4">
        <v>140.92716892937</v>
      </c>
      <c r="N42" s="10">
        <v>3.60284338454483E-2</v>
      </c>
      <c r="O42" s="5">
        <v>300</v>
      </c>
      <c r="P42" s="4">
        <v>426.05062090397797</v>
      </c>
      <c r="Q42" s="5">
        <v>0.56999999999999995</v>
      </c>
      <c r="R42" s="11">
        <f t="shared" si="0"/>
        <v>2.1302531045198901E-3</v>
      </c>
      <c r="V42" s="5"/>
      <c r="W42" s="5"/>
    </row>
    <row r="43" spans="1:23" x14ac:dyDescent="0.25">
      <c r="B43" s="1">
        <v>25</v>
      </c>
      <c r="C43" s="4">
        <v>500</v>
      </c>
      <c r="D43" s="1">
        <v>4</v>
      </c>
      <c r="E43" s="3">
        <v>62</v>
      </c>
      <c r="F43" s="5">
        <v>2.6933292113182898</v>
      </c>
      <c r="G43" s="1">
        <v>20</v>
      </c>
      <c r="H43" s="1">
        <v>44.5</v>
      </c>
      <c r="I43" s="1">
        <v>350</v>
      </c>
      <c r="J43" s="1">
        <v>450</v>
      </c>
      <c r="K43" s="1">
        <v>1964</v>
      </c>
      <c r="L43" s="1">
        <v>54512.5</v>
      </c>
      <c r="M43" s="4">
        <v>140.92716892937</v>
      </c>
      <c r="N43" s="10">
        <v>3.60284338454483E-2</v>
      </c>
      <c r="O43" s="5">
        <v>360</v>
      </c>
      <c r="P43" s="4">
        <v>500</v>
      </c>
      <c r="Q43" s="5">
        <v>0.78</v>
      </c>
      <c r="R43" s="11">
        <f t="shared" si="0"/>
        <v>2.5000000000000001E-3</v>
      </c>
      <c r="V43" s="5"/>
      <c r="W43" s="5"/>
    </row>
    <row r="44" spans="1:23" x14ac:dyDescent="0.25">
      <c r="A44" t="s">
        <v>29</v>
      </c>
      <c r="B44" s="1">
        <v>12</v>
      </c>
      <c r="C44" s="4">
        <v>500</v>
      </c>
      <c r="D44" s="1">
        <v>4</v>
      </c>
      <c r="E44" s="3">
        <v>79.3</v>
      </c>
      <c r="F44" s="5">
        <v>2.6933292113182898</v>
      </c>
      <c r="G44" s="1">
        <v>20</v>
      </c>
      <c r="H44" s="1">
        <v>34</v>
      </c>
      <c r="I44" s="1">
        <v>350</v>
      </c>
      <c r="J44" s="1">
        <v>450</v>
      </c>
      <c r="K44" s="1">
        <v>452</v>
      </c>
      <c r="L44" s="1">
        <v>32900</v>
      </c>
      <c r="M44" s="4">
        <v>76.575869689672899</v>
      </c>
      <c r="N44" s="10">
        <v>1.37386018237082E-2</v>
      </c>
      <c r="O44" s="5">
        <v>37.5</v>
      </c>
      <c r="P44" s="4">
        <v>212.47112712609001</v>
      </c>
      <c r="Q44" s="5">
        <v>0.21</v>
      </c>
      <c r="R44" s="11">
        <f t="shared" si="0"/>
        <v>1.06235563563045E-3</v>
      </c>
      <c r="V44" s="5"/>
      <c r="W44" s="5"/>
    </row>
    <row r="45" spans="1:23" x14ac:dyDescent="0.25">
      <c r="B45" s="1">
        <v>12</v>
      </c>
      <c r="C45" s="4">
        <v>500</v>
      </c>
      <c r="D45" s="1">
        <v>4</v>
      </c>
      <c r="E45" s="3">
        <v>79.3</v>
      </c>
      <c r="F45" s="5">
        <v>2.6933292113182898</v>
      </c>
      <c r="G45" s="1">
        <v>20</v>
      </c>
      <c r="H45" s="1">
        <v>34</v>
      </c>
      <c r="I45" s="1">
        <v>350</v>
      </c>
      <c r="J45" s="1">
        <v>450</v>
      </c>
      <c r="K45" s="1">
        <v>452</v>
      </c>
      <c r="L45" s="1">
        <v>32900</v>
      </c>
      <c r="M45" s="4">
        <v>76.575869689672899</v>
      </c>
      <c r="N45" s="10">
        <v>1.37386018237082E-2</v>
      </c>
      <c r="O45" s="5">
        <v>45</v>
      </c>
      <c r="P45" s="4">
        <v>254.965352551308</v>
      </c>
      <c r="Q45" s="5">
        <v>0.31</v>
      </c>
      <c r="R45" s="11">
        <f t="shared" si="0"/>
        <v>1.27482676275654E-3</v>
      </c>
      <c r="V45" s="5"/>
      <c r="W45" s="5"/>
    </row>
    <row r="46" spans="1:23" x14ac:dyDescent="0.25">
      <c r="B46" s="1">
        <v>12</v>
      </c>
      <c r="C46" s="4">
        <v>500</v>
      </c>
      <c r="D46" s="1">
        <v>4</v>
      </c>
      <c r="E46" s="3">
        <v>79.3</v>
      </c>
      <c r="F46" s="5">
        <v>2.6933292113182898</v>
      </c>
      <c r="G46" s="1">
        <v>20</v>
      </c>
      <c r="H46" s="1">
        <v>34</v>
      </c>
      <c r="I46" s="1">
        <v>350</v>
      </c>
      <c r="J46" s="1">
        <v>450</v>
      </c>
      <c r="K46" s="1">
        <v>452</v>
      </c>
      <c r="L46" s="1">
        <v>32900</v>
      </c>
      <c r="M46" s="4">
        <v>76.575869689672899</v>
      </c>
      <c r="N46" s="10">
        <v>1.37386018237082E-2</v>
      </c>
      <c r="O46" s="5">
        <v>52.5</v>
      </c>
      <c r="P46" s="4">
        <v>297.459577976525</v>
      </c>
      <c r="Q46" s="5">
        <v>0.38</v>
      </c>
      <c r="R46" s="11">
        <f t="shared" si="0"/>
        <v>1.4872978898826249E-3</v>
      </c>
      <c r="V46" s="5"/>
      <c r="W46" s="5"/>
    </row>
    <row r="47" spans="1:23" x14ac:dyDescent="0.25">
      <c r="B47" s="1">
        <v>12</v>
      </c>
      <c r="C47" s="4">
        <v>500</v>
      </c>
      <c r="D47" s="1">
        <v>4</v>
      </c>
      <c r="E47" s="3">
        <v>79.3</v>
      </c>
      <c r="F47" s="5">
        <v>2.6933292113182898</v>
      </c>
      <c r="G47" s="1">
        <v>20</v>
      </c>
      <c r="H47" s="1">
        <v>34</v>
      </c>
      <c r="I47" s="1">
        <v>350</v>
      </c>
      <c r="J47" s="1">
        <v>450</v>
      </c>
      <c r="K47" s="1">
        <v>452</v>
      </c>
      <c r="L47" s="1">
        <v>32900</v>
      </c>
      <c r="M47" s="4">
        <v>76.575869689672899</v>
      </c>
      <c r="N47" s="10">
        <v>1.37386018237082E-2</v>
      </c>
      <c r="O47" s="5">
        <v>67.5</v>
      </c>
      <c r="P47" s="4">
        <v>382.44802882696098</v>
      </c>
      <c r="Q47" s="5">
        <v>0.52</v>
      </c>
      <c r="R47" s="11">
        <f t="shared" si="0"/>
        <v>1.9122401441348049E-3</v>
      </c>
      <c r="V47" s="5"/>
      <c r="W47" s="5"/>
    </row>
    <row r="48" spans="1:23" x14ac:dyDescent="0.25">
      <c r="B48" s="1">
        <v>12</v>
      </c>
      <c r="C48" s="4">
        <v>500</v>
      </c>
      <c r="D48" s="1">
        <v>4</v>
      </c>
      <c r="E48" s="3">
        <v>79.3</v>
      </c>
      <c r="F48" s="5">
        <v>2.6933292113182898</v>
      </c>
      <c r="G48" s="1">
        <v>20</v>
      </c>
      <c r="H48" s="1">
        <v>34</v>
      </c>
      <c r="I48" s="1">
        <v>350</v>
      </c>
      <c r="J48" s="1">
        <v>450</v>
      </c>
      <c r="K48" s="1">
        <v>452</v>
      </c>
      <c r="L48" s="1">
        <v>32900</v>
      </c>
      <c r="M48" s="4">
        <v>76.575869689672899</v>
      </c>
      <c r="N48" s="10">
        <v>1.37386018237082E-2</v>
      </c>
      <c r="O48" s="5">
        <v>90</v>
      </c>
      <c r="P48" s="4">
        <v>500</v>
      </c>
      <c r="Q48" s="5">
        <v>0.74</v>
      </c>
      <c r="R48" s="11">
        <f t="shared" si="0"/>
        <v>2.5000000000000001E-3</v>
      </c>
      <c r="V48" s="5"/>
      <c r="W48" s="5"/>
    </row>
    <row r="49" spans="1:23" x14ac:dyDescent="0.25">
      <c r="A49" t="s">
        <v>30</v>
      </c>
      <c r="B49" s="1">
        <v>12</v>
      </c>
      <c r="C49" s="4">
        <v>500</v>
      </c>
      <c r="D49" s="1">
        <v>4</v>
      </c>
      <c r="E49" s="3">
        <v>79.3</v>
      </c>
      <c r="F49" s="5">
        <v>2.6933292113182898</v>
      </c>
      <c r="G49" s="1">
        <v>20</v>
      </c>
      <c r="H49" s="1">
        <v>34</v>
      </c>
      <c r="I49" s="1">
        <v>350</v>
      </c>
      <c r="J49" s="1">
        <v>450</v>
      </c>
      <c r="K49" s="1">
        <v>452</v>
      </c>
      <c r="L49" s="1">
        <v>32900</v>
      </c>
      <c r="M49" s="4">
        <v>76.575869689672899</v>
      </c>
      <c r="N49" s="10">
        <v>1.37386018237082E-2</v>
      </c>
      <c r="O49" s="5">
        <v>37.5</v>
      </c>
      <c r="P49" s="4">
        <v>212.47112712609001</v>
      </c>
      <c r="Q49" s="5">
        <v>0.17</v>
      </c>
      <c r="R49" s="11">
        <f t="shared" si="0"/>
        <v>1.06235563563045E-3</v>
      </c>
      <c r="V49" s="5"/>
      <c r="W49" s="5"/>
    </row>
    <row r="50" spans="1:23" x14ac:dyDescent="0.25">
      <c r="B50" s="1">
        <v>12</v>
      </c>
      <c r="C50" s="4">
        <v>500</v>
      </c>
      <c r="D50" s="1">
        <v>4</v>
      </c>
      <c r="E50" s="3">
        <v>79.3</v>
      </c>
      <c r="F50" s="5">
        <v>2.6933292113182898</v>
      </c>
      <c r="G50" s="1">
        <v>20</v>
      </c>
      <c r="H50" s="1">
        <v>34</v>
      </c>
      <c r="I50" s="1">
        <v>350</v>
      </c>
      <c r="J50" s="1">
        <v>450</v>
      </c>
      <c r="K50" s="1">
        <v>452</v>
      </c>
      <c r="L50" s="1">
        <v>32900</v>
      </c>
      <c r="M50" s="4">
        <v>76.575869689672899</v>
      </c>
      <c r="N50" s="10">
        <v>1.37386018237082E-2</v>
      </c>
      <c r="O50" s="5">
        <v>52.5</v>
      </c>
      <c r="P50" s="4">
        <v>297.459577976525</v>
      </c>
      <c r="Q50" s="5">
        <v>0.36</v>
      </c>
      <c r="R50" s="11">
        <f t="shared" si="0"/>
        <v>1.4872978898826249E-3</v>
      </c>
      <c r="V50" s="5"/>
      <c r="W50" s="5"/>
    </row>
    <row r="51" spans="1:23" x14ac:dyDescent="0.25">
      <c r="B51" s="1">
        <v>12</v>
      </c>
      <c r="C51" s="4">
        <v>500</v>
      </c>
      <c r="D51" s="1">
        <v>4</v>
      </c>
      <c r="E51" s="3">
        <v>79.3</v>
      </c>
      <c r="F51" s="5">
        <v>2.6933292113182898</v>
      </c>
      <c r="G51" s="1">
        <v>20</v>
      </c>
      <c r="H51" s="1">
        <v>34</v>
      </c>
      <c r="I51" s="1">
        <v>350</v>
      </c>
      <c r="J51" s="1">
        <v>450</v>
      </c>
      <c r="K51" s="1">
        <v>452</v>
      </c>
      <c r="L51" s="1">
        <v>32900</v>
      </c>
      <c r="M51" s="4">
        <v>76.575869689672899</v>
      </c>
      <c r="N51" s="10">
        <v>1.37386018237082E-2</v>
      </c>
      <c r="O51" s="5">
        <v>67.5</v>
      </c>
      <c r="P51" s="4">
        <v>382.44802882696098</v>
      </c>
      <c r="Q51" s="5">
        <v>0.56000000000000005</v>
      </c>
      <c r="R51" s="11">
        <f t="shared" si="0"/>
        <v>1.9122401441348049E-3</v>
      </c>
      <c r="V51" s="5"/>
      <c r="W51" s="5"/>
    </row>
    <row r="52" spans="1:23" x14ac:dyDescent="0.25">
      <c r="B52" s="1">
        <v>12</v>
      </c>
      <c r="C52" s="4">
        <v>500</v>
      </c>
      <c r="D52" s="1">
        <v>4</v>
      </c>
      <c r="E52" s="3">
        <v>79.3</v>
      </c>
      <c r="F52" s="5">
        <v>2.6933292113182898</v>
      </c>
      <c r="G52" s="1">
        <v>20</v>
      </c>
      <c r="H52" s="1">
        <v>34</v>
      </c>
      <c r="I52" s="1">
        <v>350</v>
      </c>
      <c r="J52" s="1">
        <v>450</v>
      </c>
      <c r="K52" s="1">
        <v>452</v>
      </c>
      <c r="L52" s="1">
        <v>32900</v>
      </c>
      <c r="M52" s="4">
        <v>76.575869689672899</v>
      </c>
      <c r="N52" s="10">
        <v>1.37386018237082E-2</v>
      </c>
      <c r="O52" s="5">
        <v>90</v>
      </c>
      <c r="P52" s="4">
        <v>500</v>
      </c>
      <c r="Q52" s="5">
        <v>0.78</v>
      </c>
      <c r="R52" s="11">
        <f t="shared" si="0"/>
        <v>2.5000000000000001E-3</v>
      </c>
      <c r="V52" s="5"/>
      <c r="W52" s="5"/>
    </row>
    <row r="53" spans="1:23" x14ac:dyDescent="0.25">
      <c r="A53" t="s">
        <v>31</v>
      </c>
      <c r="B53" s="1">
        <v>12</v>
      </c>
      <c r="C53" s="4">
        <v>500</v>
      </c>
      <c r="D53" s="1">
        <v>4</v>
      </c>
      <c r="E53" s="3">
        <v>46</v>
      </c>
      <c r="F53" s="5">
        <v>2.6933292113182898</v>
      </c>
      <c r="G53" s="1">
        <v>70</v>
      </c>
      <c r="H53" s="1">
        <v>88</v>
      </c>
      <c r="I53" s="1">
        <v>350</v>
      </c>
      <c r="J53" s="1">
        <v>450</v>
      </c>
      <c r="K53" s="1">
        <v>452</v>
      </c>
      <c r="L53" s="1">
        <v>42000</v>
      </c>
      <c r="M53" s="4">
        <v>70.913891854445893</v>
      </c>
      <c r="N53" s="10">
        <v>1.0761904761904801E-2</v>
      </c>
      <c r="O53" s="5">
        <v>37.5</v>
      </c>
      <c r="P53" s="4">
        <v>245.19477048546599</v>
      </c>
      <c r="Q53" s="5">
        <v>0.31</v>
      </c>
      <c r="R53" s="11">
        <f t="shared" si="0"/>
        <v>1.2259738524273299E-3</v>
      </c>
      <c r="V53" s="5"/>
      <c r="W53" s="5"/>
    </row>
    <row r="54" spans="1:23" x14ac:dyDescent="0.25">
      <c r="B54" s="1">
        <v>12</v>
      </c>
      <c r="C54" s="4">
        <v>500</v>
      </c>
      <c r="D54" s="1">
        <v>4</v>
      </c>
      <c r="E54" s="3">
        <v>46</v>
      </c>
      <c r="F54" s="5">
        <v>2.6933292113182898</v>
      </c>
      <c r="G54" s="1">
        <v>70</v>
      </c>
      <c r="H54" s="1">
        <v>88</v>
      </c>
      <c r="I54" s="1">
        <v>350</v>
      </c>
      <c r="J54" s="1">
        <v>450</v>
      </c>
      <c r="K54" s="1">
        <v>452</v>
      </c>
      <c r="L54" s="1">
        <v>42000</v>
      </c>
      <c r="M54" s="4">
        <v>70.913891854445893</v>
      </c>
      <c r="N54" s="10">
        <v>1.0761904761904801E-2</v>
      </c>
      <c r="O54" s="5">
        <v>45</v>
      </c>
      <c r="P54" s="4">
        <v>294.23372458256</v>
      </c>
      <c r="Q54" s="5">
        <v>0.44</v>
      </c>
      <c r="R54" s="11">
        <f t="shared" si="0"/>
        <v>1.4711686229128E-3</v>
      </c>
      <c r="V54" s="5"/>
      <c r="W54" s="5"/>
    </row>
    <row r="55" spans="1:23" x14ac:dyDescent="0.25">
      <c r="A55" t="s">
        <v>32</v>
      </c>
      <c r="B55" s="1">
        <v>12</v>
      </c>
      <c r="C55" s="4">
        <v>500</v>
      </c>
      <c r="D55" s="1">
        <v>4</v>
      </c>
      <c r="E55" s="3">
        <v>46</v>
      </c>
      <c r="F55" s="5">
        <v>2.6933292113182898</v>
      </c>
      <c r="G55" s="1">
        <v>70</v>
      </c>
      <c r="H55" s="1">
        <v>84</v>
      </c>
      <c r="I55" s="1">
        <v>350</v>
      </c>
      <c r="J55" s="1">
        <v>450</v>
      </c>
      <c r="K55" s="1">
        <v>452</v>
      </c>
      <c r="L55" s="1">
        <v>42000</v>
      </c>
      <c r="M55" s="4">
        <v>71.347043658761095</v>
      </c>
      <c r="N55" s="10">
        <v>1.0761904761904801E-2</v>
      </c>
      <c r="O55" s="5">
        <v>30</v>
      </c>
      <c r="P55" s="4">
        <v>193.94581491041399</v>
      </c>
      <c r="Q55" s="5">
        <v>0.14000000000000001</v>
      </c>
      <c r="R55" s="11">
        <f t="shared" si="0"/>
        <v>9.6972907455206993E-4</v>
      </c>
      <c r="V55" s="5"/>
      <c r="W55" s="5"/>
    </row>
    <row r="56" spans="1:23" x14ac:dyDescent="0.25">
      <c r="B56" s="1">
        <v>12</v>
      </c>
      <c r="C56" s="4">
        <v>500</v>
      </c>
      <c r="D56" s="1">
        <v>4</v>
      </c>
      <c r="E56" s="3">
        <v>46</v>
      </c>
      <c r="F56" s="5">
        <v>2.6933292113182898</v>
      </c>
      <c r="G56" s="1">
        <v>70</v>
      </c>
      <c r="H56" s="1">
        <v>84</v>
      </c>
      <c r="I56" s="1">
        <v>350</v>
      </c>
      <c r="J56" s="1">
        <v>450</v>
      </c>
      <c r="K56" s="1">
        <v>452</v>
      </c>
      <c r="L56" s="1">
        <v>42000</v>
      </c>
      <c r="M56" s="4">
        <v>71.347043658761095</v>
      </c>
      <c r="N56" s="10">
        <v>1.0761904761904801E-2</v>
      </c>
      <c r="O56" s="5">
        <v>37.5</v>
      </c>
      <c r="P56" s="4">
        <v>242.432268638018</v>
      </c>
      <c r="Q56" s="5">
        <v>0.31</v>
      </c>
      <c r="R56" s="11">
        <f t="shared" si="0"/>
        <v>1.2121613431900901E-3</v>
      </c>
      <c r="V56" s="5"/>
      <c r="W56" s="5"/>
    </row>
    <row r="57" spans="1:23" x14ac:dyDescent="0.25">
      <c r="B57" s="1">
        <v>12</v>
      </c>
      <c r="C57" s="4">
        <v>500</v>
      </c>
      <c r="D57" s="1">
        <v>4</v>
      </c>
      <c r="E57" s="3">
        <v>46</v>
      </c>
      <c r="F57" s="5">
        <v>2.6933292113182898</v>
      </c>
      <c r="G57" s="1">
        <v>70</v>
      </c>
      <c r="H57" s="1">
        <v>84</v>
      </c>
      <c r="I57" s="1">
        <v>350</v>
      </c>
      <c r="J57" s="1">
        <v>450</v>
      </c>
      <c r="K57" s="1">
        <v>452</v>
      </c>
      <c r="L57" s="1">
        <v>42000</v>
      </c>
      <c r="M57" s="4">
        <v>71.347043658761095</v>
      </c>
      <c r="N57" s="10">
        <v>1.0761904761904801E-2</v>
      </c>
      <c r="O57" s="5">
        <v>45</v>
      </c>
      <c r="P57" s="4">
        <v>290.91872236562199</v>
      </c>
      <c r="Q57" s="5">
        <v>0.4</v>
      </c>
      <c r="R57" s="11">
        <f t="shared" si="0"/>
        <v>1.45459361182811E-3</v>
      </c>
      <c r="V57" s="5"/>
      <c r="W57" s="5"/>
    </row>
    <row r="58" spans="1:23" x14ac:dyDescent="0.25">
      <c r="A58" t="s">
        <v>33</v>
      </c>
      <c r="B58" s="1">
        <v>12</v>
      </c>
      <c r="C58" s="4">
        <v>500</v>
      </c>
      <c r="D58" s="1">
        <v>4</v>
      </c>
      <c r="E58" s="3">
        <v>46</v>
      </c>
      <c r="F58" s="5">
        <v>2.6933292113182898</v>
      </c>
      <c r="G58" s="1">
        <v>70</v>
      </c>
      <c r="H58" s="1">
        <v>84</v>
      </c>
      <c r="I58" s="1">
        <v>350</v>
      </c>
      <c r="J58" s="1">
        <v>450</v>
      </c>
      <c r="K58" s="1">
        <v>452</v>
      </c>
      <c r="L58" s="1">
        <v>42000</v>
      </c>
      <c r="M58" s="4">
        <v>71.347043658761095</v>
      </c>
      <c r="N58" s="10">
        <v>1.0761904761904801E-2</v>
      </c>
      <c r="O58" s="5">
        <v>30</v>
      </c>
      <c r="P58" s="4">
        <v>193.94581491041399</v>
      </c>
      <c r="Q58" s="5">
        <v>0.25</v>
      </c>
      <c r="R58" s="11">
        <f t="shared" si="0"/>
        <v>9.6972907455206993E-4</v>
      </c>
      <c r="V58" s="5"/>
      <c r="W58" s="5"/>
    </row>
    <row r="59" spans="1:23" x14ac:dyDescent="0.25">
      <c r="B59" s="1">
        <v>12</v>
      </c>
      <c r="C59" s="4">
        <v>500</v>
      </c>
      <c r="D59" s="1">
        <v>4</v>
      </c>
      <c r="E59" s="3">
        <v>46</v>
      </c>
      <c r="F59" s="5">
        <v>2.6933292113182898</v>
      </c>
      <c r="G59" s="1">
        <v>70</v>
      </c>
      <c r="H59" s="1">
        <v>84</v>
      </c>
      <c r="I59" s="1">
        <v>350</v>
      </c>
      <c r="J59" s="1">
        <v>450</v>
      </c>
      <c r="K59" s="1">
        <v>452</v>
      </c>
      <c r="L59" s="1">
        <v>42000</v>
      </c>
      <c r="M59" s="4">
        <v>71.347043658761095</v>
      </c>
      <c r="N59" s="10">
        <v>1.0761904761904801E-2</v>
      </c>
      <c r="O59" s="5">
        <v>37.5</v>
      </c>
      <c r="P59" s="4">
        <v>242.432268638018</v>
      </c>
      <c r="Q59" s="5">
        <v>0.44</v>
      </c>
      <c r="R59" s="11">
        <f t="shared" si="0"/>
        <v>1.2121613431900901E-3</v>
      </c>
      <c r="V59" s="5"/>
      <c r="W59" s="5"/>
    </row>
    <row r="60" spans="1:23" x14ac:dyDescent="0.25">
      <c r="B60" s="1">
        <v>12</v>
      </c>
      <c r="C60" s="4">
        <v>500</v>
      </c>
      <c r="D60" s="1">
        <v>4</v>
      </c>
      <c r="E60" s="3">
        <v>46</v>
      </c>
      <c r="F60" s="5">
        <v>2.6933292113182898</v>
      </c>
      <c r="G60" s="1">
        <v>70</v>
      </c>
      <c r="H60" s="1">
        <v>84</v>
      </c>
      <c r="I60" s="1">
        <v>350</v>
      </c>
      <c r="J60" s="1">
        <v>450</v>
      </c>
      <c r="K60" s="1">
        <v>452</v>
      </c>
      <c r="L60" s="1">
        <v>42000</v>
      </c>
      <c r="M60" s="4">
        <v>71.347043658761095</v>
      </c>
      <c r="N60" s="10">
        <v>1.0761904761904801E-2</v>
      </c>
      <c r="O60" s="5">
        <v>45</v>
      </c>
      <c r="P60" s="4">
        <v>290.91872236562199</v>
      </c>
      <c r="Q60" s="5">
        <v>0.56000000000000005</v>
      </c>
      <c r="R60" s="11">
        <f t="shared" si="0"/>
        <v>1.45459361182811E-3</v>
      </c>
      <c r="V60" s="5"/>
      <c r="W60" s="5"/>
    </row>
    <row r="61" spans="1:23" x14ac:dyDescent="0.25">
      <c r="A61" t="s">
        <v>34</v>
      </c>
      <c r="B61" s="1">
        <v>25</v>
      </c>
      <c r="C61" s="4">
        <v>500</v>
      </c>
      <c r="D61" s="1">
        <v>4</v>
      </c>
      <c r="E61" s="3">
        <v>62</v>
      </c>
      <c r="F61" s="5">
        <v>2.6933292113182898</v>
      </c>
      <c r="G61" s="1">
        <v>20</v>
      </c>
      <c r="H61" s="1">
        <v>40.5</v>
      </c>
      <c r="I61" s="1">
        <v>350</v>
      </c>
      <c r="J61" s="1">
        <v>450</v>
      </c>
      <c r="K61" s="1">
        <v>1964</v>
      </c>
      <c r="L61" s="1">
        <v>49612.5</v>
      </c>
      <c r="M61" s="4">
        <v>141.76646013770099</v>
      </c>
      <c r="N61" s="10">
        <v>3.9586797682035803E-2</v>
      </c>
      <c r="O61" s="5">
        <v>150</v>
      </c>
      <c r="P61" s="4">
        <v>210.83754926858899</v>
      </c>
      <c r="Q61" s="5">
        <v>0.23</v>
      </c>
      <c r="R61" s="11">
        <f t="shared" si="0"/>
        <v>1.054187746342945E-3</v>
      </c>
      <c r="V61" s="5"/>
      <c r="W61" s="5"/>
    </row>
    <row r="62" spans="1:23" x14ac:dyDescent="0.25">
      <c r="B62" s="1">
        <v>25</v>
      </c>
      <c r="C62" s="4">
        <v>500</v>
      </c>
      <c r="D62" s="1">
        <v>4</v>
      </c>
      <c r="E62" s="3">
        <v>62</v>
      </c>
      <c r="F62" s="5">
        <v>2.6933292113182898</v>
      </c>
      <c r="G62" s="1">
        <v>20</v>
      </c>
      <c r="H62" s="1">
        <v>40.5</v>
      </c>
      <c r="I62" s="1">
        <v>350</v>
      </c>
      <c r="J62" s="1">
        <v>450</v>
      </c>
      <c r="K62" s="1">
        <v>1964</v>
      </c>
      <c r="L62" s="1">
        <v>49612.5</v>
      </c>
      <c r="M62" s="4">
        <v>141.76646013770099</v>
      </c>
      <c r="N62" s="10">
        <v>3.9586797682035803E-2</v>
      </c>
      <c r="O62" s="5">
        <v>225</v>
      </c>
      <c r="P62" s="4">
        <v>316.25632390288399</v>
      </c>
      <c r="Q62" s="5">
        <v>0.35</v>
      </c>
      <c r="R62" s="11">
        <f t="shared" si="0"/>
        <v>1.5812816195144199E-3</v>
      </c>
      <c r="V62" s="5"/>
      <c r="W62" s="5"/>
    </row>
    <row r="63" spans="1:23" x14ac:dyDescent="0.25">
      <c r="B63" s="1">
        <v>25</v>
      </c>
      <c r="C63" s="4">
        <v>500</v>
      </c>
      <c r="D63" s="1">
        <v>4</v>
      </c>
      <c r="E63" s="3">
        <v>62</v>
      </c>
      <c r="F63" s="5">
        <v>2.6933292113182898</v>
      </c>
      <c r="G63" s="1">
        <v>20</v>
      </c>
      <c r="H63" s="1">
        <v>40.5</v>
      </c>
      <c r="I63" s="1">
        <v>350</v>
      </c>
      <c r="J63" s="1">
        <v>450</v>
      </c>
      <c r="K63" s="1">
        <v>1964</v>
      </c>
      <c r="L63" s="1">
        <v>49612.5</v>
      </c>
      <c r="M63" s="4">
        <v>141.76646013770099</v>
      </c>
      <c r="N63" s="10">
        <v>3.9586797682035803E-2</v>
      </c>
      <c r="O63" s="5">
        <v>300</v>
      </c>
      <c r="P63" s="4">
        <v>421.675098537179</v>
      </c>
      <c r="Q63" s="5">
        <v>0.49</v>
      </c>
      <c r="R63" s="11">
        <f t="shared" si="0"/>
        <v>2.1083754926858951E-3</v>
      </c>
      <c r="V63" s="5"/>
      <c r="W63" s="5"/>
    </row>
    <row r="64" spans="1:23" x14ac:dyDescent="0.25">
      <c r="B64" s="1">
        <v>25</v>
      </c>
      <c r="C64" s="4">
        <v>500</v>
      </c>
      <c r="D64" s="1">
        <v>4</v>
      </c>
      <c r="E64" s="3">
        <v>62</v>
      </c>
      <c r="F64" s="5">
        <v>2.6933292113182898</v>
      </c>
      <c r="G64" s="1">
        <v>20</v>
      </c>
      <c r="H64" s="1">
        <v>40.5</v>
      </c>
      <c r="I64" s="1">
        <v>350</v>
      </c>
      <c r="J64" s="1">
        <v>450</v>
      </c>
      <c r="K64" s="1">
        <v>1964</v>
      </c>
      <c r="L64" s="1">
        <v>49612.5</v>
      </c>
      <c r="M64" s="4">
        <v>141.76646013770099</v>
      </c>
      <c r="N64" s="10">
        <v>3.9586797682035803E-2</v>
      </c>
      <c r="O64" s="5">
        <v>375</v>
      </c>
      <c r="P64" s="4">
        <v>500</v>
      </c>
      <c r="Q64" s="5">
        <v>0.67</v>
      </c>
      <c r="R64" s="11">
        <f t="shared" si="0"/>
        <v>2.5000000000000001E-3</v>
      </c>
      <c r="V64" s="5"/>
      <c r="W64" s="5"/>
    </row>
    <row r="65" spans="1:23" x14ac:dyDescent="0.25">
      <c r="A65" t="s">
        <v>35</v>
      </c>
      <c r="B65" s="1">
        <v>25</v>
      </c>
      <c r="C65" s="4">
        <v>500</v>
      </c>
      <c r="D65" s="1">
        <v>4</v>
      </c>
      <c r="E65" s="3">
        <v>62</v>
      </c>
      <c r="F65" s="5">
        <v>2.6933292113182898</v>
      </c>
      <c r="G65" s="1">
        <v>20</v>
      </c>
      <c r="H65" s="1">
        <v>40.5</v>
      </c>
      <c r="I65" s="1">
        <v>350</v>
      </c>
      <c r="J65" s="1">
        <v>450</v>
      </c>
      <c r="K65" s="1">
        <v>1964</v>
      </c>
      <c r="L65" s="1">
        <v>49612.5</v>
      </c>
      <c r="M65" s="4">
        <v>141.76646013770099</v>
      </c>
      <c r="N65" s="10">
        <v>3.9586797682035803E-2</v>
      </c>
      <c r="O65" s="5">
        <v>150</v>
      </c>
      <c r="P65" s="4">
        <v>210.83754926858899</v>
      </c>
      <c r="Q65" s="5">
        <v>0.27</v>
      </c>
      <c r="R65" s="11">
        <f t="shared" si="0"/>
        <v>1.054187746342945E-3</v>
      </c>
      <c r="V65" s="5"/>
      <c r="W65" s="5"/>
    </row>
    <row r="66" spans="1:23" x14ac:dyDescent="0.25">
      <c r="B66" s="1">
        <v>25</v>
      </c>
      <c r="C66" s="4">
        <v>500</v>
      </c>
      <c r="D66" s="1">
        <v>4</v>
      </c>
      <c r="E66" s="3">
        <v>62</v>
      </c>
      <c r="F66" s="5">
        <v>2.6933292113182898</v>
      </c>
      <c r="G66" s="1">
        <v>20</v>
      </c>
      <c r="H66" s="1">
        <v>40.5</v>
      </c>
      <c r="I66" s="1">
        <v>350</v>
      </c>
      <c r="J66" s="1">
        <v>450</v>
      </c>
      <c r="K66" s="1">
        <v>1964</v>
      </c>
      <c r="L66" s="1">
        <v>49612.5</v>
      </c>
      <c r="M66" s="4">
        <v>141.76646013770099</v>
      </c>
      <c r="N66" s="10">
        <v>3.9586797682035803E-2</v>
      </c>
      <c r="O66" s="5">
        <v>225</v>
      </c>
      <c r="P66" s="4">
        <v>316.25632390288399</v>
      </c>
      <c r="Q66" s="5">
        <v>0.4</v>
      </c>
      <c r="R66" s="11">
        <f t="shared" si="0"/>
        <v>1.5812816195144199E-3</v>
      </c>
      <c r="V66" s="5"/>
      <c r="W66" s="5"/>
    </row>
    <row r="67" spans="1:23" x14ac:dyDescent="0.25">
      <c r="B67" s="1">
        <v>25</v>
      </c>
      <c r="C67" s="4">
        <v>500</v>
      </c>
      <c r="D67" s="1">
        <v>4</v>
      </c>
      <c r="E67" s="3">
        <v>62</v>
      </c>
      <c r="F67" s="5">
        <v>2.6933292113182898</v>
      </c>
      <c r="G67" s="1">
        <v>20</v>
      </c>
      <c r="H67" s="1">
        <v>40.5</v>
      </c>
      <c r="I67" s="1">
        <v>350</v>
      </c>
      <c r="J67" s="1">
        <v>450</v>
      </c>
      <c r="K67" s="1">
        <v>1964</v>
      </c>
      <c r="L67" s="1">
        <v>49612.5</v>
      </c>
      <c r="M67" s="4">
        <v>141.76646013770099</v>
      </c>
      <c r="N67" s="10">
        <v>3.9586797682035803E-2</v>
      </c>
      <c r="O67" s="5">
        <v>300</v>
      </c>
      <c r="P67" s="4">
        <v>421.675098537179</v>
      </c>
      <c r="Q67" s="5">
        <v>0.53</v>
      </c>
      <c r="R67" s="11">
        <f t="shared" ref="R67:R130" si="1">P67/200000</f>
        <v>2.1083754926858951E-3</v>
      </c>
      <c r="V67" s="5"/>
      <c r="W67" s="5"/>
    </row>
    <row r="68" spans="1:23" x14ac:dyDescent="0.25">
      <c r="B68" s="1">
        <v>25</v>
      </c>
      <c r="C68" s="4">
        <v>500</v>
      </c>
      <c r="D68" s="1">
        <v>4</v>
      </c>
      <c r="E68" s="3">
        <v>62</v>
      </c>
      <c r="F68" s="5">
        <v>2.6933292113182898</v>
      </c>
      <c r="G68" s="1">
        <v>20</v>
      </c>
      <c r="H68" s="1">
        <v>40.5</v>
      </c>
      <c r="I68" s="1">
        <v>350</v>
      </c>
      <c r="J68" s="1">
        <v>450</v>
      </c>
      <c r="K68" s="1">
        <v>1964</v>
      </c>
      <c r="L68" s="1">
        <v>49612.5</v>
      </c>
      <c r="M68" s="4">
        <v>141.76646013770099</v>
      </c>
      <c r="N68" s="10">
        <v>3.9586797682035803E-2</v>
      </c>
      <c r="O68" s="5">
        <v>375</v>
      </c>
      <c r="P68" s="4">
        <v>500</v>
      </c>
      <c r="Q68" s="5">
        <v>0.72</v>
      </c>
      <c r="R68" s="11">
        <f t="shared" si="1"/>
        <v>2.5000000000000001E-3</v>
      </c>
      <c r="V68" s="5"/>
      <c r="W68" s="5"/>
    </row>
    <row r="69" spans="1:23" x14ac:dyDescent="0.25">
      <c r="A69" t="s">
        <v>36</v>
      </c>
      <c r="B69" s="1">
        <v>25</v>
      </c>
      <c r="C69" s="4">
        <v>500</v>
      </c>
      <c r="D69" s="1">
        <v>4</v>
      </c>
      <c r="E69" s="3">
        <v>28.7</v>
      </c>
      <c r="F69" s="5">
        <v>2.6933292113182898</v>
      </c>
      <c r="G69" s="1">
        <v>70</v>
      </c>
      <c r="H69" s="1">
        <v>94.5</v>
      </c>
      <c r="I69" s="1">
        <v>350</v>
      </c>
      <c r="J69" s="1">
        <v>450</v>
      </c>
      <c r="K69" s="1">
        <v>1964</v>
      </c>
      <c r="L69" s="1">
        <v>76825</v>
      </c>
      <c r="M69" s="4">
        <v>130.081813066926</v>
      </c>
      <c r="N69" s="10">
        <v>2.5564594858444499E-2</v>
      </c>
      <c r="O69" s="5">
        <v>75</v>
      </c>
      <c r="P69" s="4">
        <v>122.340765829723</v>
      </c>
      <c r="Q69" s="5">
        <v>0.3</v>
      </c>
      <c r="R69" s="11">
        <f t="shared" si="1"/>
        <v>6.1170382914861501E-4</v>
      </c>
      <c r="V69" s="5"/>
      <c r="W69" s="5"/>
    </row>
    <row r="70" spans="1:23" x14ac:dyDescent="0.25">
      <c r="B70" s="1">
        <v>25</v>
      </c>
      <c r="C70" s="4">
        <v>500</v>
      </c>
      <c r="D70" s="1">
        <v>4</v>
      </c>
      <c r="E70" s="3">
        <v>28.7</v>
      </c>
      <c r="F70" s="5">
        <v>2.6933292113182898</v>
      </c>
      <c r="G70" s="1">
        <v>70</v>
      </c>
      <c r="H70" s="1">
        <v>94.5</v>
      </c>
      <c r="I70" s="1">
        <v>350</v>
      </c>
      <c r="J70" s="1">
        <v>450</v>
      </c>
      <c r="K70" s="1">
        <v>1964</v>
      </c>
      <c r="L70" s="1">
        <v>76825</v>
      </c>
      <c r="M70" s="4">
        <v>130.081813066926</v>
      </c>
      <c r="N70" s="10">
        <v>2.5564594858444499E-2</v>
      </c>
      <c r="O70" s="5">
        <v>150</v>
      </c>
      <c r="P70" s="4">
        <v>244.68153165944599</v>
      </c>
      <c r="Q70" s="5">
        <v>0.56999999999999995</v>
      </c>
      <c r="R70" s="11">
        <f t="shared" si="1"/>
        <v>1.22340765829723E-3</v>
      </c>
      <c r="V70" s="5"/>
      <c r="W70" s="5"/>
    </row>
    <row r="71" spans="1:23" x14ac:dyDescent="0.25">
      <c r="A71" t="s">
        <v>37</v>
      </c>
      <c r="B71" s="1">
        <v>25</v>
      </c>
      <c r="C71" s="4">
        <v>500</v>
      </c>
      <c r="D71" s="1">
        <v>4</v>
      </c>
      <c r="E71" s="3">
        <v>28.7</v>
      </c>
      <c r="F71" s="5">
        <v>2.6933292113182898</v>
      </c>
      <c r="G71" s="1">
        <v>70</v>
      </c>
      <c r="H71" s="1">
        <v>90.5</v>
      </c>
      <c r="I71" s="1">
        <v>350</v>
      </c>
      <c r="J71" s="1">
        <v>450</v>
      </c>
      <c r="K71" s="1">
        <v>1964</v>
      </c>
      <c r="L71" s="1">
        <v>75425</v>
      </c>
      <c r="M71" s="4">
        <v>130.975130551886</v>
      </c>
      <c r="N71" s="10">
        <v>2.60391117003646E-2</v>
      </c>
      <c r="O71" s="5">
        <v>75</v>
      </c>
      <c r="P71" s="4">
        <v>120.90671371296</v>
      </c>
      <c r="Q71" s="5">
        <v>0.26</v>
      </c>
      <c r="R71" s="11">
        <f t="shared" si="1"/>
        <v>6.0453356856480004E-4</v>
      </c>
      <c r="V71" s="5"/>
      <c r="W71" s="5"/>
    </row>
    <row r="72" spans="1:23" x14ac:dyDescent="0.25">
      <c r="B72" s="1">
        <v>25</v>
      </c>
      <c r="C72" s="4">
        <v>500</v>
      </c>
      <c r="D72" s="1">
        <v>4</v>
      </c>
      <c r="E72" s="3">
        <v>28.7</v>
      </c>
      <c r="F72" s="5">
        <v>2.6933292113182898</v>
      </c>
      <c r="G72" s="1">
        <v>70</v>
      </c>
      <c r="H72" s="1">
        <v>90.5</v>
      </c>
      <c r="I72" s="1">
        <v>350</v>
      </c>
      <c r="J72" s="1">
        <v>450</v>
      </c>
      <c r="K72" s="1">
        <v>1964</v>
      </c>
      <c r="L72" s="1">
        <v>75425</v>
      </c>
      <c r="M72" s="4">
        <v>130.975130551886</v>
      </c>
      <c r="N72" s="10">
        <v>2.60391117003646E-2</v>
      </c>
      <c r="O72" s="5">
        <v>150</v>
      </c>
      <c r="P72" s="4">
        <v>241.81342742592</v>
      </c>
      <c r="Q72" s="5">
        <v>0.6</v>
      </c>
      <c r="R72" s="11">
        <f t="shared" si="1"/>
        <v>1.2090671371296001E-3</v>
      </c>
      <c r="V72" s="5"/>
      <c r="W72" s="5"/>
    </row>
    <row r="73" spans="1:23" x14ac:dyDescent="0.25">
      <c r="A73" t="s">
        <v>38</v>
      </c>
      <c r="B73" s="1">
        <v>25</v>
      </c>
      <c r="C73" s="4">
        <v>500</v>
      </c>
      <c r="D73" s="1">
        <v>4</v>
      </c>
      <c r="E73" s="3">
        <v>28.7</v>
      </c>
      <c r="F73" s="5">
        <v>2.6933292113182898</v>
      </c>
      <c r="G73" s="1">
        <v>70</v>
      </c>
      <c r="H73" s="1">
        <v>90.5</v>
      </c>
      <c r="I73" s="1">
        <v>350</v>
      </c>
      <c r="J73" s="1">
        <v>450</v>
      </c>
      <c r="K73" s="1">
        <v>1964</v>
      </c>
      <c r="L73" s="1">
        <v>75425</v>
      </c>
      <c r="M73" s="4">
        <v>130.975130551886</v>
      </c>
      <c r="N73" s="10">
        <v>2.60391117003646E-2</v>
      </c>
      <c r="O73" s="5">
        <v>75</v>
      </c>
      <c r="P73" s="4">
        <v>120.90671371296</v>
      </c>
      <c r="Q73" s="5">
        <v>0.27</v>
      </c>
      <c r="R73" s="11">
        <f t="shared" si="1"/>
        <v>6.0453356856480004E-4</v>
      </c>
      <c r="V73" s="5"/>
      <c r="W73" s="5"/>
    </row>
    <row r="74" spans="1:23" x14ac:dyDescent="0.25">
      <c r="B74" s="1">
        <v>25</v>
      </c>
      <c r="C74" s="4">
        <v>500</v>
      </c>
      <c r="D74" s="1">
        <v>4</v>
      </c>
      <c r="E74" s="3">
        <v>28.7</v>
      </c>
      <c r="F74" s="5">
        <v>2.6933292113182898</v>
      </c>
      <c r="G74" s="1">
        <v>70</v>
      </c>
      <c r="H74" s="1">
        <v>90.5</v>
      </c>
      <c r="I74" s="1">
        <v>350</v>
      </c>
      <c r="J74" s="1">
        <v>450</v>
      </c>
      <c r="K74" s="1">
        <v>1964</v>
      </c>
      <c r="L74" s="1">
        <v>75425</v>
      </c>
      <c r="M74" s="4">
        <v>130.975130551886</v>
      </c>
      <c r="N74" s="10">
        <v>2.60391117003646E-2</v>
      </c>
      <c r="O74" s="5">
        <v>150</v>
      </c>
      <c r="P74" s="4">
        <v>241.81342742592</v>
      </c>
      <c r="Q74" s="5">
        <v>0.59</v>
      </c>
      <c r="R74" s="11">
        <f t="shared" si="1"/>
        <v>1.2090671371296001E-3</v>
      </c>
      <c r="V74" s="5"/>
      <c r="W74" s="5"/>
    </row>
    <row r="75" spans="1:23" x14ac:dyDescent="0.25">
      <c r="A75" t="s">
        <v>39</v>
      </c>
      <c r="B75" s="1">
        <v>9.52</v>
      </c>
      <c r="C75" s="4">
        <v>434</v>
      </c>
      <c r="D75" s="1">
        <v>3</v>
      </c>
      <c r="E75" s="3">
        <v>22.2</v>
      </c>
      <c r="F75" s="5">
        <v>3.5641600019995101</v>
      </c>
      <c r="G75" s="1">
        <v>20.64</v>
      </c>
      <c r="H75" s="1">
        <v>25.4</v>
      </c>
      <c r="I75" s="1">
        <v>114.3</v>
      </c>
      <c r="J75" s="1">
        <v>228.6</v>
      </c>
      <c r="K75" s="1">
        <v>212.9</v>
      </c>
      <c r="L75" s="1">
        <v>8343.9</v>
      </c>
      <c r="M75" s="4">
        <v>56.390968153099003</v>
      </c>
      <c r="N75" s="10">
        <v>2.5515646160668301E-2</v>
      </c>
      <c r="O75" s="5">
        <v>11.6</v>
      </c>
      <c r="P75" s="4">
        <v>295.47063165326</v>
      </c>
      <c r="Q75" s="5">
        <v>0.15</v>
      </c>
      <c r="R75" s="11">
        <f t="shared" si="1"/>
        <v>1.4773531582663001E-3</v>
      </c>
      <c r="V75" s="5"/>
      <c r="W75" s="5"/>
    </row>
    <row r="76" spans="1:23" x14ac:dyDescent="0.25">
      <c r="B76" s="1">
        <v>9.52</v>
      </c>
      <c r="C76" s="4">
        <v>434</v>
      </c>
      <c r="D76" s="1">
        <v>3</v>
      </c>
      <c r="E76" s="3">
        <v>22.2</v>
      </c>
      <c r="F76" s="5">
        <v>3.5641600019995101</v>
      </c>
      <c r="G76" s="1">
        <v>20.64</v>
      </c>
      <c r="H76" s="1">
        <v>25.4</v>
      </c>
      <c r="I76" s="1">
        <v>114.3</v>
      </c>
      <c r="J76" s="1">
        <v>228.6</v>
      </c>
      <c r="K76" s="1">
        <v>212.9</v>
      </c>
      <c r="L76" s="1">
        <v>8343.9</v>
      </c>
      <c r="M76" s="4">
        <v>56.390968153099003</v>
      </c>
      <c r="N76" s="10">
        <v>2.5515646160668301E-2</v>
      </c>
      <c r="O76" s="5">
        <v>13.5</v>
      </c>
      <c r="P76" s="4">
        <v>343.866683389569</v>
      </c>
      <c r="Q76" s="5">
        <v>0.17</v>
      </c>
      <c r="R76" s="11">
        <f t="shared" si="1"/>
        <v>1.7193334169478449E-3</v>
      </c>
      <c r="V76" s="5"/>
      <c r="W76" s="5"/>
    </row>
    <row r="77" spans="1:23" x14ac:dyDescent="0.25">
      <c r="A77" t="s">
        <v>40</v>
      </c>
      <c r="B77" s="1">
        <v>12.7</v>
      </c>
      <c r="C77" s="4">
        <v>434</v>
      </c>
      <c r="D77" s="1">
        <v>3</v>
      </c>
      <c r="E77" s="3">
        <v>19.05</v>
      </c>
      <c r="F77" s="5">
        <v>3.9766081638229398</v>
      </c>
      <c r="G77" s="1">
        <v>19.05</v>
      </c>
      <c r="H77" s="1">
        <v>25.4</v>
      </c>
      <c r="I77" s="1">
        <v>114.3</v>
      </c>
      <c r="J77" s="1">
        <v>228.6</v>
      </c>
      <c r="K77" s="1">
        <v>387.1</v>
      </c>
      <c r="L77" s="1">
        <v>10161.27</v>
      </c>
      <c r="M77" s="4">
        <v>70.373657577616498</v>
      </c>
      <c r="N77" s="10">
        <v>3.8095631746819097E-2</v>
      </c>
      <c r="O77" s="5">
        <v>21.1</v>
      </c>
      <c r="P77" s="4">
        <v>303.25602523129697</v>
      </c>
      <c r="Q77" s="5">
        <v>0.15</v>
      </c>
      <c r="R77" s="11">
        <f t="shared" si="1"/>
        <v>1.5162801261564848E-3</v>
      </c>
      <c r="V77" s="5"/>
      <c r="W77" s="5"/>
    </row>
    <row r="78" spans="1:23" x14ac:dyDescent="0.25">
      <c r="B78" s="1">
        <v>12.7</v>
      </c>
      <c r="C78" s="4">
        <v>434</v>
      </c>
      <c r="D78" s="1">
        <v>3</v>
      </c>
      <c r="E78" s="3">
        <v>19.05</v>
      </c>
      <c r="F78" s="5">
        <v>3.9766081638229398</v>
      </c>
      <c r="G78" s="1">
        <v>19.05</v>
      </c>
      <c r="H78" s="1">
        <v>25.4</v>
      </c>
      <c r="I78" s="1">
        <v>114.3</v>
      </c>
      <c r="J78" s="1">
        <v>228.6</v>
      </c>
      <c r="K78" s="1">
        <v>387.1</v>
      </c>
      <c r="L78" s="1">
        <v>10161.27</v>
      </c>
      <c r="M78" s="4">
        <v>70.373657577616498</v>
      </c>
      <c r="N78" s="10">
        <v>3.8095631746819097E-2</v>
      </c>
      <c r="O78" s="5">
        <v>24.2</v>
      </c>
      <c r="P78" s="4">
        <v>347.810227990398</v>
      </c>
      <c r="Q78" s="5">
        <v>0.17</v>
      </c>
      <c r="R78" s="11">
        <f t="shared" si="1"/>
        <v>1.73905113995199E-3</v>
      </c>
      <c r="V78" s="5"/>
      <c r="W78" s="5"/>
    </row>
    <row r="79" spans="1:23" x14ac:dyDescent="0.25">
      <c r="B79" s="1">
        <v>12.7</v>
      </c>
      <c r="C79" s="4">
        <v>434</v>
      </c>
      <c r="D79" s="1">
        <v>3</v>
      </c>
      <c r="E79" s="3">
        <v>19.05</v>
      </c>
      <c r="F79" s="5">
        <v>3.9766081638229398</v>
      </c>
      <c r="G79" s="1">
        <v>19.05</v>
      </c>
      <c r="H79" s="1">
        <v>25.4</v>
      </c>
      <c r="I79" s="1">
        <v>114.3</v>
      </c>
      <c r="J79" s="1">
        <v>228.6</v>
      </c>
      <c r="K79" s="1">
        <v>387.1</v>
      </c>
      <c r="L79" s="1">
        <v>10161.27</v>
      </c>
      <c r="M79" s="4">
        <v>70.373657577616498</v>
      </c>
      <c r="N79" s="10">
        <v>3.8095631746819097E-2</v>
      </c>
      <c r="O79" s="5">
        <v>28.6</v>
      </c>
      <c r="P79" s="4">
        <v>411.048451261379</v>
      </c>
      <c r="Q79" s="5">
        <v>0.2</v>
      </c>
      <c r="R79" s="11">
        <f t="shared" si="1"/>
        <v>2.0552422563068951E-3</v>
      </c>
      <c r="V79" s="5"/>
      <c r="W79" s="5"/>
    </row>
    <row r="80" spans="1:23" x14ac:dyDescent="0.25">
      <c r="A80" t="s">
        <v>41</v>
      </c>
      <c r="B80" s="1">
        <v>15.9</v>
      </c>
      <c r="C80" s="4">
        <v>540</v>
      </c>
      <c r="D80" s="1">
        <v>3</v>
      </c>
      <c r="E80" s="3">
        <v>15.9</v>
      </c>
      <c r="F80" s="5">
        <v>3.9766081638229398</v>
      </c>
      <c r="G80" s="1">
        <v>17.46</v>
      </c>
      <c r="H80" s="1">
        <v>25.4</v>
      </c>
      <c r="I80" s="1">
        <v>114.3</v>
      </c>
      <c r="J80" s="1">
        <v>228.6</v>
      </c>
      <c r="K80" s="1">
        <v>600</v>
      </c>
      <c r="L80" s="1">
        <v>10161.27</v>
      </c>
      <c r="M80" s="4">
        <v>83.256822362436296</v>
      </c>
      <c r="N80" s="10">
        <v>5.9047737143093297E-2</v>
      </c>
      <c r="O80" s="5">
        <v>30.5</v>
      </c>
      <c r="P80" s="4">
        <v>289.73492291565401</v>
      </c>
      <c r="Q80" s="5">
        <v>0.16</v>
      </c>
      <c r="R80" s="11">
        <f t="shared" si="1"/>
        <v>1.4486746145782701E-3</v>
      </c>
      <c r="V80" s="5"/>
      <c r="W80" s="5"/>
    </row>
    <row r="81" spans="1:23" x14ac:dyDescent="0.25">
      <c r="B81" s="1">
        <v>15.9</v>
      </c>
      <c r="C81" s="4">
        <v>540</v>
      </c>
      <c r="D81" s="1">
        <v>3</v>
      </c>
      <c r="E81" s="3">
        <v>15.9</v>
      </c>
      <c r="F81" s="5">
        <v>3.9766081638229398</v>
      </c>
      <c r="G81" s="1">
        <v>17.46</v>
      </c>
      <c r="H81" s="1">
        <v>25.4</v>
      </c>
      <c r="I81" s="1">
        <v>114.3</v>
      </c>
      <c r="J81" s="1">
        <v>228.6</v>
      </c>
      <c r="K81" s="1">
        <v>600</v>
      </c>
      <c r="L81" s="1">
        <v>10161.27</v>
      </c>
      <c r="M81" s="4">
        <v>83.256822362436296</v>
      </c>
      <c r="N81" s="10">
        <v>5.9047737143093297E-2</v>
      </c>
      <c r="O81" s="5">
        <v>40</v>
      </c>
      <c r="P81" s="4">
        <v>379.98022677462899</v>
      </c>
      <c r="Q81" s="5">
        <v>0.21</v>
      </c>
      <c r="R81" s="11">
        <f t="shared" si="1"/>
        <v>1.8999011338731448E-3</v>
      </c>
      <c r="V81" s="5"/>
      <c r="W81" s="5"/>
    </row>
    <row r="82" spans="1:23" x14ac:dyDescent="0.25">
      <c r="A82" t="s">
        <v>42</v>
      </c>
      <c r="B82" s="1">
        <v>16</v>
      </c>
      <c r="C82" s="4">
        <v>500</v>
      </c>
      <c r="D82" s="1">
        <v>2</v>
      </c>
      <c r="E82" s="3">
        <v>138</v>
      </c>
      <c r="F82" s="5">
        <v>3.2690000000000001</v>
      </c>
      <c r="G82" s="1">
        <v>40</v>
      </c>
      <c r="H82" s="1">
        <v>48</v>
      </c>
      <c r="I82" s="1">
        <v>250</v>
      </c>
      <c r="J82" s="1">
        <v>348</v>
      </c>
      <c r="K82" s="1">
        <v>400</v>
      </c>
      <c r="L82" s="1">
        <v>32000</v>
      </c>
      <c r="M82" s="4">
        <v>73.386285342529106</v>
      </c>
      <c r="N82" s="10">
        <v>1.2500000000000001E-2</v>
      </c>
      <c r="O82" s="5">
        <v>20.420000000000002</v>
      </c>
      <c r="P82" s="4">
        <v>185.27396447016599</v>
      </c>
      <c r="Q82" s="5">
        <v>0.15</v>
      </c>
      <c r="R82" s="11">
        <f t="shared" si="1"/>
        <v>9.2636982235082992E-4</v>
      </c>
      <c r="V82" s="5"/>
      <c r="W82" s="5"/>
    </row>
    <row r="83" spans="1:23" x14ac:dyDescent="0.25">
      <c r="B83" s="1">
        <v>16</v>
      </c>
      <c r="C83" s="4">
        <v>500</v>
      </c>
      <c r="D83" s="1">
        <v>2</v>
      </c>
      <c r="E83" s="3">
        <v>138</v>
      </c>
      <c r="F83" s="5">
        <v>3.2690000000000001</v>
      </c>
      <c r="G83" s="1">
        <v>40</v>
      </c>
      <c r="H83" s="1">
        <v>48</v>
      </c>
      <c r="I83" s="1">
        <v>250</v>
      </c>
      <c r="J83" s="1">
        <v>348</v>
      </c>
      <c r="K83" s="1">
        <v>400</v>
      </c>
      <c r="L83" s="1">
        <v>32000</v>
      </c>
      <c r="M83" s="4">
        <v>73.386285342529106</v>
      </c>
      <c r="N83" s="10">
        <v>1.2500000000000001E-2</v>
      </c>
      <c r="O83" s="5">
        <v>23.34</v>
      </c>
      <c r="P83" s="4">
        <v>211.76759699969</v>
      </c>
      <c r="Q83" s="5">
        <v>0.2</v>
      </c>
      <c r="R83" s="11">
        <f t="shared" si="1"/>
        <v>1.05883798499845E-3</v>
      </c>
      <c r="V83" s="5"/>
      <c r="W83" s="5"/>
    </row>
    <row r="84" spans="1:23" x14ac:dyDescent="0.25">
      <c r="B84" s="1">
        <v>16</v>
      </c>
      <c r="C84" s="4">
        <v>500</v>
      </c>
      <c r="D84" s="1">
        <v>2</v>
      </c>
      <c r="E84" s="3">
        <v>138</v>
      </c>
      <c r="F84" s="5">
        <v>3.2690000000000001</v>
      </c>
      <c r="G84" s="1">
        <v>40</v>
      </c>
      <c r="H84" s="1">
        <v>48</v>
      </c>
      <c r="I84" s="1">
        <v>250</v>
      </c>
      <c r="J84" s="1">
        <v>348</v>
      </c>
      <c r="K84" s="1">
        <v>400</v>
      </c>
      <c r="L84" s="1">
        <v>32000</v>
      </c>
      <c r="M84" s="4">
        <v>73.386285342529106</v>
      </c>
      <c r="N84" s="10">
        <v>1.2500000000000001E-2</v>
      </c>
      <c r="O84" s="5">
        <v>26.26</v>
      </c>
      <c r="P84" s="4">
        <v>238.26122952921401</v>
      </c>
      <c r="Q84" s="5">
        <v>0.25</v>
      </c>
      <c r="R84" s="11">
        <f t="shared" si="1"/>
        <v>1.1913061476460701E-3</v>
      </c>
      <c r="V84" s="5"/>
      <c r="W84" s="5"/>
    </row>
    <row r="85" spans="1:23" x14ac:dyDescent="0.25">
      <c r="B85" s="1">
        <v>16</v>
      </c>
      <c r="C85" s="4">
        <v>500</v>
      </c>
      <c r="D85" s="1">
        <v>2</v>
      </c>
      <c r="E85" s="3">
        <v>138</v>
      </c>
      <c r="F85" s="5">
        <v>3.2690000000000001</v>
      </c>
      <c r="G85" s="1">
        <v>40</v>
      </c>
      <c r="H85" s="1">
        <v>48</v>
      </c>
      <c r="I85" s="1">
        <v>250</v>
      </c>
      <c r="J85" s="1">
        <v>348</v>
      </c>
      <c r="K85" s="1">
        <v>400</v>
      </c>
      <c r="L85" s="1">
        <v>32000</v>
      </c>
      <c r="M85" s="4">
        <v>73.386285342529106</v>
      </c>
      <c r="N85" s="10">
        <v>1.2500000000000001E-2</v>
      </c>
      <c r="O85" s="5">
        <v>29.175000000000001</v>
      </c>
      <c r="P85" s="4">
        <v>264.70949624961202</v>
      </c>
      <c r="Q85" s="5">
        <v>0.28000000000000003</v>
      </c>
      <c r="R85" s="11">
        <f t="shared" si="1"/>
        <v>1.3235474812480601E-3</v>
      </c>
      <c r="V85" s="5"/>
      <c r="W85" s="5"/>
    </row>
    <row r="86" spans="1:23" x14ac:dyDescent="0.25">
      <c r="B86" s="1">
        <v>16</v>
      </c>
      <c r="C86" s="4">
        <v>500</v>
      </c>
      <c r="D86" s="1">
        <v>2</v>
      </c>
      <c r="E86" s="3">
        <v>138</v>
      </c>
      <c r="F86" s="5">
        <v>3.2690000000000001</v>
      </c>
      <c r="G86" s="1">
        <v>40</v>
      </c>
      <c r="H86" s="1">
        <v>48</v>
      </c>
      <c r="I86" s="1">
        <v>250</v>
      </c>
      <c r="J86" s="1">
        <v>348</v>
      </c>
      <c r="K86" s="1">
        <v>400</v>
      </c>
      <c r="L86" s="1">
        <v>32000</v>
      </c>
      <c r="M86" s="4">
        <v>73.386285342529106</v>
      </c>
      <c r="N86" s="10">
        <v>1.2500000000000001E-2</v>
      </c>
      <c r="O86" s="5">
        <v>32.090000000000003</v>
      </c>
      <c r="P86" s="4">
        <v>291.15776297001099</v>
      </c>
      <c r="Q86" s="5">
        <v>0.28000000000000003</v>
      </c>
      <c r="R86" s="11">
        <f t="shared" si="1"/>
        <v>1.455788814850055E-3</v>
      </c>
      <c r="V86" s="5"/>
      <c r="W86" s="5"/>
    </row>
    <row r="87" spans="1:23" x14ac:dyDescent="0.25">
      <c r="B87" s="1">
        <v>16</v>
      </c>
      <c r="C87" s="4">
        <v>500</v>
      </c>
      <c r="D87" s="1">
        <v>2</v>
      </c>
      <c r="E87" s="3">
        <v>138</v>
      </c>
      <c r="F87" s="5">
        <v>3.2690000000000001</v>
      </c>
      <c r="G87" s="1">
        <v>40</v>
      </c>
      <c r="H87" s="1">
        <v>48</v>
      </c>
      <c r="I87" s="1">
        <v>250</v>
      </c>
      <c r="J87" s="1">
        <v>348</v>
      </c>
      <c r="K87" s="1">
        <v>400</v>
      </c>
      <c r="L87" s="1">
        <v>32000</v>
      </c>
      <c r="M87" s="4">
        <v>73.386285342529106</v>
      </c>
      <c r="N87" s="10">
        <v>1.2500000000000001E-2</v>
      </c>
      <c r="O87" s="5">
        <v>35.01</v>
      </c>
      <c r="P87" s="4">
        <v>317.651395499535</v>
      </c>
      <c r="Q87" s="5">
        <v>0.3</v>
      </c>
      <c r="R87" s="11">
        <f t="shared" si="1"/>
        <v>1.5882569774976749E-3</v>
      </c>
      <c r="V87" s="5"/>
      <c r="W87" s="5"/>
    </row>
    <row r="88" spans="1:23" x14ac:dyDescent="0.25">
      <c r="B88" s="1">
        <v>16</v>
      </c>
      <c r="C88" s="4">
        <v>500</v>
      </c>
      <c r="D88" s="1">
        <v>2</v>
      </c>
      <c r="E88" s="3">
        <v>138</v>
      </c>
      <c r="F88" s="5">
        <v>3.2690000000000001</v>
      </c>
      <c r="G88" s="1">
        <v>40</v>
      </c>
      <c r="H88" s="1">
        <v>48</v>
      </c>
      <c r="I88" s="1">
        <v>250</v>
      </c>
      <c r="J88" s="1">
        <v>348</v>
      </c>
      <c r="K88" s="1">
        <v>400</v>
      </c>
      <c r="L88" s="1">
        <v>32000</v>
      </c>
      <c r="M88" s="4">
        <v>73.386285342529106</v>
      </c>
      <c r="N88" s="10">
        <v>1.2500000000000001E-2</v>
      </c>
      <c r="O88" s="5">
        <v>37.93</v>
      </c>
      <c r="P88" s="4">
        <v>344.14502802905901</v>
      </c>
      <c r="Q88" s="5">
        <v>0.33</v>
      </c>
      <c r="R88" s="11">
        <f t="shared" si="1"/>
        <v>1.7207251401452951E-3</v>
      </c>
      <c r="V88" s="5"/>
      <c r="W88" s="5"/>
    </row>
    <row r="89" spans="1:23" x14ac:dyDescent="0.25">
      <c r="B89" s="1">
        <v>16</v>
      </c>
      <c r="C89" s="4">
        <v>500</v>
      </c>
      <c r="D89" s="1">
        <v>2</v>
      </c>
      <c r="E89" s="3">
        <v>138</v>
      </c>
      <c r="F89" s="5">
        <v>3.2690000000000001</v>
      </c>
      <c r="G89" s="1">
        <v>40</v>
      </c>
      <c r="H89" s="1">
        <v>48</v>
      </c>
      <c r="I89" s="1">
        <v>250</v>
      </c>
      <c r="J89" s="1">
        <v>348</v>
      </c>
      <c r="K89" s="1">
        <v>400</v>
      </c>
      <c r="L89" s="1">
        <v>32000</v>
      </c>
      <c r="M89" s="4">
        <v>73.386285342529106</v>
      </c>
      <c r="N89" s="10">
        <v>1.2500000000000001E-2</v>
      </c>
      <c r="O89" s="5">
        <v>40.840000000000003</v>
      </c>
      <c r="P89" s="4">
        <v>370.54792894033199</v>
      </c>
      <c r="Q89" s="5">
        <v>0.33</v>
      </c>
      <c r="R89" s="11">
        <f t="shared" si="1"/>
        <v>1.8527396447016598E-3</v>
      </c>
      <c r="V89" s="5"/>
      <c r="W89" s="5"/>
    </row>
    <row r="90" spans="1:23" x14ac:dyDescent="0.25">
      <c r="A90" t="s">
        <v>43</v>
      </c>
      <c r="B90" s="1">
        <v>16</v>
      </c>
      <c r="C90" s="4">
        <v>500</v>
      </c>
      <c r="D90" s="1">
        <v>2</v>
      </c>
      <c r="E90" s="3">
        <v>138</v>
      </c>
      <c r="F90" s="5">
        <v>3.2690000000000001</v>
      </c>
      <c r="G90" s="1">
        <v>40</v>
      </c>
      <c r="H90" s="1">
        <v>48</v>
      </c>
      <c r="I90" s="1">
        <v>250</v>
      </c>
      <c r="J90" s="1">
        <v>348</v>
      </c>
      <c r="K90" s="1">
        <v>400</v>
      </c>
      <c r="L90" s="1">
        <v>32000</v>
      </c>
      <c r="M90" s="4">
        <v>73.386285342529106</v>
      </c>
      <c r="N90" s="10">
        <v>1.2500000000000001E-2</v>
      </c>
      <c r="O90" s="5">
        <v>23.34</v>
      </c>
      <c r="P90" s="4">
        <v>211.76759699969</v>
      </c>
      <c r="Q90" s="5">
        <v>0.15</v>
      </c>
      <c r="R90" s="11">
        <f t="shared" si="1"/>
        <v>1.05883798499845E-3</v>
      </c>
      <c r="V90" s="5"/>
      <c r="W90" s="5"/>
    </row>
    <row r="91" spans="1:23" x14ac:dyDescent="0.25">
      <c r="B91" s="1">
        <v>16</v>
      </c>
      <c r="C91" s="4">
        <v>500</v>
      </c>
      <c r="D91" s="1">
        <v>2</v>
      </c>
      <c r="E91" s="3">
        <v>138</v>
      </c>
      <c r="F91" s="5">
        <v>3.2690000000000001</v>
      </c>
      <c r="G91" s="1">
        <v>40</v>
      </c>
      <c r="H91" s="1">
        <v>48</v>
      </c>
      <c r="I91" s="1">
        <v>250</v>
      </c>
      <c r="J91" s="1">
        <v>348</v>
      </c>
      <c r="K91" s="1">
        <v>400</v>
      </c>
      <c r="L91" s="1">
        <v>32000</v>
      </c>
      <c r="M91" s="4">
        <v>73.386285342529106</v>
      </c>
      <c r="N91" s="10">
        <v>1.2500000000000001E-2</v>
      </c>
      <c r="O91" s="5">
        <v>26.26</v>
      </c>
      <c r="P91" s="4">
        <v>238.26122952921401</v>
      </c>
      <c r="Q91" s="5">
        <v>0.18</v>
      </c>
      <c r="R91" s="11">
        <f t="shared" si="1"/>
        <v>1.1913061476460701E-3</v>
      </c>
      <c r="V91" s="5"/>
      <c r="W91" s="5"/>
    </row>
    <row r="92" spans="1:23" x14ac:dyDescent="0.25">
      <c r="B92" s="1">
        <v>16</v>
      </c>
      <c r="C92" s="4">
        <v>500</v>
      </c>
      <c r="D92" s="1">
        <v>2</v>
      </c>
      <c r="E92" s="3">
        <v>138</v>
      </c>
      <c r="F92" s="5">
        <v>3.2690000000000001</v>
      </c>
      <c r="G92" s="1">
        <v>40</v>
      </c>
      <c r="H92" s="1">
        <v>48</v>
      </c>
      <c r="I92" s="1">
        <v>250</v>
      </c>
      <c r="J92" s="1">
        <v>348</v>
      </c>
      <c r="K92" s="1">
        <v>400</v>
      </c>
      <c r="L92" s="1">
        <v>32000</v>
      </c>
      <c r="M92" s="4">
        <v>73.386285342529106</v>
      </c>
      <c r="N92" s="10">
        <v>1.2500000000000001E-2</v>
      </c>
      <c r="O92" s="5">
        <v>29.175000000000001</v>
      </c>
      <c r="P92" s="4">
        <v>264.70949624961202</v>
      </c>
      <c r="Q92" s="5">
        <v>0.2</v>
      </c>
      <c r="R92" s="11">
        <f t="shared" si="1"/>
        <v>1.3235474812480601E-3</v>
      </c>
      <c r="V92" s="5"/>
      <c r="W92" s="5"/>
    </row>
    <row r="93" spans="1:23" x14ac:dyDescent="0.25">
      <c r="B93" s="1">
        <v>16</v>
      </c>
      <c r="C93" s="4">
        <v>500</v>
      </c>
      <c r="D93" s="1">
        <v>2</v>
      </c>
      <c r="E93" s="3">
        <v>138</v>
      </c>
      <c r="F93" s="5">
        <v>3.2690000000000001</v>
      </c>
      <c r="G93" s="1">
        <v>40</v>
      </c>
      <c r="H93" s="1">
        <v>48</v>
      </c>
      <c r="I93" s="1">
        <v>250</v>
      </c>
      <c r="J93" s="1">
        <v>348</v>
      </c>
      <c r="K93" s="1">
        <v>400</v>
      </c>
      <c r="L93" s="1">
        <v>32000</v>
      </c>
      <c r="M93" s="4">
        <v>73.386285342529106</v>
      </c>
      <c r="N93" s="10">
        <v>1.2500000000000001E-2</v>
      </c>
      <c r="O93" s="5">
        <v>32.090000000000003</v>
      </c>
      <c r="P93" s="4">
        <v>291.15776297001099</v>
      </c>
      <c r="Q93" s="5">
        <v>0.25</v>
      </c>
      <c r="R93" s="11">
        <f t="shared" si="1"/>
        <v>1.455788814850055E-3</v>
      </c>
      <c r="V93" s="5"/>
      <c r="W93" s="5"/>
    </row>
    <row r="94" spans="1:23" x14ac:dyDescent="0.25">
      <c r="B94" s="1">
        <v>16</v>
      </c>
      <c r="C94" s="4">
        <v>500</v>
      </c>
      <c r="D94" s="1">
        <v>2</v>
      </c>
      <c r="E94" s="3">
        <v>138</v>
      </c>
      <c r="F94" s="5">
        <v>3.2690000000000001</v>
      </c>
      <c r="G94" s="1">
        <v>40</v>
      </c>
      <c r="H94" s="1">
        <v>48</v>
      </c>
      <c r="I94" s="1">
        <v>250</v>
      </c>
      <c r="J94" s="1">
        <v>348</v>
      </c>
      <c r="K94" s="1">
        <v>400</v>
      </c>
      <c r="L94" s="1">
        <v>32000</v>
      </c>
      <c r="M94" s="4">
        <v>73.386285342529106</v>
      </c>
      <c r="N94" s="10">
        <v>1.2500000000000001E-2</v>
      </c>
      <c r="O94" s="5">
        <v>35.01</v>
      </c>
      <c r="P94" s="4">
        <v>317.651395499535</v>
      </c>
      <c r="Q94" s="5">
        <v>0.3</v>
      </c>
      <c r="R94" s="11">
        <f t="shared" si="1"/>
        <v>1.5882569774976749E-3</v>
      </c>
      <c r="V94" s="5"/>
      <c r="W94" s="5"/>
    </row>
    <row r="95" spans="1:23" x14ac:dyDescent="0.25">
      <c r="B95" s="1">
        <v>16</v>
      </c>
      <c r="C95" s="4">
        <v>500</v>
      </c>
      <c r="D95" s="1">
        <v>2</v>
      </c>
      <c r="E95" s="3">
        <v>138</v>
      </c>
      <c r="F95" s="5">
        <v>3.2690000000000001</v>
      </c>
      <c r="G95" s="1">
        <v>40</v>
      </c>
      <c r="H95" s="1">
        <v>48</v>
      </c>
      <c r="I95" s="1">
        <v>250</v>
      </c>
      <c r="J95" s="1">
        <v>348</v>
      </c>
      <c r="K95" s="1">
        <v>400</v>
      </c>
      <c r="L95" s="1">
        <v>32000</v>
      </c>
      <c r="M95" s="4">
        <v>73.386285342529106</v>
      </c>
      <c r="N95" s="10">
        <v>1.2500000000000001E-2</v>
      </c>
      <c r="O95" s="5">
        <v>37.93</v>
      </c>
      <c r="P95" s="4">
        <v>344.14502802905901</v>
      </c>
      <c r="Q95" s="5">
        <v>0.33</v>
      </c>
      <c r="R95" s="11">
        <f t="shared" si="1"/>
        <v>1.7207251401452951E-3</v>
      </c>
      <c r="V95" s="5"/>
      <c r="W95" s="5"/>
    </row>
    <row r="96" spans="1:23" x14ac:dyDescent="0.25">
      <c r="B96" s="1">
        <v>16</v>
      </c>
      <c r="C96" s="4">
        <v>500</v>
      </c>
      <c r="D96" s="1">
        <v>2</v>
      </c>
      <c r="E96" s="3">
        <v>138</v>
      </c>
      <c r="F96" s="5">
        <v>3.2690000000000001</v>
      </c>
      <c r="G96" s="1">
        <v>40</v>
      </c>
      <c r="H96" s="1">
        <v>48</v>
      </c>
      <c r="I96" s="1">
        <v>250</v>
      </c>
      <c r="J96" s="1">
        <v>348</v>
      </c>
      <c r="K96" s="1">
        <v>400</v>
      </c>
      <c r="L96" s="1">
        <v>32000</v>
      </c>
      <c r="M96" s="4">
        <v>73.386285342529106</v>
      </c>
      <c r="N96" s="10">
        <v>1.2500000000000001E-2</v>
      </c>
      <c r="O96" s="5">
        <v>40.840000000000003</v>
      </c>
      <c r="P96" s="4">
        <v>370.54792894033199</v>
      </c>
      <c r="Q96" s="5">
        <v>0.38</v>
      </c>
      <c r="R96" s="11">
        <f t="shared" si="1"/>
        <v>1.8527396447016598E-3</v>
      </c>
      <c r="V96" s="5"/>
      <c r="W96" s="5"/>
    </row>
    <row r="97" spans="1:23" x14ac:dyDescent="0.25">
      <c r="A97" t="s">
        <v>44</v>
      </c>
      <c r="B97" s="1">
        <v>16</v>
      </c>
      <c r="C97" s="4">
        <v>500</v>
      </c>
      <c r="D97" s="1">
        <v>2</v>
      </c>
      <c r="E97" s="3">
        <v>168</v>
      </c>
      <c r="F97" s="5">
        <v>3.2690000000000001</v>
      </c>
      <c r="G97" s="1">
        <v>25</v>
      </c>
      <c r="H97" s="1">
        <v>33</v>
      </c>
      <c r="I97" s="1">
        <v>250</v>
      </c>
      <c r="J97" s="1">
        <v>333</v>
      </c>
      <c r="K97" s="1">
        <v>400</v>
      </c>
      <c r="L97" s="1">
        <v>12769</v>
      </c>
      <c r="M97" s="4">
        <v>73.386285342529106</v>
      </c>
      <c r="N97" s="10">
        <v>1.57460983498901E-2</v>
      </c>
      <c r="O97" s="5">
        <v>23.34</v>
      </c>
      <c r="P97" s="4">
        <v>211.76759699969</v>
      </c>
      <c r="Q97" s="5">
        <v>0.15</v>
      </c>
      <c r="R97" s="11">
        <f t="shared" si="1"/>
        <v>1.05883798499845E-3</v>
      </c>
      <c r="V97" s="5"/>
      <c r="W97" s="5"/>
    </row>
    <row r="98" spans="1:23" x14ac:dyDescent="0.25">
      <c r="B98" s="1">
        <v>16</v>
      </c>
      <c r="C98" s="4">
        <v>500</v>
      </c>
      <c r="D98" s="1">
        <v>2</v>
      </c>
      <c r="E98" s="3">
        <v>168</v>
      </c>
      <c r="F98" s="5">
        <v>3.2690000000000001</v>
      </c>
      <c r="G98" s="1">
        <v>25</v>
      </c>
      <c r="H98" s="1">
        <v>33</v>
      </c>
      <c r="I98" s="1">
        <v>250</v>
      </c>
      <c r="J98" s="1">
        <v>333</v>
      </c>
      <c r="K98" s="1">
        <v>400</v>
      </c>
      <c r="L98" s="1">
        <v>12769</v>
      </c>
      <c r="M98" s="4">
        <v>73.386285342529106</v>
      </c>
      <c r="N98" s="10">
        <v>1.57460983498901E-2</v>
      </c>
      <c r="O98" s="5">
        <v>26.26</v>
      </c>
      <c r="P98" s="4">
        <v>238.26122952921401</v>
      </c>
      <c r="Q98" s="5">
        <v>0.18</v>
      </c>
      <c r="R98" s="11">
        <f t="shared" si="1"/>
        <v>1.1913061476460701E-3</v>
      </c>
      <c r="V98" s="5"/>
      <c r="W98" s="5"/>
    </row>
    <row r="99" spans="1:23" x14ac:dyDescent="0.25">
      <c r="B99" s="1">
        <v>16</v>
      </c>
      <c r="C99" s="4">
        <v>500</v>
      </c>
      <c r="D99" s="1">
        <v>2</v>
      </c>
      <c r="E99" s="3">
        <v>168</v>
      </c>
      <c r="F99" s="5">
        <v>3.2690000000000001</v>
      </c>
      <c r="G99" s="1">
        <v>25</v>
      </c>
      <c r="H99" s="1">
        <v>33</v>
      </c>
      <c r="I99" s="1">
        <v>250</v>
      </c>
      <c r="J99" s="1">
        <v>333</v>
      </c>
      <c r="K99" s="1">
        <v>400</v>
      </c>
      <c r="L99" s="1">
        <v>12769</v>
      </c>
      <c r="M99" s="4">
        <v>73.386285342529106</v>
      </c>
      <c r="N99" s="10">
        <v>1.57460983498901E-2</v>
      </c>
      <c r="O99" s="5">
        <v>29.175000000000001</v>
      </c>
      <c r="P99" s="4">
        <v>264.70949624961202</v>
      </c>
      <c r="Q99" s="5">
        <v>0.2</v>
      </c>
      <c r="R99" s="11">
        <f t="shared" si="1"/>
        <v>1.3235474812480601E-3</v>
      </c>
      <c r="V99" s="5"/>
      <c r="W99" s="5"/>
    </row>
    <row r="100" spans="1:23" x14ac:dyDescent="0.25">
      <c r="B100" s="1">
        <v>16</v>
      </c>
      <c r="C100" s="4">
        <v>500</v>
      </c>
      <c r="D100" s="1">
        <v>2</v>
      </c>
      <c r="E100" s="3">
        <v>168</v>
      </c>
      <c r="F100" s="5">
        <v>3.2690000000000001</v>
      </c>
      <c r="G100" s="1">
        <v>25</v>
      </c>
      <c r="H100" s="1">
        <v>33</v>
      </c>
      <c r="I100" s="1">
        <v>250</v>
      </c>
      <c r="J100" s="1">
        <v>333</v>
      </c>
      <c r="K100" s="1">
        <v>400</v>
      </c>
      <c r="L100" s="1">
        <v>12769</v>
      </c>
      <c r="M100" s="4">
        <v>73.386285342529106</v>
      </c>
      <c r="N100" s="10">
        <v>1.57460983498901E-2</v>
      </c>
      <c r="O100" s="5">
        <v>32.090000000000003</v>
      </c>
      <c r="P100" s="4">
        <v>291.15776297001099</v>
      </c>
      <c r="Q100" s="5">
        <v>0.23</v>
      </c>
      <c r="R100" s="11">
        <f t="shared" si="1"/>
        <v>1.455788814850055E-3</v>
      </c>
      <c r="V100" s="5"/>
      <c r="W100" s="5"/>
    </row>
    <row r="101" spans="1:23" x14ac:dyDescent="0.25">
      <c r="B101" s="1">
        <v>16</v>
      </c>
      <c r="C101" s="4">
        <v>500</v>
      </c>
      <c r="D101" s="1">
        <v>2</v>
      </c>
      <c r="E101" s="3">
        <v>168</v>
      </c>
      <c r="F101" s="5">
        <v>3.2690000000000001</v>
      </c>
      <c r="G101" s="1">
        <v>25</v>
      </c>
      <c r="H101" s="1">
        <v>33</v>
      </c>
      <c r="I101" s="1">
        <v>250</v>
      </c>
      <c r="J101" s="1">
        <v>333</v>
      </c>
      <c r="K101" s="1">
        <v>400</v>
      </c>
      <c r="L101" s="1">
        <v>12769</v>
      </c>
      <c r="M101" s="4">
        <v>73.386285342529106</v>
      </c>
      <c r="N101" s="10">
        <v>1.57460983498901E-2</v>
      </c>
      <c r="O101" s="5">
        <v>35.01</v>
      </c>
      <c r="P101" s="4">
        <v>317.651395499535</v>
      </c>
      <c r="Q101" s="5">
        <v>0.25</v>
      </c>
      <c r="R101" s="11">
        <f t="shared" si="1"/>
        <v>1.5882569774976749E-3</v>
      </c>
      <c r="V101" s="5"/>
      <c r="W101" s="5"/>
    </row>
    <row r="102" spans="1:23" x14ac:dyDescent="0.25">
      <c r="B102" s="1">
        <v>16</v>
      </c>
      <c r="C102" s="4">
        <v>500</v>
      </c>
      <c r="D102" s="1">
        <v>2</v>
      </c>
      <c r="E102" s="3">
        <v>168</v>
      </c>
      <c r="F102" s="5">
        <v>3.2690000000000001</v>
      </c>
      <c r="G102" s="1">
        <v>25</v>
      </c>
      <c r="H102" s="1">
        <v>33</v>
      </c>
      <c r="I102" s="1">
        <v>250</v>
      </c>
      <c r="J102" s="1">
        <v>333</v>
      </c>
      <c r="K102" s="1">
        <v>400</v>
      </c>
      <c r="L102" s="1">
        <v>12769</v>
      </c>
      <c r="M102" s="4">
        <v>73.386285342529106</v>
      </c>
      <c r="N102" s="10">
        <v>1.57460983498901E-2</v>
      </c>
      <c r="O102" s="5">
        <v>37.93</v>
      </c>
      <c r="P102" s="4">
        <v>344.14502802905901</v>
      </c>
      <c r="Q102" s="5">
        <v>0.3</v>
      </c>
      <c r="R102" s="11">
        <f t="shared" si="1"/>
        <v>1.7207251401452951E-3</v>
      </c>
      <c r="V102" s="5"/>
      <c r="W102" s="5"/>
    </row>
    <row r="103" spans="1:23" x14ac:dyDescent="0.25">
      <c r="B103" s="1">
        <v>16</v>
      </c>
      <c r="C103" s="4">
        <v>500</v>
      </c>
      <c r="D103" s="1">
        <v>2</v>
      </c>
      <c r="E103" s="3">
        <v>168</v>
      </c>
      <c r="F103" s="5">
        <v>3.2690000000000001</v>
      </c>
      <c r="G103" s="1">
        <v>25</v>
      </c>
      <c r="H103" s="1">
        <v>33</v>
      </c>
      <c r="I103" s="1">
        <v>250</v>
      </c>
      <c r="J103" s="1">
        <v>333</v>
      </c>
      <c r="K103" s="1">
        <v>400</v>
      </c>
      <c r="L103" s="1">
        <v>12769</v>
      </c>
      <c r="M103" s="4">
        <v>73.386285342529106</v>
      </c>
      <c r="N103" s="10">
        <v>1.57460983498901E-2</v>
      </c>
      <c r="O103" s="5">
        <v>40.840000000000003</v>
      </c>
      <c r="P103" s="4">
        <v>370.54792894033199</v>
      </c>
      <c r="Q103" s="5">
        <v>0.3</v>
      </c>
      <c r="R103" s="11">
        <f t="shared" si="1"/>
        <v>1.8527396447016598E-3</v>
      </c>
      <c r="V103" s="5"/>
      <c r="W103" s="5"/>
    </row>
    <row r="104" spans="1:23" x14ac:dyDescent="0.25">
      <c r="A104" t="s">
        <v>45</v>
      </c>
      <c r="B104" s="1">
        <v>16</v>
      </c>
      <c r="C104" s="4">
        <v>500</v>
      </c>
      <c r="D104" s="1">
        <v>2</v>
      </c>
      <c r="E104" s="3">
        <v>168</v>
      </c>
      <c r="F104" s="5">
        <v>3.2690000000000001</v>
      </c>
      <c r="G104" s="1">
        <v>25</v>
      </c>
      <c r="H104" s="1">
        <v>33</v>
      </c>
      <c r="I104" s="1">
        <v>250</v>
      </c>
      <c r="J104" s="1">
        <v>333</v>
      </c>
      <c r="K104" s="1">
        <v>400</v>
      </c>
      <c r="L104" s="1">
        <v>12769</v>
      </c>
      <c r="M104" s="4">
        <v>73.386285342529106</v>
      </c>
      <c r="N104" s="10">
        <v>1.57460983498901E-2</v>
      </c>
      <c r="O104" s="5">
        <v>20.420000000000002</v>
      </c>
      <c r="P104" s="4">
        <v>185.27396447016599</v>
      </c>
      <c r="Q104" s="5">
        <v>0.15</v>
      </c>
      <c r="R104" s="11">
        <f t="shared" si="1"/>
        <v>9.2636982235082992E-4</v>
      </c>
      <c r="V104" s="5"/>
      <c r="W104" s="5"/>
    </row>
    <row r="105" spans="1:23" x14ac:dyDescent="0.25">
      <c r="B105" s="1">
        <v>16</v>
      </c>
      <c r="C105" s="4">
        <v>500</v>
      </c>
      <c r="D105" s="1">
        <v>2</v>
      </c>
      <c r="E105" s="3">
        <v>168</v>
      </c>
      <c r="F105" s="5">
        <v>3.2690000000000001</v>
      </c>
      <c r="G105" s="1">
        <v>25</v>
      </c>
      <c r="H105" s="1">
        <v>33</v>
      </c>
      <c r="I105" s="1">
        <v>250</v>
      </c>
      <c r="J105" s="1">
        <v>333</v>
      </c>
      <c r="K105" s="1">
        <v>400</v>
      </c>
      <c r="L105" s="1">
        <v>12769</v>
      </c>
      <c r="M105" s="4">
        <v>73.386285342529106</v>
      </c>
      <c r="N105" s="10">
        <v>1.57460983498901E-2</v>
      </c>
      <c r="O105" s="5">
        <v>23.34</v>
      </c>
      <c r="P105" s="4">
        <v>211.76759699969</v>
      </c>
      <c r="Q105" s="5">
        <v>0.18</v>
      </c>
      <c r="R105" s="11">
        <f t="shared" si="1"/>
        <v>1.05883798499845E-3</v>
      </c>
      <c r="V105" s="5"/>
      <c r="W105" s="5"/>
    </row>
    <row r="106" spans="1:23" x14ac:dyDescent="0.25">
      <c r="B106" s="1">
        <v>16</v>
      </c>
      <c r="C106" s="4">
        <v>500</v>
      </c>
      <c r="D106" s="1">
        <v>2</v>
      </c>
      <c r="E106" s="3">
        <v>168</v>
      </c>
      <c r="F106" s="5">
        <v>3.2690000000000001</v>
      </c>
      <c r="G106" s="1">
        <v>25</v>
      </c>
      <c r="H106" s="1">
        <v>33</v>
      </c>
      <c r="I106" s="1">
        <v>250</v>
      </c>
      <c r="J106" s="1">
        <v>333</v>
      </c>
      <c r="K106" s="1">
        <v>400</v>
      </c>
      <c r="L106" s="1">
        <v>12769</v>
      </c>
      <c r="M106" s="4">
        <v>73.386285342529106</v>
      </c>
      <c r="N106" s="10">
        <v>1.57460983498901E-2</v>
      </c>
      <c r="O106" s="5">
        <v>26.26</v>
      </c>
      <c r="P106" s="4">
        <v>238.26122952921401</v>
      </c>
      <c r="Q106" s="5">
        <v>0.18</v>
      </c>
      <c r="R106" s="11">
        <f t="shared" si="1"/>
        <v>1.1913061476460701E-3</v>
      </c>
      <c r="V106" s="5"/>
      <c r="W106" s="5"/>
    </row>
    <row r="107" spans="1:23" x14ac:dyDescent="0.25">
      <c r="B107" s="1">
        <v>16</v>
      </c>
      <c r="C107" s="4">
        <v>500</v>
      </c>
      <c r="D107" s="1">
        <v>2</v>
      </c>
      <c r="E107" s="3">
        <v>168</v>
      </c>
      <c r="F107" s="5">
        <v>3.2690000000000001</v>
      </c>
      <c r="G107" s="1">
        <v>25</v>
      </c>
      <c r="H107" s="1">
        <v>33</v>
      </c>
      <c r="I107" s="1">
        <v>250</v>
      </c>
      <c r="J107" s="1">
        <v>333</v>
      </c>
      <c r="K107" s="1">
        <v>400</v>
      </c>
      <c r="L107" s="1">
        <v>12769</v>
      </c>
      <c r="M107" s="4">
        <v>73.386285342529106</v>
      </c>
      <c r="N107" s="10">
        <v>1.57460983498901E-2</v>
      </c>
      <c r="O107" s="5">
        <v>29.175000000000001</v>
      </c>
      <c r="P107" s="4">
        <v>264.70949624961202</v>
      </c>
      <c r="Q107" s="5">
        <v>0.25</v>
      </c>
      <c r="R107" s="11">
        <f t="shared" si="1"/>
        <v>1.3235474812480601E-3</v>
      </c>
      <c r="V107" s="5"/>
      <c r="W107" s="5"/>
    </row>
    <row r="108" spans="1:23" x14ac:dyDescent="0.25">
      <c r="B108" s="1">
        <v>16</v>
      </c>
      <c r="C108" s="4">
        <v>500</v>
      </c>
      <c r="D108" s="1">
        <v>2</v>
      </c>
      <c r="E108" s="3">
        <v>168</v>
      </c>
      <c r="F108" s="5">
        <v>3.2690000000000001</v>
      </c>
      <c r="G108" s="1">
        <v>25</v>
      </c>
      <c r="H108" s="1">
        <v>33</v>
      </c>
      <c r="I108" s="1">
        <v>250</v>
      </c>
      <c r="J108" s="1">
        <v>333</v>
      </c>
      <c r="K108" s="1">
        <v>400</v>
      </c>
      <c r="L108" s="1">
        <v>12769</v>
      </c>
      <c r="M108" s="4">
        <v>73.386285342529106</v>
      </c>
      <c r="N108" s="10">
        <v>1.57460983498901E-2</v>
      </c>
      <c r="O108" s="5">
        <v>32.090000000000003</v>
      </c>
      <c r="P108" s="4">
        <v>291.15776297001099</v>
      </c>
      <c r="Q108" s="5">
        <v>0.28000000000000003</v>
      </c>
      <c r="R108" s="11">
        <f t="shared" si="1"/>
        <v>1.455788814850055E-3</v>
      </c>
      <c r="V108" s="5"/>
      <c r="W108" s="5"/>
    </row>
    <row r="109" spans="1:23" x14ac:dyDescent="0.25">
      <c r="B109" s="1">
        <v>16</v>
      </c>
      <c r="C109" s="4">
        <v>500</v>
      </c>
      <c r="D109" s="1">
        <v>2</v>
      </c>
      <c r="E109" s="3">
        <v>168</v>
      </c>
      <c r="F109" s="5">
        <v>3.2690000000000001</v>
      </c>
      <c r="G109" s="1">
        <v>25</v>
      </c>
      <c r="H109" s="1">
        <v>33</v>
      </c>
      <c r="I109" s="1">
        <v>250</v>
      </c>
      <c r="J109" s="1">
        <v>333</v>
      </c>
      <c r="K109" s="1">
        <v>400</v>
      </c>
      <c r="L109" s="1">
        <v>12769</v>
      </c>
      <c r="M109" s="4">
        <v>73.386285342529106</v>
      </c>
      <c r="N109" s="10">
        <v>1.57460983498901E-2</v>
      </c>
      <c r="O109" s="5">
        <v>35.01</v>
      </c>
      <c r="P109" s="4">
        <v>317.651395499535</v>
      </c>
      <c r="Q109" s="5">
        <v>0.33</v>
      </c>
      <c r="R109" s="11">
        <f t="shared" si="1"/>
        <v>1.5882569774976749E-3</v>
      </c>
      <c r="V109" s="5"/>
      <c r="W109" s="5"/>
    </row>
    <row r="110" spans="1:23" x14ac:dyDescent="0.25">
      <c r="B110" s="1">
        <v>16</v>
      </c>
      <c r="C110" s="4">
        <v>500</v>
      </c>
      <c r="D110" s="1">
        <v>2</v>
      </c>
      <c r="E110" s="3">
        <v>168</v>
      </c>
      <c r="F110" s="5">
        <v>3.2690000000000001</v>
      </c>
      <c r="G110" s="1">
        <v>25</v>
      </c>
      <c r="H110" s="1">
        <v>33</v>
      </c>
      <c r="I110" s="1">
        <v>250</v>
      </c>
      <c r="J110" s="1">
        <v>333</v>
      </c>
      <c r="K110" s="1">
        <v>400</v>
      </c>
      <c r="L110" s="1">
        <v>12769</v>
      </c>
      <c r="M110" s="4">
        <v>73.386285342529106</v>
      </c>
      <c r="N110" s="10">
        <v>1.57460983498901E-2</v>
      </c>
      <c r="O110" s="5">
        <v>37.93</v>
      </c>
      <c r="P110" s="4">
        <v>344.14502802905901</v>
      </c>
      <c r="Q110" s="5">
        <v>0.38</v>
      </c>
      <c r="R110" s="11">
        <f t="shared" si="1"/>
        <v>1.7207251401452951E-3</v>
      </c>
      <c r="V110" s="5"/>
      <c r="W110" s="5"/>
    </row>
    <row r="111" spans="1:23" x14ac:dyDescent="0.25">
      <c r="B111" s="1">
        <v>16</v>
      </c>
      <c r="C111" s="4">
        <v>500</v>
      </c>
      <c r="D111" s="1">
        <v>2</v>
      </c>
      <c r="E111" s="3">
        <v>168</v>
      </c>
      <c r="F111" s="5">
        <v>3.2690000000000001</v>
      </c>
      <c r="G111" s="1">
        <v>25</v>
      </c>
      <c r="H111" s="1">
        <v>33</v>
      </c>
      <c r="I111" s="1">
        <v>250</v>
      </c>
      <c r="J111" s="1">
        <v>333</v>
      </c>
      <c r="K111" s="1">
        <v>400</v>
      </c>
      <c r="L111" s="1">
        <v>12769</v>
      </c>
      <c r="M111" s="4">
        <v>73.386285342529106</v>
      </c>
      <c r="N111" s="10">
        <v>1.57460983498901E-2</v>
      </c>
      <c r="O111" s="5">
        <v>40.840000000000003</v>
      </c>
      <c r="P111" s="4">
        <v>370.54792894033199</v>
      </c>
      <c r="Q111" s="5">
        <v>0.43</v>
      </c>
      <c r="R111" s="11">
        <f t="shared" si="1"/>
        <v>1.8527396447016598E-3</v>
      </c>
      <c r="V111" s="5"/>
      <c r="W111" s="5"/>
    </row>
    <row r="112" spans="1:23" x14ac:dyDescent="0.25">
      <c r="A112" t="s">
        <v>46</v>
      </c>
      <c r="B112" s="1">
        <v>16</v>
      </c>
      <c r="C112" s="4">
        <v>500</v>
      </c>
      <c r="D112" s="1">
        <v>3</v>
      </c>
      <c r="E112" s="3">
        <v>76</v>
      </c>
      <c r="F112" s="5">
        <v>3.2690000000000001</v>
      </c>
      <c r="G112" s="1">
        <v>25</v>
      </c>
      <c r="H112" s="1">
        <v>33</v>
      </c>
      <c r="I112" s="1">
        <v>250</v>
      </c>
      <c r="J112" s="1">
        <v>333</v>
      </c>
      <c r="K112" s="1">
        <v>600</v>
      </c>
      <c r="L112" s="1">
        <v>28250</v>
      </c>
      <c r="M112" s="4">
        <v>87.114505405349803</v>
      </c>
      <c r="N112" s="10">
        <v>2.12389380530973E-2</v>
      </c>
      <c r="O112" s="5">
        <v>37.93</v>
      </c>
      <c r="P112" s="4">
        <v>233.30469206437201</v>
      </c>
      <c r="Q112" s="5">
        <v>0.15</v>
      </c>
      <c r="R112" s="11">
        <f t="shared" si="1"/>
        <v>1.1665234603218601E-3</v>
      </c>
      <c r="V112" s="5"/>
      <c r="W112" s="5"/>
    </row>
    <row r="113" spans="1:23" x14ac:dyDescent="0.25">
      <c r="B113" s="1">
        <v>16</v>
      </c>
      <c r="C113" s="4">
        <v>500</v>
      </c>
      <c r="D113" s="1">
        <v>3</v>
      </c>
      <c r="E113" s="3">
        <v>76</v>
      </c>
      <c r="F113" s="5">
        <v>3.2690000000000001</v>
      </c>
      <c r="G113" s="1">
        <v>25</v>
      </c>
      <c r="H113" s="1">
        <v>33</v>
      </c>
      <c r="I113" s="1">
        <v>250</v>
      </c>
      <c r="J113" s="1">
        <v>333</v>
      </c>
      <c r="K113" s="1">
        <v>600</v>
      </c>
      <c r="L113" s="1">
        <v>28250</v>
      </c>
      <c r="M113" s="4">
        <v>87.114505405349803</v>
      </c>
      <c r="N113" s="10">
        <v>2.12389380530973E-2</v>
      </c>
      <c r="O113" s="5">
        <v>40.840000000000003</v>
      </c>
      <c r="P113" s="4">
        <v>251.20389200919999</v>
      </c>
      <c r="Q113" s="5">
        <v>0.18</v>
      </c>
      <c r="R113" s="11">
        <f t="shared" si="1"/>
        <v>1.2560194600459999E-3</v>
      </c>
      <c r="V113" s="5"/>
      <c r="W113" s="5"/>
    </row>
    <row r="114" spans="1:23" x14ac:dyDescent="0.25">
      <c r="B114" s="1">
        <v>16</v>
      </c>
      <c r="C114" s="4">
        <v>500</v>
      </c>
      <c r="D114" s="1">
        <v>3</v>
      </c>
      <c r="E114" s="3">
        <v>76</v>
      </c>
      <c r="F114" s="5">
        <v>3.2690000000000001</v>
      </c>
      <c r="G114" s="1">
        <v>25</v>
      </c>
      <c r="H114" s="1">
        <v>33</v>
      </c>
      <c r="I114" s="1">
        <v>250</v>
      </c>
      <c r="J114" s="1">
        <v>333</v>
      </c>
      <c r="K114" s="1">
        <v>600</v>
      </c>
      <c r="L114" s="1">
        <v>28250</v>
      </c>
      <c r="M114" s="4">
        <v>87.114505405349803</v>
      </c>
      <c r="N114" s="10">
        <v>2.12389380530973E-2</v>
      </c>
      <c r="O114" s="5">
        <v>43.76</v>
      </c>
      <c r="P114" s="4">
        <v>269.164601232189</v>
      </c>
      <c r="Q114" s="5">
        <v>0.18</v>
      </c>
      <c r="R114" s="11">
        <f t="shared" si="1"/>
        <v>1.3458230061609449E-3</v>
      </c>
      <c r="V114" s="5"/>
      <c r="W114" s="5"/>
    </row>
    <row r="115" spans="1:23" x14ac:dyDescent="0.25">
      <c r="B115" s="1">
        <v>16</v>
      </c>
      <c r="C115" s="4">
        <v>500</v>
      </c>
      <c r="D115" s="1">
        <v>3</v>
      </c>
      <c r="E115" s="3">
        <v>76</v>
      </c>
      <c r="F115" s="5">
        <v>3.2690000000000001</v>
      </c>
      <c r="G115" s="1">
        <v>25</v>
      </c>
      <c r="H115" s="1">
        <v>33</v>
      </c>
      <c r="I115" s="1">
        <v>250</v>
      </c>
      <c r="J115" s="1">
        <v>333</v>
      </c>
      <c r="K115" s="1">
        <v>600</v>
      </c>
      <c r="L115" s="1">
        <v>28250</v>
      </c>
      <c r="M115" s="4">
        <v>87.114505405349803</v>
      </c>
      <c r="N115" s="10">
        <v>2.12389380530973E-2</v>
      </c>
      <c r="O115" s="5">
        <v>46.68</v>
      </c>
      <c r="P115" s="4">
        <v>287.12531045517801</v>
      </c>
      <c r="Q115" s="5">
        <v>0.2</v>
      </c>
      <c r="R115" s="11">
        <f t="shared" si="1"/>
        <v>1.4356265522758901E-3</v>
      </c>
      <c r="V115" s="5"/>
      <c r="W115" s="5"/>
    </row>
    <row r="116" spans="1:23" x14ac:dyDescent="0.25">
      <c r="B116" s="1">
        <v>16</v>
      </c>
      <c r="C116" s="4">
        <v>500</v>
      </c>
      <c r="D116" s="1">
        <v>3</v>
      </c>
      <c r="E116" s="3">
        <v>76</v>
      </c>
      <c r="F116" s="5">
        <v>3.2690000000000001</v>
      </c>
      <c r="G116" s="1">
        <v>25</v>
      </c>
      <c r="H116" s="1">
        <v>33</v>
      </c>
      <c r="I116" s="1">
        <v>250</v>
      </c>
      <c r="J116" s="1">
        <v>333</v>
      </c>
      <c r="K116" s="1">
        <v>600</v>
      </c>
      <c r="L116" s="1">
        <v>28250</v>
      </c>
      <c r="M116" s="4">
        <v>87.114505405349803</v>
      </c>
      <c r="N116" s="10">
        <v>2.12389380530973E-2</v>
      </c>
      <c r="O116" s="5">
        <v>49.6</v>
      </c>
      <c r="P116" s="4">
        <v>305.08601967816702</v>
      </c>
      <c r="Q116" s="5">
        <v>0.2</v>
      </c>
      <c r="R116" s="11">
        <f t="shared" si="1"/>
        <v>1.5254300983908351E-3</v>
      </c>
      <c r="V116" s="5"/>
      <c r="W116" s="5"/>
    </row>
    <row r="117" spans="1:23" x14ac:dyDescent="0.25">
      <c r="A117" t="s">
        <v>47</v>
      </c>
      <c r="B117" s="1">
        <v>16</v>
      </c>
      <c r="C117" s="4">
        <v>500</v>
      </c>
      <c r="D117" s="1">
        <v>3</v>
      </c>
      <c r="E117" s="3">
        <v>76</v>
      </c>
      <c r="F117" s="5">
        <v>3.2690000000000001</v>
      </c>
      <c r="G117" s="1">
        <v>25</v>
      </c>
      <c r="H117" s="1">
        <v>33</v>
      </c>
      <c r="I117" s="1">
        <v>250</v>
      </c>
      <c r="J117" s="1">
        <v>333</v>
      </c>
      <c r="K117" s="1">
        <v>600</v>
      </c>
      <c r="L117" s="1">
        <v>28250</v>
      </c>
      <c r="M117" s="4">
        <v>87.114505405349803</v>
      </c>
      <c r="N117" s="10">
        <v>2.12389380530973E-2</v>
      </c>
      <c r="O117" s="5">
        <v>40.840000000000003</v>
      </c>
      <c r="P117" s="4">
        <v>251.20389200919999</v>
      </c>
      <c r="Q117" s="5">
        <v>0.15</v>
      </c>
      <c r="R117" s="11">
        <f t="shared" si="1"/>
        <v>1.2560194600459999E-3</v>
      </c>
      <c r="V117" s="5"/>
      <c r="W117" s="5"/>
    </row>
    <row r="118" spans="1:23" x14ac:dyDescent="0.25">
      <c r="B118" s="1">
        <v>16</v>
      </c>
      <c r="C118" s="4">
        <v>500</v>
      </c>
      <c r="D118" s="1">
        <v>3</v>
      </c>
      <c r="E118" s="3">
        <v>76</v>
      </c>
      <c r="F118" s="5">
        <v>3.2690000000000001</v>
      </c>
      <c r="G118" s="1">
        <v>25</v>
      </c>
      <c r="H118" s="1">
        <v>33</v>
      </c>
      <c r="I118" s="1">
        <v>250</v>
      </c>
      <c r="J118" s="1">
        <v>333</v>
      </c>
      <c r="K118" s="1">
        <v>600</v>
      </c>
      <c r="L118" s="1">
        <v>28250</v>
      </c>
      <c r="M118" s="4">
        <v>87.114505405349803</v>
      </c>
      <c r="N118" s="10">
        <v>2.12389380530973E-2</v>
      </c>
      <c r="O118" s="5">
        <v>43.76</v>
      </c>
      <c r="P118" s="4">
        <v>269.164601232189</v>
      </c>
      <c r="Q118" s="5">
        <v>0.18</v>
      </c>
      <c r="R118" s="11">
        <f t="shared" si="1"/>
        <v>1.3458230061609449E-3</v>
      </c>
      <c r="V118" s="5"/>
      <c r="W118" s="5"/>
    </row>
    <row r="119" spans="1:23" x14ac:dyDescent="0.25">
      <c r="B119" s="1">
        <v>16</v>
      </c>
      <c r="C119" s="4">
        <v>500</v>
      </c>
      <c r="D119" s="1">
        <v>3</v>
      </c>
      <c r="E119" s="3">
        <v>76</v>
      </c>
      <c r="F119" s="5">
        <v>3.2690000000000001</v>
      </c>
      <c r="G119" s="1">
        <v>25</v>
      </c>
      <c r="H119" s="1">
        <v>33</v>
      </c>
      <c r="I119" s="1">
        <v>250</v>
      </c>
      <c r="J119" s="1">
        <v>333</v>
      </c>
      <c r="K119" s="1">
        <v>600</v>
      </c>
      <c r="L119" s="1">
        <v>28250</v>
      </c>
      <c r="M119" s="4">
        <v>87.114505405349803</v>
      </c>
      <c r="N119" s="10">
        <v>2.12389380530973E-2</v>
      </c>
      <c r="O119" s="5">
        <v>46.68</v>
      </c>
      <c r="P119" s="4">
        <v>287.12531045517801</v>
      </c>
      <c r="Q119" s="5">
        <v>0.2</v>
      </c>
      <c r="R119" s="11">
        <f t="shared" si="1"/>
        <v>1.4356265522758901E-3</v>
      </c>
      <c r="V119" s="5"/>
      <c r="W119" s="5"/>
    </row>
    <row r="120" spans="1:23" x14ac:dyDescent="0.25">
      <c r="B120" s="1">
        <v>16</v>
      </c>
      <c r="C120" s="4">
        <v>500</v>
      </c>
      <c r="D120" s="1">
        <v>3</v>
      </c>
      <c r="E120" s="3">
        <v>76</v>
      </c>
      <c r="F120" s="5">
        <v>3.2690000000000001</v>
      </c>
      <c r="G120" s="1">
        <v>25</v>
      </c>
      <c r="H120" s="1">
        <v>33</v>
      </c>
      <c r="I120" s="1">
        <v>250</v>
      </c>
      <c r="J120" s="1">
        <v>333</v>
      </c>
      <c r="K120" s="1">
        <v>600</v>
      </c>
      <c r="L120" s="1">
        <v>28250</v>
      </c>
      <c r="M120" s="4">
        <v>87.114505405349803</v>
      </c>
      <c r="N120" s="10">
        <v>2.12389380530973E-2</v>
      </c>
      <c r="O120" s="5">
        <v>49.6</v>
      </c>
      <c r="P120" s="4">
        <v>305.08601967816702</v>
      </c>
      <c r="Q120" s="5">
        <v>0.2</v>
      </c>
      <c r="R120" s="11">
        <f t="shared" si="1"/>
        <v>1.5254300983908351E-3</v>
      </c>
      <c r="V120" s="5"/>
      <c r="W120" s="5"/>
    </row>
    <row r="121" spans="1:23" x14ac:dyDescent="0.25">
      <c r="A121" t="s">
        <v>48</v>
      </c>
      <c r="B121" s="1">
        <v>12</v>
      </c>
      <c r="C121" s="4">
        <v>500</v>
      </c>
      <c r="D121" s="1">
        <v>2</v>
      </c>
      <c r="E121" s="3">
        <v>296</v>
      </c>
      <c r="F121" s="5">
        <v>3.2690000000000001</v>
      </c>
      <c r="G121" s="1">
        <v>25</v>
      </c>
      <c r="H121" s="1">
        <v>31</v>
      </c>
      <c r="I121" s="1">
        <v>400</v>
      </c>
      <c r="J121" s="1">
        <v>161</v>
      </c>
      <c r="K121" s="1">
        <v>220</v>
      </c>
      <c r="L121" s="1">
        <v>9646</v>
      </c>
      <c r="M121" s="4">
        <v>28.758860606294402</v>
      </c>
      <c r="N121" s="10">
        <v>1.17247911599868E-2</v>
      </c>
      <c r="O121" s="5">
        <v>4.67</v>
      </c>
      <c r="P121" s="4">
        <v>176.28617352026799</v>
      </c>
      <c r="Q121" s="5">
        <v>0.2</v>
      </c>
      <c r="R121" s="11">
        <f t="shared" si="1"/>
        <v>8.8143086760133994E-4</v>
      </c>
      <c r="V121" s="5"/>
      <c r="W121" s="5"/>
    </row>
    <row r="122" spans="1:23" x14ac:dyDescent="0.25">
      <c r="B122" s="1">
        <v>12</v>
      </c>
      <c r="C122" s="4">
        <v>500</v>
      </c>
      <c r="D122" s="1">
        <v>2</v>
      </c>
      <c r="E122" s="3">
        <v>296</v>
      </c>
      <c r="F122" s="5">
        <v>3.2690000000000001</v>
      </c>
      <c r="G122" s="1">
        <v>25</v>
      </c>
      <c r="H122" s="1">
        <v>31</v>
      </c>
      <c r="I122" s="1">
        <v>400</v>
      </c>
      <c r="J122" s="1">
        <v>161</v>
      </c>
      <c r="K122" s="1">
        <v>220</v>
      </c>
      <c r="L122" s="1">
        <v>9646</v>
      </c>
      <c r="M122" s="4">
        <v>28.758860606294402</v>
      </c>
      <c r="N122" s="10">
        <v>1.17247911599868E-2</v>
      </c>
      <c r="O122" s="5">
        <v>6.42</v>
      </c>
      <c r="P122" s="4">
        <v>242.34630278375201</v>
      </c>
      <c r="Q122" s="5">
        <v>0.25</v>
      </c>
      <c r="R122" s="11">
        <f t="shared" si="1"/>
        <v>1.2117315139187599E-3</v>
      </c>
      <c r="V122" s="5"/>
      <c r="W122" s="5"/>
    </row>
    <row r="123" spans="1:23" x14ac:dyDescent="0.25">
      <c r="B123" s="1">
        <v>12</v>
      </c>
      <c r="C123" s="4">
        <v>500</v>
      </c>
      <c r="D123" s="1">
        <v>2</v>
      </c>
      <c r="E123" s="3">
        <v>296</v>
      </c>
      <c r="F123" s="5">
        <v>3.2690000000000001</v>
      </c>
      <c r="G123" s="1">
        <v>25</v>
      </c>
      <c r="H123" s="1">
        <v>31</v>
      </c>
      <c r="I123" s="1">
        <v>400</v>
      </c>
      <c r="J123" s="1">
        <v>161</v>
      </c>
      <c r="K123" s="1">
        <v>220</v>
      </c>
      <c r="L123" s="1">
        <v>9646</v>
      </c>
      <c r="M123" s="4">
        <v>28.758860606294402</v>
      </c>
      <c r="N123" s="10">
        <v>1.17247911599868E-2</v>
      </c>
      <c r="O123" s="5">
        <v>8.17</v>
      </c>
      <c r="P123" s="4">
        <v>308.40643204723602</v>
      </c>
      <c r="Q123" s="5">
        <v>0.33</v>
      </c>
      <c r="R123" s="11">
        <f t="shared" si="1"/>
        <v>1.54203216023618E-3</v>
      </c>
      <c r="V123" s="5"/>
      <c r="W123" s="5"/>
    </row>
    <row r="124" spans="1:23" x14ac:dyDescent="0.25">
      <c r="A124" t="s">
        <v>49</v>
      </c>
      <c r="B124" s="1">
        <v>12</v>
      </c>
      <c r="C124" s="4">
        <v>500</v>
      </c>
      <c r="D124" s="1">
        <v>2</v>
      </c>
      <c r="E124" s="3">
        <v>296</v>
      </c>
      <c r="F124" s="5">
        <v>3.2690000000000001</v>
      </c>
      <c r="G124" s="1">
        <v>25</v>
      </c>
      <c r="H124" s="1">
        <v>31</v>
      </c>
      <c r="I124" s="1">
        <v>400</v>
      </c>
      <c r="J124" s="1">
        <v>161</v>
      </c>
      <c r="K124" s="1">
        <v>220</v>
      </c>
      <c r="L124" s="1">
        <v>9646</v>
      </c>
      <c r="M124" s="4">
        <v>28.758860606294402</v>
      </c>
      <c r="N124" s="10">
        <v>1.17247911599868E-2</v>
      </c>
      <c r="O124" s="5">
        <v>6.42</v>
      </c>
      <c r="P124" s="4">
        <v>242.34630278375201</v>
      </c>
      <c r="Q124" s="5">
        <v>0.23</v>
      </c>
      <c r="R124" s="11">
        <f t="shared" si="1"/>
        <v>1.2117315139187599E-3</v>
      </c>
      <c r="V124" s="5"/>
      <c r="W124" s="5"/>
    </row>
    <row r="125" spans="1:23" x14ac:dyDescent="0.25">
      <c r="B125" s="1">
        <v>12</v>
      </c>
      <c r="C125" s="4">
        <v>500</v>
      </c>
      <c r="D125" s="1">
        <v>2</v>
      </c>
      <c r="E125" s="3">
        <v>296</v>
      </c>
      <c r="F125" s="5">
        <v>3.2690000000000001</v>
      </c>
      <c r="G125" s="1">
        <v>25</v>
      </c>
      <c r="H125" s="1">
        <v>31</v>
      </c>
      <c r="I125" s="1">
        <v>400</v>
      </c>
      <c r="J125" s="1">
        <v>161</v>
      </c>
      <c r="K125" s="1">
        <v>220</v>
      </c>
      <c r="L125" s="1">
        <v>9646</v>
      </c>
      <c r="M125" s="4">
        <v>28.758860606294402</v>
      </c>
      <c r="N125" s="10">
        <v>1.17247911599868E-2</v>
      </c>
      <c r="O125" s="5">
        <v>8.17</v>
      </c>
      <c r="P125" s="4">
        <v>308.40643204723602</v>
      </c>
      <c r="Q125" s="5">
        <v>0.28000000000000003</v>
      </c>
      <c r="R125" s="11">
        <f t="shared" si="1"/>
        <v>1.54203216023618E-3</v>
      </c>
      <c r="V125" s="5"/>
      <c r="W125" s="5"/>
    </row>
    <row r="126" spans="1:23" x14ac:dyDescent="0.25">
      <c r="A126" t="s">
        <v>50</v>
      </c>
      <c r="B126" s="1">
        <v>12</v>
      </c>
      <c r="C126" s="4">
        <v>500</v>
      </c>
      <c r="D126" s="1">
        <v>3</v>
      </c>
      <c r="E126" s="3">
        <v>142</v>
      </c>
      <c r="F126" s="5">
        <v>3.2690000000000001</v>
      </c>
      <c r="G126" s="1">
        <v>25</v>
      </c>
      <c r="H126" s="1">
        <v>31</v>
      </c>
      <c r="I126" s="1">
        <v>400</v>
      </c>
      <c r="J126" s="1">
        <v>161</v>
      </c>
      <c r="K126" s="1">
        <v>330</v>
      </c>
      <c r="L126" s="1">
        <v>9646</v>
      </c>
      <c r="M126" s="4">
        <v>34.253185076506</v>
      </c>
      <c r="N126" s="10">
        <v>1.17247911599868E-2</v>
      </c>
      <c r="O126" s="5">
        <v>8.17</v>
      </c>
      <c r="P126" s="4">
        <v>208.77973928930399</v>
      </c>
      <c r="Q126" s="5">
        <v>0.18</v>
      </c>
      <c r="R126" s="11">
        <f t="shared" si="1"/>
        <v>1.0438986964465199E-3</v>
      </c>
      <c r="V126" s="5"/>
      <c r="W126" s="5"/>
    </row>
    <row r="127" spans="1:23" x14ac:dyDescent="0.25">
      <c r="B127" s="1">
        <v>12</v>
      </c>
      <c r="C127" s="4">
        <v>500</v>
      </c>
      <c r="D127" s="1">
        <v>3</v>
      </c>
      <c r="E127" s="3">
        <v>142</v>
      </c>
      <c r="F127" s="5">
        <v>3.2690000000000001</v>
      </c>
      <c r="G127" s="1">
        <v>25</v>
      </c>
      <c r="H127" s="1">
        <v>31</v>
      </c>
      <c r="I127" s="1">
        <v>400</v>
      </c>
      <c r="J127" s="1">
        <v>161</v>
      </c>
      <c r="K127" s="1">
        <v>330</v>
      </c>
      <c r="L127" s="1">
        <v>9646</v>
      </c>
      <c r="M127" s="4">
        <v>34.253185076506</v>
      </c>
      <c r="N127" s="10">
        <v>1.17247911599868E-2</v>
      </c>
      <c r="O127" s="5">
        <v>9.92</v>
      </c>
      <c r="P127" s="4">
        <v>253.50000168297299</v>
      </c>
      <c r="Q127" s="5">
        <v>0.23</v>
      </c>
      <c r="R127" s="11">
        <f t="shared" si="1"/>
        <v>1.2675000084148649E-3</v>
      </c>
      <c r="V127" s="5"/>
      <c r="W127" s="5"/>
    </row>
    <row r="128" spans="1:23" x14ac:dyDescent="0.25">
      <c r="B128" s="1">
        <v>12</v>
      </c>
      <c r="C128" s="4">
        <v>500</v>
      </c>
      <c r="D128" s="1">
        <v>3</v>
      </c>
      <c r="E128" s="3">
        <v>142</v>
      </c>
      <c r="F128" s="5">
        <v>3.2690000000000001</v>
      </c>
      <c r="G128" s="1">
        <v>25</v>
      </c>
      <c r="H128" s="1">
        <v>31</v>
      </c>
      <c r="I128" s="1">
        <v>400</v>
      </c>
      <c r="J128" s="1">
        <v>161</v>
      </c>
      <c r="K128" s="1">
        <v>330</v>
      </c>
      <c r="L128" s="1">
        <v>9646</v>
      </c>
      <c r="M128" s="4">
        <v>34.253185076506</v>
      </c>
      <c r="N128" s="10">
        <v>1.17247911599868E-2</v>
      </c>
      <c r="O128" s="5">
        <v>11.67</v>
      </c>
      <c r="P128" s="4">
        <v>298.22026407664299</v>
      </c>
      <c r="Q128" s="5">
        <v>0.25</v>
      </c>
      <c r="R128" s="11">
        <f t="shared" si="1"/>
        <v>1.4911013203832149E-3</v>
      </c>
      <c r="V128" s="5"/>
      <c r="W128" s="5"/>
    </row>
    <row r="129" spans="1:23" x14ac:dyDescent="0.25">
      <c r="A129" t="s">
        <v>51</v>
      </c>
      <c r="B129" s="1">
        <v>12</v>
      </c>
      <c r="C129" s="4">
        <v>500</v>
      </c>
      <c r="D129" s="1">
        <v>3</v>
      </c>
      <c r="E129" s="3">
        <v>142</v>
      </c>
      <c r="F129" s="5">
        <v>3.2690000000000001</v>
      </c>
      <c r="G129" s="1">
        <v>25</v>
      </c>
      <c r="H129" s="1">
        <v>31</v>
      </c>
      <c r="I129" s="1">
        <v>400</v>
      </c>
      <c r="J129" s="1">
        <v>161</v>
      </c>
      <c r="K129" s="1">
        <v>330</v>
      </c>
      <c r="L129" s="1">
        <v>9646</v>
      </c>
      <c r="M129" s="4">
        <v>34.253185076506</v>
      </c>
      <c r="N129" s="10">
        <v>1.17247911599868E-2</v>
      </c>
      <c r="O129" s="5">
        <v>8.17</v>
      </c>
      <c r="P129" s="4">
        <v>208.77973928930399</v>
      </c>
      <c r="Q129" s="5">
        <v>0.18</v>
      </c>
      <c r="R129" s="11">
        <f t="shared" si="1"/>
        <v>1.0438986964465199E-3</v>
      </c>
      <c r="V129" s="5"/>
      <c r="W129" s="5"/>
    </row>
    <row r="130" spans="1:23" x14ac:dyDescent="0.25">
      <c r="B130" s="1">
        <v>12</v>
      </c>
      <c r="C130" s="4">
        <v>500</v>
      </c>
      <c r="D130" s="1">
        <v>3</v>
      </c>
      <c r="E130" s="3">
        <v>142</v>
      </c>
      <c r="F130" s="5">
        <v>3.2690000000000001</v>
      </c>
      <c r="G130" s="1">
        <v>25</v>
      </c>
      <c r="H130" s="1">
        <v>31</v>
      </c>
      <c r="I130" s="1">
        <v>400</v>
      </c>
      <c r="J130" s="1">
        <v>161</v>
      </c>
      <c r="K130" s="1">
        <v>330</v>
      </c>
      <c r="L130" s="1">
        <v>9646</v>
      </c>
      <c r="M130" s="4">
        <v>34.253185076506</v>
      </c>
      <c r="N130" s="10">
        <v>1.17247911599868E-2</v>
      </c>
      <c r="O130" s="5">
        <v>9.92</v>
      </c>
      <c r="P130" s="4">
        <v>253.50000168297299</v>
      </c>
      <c r="Q130" s="5">
        <v>0.23</v>
      </c>
      <c r="R130" s="11">
        <f t="shared" si="1"/>
        <v>1.2675000084148649E-3</v>
      </c>
      <c r="V130" s="5"/>
      <c r="W130" s="5"/>
    </row>
    <row r="131" spans="1:23" x14ac:dyDescent="0.25">
      <c r="B131" s="1">
        <v>12</v>
      </c>
      <c r="C131" s="4">
        <v>500</v>
      </c>
      <c r="D131" s="1">
        <v>3</v>
      </c>
      <c r="E131" s="3">
        <v>142</v>
      </c>
      <c r="F131" s="5">
        <v>3.2690000000000001</v>
      </c>
      <c r="G131" s="1">
        <v>25</v>
      </c>
      <c r="H131" s="1">
        <v>31</v>
      </c>
      <c r="I131" s="1">
        <v>400</v>
      </c>
      <c r="J131" s="1">
        <v>161</v>
      </c>
      <c r="K131" s="1">
        <v>330</v>
      </c>
      <c r="L131" s="1">
        <v>9646</v>
      </c>
      <c r="M131" s="4">
        <v>34.253185076506</v>
      </c>
      <c r="N131" s="10">
        <v>1.17247911599868E-2</v>
      </c>
      <c r="O131" s="5">
        <v>11.67</v>
      </c>
      <c r="P131" s="4">
        <v>298.22026407664299</v>
      </c>
      <c r="Q131" s="5">
        <v>0.25</v>
      </c>
      <c r="R131" s="11">
        <f t="shared" ref="R131:R194" si="2">P131/200000</f>
        <v>1.4911013203832149E-3</v>
      </c>
      <c r="V131" s="5"/>
      <c r="W131" s="5"/>
    </row>
    <row r="132" spans="1:23" x14ac:dyDescent="0.25">
      <c r="A132" t="s">
        <v>52</v>
      </c>
      <c r="B132" s="1">
        <v>12</v>
      </c>
      <c r="C132" s="4">
        <v>500</v>
      </c>
      <c r="D132" s="1">
        <v>4</v>
      </c>
      <c r="E132" s="3">
        <v>90.67</v>
      </c>
      <c r="F132" s="5">
        <v>3.2690000000000001</v>
      </c>
      <c r="G132" s="1">
        <v>25</v>
      </c>
      <c r="H132" s="1">
        <v>31</v>
      </c>
      <c r="I132" s="1">
        <v>400</v>
      </c>
      <c r="J132" s="1">
        <v>161</v>
      </c>
      <c r="K132" s="1">
        <v>440</v>
      </c>
      <c r="L132" s="1">
        <v>36400</v>
      </c>
      <c r="M132" s="4">
        <v>38.636261189159299</v>
      </c>
      <c r="N132" s="10">
        <v>1.20879120879121E-2</v>
      </c>
      <c r="O132" s="5">
        <v>11.67</v>
      </c>
      <c r="P132" s="4">
        <v>226.45530266576</v>
      </c>
      <c r="Q132" s="5">
        <v>0.15</v>
      </c>
      <c r="R132" s="11">
        <f t="shared" si="2"/>
        <v>1.1322765133288E-3</v>
      </c>
      <c r="V132" s="5"/>
      <c r="W132" s="5"/>
    </row>
    <row r="133" spans="1:23" x14ac:dyDescent="0.25">
      <c r="B133" s="1">
        <v>12</v>
      </c>
      <c r="C133" s="4">
        <v>500</v>
      </c>
      <c r="D133" s="1">
        <v>4</v>
      </c>
      <c r="E133" s="3">
        <v>90.67</v>
      </c>
      <c r="F133" s="5">
        <v>3.2690000000000001</v>
      </c>
      <c r="G133" s="1">
        <v>25</v>
      </c>
      <c r="H133" s="1">
        <v>31</v>
      </c>
      <c r="I133" s="1">
        <v>400</v>
      </c>
      <c r="J133" s="1">
        <v>161</v>
      </c>
      <c r="K133" s="1">
        <v>440</v>
      </c>
      <c r="L133" s="1">
        <v>36400</v>
      </c>
      <c r="M133" s="4">
        <v>38.636261189159299</v>
      </c>
      <c r="N133" s="10">
        <v>1.20879120879121E-2</v>
      </c>
      <c r="O133" s="5">
        <v>13.42</v>
      </c>
      <c r="P133" s="4">
        <v>260.41389561049601</v>
      </c>
      <c r="Q133" s="5">
        <v>0.15</v>
      </c>
      <c r="R133" s="11">
        <f t="shared" si="2"/>
        <v>1.3020694780524801E-3</v>
      </c>
      <c r="V133" s="5"/>
      <c r="W133" s="5"/>
    </row>
    <row r="134" spans="1:23" x14ac:dyDescent="0.25">
      <c r="B134" s="1">
        <v>12</v>
      </c>
      <c r="C134" s="4">
        <v>500</v>
      </c>
      <c r="D134" s="1">
        <v>4</v>
      </c>
      <c r="E134" s="3">
        <v>90.67</v>
      </c>
      <c r="F134" s="5">
        <v>3.2690000000000001</v>
      </c>
      <c r="G134" s="1">
        <v>25</v>
      </c>
      <c r="H134" s="1">
        <v>31</v>
      </c>
      <c r="I134" s="1">
        <v>400</v>
      </c>
      <c r="J134" s="1">
        <v>161</v>
      </c>
      <c r="K134" s="1">
        <v>440</v>
      </c>
      <c r="L134" s="1">
        <v>36400</v>
      </c>
      <c r="M134" s="4">
        <v>38.636261189159299</v>
      </c>
      <c r="N134" s="10">
        <v>1.20879120879121E-2</v>
      </c>
      <c r="O134" s="5">
        <v>15.17</v>
      </c>
      <c r="P134" s="4">
        <v>294.37248855523302</v>
      </c>
      <c r="Q134" s="5">
        <v>0.18</v>
      </c>
      <c r="R134" s="11">
        <f t="shared" si="2"/>
        <v>1.4718624427761651E-3</v>
      </c>
      <c r="V134" s="5"/>
      <c r="W134" s="5"/>
    </row>
    <row r="135" spans="1:23" x14ac:dyDescent="0.25">
      <c r="A135" t="s">
        <v>53</v>
      </c>
      <c r="B135" s="1">
        <v>12</v>
      </c>
      <c r="C135" s="4">
        <v>500</v>
      </c>
      <c r="D135" s="1">
        <v>4</v>
      </c>
      <c r="E135" s="3">
        <v>90.67</v>
      </c>
      <c r="F135" s="5">
        <v>3.2690000000000001</v>
      </c>
      <c r="G135" s="1">
        <v>25</v>
      </c>
      <c r="H135" s="1">
        <v>31</v>
      </c>
      <c r="I135" s="1">
        <v>400</v>
      </c>
      <c r="J135" s="1">
        <v>161</v>
      </c>
      <c r="K135" s="1">
        <v>440</v>
      </c>
      <c r="L135" s="1">
        <v>36400</v>
      </c>
      <c r="M135" s="4">
        <v>38.636261189159299</v>
      </c>
      <c r="N135" s="10">
        <v>1.20879120879121E-2</v>
      </c>
      <c r="O135" s="5">
        <v>11.67</v>
      </c>
      <c r="P135" s="4">
        <v>226.45530266576</v>
      </c>
      <c r="Q135" s="5">
        <v>0.18</v>
      </c>
      <c r="R135" s="11">
        <f t="shared" si="2"/>
        <v>1.1322765133288E-3</v>
      </c>
      <c r="V135" s="5"/>
      <c r="W135" s="5"/>
    </row>
    <row r="136" spans="1:23" x14ac:dyDescent="0.25">
      <c r="B136" s="1">
        <v>12</v>
      </c>
      <c r="C136" s="4">
        <v>500</v>
      </c>
      <c r="D136" s="1">
        <v>4</v>
      </c>
      <c r="E136" s="3">
        <v>90.67</v>
      </c>
      <c r="F136" s="5">
        <v>3.2690000000000001</v>
      </c>
      <c r="G136" s="1">
        <v>25</v>
      </c>
      <c r="H136" s="1">
        <v>31</v>
      </c>
      <c r="I136" s="1">
        <v>400</v>
      </c>
      <c r="J136" s="1">
        <v>161</v>
      </c>
      <c r="K136" s="1">
        <v>440</v>
      </c>
      <c r="L136" s="1">
        <v>36400</v>
      </c>
      <c r="M136" s="4">
        <v>38.636261189159299</v>
      </c>
      <c r="N136" s="10">
        <v>1.20879120879121E-2</v>
      </c>
      <c r="O136" s="5">
        <v>13.42</v>
      </c>
      <c r="P136" s="4">
        <v>260.41389561049601</v>
      </c>
      <c r="Q136" s="5">
        <v>0.2</v>
      </c>
      <c r="R136" s="11">
        <f t="shared" si="2"/>
        <v>1.3020694780524801E-3</v>
      </c>
      <c r="V136" s="5"/>
      <c r="W136" s="5"/>
    </row>
    <row r="137" spans="1:23" x14ac:dyDescent="0.25">
      <c r="B137" s="1">
        <v>12</v>
      </c>
      <c r="C137" s="4">
        <v>500</v>
      </c>
      <c r="D137" s="1">
        <v>4</v>
      </c>
      <c r="E137" s="3">
        <v>90.67</v>
      </c>
      <c r="F137" s="5">
        <v>3.2690000000000001</v>
      </c>
      <c r="G137" s="1">
        <v>25</v>
      </c>
      <c r="H137" s="1">
        <v>31</v>
      </c>
      <c r="I137" s="1">
        <v>400</v>
      </c>
      <c r="J137" s="1">
        <v>161</v>
      </c>
      <c r="K137" s="1">
        <v>440</v>
      </c>
      <c r="L137" s="1">
        <v>36400</v>
      </c>
      <c r="M137" s="4">
        <v>38.636261189159299</v>
      </c>
      <c r="N137" s="10">
        <v>1.20879120879121E-2</v>
      </c>
      <c r="O137" s="5">
        <v>15.17</v>
      </c>
      <c r="P137" s="4">
        <v>294.37248855523302</v>
      </c>
      <c r="Q137" s="5">
        <v>0.23</v>
      </c>
      <c r="R137" s="11">
        <f t="shared" si="2"/>
        <v>1.4718624427761651E-3</v>
      </c>
      <c r="V137" s="5"/>
      <c r="W137" s="5"/>
    </row>
    <row r="138" spans="1:23" x14ac:dyDescent="0.25">
      <c r="A138" t="s">
        <v>54</v>
      </c>
      <c r="B138" s="1">
        <v>10</v>
      </c>
      <c r="C138" s="4">
        <v>528</v>
      </c>
      <c r="D138" s="1">
        <v>1</v>
      </c>
      <c r="E138" s="3">
        <v>45</v>
      </c>
      <c r="F138" s="5">
        <v>2.8</v>
      </c>
      <c r="G138" s="1">
        <v>40</v>
      </c>
      <c r="H138" s="1">
        <v>45</v>
      </c>
      <c r="I138" s="1">
        <v>100</v>
      </c>
      <c r="J138" s="1">
        <v>250</v>
      </c>
      <c r="K138" s="1">
        <v>78.5</v>
      </c>
      <c r="L138" s="1">
        <v>9500</v>
      </c>
      <c r="M138" s="4">
        <v>43.4459689087927</v>
      </c>
      <c r="N138" s="10">
        <v>8.2631578947368403E-3</v>
      </c>
      <c r="O138" s="5">
        <v>4.0999999999999996</v>
      </c>
      <c r="P138" s="4">
        <v>274.14363221273101</v>
      </c>
      <c r="Q138" s="5">
        <v>0.16</v>
      </c>
      <c r="R138" s="11">
        <f t="shared" si="2"/>
        <v>1.370718161063655E-3</v>
      </c>
      <c r="V138" s="5"/>
      <c r="W138" s="5"/>
    </row>
    <row r="139" spans="1:23" x14ac:dyDescent="0.25">
      <c r="B139" s="1">
        <v>10</v>
      </c>
      <c r="C139" s="4">
        <v>528</v>
      </c>
      <c r="D139" s="1">
        <v>1</v>
      </c>
      <c r="E139" s="3">
        <v>45</v>
      </c>
      <c r="F139" s="5">
        <v>2.8</v>
      </c>
      <c r="G139" s="1">
        <v>40</v>
      </c>
      <c r="H139" s="1">
        <v>45</v>
      </c>
      <c r="I139" s="1">
        <v>100</v>
      </c>
      <c r="J139" s="1">
        <v>250</v>
      </c>
      <c r="K139" s="1">
        <v>78.5</v>
      </c>
      <c r="L139" s="1">
        <v>9500</v>
      </c>
      <c r="M139" s="4">
        <v>43.4459689087927</v>
      </c>
      <c r="N139" s="10">
        <v>8.2631578947368403E-3</v>
      </c>
      <c r="O139" s="5">
        <v>4.4000000000000004</v>
      </c>
      <c r="P139" s="4">
        <v>294.202922374639</v>
      </c>
      <c r="Q139" s="5">
        <v>0.18</v>
      </c>
      <c r="R139" s="11">
        <f t="shared" si="2"/>
        <v>1.471014611873195E-3</v>
      </c>
      <c r="V139" s="5"/>
      <c r="W139" s="5"/>
    </row>
    <row r="140" spans="1:23" x14ac:dyDescent="0.25">
      <c r="B140" s="1">
        <v>10</v>
      </c>
      <c r="C140" s="4">
        <v>528</v>
      </c>
      <c r="D140" s="1">
        <v>1</v>
      </c>
      <c r="E140" s="3">
        <v>45</v>
      </c>
      <c r="F140" s="5">
        <v>2.8</v>
      </c>
      <c r="G140" s="1">
        <v>40</v>
      </c>
      <c r="H140" s="1">
        <v>45</v>
      </c>
      <c r="I140" s="1">
        <v>100</v>
      </c>
      <c r="J140" s="1">
        <v>250</v>
      </c>
      <c r="K140" s="1">
        <v>78.5</v>
      </c>
      <c r="L140" s="1">
        <v>9500</v>
      </c>
      <c r="M140" s="4">
        <v>43.4459689087927</v>
      </c>
      <c r="N140" s="10">
        <v>8.2631578947368403E-3</v>
      </c>
      <c r="O140" s="5">
        <v>4.74</v>
      </c>
      <c r="P140" s="4">
        <v>316.93678455813301</v>
      </c>
      <c r="Q140" s="5">
        <v>0.2</v>
      </c>
      <c r="R140" s="11">
        <f t="shared" si="2"/>
        <v>1.584683922790665E-3</v>
      </c>
      <c r="V140" s="5"/>
      <c r="W140" s="5"/>
    </row>
    <row r="141" spans="1:23" x14ac:dyDescent="0.25">
      <c r="B141" s="1">
        <v>10</v>
      </c>
      <c r="C141" s="4">
        <v>528</v>
      </c>
      <c r="D141" s="1">
        <v>1</v>
      </c>
      <c r="E141" s="3">
        <v>45</v>
      </c>
      <c r="F141" s="5">
        <v>2.8</v>
      </c>
      <c r="G141" s="1">
        <v>40</v>
      </c>
      <c r="H141" s="1">
        <v>45</v>
      </c>
      <c r="I141" s="1">
        <v>100</v>
      </c>
      <c r="J141" s="1">
        <v>250</v>
      </c>
      <c r="K141" s="1">
        <v>78.5</v>
      </c>
      <c r="L141" s="1">
        <v>9500</v>
      </c>
      <c r="M141" s="4">
        <v>43.4459689087927</v>
      </c>
      <c r="N141" s="10">
        <v>8.2631578947368403E-3</v>
      </c>
      <c r="O141" s="5">
        <v>5.04</v>
      </c>
      <c r="P141" s="4">
        <v>336.99607472004101</v>
      </c>
      <c r="Q141" s="5">
        <v>0.22</v>
      </c>
      <c r="R141" s="11">
        <f t="shared" si="2"/>
        <v>1.684980373600205E-3</v>
      </c>
      <c r="V141" s="5"/>
      <c r="W141" s="5"/>
    </row>
    <row r="142" spans="1:23" x14ac:dyDescent="0.25">
      <c r="B142" s="1">
        <v>10</v>
      </c>
      <c r="C142" s="4">
        <v>528</v>
      </c>
      <c r="D142" s="1">
        <v>1</v>
      </c>
      <c r="E142" s="3">
        <v>45</v>
      </c>
      <c r="F142" s="5">
        <v>2.8</v>
      </c>
      <c r="G142" s="1">
        <v>40</v>
      </c>
      <c r="H142" s="1">
        <v>45</v>
      </c>
      <c r="I142" s="1">
        <v>100</v>
      </c>
      <c r="J142" s="1">
        <v>250</v>
      </c>
      <c r="K142" s="1">
        <v>78.5</v>
      </c>
      <c r="L142" s="1">
        <v>9500</v>
      </c>
      <c r="M142" s="4">
        <v>43.4459689087927</v>
      </c>
      <c r="N142" s="10">
        <v>8.2631578947368403E-3</v>
      </c>
      <c r="O142" s="5">
        <v>5.38</v>
      </c>
      <c r="P142" s="4">
        <v>359.72993690353502</v>
      </c>
      <c r="Q142" s="5">
        <v>0.24</v>
      </c>
      <c r="R142" s="11">
        <f t="shared" si="2"/>
        <v>1.798649684517675E-3</v>
      </c>
      <c r="V142" s="5"/>
      <c r="W142" s="5"/>
    </row>
    <row r="143" spans="1:23" x14ac:dyDescent="0.25">
      <c r="B143" s="1">
        <v>10</v>
      </c>
      <c r="C143" s="4">
        <v>528</v>
      </c>
      <c r="D143" s="1">
        <v>1</v>
      </c>
      <c r="E143" s="3">
        <v>45</v>
      </c>
      <c r="F143" s="5">
        <v>2.8</v>
      </c>
      <c r="G143" s="1">
        <v>40</v>
      </c>
      <c r="H143" s="1">
        <v>45</v>
      </c>
      <c r="I143" s="1">
        <v>100</v>
      </c>
      <c r="J143" s="1">
        <v>250</v>
      </c>
      <c r="K143" s="1">
        <v>78.5</v>
      </c>
      <c r="L143" s="1">
        <v>9500</v>
      </c>
      <c r="M143" s="4">
        <v>43.4459689087927</v>
      </c>
      <c r="N143" s="10">
        <v>8.2631578947368403E-3</v>
      </c>
      <c r="O143" s="5">
        <v>5.68</v>
      </c>
      <c r="P143" s="4">
        <v>379.78922706544199</v>
      </c>
      <c r="Q143" s="5">
        <v>0.26</v>
      </c>
      <c r="R143" s="11">
        <f t="shared" si="2"/>
        <v>1.89894613532721E-3</v>
      </c>
      <c r="V143" s="5"/>
      <c r="W143" s="5"/>
    </row>
    <row r="144" spans="1:23" x14ac:dyDescent="0.25">
      <c r="B144" s="1">
        <v>10</v>
      </c>
      <c r="C144" s="4">
        <v>528</v>
      </c>
      <c r="D144" s="1">
        <v>1</v>
      </c>
      <c r="E144" s="3">
        <v>45</v>
      </c>
      <c r="F144" s="5">
        <v>2.8</v>
      </c>
      <c r="G144" s="1">
        <v>40</v>
      </c>
      <c r="H144" s="1">
        <v>45</v>
      </c>
      <c r="I144" s="1">
        <v>100</v>
      </c>
      <c r="J144" s="1">
        <v>250</v>
      </c>
      <c r="K144" s="1">
        <v>78.5</v>
      </c>
      <c r="L144" s="1">
        <v>9500</v>
      </c>
      <c r="M144" s="4">
        <v>43.4459689087927</v>
      </c>
      <c r="N144" s="10">
        <v>8.2631578947368403E-3</v>
      </c>
      <c r="O144" s="5">
        <v>6.04</v>
      </c>
      <c r="P144" s="4">
        <v>403.86037525973097</v>
      </c>
      <c r="Q144" s="5">
        <v>0.28000000000000003</v>
      </c>
      <c r="R144" s="11">
        <f t="shared" si="2"/>
        <v>2.019301876298655E-3</v>
      </c>
      <c r="V144" s="5"/>
      <c r="W144" s="5"/>
    </row>
    <row r="145" spans="1:23" x14ac:dyDescent="0.25">
      <c r="A145" t="s">
        <v>55</v>
      </c>
      <c r="B145" s="1">
        <v>10</v>
      </c>
      <c r="C145" s="4">
        <v>528</v>
      </c>
      <c r="D145" s="1">
        <v>1</v>
      </c>
      <c r="E145" s="3">
        <v>45</v>
      </c>
      <c r="F145" s="5">
        <v>2.8</v>
      </c>
      <c r="G145" s="1">
        <v>40</v>
      </c>
      <c r="H145" s="1">
        <v>45</v>
      </c>
      <c r="I145" s="1">
        <v>100</v>
      </c>
      <c r="J145" s="1">
        <v>250</v>
      </c>
      <c r="K145" s="1">
        <v>78.5</v>
      </c>
      <c r="L145" s="1">
        <v>9500</v>
      </c>
      <c r="M145" s="4">
        <v>43.4459689087927</v>
      </c>
      <c r="N145" s="10">
        <v>8.2631578947368403E-3</v>
      </c>
      <c r="O145" s="5">
        <v>3.76</v>
      </c>
      <c r="P145" s="4">
        <v>251.409770029237</v>
      </c>
      <c r="Q145" s="5">
        <v>0.15</v>
      </c>
      <c r="R145" s="11">
        <f t="shared" si="2"/>
        <v>1.257048850146185E-3</v>
      </c>
      <c r="V145" s="5"/>
      <c r="W145" s="5"/>
    </row>
    <row r="146" spans="1:23" x14ac:dyDescent="0.25">
      <c r="B146" s="1">
        <v>10</v>
      </c>
      <c r="C146" s="4">
        <v>528</v>
      </c>
      <c r="D146" s="1">
        <v>1</v>
      </c>
      <c r="E146" s="3">
        <v>45</v>
      </c>
      <c r="F146" s="5">
        <v>2.8</v>
      </c>
      <c r="G146" s="1">
        <v>40</v>
      </c>
      <c r="H146" s="1">
        <v>45</v>
      </c>
      <c r="I146" s="1">
        <v>100</v>
      </c>
      <c r="J146" s="1">
        <v>250</v>
      </c>
      <c r="K146" s="1">
        <v>78.5</v>
      </c>
      <c r="L146" s="1">
        <v>9500</v>
      </c>
      <c r="M146" s="4">
        <v>43.4459689087927</v>
      </c>
      <c r="N146" s="10">
        <v>8.2631578947368403E-3</v>
      </c>
      <c r="O146" s="5">
        <v>4.0999999999999996</v>
      </c>
      <c r="P146" s="4">
        <v>274.14363221273101</v>
      </c>
      <c r="Q146" s="5">
        <v>0.17</v>
      </c>
      <c r="R146" s="11">
        <f t="shared" si="2"/>
        <v>1.370718161063655E-3</v>
      </c>
      <c r="V146" s="5"/>
      <c r="W146" s="5"/>
    </row>
    <row r="147" spans="1:23" x14ac:dyDescent="0.25">
      <c r="B147" s="1">
        <v>10</v>
      </c>
      <c r="C147" s="4">
        <v>528</v>
      </c>
      <c r="D147" s="1">
        <v>1</v>
      </c>
      <c r="E147" s="3">
        <v>45</v>
      </c>
      <c r="F147" s="5">
        <v>2.8</v>
      </c>
      <c r="G147" s="1">
        <v>40</v>
      </c>
      <c r="H147" s="1">
        <v>45</v>
      </c>
      <c r="I147" s="1">
        <v>100</v>
      </c>
      <c r="J147" s="1">
        <v>250</v>
      </c>
      <c r="K147" s="1">
        <v>78.5</v>
      </c>
      <c r="L147" s="1">
        <v>9500</v>
      </c>
      <c r="M147" s="4">
        <v>43.4459689087927</v>
      </c>
      <c r="N147" s="10">
        <v>8.2631578947368403E-3</v>
      </c>
      <c r="O147" s="5">
        <v>4.42</v>
      </c>
      <c r="P147" s="4">
        <v>295.54020838543198</v>
      </c>
      <c r="Q147" s="5">
        <v>0.19</v>
      </c>
      <c r="R147" s="11">
        <f t="shared" si="2"/>
        <v>1.47770104192716E-3</v>
      </c>
      <c r="V147" s="5"/>
      <c r="W147" s="5"/>
    </row>
    <row r="148" spans="1:23" x14ac:dyDescent="0.25">
      <c r="B148" s="1">
        <v>10</v>
      </c>
      <c r="C148" s="4">
        <v>528</v>
      </c>
      <c r="D148" s="1">
        <v>1</v>
      </c>
      <c r="E148" s="3">
        <v>45</v>
      </c>
      <c r="F148" s="5">
        <v>2.8</v>
      </c>
      <c r="G148" s="1">
        <v>40</v>
      </c>
      <c r="H148" s="1">
        <v>45</v>
      </c>
      <c r="I148" s="1">
        <v>100</v>
      </c>
      <c r="J148" s="1">
        <v>250</v>
      </c>
      <c r="K148" s="1">
        <v>78.5</v>
      </c>
      <c r="L148" s="1">
        <v>9500</v>
      </c>
      <c r="M148" s="4">
        <v>43.4459689087927</v>
      </c>
      <c r="N148" s="10">
        <v>8.2631578947368403E-3</v>
      </c>
      <c r="O148" s="5">
        <v>4.71</v>
      </c>
      <c r="P148" s="4">
        <v>314.930855541943</v>
      </c>
      <c r="Q148" s="5">
        <v>0.2</v>
      </c>
      <c r="R148" s="11">
        <f t="shared" si="2"/>
        <v>1.574654277709715E-3</v>
      </c>
      <c r="V148" s="5"/>
      <c r="W148" s="5"/>
    </row>
    <row r="149" spans="1:23" x14ac:dyDescent="0.25">
      <c r="B149" s="1">
        <v>10</v>
      </c>
      <c r="C149" s="4">
        <v>528</v>
      </c>
      <c r="D149" s="1">
        <v>1</v>
      </c>
      <c r="E149" s="3">
        <v>45</v>
      </c>
      <c r="F149" s="5">
        <v>2.8</v>
      </c>
      <c r="G149" s="1">
        <v>40</v>
      </c>
      <c r="H149" s="1">
        <v>45</v>
      </c>
      <c r="I149" s="1">
        <v>100</v>
      </c>
      <c r="J149" s="1">
        <v>250</v>
      </c>
      <c r="K149" s="1">
        <v>78.5</v>
      </c>
      <c r="L149" s="1">
        <v>9500</v>
      </c>
      <c r="M149" s="4">
        <v>43.4459689087927</v>
      </c>
      <c r="N149" s="10">
        <v>8.2631578947368403E-3</v>
      </c>
      <c r="O149" s="5">
        <v>5.04</v>
      </c>
      <c r="P149" s="4">
        <v>336.99607472004101</v>
      </c>
      <c r="Q149" s="5">
        <v>0.22</v>
      </c>
      <c r="R149" s="11">
        <f t="shared" si="2"/>
        <v>1.684980373600205E-3</v>
      </c>
      <c r="V149" s="5"/>
      <c r="W149" s="5"/>
    </row>
    <row r="150" spans="1:23" x14ac:dyDescent="0.25">
      <c r="B150" s="1">
        <v>10</v>
      </c>
      <c r="C150" s="4">
        <v>528</v>
      </c>
      <c r="D150" s="1">
        <v>1</v>
      </c>
      <c r="E150" s="3">
        <v>45</v>
      </c>
      <c r="F150" s="5">
        <v>2.8</v>
      </c>
      <c r="G150" s="1">
        <v>40</v>
      </c>
      <c r="H150" s="1">
        <v>45</v>
      </c>
      <c r="I150" s="1">
        <v>100</v>
      </c>
      <c r="J150" s="1">
        <v>250</v>
      </c>
      <c r="K150" s="1">
        <v>78.5</v>
      </c>
      <c r="L150" s="1">
        <v>9500</v>
      </c>
      <c r="M150" s="4">
        <v>43.4459689087927</v>
      </c>
      <c r="N150" s="10">
        <v>8.2631578947368403E-3</v>
      </c>
      <c r="O150" s="5">
        <v>5.37</v>
      </c>
      <c r="P150" s="4">
        <v>359.06129389813799</v>
      </c>
      <c r="Q150" s="5">
        <v>0.24</v>
      </c>
      <c r="R150" s="11">
        <f t="shared" si="2"/>
        <v>1.79530646949069E-3</v>
      </c>
      <c r="V150" s="5"/>
      <c r="W150" s="5"/>
    </row>
    <row r="151" spans="1:23" x14ac:dyDescent="0.25">
      <c r="B151" s="1">
        <v>10</v>
      </c>
      <c r="C151" s="4">
        <v>528</v>
      </c>
      <c r="D151" s="1">
        <v>1</v>
      </c>
      <c r="E151" s="3">
        <v>45</v>
      </c>
      <c r="F151" s="5">
        <v>2.8</v>
      </c>
      <c r="G151" s="1">
        <v>40</v>
      </c>
      <c r="H151" s="1">
        <v>45</v>
      </c>
      <c r="I151" s="1">
        <v>100</v>
      </c>
      <c r="J151" s="1">
        <v>250</v>
      </c>
      <c r="K151" s="1">
        <v>78.5</v>
      </c>
      <c r="L151" s="1">
        <v>9500</v>
      </c>
      <c r="M151" s="4">
        <v>43.4459689087927</v>
      </c>
      <c r="N151" s="10">
        <v>8.2631578947368403E-3</v>
      </c>
      <c r="O151" s="5">
        <v>5.65</v>
      </c>
      <c r="P151" s="4">
        <v>377.78329804925198</v>
      </c>
      <c r="Q151" s="5">
        <v>0.26</v>
      </c>
      <c r="R151" s="11">
        <f t="shared" si="2"/>
        <v>1.8889164902462599E-3</v>
      </c>
      <c r="V151" s="5"/>
      <c r="W151" s="5"/>
    </row>
    <row r="152" spans="1:23" x14ac:dyDescent="0.25">
      <c r="B152" s="1">
        <v>10</v>
      </c>
      <c r="C152" s="4">
        <v>528</v>
      </c>
      <c r="D152" s="1">
        <v>1</v>
      </c>
      <c r="E152" s="3">
        <v>45</v>
      </c>
      <c r="F152" s="5">
        <v>2.8</v>
      </c>
      <c r="G152" s="1">
        <v>40</v>
      </c>
      <c r="H152" s="1">
        <v>45</v>
      </c>
      <c r="I152" s="1">
        <v>100</v>
      </c>
      <c r="J152" s="1">
        <v>250</v>
      </c>
      <c r="K152" s="1">
        <v>78.5</v>
      </c>
      <c r="L152" s="1">
        <v>9500</v>
      </c>
      <c r="M152" s="4">
        <v>43.4459689087927</v>
      </c>
      <c r="N152" s="10">
        <v>8.2631578947368403E-3</v>
      </c>
      <c r="O152" s="5">
        <v>5.92</v>
      </c>
      <c r="P152" s="4">
        <v>395.83665919496798</v>
      </c>
      <c r="Q152" s="5">
        <v>0.28999999999999998</v>
      </c>
      <c r="R152" s="11">
        <f t="shared" si="2"/>
        <v>1.9791832959748399E-3</v>
      </c>
      <c r="V152" s="5"/>
      <c r="W152" s="5"/>
    </row>
    <row r="153" spans="1:23" x14ac:dyDescent="0.25">
      <c r="A153" t="s">
        <v>56</v>
      </c>
      <c r="B153" s="1">
        <v>20</v>
      </c>
      <c r="C153" s="4">
        <v>598</v>
      </c>
      <c r="D153" s="1">
        <v>1</v>
      </c>
      <c r="E153" s="3">
        <v>40</v>
      </c>
      <c r="F153" s="5">
        <v>2.8</v>
      </c>
      <c r="G153" s="1">
        <v>40</v>
      </c>
      <c r="H153" s="1">
        <v>50</v>
      </c>
      <c r="I153" s="1">
        <v>100</v>
      </c>
      <c r="J153" s="1">
        <v>250</v>
      </c>
      <c r="K153" s="1">
        <v>315</v>
      </c>
      <c r="L153" s="1">
        <v>15000</v>
      </c>
      <c r="M153" s="4">
        <v>75.400393066082202</v>
      </c>
      <c r="N153" s="10">
        <v>2.1000000000000001E-2</v>
      </c>
      <c r="O153" s="5">
        <v>11.09</v>
      </c>
      <c r="P153" s="4">
        <v>201.33268539095999</v>
      </c>
      <c r="Q153" s="5">
        <v>0.17</v>
      </c>
      <c r="R153" s="11">
        <f t="shared" si="2"/>
        <v>1.0066634269547999E-3</v>
      </c>
      <c r="V153" s="5"/>
      <c r="W153" s="5"/>
    </row>
    <row r="154" spans="1:23" x14ac:dyDescent="0.25">
      <c r="B154" s="1">
        <v>20</v>
      </c>
      <c r="C154" s="4">
        <v>598</v>
      </c>
      <c r="D154" s="1">
        <v>1</v>
      </c>
      <c r="E154" s="3">
        <v>40</v>
      </c>
      <c r="F154" s="5">
        <v>2.8</v>
      </c>
      <c r="G154" s="1">
        <v>40</v>
      </c>
      <c r="H154" s="1">
        <v>50</v>
      </c>
      <c r="I154" s="1">
        <v>100</v>
      </c>
      <c r="J154" s="1">
        <v>250</v>
      </c>
      <c r="K154" s="1">
        <v>315</v>
      </c>
      <c r="L154" s="1">
        <v>15000</v>
      </c>
      <c r="M154" s="4">
        <v>75.400393066082202</v>
      </c>
      <c r="N154" s="10">
        <v>2.1000000000000001E-2</v>
      </c>
      <c r="O154" s="5">
        <v>12.96</v>
      </c>
      <c r="P154" s="4">
        <v>235.281479050211</v>
      </c>
      <c r="Q154" s="5">
        <v>0.2</v>
      </c>
      <c r="R154" s="11">
        <f t="shared" si="2"/>
        <v>1.1764073952510549E-3</v>
      </c>
      <c r="V154" s="5"/>
      <c r="W154" s="5"/>
    </row>
    <row r="155" spans="1:23" x14ac:dyDescent="0.25">
      <c r="B155" s="1">
        <v>20</v>
      </c>
      <c r="C155" s="4">
        <v>598</v>
      </c>
      <c r="D155" s="1">
        <v>1</v>
      </c>
      <c r="E155" s="3">
        <v>40</v>
      </c>
      <c r="F155" s="5">
        <v>2.8</v>
      </c>
      <c r="G155" s="1">
        <v>40</v>
      </c>
      <c r="H155" s="1">
        <v>50</v>
      </c>
      <c r="I155" s="1">
        <v>100</v>
      </c>
      <c r="J155" s="1">
        <v>250</v>
      </c>
      <c r="K155" s="1">
        <v>315</v>
      </c>
      <c r="L155" s="1">
        <v>15000</v>
      </c>
      <c r="M155" s="4">
        <v>75.400393066082202</v>
      </c>
      <c r="N155" s="10">
        <v>2.1000000000000001E-2</v>
      </c>
      <c r="O155" s="5">
        <v>14.77</v>
      </c>
      <c r="P155" s="4">
        <v>268.14100660274801</v>
      </c>
      <c r="Q155" s="5">
        <v>0.24</v>
      </c>
      <c r="R155" s="11">
        <f t="shared" si="2"/>
        <v>1.3407050330137399E-3</v>
      </c>
      <c r="V155" s="5"/>
      <c r="W155" s="5"/>
    </row>
    <row r="156" spans="1:23" x14ac:dyDescent="0.25">
      <c r="B156" s="1">
        <v>20</v>
      </c>
      <c r="C156" s="4">
        <v>598</v>
      </c>
      <c r="D156" s="1">
        <v>1</v>
      </c>
      <c r="E156" s="3">
        <v>40</v>
      </c>
      <c r="F156" s="5">
        <v>2.8</v>
      </c>
      <c r="G156" s="1">
        <v>40</v>
      </c>
      <c r="H156" s="1">
        <v>50</v>
      </c>
      <c r="I156" s="1">
        <v>100</v>
      </c>
      <c r="J156" s="1">
        <v>250</v>
      </c>
      <c r="K156" s="1">
        <v>315</v>
      </c>
      <c r="L156" s="1">
        <v>15000</v>
      </c>
      <c r="M156" s="4">
        <v>75.400393066082202</v>
      </c>
      <c r="N156" s="10">
        <v>2.1000000000000001E-2</v>
      </c>
      <c r="O156" s="5">
        <v>16.57</v>
      </c>
      <c r="P156" s="4">
        <v>300.81898980416599</v>
      </c>
      <c r="Q156" s="5">
        <v>0.27</v>
      </c>
      <c r="R156" s="11">
        <f t="shared" si="2"/>
        <v>1.5040949490208299E-3</v>
      </c>
      <c r="V156" s="5"/>
      <c r="W156" s="5"/>
    </row>
    <row r="157" spans="1:23" x14ac:dyDescent="0.25">
      <c r="B157" s="1">
        <v>20</v>
      </c>
      <c r="C157" s="4">
        <v>598</v>
      </c>
      <c r="D157" s="1">
        <v>1</v>
      </c>
      <c r="E157" s="3">
        <v>40</v>
      </c>
      <c r="F157" s="5">
        <v>2.8</v>
      </c>
      <c r="G157" s="1">
        <v>40</v>
      </c>
      <c r="H157" s="1">
        <v>50</v>
      </c>
      <c r="I157" s="1">
        <v>100</v>
      </c>
      <c r="J157" s="1">
        <v>250</v>
      </c>
      <c r="K157" s="1">
        <v>315</v>
      </c>
      <c r="L157" s="1">
        <v>15000</v>
      </c>
      <c r="M157" s="4">
        <v>75.400393066082202</v>
      </c>
      <c r="N157" s="10">
        <v>2.1000000000000001E-2</v>
      </c>
      <c r="O157" s="5">
        <v>18.350000000000001</v>
      </c>
      <c r="P157" s="4">
        <v>333.13388430334601</v>
      </c>
      <c r="Q157" s="5">
        <v>0.32</v>
      </c>
      <c r="R157" s="11">
        <f t="shared" si="2"/>
        <v>1.66566942151673E-3</v>
      </c>
      <c r="V157" s="5"/>
      <c r="W157" s="5"/>
    </row>
    <row r="158" spans="1:23" x14ac:dyDescent="0.25">
      <c r="B158" s="1">
        <v>20</v>
      </c>
      <c r="C158" s="4">
        <v>598</v>
      </c>
      <c r="D158" s="1">
        <v>1</v>
      </c>
      <c r="E158" s="3">
        <v>40</v>
      </c>
      <c r="F158" s="5">
        <v>2.8</v>
      </c>
      <c r="G158" s="1">
        <v>40</v>
      </c>
      <c r="H158" s="1">
        <v>50</v>
      </c>
      <c r="I158" s="1">
        <v>100</v>
      </c>
      <c r="J158" s="1">
        <v>250</v>
      </c>
      <c r="K158" s="1">
        <v>315</v>
      </c>
      <c r="L158" s="1">
        <v>15000</v>
      </c>
      <c r="M158" s="4">
        <v>75.400393066082202</v>
      </c>
      <c r="N158" s="10">
        <v>2.1000000000000001E-2</v>
      </c>
      <c r="O158" s="5">
        <v>20.18</v>
      </c>
      <c r="P158" s="4">
        <v>366.35650055812101</v>
      </c>
      <c r="Q158" s="5">
        <v>0.34</v>
      </c>
      <c r="R158" s="11">
        <f t="shared" si="2"/>
        <v>1.8317825027906051E-3</v>
      </c>
      <c r="V158" s="5"/>
      <c r="W158" s="5"/>
    </row>
    <row r="159" spans="1:23" x14ac:dyDescent="0.25">
      <c r="A159" t="s">
        <v>57</v>
      </c>
      <c r="B159" s="1">
        <v>20</v>
      </c>
      <c r="C159" s="4">
        <v>598</v>
      </c>
      <c r="D159" s="1">
        <v>1</v>
      </c>
      <c r="E159" s="3">
        <v>40</v>
      </c>
      <c r="F159" s="5">
        <v>2.8</v>
      </c>
      <c r="G159" s="1">
        <v>40</v>
      </c>
      <c r="H159" s="1">
        <v>50</v>
      </c>
      <c r="I159" s="1">
        <v>100</v>
      </c>
      <c r="J159" s="1">
        <v>250</v>
      </c>
      <c r="K159" s="1">
        <v>315</v>
      </c>
      <c r="L159" s="1">
        <v>15000</v>
      </c>
      <c r="M159" s="4">
        <v>75.400393066082202</v>
      </c>
      <c r="N159" s="10">
        <v>2.1000000000000001E-2</v>
      </c>
      <c r="O159" s="5">
        <v>9.35</v>
      </c>
      <c r="P159" s="4">
        <v>169.74396829625499</v>
      </c>
      <c r="Q159" s="5">
        <v>0.16</v>
      </c>
      <c r="R159" s="11">
        <f t="shared" si="2"/>
        <v>8.4871984148127491E-4</v>
      </c>
      <c r="V159" s="5"/>
      <c r="W159" s="5"/>
    </row>
    <row r="160" spans="1:23" x14ac:dyDescent="0.25">
      <c r="B160" s="1">
        <v>20</v>
      </c>
      <c r="C160" s="4">
        <v>598</v>
      </c>
      <c r="D160" s="1">
        <v>1</v>
      </c>
      <c r="E160" s="3">
        <v>40</v>
      </c>
      <c r="F160" s="5">
        <v>2.8</v>
      </c>
      <c r="G160" s="1">
        <v>40</v>
      </c>
      <c r="H160" s="1">
        <v>50</v>
      </c>
      <c r="I160" s="1">
        <v>100</v>
      </c>
      <c r="J160" s="1">
        <v>250</v>
      </c>
      <c r="K160" s="1">
        <v>315</v>
      </c>
      <c r="L160" s="1">
        <v>15000</v>
      </c>
      <c r="M160" s="4">
        <v>75.400393066082202</v>
      </c>
      <c r="N160" s="10">
        <v>2.1000000000000001E-2</v>
      </c>
      <c r="O160" s="5">
        <v>11.12</v>
      </c>
      <c r="P160" s="4">
        <v>201.87731844431701</v>
      </c>
      <c r="Q160" s="5">
        <v>0.2</v>
      </c>
      <c r="R160" s="11">
        <f t="shared" si="2"/>
        <v>1.0093865922215851E-3</v>
      </c>
      <c r="V160" s="5"/>
      <c r="W160" s="5"/>
    </row>
    <row r="161" spans="1:23" x14ac:dyDescent="0.25">
      <c r="B161" s="1">
        <v>20</v>
      </c>
      <c r="C161" s="4">
        <v>598</v>
      </c>
      <c r="D161" s="1">
        <v>1</v>
      </c>
      <c r="E161" s="3">
        <v>40</v>
      </c>
      <c r="F161" s="5">
        <v>2.8</v>
      </c>
      <c r="G161" s="1">
        <v>40</v>
      </c>
      <c r="H161" s="1">
        <v>50</v>
      </c>
      <c r="I161" s="1">
        <v>100</v>
      </c>
      <c r="J161" s="1">
        <v>250</v>
      </c>
      <c r="K161" s="1">
        <v>315</v>
      </c>
      <c r="L161" s="1">
        <v>15000</v>
      </c>
      <c r="M161" s="4">
        <v>75.400393066082202</v>
      </c>
      <c r="N161" s="10">
        <v>2.1000000000000001E-2</v>
      </c>
      <c r="O161" s="5">
        <v>12.93</v>
      </c>
      <c r="P161" s="4">
        <v>234.73684599685399</v>
      </c>
      <c r="Q161" s="5">
        <v>0.24</v>
      </c>
      <c r="R161" s="11">
        <f t="shared" si="2"/>
        <v>1.1736842299842698E-3</v>
      </c>
      <c r="V161" s="5"/>
      <c r="W161" s="5"/>
    </row>
    <row r="162" spans="1:23" x14ac:dyDescent="0.25">
      <c r="B162" s="1">
        <v>20</v>
      </c>
      <c r="C162" s="4">
        <v>598</v>
      </c>
      <c r="D162" s="1">
        <v>1</v>
      </c>
      <c r="E162" s="3">
        <v>40</v>
      </c>
      <c r="F162" s="5">
        <v>2.8</v>
      </c>
      <c r="G162" s="1">
        <v>40</v>
      </c>
      <c r="H162" s="1">
        <v>50</v>
      </c>
      <c r="I162" s="1">
        <v>100</v>
      </c>
      <c r="J162" s="1">
        <v>250</v>
      </c>
      <c r="K162" s="1">
        <v>315</v>
      </c>
      <c r="L162" s="1">
        <v>15000</v>
      </c>
      <c r="M162" s="4">
        <v>75.400393066082202</v>
      </c>
      <c r="N162" s="10">
        <v>2.1000000000000001E-2</v>
      </c>
      <c r="O162" s="5">
        <v>14.72</v>
      </c>
      <c r="P162" s="4">
        <v>267.23328484715302</v>
      </c>
      <c r="Q162" s="5">
        <v>0.27</v>
      </c>
      <c r="R162" s="11">
        <f t="shared" si="2"/>
        <v>1.3361664242357652E-3</v>
      </c>
      <c r="V162" s="5"/>
      <c r="W162" s="5"/>
    </row>
    <row r="163" spans="1:23" x14ac:dyDescent="0.25">
      <c r="B163" s="1">
        <v>20</v>
      </c>
      <c r="C163" s="4">
        <v>598</v>
      </c>
      <c r="D163" s="1">
        <v>1</v>
      </c>
      <c r="E163" s="3">
        <v>40</v>
      </c>
      <c r="F163" s="5">
        <v>2.8</v>
      </c>
      <c r="G163" s="1">
        <v>40</v>
      </c>
      <c r="H163" s="1">
        <v>50</v>
      </c>
      <c r="I163" s="1">
        <v>100</v>
      </c>
      <c r="J163" s="1">
        <v>250</v>
      </c>
      <c r="K163" s="1">
        <v>315</v>
      </c>
      <c r="L163" s="1">
        <v>15000</v>
      </c>
      <c r="M163" s="4">
        <v>75.400393066082202</v>
      </c>
      <c r="N163" s="10">
        <v>2.1000000000000001E-2</v>
      </c>
      <c r="O163" s="5">
        <v>16.579999999999998</v>
      </c>
      <c r="P163" s="4">
        <v>301.00053415528498</v>
      </c>
      <c r="Q163" s="5">
        <v>0.28999999999999998</v>
      </c>
      <c r="R163" s="11">
        <f t="shared" si="2"/>
        <v>1.5050026707764249E-3</v>
      </c>
      <c r="V163" s="5"/>
      <c r="W163" s="5"/>
    </row>
    <row r="164" spans="1:23" x14ac:dyDescent="0.25">
      <c r="B164" s="1">
        <v>20</v>
      </c>
      <c r="C164" s="4">
        <v>598</v>
      </c>
      <c r="D164" s="1">
        <v>1</v>
      </c>
      <c r="E164" s="3">
        <v>40</v>
      </c>
      <c r="F164" s="5">
        <v>2.8</v>
      </c>
      <c r="G164" s="1">
        <v>40</v>
      </c>
      <c r="H164" s="1">
        <v>50</v>
      </c>
      <c r="I164" s="1">
        <v>100</v>
      </c>
      <c r="J164" s="1">
        <v>250</v>
      </c>
      <c r="K164" s="1">
        <v>315</v>
      </c>
      <c r="L164" s="1">
        <v>15000</v>
      </c>
      <c r="M164" s="4">
        <v>75.400393066082202</v>
      </c>
      <c r="N164" s="10">
        <v>2.1000000000000001E-2</v>
      </c>
      <c r="O164" s="5">
        <v>18.350000000000001</v>
      </c>
      <c r="P164" s="4">
        <v>333.13388430334601</v>
      </c>
      <c r="Q164" s="5">
        <v>0.32</v>
      </c>
      <c r="R164" s="11">
        <f t="shared" si="2"/>
        <v>1.66566942151673E-3</v>
      </c>
      <c r="V164" s="5"/>
      <c r="W164" s="5"/>
    </row>
    <row r="165" spans="1:23" x14ac:dyDescent="0.25">
      <c r="B165" s="1">
        <v>20</v>
      </c>
      <c r="C165" s="4">
        <v>598</v>
      </c>
      <c r="D165" s="1">
        <v>1</v>
      </c>
      <c r="E165" s="3">
        <v>40</v>
      </c>
      <c r="F165" s="5">
        <v>2.8</v>
      </c>
      <c r="G165" s="1">
        <v>40</v>
      </c>
      <c r="H165" s="1">
        <v>50</v>
      </c>
      <c r="I165" s="1">
        <v>100</v>
      </c>
      <c r="J165" s="1">
        <v>250</v>
      </c>
      <c r="K165" s="1">
        <v>315</v>
      </c>
      <c r="L165" s="1">
        <v>15000</v>
      </c>
      <c r="M165" s="4">
        <v>75.400393066082202</v>
      </c>
      <c r="N165" s="10">
        <v>2.1000000000000001E-2</v>
      </c>
      <c r="O165" s="5">
        <v>19.21</v>
      </c>
      <c r="P165" s="4">
        <v>348.746698499579</v>
      </c>
      <c r="Q165" s="5">
        <v>0.33</v>
      </c>
      <c r="R165" s="11">
        <f t="shared" si="2"/>
        <v>1.743733492497895E-3</v>
      </c>
      <c r="V165" s="5"/>
      <c r="W165" s="5"/>
    </row>
    <row r="166" spans="1:23" x14ac:dyDescent="0.25">
      <c r="A166" t="s">
        <v>58</v>
      </c>
      <c r="B166" s="1">
        <v>10</v>
      </c>
      <c r="C166" s="4">
        <v>528</v>
      </c>
      <c r="D166" s="1">
        <v>1</v>
      </c>
      <c r="E166" s="3">
        <v>45</v>
      </c>
      <c r="F166" s="5">
        <v>2.8</v>
      </c>
      <c r="G166" s="1">
        <v>40</v>
      </c>
      <c r="H166" s="1">
        <v>45</v>
      </c>
      <c r="I166" s="1">
        <v>100</v>
      </c>
      <c r="J166" s="1">
        <v>350</v>
      </c>
      <c r="K166" s="1">
        <v>78.5</v>
      </c>
      <c r="L166" s="1">
        <v>9500</v>
      </c>
      <c r="M166" s="4">
        <v>54.138654849565903</v>
      </c>
      <c r="N166" s="10">
        <v>8.2631578947368403E-3</v>
      </c>
      <c r="O166" s="5">
        <v>6.99</v>
      </c>
      <c r="P166" s="4">
        <v>310.30985357473799</v>
      </c>
      <c r="Q166" s="5">
        <v>0.15</v>
      </c>
      <c r="R166" s="11">
        <f t="shared" si="2"/>
        <v>1.55154926787369E-3</v>
      </c>
      <c r="V166" s="5"/>
      <c r="W166" s="5"/>
    </row>
    <row r="167" spans="1:23" x14ac:dyDescent="0.25">
      <c r="B167" s="1">
        <v>10</v>
      </c>
      <c r="C167" s="4">
        <v>528</v>
      </c>
      <c r="D167" s="1">
        <v>1</v>
      </c>
      <c r="E167" s="3">
        <v>45</v>
      </c>
      <c r="F167" s="5">
        <v>2.8</v>
      </c>
      <c r="G167" s="1">
        <v>40</v>
      </c>
      <c r="H167" s="1">
        <v>45</v>
      </c>
      <c r="I167" s="1">
        <v>100</v>
      </c>
      <c r="J167" s="1">
        <v>350</v>
      </c>
      <c r="K167" s="1">
        <v>78.5</v>
      </c>
      <c r="L167" s="1">
        <v>9500</v>
      </c>
      <c r="M167" s="4">
        <v>54.138654849565903</v>
      </c>
      <c r="N167" s="10">
        <v>8.2631578947368403E-3</v>
      </c>
      <c r="O167" s="5">
        <v>7.44</v>
      </c>
      <c r="P167" s="4">
        <v>330.286882774829</v>
      </c>
      <c r="Q167" s="5">
        <v>0.19</v>
      </c>
      <c r="R167" s="11">
        <f t="shared" si="2"/>
        <v>1.651434413874145E-3</v>
      </c>
      <c r="V167" s="5"/>
      <c r="W167" s="5"/>
    </row>
    <row r="168" spans="1:23" x14ac:dyDescent="0.25">
      <c r="B168" s="1">
        <v>10</v>
      </c>
      <c r="C168" s="4">
        <v>528</v>
      </c>
      <c r="D168" s="1">
        <v>1</v>
      </c>
      <c r="E168" s="3">
        <v>45</v>
      </c>
      <c r="F168" s="5">
        <v>2.8</v>
      </c>
      <c r="G168" s="1">
        <v>40</v>
      </c>
      <c r="H168" s="1">
        <v>45</v>
      </c>
      <c r="I168" s="1">
        <v>100</v>
      </c>
      <c r="J168" s="1">
        <v>350</v>
      </c>
      <c r="K168" s="1">
        <v>78.5</v>
      </c>
      <c r="L168" s="1">
        <v>9500</v>
      </c>
      <c r="M168" s="4">
        <v>54.138654849565903</v>
      </c>
      <c r="N168" s="10">
        <v>8.2631578947368403E-3</v>
      </c>
      <c r="O168" s="5">
        <v>7.53</v>
      </c>
      <c r="P168" s="4">
        <v>334.282288614847</v>
      </c>
      <c r="Q168" s="5">
        <v>0.2</v>
      </c>
      <c r="R168" s="11">
        <f t="shared" si="2"/>
        <v>1.6714114430742351E-3</v>
      </c>
      <c r="V168" s="5"/>
      <c r="W168" s="5"/>
    </row>
    <row r="169" spans="1:23" x14ac:dyDescent="0.25">
      <c r="B169" s="1">
        <v>10</v>
      </c>
      <c r="C169" s="4">
        <v>528</v>
      </c>
      <c r="D169" s="1">
        <v>1</v>
      </c>
      <c r="E169" s="3">
        <v>45</v>
      </c>
      <c r="F169" s="5">
        <v>2.8</v>
      </c>
      <c r="G169" s="1">
        <v>40</v>
      </c>
      <c r="H169" s="1">
        <v>45</v>
      </c>
      <c r="I169" s="1">
        <v>100</v>
      </c>
      <c r="J169" s="1">
        <v>350</v>
      </c>
      <c r="K169" s="1">
        <v>78.5</v>
      </c>
      <c r="L169" s="1">
        <v>9500</v>
      </c>
      <c r="M169" s="4">
        <v>54.138654849565903</v>
      </c>
      <c r="N169" s="10">
        <v>8.2631578947368403E-3</v>
      </c>
      <c r="O169" s="5">
        <v>7.91</v>
      </c>
      <c r="P169" s="4">
        <v>351.151779939368</v>
      </c>
      <c r="Q169" s="5">
        <v>0.23</v>
      </c>
      <c r="R169" s="11">
        <f t="shared" si="2"/>
        <v>1.7557588996968401E-3</v>
      </c>
      <c r="V169" s="5"/>
      <c r="W169" s="5"/>
    </row>
    <row r="170" spans="1:23" x14ac:dyDescent="0.25">
      <c r="B170" s="1">
        <v>10</v>
      </c>
      <c r="C170" s="4">
        <v>528</v>
      </c>
      <c r="D170" s="1">
        <v>1</v>
      </c>
      <c r="E170" s="3">
        <v>45</v>
      </c>
      <c r="F170" s="5">
        <v>2.8</v>
      </c>
      <c r="G170" s="1">
        <v>40</v>
      </c>
      <c r="H170" s="1">
        <v>45</v>
      </c>
      <c r="I170" s="1">
        <v>100</v>
      </c>
      <c r="J170" s="1">
        <v>350</v>
      </c>
      <c r="K170" s="1">
        <v>78.5</v>
      </c>
      <c r="L170" s="1">
        <v>9500</v>
      </c>
      <c r="M170" s="4">
        <v>54.138654849565903</v>
      </c>
      <c r="N170" s="10">
        <v>8.2631578947368403E-3</v>
      </c>
      <c r="O170" s="5">
        <v>8.17</v>
      </c>
      <c r="P170" s="4">
        <v>362.69406347719797</v>
      </c>
      <c r="Q170" s="5">
        <v>0.25</v>
      </c>
      <c r="R170" s="11">
        <f t="shared" si="2"/>
        <v>1.8134703173859899E-3</v>
      </c>
      <c r="V170" s="5"/>
      <c r="W170" s="5"/>
    </row>
    <row r="171" spans="1:23" x14ac:dyDescent="0.25">
      <c r="B171" s="1">
        <v>10</v>
      </c>
      <c r="C171" s="4">
        <v>528</v>
      </c>
      <c r="D171" s="1">
        <v>1</v>
      </c>
      <c r="E171" s="3">
        <v>45</v>
      </c>
      <c r="F171" s="5">
        <v>2.8</v>
      </c>
      <c r="G171" s="1">
        <v>40</v>
      </c>
      <c r="H171" s="1">
        <v>45</v>
      </c>
      <c r="I171" s="1">
        <v>100</v>
      </c>
      <c r="J171" s="1">
        <v>350</v>
      </c>
      <c r="K171" s="1">
        <v>78.5</v>
      </c>
      <c r="L171" s="1">
        <v>9500</v>
      </c>
      <c r="M171" s="4">
        <v>54.138654849565903</v>
      </c>
      <c r="N171" s="10">
        <v>8.2631578947368403E-3</v>
      </c>
      <c r="O171" s="5">
        <v>8.4600000000000009</v>
      </c>
      <c r="P171" s="4">
        <v>375.56814896170101</v>
      </c>
      <c r="Q171" s="5">
        <v>0.28000000000000003</v>
      </c>
      <c r="R171" s="11">
        <f t="shared" si="2"/>
        <v>1.877840744808505E-3</v>
      </c>
      <c r="V171" s="5"/>
      <c r="W171" s="5"/>
    </row>
    <row r="172" spans="1:23" x14ac:dyDescent="0.25">
      <c r="B172" s="1">
        <v>10</v>
      </c>
      <c r="C172" s="4">
        <v>528</v>
      </c>
      <c r="D172" s="1">
        <v>1</v>
      </c>
      <c r="E172" s="3">
        <v>45</v>
      </c>
      <c r="F172" s="5">
        <v>2.8</v>
      </c>
      <c r="G172" s="1">
        <v>40</v>
      </c>
      <c r="H172" s="1">
        <v>45</v>
      </c>
      <c r="I172" s="1">
        <v>100</v>
      </c>
      <c r="J172" s="1">
        <v>350</v>
      </c>
      <c r="K172" s="1">
        <v>78.5</v>
      </c>
      <c r="L172" s="1">
        <v>9500</v>
      </c>
      <c r="M172" s="4">
        <v>54.138654849565903</v>
      </c>
      <c r="N172" s="10">
        <v>8.2631578947368403E-3</v>
      </c>
      <c r="O172" s="5">
        <v>8.7200000000000006</v>
      </c>
      <c r="P172" s="4">
        <v>387.11043249953099</v>
      </c>
      <c r="Q172" s="5">
        <v>0.31</v>
      </c>
      <c r="R172" s="11">
        <f t="shared" si="2"/>
        <v>1.935552162497655E-3</v>
      </c>
      <c r="V172" s="5"/>
      <c r="W172" s="5"/>
    </row>
    <row r="173" spans="1:23" x14ac:dyDescent="0.25">
      <c r="B173" s="1">
        <v>10</v>
      </c>
      <c r="C173" s="4">
        <v>528</v>
      </c>
      <c r="D173" s="1">
        <v>1</v>
      </c>
      <c r="E173" s="3">
        <v>45</v>
      </c>
      <c r="F173" s="5">
        <v>2.8</v>
      </c>
      <c r="G173" s="1">
        <v>40</v>
      </c>
      <c r="H173" s="1">
        <v>45</v>
      </c>
      <c r="I173" s="1">
        <v>100</v>
      </c>
      <c r="J173" s="1">
        <v>350</v>
      </c>
      <c r="K173" s="1">
        <v>78.5</v>
      </c>
      <c r="L173" s="1">
        <v>9500</v>
      </c>
      <c r="M173" s="4">
        <v>54.138654849565903</v>
      </c>
      <c r="N173" s="10">
        <v>8.2631578947368403E-3</v>
      </c>
      <c r="O173" s="5">
        <v>9.0299999999999994</v>
      </c>
      <c r="P173" s="4">
        <v>400.87238594848202</v>
      </c>
      <c r="Q173" s="5">
        <v>0.36</v>
      </c>
      <c r="R173" s="11">
        <f t="shared" si="2"/>
        <v>2.0043619297424103E-3</v>
      </c>
      <c r="V173" s="5"/>
      <c r="W173" s="5"/>
    </row>
    <row r="174" spans="1:23" x14ac:dyDescent="0.25">
      <c r="A174" t="s">
        <v>59</v>
      </c>
      <c r="B174" s="1">
        <v>10</v>
      </c>
      <c r="C174" s="4">
        <v>528</v>
      </c>
      <c r="D174" s="1">
        <v>1</v>
      </c>
      <c r="E174" s="3">
        <v>45</v>
      </c>
      <c r="F174" s="5">
        <v>2.8</v>
      </c>
      <c r="G174" s="1">
        <v>40</v>
      </c>
      <c r="H174" s="1">
        <v>45</v>
      </c>
      <c r="I174" s="1">
        <v>100</v>
      </c>
      <c r="J174" s="1">
        <v>350</v>
      </c>
      <c r="K174" s="1">
        <v>78.5</v>
      </c>
      <c r="L174" s="1">
        <v>9500</v>
      </c>
      <c r="M174" s="4">
        <v>54.138654849565903</v>
      </c>
      <c r="N174" s="10">
        <v>8.2631578947368403E-3</v>
      </c>
      <c r="O174" s="5">
        <v>6.96</v>
      </c>
      <c r="P174" s="4">
        <v>308.978051628066</v>
      </c>
      <c r="Q174" s="5">
        <v>0.16</v>
      </c>
      <c r="R174" s="11">
        <f t="shared" si="2"/>
        <v>1.54489025814033E-3</v>
      </c>
      <c r="V174" s="5"/>
      <c r="W174" s="5"/>
    </row>
    <row r="175" spans="1:23" x14ac:dyDescent="0.25">
      <c r="B175" s="1">
        <v>10</v>
      </c>
      <c r="C175" s="4">
        <v>528</v>
      </c>
      <c r="D175" s="1">
        <v>1</v>
      </c>
      <c r="E175" s="3">
        <v>45</v>
      </c>
      <c r="F175" s="5">
        <v>2.8</v>
      </c>
      <c r="G175" s="1">
        <v>40</v>
      </c>
      <c r="H175" s="1">
        <v>45</v>
      </c>
      <c r="I175" s="1">
        <v>100</v>
      </c>
      <c r="J175" s="1">
        <v>350</v>
      </c>
      <c r="K175" s="1">
        <v>78.5</v>
      </c>
      <c r="L175" s="1">
        <v>9500</v>
      </c>
      <c r="M175" s="4">
        <v>54.138654849565903</v>
      </c>
      <c r="N175" s="10">
        <v>8.2631578947368403E-3</v>
      </c>
      <c r="O175" s="5">
        <v>7.26</v>
      </c>
      <c r="P175" s="4">
        <v>322.29607109479298</v>
      </c>
      <c r="Q175" s="5">
        <v>0.18</v>
      </c>
      <c r="R175" s="11">
        <f t="shared" si="2"/>
        <v>1.6114803554739649E-3</v>
      </c>
      <c r="V175" s="5"/>
      <c r="W175" s="5"/>
    </row>
    <row r="176" spans="1:23" x14ac:dyDescent="0.25">
      <c r="B176" s="1">
        <v>10</v>
      </c>
      <c r="C176" s="4">
        <v>528</v>
      </c>
      <c r="D176" s="1">
        <v>1</v>
      </c>
      <c r="E176" s="3">
        <v>45</v>
      </c>
      <c r="F176" s="5">
        <v>2.8</v>
      </c>
      <c r="G176" s="1">
        <v>40</v>
      </c>
      <c r="H176" s="1">
        <v>45</v>
      </c>
      <c r="I176" s="1">
        <v>100</v>
      </c>
      <c r="J176" s="1">
        <v>350</v>
      </c>
      <c r="K176" s="1">
        <v>78.5</v>
      </c>
      <c r="L176" s="1">
        <v>9500</v>
      </c>
      <c r="M176" s="4">
        <v>54.138654849565903</v>
      </c>
      <c r="N176" s="10">
        <v>8.2631578947368403E-3</v>
      </c>
      <c r="O176" s="5">
        <v>7.54</v>
      </c>
      <c r="P176" s="4">
        <v>334.726222597071</v>
      </c>
      <c r="Q176" s="5">
        <v>0.2</v>
      </c>
      <c r="R176" s="11">
        <f t="shared" si="2"/>
        <v>1.6736311129853551E-3</v>
      </c>
      <c r="V176" s="5"/>
      <c r="W176" s="5"/>
    </row>
    <row r="177" spans="1:23" x14ac:dyDescent="0.25">
      <c r="B177" s="1">
        <v>10</v>
      </c>
      <c r="C177" s="4">
        <v>528</v>
      </c>
      <c r="D177" s="1">
        <v>1</v>
      </c>
      <c r="E177" s="3">
        <v>45</v>
      </c>
      <c r="F177" s="5">
        <v>2.8</v>
      </c>
      <c r="G177" s="1">
        <v>40</v>
      </c>
      <c r="H177" s="1">
        <v>45</v>
      </c>
      <c r="I177" s="1">
        <v>100</v>
      </c>
      <c r="J177" s="1">
        <v>350</v>
      </c>
      <c r="K177" s="1">
        <v>78.5</v>
      </c>
      <c r="L177" s="1">
        <v>9500</v>
      </c>
      <c r="M177" s="4">
        <v>54.138654849565903</v>
      </c>
      <c r="N177" s="10">
        <v>8.2631578947368403E-3</v>
      </c>
      <c r="O177" s="5">
        <v>7.83</v>
      </c>
      <c r="P177" s="4">
        <v>347.60030808157398</v>
      </c>
      <c r="Q177" s="5">
        <v>0.23</v>
      </c>
      <c r="R177" s="11">
        <f t="shared" si="2"/>
        <v>1.73800154040787E-3</v>
      </c>
      <c r="V177" s="5"/>
      <c r="W177" s="5"/>
    </row>
    <row r="178" spans="1:23" x14ac:dyDescent="0.25">
      <c r="B178" s="1">
        <v>10</v>
      </c>
      <c r="C178" s="4">
        <v>528</v>
      </c>
      <c r="D178" s="1">
        <v>1</v>
      </c>
      <c r="E178" s="3">
        <v>45</v>
      </c>
      <c r="F178" s="5">
        <v>2.8</v>
      </c>
      <c r="G178" s="1">
        <v>40</v>
      </c>
      <c r="H178" s="1">
        <v>45</v>
      </c>
      <c r="I178" s="1">
        <v>100</v>
      </c>
      <c r="J178" s="1">
        <v>350</v>
      </c>
      <c r="K178" s="1">
        <v>78.5</v>
      </c>
      <c r="L178" s="1">
        <v>9500</v>
      </c>
      <c r="M178" s="4">
        <v>54.138654849565903</v>
      </c>
      <c r="N178" s="10">
        <v>8.2631578947368403E-3</v>
      </c>
      <c r="O178" s="5">
        <v>8.14</v>
      </c>
      <c r="P178" s="4">
        <v>361.36226153052502</v>
      </c>
      <c r="Q178" s="5">
        <v>0.24</v>
      </c>
      <c r="R178" s="11">
        <f t="shared" si="2"/>
        <v>1.8068113076526251E-3</v>
      </c>
      <c r="V178" s="5"/>
      <c r="W178" s="5"/>
    </row>
    <row r="179" spans="1:23" x14ac:dyDescent="0.25">
      <c r="B179" s="1">
        <v>10</v>
      </c>
      <c r="C179" s="4">
        <v>528</v>
      </c>
      <c r="D179" s="1">
        <v>1</v>
      </c>
      <c r="E179" s="3">
        <v>45</v>
      </c>
      <c r="F179" s="5">
        <v>2.8</v>
      </c>
      <c r="G179" s="1">
        <v>40</v>
      </c>
      <c r="H179" s="1">
        <v>45</v>
      </c>
      <c r="I179" s="1">
        <v>100</v>
      </c>
      <c r="J179" s="1">
        <v>350</v>
      </c>
      <c r="K179" s="1">
        <v>78.5</v>
      </c>
      <c r="L179" s="1">
        <v>9500</v>
      </c>
      <c r="M179" s="4">
        <v>54.138654849565903</v>
      </c>
      <c r="N179" s="10">
        <v>8.2631578947368403E-3</v>
      </c>
      <c r="O179" s="5">
        <v>8.4600000000000009</v>
      </c>
      <c r="P179" s="4">
        <v>375.56814896170101</v>
      </c>
      <c r="Q179" s="5">
        <v>0.25</v>
      </c>
      <c r="R179" s="11">
        <f t="shared" si="2"/>
        <v>1.877840744808505E-3</v>
      </c>
      <c r="V179" s="5"/>
      <c r="W179" s="5"/>
    </row>
    <row r="180" spans="1:23" x14ac:dyDescent="0.25">
      <c r="B180" s="1">
        <v>10</v>
      </c>
      <c r="C180" s="4">
        <v>528</v>
      </c>
      <c r="D180" s="1">
        <v>1</v>
      </c>
      <c r="E180" s="3">
        <v>45</v>
      </c>
      <c r="F180" s="5">
        <v>2.8</v>
      </c>
      <c r="G180" s="1">
        <v>40</v>
      </c>
      <c r="H180" s="1">
        <v>45</v>
      </c>
      <c r="I180" s="1">
        <v>100</v>
      </c>
      <c r="J180" s="1">
        <v>350</v>
      </c>
      <c r="K180" s="1">
        <v>78.5</v>
      </c>
      <c r="L180" s="1">
        <v>9500</v>
      </c>
      <c r="M180" s="4">
        <v>54.138654849565903</v>
      </c>
      <c r="N180" s="10">
        <v>8.2631578947368403E-3</v>
      </c>
      <c r="O180" s="5">
        <v>8.75</v>
      </c>
      <c r="P180" s="4">
        <v>388.44223444620297</v>
      </c>
      <c r="Q180" s="5">
        <v>0.27</v>
      </c>
      <c r="R180" s="11">
        <f t="shared" si="2"/>
        <v>1.9422111722310149E-3</v>
      </c>
      <c r="V180" s="5"/>
      <c r="W180" s="5"/>
    </row>
    <row r="181" spans="1:23" x14ac:dyDescent="0.25">
      <c r="B181" s="1">
        <v>10</v>
      </c>
      <c r="C181" s="4">
        <v>528</v>
      </c>
      <c r="D181" s="1">
        <v>1</v>
      </c>
      <c r="E181" s="3">
        <v>45</v>
      </c>
      <c r="F181" s="5">
        <v>2.8</v>
      </c>
      <c r="G181" s="1">
        <v>40</v>
      </c>
      <c r="H181" s="1">
        <v>45</v>
      </c>
      <c r="I181" s="1">
        <v>100</v>
      </c>
      <c r="J181" s="1">
        <v>350</v>
      </c>
      <c r="K181" s="1">
        <v>78.5</v>
      </c>
      <c r="L181" s="1">
        <v>9500</v>
      </c>
      <c r="M181" s="4">
        <v>54.138654849565903</v>
      </c>
      <c r="N181" s="10">
        <v>8.2631578947368403E-3</v>
      </c>
      <c r="O181" s="5">
        <v>9.01</v>
      </c>
      <c r="P181" s="4">
        <v>399.984517984033</v>
      </c>
      <c r="Q181" s="5">
        <v>0.28999999999999998</v>
      </c>
      <c r="R181" s="11">
        <f t="shared" si="2"/>
        <v>1.9999225899201651E-3</v>
      </c>
      <c r="V181" s="5"/>
      <c r="W181" s="5"/>
    </row>
    <row r="182" spans="1:23" x14ac:dyDescent="0.25">
      <c r="A182" t="s">
        <v>60</v>
      </c>
      <c r="B182" s="1">
        <v>10</v>
      </c>
      <c r="C182" s="4">
        <v>528</v>
      </c>
      <c r="D182" s="1">
        <v>1</v>
      </c>
      <c r="E182" s="3">
        <v>45</v>
      </c>
      <c r="F182" s="5">
        <v>2.8</v>
      </c>
      <c r="G182" s="1">
        <v>40</v>
      </c>
      <c r="H182" s="1">
        <v>45</v>
      </c>
      <c r="I182" s="1">
        <v>100</v>
      </c>
      <c r="J182" s="1">
        <v>350</v>
      </c>
      <c r="K182" s="1">
        <v>78.5</v>
      </c>
      <c r="L182" s="1">
        <v>9500</v>
      </c>
      <c r="M182" s="4">
        <v>54.138654849565903</v>
      </c>
      <c r="N182" s="10">
        <v>8.2631578947368403E-3</v>
      </c>
      <c r="O182" s="5">
        <v>7.29</v>
      </c>
      <c r="P182" s="4">
        <v>323.62787304146502</v>
      </c>
      <c r="Q182" s="5">
        <v>0.15</v>
      </c>
      <c r="R182" s="11">
        <f t="shared" si="2"/>
        <v>1.6181393652073251E-3</v>
      </c>
      <c r="V182" s="5"/>
      <c r="W182" s="5"/>
    </row>
    <row r="183" spans="1:23" x14ac:dyDescent="0.25">
      <c r="B183" s="1">
        <v>10</v>
      </c>
      <c r="C183" s="4">
        <v>528</v>
      </c>
      <c r="D183" s="1">
        <v>1</v>
      </c>
      <c r="E183" s="3">
        <v>45</v>
      </c>
      <c r="F183" s="5">
        <v>2.8</v>
      </c>
      <c r="G183" s="1">
        <v>40</v>
      </c>
      <c r="H183" s="1">
        <v>45</v>
      </c>
      <c r="I183" s="1">
        <v>100</v>
      </c>
      <c r="J183" s="1">
        <v>350</v>
      </c>
      <c r="K183" s="1">
        <v>78.5</v>
      </c>
      <c r="L183" s="1">
        <v>9500</v>
      </c>
      <c r="M183" s="4">
        <v>54.138654849565903</v>
      </c>
      <c r="N183" s="10">
        <v>8.2631578947368403E-3</v>
      </c>
      <c r="O183" s="5">
        <v>7.58</v>
      </c>
      <c r="P183" s="4">
        <v>336.50195852596801</v>
      </c>
      <c r="Q183" s="5">
        <v>0.16</v>
      </c>
      <c r="R183" s="11">
        <f t="shared" si="2"/>
        <v>1.68250979262984E-3</v>
      </c>
      <c r="V183" s="5"/>
      <c r="W183" s="5"/>
    </row>
    <row r="184" spans="1:23" x14ac:dyDescent="0.25">
      <c r="B184" s="1">
        <v>10</v>
      </c>
      <c r="C184" s="4">
        <v>528</v>
      </c>
      <c r="D184" s="1">
        <v>1</v>
      </c>
      <c r="E184" s="3">
        <v>45</v>
      </c>
      <c r="F184" s="5">
        <v>2.8</v>
      </c>
      <c r="G184" s="1">
        <v>40</v>
      </c>
      <c r="H184" s="1">
        <v>45</v>
      </c>
      <c r="I184" s="1">
        <v>100</v>
      </c>
      <c r="J184" s="1">
        <v>350</v>
      </c>
      <c r="K184" s="1">
        <v>78.5</v>
      </c>
      <c r="L184" s="1">
        <v>9500</v>
      </c>
      <c r="M184" s="4">
        <v>54.138654849565903</v>
      </c>
      <c r="N184" s="10">
        <v>8.2631578947368403E-3</v>
      </c>
      <c r="O184" s="5">
        <v>7.99</v>
      </c>
      <c r="P184" s="4">
        <v>354.70325179716201</v>
      </c>
      <c r="Q184" s="5">
        <v>0.18</v>
      </c>
      <c r="R184" s="11">
        <f t="shared" si="2"/>
        <v>1.7735162589858099E-3</v>
      </c>
      <c r="V184" s="5"/>
      <c r="W184" s="5"/>
    </row>
    <row r="185" spans="1:23" x14ac:dyDescent="0.25">
      <c r="B185" s="1">
        <v>10</v>
      </c>
      <c r="C185" s="4">
        <v>528</v>
      </c>
      <c r="D185" s="1">
        <v>1</v>
      </c>
      <c r="E185" s="3">
        <v>45</v>
      </c>
      <c r="F185" s="5">
        <v>2.8</v>
      </c>
      <c r="G185" s="1">
        <v>40</v>
      </c>
      <c r="H185" s="1">
        <v>45</v>
      </c>
      <c r="I185" s="1">
        <v>100</v>
      </c>
      <c r="J185" s="1">
        <v>350</v>
      </c>
      <c r="K185" s="1">
        <v>78.5</v>
      </c>
      <c r="L185" s="1">
        <v>9500</v>
      </c>
      <c r="M185" s="4">
        <v>54.138654849565903</v>
      </c>
      <c r="N185" s="10">
        <v>8.2631578947368403E-3</v>
      </c>
      <c r="O185" s="5">
        <v>8.23</v>
      </c>
      <c r="P185" s="4">
        <v>365.35766737054303</v>
      </c>
      <c r="Q185" s="5">
        <v>0.18</v>
      </c>
      <c r="R185" s="11">
        <f t="shared" si="2"/>
        <v>1.8267883368527152E-3</v>
      </c>
      <c r="V185" s="5"/>
      <c r="W185" s="5"/>
    </row>
    <row r="186" spans="1:23" x14ac:dyDescent="0.25">
      <c r="B186" s="1">
        <v>10</v>
      </c>
      <c r="C186" s="4">
        <v>528</v>
      </c>
      <c r="D186" s="1">
        <v>1</v>
      </c>
      <c r="E186" s="3">
        <v>45</v>
      </c>
      <c r="F186" s="5">
        <v>2.8</v>
      </c>
      <c r="G186" s="1">
        <v>40</v>
      </c>
      <c r="H186" s="1">
        <v>45</v>
      </c>
      <c r="I186" s="1">
        <v>100</v>
      </c>
      <c r="J186" s="1">
        <v>350</v>
      </c>
      <c r="K186" s="1">
        <v>78.5</v>
      </c>
      <c r="L186" s="1">
        <v>9500</v>
      </c>
      <c r="M186" s="4">
        <v>54.138654849565903</v>
      </c>
      <c r="N186" s="10">
        <v>8.2631578947368403E-3</v>
      </c>
      <c r="O186" s="5">
        <v>8.4600000000000009</v>
      </c>
      <c r="P186" s="4">
        <v>375.56814896170101</v>
      </c>
      <c r="Q186" s="5">
        <v>0.19</v>
      </c>
      <c r="R186" s="11">
        <f t="shared" si="2"/>
        <v>1.877840744808505E-3</v>
      </c>
      <c r="V186" s="5"/>
      <c r="W186" s="5"/>
    </row>
    <row r="187" spans="1:23" x14ac:dyDescent="0.25">
      <c r="B187" s="1">
        <v>10</v>
      </c>
      <c r="C187" s="4">
        <v>528</v>
      </c>
      <c r="D187" s="1">
        <v>1</v>
      </c>
      <c r="E187" s="3">
        <v>45</v>
      </c>
      <c r="F187" s="5">
        <v>2.8</v>
      </c>
      <c r="G187" s="1">
        <v>40</v>
      </c>
      <c r="H187" s="1">
        <v>45</v>
      </c>
      <c r="I187" s="1">
        <v>100</v>
      </c>
      <c r="J187" s="1">
        <v>350</v>
      </c>
      <c r="K187" s="1">
        <v>78.5</v>
      </c>
      <c r="L187" s="1">
        <v>9500</v>
      </c>
      <c r="M187" s="4">
        <v>54.138654849565903</v>
      </c>
      <c r="N187" s="10">
        <v>8.2631578947368403E-3</v>
      </c>
      <c r="O187" s="5">
        <v>8.7100000000000009</v>
      </c>
      <c r="P187" s="4">
        <v>386.66649851730602</v>
      </c>
      <c r="Q187" s="5">
        <v>0.2</v>
      </c>
      <c r="R187" s="11">
        <f t="shared" si="2"/>
        <v>1.9333324925865302E-3</v>
      </c>
      <c r="V187" s="5"/>
      <c r="W187" s="5"/>
    </row>
    <row r="188" spans="1:23" x14ac:dyDescent="0.25">
      <c r="B188" s="1">
        <v>10</v>
      </c>
      <c r="C188" s="4">
        <v>528</v>
      </c>
      <c r="D188" s="1">
        <v>1</v>
      </c>
      <c r="E188" s="3">
        <v>45</v>
      </c>
      <c r="F188" s="5">
        <v>2.8</v>
      </c>
      <c r="G188" s="1">
        <v>40</v>
      </c>
      <c r="H188" s="1">
        <v>45</v>
      </c>
      <c r="I188" s="1">
        <v>100</v>
      </c>
      <c r="J188" s="1">
        <v>350</v>
      </c>
      <c r="K188" s="1">
        <v>78.5</v>
      </c>
      <c r="L188" s="1">
        <v>9500</v>
      </c>
      <c r="M188" s="4">
        <v>54.138654849565903</v>
      </c>
      <c r="N188" s="10">
        <v>8.2631578947368403E-3</v>
      </c>
      <c r="O188" s="5">
        <v>9.0399999999999991</v>
      </c>
      <c r="P188" s="4">
        <v>401.31631993070602</v>
      </c>
      <c r="Q188" s="5">
        <v>0.22</v>
      </c>
      <c r="R188" s="11">
        <f t="shared" si="2"/>
        <v>2.0065815996535303E-3</v>
      </c>
      <c r="V188" s="5"/>
      <c r="W188" s="5"/>
    </row>
    <row r="189" spans="1:23" x14ac:dyDescent="0.25">
      <c r="A189" t="s">
        <v>61</v>
      </c>
      <c r="B189" s="1">
        <v>20</v>
      </c>
      <c r="C189" s="4">
        <v>598</v>
      </c>
      <c r="D189" s="1">
        <v>1</v>
      </c>
      <c r="E189" s="3">
        <v>40</v>
      </c>
      <c r="F189" s="5">
        <v>2.8</v>
      </c>
      <c r="G189" s="1">
        <v>40</v>
      </c>
      <c r="H189" s="1">
        <v>50</v>
      </c>
      <c r="I189" s="1">
        <v>100</v>
      </c>
      <c r="J189" s="1">
        <v>350</v>
      </c>
      <c r="K189" s="1">
        <v>315</v>
      </c>
      <c r="L189" s="1">
        <v>15000</v>
      </c>
      <c r="M189" s="4">
        <v>96.386921369125801</v>
      </c>
      <c r="N189" s="10">
        <v>2.1000000000000001E-2</v>
      </c>
      <c r="O189" s="5">
        <v>18.98</v>
      </c>
      <c r="P189" s="4">
        <v>224.93648942333201</v>
      </c>
      <c r="Q189" s="5">
        <v>0.16</v>
      </c>
      <c r="R189" s="11">
        <f t="shared" si="2"/>
        <v>1.12468244711666E-3</v>
      </c>
      <c r="V189" s="5"/>
      <c r="W189" s="5"/>
    </row>
    <row r="190" spans="1:23" x14ac:dyDescent="0.25">
      <c r="B190" s="1">
        <v>20</v>
      </c>
      <c r="C190" s="4">
        <v>598</v>
      </c>
      <c r="D190" s="1">
        <v>1</v>
      </c>
      <c r="E190" s="3">
        <v>40</v>
      </c>
      <c r="F190" s="5">
        <v>2.8</v>
      </c>
      <c r="G190" s="1">
        <v>40</v>
      </c>
      <c r="H190" s="1">
        <v>50</v>
      </c>
      <c r="I190" s="1">
        <v>100</v>
      </c>
      <c r="J190" s="1">
        <v>350</v>
      </c>
      <c r="K190" s="1">
        <v>315</v>
      </c>
      <c r="L190" s="1">
        <v>15000</v>
      </c>
      <c r="M190" s="4">
        <v>96.386921369125801</v>
      </c>
      <c r="N190" s="10">
        <v>2.1000000000000001E-2</v>
      </c>
      <c r="O190" s="5">
        <v>21.93</v>
      </c>
      <c r="P190" s="4">
        <v>259.89764030841201</v>
      </c>
      <c r="Q190" s="5">
        <v>0.2</v>
      </c>
      <c r="R190" s="11">
        <f t="shared" si="2"/>
        <v>1.2994882015420601E-3</v>
      </c>
      <c r="V190" s="5"/>
      <c r="W190" s="5"/>
    </row>
    <row r="191" spans="1:23" x14ac:dyDescent="0.25">
      <c r="B191" s="1">
        <v>20</v>
      </c>
      <c r="C191" s="4">
        <v>598</v>
      </c>
      <c r="D191" s="1">
        <v>1</v>
      </c>
      <c r="E191" s="3">
        <v>40</v>
      </c>
      <c r="F191" s="5">
        <v>2.8</v>
      </c>
      <c r="G191" s="1">
        <v>40</v>
      </c>
      <c r="H191" s="1">
        <v>50</v>
      </c>
      <c r="I191" s="1">
        <v>100</v>
      </c>
      <c r="J191" s="1">
        <v>350</v>
      </c>
      <c r="K191" s="1">
        <v>315</v>
      </c>
      <c r="L191" s="1">
        <v>15000</v>
      </c>
      <c r="M191" s="4">
        <v>96.386921369125801</v>
      </c>
      <c r="N191" s="10">
        <v>2.1000000000000001E-2</v>
      </c>
      <c r="O191" s="5">
        <v>24.87</v>
      </c>
      <c r="P191" s="4">
        <v>294.740278817611</v>
      </c>
      <c r="Q191" s="5">
        <v>0.23</v>
      </c>
      <c r="R191" s="11">
        <f t="shared" si="2"/>
        <v>1.4737013940880549E-3</v>
      </c>
      <c r="V191" s="5"/>
      <c r="W191" s="5"/>
    </row>
    <row r="192" spans="1:23" x14ac:dyDescent="0.25">
      <c r="A192" t="s">
        <v>62</v>
      </c>
      <c r="B192" s="1">
        <v>20</v>
      </c>
      <c r="C192" s="4">
        <v>598</v>
      </c>
      <c r="D192" s="1">
        <v>1</v>
      </c>
      <c r="E192" s="3">
        <v>40</v>
      </c>
      <c r="F192" s="5">
        <v>2.8</v>
      </c>
      <c r="G192" s="1">
        <v>40</v>
      </c>
      <c r="H192" s="1">
        <v>50</v>
      </c>
      <c r="I192" s="1">
        <v>100</v>
      </c>
      <c r="J192" s="1">
        <v>350</v>
      </c>
      <c r="K192" s="1">
        <v>315</v>
      </c>
      <c r="L192" s="1">
        <v>15000</v>
      </c>
      <c r="M192" s="4">
        <v>96.386921369125801</v>
      </c>
      <c r="N192" s="10">
        <v>2.1000000000000001E-2</v>
      </c>
      <c r="O192" s="5">
        <v>18.98</v>
      </c>
      <c r="P192" s="4">
        <v>224.93648942333201</v>
      </c>
      <c r="Q192" s="5">
        <v>0.14000000000000001</v>
      </c>
      <c r="R192" s="11">
        <f t="shared" si="2"/>
        <v>1.12468244711666E-3</v>
      </c>
      <c r="V192" s="5"/>
      <c r="W192" s="5"/>
    </row>
    <row r="193" spans="1:23" x14ac:dyDescent="0.25">
      <c r="B193" s="1">
        <v>20</v>
      </c>
      <c r="C193" s="4">
        <v>598</v>
      </c>
      <c r="D193" s="1">
        <v>1</v>
      </c>
      <c r="E193" s="3">
        <v>40</v>
      </c>
      <c r="F193" s="5">
        <v>2.8</v>
      </c>
      <c r="G193" s="1">
        <v>40</v>
      </c>
      <c r="H193" s="1">
        <v>50</v>
      </c>
      <c r="I193" s="1">
        <v>100</v>
      </c>
      <c r="J193" s="1">
        <v>350</v>
      </c>
      <c r="K193" s="1">
        <v>315</v>
      </c>
      <c r="L193" s="1">
        <v>15000</v>
      </c>
      <c r="M193" s="4">
        <v>96.386921369125801</v>
      </c>
      <c r="N193" s="10">
        <v>2.1000000000000001E-2</v>
      </c>
      <c r="O193" s="5">
        <v>21.89</v>
      </c>
      <c r="P193" s="4">
        <v>259.42359080488598</v>
      </c>
      <c r="Q193" s="5">
        <v>0.17</v>
      </c>
      <c r="R193" s="11">
        <f t="shared" si="2"/>
        <v>1.29711795402443E-3</v>
      </c>
      <c r="V193" s="5"/>
      <c r="W193" s="5"/>
    </row>
    <row r="194" spans="1:23" x14ac:dyDescent="0.25">
      <c r="B194" s="1">
        <v>20</v>
      </c>
      <c r="C194" s="4">
        <v>598</v>
      </c>
      <c r="D194" s="1">
        <v>1</v>
      </c>
      <c r="E194" s="3">
        <v>40</v>
      </c>
      <c r="F194" s="5">
        <v>2.8</v>
      </c>
      <c r="G194" s="1">
        <v>40</v>
      </c>
      <c r="H194" s="1">
        <v>50</v>
      </c>
      <c r="I194" s="1">
        <v>100</v>
      </c>
      <c r="J194" s="1">
        <v>350</v>
      </c>
      <c r="K194" s="1">
        <v>315</v>
      </c>
      <c r="L194" s="1">
        <v>15000</v>
      </c>
      <c r="M194" s="4">
        <v>96.386921369125801</v>
      </c>
      <c r="N194" s="10">
        <v>2.1000000000000001E-2</v>
      </c>
      <c r="O194" s="5">
        <v>24.82</v>
      </c>
      <c r="P194" s="4">
        <v>294.14771693820302</v>
      </c>
      <c r="Q194" s="5">
        <v>0.21</v>
      </c>
      <c r="R194" s="11">
        <f t="shared" si="2"/>
        <v>1.4707385846910151E-3</v>
      </c>
      <c r="V194" s="5"/>
      <c r="W194" s="5"/>
    </row>
    <row r="195" spans="1:23" x14ac:dyDescent="0.25">
      <c r="A195" t="s">
        <v>63</v>
      </c>
      <c r="B195" s="1">
        <v>20</v>
      </c>
      <c r="C195" s="4">
        <v>598</v>
      </c>
      <c r="D195" s="1">
        <v>1</v>
      </c>
      <c r="E195" s="3">
        <v>40</v>
      </c>
      <c r="F195" s="5">
        <v>2.8</v>
      </c>
      <c r="G195" s="1">
        <v>40</v>
      </c>
      <c r="H195" s="1">
        <v>50</v>
      </c>
      <c r="I195" s="1">
        <v>100</v>
      </c>
      <c r="J195" s="1">
        <v>350</v>
      </c>
      <c r="K195" s="1">
        <v>315</v>
      </c>
      <c r="L195" s="1">
        <v>15000</v>
      </c>
      <c r="M195" s="4">
        <v>96.386921369125801</v>
      </c>
      <c r="N195" s="10">
        <v>2.1000000000000001E-2</v>
      </c>
      <c r="O195" s="5">
        <v>13.02</v>
      </c>
      <c r="P195" s="4">
        <v>154.30311339788099</v>
      </c>
      <c r="Q195" s="5">
        <v>0.21</v>
      </c>
      <c r="R195" s="11">
        <f t="shared" ref="R195:R258" si="3">P195/200000</f>
        <v>7.7151556698940493E-4</v>
      </c>
      <c r="V195" s="5"/>
      <c r="W195" s="5"/>
    </row>
    <row r="196" spans="1:23" x14ac:dyDescent="0.25">
      <c r="B196" s="1">
        <v>20</v>
      </c>
      <c r="C196" s="4">
        <v>598</v>
      </c>
      <c r="D196" s="1">
        <v>1</v>
      </c>
      <c r="E196" s="3">
        <v>40</v>
      </c>
      <c r="F196" s="5">
        <v>2.8</v>
      </c>
      <c r="G196" s="1">
        <v>40</v>
      </c>
      <c r="H196" s="1">
        <v>50</v>
      </c>
      <c r="I196" s="1">
        <v>100</v>
      </c>
      <c r="J196" s="1">
        <v>350</v>
      </c>
      <c r="K196" s="1">
        <v>315</v>
      </c>
      <c r="L196" s="1">
        <v>15000</v>
      </c>
      <c r="M196" s="4">
        <v>96.386921369125801</v>
      </c>
      <c r="N196" s="10">
        <v>2.1000000000000001E-2</v>
      </c>
      <c r="O196" s="5">
        <v>16.059999999999999</v>
      </c>
      <c r="P196" s="4">
        <v>190.330875665896</v>
      </c>
      <c r="Q196" s="5">
        <v>0.25</v>
      </c>
      <c r="R196" s="11">
        <f t="shared" si="3"/>
        <v>9.5165437832947996E-4</v>
      </c>
      <c r="V196" s="5"/>
      <c r="W196" s="5"/>
    </row>
    <row r="197" spans="1:23" x14ac:dyDescent="0.25">
      <c r="B197" s="1">
        <v>20</v>
      </c>
      <c r="C197" s="4">
        <v>598</v>
      </c>
      <c r="D197" s="1">
        <v>1</v>
      </c>
      <c r="E197" s="3">
        <v>40</v>
      </c>
      <c r="F197" s="5">
        <v>2.8</v>
      </c>
      <c r="G197" s="1">
        <v>40</v>
      </c>
      <c r="H197" s="1">
        <v>50</v>
      </c>
      <c r="I197" s="1">
        <v>100</v>
      </c>
      <c r="J197" s="1">
        <v>350</v>
      </c>
      <c r="K197" s="1">
        <v>315</v>
      </c>
      <c r="L197" s="1">
        <v>15000</v>
      </c>
      <c r="M197" s="4">
        <v>96.386921369125801</v>
      </c>
      <c r="N197" s="10">
        <v>2.1000000000000001E-2</v>
      </c>
      <c r="O197" s="5">
        <v>18.93</v>
      </c>
      <c r="P197" s="4">
        <v>224.343927543924</v>
      </c>
      <c r="Q197" s="5">
        <v>0.28999999999999998</v>
      </c>
      <c r="R197" s="11">
        <f t="shared" si="3"/>
        <v>1.1217196377196199E-3</v>
      </c>
      <c r="V197" s="5"/>
      <c r="W197" s="5"/>
    </row>
    <row r="198" spans="1:23" x14ac:dyDescent="0.25">
      <c r="B198" s="1">
        <v>20</v>
      </c>
      <c r="C198" s="4">
        <v>598</v>
      </c>
      <c r="D198" s="1">
        <v>1</v>
      </c>
      <c r="E198" s="3">
        <v>40</v>
      </c>
      <c r="F198" s="5">
        <v>2.8</v>
      </c>
      <c r="G198" s="1">
        <v>40</v>
      </c>
      <c r="H198" s="1">
        <v>50</v>
      </c>
      <c r="I198" s="1">
        <v>100</v>
      </c>
      <c r="J198" s="1">
        <v>350</v>
      </c>
      <c r="K198" s="1">
        <v>315</v>
      </c>
      <c r="L198" s="1">
        <v>15000</v>
      </c>
      <c r="M198" s="4">
        <v>96.386921369125801</v>
      </c>
      <c r="N198" s="10">
        <v>2.1000000000000001E-2</v>
      </c>
      <c r="O198" s="5">
        <v>21.81</v>
      </c>
      <c r="P198" s="4">
        <v>258.475491797833</v>
      </c>
      <c r="Q198" s="5">
        <v>0.33</v>
      </c>
      <c r="R198" s="11">
        <f t="shared" si="3"/>
        <v>1.292377458989165E-3</v>
      </c>
      <c r="V198" s="5"/>
      <c r="W198" s="5"/>
    </row>
    <row r="199" spans="1:23" x14ac:dyDescent="0.25">
      <c r="B199" s="1">
        <v>20</v>
      </c>
      <c r="C199" s="4">
        <v>598</v>
      </c>
      <c r="D199" s="1">
        <v>1</v>
      </c>
      <c r="E199" s="3">
        <v>40</v>
      </c>
      <c r="F199" s="5">
        <v>2.8</v>
      </c>
      <c r="G199" s="1">
        <v>40</v>
      </c>
      <c r="H199" s="1">
        <v>50</v>
      </c>
      <c r="I199" s="1">
        <v>100</v>
      </c>
      <c r="J199" s="1">
        <v>350</v>
      </c>
      <c r="K199" s="1">
        <v>315</v>
      </c>
      <c r="L199" s="1">
        <v>15000</v>
      </c>
      <c r="M199" s="4">
        <v>96.386921369125801</v>
      </c>
      <c r="N199" s="10">
        <v>2.1000000000000001E-2</v>
      </c>
      <c r="O199" s="5">
        <v>25.88</v>
      </c>
      <c r="P199" s="4">
        <v>306.71002878165598</v>
      </c>
      <c r="Q199" s="5">
        <v>0.37</v>
      </c>
      <c r="R199" s="11">
        <f t="shared" si="3"/>
        <v>1.5335501439082799E-3</v>
      </c>
      <c r="V199" s="5"/>
      <c r="W199" s="5"/>
    </row>
    <row r="200" spans="1:23" x14ac:dyDescent="0.25">
      <c r="A200" t="s">
        <v>64</v>
      </c>
      <c r="B200" s="1">
        <v>20</v>
      </c>
      <c r="C200" s="4">
        <v>430</v>
      </c>
      <c r="D200" s="1">
        <v>6</v>
      </c>
      <c r="E200" s="3">
        <v>84</v>
      </c>
      <c r="F200" s="5">
        <v>3.50882128585544</v>
      </c>
      <c r="G200" s="1">
        <v>50</v>
      </c>
      <c r="H200" s="1">
        <v>64</v>
      </c>
      <c r="I200" s="1">
        <v>600</v>
      </c>
      <c r="J200" s="1">
        <v>400</v>
      </c>
      <c r="K200" s="1">
        <v>1884</v>
      </c>
      <c r="L200" s="1">
        <v>98400</v>
      </c>
      <c r="M200" s="4">
        <v>96.251010941285003</v>
      </c>
      <c r="N200" s="10">
        <v>1.9146341463414599E-2</v>
      </c>
      <c r="O200" s="5">
        <v>103</v>
      </c>
      <c r="P200" s="4">
        <v>179.888040262956</v>
      </c>
      <c r="Q200" s="5">
        <v>0.15</v>
      </c>
      <c r="R200" s="11">
        <f t="shared" si="3"/>
        <v>8.9944020131478E-4</v>
      </c>
      <c r="V200" s="5"/>
      <c r="W200" s="5"/>
    </row>
    <row r="201" spans="1:23" x14ac:dyDescent="0.25">
      <c r="B201" s="1">
        <v>20</v>
      </c>
      <c r="C201" s="4">
        <v>430</v>
      </c>
      <c r="D201" s="1">
        <v>6</v>
      </c>
      <c r="E201" s="3">
        <v>84</v>
      </c>
      <c r="F201" s="5">
        <v>3.50882128585544</v>
      </c>
      <c r="G201" s="1">
        <v>50</v>
      </c>
      <c r="H201" s="1">
        <v>64</v>
      </c>
      <c r="I201" s="1">
        <v>600</v>
      </c>
      <c r="J201" s="1">
        <v>400</v>
      </c>
      <c r="K201" s="1">
        <v>1884</v>
      </c>
      <c r="L201" s="1">
        <v>98400</v>
      </c>
      <c r="M201" s="4">
        <v>96.251010941285003</v>
      </c>
      <c r="N201" s="10">
        <v>1.9146341463414599E-2</v>
      </c>
      <c r="O201" s="5">
        <v>129</v>
      </c>
      <c r="P201" s="4">
        <v>225.29667178564301</v>
      </c>
      <c r="Q201" s="5">
        <v>0.23</v>
      </c>
      <c r="R201" s="11">
        <f t="shared" si="3"/>
        <v>1.126483358928215E-3</v>
      </c>
      <c r="V201" s="5"/>
      <c r="W201" s="5"/>
    </row>
    <row r="202" spans="1:23" x14ac:dyDescent="0.25">
      <c r="B202" s="1">
        <v>20</v>
      </c>
      <c r="C202" s="4">
        <v>430</v>
      </c>
      <c r="D202" s="1">
        <v>6</v>
      </c>
      <c r="E202" s="3">
        <v>84</v>
      </c>
      <c r="F202" s="5">
        <v>3.50882128585544</v>
      </c>
      <c r="G202" s="1">
        <v>50</v>
      </c>
      <c r="H202" s="1">
        <v>64</v>
      </c>
      <c r="I202" s="1">
        <v>600</v>
      </c>
      <c r="J202" s="1">
        <v>400</v>
      </c>
      <c r="K202" s="1">
        <v>1884</v>
      </c>
      <c r="L202" s="1">
        <v>98400</v>
      </c>
      <c r="M202" s="4">
        <v>96.251010941285003</v>
      </c>
      <c r="N202" s="10">
        <v>1.9146341463414599E-2</v>
      </c>
      <c r="O202" s="5">
        <v>155</v>
      </c>
      <c r="P202" s="4">
        <v>270.705303308331</v>
      </c>
      <c r="Q202" s="5">
        <v>0.28000000000000003</v>
      </c>
      <c r="R202" s="11">
        <f t="shared" si="3"/>
        <v>1.353526516541655E-3</v>
      </c>
      <c r="V202" s="5"/>
      <c r="W202" s="5"/>
    </row>
    <row r="203" spans="1:23" x14ac:dyDescent="0.25">
      <c r="A203" t="s">
        <v>65</v>
      </c>
      <c r="B203" s="1">
        <v>20</v>
      </c>
      <c r="C203" s="4">
        <v>430</v>
      </c>
      <c r="D203" s="1">
        <v>9</v>
      </c>
      <c r="E203" s="3">
        <v>45</v>
      </c>
      <c r="F203" s="5">
        <v>3.50882128585544</v>
      </c>
      <c r="G203" s="1">
        <v>50</v>
      </c>
      <c r="H203" s="1">
        <v>64</v>
      </c>
      <c r="I203" s="1">
        <v>600</v>
      </c>
      <c r="J203" s="1">
        <v>400</v>
      </c>
      <c r="K203" s="1">
        <v>2826</v>
      </c>
      <c r="L203" s="1">
        <v>98400</v>
      </c>
      <c r="M203" s="4">
        <v>113.55033398296101</v>
      </c>
      <c r="N203" s="10">
        <v>2.8719512195122001E-2</v>
      </c>
      <c r="O203" s="5">
        <v>149</v>
      </c>
      <c r="P203" s="4">
        <v>176.83957373352101</v>
      </c>
      <c r="Q203" s="5">
        <v>0.18</v>
      </c>
      <c r="R203" s="11">
        <f t="shared" si="3"/>
        <v>8.8419786866760506E-4</v>
      </c>
      <c r="V203" s="5"/>
      <c r="W203" s="5"/>
    </row>
    <row r="204" spans="1:23" x14ac:dyDescent="0.25">
      <c r="B204" s="1">
        <v>20</v>
      </c>
      <c r="C204" s="4">
        <v>430</v>
      </c>
      <c r="D204" s="1">
        <v>9</v>
      </c>
      <c r="E204" s="3">
        <v>45</v>
      </c>
      <c r="F204" s="5">
        <v>3.50882128585544</v>
      </c>
      <c r="G204" s="1">
        <v>50</v>
      </c>
      <c r="H204" s="1">
        <v>64</v>
      </c>
      <c r="I204" s="1">
        <v>600</v>
      </c>
      <c r="J204" s="1">
        <v>400</v>
      </c>
      <c r="K204" s="1">
        <v>2826</v>
      </c>
      <c r="L204" s="1">
        <v>98400</v>
      </c>
      <c r="M204" s="4">
        <v>113.55033398296101</v>
      </c>
      <c r="N204" s="10">
        <v>2.8719512195122001E-2</v>
      </c>
      <c r="O204" s="5">
        <v>186</v>
      </c>
      <c r="P204" s="4">
        <v>220.752756472718</v>
      </c>
      <c r="Q204" s="5">
        <v>0.26</v>
      </c>
      <c r="R204" s="11">
        <f t="shared" si="3"/>
        <v>1.1037637823635899E-3</v>
      </c>
      <c r="V204" s="5"/>
      <c r="W204" s="5"/>
    </row>
    <row r="205" spans="1:23" x14ac:dyDescent="0.25">
      <c r="B205" s="1">
        <v>20</v>
      </c>
      <c r="C205" s="4">
        <v>430</v>
      </c>
      <c r="D205" s="1">
        <v>9</v>
      </c>
      <c r="E205" s="3">
        <v>45</v>
      </c>
      <c r="F205" s="5">
        <v>3.50882128585544</v>
      </c>
      <c r="G205" s="1">
        <v>50</v>
      </c>
      <c r="H205" s="1">
        <v>64</v>
      </c>
      <c r="I205" s="1">
        <v>600</v>
      </c>
      <c r="J205" s="1">
        <v>400</v>
      </c>
      <c r="K205" s="1">
        <v>2826</v>
      </c>
      <c r="L205" s="1">
        <v>98400</v>
      </c>
      <c r="M205" s="4">
        <v>113.55033398296101</v>
      </c>
      <c r="N205" s="10">
        <v>2.8719512195122001E-2</v>
      </c>
      <c r="O205" s="5">
        <v>223</v>
      </c>
      <c r="P205" s="4">
        <v>264.66593921191401</v>
      </c>
      <c r="Q205" s="5">
        <v>0.34</v>
      </c>
      <c r="R205" s="11">
        <f t="shared" si="3"/>
        <v>1.3233296960595701E-3</v>
      </c>
      <c r="V205" s="5"/>
      <c r="W205" s="5"/>
    </row>
    <row r="206" spans="1:23" x14ac:dyDescent="0.25">
      <c r="A206" t="s">
        <v>66</v>
      </c>
      <c r="B206" s="1">
        <v>16</v>
      </c>
      <c r="C206" s="4">
        <v>528</v>
      </c>
      <c r="D206" s="1">
        <v>2</v>
      </c>
      <c r="E206" s="3">
        <v>52</v>
      </c>
      <c r="F206" s="5">
        <v>3.42</v>
      </c>
      <c r="G206" s="1">
        <v>27</v>
      </c>
      <c r="H206" s="1">
        <v>35</v>
      </c>
      <c r="I206" s="1">
        <v>150</v>
      </c>
      <c r="J206" s="1">
        <v>235</v>
      </c>
      <c r="K206" s="1">
        <v>402</v>
      </c>
      <c r="L206" s="1">
        <v>17250</v>
      </c>
      <c r="M206" s="4">
        <v>69.8404266407112</v>
      </c>
      <c r="N206" s="10">
        <v>2.3304347826087E-2</v>
      </c>
      <c r="O206" s="5">
        <v>16.675000000000001</v>
      </c>
      <c r="P206" s="4">
        <v>234.72234542321399</v>
      </c>
      <c r="Q206" s="5">
        <v>0.15</v>
      </c>
      <c r="R206" s="11">
        <f t="shared" si="3"/>
        <v>1.17361172711607E-3</v>
      </c>
      <c r="V206" s="5"/>
      <c r="W206" s="5"/>
    </row>
    <row r="207" spans="1:23" x14ac:dyDescent="0.25">
      <c r="B207" s="1">
        <v>16</v>
      </c>
      <c r="C207" s="4">
        <v>528</v>
      </c>
      <c r="D207" s="1">
        <v>2</v>
      </c>
      <c r="E207" s="3">
        <v>52</v>
      </c>
      <c r="F207" s="5">
        <v>3.42</v>
      </c>
      <c r="G207" s="1">
        <v>27</v>
      </c>
      <c r="H207" s="1">
        <v>35</v>
      </c>
      <c r="I207" s="1">
        <v>150</v>
      </c>
      <c r="J207" s="1">
        <v>235</v>
      </c>
      <c r="K207" s="1">
        <v>402</v>
      </c>
      <c r="L207" s="1">
        <v>17250</v>
      </c>
      <c r="M207" s="4">
        <v>69.8404266407112</v>
      </c>
      <c r="N207" s="10">
        <v>2.3304347826087E-2</v>
      </c>
      <c r="O207" s="5">
        <v>22.425000000000001</v>
      </c>
      <c r="P207" s="4">
        <v>315.66108522432199</v>
      </c>
      <c r="Q207" s="5">
        <v>0.19</v>
      </c>
      <c r="R207" s="11">
        <f t="shared" si="3"/>
        <v>1.5783054261216099E-3</v>
      </c>
      <c r="V207" s="5"/>
      <c r="W207" s="5"/>
    </row>
    <row r="208" spans="1:23" x14ac:dyDescent="0.25">
      <c r="B208" s="1">
        <v>16</v>
      </c>
      <c r="C208" s="4">
        <v>528</v>
      </c>
      <c r="D208" s="1">
        <v>2</v>
      </c>
      <c r="E208" s="3">
        <v>52</v>
      </c>
      <c r="F208" s="5">
        <v>3.42</v>
      </c>
      <c r="G208" s="1">
        <v>27</v>
      </c>
      <c r="H208" s="1">
        <v>35</v>
      </c>
      <c r="I208" s="1">
        <v>150</v>
      </c>
      <c r="J208" s="1">
        <v>235</v>
      </c>
      <c r="K208" s="1">
        <v>402</v>
      </c>
      <c r="L208" s="1">
        <v>17250</v>
      </c>
      <c r="M208" s="4">
        <v>69.8404266407112</v>
      </c>
      <c r="N208" s="10">
        <v>2.3304347826087E-2</v>
      </c>
      <c r="O208" s="5">
        <v>25.875</v>
      </c>
      <c r="P208" s="4">
        <v>364.22432910498702</v>
      </c>
      <c r="Q208" s="5">
        <v>0.22</v>
      </c>
      <c r="R208" s="11">
        <f t="shared" si="3"/>
        <v>1.8211216455249351E-3</v>
      </c>
      <c r="V208" s="5"/>
      <c r="W208" s="5"/>
    </row>
    <row r="209" spans="1:23" x14ac:dyDescent="0.25">
      <c r="B209" s="1">
        <v>16</v>
      </c>
      <c r="C209" s="4">
        <v>528</v>
      </c>
      <c r="D209" s="1">
        <v>2</v>
      </c>
      <c r="E209" s="3">
        <v>52</v>
      </c>
      <c r="F209" s="5">
        <v>3.42</v>
      </c>
      <c r="G209" s="1">
        <v>27</v>
      </c>
      <c r="H209" s="1">
        <v>35</v>
      </c>
      <c r="I209" s="1">
        <v>150</v>
      </c>
      <c r="J209" s="1">
        <v>235</v>
      </c>
      <c r="K209" s="1">
        <v>402</v>
      </c>
      <c r="L209" s="1">
        <v>17250</v>
      </c>
      <c r="M209" s="4">
        <v>69.8404266407112</v>
      </c>
      <c r="N209" s="10">
        <v>2.3304347826087E-2</v>
      </c>
      <c r="O209" s="5">
        <v>28.75</v>
      </c>
      <c r="P209" s="4">
        <v>404.69369900554102</v>
      </c>
      <c r="Q209" s="5">
        <v>0.22</v>
      </c>
      <c r="R209" s="11">
        <f t="shared" si="3"/>
        <v>2.0234684950277051E-3</v>
      </c>
      <c r="V209" s="5"/>
      <c r="W209" s="5"/>
    </row>
    <row r="210" spans="1:23" x14ac:dyDescent="0.25">
      <c r="B210" s="1">
        <v>16</v>
      </c>
      <c r="C210" s="4">
        <v>528</v>
      </c>
      <c r="D210" s="1">
        <v>2</v>
      </c>
      <c r="E210" s="3">
        <v>52</v>
      </c>
      <c r="F210" s="5">
        <v>3.42</v>
      </c>
      <c r="G210" s="1">
        <v>27</v>
      </c>
      <c r="H210" s="1">
        <v>35</v>
      </c>
      <c r="I210" s="1">
        <v>150</v>
      </c>
      <c r="J210" s="1">
        <v>235</v>
      </c>
      <c r="K210" s="1">
        <v>402</v>
      </c>
      <c r="L210" s="1">
        <v>17250</v>
      </c>
      <c r="M210" s="4">
        <v>69.8404266407112</v>
      </c>
      <c r="N210" s="10">
        <v>2.3304347826087E-2</v>
      </c>
      <c r="O210" s="5">
        <v>33.35</v>
      </c>
      <c r="P210" s="4">
        <v>469.44469084642799</v>
      </c>
      <c r="Q210" s="5">
        <v>0.25</v>
      </c>
      <c r="R210" s="11">
        <f t="shared" si="3"/>
        <v>2.34722345423214E-3</v>
      </c>
      <c r="V210" s="5"/>
      <c r="W210" s="5"/>
    </row>
    <row r="211" spans="1:23" x14ac:dyDescent="0.25">
      <c r="B211" s="1">
        <v>16</v>
      </c>
      <c r="C211" s="4">
        <v>528</v>
      </c>
      <c r="D211" s="1">
        <v>2</v>
      </c>
      <c r="E211" s="3">
        <v>52</v>
      </c>
      <c r="F211" s="5">
        <v>3.42</v>
      </c>
      <c r="G211" s="1">
        <v>27</v>
      </c>
      <c r="H211" s="1">
        <v>35</v>
      </c>
      <c r="I211" s="1">
        <v>150</v>
      </c>
      <c r="J211" s="1">
        <v>235</v>
      </c>
      <c r="K211" s="1">
        <v>402</v>
      </c>
      <c r="L211" s="1">
        <v>17250</v>
      </c>
      <c r="M211" s="4">
        <v>69.8404266407112</v>
      </c>
      <c r="N211" s="10">
        <v>2.3304347826087E-2</v>
      </c>
      <c r="O211" s="5">
        <v>37.375</v>
      </c>
      <c r="P211" s="4">
        <v>526.10180870720399</v>
      </c>
      <c r="Q211" s="5">
        <v>0.28999999999999998</v>
      </c>
      <c r="R211" s="11">
        <f t="shared" si="3"/>
        <v>2.6305090435360199E-3</v>
      </c>
      <c r="V211" s="5"/>
      <c r="W211" s="5"/>
    </row>
    <row r="212" spans="1:23" x14ac:dyDescent="0.25">
      <c r="A212" t="s">
        <v>67</v>
      </c>
      <c r="B212" s="1">
        <v>20</v>
      </c>
      <c r="C212" s="4">
        <v>528</v>
      </c>
      <c r="D212" s="1">
        <v>2</v>
      </c>
      <c r="E212" s="3">
        <v>44</v>
      </c>
      <c r="F212" s="5">
        <v>3.42</v>
      </c>
      <c r="G212" s="1">
        <v>25</v>
      </c>
      <c r="H212" s="1">
        <v>35</v>
      </c>
      <c r="I212" s="1">
        <v>150</v>
      </c>
      <c r="J212" s="1">
        <v>235</v>
      </c>
      <c r="K212" s="1">
        <v>628</v>
      </c>
      <c r="L212" s="1">
        <v>18375</v>
      </c>
      <c r="M212" s="4">
        <v>82.823824444556394</v>
      </c>
      <c r="N212" s="10">
        <v>3.4176870748299303E-2</v>
      </c>
      <c r="O212" s="5">
        <v>29.324999999999999</v>
      </c>
      <c r="P212" s="4">
        <v>270.87013331072598</v>
      </c>
      <c r="Q212" s="5">
        <v>0.17</v>
      </c>
      <c r="R212" s="11">
        <f t="shared" si="3"/>
        <v>1.3543506665536298E-3</v>
      </c>
      <c r="V212" s="5"/>
      <c r="W212" s="5"/>
    </row>
    <row r="213" spans="1:23" x14ac:dyDescent="0.25">
      <c r="B213" s="1">
        <v>20</v>
      </c>
      <c r="C213" s="4">
        <v>528</v>
      </c>
      <c r="D213" s="1">
        <v>2</v>
      </c>
      <c r="E213" s="3">
        <v>44</v>
      </c>
      <c r="F213" s="5">
        <v>3.42</v>
      </c>
      <c r="G213" s="1">
        <v>25</v>
      </c>
      <c r="H213" s="1">
        <v>35</v>
      </c>
      <c r="I213" s="1">
        <v>150</v>
      </c>
      <c r="J213" s="1">
        <v>235</v>
      </c>
      <c r="K213" s="1">
        <v>628</v>
      </c>
      <c r="L213" s="1">
        <v>18375</v>
      </c>
      <c r="M213" s="4">
        <v>82.823824444556394</v>
      </c>
      <c r="N213" s="10">
        <v>3.4176870748299303E-2</v>
      </c>
      <c r="O213" s="5">
        <v>33.35</v>
      </c>
      <c r="P213" s="4">
        <v>308.04838690239399</v>
      </c>
      <c r="Q213" s="5">
        <v>0.19</v>
      </c>
      <c r="R213" s="11">
        <f t="shared" si="3"/>
        <v>1.5402419345119699E-3</v>
      </c>
      <c r="V213" s="5"/>
      <c r="W213" s="5"/>
    </row>
    <row r="214" spans="1:23" x14ac:dyDescent="0.25">
      <c r="B214" s="1">
        <v>20</v>
      </c>
      <c r="C214" s="4">
        <v>528</v>
      </c>
      <c r="D214" s="1">
        <v>2</v>
      </c>
      <c r="E214" s="3">
        <v>44</v>
      </c>
      <c r="F214" s="5">
        <v>3.42</v>
      </c>
      <c r="G214" s="1">
        <v>25</v>
      </c>
      <c r="H214" s="1">
        <v>35</v>
      </c>
      <c r="I214" s="1">
        <v>150</v>
      </c>
      <c r="J214" s="1">
        <v>235</v>
      </c>
      <c r="K214" s="1">
        <v>628</v>
      </c>
      <c r="L214" s="1">
        <v>18375</v>
      </c>
      <c r="M214" s="4">
        <v>82.823824444556394</v>
      </c>
      <c r="N214" s="10">
        <v>3.4176870748299303E-2</v>
      </c>
      <c r="O214" s="5">
        <v>38.524999999999999</v>
      </c>
      <c r="P214" s="4">
        <v>355.84899866311099</v>
      </c>
      <c r="Q214" s="5">
        <v>0.21</v>
      </c>
      <c r="R214" s="11">
        <f t="shared" si="3"/>
        <v>1.7792449933155549E-3</v>
      </c>
      <c r="V214" s="5"/>
      <c r="W214" s="5"/>
    </row>
    <row r="215" spans="1:23" x14ac:dyDescent="0.25">
      <c r="B215" s="1">
        <v>20</v>
      </c>
      <c r="C215" s="4">
        <v>528</v>
      </c>
      <c r="D215" s="1">
        <v>2</v>
      </c>
      <c r="E215" s="3">
        <v>44</v>
      </c>
      <c r="F215" s="5">
        <v>3.42</v>
      </c>
      <c r="G215" s="1">
        <v>25</v>
      </c>
      <c r="H215" s="1">
        <v>35</v>
      </c>
      <c r="I215" s="1">
        <v>150</v>
      </c>
      <c r="J215" s="1">
        <v>235</v>
      </c>
      <c r="K215" s="1">
        <v>628</v>
      </c>
      <c r="L215" s="1">
        <v>18375</v>
      </c>
      <c r="M215" s="4">
        <v>82.823824444556394</v>
      </c>
      <c r="N215" s="10">
        <v>3.4176870748299303E-2</v>
      </c>
      <c r="O215" s="5">
        <v>40.825000000000003</v>
      </c>
      <c r="P215" s="4">
        <v>377.09371500120699</v>
      </c>
      <c r="Q215" s="5">
        <v>0.23</v>
      </c>
      <c r="R215" s="11">
        <f t="shared" si="3"/>
        <v>1.8854685750060349E-3</v>
      </c>
      <c r="V215" s="5"/>
      <c r="W215" s="5"/>
    </row>
    <row r="216" spans="1:23" x14ac:dyDescent="0.25">
      <c r="B216" s="1">
        <v>20</v>
      </c>
      <c r="C216" s="4">
        <v>528</v>
      </c>
      <c r="D216" s="1">
        <v>2</v>
      </c>
      <c r="E216" s="3">
        <v>44</v>
      </c>
      <c r="F216" s="5">
        <v>3.42</v>
      </c>
      <c r="G216" s="1">
        <v>25</v>
      </c>
      <c r="H216" s="1">
        <v>35</v>
      </c>
      <c r="I216" s="1">
        <v>150</v>
      </c>
      <c r="J216" s="1">
        <v>235</v>
      </c>
      <c r="K216" s="1">
        <v>628</v>
      </c>
      <c r="L216" s="1">
        <v>18375</v>
      </c>
      <c r="M216" s="4">
        <v>82.823824444556394</v>
      </c>
      <c r="N216" s="10">
        <v>3.4176870748299303E-2</v>
      </c>
      <c r="O216" s="5">
        <v>46</v>
      </c>
      <c r="P216" s="4">
        <v>424.89432676192303</v>
      </c>
      <c r="Q216" s="5">
        <v>0.25</v>
      </c>
      <c r="R216" s="11">
        <f t="shared" si="3"/>
        <v>2.1244716338096152E-3</v>
      </c>
      <c r="V216" s="5"/>
      <c r="W216" s="5"/>
    </row>
    <row r="217" spans="1:23" x14ac:dyDescent="0.25">
      <c r="B217" s="1">
        <v>20</v>
      </c>
      <c r="C217" s="4">
        <v>528</v>
      </c>
      <c r="D217" s="1">
        <v>2</v>
      </c>
      <c r="E217" s="3">
        <v>44</v>
      </c>
      <c r="F217" s="5">
        <v>3.42</v>
      </c>
      <c r="G217" s="1">
        <v>25</v>
      </c>
      <c r="H217" s="1">
        <v>35</v>
      </c>
      <c r="I217" s="1">
        <v>150</v>
      </c>
      <c r="J217" s="1">
        <v>235</v>
      </c>
      <c r="K217" s="1">
        <v>628</v>
      </c>
      <c r="L217" s="1">
        <v>18375</v>
      </c>
      <c r="M217" s="4">
        <v>82.823824444556394</v>
      </c>
      <c r="N217" s="10">
        <v>3.4176870748299303E-2</v>
      </c>
      <c r="O217" s="5">
        <v>56.924999999999997</v>
      </c>
      <c r="P217" s="4">
        <v>525.80672936788005</v>
      </c>
      <c r="Q217" s="5">
        <v>0.25</v>
      </c>
      <c r="R217" s="11">
        <f t="shared" si="3"/>
        <v>2.6290336468394004E-3</v>
      </c>
      <c r="V217" s="5"/>
      <c r="W217" s="5"/>
    </row>
    <row r="218" spans="1:23" x14ac:dyDescent="0.25">
      <c r="A218" t="s">
        <v>68</v>
      </c>
      <c r="B218" s="1">
        <v>20</v>
      </c>
      <c r="C218" s="4">
        <v>528</v>
      </c>
      <c r="D218" s="1">
        <v>3</v>
      </c>
      <c r="E218" s="3">
        <v>12</v>
      </c>
      <c r="F218" s="5">
        <v>3.42</v>
      </c>
      <c r="G218" s="1">
        <v>25</v>
      </c>
      <c r="H218" s="1">
        <v>35</v>
      </c>
      <c r="I218" s="1">
        <v>150</v>
      </c>
      <c r="J218" s="1">
        <v>235</v>
      </c>
      <c r="K218" s="1">
        <v>942</v>
      </c>
      <c r="L218" s="1">
        <v>18375</v>
      </c>
      <c r="M218" s="4">
        <v>95.701732145716306</v>
      </c>
      <c r="N218" s="10">
        <v>5.1265306122448999E-2</v>
      </c>
      <c r="O218" s="5">
        <v>39.1</v>
      </c>
      <c r="P218" s="4">
        <v>246.92191294539799</v>
      </c>
      <c r="Q218" s="5">
        <v>0.18</v>
      </c>
      <c r="R218" s="11">
        <f t="shared" si="3"/>
        <v>1.23460956472699E-3</v>
      </c>
      <c r="V218" s="5"/>
      <c r="W218" s="5"/>
    </row>
    <row r="219" spans="1:23" x14ac:dyDescent="0.25">
      <c r="B219" s="1">
        <v>20</v>
      </c>
      <c r="C219" s="4">
        <v>528</v>
      </c>
      <c r="D219" s="1">
        <v>3</v>
      </c>
      <c r="E219" s="3">
        <v>12</v>
      </c>
      <c r="F219" s="5">
        <v>3.42</v>
      </c>
      <c r="G219" s="1">
        <v>25</v>
      </c>
      <c r="H219" s="1">
        <v>35</v>
      </c>
      <c r="I219" s="1">
        <v>150</v>
      </c>
      <c r="J219" s="1">
        <v>235</v>
      </c>
      <c r="K219" s="1">
        <v>942</v>
      </c>
      <c r="L219" s="1">
        <v>18375</v>
      </c>
      <c r="M219" s="4">
        <v>95.701732145716306</v>
      </c>
      <c r="N219" s="10">
        <v>5.1265306122448999E-2</v>
      </c>
      <c r="O219" s="5">
        <v>44.85</v>
      </c>
      <c r="P219" s="4">
        <v>283.23395896677999</v>
      </c>
      <c r="Q219" s="5">
        <v>0.19</v>
      </c>
      <c r="R219" s="11">
        <f t="shared" si="3"/>
        <v>1.4161697948339E-3</v>
      </c>
      <c r="V219" s="5"/>
      <c r="W219" s="5"/>
    </row>
    <row r="220" spans="1:23" x14ac:dyDescent="0.25">
      <c r="B220" s="1">
        <v>20</v>
      </c>
      <c r="C220" s="4">
        <v>528</v>
      </c>
      <c r="D220" s="1">
        <v>3</v>
      </c>
      <c r="E220" s="3">
        <v>12</v>
      </c>
      <c r="F220" s="5">
        <v>3.42</v>
      </c>
      <c r="G220" s="1">
        <v>25</v>
      </c>
      <c r="H220" s="1">
        <v>35</v>
      </c>
      <c r="I220" s="1">
        <v>150</v>
      </c>
      <c r="J220" s="1">
        <v>235</v>
      </c>
      <c r="K220" s="1">
        <v>942</v>
      </c>
      <c r="L220" s="1">
        <v>18375</v>
      </c>
      <c r="M220" s="4">
        <v>95.701732145716306</v>
      </c>
      <c r="N220" s="10">
        <v>5.1265306122448999E-2</v>
      </c>
      <c r="O220" s="5">
        <v>50.024999999999999</v>
      </c>
      <c r="P220" s="4">
        <v>315.91480038602401</v>
      </c>
      <c r="Q220" s="5">
        <v>0.21</v>
      </c>
      <c r="R220" s="11">
        <f t="shared" si="3"/>
        <v>1.5795740019301202E-3</v>
      </c>
      <c r="V220" s="5"/>
      <c r="W220" s="5"/>
    </row>
    <row r="221" spans="1:23" x14ac:dyDescent="0.25">
      <c r="B221" s="1">
        <v>20</v>
      </c>
      <c r="C221" s="4">
        <v>528</v>
      </c>
      <c r="D221" s="1">
        <v>3</v>
      </c>
      <c r="E221" s="3">
        <v>12</v>
      </c>
      <c r="F221" s="5">
        <v>3.42</v>
      </c>
      <c r="G221" s="1">
        <v>25</v>
      </c>
      <c r="H221" s="1">
        <v>35</v>
      </c>
      <c r="I221" s="1">
        <v>150</v>
      </c>
      <c r="J221" s="1">
        <v>235</v>
      </c>
      <c r="K221" s="1">
        <v>942</v>
      </c>
      <c r="L221" s="1">
        <v>18375</v>
      </c>
      <c r="M221" s="4">
        <v>95.701732145716306</v>
      </c>
      <c r="N221" s="10">
        <v>5.1265306122448999E-2</v>
      </c>
      <c r="O221" s="5">
        <v>56.35</v>
      </c>
      <c r="P221" s="4">
        <v>355.85805100954502</v>
      </c>
      <c r="Q221" s="5">
        <v>0.23</v>
      </c>
      <c r="R221" s="11">
        <f t="shared" si="3"/>
        <v>1.7792902550477251E-3</v>
      </c>
      <c r="V221" s="5"/>
      <c r="W221" s="5"/>
    </row>
    <row r="222" spans="1:23" x14ac:dyDescent="0.25">
      <c r="B222" s="1">
        <v>20</v>
      </c>
      <c r="C222" s="4">
        <v>528</v>
      </c>
      <c r="D222" s="1">
        <v>3</v>
      </c>
      <c r="E222" s="3">
        <v>12</v>
      </c>
      <c r="F222" s="5">
        <v>3.42</v>
      </c>
      <c r="G222" s="1">
        <v>25</v>
      </c>
      <c r="H222" s="1">
        <v>35</v>
      </c>
      <c r="I222" s="1">
        <v>150</v>
      </c>
      <c r="J222" s="1">
        <v>235</v>
      </c>
      <c r="K222" s="1">
        <v>942</v>
      </c>
      <c r="L222" s="1">
        <v>18375</v>
      </c>
      <c r="M222" s="4">
        <v>95.701732145716306</v>
      </c>
      <c r="N222" s="10">
        <v>5.1265306122448999E-2</v>
      </c>
      <c r="O222" s="5">
        <v>62.674999999999997</v>
      </c>
      <c r="P222" s="4">
        <v>395.80130163306501</v>
      </c>
      <c r="Q222" s="5">
        <v>0.25</v>
      </c>
      <c r="R222" s="11">
        <f t="shared" si="3"/>
        <v>1.9790065081653251E-3</v>
      </c>
      <c r="V222" s="5"/>
      <c r="W222" s="5"/>
    </row>
    <row r="223" spans="1:23" x14ac:dyDescent="0.25">
      <c r="B223" s="1">
        <v>20</v>
      </c>
      <c r="C223" s="4">
        <v>528</v>
      </c>
      <c r="D223" s="1">
        <v>3</v>
      </c>
      <c r="E223" s="3">
        <v>12</v>
      </c>
      <c r="F223" s="5">
        <v>3.42</v>
      </c>
      <c r="G223" s="1">
        <v>25</v>
      </c>
      <c r="H223" s="1">
        <v>35</v>
      </c>
      <c r="I223" s="1">
        <v>150</v>
      </c>
      <c r="J223" s="1">
        <v>235</v>
      </c>
      <c r="K223" s="1">
        <v>942</v>
      </c>
      <c r="L223" s="1">
        <v>18375</v>
      </c>
      <c r="M223" s="4">
        <v>95.701732145716306</v>
      </c>
      <c r="N223" s="10">
        <v>5.1265306122448999E-2</v>
      </c>
      <c r="O223" s="5">
        <v>68.424999999999997</v>
      </c>
      <c r="P223" s="4">
        <v>432.11334765444701</v>
      </c>
      <c r="Q223" s="5">
        <v>0.28999999999999998</v>
      </c>
      <c r="R223" s="11">
        <f t="shared" si="3"/>
        <v>2.1605667382722351E-3</v>
      </c>
      <c r="V223" s="5"/>
      <c r="W223" s="5"/>
    </row>
    <row r="224" spans="1:23" x14ac:dyDescent="0.25">
      <c r="B224" s="1">
        <v>20</v>
      </c>
      <c r="C224" s="4">
        <v>528</v>
      </c>
      <c r="D224" s="1">
        <v>3</v>
      </c>
      <c r="E224" s="3">
        <v>12</v>
      </c>
      <c r="F224" s="5">
        <v>3.42</v>
      </c>
      <c r="G224" s="1">
        <v>25</v>
      </c>
      <c r="H224" s="1">
        <v>35</v>
      </c>
      <c r="I224" s="1">
        <v>150</v>
      </c>
      <c r="J224" s="1">
        <v>235</v>
      </c>
      <c r="K224" s="1">
        <v>942</v>
      </c>
      <c r="L224" s="1">
        <v>18375</v>
      </c>
      <c r="M224" s="4">
        <v>95.701732145716306</v>
      </c>
      <c r="N224" s="10">
        <v>5.1265306122448999E-2</v>
      </c>
      <c r="O224" s="5">
        <v>74.174999999999997</v>
      </c>
      <c r="P224" s="4">
        <v>468.42539367582901</v>
      </c>
      <c r="Q224" s="5">
        <v>0.31</v>
      </c>
      <c r="R224" s="11">
        <f t="shared" si="3"/>
        <v>2.342126968379145E-3</v>
      </c>
      <c r="V224" s="5"/>
      <c r="W224" s="5"/>
    </row>
    <row r="225" spans="1:23" x14ac:dyDescent="0.25">
      <c r="B225" s="1">
        <v>20</v>
      </c>
      <c r="C225" s="4">
        <v>528</v>
      </c>
      <c r="D225" s="1">
        <v>3</v>
      </c>
      <c r="E225" s="3">
        <v>12</v>
      </c>
      <c r="F225" s="5">
        <v>3.42</v>
      </c>
      <c r="G225" s="1">
        <v>25</v>
      </c>
      <c r="H225" s="1">
        <v>35</v>
      </c>
      <c r="I225" s="1">
        <v>150</v>
      </c>
      <c r="J225" s="1">
        <v>235</v>
      </c>
      <c r="K225" s="1">
        <v>942</v>
      </c>
      <c r="L225" s="1">
        <v>18375</v>
      </c>
      <c r="M225" s="4">
        <v>95.701732145716306</v>
      </c>
      <c r="N225" s="10">
        <v>5.1265306122448999E-2</v>
      </c>
      <c r="O225" s="5">
        <v>79.349999999999994</v>
      </c>
      <c r="P225" s="4">
        <v>501.10623509507298</v>
      </c>
      <c r="Q225" s="5">
        <v>0.37</v>
      </c>
      <c r="R225" s="11">
        <f t="shared" si="3"/>
        <v>2.5055311754753648E-3</v>
      </c>
      <c r="V225" s="5"/>
      <c r="W225" s="5"/>
    </row>
    <row r="226" spans="1:23" x14ac:dyDescent="0.25">
      <c r="A226" t="s">
        <v>69</v>
      </c>
      <c r="B226" s="1">
        <v>16</v>
      </c>
      <c r="C226" s="4">
        <v>528</v>
      </c>
      <c r="D226" s="1">
        <v>2</v>
      </c>
      <c r="E226" s="3">
        <v>52</v>
      </c>
      <c r="F226" s="5">
        <v>2.98</v>
      </c>
      <c r="G226" s="1">
        <v>27</v>
      </c>
      <c r="H226" s="1">
        <v>35</v>
      </c>
      <c r="I226" s="1">
        <v>150</v>
      </c>
      <c r="J226" s="1">
        <v>235</v>
      </c>
      <c r="K226" s="1">
        <v>402</v>
      </c>
      <c r="L226" s="1">
        <v>17250</v>
      </c>
      <c r="M226" s="4">
        <v>67.594050734712994</v>
      </c>
      <c r="N226" s="10">
        <v>2.3304347826087E-2</v>
      </c>
      <c r="O226" s="5">
        <v>26.45</v>
      </c>
      <c r="P226" s="4">
        <v>370.74728404873298</v>
      </c>
      <c r="Q226" s="5">
        <v>0.16</v>
      </c>
      <c r="R226" s="11">
        <f t="shared" si="3"/>
        <v>1.8537364202436649E-3</v>
      </c>
      <c r="V226" s="5"/>
      <c r="W226" s="5"/>
    </row>
    <row r="227" spans="1:23" x14ac:dyDescent="0.25">
      <c r="B227" s="1">
        <v>16</v>
      </c>
      <c r="C227" s="4">
        <v>528</v>
      </c>
      <c r="D227" s="1">
        <v>2</v>
      </c>
      <c r="E227" s="3">
        <v>52</v>
      </c>
      <c r="F227" s="5">
        <v>2.98</v>
      </c>
      <c r="G227" s="1">
        <v>27</v>
      </c>
      <c r="H227" s="1">
        <v>35</v>
      </c>
      <c r="I227" s="1">
        <v>150</v>
      </c>
      <c r="J227" s="1">
        <v>235</v>
      </c>
      <c r="K227" s="1">
        <v>402</v>
      </c>
      <c r="L227" s="1">
        <v>17250</v>
      </c>
      <c r="M227" s="4">
        <v>67.594050734712994</v>
      </c>
      <c r="N227" s="10">
        <v>2.3304347826087E-2</v>
      </c>
      <c r="O227" s="5">
        <v>31.625</v>
      </c>
      <c r="P227" s="4">
        <v>443.28479614522399</v>
      </c>
      <c r="Q227" s="5">
        <v>0.2</v>
      </c>
      <c r="R227" s="11">
        <f t="shared" si="3"/>
        <v>2.21642398072612E-3</v>
      </c>
      <c r="V227" s="5"/>
      <c r="W227" s="5"/>
    </row>
    <row r="228" spans="1:23" x14ac:dyDescent="0.25">
      <c r="B228" s="1">
        <v>16</v>
      </c>
      <c r="C228" s="4">
        <v>528</v>
      </c>
      <c r="D228" s="1">
        <v>2</v>
      </c>
      <c r="E228" s="3">
        <v>52</v>
      </c>
      <c r="F228" s="5">
        <v>2.98</v>
      </c>
      <c r="G228" s="1">
        <v>27</v>
      </c>
      <c r="H228" s="1">
        <v>35</v>
      </c>
      <c r="I228" s="1">
        <v>150</v>
      </c>
      <c r="J228" s="1">
        <v>235</v>
      </c>
      <c r="K228" s="1">
        <v>402</v>
      </c>
      <c r="L228" s="1">
        <v>17250</v>
      </c>
      <c r="M228" s="4">
        <v>67.594050734712994</v>
      </c>
      <c r="N228" s="10">
        <v>2.3304347826087E-2</v>
      </c>
      <c r="O228" s="5">
        <v>37.375</v>
      </c>
      <c r="P228" s="4">
        <v>523.88203180799201</v>
      </c>
      <c r="Q228" s="5">
        <v>0.26</v>
      </c>
      <c r="R228" s="11">
        <f t="shared" si="3"/>
        <v>2.61941015903996E-3</v>
      </c>
      <c r="V228" s="5"/>
      <c r="W228" s="5"/>
    </row>
    <row r="229" spans="1:23" x14ac:dyDescent="0.25">
      <c r="A229" t="s">
        <v>70</v>
      </c>
      <c r="B229" s="1">
        <v>20</v>
      </c>
      <c r="C229" s="4">
        <v>528</v>
      </c>
      <c r="D229" s="1">
        <v>2</v>
      </c>
      <c r="E229" s="3">
        <v>44</v>
      </c>
      <c r="F229" s="5">
        <v>2.98</v>
      </c>
      <c r="G229" s="1">
        <v>25</v>
      </c>
      <c r="H229" s="1">
        <v>35</v>
      </c>
      <c r="I229" s="1">
        <v>150</v>
      </c>
      <c r="J229" s="1">
        <v>235</v>
      </c>
      <c r="K229" s="1">
        <v>628</v>
      </c>
      <c r="L229" s="1">
        <v>18375</v>
      </c>
      <c r="M229" s="4">
        <v>80.321192218194994</v>
      </c>
      <c r="N229" s="10">
        <v>3.4176870748299303E-2</v>
      </c>
      <c r="O229" s="5">
        <v>28.75</v>
      </c>
      <c r="P229" s="4">
        <v>264.28009430947401</v>
      </c>
      <c r="Q229" s="5">
        <v>0.17</v>
      </c>
      <c r="R229" s="11">
        <f t="shared" si="3"/>
        <v>1.3214004715473701E-3</v>
      </c>
      <c r="V229" s="5"/>
      <c r="W229" s="5"/>
    </row>
    <row r="230" spans="1:23" x14ac:dyDescent="0.25">
      <c r="B230" s="1">
        <v>20</v>
      </c>
      <c r="C230" s="4">
        <v>528</v>
      </c>
      <c r="D230" s="1">
        <v>2</v>
      </c>
      <c r="E230" s="3">
        <v>44</v>
      </c>
      <c r="F230" s="5">
        <v>2.98</v>
      </c>
      <c r="G230" s="1">
        <v>25</v>
      </c>
      <c r="H230" s="1">
        <v>35</v>
      </c>
      <c r="I230" s="1">
        <v>150</v>
      </c>
      <c r="J230" s="1">
        <v>235</v>
      </c>
      <c r="K230" s="1">
        <v>628</v>
      </c>
      <c r="L230" s="1">
        <v>18375</v>
      </c>
      <c r="M230" s="4">
        <v>80.321192218194994</v>
      </c>
      <c r="N230" s="10">
        <v>3.4176870748299303E-2</v>
      </c>
      <c r="O230" s="5">
        <v>32.774999999999999</v>
      </c>
      <c r="P230" s="4">
        <v>301.27930751280002</v>
      </c>
      <c r="Q230" s="5">
        <v>0.19</v>
      </c>
      <c r="R230" s="11">
        <f t="shared" si="3"/>
        <v>1.5063965375640002E-3</v>
      </c>
      <c r="V230" s="5"/>
      <c r="W230" s="5"/>
    </row>
    <row r="231" spans="1:23" x14ac:dyDescent="0.25">
      <c r="B231" s="1">
        <v>20</v>
      </c>
      <c r="C231" s="4">
        <v>528</v>
      </c>
      <c r="D231" s="1">
        <v>2</v>
      </c>
      <c r="E231" s="3">
        <v>44</v>
      </c>
      <c r="F231" s="5">
        <v>2.98</v>
      </c>
      <c r="G231" s="1">
        <v>25</v>
      </c>
      <c r="H231" s="1">
        <v>35</v>
      </c>
      <c r="I231" s="1">
        <v>150</v>
      </c>
      <c r="J231" s="1">
        <v>235</v>
      </c>
      <c r="K231" s="1">
        <v>628</v>
      </c>
      <c r="L231" s="1">
        <v>18375</v>
      </c>
      <c r="M231" s="4">
        <v>80.321192218194994</v>
      </c>
      <c r="N231" s="10">
        <v>3.4176870748299303E-2</v>
      </c>
      <c r="O231" s="5">
        <v>37.950000000000003</v>
      </c>
      <c r="P231" s="4">
        <v>348.84972448850499</v>
      </c>
      <c r="Q231" s="5">
        <v>0.23</v>
      </c>
      <c r="R231" s="11">
        <f t="shared" si="3"/>
        <v>1.7442486224425249E-3</v>
      </c>
      <c r="V231" s="5"/>
      <c r="W231" s="5"/>
    </row>
    <row r="232" spans="1:23" x14ac:dyDescent="0.25">
      <c r="B232" s="1">
        <v>20</v>
      </c>
      <c r="C232" s="4">
        <v>528</v>
      </c>
      <c r="D232" s="1">
        <v>2</v>
      </c>
      <c r="E232" s="3">
        <v>44</v>
      </c>
      <c r="F232" s="5">
        <v>2.98</v>
      </c>
      <c r="G232" s="1">
        <v>25</v>
      </c>
      <c r="H232" s="1">
        <v>35</v>
      </c>
      <c r="I232" s="1">
        <v>150</v>
      </c>
      <c r="J232" s="1">
        <v>235</v>
      </c>
      <c r="K232" s="1">
        <v>628</v>
      </c>
      <c r="L232" s="1">
        <v>18375</v>
      </c>
      <c r="M232" s="4">
        <v>80.321192218194994</v>
      </c>
      <c r="N232" s="10">
        <v>3.4176870748299303E-2</v>
      </c>
      <c r="O232" s="5">
        <v>40.25</v>
      </c>
      <c r="P232" s="4">
        <v>369.99213203326298</v>
      </c>
      <c r="Q232" s="5">
        <v>0.25</v>
      </c>
      <c r="R232" s="11">
        <f t="shared" si="3"/>
        <v>1.8499606601663149E-3</v>
      </c>
      <c r="V232" s="5"/>
      <c r="W232" s="5"/>
    </row>
    <row r="233" spans="1:23" x14ac:dyDescent="0.25">
      <c r="B233" s="1">
        <v>20</v>
      </c>
      <c r="C233" s="4">
        <v>528</v>
      </c>
      <c r="D233" s="1">
        <v>2</v>
      </c>
      <c r="E233" s="3">
        <v>44</v>
      </c>
      <c r="F233" s="5">
        <v>2.98</v>
      </c>
      <c r="G233" s="1">
        <v>25</v>
      </c>
      <c r="H233" s="1">
        <v>35</v>
      </c>
      <c r="I233" s="1">
        <v>150</v>
      </c>
      <c r="J233" s="1">
        <v>235</v>
      </c>
      <c r="K233" s="1">
        <v>628</v>
      </c>
      <c r="L233" s="1">
        <v>18375</v>
      </c>
      <c r="M233" s="4">
        <v>80.321192218194994</v>
      </c>
      <c r="N233" s="10">
        <v>3.4176870748299303E-2</v>
      </c>
      <c r="O233" s="5">
        <v>43.7</v>
      </c>
      <c r="P233" s="4">
        <v>401.70574335039998</v>
      </c>
      <c r="Q233" s="5">
        <v>0.3</v>
      </c>
      <c r="R233" s="11">
        <f t="shared" si="3"/>
        <v>2.0085287167520001E-3</v>
      </c>
      <c r="V233" s="5"/>
      <c r="W233" s="5"/>
    </row>
    <row r="234" spans="1:23" x14ac:dyDescent="0.25">
      <c r="B234" s="1">
        <v>20</v>
      </c>
      <c r="C234" s="4">
        <v>528</v>
      </c>
      <c r="D234" s="1">
        <v>2</v>
      </c>
      <c r="E234" s="3">
        <v>44</v>
      </c>
      <c r="F234" s="5">
        <v>2.98</v>
      </c>
      <c r="G234" s="1">
        <v>25</v>
      </c>
      <c r="H234" s="1">
        <v>35</v>
      </c>
      <c r="I234" s="1">
        <v>150</v>
      </c>
      <c r="J234" s="1">
        <v>235</v>
      </c>
      <c r="K234" s="1">
        <v>628</v>
      </c>
      <c r="L234" s="1">
        <v>18375</v>
      </c>
      <c r="M234" s="4">
        <v>80.321192218194994</v>
      </c>
      <c r="N234" s="10">
        <v>3.4176870748299303E-2</v>
      </c>
      <c r="O234" s="5">
        <v>46</v>
      </c>
      <c r="P234" s="4">
        <v>422.84815089515803</v>
      </c>
      <c r="Q234" s="5">
        <v>0.32</v>
      </c>
      <c r="R234" s="11">
        <f t="shared" si="3"/>
        <v>2.1142407544757903E-3</v>
      </c>
      <c r="V234" s="5"/>
      <c r="W234" s="5"/>
    </row>
    <row r="235" spans="1:23" x14ac:dyDescent="0.25">
      <c r="B235" s="1">
        <v>20</v>
      </c>
      <c r="C235" s="4">
        <v>528</v>
      </c>
      <c r="D235" s="1">
        <v>2</v>
      </c>
      <c r="E235" s="3">
        <v>44</v>
      </c>
      <c r="F235" s="5">
        <v>2.98</v>
      </c>
      <c r="G235" s="1">
        <v>25</v>
      </c>
      <c r="H235" s="1">
        <v>35</v>
      </c>
      <c r="I235" s="1">
        <v>150</v>
      </c>
      <c r="J235" s="1">
        <v>235</v>
      </c>
      <c r="K235" s="1">
        <v>628</v>
      </c>
      <c r="L235" s="1">
        <v>18375</v>
      </c>
      <c r="M235" s="4">
        <v>80.321192218194994</v>
      </c>
      <c r="N235" s="10">
        <v>3.4176870748299303E-2</v>
      </c>
      <c r="O235" s="5">
        <v>51.634999999999998</v>
      </c>
      <c r="P235" s="4">
        <v>474.64704937981401</v>
      </c>
      <c r="Q235" s="5">
        <v>0.36</v>
      </c>
      <c r="R235" s="11">
        <f t="shared" si="3"/>
        <v>2.3732352468990702E-3</v>
      </c>
      <c r="V235" s="5"/>
      <c r="W235" s="5"/>
    </row>
    <row r="236" spans="1:23" x14ac:dyDescent="0.25">
      <c r="B236" s="1">
        <v>20</v>
      </c>
      <c r="C236" s="4">
        <v>528</v>
      </c>
      <c r="D236" s="1">
        <v>2</v>
      </c>
      <c r="E236" s="3">
        <v>44</v>
      </c>
      <c r="F236" s="5">
        <v>2.98</v>
      </c>
      <c r="G236" s="1">
        <v>25</v>
      </c>
      <c r="H236" s="1">
        <v>35</v>
      </c>
      <c r="I236" s="1">
        <v>150</v>
      </c>
      <c r="J236" s="1">
        <v>235</v>
      </c>
      <c r="K236" s="1">
        <v>628</v>
      </c>
      <c r="L236" s="1">
        <v>18375</v>
      </c>
      <c r="M236" s="4">
        <v>80.321192218194994</v>
      </c>
      <c r="N236" s="10">
        <v>3.4176870748299303E-2</v>
      </c>
      <c r="O236" s="5">
        <v>57.27</v>
      </c>
      <c r="P236" s="4">
        <v>526.44594786447101</v>
      </c>
      <c r="Q236" s="5">
        <v>0.47</v>
      </c>
      <c r="R236" s="11">
        <f t="shared" si="3"/>
        <v>2.6322297393223549E-3</v>
      </c>
      <c r="V236" s="5"/>
      <c r="W236" s="5"/>
    </row>
    <row r="237" spans="1:23" x14ac:dyDescent="0.25">
      <c r="A237" t="s">
        <v>71</v>
      </c>
      <c r="B237" s="1">
        <v>20</v>
      </c>
      <c r="C237" s="4">
        <v>528</v>
      </c>
      <c r="D237" s="1">
        <v>3</v>
      </c>
      <c r="E237" s="3">
        <v>12</v>
      </c>
      <c r="F237" s="5">
        <v>2.98</v>
      </c>
      <c r="G237" s="1">
        <v>25</v>
      </c>
      <c r="H237" s="1">
        <v>35</v>
      </c>
      <c r="I237" s="1">
        <v>150</v>
      </c>
      <c r="J237" s="1">
        <v>235</v>
      </c>
      <c r="K237" s="1">
        <v>942</v>
      </c>
      <c r="L237" s="1">
        <v>18375</v>
      </c>
      <c r="M237" s="4">
        <v>93.011358125141797</v>
      </c>
      <c r="N237" s="10">
        <v>5.1265306122448999E-2</v>
      </c>
      <c r="O237" s="5">
        <v>48.3</v>
      </c>
      <c r="P237" s="4">
        <v>303.402568314191</v>
      </c>
      <c r="Q237" s="5">
        <v>0.16</v>
      </c>
      <c r="R237" s="11">
        <f t="shared" si="3"/>
        <v>1.5170128415709549E-3</v>
      </c>
      <c r="V237" s="5"/>
      <c r="W237" s="5"/>
    </row>
    <row r="238" spans="1:23" x14ac:dyDescent="0.25">
      <c r="B238" s="1">
        <v>20</v>
      </c>
      <c r="C238" s="4">
        <v>528</v>
      </c>
      <c r="D238" s="1">
        <v>3</v>
      </c>
      <c r="E238" s="3">
        <v>12</v>
      </c>
      <c r="F238" s="5">
        <v>2.98</v>
      </c>
      <c r="G238" s="1">
        <v>25</v>
      </c>
      <c r="H238" s="1">
        <v>35</v>
      </c>
      <c r="I238" s="1">
        <v>150</v>
      </c>
      <c r="J238" s="1">
        <v>235</v>
      </c>
      <c r="K238" s="1">
        <v>942</v>
      </c>
      <c r="L238" s="1">
        <v>18375</v>
      </c>
      <c r="M238" s="4">
        <v>93.011358125141797</v>
      </c>
      <c r="N238" s="10">
        <v>5.1265306122448999E-2</v>
      </c>
      <c r="O238" s="5">
        <v>50.6</v>
      </c>
      <c r="P238" s="4">
        <v>317.85030966248502</v>
      </c>
      <c r="Q238" s="5">
        <v>0.18</v>
      </c>
      <c r="R238" s="11">
        <f t="shared" si="3"/>
        <v>1.5892515483124251E-3</v>
      </c>
      <c r="V238" s="5"/>
      <c r="W238" s="5"/>
    </row>
    <row r="239" spans="1:23" x14ac:dyDescent="0.25">
      <c r="B239" s="1">
        <v>20</v>
      </c>
      <c r="C239" s="4">
        <v>528</v>
      </c>
      <c r="D239" s="1">
        <v>3</v>
      </c>
      <c r="E239" s="3">
        <v>12</v>
      </c>
      <c r="F239" s="5">
        <v>2.98</v>
      </c>
      <c r="G239" s="1">
        <v>25</v>
      </c>
      <c r="H239" s="1">
        <v>35</v>
      </c>
      <c r="I239" s="1">
        <v>150</v>
      </c>
      <c r="J239" s="1">
        <v>235</v>
      </c>
      <c r="K239" s="1">
        <v>942</v>
      </c>
      <c r="L239" s="1">
        <v>18375</v>
      </c>
      <c r="M239" s="4">
        <v>93.011358125141797</v>
      </c>
      <c r="N239" s="10">
        <v>5.1265306122448999E-2</v>
      </c>
      <c r="O239" s="5">
        <v>56.35</v>
      </c>
      <c r="P239" s="4">
        <v>353.96966303322199</v>
      </c>
      <c r="Q239" s="5">
        <v>0.18</v>
      </c>
      <c r="R239" s="11">
        <f t="shared" si="3"/>
        <v>1.7698483151661099E-3</v>
      </c>
      <c r="V239" s="5"/>
      <c r="W239" s="5"/>
    </row>
    <row r="240" spans="1:23" x14ac:dyDescent="0.25">
      <c r="B240" s="1">
        <v>20</v>
      </c>
      <c r="C240" s="4">
        <v>528</v>
      </c>
      <c r="D240" s="1">
        <v>3</v>
      </c>
      <c r="E240" s="3">
        <v>12</v>
      </c>
      <c r="F240" s="5">
        <v>2.98</v>
      </c>
      <c r="G240" s="1">
        <v>25</v>
      </c>
      <c r="H240" s="1">
        <v>35</v>
      </c>
      <c r="I240" s="1">
        <v>150</v>
      </c>
      <c r="J240" s="1">
        <v>235</v>
      </c>
      <c r="K240" s="1">
        <v>942</v>
      </c>
      <c r="L240" s="1">
        <v>18375</v>
      </c>
      <c r="M240" s="4">
        <v>93.011358125141797</v>
      </c>
      <c r="N240" s="10">
        <v>5.1265306122448999E-2</v>
      </c>
      <c r="O240" s="5">
        <v>62.674999999999997</v>
      </c>
      <c r="P240" s="4">
        <v>393.70095174103301</v>
      </c>
      <c r="Q240" s="5">
        <v>0.2</v>
      </c>
      <c r="R240" s="11">
        <f t="shared" si="3"/>
        <v>1.9685047587051649E-3</v>
      </c>
      <c r="V240" s="5"/>
      <c r="W240" s="5"/>
    </row>
    <row r="241" spans="1:23" x14ac:dyDescent="0.25">
      <c r="B241" s="1">
        <v>20</v>
      </c>
      <c r="C241" s="4">
        <v>528</v>
      </c>
      <c r="D241" s="1">
        <v>3</v>
      </c>
      <c r="E241" s="3">
        <v>12</v>
      </c>
      <c r="F241" s="5">
        <v>2.98</v>
      </c>
      <c r="G241" s="1">
        <v>25</v>
      </c>
      <c r="H241" s="1">
        <v>35</v>
      </c>
      <c r="I241" s="1">
        <v>150</v>
      </c>
      <c r="J241" s="1">
        <v>235</v>
      </c>
      <c r="K241" s="1">
        <v>942</v>
      </c>
      <c r="L241" s="1">
        <v>18375</v>
      </c>
      <c r="M241" s="4">
        <v>93.011358125141797</v>
      </c>
      <c r="N241" s="10">
        <v>5.1265306122448999E-2</v>
      </c>
      <c r="O241" s="5">
        <v>68.424999999999997</v>
      </c>
      <c r="P241" s="4">
        <v>429.82030511176998</v>
      </c>
      <c r="Q241" s="5">
        <v>0.2</v>
      </c>
      <c r="R241" s="11">
        <f t="shared" si="3"/>
        <v>2.14910152555885E-3</v>
      </c>
      <c r="V241" s="5"/>
      <c r="W241" s="5"/>
    </row>
    <row r="242" spans="1:23" x14ac:dyDescent="0.25">
      <c r="B242" s="1">
        <v>20</v>
      </c>
      <c r="C242" s="4">
        <v>528</v>
      </c>
      <c r="D242" s="1">
        <v>3</v>
      </c>
      <c r="E242" s="3">
        <v>12</v>
      </c>
      <c r="F242" s="5">
        <v>2.98</v>
      </c>
      <c r="G242" s="1">
        <v>25</v>
      </c>
      <c r="H242" s="1">
        <v>35</v>
      </c>
      <c r="I242" s="1">
        <v>150</v>
      </c>
      <c r="J242" s="1">
        <v>235</v>
      </c>
      <c r="K242" s="1">
        <v>942</v>
      </c>
      <c r="L242" s="1">
        <v>18375</v>
      </c>
      <c r="M242" s="4">
        <v>93.011358125141797</v>
      </c>
      <c r="N242" s="10">
        <v>5.1265306122448999E-2</v>
      </c>
      <c r="O242" s="5">
        <v>73.599999999999994</v>
      </c>
      <c r="P242" s="4">
        <v>462.32772314543303</v>
      </c>
      <c r="Q242" s="5">
        <v>0.2</v>
      </c>
      <c r="R242" s="11">
        <f t="shared" si="3"/>
        <v>2.311638615727165E-3</v>
      </c>
      <c r="V242" s="5"/>
      <c r="W242" s="5"/>
    </row>
    <row r="243" spans="1:23" x14ac:dyDescent="0.25">
      <c r="B243" s="1">
        <v>20</v>
      </c>
      <c r="C243" s="4">
        <v>528</v>
      </c>
      <c r="D243" s="1">
        <v>3</v>
      </c>
      <c r="E243" s="3">
        <v>12</v>
      </c>
      <c r="F243" s="5">
        <v>2.98</v>
      </c>
      <c r="G243" s="1">
        <v>25</v>
      </c>
      <c r="H243" s="1">
        <v>35</v>
      </c>
      <c r="I243" s="1">
        <v>150</v>
      </c>
      <c r="J243" s="1">
        <v>235</v>
      </c>
      <c r="K243" s="1">
        <v>942</v>
      </c>
      <c r="L243" s="1">
        <v>18375</v>
      </c>
      <c r="M243" s="4">
        <v>93.011358125141797</v>
      </c>
      <c r="N243" s="10">
        <v>5.1265306122448999E-2</v>
      </c>
      <c r="O243" s="5">
        <v>79.924999999999997</v>
      </c>
      <c r="P243" s="4">
        <v>502.05901185324399</v>
      </c>
      <c r="Q243" s="5">
        <v>0.22</v>
      </c>
      <c r="R243" s="11">
        <f t="shared" si="3"/>
        <v>2.51029505926622E-3</v>
      </c>
      <c r="V243" s="5"/>
      <c r="W243" s="5"/>
    </row>
    <row r="244" spans="1:23" x14ac:dyDescent="0.25">
      <c r="A244" t="s">
        <v>72</v>
      </c>
      <c r="B244" s="1">
        <v>28</v>
      </c>
      <c r="C244" s="4">
        <v>400</v>
      </c>
      <c r="D244" s="1">
        <v>4</v>
      </c>
      <c r="E244" s="3">
        <v>16</v>
      </c>
      <c r="F244" s="5">
        <v>5.3084743571011099</v>
      </c>
      <c r="G244" s="1">
        <v>30</v>
      </c>
      <c r="H244" s="1">
        <v>44</v>
      </c>
      <c r="I244" s="1">
        <v>200</v>
      </c>
      <c r="J244" s="1">
        <v>300</v>
      </c>
      <c r="K244" s="1">
        <v>2463</v>
      </c>
      <c r="L244" s="1">
        <v>30800</v>
      </c>
      <c r="M244" s="4">
        <v>133.49341623498299</v>
      </c>
      <c r="N244" s="10">
        <v>7.9967532467532507E-2</v>
      </c>
      <c r="O244" s="5">
        <v>78.75</v>
      </c>
      <c r="P244" s="4">
        <v>151.17196997745901</v>
      </c>
      <c r="Q244" s="5">
        <v>0.22</v>
      </c>
      <c r="R244" s="11">
        <f t="shared" si="3"/>
        <v>7.5585984988729509E-4</v>
      </c>
      <c r="V244" s="5"/>
      <c r="W244" s="5"/>
    </row>
    <row r="245" spans="1:23" x14ac:dyDescent="0.25">
      <c r="B245" s="1">
        <v>28</v>
      </c>
      <c r="C245" s="4">
        <v>400</v>
      </c>
      <c r="D245" s="1">
        <v>4</v>
      </c>
      <c r="E245" s="3">
        <v>16</v>
      </c>
      <c r="F245" s="5">
        <v>5.3084743571011099</v>
      </c>
      <c r="G245" s="1">
        <v>30</v>
      </c>
      <c r="H245" s="1">
        <v>44</v>
      </c>
      <c r="I245" s="1">
        <v>200</v>
      </c>
      <c r="J245" s="1">
        <v>300</v>
      </c>
      <c r="K245" s="1">
        <v>2463</v>
      </c>
      <c r="L245" s="1">
        <v>30800</v>
      </c>
      <c r="M245" s="4">
        <v>133.49341623498299</v>
      </c>
      <c r="N245" s="10">
        <v>7.9967532467532507E-2</v>
      </c>
      <c r="O245" s="5">
        <v>105.075</v>
      </c>
      <c r="P245" s="4">
        <v>201.70659994135201</v>
      </c>
      <c r="Q245" s="5">
        <v>0.25</v>
      </c>
      <c r="R245" s="11">
        <f t="shared" si="3"/>
        <v>1.00853299970676E-3</v>
      </c>
      <c r="V245" s="5"/>
      <c r="W245" s="5"/>
    </row>
    <row r="246" spans="1:23" x14ac:dyDescent="0.25">
      <c r="B246" s="1">
        <v>28</v>
      </c>
      <c r="C246" s="4">
        <v>400</v>
      </c>
      <c r="D246" s="1">
        <v>4</v>
      </c>
      <c r="E246" s="3">
        <v>16</v>
      </c>
      <c r="F246" s="5">
        <v>5.3084743571011099</v>
      </c>
      <c r="G246" s="1">
        <v>30</v>
      </c>
      <c r="H246" s="1">
        <v>44</v>
      </c>
      <c r="I246" s="1">
        <v>200</v>
      </c>
      <c r="J246" s="1">
        <v>300</v>
      </c>
      <c r="K246" s="1">
        <v>2463</v>
      </c>
      <c r="L246" s="1">
        <v>30800</v>
      </c>
      <c r="M246" s="4">
        <v>133.49341623498299</v>
      </c>
      <c r="N246" s="10">
        <v>7.9967532467532507E-2</v>
      </c>
      <c r="O246" s="5">
        <v>120.15</v>
      </c>
      <c r="P246" s="4">
        <v>230.64523419418001</v>
      </c>
      <c r="Q246" s="5">
        <v>0.28999999999999998</v>
      </c>
      <c r="R246" s="11">
        <f t="shared" si="3"/>
        <v>1.1532261709709E-3</v>
      </c>
      <c r="V246" s="5"/>
      <c r="W246" s="5"/>
    </row>
    <row r="247" spans="1:23" x14ac:dyDescent="0.25">
      <c r="B247" s="1">
        <v>28</v>
      </c>
      <c r="C247" s="4">
        <v>400</v>
      </c>
      <c r="D247" s="1">
        <v>4</v>
      </c>
      <c r="E247" s="3">
        <v>16</v>
      </c>
      <c r="F247" s="5">
        <v>5.3084743571011099</v>
      </c>
      <c r="G247" s="1">
        <v>30</v>
      </c>
      <c r="H247" s="1">
        <v>44</v>
      </c>
      <c r="I247" s="1">
        <v>200</v>
      </c>
      <c r="J247" s="1">
        <v>300</v>
      </c>
      <c r="K247" s="1">
        <v>2463</v>
      </c>
      <c r="L247" s="1">
        <v>30800</v>
      </c>
      <c r="M247" s="4">
        <v>133.49341623498299</v>
      </c>
      <c r="N247" s="10">
        <v>7.9967532467532507E-2</v>
      </c>
      <c r="O247" s="5">
        <v>137.47499999999999</v>
      </c>
      <c r="P247" s="4">
        <v>263.903067589221</v>
      </c>
      <c r="Q247" s="5">
        <v>0.31</v>
      </c>
      <c r="R247" s="11">
        <f t="shared" si="3"/>
        <v>1.319515337946105E-3</v>
      </c>
      <c r="V247" s="5"/>
      <c r="W247" s="5"/>
    </row>
    <row r="248" spans="1:23" x14ac:dyDescent="0.25">
      <c r="B248" s="1">
        <v>28</v>
      </c>
      <c r="C248" s="4">
        <v>400</v>
      </c>
      <c r="D248" s="1">
        <v>4</v>
      </c>
      <c r="E248" s="3">
        <v>16</v>
      </c>
      <c r="F248" s="5">
        <v>5.3084743571011099</v>
      </c>
      <c r="G248" s="1">
        <v>30</v>
      </c>
      <c r="H248" s="1">
        <v>44</v>
      </c>
      <c r="I248" s="1">
        <v>200</v>
      </c>
      <c r="J248" s="1">
        <v>300</v>
      </c>
      <c r="K248" s="1">
        <v>2463</v>
      </c>
      <c r="L248" s="1">
        <v>30800</v>
      </c>
      <c r="M248" s="4">
        <v>133.49341623498299</v>
      </c>
      <c r="N248" s="10">
        <v>7.9967532467532507E-2</v>
      </c>
      <c r="O248" s="5">
        <v>164.47499999999999</v>
      </c>
      <c r="P248" s="4">
        <v>315.73345729577801</v>
      </c>
      <c r="Q248" s="5">
        <v>0.33</v>
      </c>
      <c r="R248" s="11">
        <f t="shared" si="3"/>
        <v>1.5786672864788901E-3</v>
      </c>
      <c r="V248" s="5"/>
      <c r="W248" s="5"/>
    </row>
    <row r="249" spans="1:23" x14ac:dyDescent="0.25">
      <c r="B249" s="1">
        <v>28</v>
      </c>
      <c r="C249" s="4">
        <v>400</v>
      </c>
      <c r="D249" s="1">
        <v>4</v>
      </c>
      <c r="E249" s="3">
        <v>16</v>
      </c>
      <c r="F249" s="5">
        <v>5.3084743571011099</v>
      </c>
      <c r="G249" s="1">
        <v>30</v>
      </c>
      <c r="H249" s="1">
        <v>44</v>
      </c>
      <c r="I249" s="1">
        <v>200</v>
      </c>
      <c r="J249" s="1">
        <v>300</v>
      </c>
      <c r="K249" s="1">
        <v>2463</v>
      </c>
      <c r="L249" s="1">
        <v>30800</v>
      </c>
      <c r="M249" s="4">
        <v>133.49341623498299</v>
      </c>
      <c r="N249" s="10">
        <v>7.9967532467532507E-2</v>
      </c>
      <c r="O249" s="5">
        <v>178.2</v>
      </c>
      <c r="P249" s="4">
        <v>342.080572063278</v>
      </c>
      <c r="Q249" s="5">
        <v>0.34</v>
      </c>
      <c r="R249" s="11">
        <f t="shared" si="3"/>
        <v>1.7104028603163899E-3</v>
      </c>
      <c r="V249" s="5"/>
      <c r="W249" s="5"/>
    </row>
    <row r="250" spans="1:23" x14ac:dyDescent="0.25">
      <c r="B250" s="1">
        <v>28</v>
      </c>
      <c r="C250" s="4">
        <v>400</v>
      </c>
      <c r="D250" s="1">
        <v>4</v>
      </c>
      <c r="E250" s="3">
        <v>16</v>
      </c>
      <c r="F250" s="5">
        <v>5.3084743571011099</v>
      </c>
      <c r="G250" s="1">
        <v>30</v>
      </c>
      <c r="H250" s="1">
        <v>44</v>
      </c>
      <c r="I250" s="1">
        <v>200</v>
      </c>
      <c r="J250" s="1">
        <v>300</v>
      </c>
      <c r="K250" s="1">
        <v>2463</v>
      </c>
      <c r="L250" s="1">
        <v>30800</v>
      </c>
      <c r="M250" s="4">
        <v>133.49341623498299</v>
      </c>
      <c r="N250" s="10">
        <v>7.9967532467532507E-2</v>
      </c>
      <c r="O250" s="5">
        <v>198.22499999999999</v>
      </c>
      <c r="P250" s="4">
        <v>380.52144442897497</v>
      </c>
      <c r="Q250" s="5">
        <v>0.37</v>
      </c>
      <c r="R250" s="11">
        <f t="shared" si="3"/>
        <v>1.9026072221448749E-3</v>
      </c>
      <c r="V250" s="5"/>
      <c r="W250" s="5"/>
    </row>
    <row r="251" spans="1:23" x14ac:dyDescent="0.25">
      <c r="A251" t="s">
        <v>73</v>
      </c>
      <c r="B251" s="1">
        <v>15.9</v>
      </c>
      <c r="C251" s="4">
        <v>392</v>
      </c>
      <c r="D251" s="1">
        <v>2</v>
      </c>
      <c r="E251" s="3">
        <v>46</v>
      </c>
      <c r="F251" s="5">
        <v>2.8258773978663201</v>
      </c>
      <c r="G251" s="1">
        <v>30</v>
      </c>
      <c r="H251" s="1">
        <v>38</v>
      </c>
      <c r="I251" s="1">
        <v>150</v>
      </c>
      <c r="J251" s="1">
        <v>250</v>
      </c>
      <c r="K251" s="1">
        <v>397.2</v>
      </c>
      <c r="L251" s="1">
        <v>17625</v>
      </c>
      <c r="M251" s="4">
        <v>70.061381209483102</v>
      </c>
      <c r="N251" s="10">
        <v>2.2536170212766E-2</v>
      </c>
      <c r="O251" s="5">
        <v>27.1</v>
      </c>
      <c r="P251" s="4">
        <v>361.669574509028</v>
      </c>
      <c r="Q251" s="5">
        <v>0.2</v>
      </c>
      <c r="R251" s="11">
        <f t="shared" si="3"/>
        <v>1.80834787254514E-3</v>
      </c>
      <c r="V251" s="5"/>
      <c r="W251" s="5"/>
    </row>
    <row r="252" spans="1:23" x14ac:dyDescent="0.25">
      <c r="B252" s="1">
        <v>15.9</v>
      </c>
      <c r="C252" s="4">
        <v>392</v>
      </c>
      <c r="D252" s="1">
        <v>2</v>
      </c>
      <c r="E252" s="3">
        <v>46</v>
      </c>
      <c r="F252" s="5">
        <v>2.8258773978663201</v>
      </c>
      <c r="G252" s="1">
        <v>30</v>
      </c>
      <c r="H252" s="1">
        <v>38</v>
      </c>
      <c r="I252" s="1">
        <v>150</v>
      </c>
      <c r="J252" s="1">
        <v>250</v>
      </c>
      <c r="K252" s="1">
        <v>397.2</v>
      </c>
      <c r="L252" s="1">
        <v>17625</v>
      </c>
      <c r="M252" s="4">
        <v>70.061381209483102</v>
      </c>
      <c r="N252" s="10">
        <v>2.2536170212766E-2</v>
      </c>
      <c r="O252" s="5">
        <v>35.6</v>
      </c>
      <c r="P252" s="4">
        <v>392.3</v>
      </c>
      <c r="Q252" s="5">
        <v>0.35</v>
      </c>
      <c r="R252" s="11">
        <f t="shared" si="3"/>
        <v>1.9615000000000001E-3</v>
      </c>
      <c r="V252" s="5"/>
      <c r="W252" s="5"/>
    </row>
    <row r="253" spans="1:23" x14ac:dyDescent="0.25">
      <c r="A253" t="s">
        <v>74</v>
      </c>
      <c r="B253" s="1">
        <v>15.9</v>
      </c>
      <c r="C253" s="4">
        <v>392</v>
      </c>
      <c r="D253" s="1">
        <v>2</v>
      </c>
      <c r="E253" s="3">
        <v>46</v>
      </c>
      <c r="F253" s="5">
        <v>2.8258773978663201</v>
      </c>
      <c r="G253" s="1">
        <v>30</v>
      </c>
      <c r="H253" s="1">
        <v>38</v>
      </c>
      <c r="I253" s="1">
        <v>150</v>
      </c>
      <c r="J253" s="1">
        <v>250</v>
      </c>
      <c r="K253" s="1">
        <v>397.2</v>
      </c>
      <c r="L253" s="1">
        <v>17625</v>
      </c>
      <c r="M253" s="4">
        <v>70.061381209483102</v>
      </c>
      <c r="N253" s="10">
        <v>2.2536170212766E-2</v>
      </c>
      <c r="O253" s="5">
        <v>27.2</v>
      </c>
      <c r="P253" s="4">
        <v>363.00414858470702</v>
      </c>
      <c r="Q253" s="5">
        <v>0.2</v>
      </c>
      <c r="R253" s="11">
        <f t="shared" si="3"/>
        <v>1.8150207429235351E-3</v>
      </c>
      <c r="V253" s="5"/>
      <c r="W253" s="5"/>
    </row>
    <row r="254" spans="1:23" x14ac:dyDescent="0.25">
      <c r="B254" s="1">
        <v>15.9</v>
      </c>
      <c r="C254" s="4">
        <v>392</v>
      </c>
      <c r="D254" s="1">
        <v>2</v>
      </c>
      <c r="E254" s="3">
        <v>46</v>
      </c>
      <c r="F254" s="5">
        <v>2.8258773978663201</v>
      </c>
      <c r="G254" s="1">
        <v>30</v>
      </c>
      <c r="H254" s="1">
        <v>38</v>
      </c>
      <c r="I254" s="1">
        <v>150</v>
      </c>
      <c r="J254" s="1">
        <v>250</v>
      </c>
      <c r="K254" s="1">
        <v>397.2</v>
      </c>
      <c r="L254" s="1">
        <v>17625</v>
      </c>
      <c r="M254" s="4">
        <v>70.061381209483102</v>
      </c>
      <c r="N254" s="10">
        <v>2.2536170212766E-2</v>
      </c>
      <c r="O254" s="5">
        <v>35.6</v>
      </c>
      <c r="P254" s="4">
        <v>392.3</v>
      </c>
      <c r="Q254" s="5">
        <v>0.25</v>
      </c>
      <c r="R254" s="11">
        <f t="shared" si="3"/>
        <v>1.9615000000000001E-3</v>
      </c>
      <c r="V254" s="5"/>
      <c r="W254" s="5"/>
    </row>
    <row r="255" spans="1:23" x14ac:dyDescent="0.25">
      <c r="A255" t="s">
        <v>75</v>
      </c>
      <c r="B255" s="1">
        <v>15.9</v>
      </c>
      <c r="C255" s="4">
        <v>392</v>
      </c>
      <c r="D255" s="1">
        <v>2</v>
      </c>
      <c r="E255" s="3">
        <v>46</v>
      </c>
      <c r="F255" s="5">
        <v>2.8258773978663201</v>
      </c>
      <c r="G255" s="1">
        <v>30</v>
      </c>
      <c r="H255" s="1">
        <v>38</v>
      </c>
      <c r="I255" s="1">
        <v>150</v>
      </c>
      <c r="J255" s="1">
        <v>250</v>
      </c>
      <c r="K255" s="1">
        <v>397.2</v>
      </c>
      <c r="L255" s="1">
        <v>17625</v>
      </c>
      <c r="M255" s="4">
        <v>70.061381209483102</v>
      </c>
      <c r="N255" s="10">
        <v>2.2536170212766E-2</v>
      </c>
      <c r="O255" s="5">
        <v>27.2</v>
      </c>
      <c r="P255" s="4">
        <v>363.00414858470702</v>
      </c>
      <c r="Q255" s="5">
        <v>0.2</v>
      </c>
      <c r="R255" s="11">
        <f t="shared" si="3"/>
        <v>1.8150207429235351E-3</v>
      </c>
      <c r="V255" s="5"/>
      <c r="W255" s="5"/>
    </row>
    <row r="256" spans="1:23" x14ac:dyDescent="0.25">
      <c r="B256" s="1">
        <v>15.9</v>
      </c>
      <c r="C256" s="4">
        <v>392</v>
      </c>
      <c r="D256" s="1">
        <v>2</v>
      </c>
      <c r="E256" s="3">
        <v>46</v>
      </c>
      <c r="F256" s="5">
        <v>2.8258773978663201</v>
      </c>
      <c r="G256" s="1">
        <v>30</v>
      </c>
      <c r="H256" s="1">
        <v>38</v>
      </c>
      <c r="I256" s="1">
        <v>150</v>
      </c>
      <c r="J256" s="1">
        <v>250</v>
      </c>
      <c r="K256" s="1">
        <v>397.2</v>
      </c>
      <c r="L256" s="1">
        <v>17625</v>
      </c>
      <c r="M256" s="4">
        <v>70.061381209483102</v>
      </c>
      <c r="N256" s="10">
        <v>2.2536170212766E-2</v>
      </c>
      <c r="O256" s="5">
        <v>35.6</v>
      </c>
      <c r="P256" s="4">
        <v>392.3</v>
      </c>
      <c r="Q256" s="5">
        <v>0.25</v>
      </c>
      <c r="R256" s="11">
        <f t="shared" si="3"/>
        <v>1.9615000000000001E-3</v>
      </c>
      <c r="V256" s="5"/>
      <c r="W256" s="5"/>
    </row>
    <row r="257" spans="1:23" x14ac:dyDescent="0.25">
      <c r="A257" t="s">
        <v>76</v>
      </c>
      <c r="B257" s="1">
        <v>15.9</v>
      </c>
      <c r="C257" s="4">
        <v>392</v>
      </c>
      <c r="D257" s="1">
        <v>2</v>
      </c>
      <c r="E257" s="3">
        <v>46</v>
      </c>
      <c r="F257" s="5">
        <v>2.8258773978663201</v>
      </c>
      <c r="G257" s="1">
        <v>30</v>
      </c>
      <c r="H257" s="1">
        <v>38</v>
      </c>
      <c r="I257" s="1">
        <v>150</v>
      </c>
      <c r="J257" s="1">
        <v>250</v>
      </c>
      <c r="K257" s="1">
        <v>397.2</v>
      </c>
      <c r="L257" s="1">
        <v>17625</v>
      </c>
      <c r="M257" s="4">
        <v>70.061381209483102</v>
      </c>
      <c r="N257" s="10">
        <v>2.2536170212766E-2</v>
      </c>
      <c r="O257" s="5">
        <v>27.3</v>
      </c>
      <c r="P257" s="4">
        <v>364.338722660386</v>
      </c>
      <c r="Q257" s="5">
        <v>0.2</v>
      </c>
      <c r="R257" s="11">
        <f t="shared" si="3"/>
        <v>1.82169361330193E-3</v>
      </c>
      <c r="V257" s="5"/>
      <c r="W257" s="5"/>
    </row>
    <row r="258" spans="1:23" x14ac:dyDescent="0.25">
      <c r="B258" s="1">
        <v>15.9</v>
      </c>
      <c r="C258" s="4">
        <v>392</v>
      </c>
      <c r="D258" s="1">
        <v>2</v>
      </c>
      <c r="E258" s="3">
        <v>46</v>
      </c>
      <c r="F258" s="5">
        <v>2.8258773978663201</v>
      </c>
      <c r="G258" s="1">
        <v>30</v>
      </c>
      <c r="H258" s="1">
        <v>38</v>
      </c>
      <c r="I258" s="1">
        <v>150</v>
      </c>
      <c r="J258" s="1">
        <v>250</v>
      </c>
      <c r="K258" s="1">
        <v>397.2</v>
      </c>
      <c r="L258" s="1">
        <v>17625</v>
      </c>
      <c r="M258" s="4">
        <v>70.061381209483102</v>
      </c>
      <c r="N258" s="10">
        <v>2.2536170212766E-2</v>
      </c>
      <c r="O258" s="5">
        <v>35.700000000000003</v>
      </c>
      <c r="P258" s="4">
        <v>392.3</v>
      </c>
      <c r="Q258" s="5">
        <v>0.3</v>
      </c>
      <c r="R258" s="11">
        <f t="shared" si="3"/>
        <v>1.9615000000000001E-3</v>
      </c>
      <c r="V258" s="5"/>
      <c r="W258" s="5"/>
    </row>
    <row r="259" spans="1:23" x14ac:dyDescent="0.25">
      <c r="A259" t="s">
        <v>77</v>
      </c>
      <c r="B259" s="1">
        <v>12.7</v>
      </c>
      <c r="C259" s="4">
        <v>392</v>
      </c>
      <c r="D259" s="1">
        <v>2</v>
      </c>
      <c r="E259" s="3">
        <v>52</v>
      </c>
      <c r="F259" s="5">
        <v>2.9208758709847902</v>
      </c>
      <c r="G259" s="1">
        <v>30</v>
      </c>
      <c r="H259" s="1">
        <v>36.5</v>
      </c>
      <c r="I259" s="1">
        <v>150</v>
      </c>
      <c r="J259" s="1">
        <v>250</v>
      </c>
      <c r="K259" s="1">
        <v>253.4</v>
      </c>
      <c r="L259" s="1">
        <v>15000</v>
      </c>
      <c r="M259" s="4">
        <v>58.075942632487198</v>
      </c>
      <c r="N259" s="10">
        <v>1.6893333333333298E-2</v>
      </c>
      <c r="O259" s="5">
        <v>15.6</v>
      </c>
      <c r="P259" s="4">
        <v>317.102697940788</v>
      </c>
      <c r="Q259" s="5">
        <v>0.15</v>
      </c>
      <c r="R259" s="11">
        <f t="shared" ref="R259:R322" si="4">P259/200000</f>
        <v>1.5855134897039399E-3</v>
      </c>
      <c r="V259" s="5"/>
      <c r="W259" s="5"/>
    </row>
    <row r="260" spans="1:23" x14ac:dyDescent="0.25">
      <c r="B260" s="1">
        <v>12.7</v>
      </c>
      <c r="C260" s="4">
        <v>392</v>
      </c>
      <c r="D260" s="1">
        <v>2</v>
      </c>
      <c r="E260" s="3">
        <v>52</v>
      </c>
      <c r="F260" s="5">
        <v>2.9208758709847902</v>
      </c>
      <c r="G260" s="1">
        <v>30</v>
      </c>
      <c r="H260" s="1">
        <v>36.5</v>
      </c>
      <c r="I260" s="1">
        <v>150</v>
      </c>
      <c r="J260" s="1">
        <v>250</v>
      </c>
      <c r="K260" s="1">
        <v>253.4</v>
      </c>
      <c r="L260" s="1">
        <v>15000</v>
      </c>
      <c r="M260" s="4">
        <v>58.075942632487198</v>
      </c>
      <c r="N260" s="10">
        <v>1.6893333333333298E-2</v>
      </c>
      <c r="O260" s="5">
        <v>19.600000000000001</v>
      </c>
      <c r="P260" s="4">
        <v>392.3</v>
      </c>
      <c r="Q260" s="5">
        <v>0.2</v>
      </c>
      <c r="R260" s="11">
        <f t="shared" si="4"/>
        <v>1.9615000000000001E-3</v>
      </c>
      <c r="V260" s="5"/>
      <c r="W260" s="5"/>
    </row>
    <row r="261" spans="1:23" x14ac:dyDescent="0.25">
      <c r="A261" t="s">
        <v>78</v>
      </c>
      <c r="B261" s="1">
        <v>12.7</v>
      </c>
      <c r="C261" s="4">
        <v>392</v>
      </c>
      <c r="D261" s="1">
        <v>2</v>
      </c>
      <c r="E261" s="3">
        <v>52</v>
      </c>
      <c r="F261" s="5">
        <v>2.9208758709847902</v>
      </c>
      <c r="G261" s="1">
        <v>30</v>
      </c>
      <c r="H261" s="1">
        <v>36.5</v>
      </c>
      <c r="I261" s="1">
        <v>150</v>
      </c>
      <c r="J261" s="1">
        <v>250</v>
      </c>
      <c r="K261" s="1">
        <v>253.4</v>
      </c>
      <c r="L261" s="1">
        <v>15000</v>
      </c>
      <c r="M261" s="4">
        <v>58.075942632487198</v>
      </c>
      <c r="N261" s="10">
        <v>1.6893333333333298E-2</v>
      </c>
      <c r="O261" s="5">
        <v>15.7</v>
      </c>
      <c r="P261" s="4">
        <v>319.13540754297298</v>
      </c>
      <c r="Q261" s="5">
        <v>0.15</v>
      </c>
      <c r="R261" s="11">
        <f t="shared" si="4"/>
        <v>1.5956770377148649E-3</v>
      </c>
      <c r="V261" s="5"/>
      <c r="W261" s="5"/>
    </row>
    <row r="262" spans="1:23" x14ac:dyDescent="0.25">
      <c r="B262" s="1">
        <v>12.7</v>
      </c>
      <c r="C262" s="4">
        <v>392</v>
      </c>
      <c r="D262" s="1">
        <v>2</v>
      </c>
      <c r="E262" s="3">
        <v>52</v>
      </c>
      <c r="F262" s="5">
        <v>2.9208758709847902</v>
      </c>
      <c r="G262" s="1">
        <v>30</v>
      </c>
      <c r="H262" s="1">
        <v>36.5</v>
      </c>
      <c r="I262" s="1">
        <v>150</v>
      </c>
      <c r="J262" s="1">
        <v>250</v>
      </c>
      <c r="K262" s="1">
        <v>253.4</v>
      </c>
      <c r="L262" s="1">
        <v>15000</v>
      </c>
      <c r="M262" s="4">
        <v>58.075942632487198</v>
      </c>
      <c r="N262" s="10">
        <v>1.6893333333333298E-2</v>
      </c>
      <c r="O262" s="5">
        <v>19.600000000000001</v>
      </c>
      <c r="P262" s="4">
        <v>392.3</v>
      </c>
      <c r="Q262" s="5">
        <v>0.2</v>
      </c>
      <c r="R262" s="11">
        <f t="shared" si="4"/>
        <v>1.9615000000000001E-3</v>
      </c>
      <c r="V262" s="5"/>
      <c r="W262" s="5"/>
    </row>
    <row r="263" spans="1:23" x14ac:dyDescent="0.25">
      <c r="A263" t="s">
        <v>79</v>
      </c>
      <c r="B263" s="1">
        <v>15.9</v>
      </c>
      <c r="C263" s="4">
        <v>392</v>
      </c>
      <c r="D263" s="1">
        <v>2</v>
      </c>
      <c r="E263" s="3">
        <v>46</v>
      </c>
      <c r="F263" s="5">
        <v>2.9208758709847902</v>
      </c>
      <c r="G263" s="1">
        <v>30</v>
      </c>
      <c r="H263" s="1">
        <v>38</v>
      </c>
      <c r="I263" s="1">
        <v>150</v>
      </c>
      <c r="J263" s="1">
        <v>250</v>
      </c>
      <c r="K263" s="1">
        <v>397.2</v>
      </c>
      <c r="L263" s="1">
        <v>17625</v>
      </c>
      <c r="M263" s="4">
        <v>69.597967277749504</v>
      </c>
      <c r="N263" s="10">
        <v>2.2536170212766E-2</v>
      </c>
      <c r="O263" s="5">
        <v>19.5</v>
      </c>
      <c r="P263" s="4">
        <v>260.02902224680798</v>
      </c>
      <c r="Q263" s="5">
        <v>0.15</v>
      </c>
      <c r="R263" s="11">
        <f t="shared" si="4"/>
        <v>1.3001451112340399E-3</v>
      </c>
      <c r="V263" s="5"/>
      <c r="W263" s="5"/>
    </row>
    <row r="264" spans="1:23" x14ac:dyDescent="0.25">
      <c r="B264" s="1">
        <v>15.9</v>
      </c>
      <c r="C264" s="4">
        <v>392</v>
      </c>
      <c r="D264" s="1">
        <v>2</v>
      </c>
      <c r="E264" s="3">
        <v>46</v>
      </c>
      <c r="F264" s="5">
        <v>2.9208758709847902</v>
      </c>
      <c r="G264" s="1">
        <v>30</v>
      </c>
      <c r="H264" s="1">
        <v>38</v>
      </c>
      <c r="I264" s="1">
        <v>150</v>
      </c>
      <c r="J264" s="1">
        <v>250</v>
      </c>
      <c r="K264" s="1">
        <v>397.2</v>
      </c>
      <c r="L264" s="1">
        <v>17625</v>
      </c>
      <c r="M264" s="4">
        <v>69.597967277749504</v>
      </c>
      <c r="N264" s="10">
        <v>2.2536170212766E-2</v>
      </c>
      <c r="O264" s="5">
        <v>27.4</v>
      </c>
      <c r="P264" s="4">
        <v>365.37411331089999</v>
      </c>
      <c r="Q264" s="5">
        <v>0.25</v>
      </c>
      <c r="R264" s="11">
        <f t="shared" si="4"/>
        <v>1.8268705665544999E-3</v>
      </c>
      <c r="V264" s="5"/>
      <c r="W264" s="5"/>
    </row>
    <row r="265" spans="1:23" x14ac:dyDescent="0.25">
      <c r="B265" s="1">
        <v>15.9</v>
      </c>
      <c r="C265" s="4">
        <v>392</v>
      </c>
      <c r="D265" s="1">
        <v>2</v>
      </c>
      <c r="E265" s="3">
        <v>46</v>
      </c>
      <c r="F265" s="5">
        <v>2.9208758709847902</v>
      </c>
      <c r="G265" s="1">
        <v>30</v>
      </c>
      <c r="H265" s="1">
        <v>38</v>
      </c>
      <c r="I265" s="1">
        <v>150</v>
      </c>
      <c r="J265" s="1">
        <v>250</v>
      </c>
      <c r="K265" s="1">
        <v>397.2</v>
      </c>
      <c r="L265" s="1">
        <v>17625</v>
      </c>
      <c r="M265" s="4">
        <v>69.597967277749504</v>
      </c>
      <c r="N265" s="10">
        <v>2.2536170212766E-2</v>
      </c>
      <c r="O265" s="5">
        <v>31.3</v>
      </c>
      <c r="P265" s="4">
        <v>392.3</v>
      </c>
      <c r="Q265" s="5">
        <v>0.3</v>
      </c>
      <c r="R265" s="11">
        <f t="shared" si="4"/>
        <v>1.9615000000000001E-3</v>
      </c>
      <c r="V265" s="5"/>
      <c r="W265" s="5"/>
    </row>
    <row r="266" spans="1:23" x14ac:dyDescent="0.25">
      <c r="A266" t="s">
        <v>80</v>
      </c>
      <c r="B266" s="1">
        <v>15.9</v>
      </c>
      <c r="C266" s="4">
        <v>392</v>
      </c>
      <c r="D266" s="1">
        <v>2</v>
      </c>
      <c r="E266" s="3">
        <v>46</v>
      </c>
      <c r="F266" s="5">
        <v>2.9208758709847902</v>
      </c>
      <c r="G266" s="1">
        <v>30</v>
      </c>
      <c r="H266" s="1">
        <v>38</v>
      </c>
      <c r="I266" s="1">
        <v>150</v>
      </c>
      <c r="J266" s="1">
        <v>250</v>
      </c>
      <c r="K266" s="1">
        <v>397.2</v>
      </c>
      <c r="L266" s="1">
        <v>17625</v>
      </c>
      <c r="M266" s="4">
        <v>69.597967277749504</v>
      </c>
      <c r="N266" s="10">
        <v>2.2536170212766E-2</v>
      </c>
      <c r="O266" s="5">
        <v>19.600000000000001</v>
      </c>
      <c r="P266" s="4">
        <v>261.36250441217697</v>
      </c>
      <c r="Q266" s="5">
        <v>0.15</v>
      </c>
      <c r="R266" s="11">
        <f t="shared" si="4"/>
        <v>1.3068125220608848E-3</v>
      </c>
      <c r="V266" s="5"/>
      <c r="W266" s="5"/>
    </row>
    <row r="267" spans="1:23" x14ac:dyDescent="0.25">
      <c r="B267" s="1">
        <v>15.9</v>
      </c>
      <c r="C267" s="4">
        <v>392</v>
      </c>
      <c r="D267" s="1">
        <v>2</v>
      </c>
      <c r="E267" s="3">
        <v>46</v>
      </c>
      <c r="F267" s="5">
        <v>2.9208758709847902</v>
      </c>
      <c r="G267" s="1">
        <v>30</v>
      </c>
      <c r="H267" s="1">
        <v>38</v>
      </c>
      <c r="I267" s="1">
        <v>150</v>
      </c>
      <c r="J267" s="1">
        <v>250</v>
      </c>
      <c r="K267" s="1">
        <v>397.2</v>
      </c>
      <c r="L267" s="1">
        <v>17625</v>
      </c>
      <c r="M267" s="4">
        <v>69.597967277749504</v>
      </c>
      <c r="N267" s="10">
        <v>2.2536170212766E-2</v>
      </c>
      <c r="O267" s="5">
        <v>27.5</v>
      </c>
      <c r="P267" s="4">
        <v>366.70759547626801</v>
      </c>
      <c r="Q267" s="5">
        <v>0.25</v>
      </c>
      <c r="R267" s="11">
        <f t="shared" si="4"/>
        <v>1.83353797738134E-3</v>
      </c>
      <c r="V267" s="5"/>
      <c r="W267" s="5"/>
    </row>
    <row r="268" spans="1:23" x14ac:dyDescent="0.25">
      <c r="A268" t="s">
        <v>81</v>
      </c>
      <c r="B268" s="1">
        <v>19.100000000000001</v>
      </c>
      <c r="C268" s="4">
        <v>392</v>
      </c>
      <c r="D268" s="1">
        <v>2</v>
      </c>
      <c r="E268" s="3">
        <v>40</v>
      </c>
      <c r="F268" s="5">
        <v>2.9208758709847902</v>
      </c>
      <c r="G268" s="1">
        <v>30</v>
      </c>
      <c r="H268" s="1">
        <v>39.5</v>
      </c>
      <c r="I268" s="1">
        <v>150</v>
      </c>
      <c r="J268" s="1">
        <v>250</v>
      </c>
      <c r="K268" s="1">
        <v>573</v>
      </c>
      <c r="L268" s="1">
        <v>20250</v>
      </c>
      <c r="M268" s="4">
        <v>80.017825486464005</v>
      </c>
      <c r="N268" s="10">
        <v>2.8296296296296299E-2</v>
      </c>
      <c r="O268" s="5">
        <v>19.7</v>
      </c>
      <c r="P268" s="4">
        <v>187.025739041386</v>
      </c>
      <c r="Q268" s="5">
        <v>0.15</v>
      </c>
      <c r="R268" s="11">
        <f t="shared" si="4"/>
        <v>9.3512869520693002E-4</v>
      </c>
      <c r="V268" s="5"/>
      <c r="W268" s="5"/>
    </row>
    <row r="269" spans="1:23" x14ac:dyDescent="0.25">
      <c r="B269" s="1">
        <v>19.100000000000001</v>
      </c>
      <c r="C269" s="4">
        <v>392</v>
      </c>
      <c r="D269" s="1">
        <v>2</v>
      </c>
      <c r="E269" s="3">
        <v>40</v>
      </c>
      <c r="F269" s="5">
        <v>2.9208758709847902</v>
      </c>
      <c r="G269" s="1">
        <v>30</v>
      </c>
      <c r="H269" s="1">
        <v>39.5</v>
      </c>
      <c r="I269" s="1">
        <v>150</v>
      </c>
      <c r="J269" s="1">
        <v>250</v>
      </c>
      <c r="K269" s="1">
        <v>573</v>
      </c>
      <c r="L269" s="1">
        <v>20250</v>
      </c>
      <c r="M269" s="4">
        <v>80.017825486464005</v>
      </c>
      <c r="N269" s="10">
        <v>2.8296296296296299E-2</v>
      </c>
      <c r="O269" s="5">
        <v>27.5</v>
      </c>
      <c r="P269" s="4">
        <v>261.07653927096999</v>
      </c>
      <c r="Q269" s="5">
        <v>0.2</v>
      </c>
      <c r="R269" s="11">
        <f t="shared" si="4"/>
        <v>1.30538269635485E-3</v>
      </c>
      <c r="V269" s="5"/>
      <c r="W269" s="5"/>
    </row>
    <row r="270" spans="1:23" x14ac:dyDescent="0.25">
      <c r="B270" s="1">
        <v>19.100000000000001</v>
      </c>
      <c r="C270" s="4">
        <v>392</v>
      </c>
      <c r="D270" s="1">
        <v>2</v>
      </c>
      <c r="E270" s="3">
        <v>40</v>
      </c>
      <c r="F270" s="5">
        <v>2.9208758709847902</v>
      </c>
      <c r="G270" s="1">
        <v>30</v>
      </c>
      <c r="H270" s="1">
        <v>39.5</v>
      </c>
      <c r="I270" s="1">
        <v>150</v>
      </c>
      <c r="J270" s="1">
        <v>250</v>
      </c>
      <c r="K270" s="1">
        <v>573</v>
      </c>
      <c r="L270" s="1">
        <v>20250</v>
      </c>
      <c r="M270" s="4">
        <v>80.017825486464005</v>
      </c>
      <c r="N270" s="10">
        <v>2.8296296296296299E-2</v>
      </c>
      <c r="O270" s="5">
        <v>35.4</v>
      </c>
      <c r="P270" s="4">
        <v>336.07670873426702</v>
      </c>
      <c r="Q270" s="5">
        <v>0.3</v>
      </c>
      <c r="R270" s="11">
        <f t="shared" si="4"/>
        <v>1.6803835436713351E-3</v>
      </c>
      <c r="V270" s="5"/>
      <c r="W270" s="5"/>
    </row>
    <row r="271" spans="1:23" x14ac:dyDescent="0.25">
      <c r="B271" s="1">
        <v>19.100000000000001</v>
      </c>
      <c r="C271" s="4">
        <v>392</v>
      </c>
      <c r="D271" s="1">
        <v>2</v>
      </c>
      <c r="E271" s="3">
        <v>40</v>
      </c>
      <c r="F271" s="5">
        <v>2.9208758709847902</v>
      </c>
      <c r="G271" s="1">
        <v>30</v>
      </c>
      <c r="H271" s="1">
        <v>39.5</v>
      </c>
      <c r="I271" s="1">
        <v>150</v>
      </c>
      <c r="J271" s="1">
        <v>250</v>
      </c>
      <c r="K271" s="1">
        <v>573</v>
      </c>
      <c r="L271" s="1">
        <v>20250</v>
      </c>
      <c r="M271" s="4">
        <v>80.017825486464005</v>
      </c>
      <c r="N271" s="10">
        <v>2.8296296296296299E-2</v>
      </c>
      <c r="O271" s="5">
        <v>43.3</v>
      </c>
      <c r="P271" s="4">
        <v>392.3</v>
      </c>
      <c r="Q271" s="5">
        <v>0.33</v>
      </c>
      <c r="R271" s="11">
        <f t="shared" si="4"/>
        <v>1.9615000000000001E-3</v>
      </c>
      <c r="V271" s="5"/>
      <c r="W271" s="5"/>
    </row>
    <row r="272" spans="1:23" x14ac:dyDescent="0.25">
      <c r="A272" t="s">
        <v>82</v>
      </c>
      <c r="B272" s="1">
        <v>19.100000000000001</v>
      </c>
      <c r="C272" s="4">
        <v>392</v>
      </c>
      <c r="D272" s="1">
        <v>2</v>
      </c>
      <c r="E272" s="3">
        <v>40</v>
      </c>
      <c r="F272" s="5">
        <v>2.9208758709847902</v>
      </c>
      <c r="G272" s="1">
        <v>30</v>
      </c>
      <c r="H272" s="1">
        <v>39.5</v>
      </c>
      <c r="I272" s="1">
        <v>150</v>
      </c>
      <c r="J272" s="1">
        <v>250</v>
      </c>
      <c r="K272" s="1">
        <v>573</v>
      </c>
      <c r="L272" s="1">
        <v>20250</v>
      </c>
      <c r="M272" s="4">
        <v>80.017825486464005</v>
      </c>
      <c r="N272" s="10">
        <v>2.8296296296296299E-2</v>
      </c>
      <c r="O272" s="5">
        <v>19.600000000000001</v>
      </c>
      <c r="P272" s="4">
        <v>186.07636980767299</v>
      </c>
      <c r="Q272" s="5">
        <v>0.15</v>
      </c>
      <c r="R272" s="11">
        <f t="shared" si="4"/>
        <v>9.3038184903836499E-4</v>
      </c>
      <c r="V272" s="5"/>
      <c r="W272" s="5"/>
    </row>
    <row r="273" spans="1:23" x14ac:dyDescent="0.25">
      <c r="B273" s="1">
        <v>19.100000000000001</v>
      </c>
      <c r="C273" s="4">
        <v>392</v>
      </c>
      <c r="D273" s="1">
        <v>2</v>
      </c>
      <c r="E273" s="3">
        <v>40</v>
      </c>
      <c r="F273" s="5">
        <v>2.9208758709847902</v>
      </c>
      <c r="G273" s="1">
        <v>30</v>
      </c>
      <c r="H273" s="1">
        <v>39.5</v>
      </c>
      <c r="I273" s="1">
        <v>150</v>
      </c>
      <c r="J273" s="1">
        <v>250</v>
      </c>
      <c r="K273" s="1">
        <v>573</v>
      </c>
      <c r="L273" s="1">
        <v>20250</v>
      </c>
      <c r="M273" s="4">
        <v>80.017825486464005</v>
      </c>
      <c r="N273" s="10">
        <v>2.8296296296296299E-2</v>
      </c>
      <c r="O273" s="5">
        <v>27.3</v>
      </c>
      <c r="P273" s="4">
        <v>259.17780080354498</v>
      </c>
      <c r="Q273" s="5">
        <v>0.25</v>
      </c>
      <c r="R273" s="11">
        <f t="shared" si="4"/>
        <v>1.2958890040177249E-3</v>
      </c>
      <c r="V273" s="5"/>
      <c r="W273" s="5"/>
    </row>
    <row r="274" spans="1:23" x14ac:dyDescent="0.25">
      <c r="B274" s="1">
        <v>19.100000000000001</v>
      </c>
      <c r="C274" s="4">
        <v>392</v>
      </c>
      <c r="D274" s="1">
        <v>2</v>
      </c>
      <c r="E274" s="3">
        <v>40</v>
      </c>
      <c r="F274" s="5">
        <v>2.9208758709847902</v>
      </c>
      <c r="G274" s="1">
        <v>30</v>
      </c>
      <c r="H274" s="1">
        <v>39.5</v>
      </c>
      <c r="I274" s="1">
        <v>150</v>
      </c>
      <c r="J274" s="1">
        <v>250</v>
      </c>
      <c r="K274" s="1">
        <v>573</v>
      </c>
      <c r="L274" s="1">
        <v>20250</v>
      </c>
      <c r="M274" s="4">
        <v>80.017825486464005</v>
      </c>
      <c r="N274" s="10">
        <v>2.8296296296296299E-2</v>
      </c>
      <c r="O274" s="5">
        <v>35.1</v>
      </c>
      <c r="P274" s="4">
        <v>333.228601033129</v>
      </c>
      <c r="Q274" s="5">
        <v>0.28000000000000003</v>
      </c>
      <c r="R274" s="11">
        <f t="shared" si="4"/>
        <v>1.666143005165645E-3</v>
      </c>
      <c r="V274" s="5"/>
      <c r="W274" s="5"/>
    </row>
    <row r="275" spans="1:23" x14ac:dyDescent="0.25">
      <c r="A275" t="s">
        <v>83</v>
      </c>
      <c r="B275" s="1">
        <v>15.9</v>
      </c>
      <c r="C275" s="4">
        <v>392</v>
      </c>
      <c r="D275" s="1">
        <v>2</v>
      </c>
      <c r="E275" s="3">
        <v>46</v>
      </c>
      <c r="F275" s="5">
        <v>3.3538794827423901</v>
      </c>
      <c r="G275" s="1">
        <v>30</v>
      </c>
      <c r="H275" s="1">
        <v>38</v>
      </c>
      <c r="I275" s="1">
        <v>150</v>
      </c>
      <c r="J275" s="1">
        <v>250</v>
      </c>
      <c r="K275" s="1">
        <v>397.2</v>
      </c>
      <c r="L275" s="1">
        <v>17625</v>
      </c>
      <c r="M275" s="4">
        <v>67.684138613099094</v>
      </c>
      <c r="N275" s="10">
        <v>2.2536170212766E-2</v>
      </c>
      <c r="O275" s="5">
        <v>27.5</v>
      </c>
      <c r="P275" s="4">
        <v>365.47269151625102</v>
      </c>
      <c r="Q275" s="5">
        <v>0.2</v>
      </c>
      <c r="R275" s="11">
        <f t="shared" si="4"/>
        <v>1.827363457581255E-3</v>
      </c>
      <c r="V275" s="5"/>
      <c r="W275" s="5"/>
    </row>
    <row r="276" spans="1:23" x14ac:dyDescent="0.25">
      <c r="B276" s="1">
        <v>15.9</v>
      </c>
      <c r="C276" s="4">
        <v>392</v>
      </c>
      <c r="D276" s="1">
        <v>2</v>
      </c>
      <c r="E276" s="3">
        <v>46</v>
      </c>
      <c r="F276" s="5">
        <v>3.3538794827423901</v>
      </c>
      <c r="G276" s="1">
        <v>30</v>
      </c>
      <c r="H276" s="1">
        <v>38</v>
      </c>
      <c r="I276" s="1">
        <v>150</v>
      </c>
      <c r="J276" s="1">
        <v>250</v>
      </c>
      <c r="K276" s="1">
        <v>397.2</v>
      </c>
      <c r="L276" s="1">
        <v>17625</v>
      </c>
      <c r="M276" s="4">
        <v>67.684138613099094</v>
      </c>
      <c r="N276" s="10">
        <v>2.2536170212766E-2</v>
      </c>
      <c r="O276" s="5">
        <v>31.4</v>
      </c>
      <c r="P276" s="4">
        <v>392.3</v>
      </c>
      <c r="Q276" s="5">
        <v>0.22</v>
      </c>
      <c r="R276" s="11">
        <f t="shared" si="4"/>
        <v>1.9615000000000001E-3</v>
      </c>
      <c r="V276" s="5"/>
      <c r="W276" s="5"/>
    </row>
    <row r="277" spans="1:23" x14ac:dyDescent="0.25">
      <c r="A277" t="s">
        <v>84</v>
      </c>
      <c r="B277" s="1">
        <v>15.9</v>
      </c>
      <c r="C277" s="4">
        <v>392</v>
      </c>
      <c r="D277" s="1">
        <v>2</v>
      </c>
      <c r="E277" s="3">
        <v>46</v>
      </c>
      <c r="F277" s="5">
        <v>3.3538794827423901</v>
      </c>
      <c r="G277" s="1">
        <v>30</v>
      </c>
      <c r="H277" s="1">
        <v>38</v>
      </c>
      <c r="I277" s="1">
        <v>150</v>
      </c>
      <c r="J277" s="1">
        <v>250</v>
      </c>
      <c r="K277" s="1">
        <v>397.2</v>
      </c>
      <c r="L277" s="1">
        <v>17625</v>
      </c>
      <c r="M277" s="4">
        <v>67.684138613099094</v>
      </c>
      <c r="N277" s="10">
        <v>2.2536170212766E-2</v>
      </c>
      <c r="O277" s="5">
        <v>27.5</v>
      </c>
      <c r="P277" s="4">
        <v>365.47269151625102</v>
      </c>
      <c r="Q277" s="5">
        <v>0.17</v>
      </c>
      <c r="R277" s="11">
        <f t="shared" si="4"/>
        <v>1.827363457581255E-3</v>
      </c>
      <c r="V277" s="5"/>
      <c r="W277" s="5"/>
    </row>
    <row r="278" spans="1:23" x14ac:dyDescent="0.25">
      <c r="B278" s="1">
        <v>15.9</v>
      </c>
      <c r="C278" s="4">
        <v>392</v>
      </c>
      <c r="D278" s="1">
        <v>2</v>
      </c>
      <c r="E278" s="3">
        <v>46</v>
      </c>
      <c r="F278" s="5">
        <v>3.3538794827423901</v>
      </c>
      <c r="G278" s="1">
        <v>30</v>
      </c>
      <c r="H278" s="1">
        <v>38</v>
      </c>
      <c r="I278" s="1">
        <v>150</v>
      </c>
      <c r="J278" s="1">
        <v>250</v>
      </c>
      <c r="K278" s="1">
        <v>397.2</v>
      </c>
      <c r="L278" s="1">
        <v>17625</v>
      </c>
      <c r="M278" s="4">
        <v>67.684138613099094</v>
      </c>
      <c r="N278" s="10">
        <v>2.2536170212766E-2</v>
      </c>
      <c r="O278" s="5">
        <v>31.4</v>
      </c>
      <c r="P278" s="4">
        <v>392.3</v>
      </c>
      <c r="Q278" s="5">
        <v>0.21</v>
      </c>
      <c r="R278" s="11">
        <f t="shared" si="4"/>
        <v>1.9615000000000001E-3</v>
      </c>
      <c r="V278" s="5"/>
      <c r="W278" s="5"/>
    </row>
    <row r="279" spans="1:23" x14ac:dyDescent="0.25">
      <c r="A279" t="s">
        <v>85</v>
      </c>
      <c r="B279" s="1">
        <v>19.100000000000001</v>
      </c>
      <c r="C279" s="4">
        <v>392</v>
      </c>
      <c r="D279" s="1">
        <v>2</v>
      </c>
      <c r="E279" s="3">
        <v>40</v>
      </c>
      <c r="F279" s="5">
        <v>3.3538794827423901</v>
      </c>
      <c r="G279" s="1">
        <v>30</v>
      </c>
      <c r="H279" s="1">
        <v>39.5</v>
      </c>
      <c r="I279" s="1">
        <v>150</v>
      </c>
      <c r="J279" s="1">
        <v>250</v>
      </c>
      <c r="K279" s="1">
        <v>573</v>
      </c>
      <c r="L279" s="1">
        <v>20250</v>
      </c>
      <c r="M279" s="4">
        <v>77.918977712586099</v>
      </c>
      <c r="N279" s="10">
        <v>2.8296296296296299E-2</v>
      </c>
      <c r="O279" s="5">
        <v>23.4</v>
      </c>
      <c r="P279" s="4">
        <v>221.31013180149799</v>
      </c>
      <c r="Q279" s="5">
        <v>0.17</v>
      </c>
      <c r="R279" s="11">
        <f t="shared" si="4"/>
        <v>1.1065506590074898E-3</v>
      </c>
      <c r="V279" s="5"/>
      <c r="W279" s="5"/>
    </row>
    <row r="280" spans="1:23" x14ac:dyDescent="0.25">
      <c r="B280" s="1">
        <v>19.100000000000001</v>
      </c>
      <c r="C280" s="4">
        <v>392</v>
      </c>
      <c r="D280" s="1">
        <v>2</v>
      </c>
      <c r="E280" s="3">
        <v>40</v>
      </c>
      <c r="F280" s="5">
        <v>3.3538794827423901</v>
      </c>
      <c r="G280" s="1">
        <v>30</v>
      </c>
      <c r="H280" s="1">
        <v>39.5</v>
      </c>
      <c r="I280" s="1">
        <v>150</v>
      </c>
      <c r="J280" s="1">
        <v>250</v>
      </c>
      <c r="K280" s="1">
        <v>573</v>
      </c>
      <c r="L280" s="1">
        <v>20250</v>
      </c>
      <c r="M280" s="4">
        <v>77.918977712586099</v>
      </c>
      <c r="N280" s="10">
        <v>2.8296296296296299E-2</v>
      </c>
      <c r="O280" s="5">
        <v>27.4</v>
      </c>
      <c r="P280" s="4">
        <v>259.14092356243799</v>
      </c>
      <c r="Q280" s="5">
        <v>0.18</v>
      </c>
      <c r="R280" s="11">
        <f t="shared" si="4"/>
        <v>1.29570461781219E-3</v>
      </c>
      <c r="V280" s="5"/>
      <c r="W280" s="5"/>
    </row>
    <row r="281" spans="1:23" x14ac:dyDescent="0.25">
      <c r="B281" s="1">
        <v>19.100000000000001</v>
      </c>
      <c r="C281" s="4">
        <v>392</v>
      </c>
      <c r="D281" s="1">
        <v>2</v>
      </c>
      <c r="E281" s="3">
        <v>40</v>
      </c>
      <c r="F281" s="5">
        <v>3.3538794827423901</v>
      </c>
      <c r="G281" s="1">
        <v>30</v>
      </c>
      <c r="H281" s="1">
        <v>39.5</v>
      </c>
      <c r="I281" s="1">
        <v>150</v>
      </c>
      <c r="J281" s="1">
        <v>250</v>
      </c>
      <c r="K281" s="1">
        <v>573</v>
      </c>
      <c r="L281" s="1">
        <v>20250</v>
      </c>
      <c r="M281" s="4">
        <v>77.918977712586099</v>
      </c>
      <c r="N281" s="10">
        <v>2.8296296296296299E-2</v>
      </c>
      <c r="O281" s="5">
        <v>31.3</v>
      </c>
      <c r="P281" s="4">
        <v>296.02594552935398</v>
      </c>
      <c r="Q281" s="5">
        <v>0.2</v>
      </c>
      <c r="R281" s="11">
        <f t="shared" si="4"/>
        <v>1.4801297276467698E-3</v>
      </c>
      <c r="V281" s="5"/>
      <c r="W281" s="5"/>
    </row>
    <row r="282" spans="1:23" x14ac:dyDescent="0.25">
      <c r="B282" s="1">
        <v>19.100000000000001</v>
      </c>
      <c r="C282" s="4">
        <v>392</v>
      </c>
      <c r="D282" s="1">
        <v>2</v>
      </c>
      <c r="E282" s="3">
        <v>40</v>
      </c>
      <c r="F282" s="5">
        <v>3.3538794827423901</v>
      </c>
      <c r="G282" s="1">
        <v>30</v>
      </c>
      <c r="H282" s="1">
        <v>39.5</v>
      </c>
      <c r="I282" s="1">
        <v>150</v>
      </c>
      <c r="J282" s="1">
        <v>250</v>
      </c>
      <c r="K282" s="1">
        <v>573</v>
      </c>
      <c r="L282" s="1">
        <v>20250</v>
      </c>
      <c r="M282" s="4">
        <v>77.918977712586099</v>
      </c>
      <c r="N282" s="10">
        <v>2.8296296296296299E-2</v>
      </c>
      <c r="O282" s="5">
        <v>35.299999999999997</v>
      </c>
      <c r="P282" s="4">
        <v>333.85673729029401</v>
      </c>
      <c r="Q282" s="5">
        <v>0.2</v>
      </c>
      <c r="R282" s="11">
        <f t="shared" si="4"/>
        <v>1.66928368645147E-3</v>
      </c>
      <c r="V282" s="5"/>
      <c r="W282" s="5"/>
    </row>
    <row r="283" spans="1:23" x14ac:dyDescent="0.25">
      <c r="B283" s="1">
        <v>19.100000000000001</v>
      </c>
      <c r="C283" s="4">
        <v>392</v>
      </c>
      <c r="D283" s="1">
        <v>2</v>
      </c>
      <c r="E283" s="3">
        <v>40</v>
      </c>
      <c r="F283" s="5">
        <v>3.3538794827423901</v>
      </c>
      <c r="G283" s="1">
        <v>30</v>
      </c>
      <c r="H283" s="1">
        <v>39.5</v>
      </c>
      <c r="I283" s="1">
        <v>150</v>
      </c>
      <c r="J283" s="1">
        <v>250</v>
      </c>
      <c r="K283" s="1">
        <v>573</v>
      </c>
      <c r="L283" s="1">
        <v>20250</v>
      </c>
      <c r="M283" s="4">
        <v>77.918977712586099</v>
      </c>
      <c r="N283" s="10">
        <v>2.8296296296296299E-2</v>
      </c>
      <c r="O283" s="5">
        <v>39.1</v>
      </c>
      <c r="P283" s="4">
        <v>369.79598946318703</v>
      </c>
      <c r="Q283" s="5">
        <v>0.25</v>
      </c>
      <c r="R283" s="11">
        <f t="shared" si="4"/>
        <v>1.8489799473159351E-3</v>
      </c>
      <c r="V283" s="5"/>
      <c r="W283" s="5"/>
    </row>
    <row r="284" spans="1:23" x14ac:dyDescent="0.25">
      <c r="B284" s="1">
        <v>19.100000000000001</v>
      </c>
      <c r="C284" s="4">
        <v>392</v>
      </c>
      <c r="D284" s="1">
        <v>2</v>
      </c>
      <c r="E284" s="3">
        <v>40</v>
      </c>
      <c r="F284" s="5">
        <v>3.3538794827423901</v>
      </c>
      <c r="G284" s="1">
        <v>30</v>
      </c>
      <c r="H284" s="1">
        <v>39.5</v>
      </c>
      <c r="I284" s="1">
        <v>150</v>
      </c>
      <c r="J284" s="1">
        <v>250</v>
      </c>
      <c r="K284" s="1">
        <v>573</v>
      </c>
      <c r="L284" s="1">
        <v>20250</v>
      </c>
      <c r="M284" s="4">
        <v>77.918977712586099</v>
      </c>
      <c r="N284" s="10">
        <v>2.8296296296296299E-2</v>
      </c>
      <c r="O284" s="5">
        <v>43.1</v>
      </c>
      <c r="P284" s="4">
        <v>392.3</v>
      </c>
      <c r="Q284" s="5">
        <v>0.27</v>
      </c>
      <c r="R284" s="11">
        <f t="shared" si="4"/>
        <v>1.9615000000000001E-3</v>
      </c>
      <c r="V284" s="5"/>
      <c r="W284" s="5"/>
    </row>
    <row r="285" spans="1:23" x14ac:dyDescent="0.25">
      <c r="A285" t="s">
        <v>86</v>
      </c>
      <c r="B285" s="1">
        <v>19.100000000000001</v>
      </c>
      <c r="C285" s="4">
        <v>392</v>
      </c>
      <c r="D285" s="1">
        <v>2</v>
      </c>
      <c r="E285" s="3">
        <v>40</v>
      </c>
      <c r="F285" s="5">
        <v>3.3538794827423901</v>
      </c>
      <c r="G285" s="1">
        <v>30</v>
      </c>
      <c r="H285" s="1">
        <v>39.5</v>
      </c>
      <c r="I285" s="1">
        <v>150</v>
      </c>
      <c r="J285" s="1">
        <v>250</v>
      </c>
      <c r="K285" s="1">
        <v>573</v>
      </c>
      <c r="L285" s="1">
        <v>20250</v>
      </c>
      <c r="M285" s="4">
        <v>77.918977712586099</v>
      </c>
      <c r="N285" s="10">
        <v>2.8296296296296299E-2</v>
      </c>
      <c r="O285" s="5">
        <v>31.3</v>
      </c>
      <c r="P285" s="4">
        <v>296.02594552935398</v>
      </c>
      <c r="Q285" s="5">
        <v>0.18</v>
      </c>
      <c r="R285" s="11">
        <f t="shared" si="4"/>
        <v>1.4801297276467698E-3</v>
      </c>
      <c r="V285" s="5"/>
      <c r="W285" s="5"/>
    </row>
    <row r="286" spans="1:23" x14ac:dyDescent="0.25">
      <c r="B286" s="1">
        <v>19.100000000000001</v>
      </c>
      <c r="C286" s="4">
        <v>392</v>
      </c>
      <c r="D286" s="1">
        <v>2</v>
      </c>
      <c r="E286" s="3">
        <v>40</v>
      </c>
      <c r="F286" s="5">
        <v>3.3538794827423901</v>
      </c>
      <c r="G286" s="1">
        <v>30</v>
      </c>
      <c r="H286" s="1">
        <v>39.5</v>
      </c>
      <c r="I286" s="1">
        <v>150</v>
      </c>
      <c r="J286" s="1">
        <v>250</v>
      </c>
      <c r="K286" s="1">
        <v>573</v>
      </c>
      <c r="L286" s="1">
        <v>20250</v>
      </c>
      <c r="M286" s="4">
        <v>77.918977712586099</v>
      </c>
      <c r="N286" s="10">
        <v>2.8296296296296299E-2</v>
      </c>
      <c r="O286" s="5">
        <v>35.1</v>
      </c>
      <c r="P286" s="4">
        <v>331.965197702247</v>
      </c>
      <c r="Q286" s="5">
        <v>0.19</v>
      </c>
      <c r="R286" s="11">
        <f t="shared" si="4"/>
        <v>1.6598259885112351E-3</v>
      </c>
      <c r="V286" s="5"/>
      <c r="W286" s="5"/>
    </row>
    <row r="287" spans="1:23" x14ac:dyDescent="0.25">
      <c r="B287" s="1">
        <v>19.100000000000001</v>
      </c>
      <c r="C287" s="4">
        <v>392</v>
      </c>
      <c r="D287" s="1">
        <v>2</v>
      </c>
      <c r="E287" s="3">
        <v>40</v>
      </c>
      <c r="F287" s="5">
        <v>3.3538794827423901</v>
      </c>
      <c r="G287" s="1">
        <v>30</v>
      </c>
      <c r="H287" s="1">
        <v>39.5</v>
      </c>
      <c r="I287" s="1">
        <v>150</v>
      </c>
      <c r="J287" s="1">
        <v>250</v>
      </c>
      <c r="K287" s="1">
        <v>573</v>
      </c>
      <c r="L287" s="1">
        <v>20250</v>
      </c>
      <c r="M287" s="4">
        <v>77.918977712586099</v>
      </c>
      <c r="N287" s="10">
        <v>2.8296296296296299E-2</v>
      </c>
      <c r="O287" s="5">
        <v>39.1</v>
      </c>
      <c r="P287" s="4">
        <v>369.79598946318703</v>
      </c>
      <c r="Q287" s="5">
        <v>0.21</v>
      </c>
      <c r="R287" s="11">
        <f t="shared" si="4"/>
        <v>1.8489799473159351E-3</v>
      </c>
      <c r="V287" s="5"/>
      <c r="W287" s="5"/>
    </row>
    <row r="288" spans="1:23" x14ac:dyDescent="0.25">
      <c r="B288" s="1">
        <v>19.100000000000001</v>
      </c>
      <c r="C288" s="4">
        <v>392</v>
      </c>
      <c r="D288" s="1">
        <v>2</v>
      </c>
      <c r="E288" s="3">
        <v>40</v>
      </c>
      <c r="F288" s="5">
        <v>3.3538794827423901</v>
      </c>
      <c r="G288" s="1">
        <v>30</v>
      </c>
      <c r="H288" s="1">
        <v>39.5</v>
      </c>
      <c r="I288" s="1">
        <v>150</v>
      </c>
      <c r="J288" s="1">
        <v>250</v>
      </c>
      <c r="K288" s="1">
        <v>573</v>
      </c>
      <c r="L288" s="1">
        <v>20250</v>
      </c>
      <c r="M288" s="4">
        <v>77.918977712586099</v>
      </c>
      <c r="N288" s="10">
        <v>2.8296296296296299E-2</v>
      </c>
      <c r="O288" s="5">
        <v>43.1</v>
      </c>
      <c r="P288" s="4">
        <v>392.3</v>
      </c>
      <c r="Q288" s="5">
        <v>0.26</v>
      </c>
      <c r="R288" s="11">
        <f t="shared" si="4"/>
        <v>1.9615000000000001E-3</v>
      </c>
      <c r="V288" s="5"/>
      <c r="W288" s="5"/>
    </row>
    <row r="289" spans="1:23" x14ac:dyDescent="0.25">
      <c r="A289" t="s">
        <v>87</v>
      </c>
      <c r="B289" s="1">
        <v>19.100000000000001</v>
      </c>
      <c r="C289" s="4">
        <v>276</v>
      </c>
      <c r="D289" s="1">
        <v>2</v>
      </c>
      <c r="E289" s="3">
        <v>69.8</v>
      </c>
      <c r="F289" s="5">
        <v>2.9003288251790802</v>
      </c>
      <c r="G289" s="1">
        <v>31.8</v>
      </c>
      <c r="H289" s="1">
        <v>41.4</v>
      </c>
      <c r="I289" s="1">
        <v>152.4</v>
      </c>
      <c r="J289" s="1">
        <v>381</v>
      </c>
      <c r="K289" s="1">
        <v>568</v>
      </c>
      <c r="L289" s="1">
        <v>20863.560000000001</v>
      </c>
      <c r="M289" s="4">
        <v>105.951899677992</v>
      </c>
      <c r="N289" s="10">
        <v>2.72245005166903E-2</v>
      </c>
      <c r="O289" s="5">
        <v>35.088900000000002</v>
      </c>
      <c r="P289" s="4">
        <v>203.022493137384</v>
      </c>
      <c r="Q289" s="5">
        <v>0.17</v>
      </c>
      <c r="R289" s="11">
        <f t="shared" si="4"/>
        <v>1.0151124656869201E-3</v>
      </c>
      <c r="V289" s="5"/>
      <c r="W289" s="5"/>
    </row>
    <row r="290" spans="1:23" x14ac:dyDescent="0.25">
      <c r="B290" s="1">
        <v>19.100000000000001</v>
      </c>
      <c r="C290" s="4">
        <v>276</v>
      </c>
      <c r="D290" s="1">
        <v>2</v>
      </c>
      <c r="E290" s="3">
        <v>69.8</v>
      </c>
      <c r="F290" s="5">
        <v>2.9003288251790802</v>
      </c>
      <c r="G290" s="1">
        <v>31.8</v>
      </c>
      <c r="H290" s="1">
        <v>41.4</v>
      </c>
      <c r="I290" s="1">
        <v>152.4</v>
      </c>
      <c r="J290" s="1">
        <v>381</v>
      </c>
      <c r="K290" s="1">
        <v>568</v>
      </c>
      <c r="L290" s="1">
        <v>20863.560000000001</v>
      </c>
      <c r="M290" s="4">
        <v>105.951899677992</v>
      </c>
      <c r="N290" s="10">
        <v>2.72245005166903E-2</v>
      </c>
      <c r="O290" s="5">
        <v>42.257599999999996</v>
      </c>
      <c r="P290" s="4">
        <v>244.50020678910701</v>
      </c>
      <c r="Q290" s="5">
        <v>0.23</v>
      </c>
      <c r="R290" s="11">
        <f t="shared" si="4"/>
        <v>1.2225010339455352E-3</v>
      </c>
      <c r="V290" s="5"/>
      <c r="W290" s="5"/>
    </row>
    <row r="291" spans="1:23" x14ac:dyDescent="0.25">
      <c r="B291" s="1">
        <v>19.100000000000001</v>
      </c>
      <c r="C291" s="4">
        <v>276</v>
      </c>
      <c r="D291" s="1">
        <v>2</v>
      </c>
      <c r="E291" s="3">
        <v>69.8</v>
      </c>
      <c r="F291" s="5">
        <v>2.9003288251790802</v>
      </c>
      <c r="G291" s="1">
        <v>31.8</v>
      </c>
      <c r="H291" s="1">
        <v>41.4</v>
      </c>
      <c r="I291" s="1">
        <v>152.4</v>
      </c>
      <c r="J291" s="1">
        <v>381</v>
      </c>
      <c r="K291" s="1">
        <v>568</v>
      </c>
      <c r="L291" s="1">
        <v>20863.560000000001</v>
      </c>
      <c r="M291" s="4">
        <v>105.951899677992</v>
      </c>
      <c r="N291" s="10">
        <v>2.72245005166903E-2</v>
      </c>
      <c r="O291" s="5">
        <v>48.808900000000001</v>
      </c>
      <c r="P291" s="4">
        <v>275.8</v>
      </c>
      <c r="Q291" s="5">
        <v>0.27</v>
      </c>
      <c r="R291" s="11">
        <f t="shared" si="4"/>
        <v>1.379E-3</v>
      </c>
      <c r="V291" s="5"/>
      <c r="W291" s="5"/>
    </row>
    <row r="292" spans="1:23" x14ac:dyDescent="0.25">
      <c r="A292" t="s">
        <v>88</v>
      </c>
      <c r="B292" s="1">
        <v>19.100000000000001</v>
      </c>
      <c r="C292" s="4">
        <v>276</v>
      </c>
      <c r="D292" s="1">
        <v>2</v>
      </c>
      <c r="E292" s="3">
        <v>69.8</v>
      </c>
      <c r="F292" s="5">
        <v>2.8466918957142102</v>
      </c>
      <c r="G292" s="1">
        <v>31.8</v>
      </c>
      <c r="H292" s="1">
        <v>41.4</v>
      </c>
      <c r="I292" s="1">
        <v>152.4</v>
      </c>
      <c r="J292" s="1">
        <v>381</v>
      </c>
      <c r="K292" s="1">
        <v>568</v>
      </c>
      <c r="L292" s="1">
        <v>20863.560000000001</v>
      </c>
      <c r="M292" s="4">
        <v>106.355513236104</v>
      </c>
      <c r="N292" s="10">
        <v>2.72245005166903E-2</v>
      </c>
      <c r="O292" s="5">
        <v>48.808900000000001</v>
      </c>
      <c r="P292" s="4">
        <v>275.8</v>
      </c>
      <c r="Q292" s="5">
        <v>0.16</v>
      </c>
      <c r="R292" s="11">
        <f t="shared" si="4"/>
        <v>1.379E-3</v>
      </c>
      <c r="V292" s="5"/>
      <c r="W292" s="5"/>
    </row>
    <row r="293" spans="1:23" x14ac:dyDescent="0.25">
      <c r="A293" t="s">
        <v>89</v>
      </c>
      <c r="B293" s="1">
        <v>19.100000000000001</v>
      </c>
      <c r="C293" s="4">
        <v>276</v>
      </c>
      <c r="D293" s="1">
        <v>2</v>
      </c>
      <c r="E293" s="3">
        <v>69.8</v>
      </c>
      <c r="F293" s="5">
        <v>2.7113214734883302</v>
      </c>
      <c r="G293" s="1">
        <v>38.200000000000003</v>
      </c>
      <c r="H293" s="1">
        <v>47.7</v>
      </c>
      <c r="I293" s="1">
        <v>152.4</v>
      </c>
      <c r="J293" s="1">
        <v>381</v>
      </c>
      <c r="K293" s="1">
        <v>568</v>
      </c>
      <c r="L293" s="1">
        <v>21823.68</v>
      </c>
      <c r="M293" s="4">
        <v>106.225416011626</v>
      </c>
      <c r="N293" s="10">
        <v>2.6026774586137599E-2</v>
      </c>
      <c r="O293" s="5">
        <v>42.257599999999996</v>
      </c>
      <c r="P293" s="4">
        <v>249.74588434606099</v>
      </c>
      <c r="Q293" s="5">
        <v>0.16</v>
      </c>
      <c r="R293" s="11">
        <f t="shared" si="4"/>
        <v>1.248729421730305E-3</v>
      </c>
      <c r="V293" s="5"/>
      <c r="W293" s="5"/>
    </row>
    <row r="294" spans="1:23" x14ac:dyDescent="0.25">
      <c r="B294" s="1">
        <v>19.100000000000001</v>
      </c>
      <c r="C294" s="4">
        <v>276</v>
      </c>
      <c r="D294" s="1">
        <v>2</v>
      </c>
      <c r="E294" s="3">
        <v>69.8</v>
      </c>
      <c r="F294" s="5">
        <v>2.7113214734883302</v>
      </c>
      <c r="G294" s="1">
        <v>38.200000000000003</v>
      </c>
      <c r="H294" s="1">
        <v>47.7</v>
      </c>
      <c r="I294" s="1">
        <v>152.4</v>
      </c>
      <c r="J294" s="1">
        <v>381</v>
      </c>
      <c r="K294" s="1">
        <v>568</v>
      </c>
      <c r="L294" s="1">
        <v>21823.68</v>
      </c>
      <c r="M294" s="4">
        <v>106.225416011626</v>
      </c>
      <c r="N294" s="10">
        <v>2.6026774586137599E-2</v>
      </c>
      <c r="O294" s="5">
        <v>48.808900000000001</v>
      </c>
      <c r="P294" s="4">
        <v>275.8</v>
      </c>
      <c r="Q294" s="5">
        <v>0.2</v>
      </c>
      <c r="R294" s="11">
        <f t="shared" si="4"/>
        <v>1.379E-3</v>
      </c>
      <c r="V294" s="5"/>
      <c r="W294" s="5"/>
    </row>
    <row r="295" spans="1:23" x14ac:dyDescent="0.25">
      <c r="A295" t="s">
        <v>90</v>
      </c>
      <c r="B295" s="1">
        <v>22.2</v>
      </c>
      <c r="C295" s="4">
        <v>276</v>
      </c>
      <c r="D295" s="1">
        <v>2</v>
      </c>
      <c r="E295" s="3">
        <v>63.6</v>
      </c>
      <c r="F295" s="5">
        <v>2.6879866270061701</v>
      </c>
      <c r="G295" s="1">
        <v>12.8</v>
      </c>
      <c r="H295" s="1">
        <v>23.9</v>
      </c>
      <c r="I295" s="1">
        <v>152.4</v>
      </c>
      <c r="J295" s="1">
        <v>381</v>
      </c>
      <c r="K295" s="1">
        <v>774</v>
      </c>
      <c r="L295" s="1">
        <v>12748.26</v>
      </c>
      <c r="M295" s="4">
        <v>125.501027414761</v>
      </c>
      <c r="N295" s="10">
        <v>6.0714168051169297E-2</v>
      </c>
      <c r="O295" s="5">
        <v>66.198999999999998</v>
      </c>
      <c r="P295" s="4">
        <v>271.28943756037398</v>
      </c>
      <c r="Q295" s="5">
        <v>0.17</v>
      </c>
      <c r="R295" s="11">
        <f t="shared" si="4"/>
        <v>1.35644718780187E-3</v>
      </c>
      <c r="V295" s="5"/>
      <c r="W295" s="5"/>
    </row>
    <row r="296" spans="1:23" x14ac:dyDescent="0.25">
      <c r="A296" t="s">
        <v>91</v>
      </c>
      <c r="B296" s="1">
        <v>22.2</v>
      </c>
      <c r="C296" s="4">
        <v>276</v>
      </c>
      <c r="D296" s="1">
        <v>2</v>
      </c>
      <c r="E296" s="3">
        <v>63.6</v>
      </c>
      <c r="F296" s="5">
        <v>2.3846015710371402</v>
      </c>
      <c r="G296" s="1">
        <v>38</v>
      </c>
      <c r="H296" s="1">
        <v>49.1</v>
      </c>
      <c r="I296" s="1">
        <v>152.4</v>
      </c>
      <c r="J296" s="1">
        <v>381</v>
      </c>
      <c r="K296" s="1">
        <v>774</v>
      </c>
      <c r="L296" s="1">
        <v>24399.24</v>
      </c>
      <c r="M296" s="4">
        <v>122.856933294706</v>
      </c>
      <c r="N296" s="10">
        <v>3.17222995470351E-2</v>
      </c>
      <c r="O296" s="5">
        <v>43.938299999999998</v>
      </c>
      <c r="P296" s="4">
        <v>195.113525980031</v>
      </c>
      <c r="Q296" s="5">
        <v>0.15</v>
      </c>
      <c r="R296" s="11">
        <f t="shared" si="4"/>
        <v>9.7556762990015503E-4</v>
      </c>
      <c r="V296" s="5"/>
      <c r="W296" s="5"/>
    </row>
    <row r="297" spans="1:23" x14ac:dyDescent="0.25">
      <c r="B297" s="1">
        <v>22.2</v>
      </c>
      <c r="C297" s="4">
        <v>276</v>
      </c>
      <c r="D297" s="1">
        <v>2</v>
      </c>
      <c r="E297" s="3">
        <v>63.6</v>
      </c>
      <c r="F297" s="5">
        <v>2.3846015710371402</v>
      </c>
      <c r="G297" s="1">
        <v>38</v>
      </c>
      <c r="H297" s="1">
        <v>49.1</v>
      </c>
      <c r="I297" s="1">
        <v>152.4</v>
      </c>
      <c r="J297" s="1">
        <v>381</v>
      </c>
      <c r="K297" s="1">
        <v>774</v>
      </c>
      <c r="L297" s="1">
        <v>24399.24</v>
      </c>
      <c r="M297" s="4">
        <v>122.856933294706</v>
      </c>
      <c r="N297" s="10">
        <v>3.17222995470351E-2</v>
      </c>
      <c r="O297" s="5">
        <v>51.106999999999999</v>
      </c>
      <c r="P297" s="4">
        <v>226.947036463892</v>
      </c>
      <c r="Q297" s="5">
        <v>0.19</v>
      </c>
      <c r="R297" s="11">
        <f t="shared" si="4"/>
        <v>1.1347351823194601E-3</v>
      </c>
      <c r="V297" s="5"/>
      <c r="W297" s="5"/>
    </row>
    <row r="298" spans="1:23" x14ac:dyDescent="0.25">
      <c r="B298" s="1">
        <v>22.2</v>
      </c>
      <c r="C298" s="4">
        <v>276</v>
      </c>
      <c r="D298" s="1">
        <v>2</v>
      </c>
      <c r="E298" s="3">
        <v>63.6</v>
      </c>
      <c r="F298" s="5">
        <v>2.3846015710371402</v>
      </c>
      <c r="G298" s="1">
        <v>38</v>
      </c>
      <c r="H298" s="1">
        <v>49.1</v>
      </c>
      <c r="I298" s="1">
        <v>152.4</v>
      </c>
      <c r="J298" s="1">
        <v>381</v>
      </c>
      <c r="K298" s="1">
        <v>774</v>
      </c>
      <c r="L298" s="1">
        <v>24399.24</v>
      </c>
      <c r="M298" s="4">
        <v>122.856933294706</v>
      </c>
      <c r="N298" s="10">
        <v>3.17222995470351E-2</v>
      </c>
      <c r="O298" s="5">
        <v>58.755899999999997</v>
      </c>
      <c r="P298" s="4">
        <v>260.91293520982998</v>
      </c>
      <c r="Q298" s="5">
        <v>0.22</v>
      </c>
      <c r="R298" s="11">
        <f t="shared" si="4"/>
        <v>1.3045646760491498E-3</v>
      </c>
      <c r="V298" s="5"/>
      <c r="W298" s="5"/>
    </row>
    <row r="299" spans="1:23" x14ac:dyDescent="0.25">
      <c r="B299" s="1">
        <v>22.2</v>
      </c>
      <c r="C299" s="4">
        <v>276</v>
      </c>
      <c r="D299" s="1">
        <v>2</v>
      </c>
      <c r="E299" s="3">
        <v>63.6</v>
      </c>
      <c r="F299" s="5">
        <v>2.3846015710371402</v>
      </c>
      <c r="G299" s="1">
        <v>38</v>
      </c>
      <c r="H299" s="1">
        <v>49.1</v>
      </c>
      <c r="I299" s="1">
        <v>152.4</v>
      </c>
      <c r="J299" s="1">
        <v>381</v>
      </c>
      <c r="K299" s="1">
        <v>774</v>
      </c>
      <c r="L299" s="1">
        <v>24399.24</v>
      </c>
      <c r="M299" s="4">
        <v>122.856933294706</v>
      </c>
      <c r="N299" s="10">
        <v>3.17222995470351E-2</v>
      </c>
      <c r="O299" s="5">
        <v>66.198999999999998</v>
      </c>
      <c r="P299" s="4">
        <v>275.8</v>
      </c>
      <c r="Q299" s="5">
        <v>0.27</v>
      </c>
      <c r="R299" s="11">
        <f t="shared" si="4"/>
        <v>1.379E-3</v>
      </c>
      <c r="V299" s="5"/>
      <c r="W299" s="5"/>
    </row>
    <row r="300" spans="1:23" x14ac:dyDescent="0.25">
      <c r="A300" t="s">
        <v>92</v>
      </c>
      <c r="B300" s="1">
        <v>22.2</v>
      </c>
      <c r="C300" s="4">
        <v>276</v>
      </c>
      <c r="D300" s="1">
        <v>2</v>
      </c>
      <c r="E300" s="3">
        <v>63.6</v>
      </c>
      <c r="F300" s="5">
        <v>2.8648423476200802</v>
      </c>
      <c r="G300" s="1">
        <v>38</v>
      </c>
      <c r="H300" s="1">
        <v>49.1</v>
      </c>
      <c r="I300" s="1">
        <v>152.4</v>
      </c>
      <c r="J300" s="1">
        <v>381</v>
      </c>
      <c r="K300" s="1">
        <v>774</v>
      </c>
      <c r="L300" s="1">
        <v>24399.24</v>
      </c>
      <c r="M300" s="4">
        <v>118.551137802315</v>
      </c>
      <c r="N300" s="10">
        <v>3.17222995470351E-2</v>
      </c>
      <c r="O300" s="5">
        <v>58.755899999999997</v>
      </c>
      <c r="P300" s="4">
        <v>259.63215176616501</v>
      </c>
      <c r="Q300" s="5">
        <v>0.17</v>
      </c>
      <c r="R300" s="11">
        <f t="shared" si="4"/>
        <v>1.298160758830825E-3</v>
      </c>
      <c r="V300" s="5"/>
      <c r="W300" s="5"/>
    </row>
    <row r="301" spans="1:23" x14ac:dyDescent="0.25">
      <c r="B301" s="1">
        <v>22.2</v>
      </c>
      <c r="C301" s="4">
        <v>276</v>
      </c>
      <c r="D301" s="1">
        <v>2</v>
      </c>
      <c r="E301" s="3">
        <v>63.6</v>
      </c>
      <c r="F301" s="5">
        <v>2.8648423476200802</v>
      </c>
      <c r="G301" s="1">
        <v>38</v>
      </c>
      <c r="H301" s="1">
        <v>49.1</v>
      </c>
      <c r="I301" s="1">
        <v>152.4</v>
      </c>
      <c r="J301" s="1">
        <v>381</v>
      </c>
      <c r="K301" s="1">
        <v>774</v>
      </c>
      <c r="L301" s="1">
        <v>24399.24</v>
      </c>
      <c r="M301" s="4">
        <v>118.551137802315</v>
      </c>
      <c r="N301" s="10">
        <v>3.17222995470351E-2</v>
      </c>
      <c r="O301" s="5">
        <v>66.198999999999998</v>
      </c>
      <c r="P301" s="4">
        <v>275.8</v>
      </c>
      <c r="Q301" s="5">
        <v>0.2</v>
      </c>
      <c r="R301" s="11">
        <f t="shared" si="4"/>
        <v>1.379E-3</v>
      </c>
      <c r="V301" s="5"/>
      <c r="W301" s="5"/>
    </row>
    <row r="302" spans="1:23" x14ac:dyDescent="0.25">
      <c r="A302" t="s">
        <v>93</v>
      </c>
      <c r="B302" s="1">
        <v>22.2</v>
      </c>
      <c r="C302" s="4">
        <v>276</v>
      </c>
      <c r="D302" s="1">
        <v>2</v>
      </c>
      <c r="E302" s="3">
        <v>63.6</v>
      </c>
      <c r="F302" s="5">
        <v>2.8336917902498899</v>
      </c>
      <c r="G302" s="1">
        <v>38</v>
      </c>
      <c r="H302" s="1">
        <v>49.1</v>
      </c>
      <c r="I302" s="1">
        <v>152.4</v>
      </c>
      <c r="J302" s="1">
        <v>381</v>
      </c>
      <c r="K302" s="1">
        <v>774</v>
      </c>
      <c r="L302" s="1">
        <v>24399.24</v>
      </c>
      <c r="M302" s="4">
        <v>118.804893272016</v>
      </c>
      <c r="N302" s="10">
        <v>3.17222995470351E-2</v>
      </c>
      <c r="O302" s="5">
        <v>43.938299999999998</v>
      </c>
      <c r="P302" s="4">
        <v>194.21192690601001</v>
      </c>
      <c r="Q302" s="5">
        <v>0.15</v>
      </c>
      <c r="R302" s="11">
        <f t="shared" si="4"/>
        <v>9.7105963453005006E-4</v>
      </c>
      <c r="V302" s="5"/>
      <c r="W302" s="5"/>
    </row>
    <row r="303" spans="1:23" x14ac:dyDescent="0.25">
      <c r="B303" s="1">
        <v>22.2</v>
      </c>
      <c r="C303" s="4">
        <v>276</v>
      </c>
      <c r="D303" s="1">
        <v>2</v>
      </c>
      <c r="E303" s="3">
        <v>63.6</v>
      </c>
      <c r="F303" s="5">
        <v>2.8336917902498899</v>
      </c>
      <c r="G303" s="1">
        <v>38</v>
      </c>
      <c r="H303" s="1">
        <v>49.1</v>
      </c>
      <c r="I303" s="1">
        <v>152.4</v>
      </c>
      <c r="J303" s="1">
        <v>381</v>
      </c>
      <c r="K303" s="1">
        <v>774</v>
      </c>
      <c r="L303" s="1">
        <v>24399.24</v>
      </c>
      <c r="M303" s="4">
        <v>118.804893272016</v>
      </c>
      <c r="N303" s="10">
        <v>3.17222995470351E-2</v>
      </c>
      <c r="O303" s="5">
        <v>51.106999999999999</v>
      </c>
      <c r="P303" s="4">
        <v>225.89833808739701</v>
      </c>
      <c r="Q303" s="5">
        <v>0.18</v>
      </c>
      <c r="R303" s="11">
        <f t="shared" si="4"/>
        <v>1.129491690436985E-3</v>
      </c>
      <c r="V303" s="5"/>
      <c r="W303" s="5"/>
    </row>
    <row r="304" spans="1:23" x14ac:dyDescent="0.25">
      <c r="B304" s="1">
        <v>22.2</v>
      </c>
      <c r="C304" s="4">
        <v>276</v>
      </c>
      <c r="D304" s="1">
        <v>2</v>
      </c>
      <c r="E304" s="3">
        <v>63.6</v>
      </c>
      <c r="F304" s="5">
        <v>2.8336917902498899</v>
      </c>
      <c r="G304" s="1">
        <v>38</v>
      </c>
      <c r="H304" s="1">
        <v>49.1</v>
      </c>
      <c r="I304" s="1">
        <v>152.4</v>
      </c>
      <c r="J304" s="1">
        <v>381</v>
      </c>
      <c r="K304" s="1">
        <v>774</v>
      </c>
      <c r="L304" s="1">
        <v>24399.24</v>
      </c>
      <c r="M304" s="4">
        <v>118.804893272016</v>
      </c>
      <c r="N304" s="10">
        <v>3.17222995470351E-2</v>
      </c>
      <c r="O304" s="5">
        <v>58.755899999999997</v>
      </c>
      <c r="P304" s="4">
        <v>259.70728398906698</v>
      </c>
      <c r="Q304" s="5">
        <v>0.22</v>
      </c>
      <c r="R304" s="11">
        <f t="shared" si="4"/>
        <v>1.2985364199453349E-3</v>
      </c>
      <c r="V304" s="5"/>
      <c r="W304" s="5"/>
    </row>
    <row r="305" spans="1:23" x14ac:dyDescent="0.25">
      <c r="B305" s="1">
        <v>22.2</v>
      </c>
      <c r="C305" s="4">
        <v>276</v>
      </c>
      <c r="D305" s="1">
        <v>2</v>
      </c>
      <c r="E305" s="3">
        <v>63.6</v>
      </c>
      <c r="F305" s="5">
        <v>2.8336917902498899</v>
      </c>
      <c r="G305" s="1">
        <v>38</v>
      </c>
      <c r="H305" s="1">
        <v>49.1</v>
      </c>
      <c r="I305" s="1">
        <v>152.4</v>
      </c>
      <c r="J305" s="1">
        <v>381</v>
      </c>
      <c r="K305" s="1">
        <v>774</v>
      </c>
      <c r="L305" s="1">
        <v>24399.24</v>
      </c>
      <c r="M305" s="4">
        <v>118.804893272016</v>
      </c>
      <c r="N305" s="10">
        <v>3.17222995470351E-2</v>
      </c>
      <c r="O305" s="5">
        <v>66.198999999999998</v>
      </c>
      <c r="P305" s="4">
        <v>275.8</v>
      </c>
      <c r="Q305" s="5">
        <v>0.25</v>
      </c>
      <c r="R305" s="11">
        <f t="shared" si="4"/>
        <v>1.379E-3</v>
      </c>
      <c r="V305" s="5"/>
      <c r="W305" s="5"/>
    </row>
    <row r="306" spans="1:23" x14ac:dyDescent="0.25">
      <c r="A306" t="s">
        <v>94</v>
      </c>
      <c r="B306" s="1">
        <v>22.2</v>
      </c>
      <c r="C306" s="4">
        <v>276</v>
      </c>
      <c r="D306" s="1">
        <v>2</v>
      </c>
      <c r="E306" s="3">
        <v>63.6</v>
      </c>
      <c r="F306" s="5">
        <v>2.7563734268389202</v>
      </c>
      <c r="G306" s="1">
        <v>38</v>
      </c>
      <c r="H306" s="1">
        <v>49.1</v>
      </c>
      <c r="I306" s="1">
        <v>152.4</v>
      </c>
      <c r="J306" s="1">
        <v>381</v>
      </c>
      <c r="K306" s="1">
        <v>774</v>
      </c>
      <c r="L306" s="1">
        <v>24399.24</v>
      </c>
      <c r="M306" s="4">
        <v>119.44859227094101</v>
      </c>
      <c r="N306" s="10">
        <v>3.17222995470351E-2</v>
      </c>
      <c r="O306" s="5">
        <v>43.938299999999998</v>
      </c>
      <c r="P306" s="4">
        <v>194.354596032503</v>
      </c>
      <c r="Q306" s="5">
        <v>0.2</v>
      </c>
      <c r="R306" s="11">
        <f t="shared" si="4"/>
        <v>9.7177298016251493E-4</v>
      </c>
      <c r="V306" s="5"/>
      <c r="W306" s="5"/>
    </row>
    <row r="307" spans="1:23" x14ac:dyDescent="0.25">
      <c r="B307" s="1">
        <v>22.2</v>
      </c>
      <c r="C307" s="4">
        <v>276</v>
      </c>
      <c r="D307" s="1">
        <v>2</v>
      </c>
      <c r="E307" s="3">
        <v>63.6</v>
      </c>
      <c r="F307" s="5">
        <v>2.7563734268389202</v>
      </c>
      <c r="G307" s="1">
        <v>38</v>
      </c>
      <c r="H307" s="1">
        <v>49.1</v>
      </c>
      <c r="I307" s="1">
        <v>152.4</v>
      </c>
      <c r="J307" s="1">
        <v>381</v>
      </c>
      <c r="K307" s="1">
        <v>774</v>
      </c>
      <c r="L307" s="1">
        <v>24399.24</v>
      </c>
      <c r="M307" s="4">
        <v>119.44859227094101</v>
      </c>
      <c r="N307" s="10">
        <v>3.17222995470351E-2</v>
      </c>
      <c r="O307" s="5">
        <v>51.106999999999999</v>
      </c>
      <c r="P307" s="4">
        <v>226.064284222037</v>
      </c>
      <c r="Q307" s="5">
        <v>0.25</v>
      </c>
      <c r="R307" s="11">
        <f t="shared" si="4"/>
        <v>1.130321421110185E-3</v>
      </c>
      <c r="V307" s="5"/>
      <c r="W307" s="5"/>
    </row>
    <row r="308" spans="1:23" x14ac:dyDescent="0.25">
      <c r="B308" s="1">
        <v>22.2</v>
      </c>
      <c r="C308" s="4">
        <v>276</v>
      </c>
      <c r="D308" s="1">
        <v>2</v>
      </c>
      <c r="E308" s="3">
        <v>63.6</v>
      </c>
      <c r="F308" s="5">
        <v>2.7563734268389202</v>
      </c>
      <c r="G308" s="1">
        <v>38</v>
      </c>
      <c r="H308" s="1">
        <v>49.1</v>
      </c>
      <c r="I308" s="1">
        <v>152.4</v>
      </c>
      <c r="J308" s="1">
        <v>381</v>
      </c>
      <c r="K308" s="1">
        <v>774</v>
      </c>
      <c r="L308" s="1">
        <v>24399.24</v>
      </c>
      <c r="M308" s="4">
        <v>119.44859227094101</v>
      </c>
      <c r="N308" s="10">
        <v>3.17222995470351E-2</v>
      </c>
      <c r="O308" s="5">
        <v>58.755899999999997</v>
      </c>
      <c r="P308" s="4">
        <v>259.89806635728098</v>
      </c>
      <c r="Q308" s="5">
        <v>0.3</v>
      </c>
      <c r="R308" s="11">
        <f t="shared" si="4"/>
        <v>1.2994903317864049E-3</v>
      </c>
      <c r="V308" s="5"/>
      <c r="W308" s="5"/>
    </row>
    <row r="309" spans="1:23" x14ac:dyDescent="0.25">
      <c r="B309" s="1">
        <v>22.2</v>
      </c>
      <c r="C309" s="4">
        <v>276</v>
      </c>
      <c r="D309" s="1">
        <v>2</v>
      </c>
      <c r="E309" s="3">
        <v>63.6</v>
      </c>
      <c r="F309" s="5">
        <v>2.7563734268389202</v>
      </c>
      <c r="G309" s="1">
        <v>38</v>
      </c>
      <c r="H309" s="1">
        <v>49.1</v>
      </c>
      <c r="I309" s="1">
        <v>152.4</v>
      </c>
      <c r="J309" s="1">
        <v>381</v>
      </c>
      <c r="K309" s="1">
        <v>774</v>
      </c>
      <c r="L309" s="1">
        <v>24399.24</v>
      </c>
      <c r="M309" s="4">
        <v>119.44859227094101</v>
      </c>
      <c r="N309" s="10">
        <v>3.17222995470351E-2</v>
      </c>
      <c r="O309" s="5">
        <v>66.198999999999998</v>
      </c>
      <c r="P309" s="4">
        <v>275.8</v>
      </c>
      <c r="Q309" s="5">
        <v>0.35</v>
      </c>
      <c r="R309" s="11">
        <f t="shared" si="4"/>
        <v>1.379E-3</v>
      </c>
      <c r="V309" s="5"/>
      <c r="W309" s="5"/>
    </row>
    <row r="310" spans="1:23" x14ac:dyDescent="0.25">
      <c r="A310" t="s">
        <v>95</v>
      </c>
      <c r="B310" s="1">
        <v>28.7</v>
      </c>
      <c r="C310" s="4">
        <v>276</v>
      </c>
      <c r="D310" s="1">
        <v>2</v>
      </c>
      <c r="E310" s="3">
        <v>50.6</v>
      </c>
      <c r="F310" s="5">
        <v>2.7748174021560699</v>
      </c>
      <c r="G310" s="1">
        <v>22.2</v>
      </c>
      <c r="H310" s="1">
        <v>36.6</v>
      </c>
      <c r="I310" s="1">
        <v>152.4</v>
      </c>
      <c r="J310" s="1">
        <v>381</v>
      </c>
      <c r="K310" s="1">
        <v>1290</v>
      </c>
      <c r="L310" s="1">
        <v>19522.439999999999</v>
      </c>
      <c r="M310" s="4">
        <v>148.01498573118499</v>
      </c>
      <c r="N310" s="10">
        <v>6.6077805848039503E-2</v>
      </c>
      <c r="O310" s="5">
        <v>89.111400000000003</v>
      </c>
      <c r="P310" s="4">
        <v>234.11581828988599</v>
      </c>
      <c r="Q310" s="5">
        <v>0.17</v>
      </c>
      <c r="R310" s="11">
        <f t="shared" si="4"/>
        <v>1.17057909144943E-3</v>
      </c>
      <c r="V310" s="5"/>
      <c r="W310" s="5"/>
    </row>
    <row r="311" spans="1:23" x14ac:dyDescent="0.25">
      <c r="B311" s="1">
        <v>28.7</v>
      </c>
      <c r="C311" s="4">
        <v>276</v>
      </c>
      <c r="D311" s="1">
        <v>2</v>
      </c>
      <c r="E311" s="3">
        <v>50.6</v>
      </c>
      <c r="F311" s="5">
        <v>2.7748174021560699</v>
      </c>
      <c r="G311" s="1">
        <v>22.2</v>
      </c>
      <c r="H311" s="1">
        <v>36.6</v>
      </c>
      <c r="I311" s="1">
        <v>152.4</v>
      </c>
      <c r="J311" s="1">
        <v>381</v>
      </c>
      <c r="K311" s="1">
        <v>1290</v>
      </c>
      <c r="L311" s="1">
        <v>19522.439999999999</v>
      </c>
      <c r="M311" s="4">
        <v>148.01498573118499</v>
      </c>
      <c r="N311" s="10">
        <v>6.6077805848039503E-2</v>
      </c>
      <c r="O311" s="5">
        <v>104.61499999999999</v>
      </c>
      <c r="P311" s="4">
        <v>274.84728475140599</v>
      </c>
      <c r="Q311" s="5">
        <v>0.2</v>
      </c>
      <c r="R311" s="11">
        <f t="shared" si="4"/>
        <v>1.3742364237570299E-3</v>
      </c>
      <c r="V311" s="5"/>
      <c r="W311" s="5"/>
    </row>
    <row r="312" spans="1:23" x14ac:dyDescent="0.25">
      <c r="A312" t="s">
        <v>96</v>
      </c>
      <c r="B312" s="1">
        <v>28.7</v>
      </c>
      <c r="C312" s="4">
        <v>276</v>
      </c>
      <c r="D312" s="1">
        <v>2</v>
      </c>
      <c r="E312" s="3">
        <v>50.6</v>
      </c>
      <c r="F312" s="5">
        <v>2.8017146470593901</v>
      </c>
      <c r="G312" s="1">
        <v>38.200000000000003</v>
      </c>
      <c r="H312" s="1">
        <v>52.5</v>
      </c>
      <c r="I312" s="1">
        <v>152.4</v>
      </c>
      <c r="J312" s="1">
        <v>381</v>
      </c>
      <c r="K312" s="1">
        <v>1290</v>
      </c>
      <c r="L312" s="1">
        <v>28003.5</v>
      </c>
      <c r="M312" s="4">
        <v>143.36625380284801</v>
      </c>
      <c r="N312" s="10">
        <v>4.6065670362633197E-2</v>
      </c>
      <c r="O312" s="5">
        <v>64.998500000000007</v>
      </c>
      <c r="P312" s="4">
        <v>179.49560032260399</v>
      </c>
      <c r="Q312" s="5">
        <v>0.17</v>
      </c>
      <c r="R312" s="11">
        <f t="shared" si="4"/>
        <v>8.9747800161302E-4</v>
      </c>
      <c r="V312" s="5"/>
      <c r="W312" s="5"/>
    </row>
    <row r="313" spans="1:23" x14ac:dyDescent="0.25">
      <c r="B313" s="1">
        <v>28.7</v>
      </c>
      <c r="C313" s="4">
        <v>276</v>
      </c>
      <c r="D313" s="1">
        <v>2</v>
      </c>
      <c r="E313" s="3">
        <v>50.6</v>
      </c>
      <c r="F313" s="5">
        <v>2.8017146470593901</v>
      </c>
      <c r="G313" s="1">
        <v>38.200000000000003</v>
      </c>
      <c r="H313" s="1">
        <v>52.5</v>
      </c>
      <c r="I313" s="1">
        <v>152.4</v>
      </c>
      <c r="J313" s="1">
        <v>381</v>
      </c>
      <c r="K313" s="1">
        <v>1290</v>
      </c>
      <c r="L313" s="1">
        <v>28003.5</v>
      </c>
      <c r="M313" s="4">
        <v>143.36625380284801</v>
      </c>
      <c r="N313" s="10">
        <v>4.6065670362633197E-2</v>
      </c>
      <c r="O313" s="5">
        <v>77.037800000000004</v>
      </c>
      <c r="P313" s="4">
        <v>212.74254265148801</v>
      </c>
      <c r="Q313" s="5">
        <v>0.2</v>
      </c>
      <c r="R313" s="11">
        <f t="shared" si="4"/>
        <v>1.06371271325744E-3</v>
      </c>
      <c r="V313" s="5"/>
      <c r="W313" s="5"/>
    </row>
    <row r="314" spans="1:23" x14ac:dyDescent="0.25">
      <c r="B314" s="1">
        <v>28.7</v>
      </c>
      <c r="C314" s="4">
        <v>276</v>
      </c>
      <c r="D314" s="1">
        <v>2</v>
      </c>
      <c r="E314" s="3">
        <v>50.6</v>
      </c>
      <c r="F314" s="5">
        <v>2.8017146470593901</v>
      </c>
      <c r="G314" s="1">
        <v>38.200000000000003</v>
      </c>
      <c r="H314" s="1">
        <v>52.5</v>
      </c>
      <c r="I314" s="1">
        <v>152.4</v>
      </c>
      <c r="J314" s="1">
        <v>381</v>
      </c>
      <c r="K314" s="1">
        <v>1290</v>
      </c>
      <c r="L314" s="1">
        <v>28003.5</v>
      </c>
      <c r="M314" s="4">
        <v>143.36625380284801</v>
      </c>
      <c r="N314" s="10">
        <v>4.6065670362633197E-2</v>
      </c>
      <c r="O314" s="5">
        <v>88.802700000000002</v>
      </c>
      <c r="P314" s="4">
        <v>245.23171991304599</v>
      </c>
      <c r="Q314" s="5">
        <v>0.25</v>
      </c>
      <c r="R314" s="11">
        <f t="shared" si="4"/>
        <v>1.2261585995652299E-3</v>
      </c>
      <c r="V314" s="5"/>
      <c r="W314" s="5"/>
    </row>
    <row r="315" spans="1:23" x14ac:dyDescent="0.25">
      <c r="B315" s="1">
        <v>28.7</v>
      </c>
      <c r="C315" s="4">
        <v>276</v>
      </c>
      <c r="D315" s="1">
        <v>2</v>
      </c>
      <c r="E315" s="3">
        <v>50.6</v>
      </c>
      <c r="F315" s="5">
        <v>2.8017146470593901</v>
      </c>
      <c r="G315" s="1">
        <v>38.200000000000003</v>
      </c>
      <c r="H315" s="1">
        <v>52.5</v>
      </c>
      <c r="I315" s="1">
        <v>152.4</v>
      </c>
      <c r="J315" s="1">
        <v>381</v>
      </c>
      <c r="K315" s="1">
        <v>1290</v>
      </c>
      <c r="L315" s="1">
        <v>28003.5</v>
      </c>
      <c r="M315" s="4">
        <v>143.36625380284801</v>
      </c>
      <c r="N315" s="10">
        <v>4.6065670362633197E-2</v>
      </c>
      <c r="O315" s="5">
        <v>104.61499999999999</v>
      </c>
      <c r="P315" s="4">
        <v>275.8</v>
      </c>
      <c r="Q315" s="5">
        <v>0.28999999999999998</v>
      </c>
      <c r="R315" s="11">
        <f t="shared" si="4"/>
        <v>1.379E-3</v>
      </c>
      <c r="V315" s="5"/>
      <c r="W315" s="5"/>
    </row>
    <row r="316" spans="1:23" x14ac:dyDescent="0.25">
      <c r="A316" t="s">
        <v>97</v>
      </c>
      <c r="B316" s="1">
        <v>28.7</v>
      </c>
      <c r="C316" s="4">
        <v>276</v>
      </c>
      <c r="D316" s="1">
        <v>2</v>
      </c>
      <c r="E316" s="3">
        <v>50.6</v>
      </c>
      <c r="F316" s="5">
        <v>2.7153116457984501</v>
      </c>
      <c r="G316" s="1">
        <v>38.200000000000003</v>
      </c>
      <c r="H316" s="1">
        <v>52.5</v>
      </c>
      <c r="I316" s="1">
        <v>152.4</v>
      </c>
      <c r="J316" s="1">
        <v>381</v>
      </c>
      <c r="K316" s="1">
        <v>1290</v>
      </c>
      <c r="L316" s="1">
        <v>28003.5</v>
      </c>
      <c r="M316" s="4">
        <v>144.17675602863099</v>
      </c>
      <c r="N316" s="10">
        <v>4.6065670362633197E-2</v>
      </c>
      <c r="O316" s="5">
        <v>77.037800000000004</v>
      </c>
      <c r="P316" s="4">
        <v>212.947491588265</v>
      </c>
      <c r="Q316" s="5">
        <v>0.17</v>
      </c>
      <c r="R316" s="11">
        <f t="shared" si="4"/>
        <v>1.0647374579413249E-3</v>
      </c>
      <c r="V316" s="5"/>
      <c r="W316" s="5"/>
    </row>
    <row r="317" spans="1:23" x14ac:dyDescent="0.25">
      <c r="A317" t="s">
        <v>98</v>
      </c>
      <c r="B317" s="1">
        <v>28.7</v>
      </c>
      <c r="C317" s="4">
        <v>276</v>
      </c>
      <c r="D317" s="1">
        <v>2</v>
      </c>
      <c r="E317" s="3">
        <v>50.6</v>
      </c>
      <c r="F317" s="5">
        <v>2.8017146470593901</v>
      </c>
      <c r="G317" s="1">
        <v>38.200000000000003</v>
      </c>
      <c r="H317" s="1">
        <v>52.5</v>
      </c>
      <c r="I317" s="1">
        <v>152.4</v>
      </c>
      <c r="J317" s="1">
        <v>381</v>
      </c>
      <c r="K317" s="1">
        <v>1290</v>
      </c>
      <c r="L317" s="1">
        <v>28003.5</v>
      </c>
      <c r="M317" s="4">
        <v>143.36625380284801</v>
      </c>
      <c r="N317" s="10">
        <v>4.6065670362633197E-2</v>
      </c>
      <c r="O317" s="5">
        <v>64.998500000000007</v>
      </c>
      <c r="P317" s="4">
        <v>179.49560032260399</v>
      </c>
      <c r="Q317" s="5">
        <v>0.15</v>
      </c>
      <c r="R317" s="11">
        <f t="shared" si="4"/>
        <v>8.9747800161302E-4</v>
      </c>
      <c r="V317" s="5"/>
      <c r="W317" s="5"/>
    </row>
    <row r="318" spans="1:23" x14ac:dyDescent="0.25">
      <c r="B318" s="1">
        <v>28.7</v>
      </c>
      <c r="C318" s="4">
        <v>276</v>
      </c>
      <c r="D318" s="1">
        <v>2</v>
      </c>
      <c r="E318" s="3">
        <v>50.6</v>
      </c>
      <c r="F318" s="5">
        <v>2.8017146470593901</v>
      </c>
      <c r="G318" s="1">
        <v>38.200000000000003</v>
      </c>
      <c r="H318" s="1">
        <v>52.5</v>
      </c>
      <c r="I318" s="1">
        <v>152.4</v>
      </c>
      <c r="J318" s="1">
        <v>381</v>
      </c>
      <c r="K318" s="1">
        <v>1290</v>
      </c>
      <c r="L318" s="1">
        <v>28003.5</v>
      </c>
      <c r="M318" s="4">
        <v>143.36625380284801</v>
      </c>
      <c r="N318" s="10">
        <v>4.6065670362633197E-2</v>
      </c>
      <c r="O318" s="5">
        <v>77.037800000000004</v>
      </c>
      <c r="P318" s="4">
        <v>212.74254265148801</v>
      </c>
      <c r="Q318" s="5">
        <v>0.16</v>
      </c>
      <c r="R318" s="11">
        <f t="shared" si="4"/>
        <v>1.06371271325744E-3</v>
      </c>
      <c r="V318" s="5"/>
      <c r="W318" s="5"/>
    </row>
    <row r="319" spans="1:23" x14ac:dyDescent="0.25">
      <c r="B319" s="1">
        <v>28.7</v>
      </c>
      <c r="C319" s="4">
        <v>276</v>
      </c>
      <c r="D319" s="1">
        <v>2</v>
      </c>
      <c r="E319" s="3">
        <v>50.6</v>
      </c>
      <c r="F319" s="5">
        <v>2.8017146470593901</v>
      </c>
      <c r="G319" s="1">
        <v>38.200000000000003</v>
      </c>
      <c r="H319" s="1">
        <v>52.5</v>
      </c>
      <c r="I319" s="1">
        <v>152.4</v>
      </c>
      <c r="J319" s="1">
        <v>381</v>
      </c>
      <c r="K319" s="1">
        <v>1290</v>
      </c>
      <c r="L319" s="1">
        <v>28003.5</v>
      </c>
      <c r="M319" s="4">
        <v>143.36625380284801</v>
      </c>
      <c r="N319" s="10">
        <v>4.6065670362633197E-2</v>
      </c>
      <c r="O319" s="5">
        <v>88.802700000000002</v>
      </c>
      <c r="P319" s="4">
        <v>245.23171991304599</v>
      </c>
      <c r="Q319" s="5">
        <v>0.22</v>
      </c>
      <c r="R319" s="11">
        <f t="shared" si="4"/>
        <v>1.2261585995652299E-3</v>
      </c>
      <c r="V319" s="5"/>
      <c r="W319" s="5"/>
    </row>
    <row r="320" spans="1:23" x14ac:dyDescent="0.25">
      <c r="B320" s="1">
        <v>28.7</v>
      </c>
      <c r="C320" s="4">
        <v>276</v>
      </c>
      <c r="D320" s="1">
        <v>2</v>
      </c>
      <c r="E320" s="3">
        <v>50.6</v>
      </c>
      <c r="F320" s="5">
        <v>2.8017146470593901</v>
      </c>
      <c r="G320" s="1">
        <v>38.200000000000003</v>
      </c>
      <c r="H320" s="1">
        <v>52.5</v>
      </c>
      <c r="I320" s="1">
        <v>152.4</v>
      </c>
      <c r="J320" s="1">
        <v>381</v>
      </c>
      <c r="K320" s="1">
        <v>1290</v>
      </c>
      <c r="L320" s="1">
        <v>28003.5</v>
      </c>
      <c r="M320" s="4">
        <v>143.36625380284801</v>
      </c>
      <c r="N320" s="10">
        <v>4.6065670362633197E-2</v>
      </c>
      <c r="O320" s="5">
        <v>104.61499999999999</v>
      </c>
      <c r="P320" s="4">
        <v>275.8</v>
      </c>
      <c r="Q320" s="5">
        <v>0.26</v>
      </c>
      <c r="R320" s="11">
        <f t="shared" si="4"/>
        <v>1.379E-3</v>
      </c>
      <c r="V320" s="5"/>
      <c r="W320" s="5"/>
    </row>
    <row r="321" spans="1:23" x14ac:dyDescent="0.25">
      <c r="A321" t="s">
        <v>99</v>
      </c>
      <c r="B321" s="1">
        <v>28.7</v>
      </c>
      <c r="C321" s="4">
        <v>276</v>
      </c>
      <c r="D321" s="1">
        <v>2</v>
      </c>
      <c r="E321" s="3">
        <v>50.6</v>
      </c>
      <c r="F321" s="5">
        <v>2.5244480681033798</v>
      </c>
      <c r="G321" s="1">
        <v>38.200000000000003</v>
      </c>
      <c r="H321" s="1">
        <v>52.5</v>
      </c>
      <c r="I321" s="1">
        <v>152.4</v>
      </c>
      <c r="J321" s="1">
        <v>381</v>
      </c>
      <c r="K321" s="1">
        <v>1290</v>
      </c>
      <c r="L321" s="1">
        <v>28003.5</v>
      </c>
      <c r="M321" s="4">
        <v>146.0713467674</v>
      </c>
      <c r="N321" s="10">
        <v>4.6065670362633197E-2</v>
      </c>
      <c r="O321" s="5">
        <v>77.037800000000004</v>
      </c>
      <c r="P321" s="4">
        <v>213.42811414487301</v>
      </c>
      <c r="Q321" s="5">
        <v>0.17</v>
      </c>
      <c r="R321" s="11">
        <f t="shared" si="4"/>
        <v>1.067140570724365E-3</v>
      </c>
      <c r="V321" s="5"/>
      <c r="W321" s="5"/>
    </row>
    <row r="322" spans="1:23" x14ac:dyDescent="0.25">
      <c r="B322" s="1">
        <v>28.7</v>
      </c>
      <c r="C322" s="4">
        <v>276</v>
      </c>
      <c r="D322" s="1">
        <v>2</v>
      </c>
      <c r="E322" s="3">
        <v>50.6</v>
      </c>
      <c r="F322" s="5">
        <v>2.5244480681033798</v>
      </c>
      <c r="G322" s="1">
        <v>38.200000000000003</v>
      </c>
      <c r="H322" s="1">
        <v>52.5</v>
      </c>
      <c r="I322" s="1">
        <v>152.4</v>
      </c>
      <c r="J322" s="1">
        <v>381</v>
      </c>
      <c r="K322" s="1">
        <v>1290</v>
      </c>
      <c r="L322" s="1">
        <v>28003.5</v>
      </c>
      <c r="M322" s="4">
        <v>146.0713467674</v>
      </c>
      <c r="N322" s="10">
        <v>4.6065670362633197E-2</v>
      </c>
      <c r="O322" s="5">
        <v>88.802700000000002</v>
      </c>
      <c r="P322" s="4">
        <v>246.021989101103</v>
      </c>
      <c r="Q322" s="5">
        <v>0.2</v>
      </c>
      <c r="R322" s="11">
        <f t="shared" si="4"/>
        <v>1.2301099455055151E-3</v>
      </c>
      <c r="V322" s="5"/>
      <c r="W322" s="5"/>
    </row>
    <row r="323" spans="1:23" x14ac:dyDescent="0.25">
      <c r="B323" s="1">
        <v>28.7</v>
      </c>
      <c r="C323" s="4">
        <v>276</v>
      </c>
      <c r="D323" s="1">
        <v>2</v>
      </c>
      <c r="E323" s="3">
        <v>50.6</v>
      </c>
      <c r="F323" s="5">
        <v>2.5244480681033798</v>
      </c>
      <c r="G323" s="1">
        <v>38.200000000000003</v>
      </c>
      <c r="H323" s="1">
        <v>52.5</v>
      </c>
      <c r="I323" s="1">
        <v>152.4</v>
      </c>
      <c r="J323" s="1">
        <v>381</v>
      </c>
      <c r="K323" s="1">
        <v>1290</v>
      </c>
      <c r="L323" s="1">
        <v>28003.5</v>
      </c>
      <c r="M323" s="4">
        <v>146.0713467674</v>
      </c>
      <c r="N323" s="10">
        <v>4.6065670362633197E-2</v>
      </c>
      <c r="O323" s="5">
        <v>104.61499999999999</v>
      </c>
      <c r="P323" s="4">
        <v>275.8</v>
      </c>
      <c r="Q323" s="5">
        <v>0.24</v>
      </c>
      <c r="R323" s="11">
        <f t="shared" ref="R323:R343" si="5">P323/200000</f>
        <v>1.379E-3</v>
      </c>
      <c r="V323" s="5"/>
      <c r="W323" s="5"/>
    </row>
    <row r="324" spans="1:23" x14ac:dyDescent="0.25">
      <c r="A324" t="s">
        <v>100</v>
      </c>
      <c r="B324" s="1">
        <v>32.299999999999997</v>
      </c>
      <c r="C324" s="4">
        <v>276</v>
      </c>
      <c r="D324" s="1">
        <v>1</v>
      </c>
      <c r="E324" s="3">
        <v>60</v>
      </c>
      <c r="F324" s="5">
        <v>2.5382184533279299</v>
      </c>
      <c r="G324" s="1">
        <v>38.299999999999997</v>
      </c>
      <c r="H324" s="1">
        <v>54.4</v>
      </c>
      <c r="I324" s="1">
        <v>152.4</v>
      </c>
      <c r="J324" s="1">
        <v>381</v>
      </c>
      <c r="K324" s="1">
        <v>819</v>
      </c>
      <c r="L324" s="1">
        <v>29016.959999999999</v>
      </c>
      <c r="M324" s="4">
        <v>122.838831239211</v>
      </c>
      <c r="N324" s="10">
        <v>2.82248726262158E-2</v>
      </c>
      <c r="O324" s="5">
        <v>39.959499999999998</v>
      </c>
      <c r="P324" s="4">
        <v>170.80329915468201</v>
      </c>
      <c r="Q324" s="5">
        <v>0.17</v>
      </c>
      <c r="R324" s="11">
        <f t="shared" si="5"/>
        <v>8.5401649577341004E-4</v>
      </c>
      <c r="V324" s="5"/>
      <c r="W324" s="5"/>
    </row>
    <row r="325" spans="1:23" x14ac:dyDescent="0.25">
      <c r="B325" s="1">
        <v>32.299999999999997</v>
      </c>
      <c r="C325" s="4">
        <v>276</v>
      </c>
      <c r="D325" s="1">
        <v>1</v>
      </c>
      <c r="E325" s="3">
        <v>60</v>
      </c>
      <c r="F325" s="5">
        <v>2.5382184533279299</v>
      </c>
      <c r="G325" s="1">
        <v>38.299999999999997</v>
      </c>
      <c r="H325" s="1">
        <v>54.4</v>
      </c>
      <c r="I325" s="1">
        <v>152.4</v>
      </c>
      <c r="J325" s="1">
        <v>381</v>
      </c>
      <c r="K325" s="1">
        <v>819</v>
      </c>
      <c r="L325" s="1">
        <v>29016.959999999999</v>
      </c>
      <c r="M325" s="4">
        <v>122.838831239211</v>
      </c>
      <c r="N325" s="10">
        <v>2.82248726262158E-2</v>
      </c>
      <c r="O325" s="5">
        <v>49.186199999999999</v>
      </c>
      <c r="P325" s="4">
        <v>210.242000847909</v>
      </c>
      <c r="Q325" s="5">
        <v>0.23</v>
      </c>
      <c r="R325" s="11">
        <f t="shared" si="5"/>
        <v>1.051210004239545E-3</v>
      </c>
      <c r="V325" s="5"/>
      <c r="W325" s="5"/>
    </row>
    <row r="326" spans="1:23" x14ac:dyDescent="0.25">
      <c r="B326" s="1">
        <v>32.299999999999997</v>
      </c>
      <c r="C326" s="4">
        <v>276</v>
      </c>
      <c r="D326" s="1">
        <v>1</v>
      </c>
      <c r="E326" s="3">
        <v>60</v>
      </c>
      <c r="F326" s="5">
        <v>2.5382184533279299</v>
      </c>
      <c r="G326" s="1">
        <v>38.299999999999997</v>
      </c>
      <c r="H326" s="1">
        <v>54.4</v>
      </c>
      <c r="I326" s="1">
        <v>152.4</v>
      </c>
      <c r="J326" s="1">
        <v>381</v>
      </c>
      <c r="K326" s="1">
        <v>819</v>
      </c>
      <c r="L326" s="1">
        <v>29016.959999999999</v>
      </c>
      <c r="M326" s="4">
        <v>122.838831239211</v>
      </c>
      <c r="N326" s="10">
        <v>2.82248726262158E-2</v>
      </c>
      <c r="O326" s="5">
        <v>57.349600000000002</v>
      </c>
      <c r="P326" s="4">
        <v>245.13572204860799</v>
      </c>
      <c r="Q326" s="5">
        <v>0.27</v>
      </c>
      <c r="R326" s="11">
        <f t="shared" si="5"/>
        <v>1.2256786102430399E-3</v>
      </c>
      <c r="V326" s="5"/>
      <c r="W326" s="5"/>
    </row>
    <row r="327" spans="1:23" x14ac:dyDescent="0.25">
      <c r="B327" s="1">
        <v>32.299999999999997</v>
      </c>
      <c r="C327" s="4">
        <v>276</v>
      </c>
      <c r="D327" s="1">
        <v>1</v>
      </c>
      <c r="E327" s="3">
        <v>60</v>
      </c>
      <c r="F327" s="5">
        <v>2.5382184533279299</v>
      </c>
      <c r="G327" s="1">
        <v>38.299999999999997</v>
      </c>
      <c r="H327" s="1">
        <v>54.4</v>
      </c>
      <c r="I327" s="1">
        <v>152.4</v>
      </c>
      <c r="J327" s="1">
        <v>381</v>
      </c>
      <c r="K327" s="1">
        <v>819</v>
      </c>
      <c r="L327" s="1">
        <v>29016.959999999999</v>
      </c>
      <c r="M327" s="4">
        <v>122.838831239211</v>
      </c>
      <c r="N327" s="10">
        <v>2.82248726262158E-2</v>
      </c>
      <c r="O327" s="5">
        <v>63.180599999999998</v>
      </c>
      <c r="P327" s="4">
        <v>270.05980862053599</v>
      </c>
      <c r="Q327" s="5">
        <v>0.31</v>
      </c>
      <c r="R327" s="11">
        <f t="shared" si="5"/>
        <v>1.35029904310268E-3</v>
      </c>
      <c r="V327" s="5"/>
      <c r="W327" s="5"/>
    </row>
    <row r="328" spans="1:23" x14ac:dyDescent="0.25">
      <c r="B328" s="1">
        <v>32.299999999999997</v>
      </c>
      <c r="C328" s="4">
        <v>276</v>
      </c>
      <c r="D328" s="1">
        <v>1</v>
      </c>
      <c r="E328" s="3">
        <v>60</v>
      </c>
      <c r="F328" s="5">
        <v>2.5382184533279299</v>
      </c>
      <c r="G328" s="1">
        <v>38.299999999999997</v>
      </c>
      <c r="H328" s="1">
        <v>54.4</v>
      </c>
      <c r="I328" s="1">
        <v>152.4</v>
      </c>
      <c r="J328" s="1">
        <v>381</v>
      </c>
      <c r="K328" s="1">
        <v>819</v>
      </c>
      <c r="L328" s="1">
        <v>29016.959999999999</v>
      </c>
      <c r="M328" s="4">
        <v>122.838831239211</v>
      </c>
      <c r="N328" s="10">
        <v>2.82248726262158E-2</v>
      </c>
      <c r="O328" s="5">
        <v>67.125100000000003</v>
      </c>
      <c r="P328" s="4">
        <v>275.8</v>
      </c>
      <c r="Q328" s="5">
        <v>0.35</v>
      </c>
      <c r="R328" s="11">
        <f t="shared" si="5"/>
        <v>1.379E-3</v>
      </c>
      <c r="V328" s="5"/>
      <c r="W328" s="5"/>
    </row>
    <row r="329" spans="1:23" x14ac:dyDescent="0.25">
      <c r="A329" t="s">
        <v>101</v>
      </c>
      <c r="B329" s="1">
        <v>32.299999999999997</v>
      </c>
      <c r="C329" s="4">
        <v>276</v>
      </c>
      <c r="D329" s="1">
        <v>1</v>
      </c>
      <c r="E329" s="3">
        <v>60</v>
      </c>
      <c r="F329" s="5">
        <v>2.8108695189494299</v>
      </c>
      <c r="G329" s="1">
        <v>38.299999999999997</v>
      </c>
      <c r="H329" s="1">
        <v>54.4</v>
      </c>
      <c r="I329" s="1">
        <v>152.4</v>
      </c>
      <c r="J329" s="1">
        <v>381</v>
      </c>
      <c r="K329" s="1">
        <v>819</v>
      </c>
      <c r="L329" s="1">
        <v>29016.959999999999</v>
      </c>
      <c r="M329" s="4">
        <v>120.446116576203</v>
      </c>
      <c r="N329" s="10">
        <v>2.82248726262158E-2</v>
      </c>
      <c r="O329" s="5">
        <v>39.959499999999998</v>
      </c>
      <c r="P329" s="4">
        <v>170.327728419202</v>
      </c>
      <c r="Q329" s="5">
        <v>0.19</v>
      </c>
      <c r="R329" s="11">
        <f t="shared" si="5"/>
        <v>8.5163864209600998E-4</v>
      </c>
      <c r="V329" s="5"/>
      <c r="W329" s="5"/>
    </row>
    <row r="330" spans="1:23" x14ac:dyDescent="0.25">
      <c r="B330" s="1">
        <v>32.299999999999997</v>
      </c>
      <c r="C330" s="4">
        <v>276</v>
      </c>
      <c r="D330" s="1">
        <v>1</v>
      </c>
      <c r="E330" s="3">
        <v>60</v>
      </c>
      <c r="F330" s="5">
        <v>2.8108695189494299</v>
      </c>
      <c r="G330" s="1">
        <v>38.299999999999997</v>
      </c>
      <c r="H330" s="1">
        <v>54.4</v>
      </c>
      <c r="I330" s="1">
        <v>152.4</v>
      </c>
      <c r="J330" s="1">
        <v>381</v>
      </c>
      <c r="K330" s="1">
        <v>819</v>
      </c>
      <c r="L330" s="1">
        <v>29016.959999999999</v>
      </c>
      <c r="M330" s="4">
        <v>120.446116576203</v>
      </c>
      <c r="N330" s="10">
        <v>2.82248726262158E-2</v>
      </c>
      <c r="O330" s="5">
        <v>49.186199999999999</v>
      </c>
      <c r="P330" s="4">
        <v>209.656620217284</v>
      </c>
      <c r="Q330" s="5">
        <v>0.24</v>
      </c>
      <c r="R330" s="11">
        <f t="shared" si="5"/>
        <v>1.0482831010864199E-3</v>
      </c>
      <c r="V330" s="5"/>
      <c r="W330" s="5"/>
    </row>
    <row r="331" spans="1:23" x14ac:dyDescent="0.25">
      <c r="B331" s="1">
        <v>32.299999999999997</v>
      </c>
      <c r="C331" s="4">
        <v>276</v>
      </c>
      <c r="D331" s="1">
        <v>1</v>
      </c>
      <c r="E331" s="3">
        <v>60</v>
      </c>
      <c r="F331" s="5">
        <v>2.8108695189494299</v>
      </c>
      <c r="G331" s="1">
        <v>38.299999999999997</v>
      </c>
      <c r="H331" s="1">
        <v>54.4</v>
      </c>
      <c r="I331" s="1">
        <v>152.4</v>
      </c>
      <c r="J331" s="1">
        <v>381</v>
      </c>
      <c r="K331" s="1">
        <v>819</v>
      </c>
      <c r="L331" s="1">
        <v>29016.959999999999</v>
      </c>
      <c r="M331" s="4">
        <v>120.446116576203</v>
      </c>
      <c r="N331" s="10">
        <v>2.82248726262158E-2</v>
      </c>
      <c r="O331" s="5">
        <v>57.349600000000002</v>
      </c>
      <c r="P331" s="4">
        <v>244.45318619476899</v>
      </c>
      <c r="Q331" s="5">
        <v>0.28999999999999998</v>
      </c>
      <c r="R331" s="11">
        <f t="shared" si="5"/>
        <v>1.222265930973845E-3</v>
      </c>
      <c r="V331" s="5"/>
      <c r="W331" s="5"/>
    </row>
    <row r="332" spans="1:23" x14ac:dyDescent="0.25">
      <c r="B332" s="1">
        <v>32.299999999999997</v>
      </c>
      <c r="C332" s="4">
        <v>276</v>
      </c>
      <c r="D332" s="1">
        <v>1</v>
      </c>
      <c r="E332" s="3">
        <v>60</v>
      </c>
      <c r="F332" s="5">
        <v>2.8108695189494299</v>
      </c>
      <c r="G332" s="1">
        <v>38.299999999999997</v>
      </c>
      <c r="H332" s="1">
        <v>54.4</v>
      </c>
      <c r="I332" s="1">
        <v>152.4</v>
      </c>
      <c r="J332" s="1">
        <v>381</v>
      </c>
      <c r="K332" s="1">
        <v>819</v>
      </c>
      <c r="L332" s="1">
        <v>29016.959999999999</v>
      </c>
      <c r="M332" s="4">
        <v>120.446116576203</v>
      </c>
      <c r="N332" s="10">
        <v>2.82248726262158E-2</v>
      </c>
      <c r="O332" s="5">
        <v>63.180599999999998</v>
      </c>
      <c r="P332" s="4">
        <v>269.307876178686</v>
      </c>
      <c r="Q332" s="5">
        <v>0.36</v>
      </c>
      <c r="R332" s="11">
        <f t="shared" si="5"/>
        <v>1.34653938089343E-3</v>
      </c>
      <c r="V332" s="5"/>
      <c r="W332" s="5"/>
    </row>
    <row r="333" spans="1:23" x14ac:dyDescent="0.25">
      <c r="B333" s="1">
        <v>32.299999999999997</v>
      </c>
      <c r="C333" s="4">
        <v>276</v>
      </c>
      <c r="D333" s="1">
        <v>1</v>
      </c>
      <c r="E333" s="3">
        <v>60</v>
      </c>
      <c r="F333" s="5">
        <v>2.8108695189494299</v>
      </c>
      <c r="G333" s="1">
        <v>38.299999999999997</v>
      </c>
      <c r="H333" s="1">
        <v>54.4</v>
      </c>
      <c r="I333" s="1">
        <v>152.4</v>
      </c>
      <c r="J333" s="1">
        <v>381</v>
      </c>
      <c r="K333" s="1">
        <v>819</v>
      </c>
      <c r="L333" s="1">
        <v>29016.959999999999</v>
      </c>
      <c r="M333" s="4">
        <v>120.446116576203</v>
      </c>
      <c r="N333" s="10">
        <v>2.82248726262158E-2</v>
      </c>
      <c r="O333" s="5">
        <v>67.125100000000003</v>
      </c>
      <c r="P333" s="4">
        <v>275.8</v>
      </c>
      <c r="Q333" s="5">
        <v>0.42</v>
      </c>
      <c r="R333" s="11">
        <f t="shared" si="5"/>
        <v>1.379E-3</v>
      </c>
      <c r="V333" s="5"/>
      <c r="W333" s="5"/>
    </row>
    <row r="334" spans="1:23" x14ac:dyDescent="0.25">
      <c r="A334" t="s">
        <v>102</v>
      </c>
      <c r="B334" s="1">
        <v>28.7</v>
      </c>
      <c r="C334" s="4">
        <v>276</v>
      </c>
      <c r="D334" s="1">
        <v>2</v>
      </c>
      <c r="E334" s="3">
        <v>50.6</v>
      </c>
      <c r="F334" s="5">
        <v>2.5765786179080399</v>
      </c>
      <c r="G334" s="1">
        <v>38</v>
      </c>
      <c r="H334" s="1">
        <v>52.3</v>
      </c>
      <c r="I334" s="1">
        <v>152.4</v>
      </c>
      <c r="J334" s="1">
        <v>584.20000000000005</v>
      </c>
      <c r="K334" s="1">
        <v>1290</v>
      </c>
      <c r="L334" s="1">
        <v>27896.82</v>
      </c>
      <c r="M334" s="4">
        <v>196.92661613933601</v>
      </c>
      <c r="N334" s="10">
        <v>4.6241829713924397E-2</v>
      </c>
      <c r="O334" s="5">
        <v>110.208</v>
      </c>
      <c r="P334" s="4">
        <v>183.23030547751301</v>
      </c>
      <c r="Q334" s="5">
        <v>0.18</v>
      </c>
      <c r="R334" s="11">
        <f t="shared" si="5"/>
        <v>9.1615152738756507E-4</v>
      </c>
      <c r="V334" s="5"/>
      <c r="W334" s="5"/>
    </row>
    <row r="335" spans="1:23" x14ac:dyDescent="0.25">
      <c r="B335" s="1">
        <v>28.7</v>
      </c>
      <c r="C335" s="4">
        <v>276</v>
      </c>
      <c r="D335" s="1">
        <v>2</v>
      </c>
      <c r="E335" s="3">
        <v>50.6</v>
      </c>
      <c r="F335" s="5">
        <v>2.5765786179080399</v>
      </c>
      <c r="G335" s="1">
        <v>38</v>
      </c>
      <c r="H335" s="1">
        <v>52.3</v>
      </c>
      <c r="I335" s="1">
        <v>152.4</v>
      </c>
      <c r="J335" s="1">
        <v>584.20000000000005</v>
      </c>
      <c r="K335" s="1">
        <v>1290</v>
      </c>
      <c r="L335" s="1">
        <v>27896.82</v>
      </c>
      <c r="M335" s="4">
        <v>196.92661613933601</v>
      </c>
      <c r="N335" s="10">
        <v>4.6241829713924397E-2</v>
      </c>
      <c r="O335" s="5">
        <v>132.25800000000001</v>
      </c>
      <c r="P335" s="4">
        <v>219.890332297519</v>
      </c>
      <c r="Q335" s="5">
        <v>0.22</v>
      </c>
      <c r="R335" s="11">
        <f t="shared" si="5"/>
        <v>1.0994516614875949E-3</v>
      </c>
      <c r="V335" s="5"/>
      <c r="W335" s="5"/>
    </row>
    <row r="336" spans="1:23" x14ac:dyDescent="0.25">
      <c r="B336" s="1">
        <v>28.7</v>
      </c>
      <c r="C336" s="4">
        <v>276</v>
      </c>
      <c r="D336" s="1">
        <v>2</v>
      </c>
      <c r="E336" s="3">
        <v>50.6</v>
      </c>
      <c r="F336" s="5">
        <v>2.5765786179080399</v>
      </c>
      <c r="G336" s="1">
        <v>38</v>
      </c>
      <c r="H336" s="1">
        <v>52.3</v>
      </c>
      <c r="I336" s="1">
        <v>152.4</v>
      </c>
      <c r="J336" s="1">
        <v>584.20000000000005</v>
      </c>
      <c r="K336" s="1">
        <v>1290</v>
      </c>
      <c r="L336" s="1">
        <v>27896.82</v>
      </c>
      <c r="M336" s="4">
        <v>196.92661613933601</v>
      </c>
      <c r="N336" s="10">
        <v>4.6241829713924397E-2</v>
      </c>
      <c r="O336" s="5">
        <v>149.268</v>
      </c>
      <c r="P336" s="4">
        <v>248.170924415809</v>
      </c>
      <c r="Q336" s="5">
        <v>0.27</v>
      </c>
      <c r="R336" s="11">
        <f t="shared" si="5"/>
        <v>1.240854622079045E-3</v>
      </c>
      <c r="V336" s="5"/>
      <c r="W336" s="5"/>
    </row>
    <row r="337" spans="1:23" x14ac:dyDescent="0.25">
      <c r="B337" s="1">
        <v>28.7</v>
      </c>
      <c r="C337" s="4">
        <v>276</v>
      </c>
      <c r="D337" s="1">
        <v>2</v>
      </c>
      <c r="E337" s="3">
        <v>50.6</v>
      </c>
      <c r="F337" s="5">
        <v>2.5765786179080399</v>
      </c>
      <c r="G337" s="1">
        <v>38</v>
      </c>
      <c r="H337" s="1">
        <v>52.3</v>
      </c>
      <c r="I337" s="1">
        <v>152.4</v>
      </c>
      <c r="J337" s="1">
        <v>584.20000000000005</v>
      </c>
      <c r="K337" s="1">
        <v>1290</v>
      </c>
      <c r="L337" s="1">
        <v>27896.82</v>
      </c>
      <c r="M337" s="4">
        <v>196.92661613933601</v>
      </c>
      <c r="N337" s="10">
        <v>4.6241829713924397E-2</v>
      </c>
      <c r="O337" s="5">
        <v>168.88200000000001</v>
      </c>
      <c r="P337" s="4">
        <v>275.8</v>
      </c>
      <c r="Q337" s="5">
        <v>0.32</v>
      </c>
      <c r="R337" s="11">
        <f t="shared" si="5"/>
        <v>1.379E-3</v>
      </c>
      <c r="V337" s="5"/>
      <c r="W337" s="5"/>
    </row>
    <row r="338" spans="1:23" x14ac:dyDescent="0.25">
      <c r="A338" t="s">
        <v>103</v>
      </c>
      <c r="B338" s="1">
        <v>28.7</v>
      </c>
      <c r="C338" s="4">
        <v>276</v>
      </c>
      <c r="D338" s="1">
        <v>2</v>
      </c>
      <c r="E338" s="3">
        <v>50.6</v>
      </c>
      <c r="F338" s="5">
        <v>2.5765786179080399</v>
      </c>
      <c r="G338" s="1">
        <v>38</v>
      </c>
      <c r="H338" s="1">
        <v>52.3</v>
      </c>
      <c r="I338" s="1">
        <v>152.4</v>
      </c>
      <c r="J338" s="1">
        <v>584.20000000000005</v>
      </c>
      <c r="K338" s="1">
        <v>1290</v>
      </c>
      <c r="L338" s="1">
        <v>27896.82</v>
      </c>
      <c r="M338" s="4">
        <v>196.92661613933601</v>
      </c>
      <c r="N338" s="10">
        <v>4.6241829713924397E-2</v>
      </c>
      <c r="O338" s="5">
        <v>132.25800000000001</v>
      </c>
      <c r="P338" s="4">
        <v>219.890332297519</v>
      </c>
      <c r="Q338" s="5">
        <v>0.16</v>
      </c>
      <c r="R338" s="11">
        <f t="shared" si="5"/>
        <v>1.0994516614875949E-3</v>
      </c>
      <c r="V338" s="5"/>
      <c r="W338" s="5"/>
    </row>
    <row r="339" spans="1:23" x14ac:dyDescent="0.25">
      <c r="B339" s="1">
        <v>28.7</v>
      </c>
      <c r="C339" s="4">
        <v>276</v>
      </c>
      <c r="D339" s="1">
        <v>2</v>
      </c>
      <c r="E339" s="3">
        <v>50.6</v>
      </c>
      <c r="F339" s="5">
        <v>2.5765786179080399</v>
      </c>
      <c r="G339" s="1">
        <v>38</v>
      </c>
      <c r="H339" s="1">
        <v>52.3</v>
      </c>
      <c r="I339" s="1">
        <v>152.4</v>
      </c>
      <c r="J339" s="1">
        <v>584.20000000000005</v>
      </c>
      <c r="K339" s="1">
        <v>1290</v>
      </c>
      <c r="L339" s="1">
        <v>27896.82</v>
      </c>
      <c r="M339" s="4">
        <v>196.92661613933601</v>
      </c>
      <c r="N339" s="10">
        <v>4.6241829713924397E-2</v>
      </c>
      <c r="O339" s="5">
        <v>149.268</v>
      </c>
      <c r="P339" s="4">
        <v>248.170924415809</v>
      </c>
      <c r="Q339" s="5">
        <v>0.19</v>
      </c>
      <c r="R339" s="11">
        <f t="shared" si="5"/>
        <v>1.240854622079045E-3</v>
      </c>
      <c r="V339" s="5"/>
      <c r="W339" s="5"/>
    </row>
    <row r="340" spans="1:23" x14ac:dyDescent="0.25">
      <c r="B340" s="1">
        <v>28.7</v>
      </c>
      <c r="C340" s="4">
        <v>276</v>
      </c>
      <c r="D340" s="1">
        <v>2</v>
      </c>
      <c r="E340" s="3">
        <v>50.6</v>
      </c>
      <c r="F340" s="5">
        <v>2.5765786179080399</v>
      </c>
      <c r="G340" s="1">
        <v>38</v>
      </c>
      <c r="H340" s="1">
        <v>52.3</v>
      </c>
      <c r="I340" s="1">
        <v>152.4</v>
      </c>
      <c r="J340" s="1">
        <v>584.20000000000005</v>
      </c>
      <c r="K340" s="1">
        <v>1290</v>
      </c>
      <c r="L340" s="1">
        <v>27896.82</v>
      </c>
      <c r="M340" s="4">
        <v>196.92661613933601</v>
      </c>
      <c r="N340" s="10">
        <v>4.6241829713924397E-2</v>
      </c>
      <c r="O340" s="5">
        <v>168.88200000000001</v>
      </c>
      <c r="P340" s="4">
        <v>275.8</v>
      </c>
      <c r="Q340" s="5">
        <v>0.22</v>
      </c>
      <c r="R340" s="11">
        <f t="shared" si="5"/>
        <v>1.379E-3</v>
      </c>
      <c r="V340" s="5"/>
      <c r="W340" s="5"/>
    </row>
    <row r="341" spans="1:23" x14ac:dyDescent="0.25">
      <c r="A341" t="s">
        <v>104</v>
      </c>
      <c r="B341" s="1">
        <v>35.799999999999997</v>
      </c>
      <c r="C341" s="4">
        <v>276</v>
      </c>
      <c r="D341" s="1">
        <v>2</v>
      </c>
      <c r="E341" s="3">
        <v>36.4</v>
      </c>
      <c r="F341" s="5">
        <v>2.5478355335404399</v>
      </c>
      <c r="G341" s="1">
        <v>38</v>
      </c>
      <c r="H341" s="1">
        <v>55.9</v>
      </c>
      <c r="I341" s="1">
        <v>152.4</v>
      </c>
      <c r="J341" s="1">
        <v>584.20000000000005</v>
      </c>
      <c r="K341" s="1">
        <v>2012</v>
      </c>
      <c r="L341" s="1">
        <v>29817.06</v>
      </c>
      <c r="M341" s="4">
        <v>231.96707915484501</v>
      </c>
      <c r="N341" s="10">
        <v>6.7478148415705597E-2</v>
      </c>
      <c r="O341" s="5">
        <v>167.03399999999999</v>
      </c>
      <c r="P341" s="4">
        <v>184.08648071345601</v>
      </c>
      <c r="Q341" s="5">
        <v>0.17</v>
      </c>
      <c r="R341" s="11">
        <f t="shared" si="5"/>
        <v>9.2043240356728007E-4</v>
      </c>
      <c r="V341" s="5"/>
      <c r="W341" s="5"/>
    </row>
    <row r="342" spans="1:23" x14ac:dyDescent="0.25">
      <c r="A342" t="s">
        <v>105</v>
      </c>
      <c r="B342" s="1">
        <v>35.799999999999997</v>
      </c>
      <c r="C342" s="4">
        <v>276</v>
      </c>
      <c r="D342" s="1">
        <v>2</v>
      </c>
      <c r="E342" s="3">
        <v>36.4</v>
      </c>
      <c r="F342" s="5">
        <v>2.7563734268389202</v>
      </c>
      <c r="G342" s="1">
        <v>38</v>
      </c>
      <c r="H342" s="1">
        <v>55.9</v>
      </c>
      <c r="I342" s="1">
        <v>152.4</v>
      </c>
      <c r="J342" s="1">
        <v>584.20000000000005</v>
      </c>
      <c r="K342" s="1">
        <v>2012</v>
      </c>
      <c r="L342" s="1">
        <v>29817.06</v>
      </c>
      <c r="M342" s="4">
        <v>228.69980068753699</v>
      </c>
      <c r="N342" s="10">
        <v>6.7478148415705597E-2</v>
      </c>
      <c r="O342" s="5">
        <v>130.78800000000001</v>
      </c>
      <c r="P342" s="4">
        <v>143.792876986957</v>
      </c>
      <c r="Q342" s="5">
        <v>0.19</v>
      </c>
      <c r="R342" s="11">
        <f t="shared" si="5"/>
        <v>7.18964384934785E-4</v>
      </c>
      <c r="V342" s="5"/>
      <c r="W342" s="5"/>
    </row>
    <row r="343" spans="1:23" x14ac:dyDescent="0.25">
      <c r="B343" s="1">
        <v>35.799999999999997</v>
      </c>
      <c r="C343" s="4">
        <v>276</v>
      </c>
      <c r="D343" s="1">
        <v>2</v>
      </c>
      <c r="E343" s="3">
        <v>36.4</v>
      </c>
      <c r="F343" s="5">
        <v>2.7563734268389202</v>
      </c>
      <c r="G343" s="1">
        <v>38</v>
      </c>
      <c r="H343" s="1">
        <v>55.9</v>
      </c>
      <c r="I343" s="1">
        <v>152.4</v>
      </c>
      <c r="J343" s="1">
        <v>584.20000000000005</v>
      </c>
      <c r="K343" s="1">
        <v>2012</v>
      </c>
      <c r="L343" s="1">
        <v>29817.06</v>
      </c>
      <c r="M343" s="4">
        <v>228.69980068753699</v>
      </c>
      <c r="N343" s="10">
        <v>6.7478148415705597E-2</v>
      </c>
      <c r="O343" s="5">
        <v>167.03399999999999</v>
      </c>
      <c r="P343" s="4">
        <v>183.642990294518</v>
      </c>
      <c r="Q343" s="5">
        <v>0.25</v>
      </c>
      <c r="R343" s="11">
        <f t="shared" si="5"/>
        <v>9.1821495147259005E-4</v>
      </c>
      <c r="V343" s="5"/>
      <c r="W343" s="5"/>
    </row>
    <row r="345" spans="1:23" x14ac:dyDescent="0.25">
      <c r="W345" s="5"/>
    </row>
    <row r="346" spans="1:23" x14ac:dyDescent="0.25">
      <c r="W346" s="5"/>
    </row>
    <row r="347" spans="1:23" x14ac:dyDescent="0.25">
      <c r="W347" s="9"/>
    </row>
  </sheetData>
  <mergeCells count="1">
    <mergeCell ref="B1:P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342"/>
  <sheetViews>
    <sheetView zoomScale="120" zoomScaleNormal="120" workbookViewId="0">
      <pane xSplit="1" topLeftCell="P1" activePane="topRight" state="frozen"/>
      <selection activeCell="A335" sqref="A335"/>
      <selection pane="topRight"/>
    </sheetView>
  </sheetViews>
  <sheetFormatPr defaultColWidth="8.5703125" defaultRowHeight="15" x14ac:dyDescent="0.25"/>
  <cols>
    <col min="1" max="1" width="35.85546875" customWidth="1"/>
    <col min="2" max="2" width="24.85546875" style="1" customWidth="1"/>
    <col min="3" max="3" width="29.5703125" style="1" customWidth="1"/>
    <col min="4" max="4" width="29.42578125" style="3" customWidth="1"/>
    <col min="5" max="5" width="22.42578125" style="5" customWidth="1"/>
    <col min="6" max="6" width="16.42578125" style="1" customWidth="1"/>
    <col min="7" max="7" width="25.5703125" style="1" customWidth="1"/>
    <col min="8" max="8" width="30.5703125" style="4" customWidth="1"/>
    <col min="9" max="9" width="19.85546875" style="1" customWidth="1"/>
    <col min="10" max="10" width="19.85546875" style="3" customWidth="1"/>
    <col min="11" max="11" width="19.85546875" style="4" customWidth="1"/>
    <col min="12" max="12" width="19.85546875" style="3" customWidth="1"/>
    <col min="13" max="13" width="9.5703125" style="5" customWidth="1"/>
    <col min="14" max="14" width="28" style="21" customWidth="1"/>
    <col min="15" max="15" width="22.5703125" style="22" customWidth="1"/>
    <col min="16" max="16" width="37.42578125" style="22" customWidth="1"/>
    <col min="17" max="17" width="15.42578125" style="23" customWidth="1"/>
    <col min="18" max="18" width="8.85546875" style="21" customWidth="1"/>
    <col min="19" max="19" width="23.42578125" style="5" customWidth="1"/>
    <col min="20" max="20" width="22.5703125" style="22" customWidth="1"/>
    <col min="21" max="21" width="36.85546875" style="22" customWidth="1"/>
    <col min="22" max="22" width="19.85546875" style="3" customWidth="1"/>
    <col min="23" max="25" width="8.85546875" style="21" customWidth="1"/>
    <col min="26" max="26" width="16.140625" style="21" customWidth="1"/>
    <col min="27" max="27" width="22.5703125" style="22" customWidth="1"/>
    <col min="28" max="28" width="34.140625" style="22" customWidth="1"/>
    <col min="29" max="29" width="15.42578125" style="23" customWidth="1"/>
    <col min="30" max="30" width="8.85546875" style="21" customWidth="1"/>
    <col min="31" max="31" width="19.85546875" style="21" customWidth="1"/>
    <col min="32" max="32" width="23.42578125" style="21" customWidth="1"/>
    <col min="33" max="33" width="23" style="22" customWidth="1"/>
    <col min="34" max="34" width="15" style="23" customWidth="1"/>
    <col min="35" max="35" width="8.85546875" style="21" customWidth="1"/>
  </cols>
  <sheetData>
    <row r="1" spans="1:35" ht="46.5" x14ac:dyDescent="0.35">
      <c r="A1" t="s">
        <v>8</v>
      </c>
      <c r="B1" s="1" t="s">
        <v>109</v>
      </c>
      <c r="C1" s="1" t="s">
        <v>13</v>
      </c>
      <c r="D1" s="3" t="s">
        <v>14</v>
      </c>
      <c r="E1" s="24" t="s">
        <v>110</v>
      </c>
      <c r="F1" s="1" t="s">
        <v>111</v>
      </c>
      <c r="G1" s="25" t="s">
        <v>112</v>
      </c>
      <c r="H1" s="17" t="s">
        <v>123</v>
      </c>
      <c r="I1" s="16" t="s">
        <v>120</v>
      </c>
      <c r="J1" s="26" t="s">
        <v>131</v>
      </c>
      <c r="K1" s="17" t="s">
        <v>132</v>
      </c>
      <c r="L1" s="26" t="s">
        <v>133</v>
      </c>
      <c r="M1" s="5" t="s">
        <v>115</v>
      </c>
      <c r="N1" s="21" t="s">
        <v>134</v>
      </c>
      <c r="O1" s="27" t="s">
        <v>135</v>
      </c>
      <c r="P1" s="27" t="s">
        <v>136</v>
      </c>
      <c r="Q1" s="23" t="s">
        <v>18</v>
      </c>
      <c r="R1" s="21" t="s">
        <v>137</v>
      </c>
      <c r="S1" s="5" t="s">
        <v>138</v>
      </c>
      <c r="T1" s="27" t="s">
        <v>135</v>
      </c>
      <c r="U1" s="27" t="s">
        <v>136</v>
      </c>
      <c r="V1" s="26" t="s">
        <v>18</v>
      </c>
      <c r="W1" s="21" t="s">
        <v>139</v>
      </c>
      <c r="X1" s="21" t="s">
        <v>140</v>
      </c>
      <c r="Y1" s="21" t="s">
        <v>137</v>
      </c>
      <c r="Z1" s="21" t="s">
        <v>141</v>
      </c>
      <c r="AA1" s="22" t="s">
        <v>114</v>
      </c>
      <c r="AB1" s="27" t="s">
        <v>142</v>
      </c>
      <c r="AC1" s="23" t="s">
        <v>18</v>
      </c>
      <c r="AD1" s="21" t="s">
        <v>137</v>
      </c>
      <c r="AE1" s="28" t="s">
        <v>143</v>
      </c>
      <c r="AF1" s="28" t="s">
        <v>144</v>
      </c>
      <c r="AG1" s="22" t="s">
        <v>114</v>
      </c>
      <c r="AH1" s="23" t="s">
        <v>18</v>
      </c>
      <c r="AI1" s="21" t="s">
        <v>137</v>
      </c>
    </row>
    <row r="2" spans="1:35" x14ac:dyDescent="0.25">
      <c r="A2" t="s">
        <v>22</v>
      </c>
      <c r="B2" s="1">
        <v>20</v>
      </c>
      <c r="C2" s="1">
        <v>2</v>
      </c>
      <c r="D2" s="3">
        <v>126</v>
      </c>
      <c r="E2" s="5">
        <v>4.1203405239014401</v>
      </c>
      <c r="F2" s="1">
        <v>25</v>
      </c>
      <c r="G2" s="1">
        <v>39</v>
      </c>
      <c r="H2" s="4">
        <v>57.361776585620298</v>
      </c>
      <c r="I2" s="1">
        <v>201</v>
      </c>
      <c r="J2" s="3">
        <v>162</v>
      </c>
      <c r="K2" s="4">
        <v>104</v>
      </c>
      <c r="L2" s="3">
        <v>136.5</v>
      </c>
      <c r="M2" s="5">
        <v>0.16</v>
      </c>
      <c r="N2" s="21">
        <v>0.12573406896410499</v>
      </c>
      <c r="O2" s="22">
        <v>231.81100493873399</v>
      </c>
      <c r="P2" s="22">
        <v>90.135974541798205</v>
      </c>
      <c r="Q2" s="23">
        <v>6.0723545689225202E-2</v>
      </c>
      <c r="R2" s="21">
        <v>0.78583793102565702</v>
      </c>
      <c r="S2" s="5">
        <v>8.6159382513197699E-2</v>
      </c>
      <c r="T2" s="22">
        <v>231.81100493873399</v>
      </c>
      <c r="U2" s="22">
        <v>216</v>
      </c>
      <c r="V2" s="10">
        <v>2.1299687966354602E-2</v>
      </c>
      <c r="W2" s="21">
        <f t="shared" ref="W2:W65" si="0">(I2-H2)/(J2-H2)</f>
        <v>1.3727127499628449</v>
      </c>
      <c r="X2" s="21">
        <f t="shared" ref="X2:X65" si="1">0.5*(1+(I2-K2-L2)/(I2-K2))</f>
        <v>0.29639175257731959</v>
      </c>
      <c r="Y2" s="21">
        <v>0.53849614070748597</v>
      </c>
      <c r="Z2" s="21">
        <v>0.12529165250414601</v>
      </c>
      <c r="AA2" s="22">
        <v>231.81100493873399</v>
      </c>
      <c r="AB2" s="22">
        <v>90.135974541798205</v>
      </c>
      <c r="AC2" s="23">
        <v>6.0723545689225202E-2</v>
      </c>
      <c r="AD2" s="21">
        <v>0.78307282815091495</v>
      </c>
      <c r="AE2" s="21">
        <v>0.26246778690532802</v>
      </c>
      <c r="AF2" s="21">
        <v>0.157379678407401</v>
      </c>
      <c r="AG2" s="22">
        <v>246.56221322808301</v>
      </c>
      <c r="AH2" s="23">
        <v>1.5699999999999999E-2</v>
      </c>
      <c r="AI2" s="21">
        <v>0.98362299004625897</v>
      </c>
    </row>
    <row r="3" spans="1:35" x14ac:dyDescent="0.25">
      <c r="B3" s="1">
        <v>20</v>
      </c>
      <c r="C3" s="1">
        <v>2</v>
      </c>
      <c r="D3" s="3">
        <v>126</v>
      </c>
      <c r="E3" s="5">
        <v>4.1203405239014401</v>
      </c>
      <c r="F3" s="1">
        <v>25</v>
      </c>
      <c r="G3" s="1">
        <v>39</v>
      </c>
      <c r="H3" s="4">
        <v>57.361776585620298</v>
      </c>
      <c r="I3" s="1">
        <v>201</v>
      </c>
      <c r="J3" s="29">
        <v>162</v>
      </c>
      <c r="K3" s="4">
        <v>104</v>
      </c>
      <c r="L3" s="3">
        <v>136.5</v>
      </c>
      <c r="M3" s="5">
        <v>0.23</v>
      </c>
      <c r="N3" s="21">
        <v>0.176982162918118</v>
      </c>
      <c r="O3" s="22">
        <v>304.25194398208799</v>
      </c>
      <c r="P3" s="22">
        <v>90.135974541798205</v>
      </c>
      <c r="Q3" s="23">
        <v>6.0723545689225202E-2</v>
      </c>
      <c r="R3" s="21">
        <v>0.76948766486138298</v>
      </c>
      <c r="S3" s="5">
        <v>0.14712654185263499</v>
      </c>
      <c r="T3" s="22">
        <v>304.25194398208799</v>
      </c>
      <c r="U3" s="22">
        <v>216</v>
      </c>
      <c r="V3" s="23">
        <v>2.1299687966354602E-2</v>
      </c>
      <c r="W3" s="21">
        <f t="shared" si="0"/>
        <v>1.3727127499628449</v>
      </c>
      <c r="X3" s="21">
        <f t="shared" si="1"/>
        <v>0.29639175257731959</v>
      </c>
      <c r="Y3" s="21">
        <v>0.63968061675058496</v>
      </c>
      <c r="Z3" s="21">
        <v>0.17635942142379499</v>
      </c>
      <c r="AA3" s="22">
        <v>304.25194398208799</v>
      </c>
      <c r="AB3" s="22">
        <v>90.135974541798205</v>
      </c>
      <c r="AC3" s="23">
        <v>6.0723545689225202E-2</v>
      </c>
      <c r="AD3" s="21">
        <v>0.76678009314693396</v>
      </c>
      <c r="AE3" s="21">
        <v>0.34448897031324299</v>
      </c>
      <c r="AF3" s="21">
        <v>0.27111108663150002</v>
      </c>
      <c r="AG3" s="22">
        <v>323.61290486185902</v>
      </c>
      <c r="AH3" s="23">
        <v>1.5699999999999999E-2</v>
      </c>
      <c r="AI3" s="21">
        <v>1.1787438549195699</v>
      </c>
    </row>
    <row r="4" spans="1:35" x14ac:dyDescent="0.25">
      <c r="B4" s="1">
        <v>20</v>
      </c>
      <c r="C4" s="1">
        <v>2</v>
      </c>
      <c r="D4" s="3">
        <v>126</v>
      </c>
      <c r="E4" s="5">
        <v>4.1203405239014401</v>
      </c>
      <c r="F4" s="1">
        <v>25</v>
      </c>
      <c r="G4" s="1">
        <v>39</v>
      </c>
      <c r="H4" s="4">
        <v>57.361776585620298</v>
      </c>
      <c r="I4" s="1">
        <v>201</v>
      </c>
      <c r="J4" s="29">
        <v>162</v>
      </c>
      <c r="K4" s="4">
        <v>104</v>
      </c>
      <c r="L4" s="3">
        <v>136.5</v>
      </c>
      <c r="M4" s="5">
        <v>0.24</v>
      </c>
      <c r="N4" s="21">
        <v>0.184078052850212</v>
      </c>
      <c r="O4" s="22">
        <v>314.28222784962901</v>
      </c>
      <c r="P4" s="22">
        <v>90.135974541798205</v>
      </c>
      <c r="Q4" s="23">
        <v>6.0723545689225202E-2</v>
      </c>
      <c r="R4" s="21">
        <v>0.76699188687588404</v>
      </c>
      <c r="S4" s="5">
        <v>0.15556814853040299</v>
      </c>
      <c r="T4" s="22">
        <v>314.28222784962901</v>
      </c>
      <c r="U4" s="22">
        <v>216</v>
      </c>
      <c r="V4" s="23">
        <v>2.1299687966354602E-2</v>
      </c>
      <c r="W4" s="21">
        <f t="shared" si="0"/>
        <v>1.3727127499628449</v>
      </c>
      <c r="X4" s="21">
        <f t="shared" si="1"/>
        <v>0.29639175257731959</v>
      </c>
      <c r="Y4" s="21">
        <v>0.64820061887667801</v>
      </c>
      <c r="Z4" s="21">
        <v>0.18343034327420801</v>
      </c>
      <c r="AA4" s="22">
        <v>314.28222784962901</v>
      </c>
      <c r="AB4" s="22">
        <v>90.135974541798205</v>
      </c>
      <c r="AC4" s="23">
        <v>6.0723545689225202E-2</v>
      </c>
      <c r="AD4" s="21">
        <v>0.76429309697586501</v>
      </c>
      <c r="AE4" s="21">
        <v>0.35584574955433901</v>
      </c>
      <c r="AF4" s="21">
        <v>0.289281193270853</v>
      </c>
      <c r="AG4" s="22">
        <v>334.28146216499698</v>
      </c>
      <c r="AH4" s="23">
        <v>1.5699999999999999E-2</v>
      </c>
      <c r="AI4" s="21">
        <v>1.20533830529522</v>
      </c>
    </row>
    <row r="5" spans="1:35" x14ac:dyDescent="0.25">
      <c r="B5" s="1">
        <v>20</v>
      </c>
      <c r="C5" s="1">
        <v>2</v>
      </c>
      <c r="D5" s="3">
        <v>126</v>
      </c>
      <c r="E5" s="5">
        <v>4.1203405239014401</v>
      </c>
      <c r="F5" s="1">
        <v>25</v>
      </c>
      <c r="G5" s="1">
        <v>39</v>
      </c>
      <c r="H5" s="4">
        <v>57.361776585620298</v>
      </c>
      <c r="I5" s="1">
        <v>201</v>
      </c>
      <c r="J5" s="29">
        <v>162</v>
      </c>
      <c r="K5" s="4">
        <v>104</v>
      </c>
      <c r="L5" s="3">
        <v>136.5</v>
      </c>
      <c r="M5" s="5">
        <v>0.27</v>
      </c>
      <c r="N5" s="21">
        <v>0.21876907029600601</v>
      </c>
      <c r="O5" s="22">
        <v>363.31917120205401</v>
      </c>
      <c r="P5" s="22">
        <v>90.135974541798205</v>
      </c>
      <c r="Q5" s="23">
        <v>6.0723545689225202E-2</v>
      </c>
      <c r="R5" s="21">
        <v>0.81025581591113205</v>
      </c>
      <c r="S5" s="5">
        <v>0.19683822562171399</v>
      </c>
      <c r="T5" s="22">
        <v>363.31917120205401</v>
      </c>
      <c r="U5" s="22">
        <v>216</v>
      </c>
      <c r="V5" s="23">
        <v>2.1299687966354602E-2</v>
      </c>
      <c r="W5" s="21">
        <f t="shared" si="0"/>
        <v>1.3727127499628449</v>
      </c>
      <c r="X5" s="21">
        <f t="shared" si="1"/>
        <v>0.29639175257731959</v>
      </c>
      <c r="Y5" s="21">
        <v>0.729030465265607</v>
      </c>
      <c r="Z5" s="21">
        <v>0.21799929454289299</v>
      </c>
      <c r="AA5" s="22">
        <v>363.31917120205401</v>
      </c>
      <c r="AB5" s="22">
        <v>90.135974541798205</v>
      </c>
      <c r="AC5" s="23">
        <v>6.0723545689225202E-2</v>
      </c>
      <c r="AD5" s="21">
        <v>0.80740479460330605</v>
      </c>
      <c r="AE5" s="21">
        <v>0.41136778139969699</v>
      </c>
      <c r="AF5" s="21">
        <v>0.38659584648726403</v>
      </c>
      <c r="AG5" s="22">
        <v>386.43885342478399</v>
      </c>
      <c r="AH5" s="23">
        <v>1.5699999999999999E-2</v>
      </c>
      <c r="AI5" s="21">
        <v>1.43183646847135</v>
      </c>
    </row>
    <row r="6" spans="1:35" x14ac:dyDescent="0.25">
      <c r="B6" s="1">
        <v>20</v>
      </c>
      <c r="C6" s="1">
        <v>2</v>
      </c>
      <c r="D6" s="3">
        <v>126</v>
      </c>
      <c r="E6" s="5">
        <v>4.1203405239014401</v>
      </c>
      <c r="F6" s="1">
        <v>25</v>
      </c>
      <c r="G6" s="1">
        <v>39</v>
      </c>
      <c r="H6" s="4">
        <v>57.361776585620298</v>
      </c>
      <c r="I6" s="1">
        <v>201</v>
      </c>
      <c r="J6" s="29">
        <v>162</v>
      </c>
      <c r="K6" s="4">
        <v>104</v>
      </c>
      <c r="L6" s="3">
        <v>136.5</v>
      </c>
      <c r="M6" s="5">
        <v>0.35</v>
      </c>
      <c r="N6" s="21">
        <v>0.28657424075823801</v>
      </c>
      <c r="O6" s="22">
        <v>459.16410593633799</v>
      </c>
      <c r="P6" s="22">
        <v>90.135974541798205</v>
      </c>
      <c r="Q6" s="23">
        <v>6.0723545689225202E-2</v>
      </c>
      <c r="R6" s="21">
        <v>0.81878354502353801</v>
      </c>
      <c r="S6" s="5">
        <v>0.27750246720927602</v>
      </c>
      <c r="T6" s="22">
        <v>459.16410593633799</v>
      </c>
      <c r="U6" s="22">
        <v>216</v>
      </c>
      <c r="V6" s="23">
        <v>2.1299687966354602E-2</v>
      </c>
      <c r="W6" s="21">
        <f t="shared" si="0"/>
        <v>1.3727127499628449</v>
      </c>
      <c r="X6" s="21">
        <f t="shared" si="1"/>
        <v>0.29639175257731959</v>
      </c>
      <c r="Y6" s="21">
        <v>0.79286419202650404</v>
      </c>
      <c r="Z6" s="21">
        <v>0.28556588111350401</v>
      </c>
      <c r="AA6" s="22">
        <v>459.16410593633799</v>
      </c>
      <c r="AB6" s="22">
        <v>90.135974541798205</v>
      </c>
      <c r="AC6" s="23">
        <v>6.0723545689225202E-2</v>
      </c>
      <c r="AD6" s="21">
        <v>0.81590251746715503</v>
      </c>
      <c r="AE6" s="21">
        <v>0.51988811637016896</v>
      </c>
      <c r="AF6" s="21">
        <v>0.61747078706513403</v>
      </c>
      <c r="AG6" s="22">
        <v>488.382845432549</v>
      </c>
      <c r="AH6" s="23">
        <v>1.5699999999999999E-2</v>
      </c>
      <c r="AI6" s="21">
        <v>1.48539461820048</v>
      </c>
    </row>
    <row r="7" spans="1:35" x14ac:dyDescent="0.25">
      <c r="B7" s="1">
        <v>20</v>
      </c>
      <c r="C7" s="1">
        <v>2</v>
      </c>
      <c r="D7" s="3">
        <v>126</v>
      </c>
      <c r="E7" s="5">
        <v>4.1203405239014401</v>
      </c>
      <c r="F7" s="1">
        <v>25</v>
      </c>
      <c r="G7" s="1">
        <v>39</v>
      </c>
      <c r="H7" s="4">
        <v>57.361776585620298</v>
      </c>
      <c r="I7" s="1">
        <v>201</v>
      </c>
      <c r="J7" s="29">
        <v>162</v>
      </c>
      <c r="K7" s="4">
        <v>104</v>
      </c>
      <c r="L7" s="3">
        <v>136.5</v>
      </c>
      <c r="M7" s="5">
        <v>0.4</v>
      </c>
      <c r="N7" s="21">
        <v>0.315463454002951</v>
      </c>
      <c r="O7" s="22">
        <v>500</v>
      </c>
      <c r="P7" s="22">
        <v>90.135974541798205</v>
      </c>
      <c r="Q7" s="23">
        <v>6.0723545689225202E-2</v>
      </c>
      <c r="R7" s="21">
        <v>0.78865863500737698</v>
      </c>
      <c r="S7" s="5">
        <v>0.311870443287798</v>
      </c>
      <c r="T7" s="22">
        <v>500</v>
      </c>
      <c r="U7" s="22">
        <v>216</v>
      </c>
      <c r="V7" s="23">
        <v>2.1299687966354602E-2</v>
      </c>
      <c r="W7" s="21">
        <f t="shared" si="0"/>
        <v>1.3727127499628449</v>
      </c>
      <c r="X7" s="21">
        <f t="shared" si="1"/>
        <v>0.29639175257731959</v>
      </c>
      <c r="Y7" s="21">
        <v>0.77967610821949596</v>
      </c>
      <c r="Z7" s="21">
        <v>0.31435344280458499</v>
      </c>
      <c r="AA7" s="22">
        <v>500</v>
      </c>
      <c r="AB7" s="22">
        <v>90.135974541798205</v>
      </c>
      <c r="AC7" s="23">
        <v>6.0723545689225202E-2</v>
      </c>
      <c r="AD7" s="21">
        <v>0.78588360701146098</v>
      </c>
      <c r="AE7" s="21">
        <v>0.53225468628993</v>
      </c>
      <c r="AF7" s="21">
        <v>0.64719569928692999</v>
      </c>
      <c r="AG7" s="22">
        <v>500</v>
      </c>
      <c r="AH7" s="23">
        <v>1.5699999999999999E-2</v>
      </c>
      <c r="AI7" s="21">
        <v>1.33063671572482</v>
      </c>
    </row>
    <row r="8" spans="1:35" x14ac:dyDescent="0.25">
      <c r="A8" t="s">
        <v>23</v>
      </c>
      <c r="B8" s="1">
        <v>10</v>
      </c>
      <c r="C8" s="1">
        <v>8</v>
      </c>
      <c r="D8" s="3">
        <v>87.7</v>
      </c>
      <c r="E8" s="5">
        <v>4.1311267633290099</v>
      </c>
      <c r="F8" s="1">
        <v>25</v>
      </c>
      <c r="G8" s="1">
        <v>53</v>
      </c>
      <c r="H8" s="4">
        <v>99.696400381800601</v>
      </c>
      <c r="I8" s="1">
        <v>604</v>
      </c>
      <c r="J8" s="29">
        <v>551</v>
      </c>
      <c r="K8" s="22">
        <v>306</v>
      </c>
      <c r="L8" s="29">
        <v>141</v>
      </c>
      <c r="M8" s="5">
        <v>0.16</v>
      </c>
      <c r="N8" s="21">
        <v>0.17110696370813</v>
      </c>
      <c r="O8" s="22">
        <v>322.91971563781198</v>
      </c>
      <c r="P8" s="22">
        <v>290.76849438161599</v>
      </c>
      <c r="Q8" s="23">
        <v>1.5388385199705999E-2</v>
      </c>
      <c r="R8" s="21">
        <v>1.06941852317581</v>
      </c>
      <c r="S8" s="5">
        <v>0.135806726806593</v>
      </c>
      <c r="T8" s="22">
        <v>322.91971563781198</v>
      </c>
      <c r="U8" s="22">
        <v>308</v>
      </c>
      <c r="V8" s="23">
        <v>1.44607165883762E-2</v>
      </c>
      <c r="W8" s="21">
        <f t="shared" si="0"/>
        <v>1.1174375742733667</v>
      </c>
      <c r="X8" s="21">
        <f t="shared" si="1"/>
        <v>0.76342281879194629</v>
      </c>
      <c r="Y8" s="21">
        <v>0.84879204254120899</v>
      </c>
      <c r="Z8" s="21">
        <v>0.189366188849765</v>
      </c>
      <c r="AA8" s="22">
        <v>322.91971563781198</v>
      </c>
      <c r="AB8" s="22">
        <v>290.76849438161599</v>
      </c>
      <c r="AC8" s="23">
        <v>1.5388385199705999E-2</v>
      </c>
      <c r="AD8" s="21">
        <v>1.1835386803110299</v>
      </c>
      <c r="AE8" s="21">
        <v>0.24321379818370001</v>
      </c>
      <c r="AF8" s="21">
        <v>0.144849533368963</v>
      </c>
      <c r="AG8" s="22">
        <v>334.960384958872</v>
      </c>
      <c r="AH8" s="23">
        <v>1.0999999999999999E-2</v>
      </c>
      <c r="AI8" s="21">
        <v>0.90530958355601998</v>
      </c>
    </row>
    <row r="9" spans="1:35" x14ac:dyDescent="0.25">
      <c r="B9" s="1">
        <v>10</v>
      </c>
      <c r="C9" s="1">
        <v>8</v>
      </c>
      <c r="D9" s="3">
        <v>87.7</v>
      </c>
      <c r="E9" s="5">
        <v>4.1311267633290099</v>
      </c>
      <c r="F9" s="1">
        <v>25</v>
      </c>
      <c r="G9" s="1">
        <v>53</v>
      </c>
      <c r="H9" s="4">
        <v>99.696400381800601</v>
      </c>
      <c r="I9" s="1">
        <v>604</v>
      </c>
      <c r="J9" s="29">
        <v>551</v>
      </c>
      <c r="K9" s="22">
        <v>306</v>
      </c>
      <c r="L9" s="29">
        <v>141</v>
      </c>
      <c r="M9" s="5">
        <v>0.18</v>
      </c>
      <c r="N9" s="21">
        <v>0.22285815917348001</v>
      </c>
      <c r="O9" s="22">
        <v>367.82093324078397</v>
      </c>
      <c r="P9" s="22">
        <v>290.76849438161599</v>
      </c>
      <c r="Q9" s="23">
        <v>1.5388385199705999E-2</v>
      </c>
      <c r="R9" s="21">
        <v>1.23810088429711</v>
      </c>
      <c r="S9" s="5">
        <v>0.179954155396124</v>
      </c>
      <c r="T9" s="22">
        <v>367.82093324078397</v>
      </c>
      <c r="U9" s="22">
        <v>308</v>
      </c>
      <c r="V9" s="23">
        <v>1.44607165883762E-2</v>
      </c>
      <c r="W9" s="21">
        <f t="shared" si="0"/>
        <v>1.1174375742733667</v>
      </c>
      <c r="X9" s="21">
        <f t="shared" si="1"/>
        <v>0.76342281879194629</v>
      </c>
      <c r="Y9" s="21">
        <v>0.99974530775624404</v>
      </c>
      <c r="Z9" s="21">
        <v>0.215697106537447</v>
      </c>
      <c r="AA9" s="22">
        <v>367.82093324078397</v>
      </c>
      <c r="AB9" s="22">
        <v>290.76849438161599</v>
      </c>
      <c r="AC9" s="23">
        <v>1.5388385199705999E-2</v>
      </c>
      <c r="AD9" s="21">
        <v>1.1983172585413699</v>
      </c>
      <c r="AE9" s="21">
        <v>0.277032097740672</v>
      </c>
      <c r="AF9" s="21">
        <v>0.187932054533786</v>
      </c>
      <c r="AG9" s="22">
        <v>381.53582896267699</v>
      </c>
      <c r="AH9" s="23">
        <v>1.0999999999999999E-2</v>
      </c>
      <c r="AI9" s="21">
        <v>1.0440669696321401</v>
      </c>
    </row>
    <row r="10" spans="1:35" x14ac:dyDescent="0.25">
      <c r="B10" s="1">
        <v>10</v>
      </c>
      <c r="C10" s="1">
        <v>8</v>
      </c>
      <c r="D10" s="3">
        <v>87.7</v>
      </c>
      <c r="E10" s="5">
        <v>4.1311267633290099</v>
      </c>
      <c r="F10" s="1">
        <v>25</v>
      </c>
      <c r="G10" s="1">
        <v>53</v>
      </c>
      <c r="H10" s="4">
        <v>99.696400381800601</v>
      </c>
      <c r="I10" s="1">
        <v>604</v>
      </c>
      <c r="J10" s="29">
        <v>551</v>
      </c>
      <c r="K10" s="22">
        <v>306</v>
      </c>
      <c r="L10" s="29">
        <v>141</v>
      </c>
      <c r="M10" s="5">
        <v>0.26</v>
      </c>
      <c r="N10" s="21">
        <v>0.37520201721244401</v>
      </c>
      <c r="O10" s="22">
        <v>500</v>
      </c>
      <c r="P10" s="22">
        <v>290.76849438161599</v>
      </c>
      <c r="Q10" s="23">
        <v>1.5388385199705999E-2</v>
      </c>
      <c r="R10" s="21">
        <v>1.4430846815863201</v>
      </c>
      <c r="S10" s="5">
        <v>0.309914237155623</v>
      </c>
      <c r="T10" s="22">
        <v>500</v>
      </c>
      <c r="U10" s="22">
        <v>308</v>
      </c>
      <c r="V10" s="23">
        <v>1.44607165883762E-2</v>
      </c>
      <c r="W10" s="21">
        <f t="shared" si="0"/>
        <v>1.1174375742733667</v>
      </c>
      <c r="X10" s="21">
        <f t="shared" si="1"/>
        <v>0.76342281879194629</v>
      </c>
      <c r="Y10" s="21">
        <v>1.1919778352139401</v>
      </c>
      <c r="Z10" s="21">
        <v>0.318170216250936</v>
      </c>
      <c r="AA10" s="22">
        <v>500</v>
      </c>
      <c r="AB10" s="22">
        <v>290.76849438161599</v>
      </c>
      <c r="AC10" s="23">
        <v>1.5388385199705999E-2</v>
      </c>
      <c r="AD10" s="21">
        <v>1.22373160096514</v>
      </c>
      <c r="AE10" s="21">
        <v>0.363048600827174</v>
      </c>
      <c r="AF10" s="21">
        <v>0.32275294604101801</v>
      </c>
      <c r="AG10" s="22">
        <v>500</v>
      </c>
      <c r="AH10" s="23">
        <v>1.0999999999999999E-2</v>
      </c>
      <c r="AI10" s="21">
        <v>1.2413574847731399</v>
      </c>
    </row>
    <row r="11" spans="1:35" x14ac:dyDescent="0.25">
      <c r="A11" t="s">
        <v>24</v>
      </c>
      <c r="B11" s="1">
        <v>10</v>
      </c>
      <c r="C11" s="1">
        <v>4</v>
      </c>
      <c r="D11" s="3">
        <v>32.466666666666697</v>
      </c>
      <c r="E11" s="5">
        <v>3.262</v>
      </c>
      <c r="F11" s="1">
        <v>25</v>
      </c>
      <c r="G11" s="1">
        <v>36</v>
      </c>
      <c r="H11" s="4">
        <v>95.721926864521507</v>
      </c>
      <c r="I11" s="1">
        <v>600</v>
      </c>
      <c r="J11" s="29">
        <v>564</v>
      </c>
      <c r="K11" s="22">
        <v>304</v>
      </c>
      <c r="L11" s="29">
        <v>86</v>
      </c>
      <c r="M11" s="5">
        <v>0.16</v>
      </c>
      <c r="N11" s="21">
        <v>0.16007091811290799</v>
      </c>
      <c r="O11" s="22">
        <v>285.04803218471699</v>
      </c>
      <c r="P11" s="22">
        <v>207.32063354060699</v>
      </c>
      <c r="Q11" s="23">
        <v>1.7444444444444401E-2</v>
      </c>
      <c r="R11" s="21">
        <v>1.00044323820567</v>
      </c>
      <c r="S11" s="5">
        <v>0.13868029025440801</v>
      </c>
      <c r="T11" s="22">
        <v>285.04803218471699</v>
      </c>
      <c r="U11" s="22">
        <v>199</v>
      </c>
      <c r="V11" s="23">
        <v>1.8255813953488399E-2</v>
      </c>
      <c r="W11" s="21">
        <f t="shared" si="0"/>
        <v>1.0768773984204569</v>
      </c>
      <c r="X11" s="21">
        <f t="shared" si="1"/>
        <v>0.85472972972972971</v>
      </c>
      <c r="Y11" s="21">
        <v>0.86675181409005297</v>
      </c>
      <c r="Z11" s="21">
        <v>0.14859328265570901</v>
      </c>
      <c r="AA11" s="22">
        <v>285.04803218471699</v>
      </c>
      <c r="AB11" s="22">
        <v>207.32063354060699</v>
      </c>
      <c r="AC11" s="23">
        <v>1.7444444444444401E-2</v>
      </c>
      <c r="AD11" s="21">
        <v>0.92870801659818103</v>
      </c>
      <c r="AE11" s="21">
        <v>0.18440399789461201</v>
      </c>
      <c r="AF11" s="21">
        <v>0.13403771715747001</v>
      </c>
      <c r="AG11" s="22">
        <v>293.393694026064</v>
      </c>
      <c r="AH11" s="23">
        <v>1.23E-2</v>
      </c>
      <c r="AI11" s="21">
        <v>0.83773573223418696</v>
      </c>
    </row>
    <row r="12" spans="1:35" x14ac:dyDescent="0.25">
      <c r="B12" s="1">
        <v>10</v>
      </c>
      <c r="C12" s="1">
        <v>4</v>
      </c>
      <c r="D12" s="3">
        <v>32.466666666666697</v>
      </c>
      <c r="E12" s="5">
        <v>3.262</v>
      </c>
      <c r="F12" s="1">
        <v>25</v>
      </c>
      <c r="G12" s="1">
        <v>36</v>
      </c>
      <c r="H12" s="4">
        <v>95.721926864521507</v>
      </c>
      <c r="I12" s="1">
        <v>600</v>
      </c>
      <c r="J12" s="29">
        <v>564</v>
      </c>
      <c r="K12" s="22">
        <v>304</v>
      </c>
      <c r="L12" s="29">
        <v>86</v>
      </c>
      <c r="M12" s="5">
        <v>0.2</v>
      </c>
      <c r="N12" s="21">
        <v>0.199877121284813</v>
      </c>
      <c r="O12" s="22">
        <v>324.99964614446401</v>
      </c>
      <c r="P12" s="22">
        <v>207.32063354060699</v>
      </c>
      <c r="Q12" s="23">
        <v>1.7444444444444401E-2</v>
      </c>
      <c r="R12" s="21">
        <v>0.99938560642406404</v>
      </c>
      <c r="S12" s="5">
        <v>0.17212891101716901</v>
      </c>
      <c r="T12" s="22">
        <v>324.99964614446401</v>
      </c>
      <c r="U12" s="22">
        <v>199</v>
      </c>
      <c r="V12" s="23">
        <v>1.8255813953488399E-2</v>
      </c>
      <c r="W12" s="21">
        <f t="shared" si="0"/>
        <v>1.0768773984204569</v>
      </c>
      <c r="X12" s="21">
        <f t="shared" si="1"/>
        <v>0.85472972972972971</v>
      </c>
      <c r="Y12" s="21">
        <v>0.86064455508584303</v>
      </c>
      <c r="Z12" s="21">
        <v>0.17429163285246499</v>
      </c>
      <c r="AA12" s="22">
        <v>324.99964614446401</v>
      </c>
      <c r="AB12" s="22">
        <v>207.32063354060699</v>
      </c>
      <c r="AC12" s="23">
        <v>1.7444444444444401E-2</v>
      </c>
      <c r="AD12" s="21">
        <v>0.87145816426232303</v>
      </c>
      <c r="AE12" s="21">
        <v>0.21024959759952699</v>
      </c>
      <c r="AF12" s="21">
        <v>0.174243547470355</v>
      </c>
      <c r="AG12" s="22">
        <v>334.51501492105501</v>
      </c>
      <c r="AH12" s="23">
        <v>1.23E-2</v>
      </c>
      <c r="AI12" s="21">
        <v>0.87121773735177599</v>
      </c>
    </row>
    <row r="13" spans="1:35" x14ac:dyDescent="0.25">
      <c r="B13" s="1">
        <v>10</v>
      </c>
      <c r="C13" s="1">
        <v>4</v>
      </c>
      <c r="D13" s="3">
        <v>32.466666666666697</v>
      </c>
      <c r="E13" s="5">
        <v>3.262</v>
      </c>
      <c r="F13" s="1">
        <v>25</v>
      </c>
      <c r="G13" s="1">
        <v>36</v>
      </c>
      <c r="H13" s="4">
        <v>95.721926864521507</v>
      </c>
      <c r="I13" s="1">
        <v>600</v>
      </c>
      <c r="J13" s="29">
        <v>564</v>
      </c>
      <c r="K13" s="22">
        <v>304</v>
      </c>
      <c r="L13" s="29">
        <v>86</v>
      </c>
      <c r="M13" s="5">
        <v>0.2</v>
      </c>
      <c r="N13" s="21">
        <v>0.242366888715498</v>
      </c>
      <c r="O13" s="22">
        <v>367.64462733745302</v>
      </c>
      <c r="P13" s="22">
        <v>207.32063354060699</v>
      </c>
      <c r="Q13" s="23">
        <v>1.7444444444444401E-2</v>
      </c>
      <c r="R13" s="21">
        <v>1.2118344435774899</v>
      </c>
      <c r="S13" s="5">
        <v>0.20783249497741799</v>
      </c>
      <c r="T13" s="22">
        <v>367.64462733745302</v>
      </c>
      <c r="U13" s="22">
        <v>199</v>
      </c>
      <c r="V13" s="23">
        <v>1.8255813953488399E-2</v>
      </c>
      <c r="W13" s="21">
        <f t="shared" si="0"/>
        <v>1.0768773984204569</v>
      </c>
      <c r="X13" s="21">
        <f t="shared" si="1"/>
        <v>0.85472972972972971</v>
      </c>
      <c r="Y13" s="21">
        <v>1.03916247488709</v>
      </c>
      <c r="Z13" s="21">
        <v>0.211342451362418</v>
      </c>
      <c r="AA13" s="22">
        <v>367.64462733745302</v>
      </c>
      <c r="AB13" s="22">
        <v>207.32063354060699</v>
      </c>
      <c r="AC13" s="23">
        <v>1.7444444444444401E-2</v>
      </c>
      <c r="AD13" s="21">
        <v>1.0567122568120899</v>
      </c>
      <c r="AE13" s="21">
        <v>0.23783759728454701</v>
      </c>
      <c r="AF13" s="21">
        <v>0.22297048347265599</v>
      </c>
      <c r="AG13" s="22">
        <v>378.40855969660799</v>
      </c>
      <c r="AH13" s="23">
        <v>1.23E-2</v>
      </c>
      <c r="AI13" s="21">
        <v>1.1148524173632799</v>
      </c>
    </row>
    <row r="14" spans="1:35" x14ac:dyDescent="0.25">
      <c r="B14" s="1">
        <v>10</v>
      </c>
      <c r="C14" s="1">
        <v>4</v>
      </c>
      <c r="D14" s="3">
        <v>32.466666666666697</v>
      </c>
      <c r="E14" s="5">
        <v>3.262</v>
      </c>
      <c r="F14" s="1">
        <v>25</v>
      </c>
      <c r="G14" s="1">
        <v>36</v>
      </c>
      <c r="H14" s="4">
        <v>95.721926864521507</v>
      </c>
      <c r="I14" s="1">
        <v>600</v>
      </c>
      <c r="J14" s="29">
        <v>564</v>
      </c>
      <c r="K14" s="22">
        <v>304</v>
      </c>
      <c r="L14" s="29">
        <v>86</v>
      </c>
      <c r="M14" s="5">
        <v>0.24</v>
      </c>
      <c r="N14" s="21">
        <v>0.28530391685598</v>
      </c>
      <c r="O14" s="22">
        <v>410.73850306931598</v>
      </c>
      <c r="P14" s="22">
        <v>207.32063354060699</v>
      </c>
      <c r="Q14" s="23">
        <v>1.7444444444444401E-2</v>
      </c>
      <c r="R14" s="21">
        <v>1.1887663202332499</v>
      </c>
      <c r="S14" s="5">
        <v>0.243911906137249</v>
      </c>
      <c r="T14" s="22">
        <v>410.73850306931598</v>
      </c>
      <c r="U14" s="22">
        <v>199</v>
      </c>
      <c r="V14" s="23">
        <v>1.8255813953488399E-2</v>
      </c>
      <c r="W14" s="21">
        <f t="shared" si="0"/>
        <v>1.0768773984204569</v>
      </c>
      <c r="X14" s="21">
        <f t="shared" si="1"/>
        <v>0.85472972972972971</v>
      </c>
      <c r="Y14" s="21">
        <v>1.0162996089052001</v>
      </c>
      <c r="Z14" s="21">
        <v>0.24878327848826601</v>
      </c>
      <c r="AA14" s="22">
        <v>410.73850306931598</v>
      </c>
      <c r="AB14" s="22">
        <v>207.32063354060699</v>
      </c>
      <c r="AC14" s="23">
        <v>1.7444444444444401E-2</v>
      </c>
      <c r="AD14" s="21">
        <v>1.0365969937011099</v>
      </c>
      <c r="AE14" s="21">
        <v>0.26571599696625298</v>
      </c>
      <c r="AF14" s="21">
        <v>0.27830548142392703</v>
      </c>
      <c r="AG14" s="22">
        <v>422.76414178558798</v>
      </c>
      <c r="AH14" s="23">
        <v>1.23E-2</v>
      </c>
      <c r="AI14" s="21">
        <v>1.10714998735939</v>
      </c>
    </row>
    <row r="15" spans="1:35" x14ac:dyDescent="0.25">
      <c r="B15" s="1">
        <v>10</v>
      </c>
      <c r="C15" s="1">
        <v>4</v>
      </c>
      <c r="D15" s="3">
        <v>32.466666666666697</v>
      </c>
      <c r="E15" s="5">
        <v>3.262</v>
      </c>
      <c r="F15" s="1">
        <v>25</v>
      </c>
      <c r="G15" s="1">
        <v>36</v>
      </c>
      <c r="H15" s="4">
        <v>95.721926864521507</v>
      </c>
      <c r="I15" s="1">
        <v>600</v>
      </c>
      <c r="J15" s="29">
        <v>564</v>
      </c>
      <c r="K15" s="22">
        <v>304</v>
      </c>
      <c r="L15" s="29">
        <v>86</v>
      </c>
      <c r="M15" s="5">
        <v>0.3</v>
      </c>
      <c r="N15" s="21">
        <v>0.31303408086337497</v>
      </c>
      <c r="O15" s="22">
        <v>438.56996447947699</v>
      </c>
      <c r="P15" s="22">
        <v>207.32063354060699</v>
      </c>
      <c r="Q15" s="23">
        <v>1.7444444444444401E-2</v>
      </c>
      <c r="R15" s="21">
        <v>1.04344693621125</v>
      </c>
      <c r="S15" s="5">
        <v>0.26721319251130699</v>
      </c>
      <c r="T15" s="22">
        <v>438.56996447947699</v>
      </c>
      <c r="U15" s="22">
        <v>199</v>
      </c>
      <c r="V15" s="23">
        <v>1.8255813953488399E-2</v>
      </c>
      <c r="W15" s="21">
        <f t="shared" si="0"/>
        <v>1.0768773984204569</v>
      </c>
      <c r="X15" s="21">
        <f t="shared" si="1"/>
        <v>0.85472972972972971</v>
      </c>
      <c r="Y15" s="21">
        <v>0.89071064170435599</v>
      </c>
      <c r="Z15" s="21">
        <v>0.27296381267371</v>
      </c>
      <c r="AA15" s="22">
        <v>438.56996447947699</v>
      </c>
      <c r="AB15" s="22">
        <v>207.32063354060699</v>
      </c>
      <c r="AC15" s="23">
        <v>1.7444444444444401E-2</v>
      </c>
      <c r="AD15" s="21">
        <v>0.90987937557903198</v>
      </c>
      <c r="AE15" s="21">
        <v>0.28372079676068701</v>
      </c>
      <c r="AF15" s="21">
        <v>0.31729899713708898</v>
      </c>
      <c r="AG15" s="22">
        <v>451.41045521805398</v>
      </c>
      <c r="AH15" s="23">
        <v>1.23E-2</v>
      </c>
      <c r="AI15" s="21">
        <v>0.94573598920229096</v>
      </c>
    </row>
    <row r="16" spans="1:35" x14ac:dyDescent="0.25">
      <c r="B16" s="1">
        <v>10</v>
      </c>
      <c r="C16" s="1">
        <v>4</v>
      </c>
      <c r="D16" s="3">
        <v>32.466666666666697</v>
      </c>
      <c r="E16" s="5">
        <v>3.262</v>
      </c>
      <c r="F16" s="1">
        <v>25</v>
      </c>
      <c r="G16" s="1">
        <v>36</v>
      </c>
      <c r="H16" s="4">
        <v>95.721926864521507</v>
      </c>
      <c r="I16" s="1">
        <v>600</v>
      </c>
      <c r="J16" s="29">
        <v>564</v>
      </c>
      <c r="K16" s="22">
        <v>304</v>
      </c>
      <c r="L16" s="29">
        <v>86</v>
      </c>
      <c r="M16" s="5">
        <v>0.32</v>
      </c>
      <c r="N16" s="21">
        <v>0.37251975526633402</v>
      </c>
      <c r="O16" s="22">
        <v>498.27293814966202</v>
      </c>
      <c r="P16" s="22">
        <v>207.32063354060699</v>
      </c>
      <c r="Q16" s="23">
        <v>1.7444444444444401E-2</v>
      </c>
      <c r="R16" s="21">
        <v>1.16412423520729</v>
      </c>
      <c r="S16" s="5">
        <v>0.31719821005565602</v>
      </c>
      <c r="T16" s="22">
        <v>498.27293814966202</v>
      </c>
      <c r="U16" s="22">
        <v>199</v>
      </c>
      <c r="V16" s="23">
        <v>1.8255813953488399E-2</v>
      </c>
      <c r="W16" s="21">
        <f t="shared" si="0"/>
        <v>1.0768773984204569</v>
      </c>
      <c r="X16" s="21">
        <f t="shared" si="1"/>
        <v>0.85472972972972971</v>
      </c>
      <c r="Y16" s="21">
        <v>0.99124440642392497</v>
      </c>
      <c r="Z16" s="21">
        <v>0.324834958587645</v>
      </c>
      <c r="AA16" s="22">
        <v>498.27293814966202</v>
      </c>
      <c r="AB16" s="22">
        <v>207.32063354060699</v>
      </c>
      <c r="AC16" s="23">
        <v>1.7444444444444401E-2</v>
      </c>
      <c r="AD16" s="21">
        <v>1.0151092455863899</v>
      </c>
      <c r="AE16" s="21">
        <v>0.322343996319716</v>
      </c>
      <c r="AF16" s="21">
        <v>0.40956753998318202</v>
      </c>
      <c r="AG16" s="22">
        <v>512.86141790382806</v>
      </c>
      <c r="AH16" s="23">
        <v>1.23E-2</v>
      </c>
      <c r="AI16" s="21">
        <v>1.00732498849911</v>
      </c>
    </row>
    <row r="17" spans="1:35" x14ac:dyDescent="0.25">
      <c r="B17" s="1">
        <v>10</v>
      </c>
      <c r="C17" s="1">
        <v>4</v>
      </c>
      <c r="D17" s="3">
        <v>32.466666666666697</v>
      </c>
      <c r="E17" s="5">
        <v>3.262</v>
      </c>
      <c r="F17" s="1">
        <v>25</v>
      </c>
      <c r="G17" s="1">
        <v>36</v>
      </c>
      <c r="H17" s="4">
        <v>95.721926864521507</v>
      </c>
      <c r="I17" s="1">
        <v>600</v>
      </c>
      <c r="J17" s="29">
        <v>564</v>
      </c>
      <c r="K17" s="22">
        <v>304</v>
      </c>
      <c r="L17" s="29">
        <v>86</v>
      </c>
      <c r="M17" s="5">
        <v>0.38</v>
      </c>
      <c r="N17" s="21">
        <v>0.376992362364301</v>
      </c>
      <c r="O17" s="22">
        <v>502.76188353839802</v>
      </c>
      <c r="P17" s="22">
        <v>207.32063354060699</v>
      </c>
      <c r="Q17" s="23">
        <v>1.7444444444444401E-2</v>
      </c>
      <c r="R17" s="21">
        <v>0.99208516411658099</v>
      </c>
      <c r="S17" s="5">
        <v>0.32095648205147198</v>
      </c>
      <c r="T17" s="22">
        <v>502.76188353839802</v>
      </c>
      <c r="U17" s="22">
        <v>199</v>
      </c>
      <c r="V17" s="23">
        <v>1.8255813953488399E-2</v>
      </c>
      <c r="W17" s="21">
        <f t="shared" si="0"/>
        <v>1.0768773984204569</v>
      </c>
      <c r="X17" s="21">
        <f t="shared" si="1"/>
        <v>0.85472972972972971</v>
      </c>
      <c r="Y17" s="21">
        <v>0.844622321188084</v>
      </c>
      <c r="Z17" s="21">
        <v>0.32873504474658699</v>
      </c>
      <c r="AA17" s="22">
        <v>502.76188353839802</v>
      </c>
      <c r="AB17" s="22">
        <v>207.32063354060699</v>
      </c>
      <c r="AC17" s="23">
        <v>1.7444444444444401E-2</v>
      </c>
      <c r="AD17" s="21">
        <v>0.86509222301733502</v>
      </c>
      <c r="AE17" s="21">
        <v>0.32524799628656098</v>
      </c>
      <c r="AF17" s="21">
        <v>0.416980376718533</v>
      </c>
      <c r="AG17" s="22">
        <v>517.48179103809605</v>
      </c>
      <c r="AH17" s="23">
        <v>1.23E-2</v>
      </c>
      <c r="AI17" s="21">
        <v>0.85591577970147503</v>
      </c>
    </row>
    <row r="18" spans="1:35" x14ac:dyDescent="0.25">
      <c r="B18" s="1">
        <v>10</v>
      </c>
      <c r="C18" s="1">
        <v>4</v>
      </c>
      <c r="D18" s="3">
        <v>32.466666666666697</v>
      </c>
      <c r="E18" s="5">
        <v>3.262</v>
      </c>
      <c r="F18" s="1">
        <v>25</v>
      </c>
      <c r="G18" s="1">
        <v>36</v>
      </c>
      <c r="H18" s="4">
        <v>95.721926864521507</v>
      </c>
      <c r="I18" s="1">
        <v>600</v>
      </c>
      <c r="J18" s="29">
        <v>564</v>
      </c>
      <c r="K18" s="22">
        <v>304</v>
      </c>
      <c r="L18" s="29">
        <v>86</v>
      </c>
      <c r="M18" s="5">
        <v>0.42</v>
      </c>
      <c r="N18" s="21">
        <v>0.412773219148035</v>
      </c>
      <c r="O18" s="22">
        <v>538.67344664828295</v>
      </c>
      <c r="P18" s="22">
        <v>207.32063354060699</v>
      </c>
      <c r="Q18" s="23">
        <v>1.7444444444444401E-2</v>
      </c>
      <c r="R18" s="21">
        <v>0.98279337892389396</v>
      </c>
      <c r="S18" s="5">
        <v>0.35102265801799798</v>
      </c>
      <c r="T18" s="22">
        <v>538.67344664828295</v>
      </c>
      <c r="U18" s="22">
        <v>199</v>
      </c>
      <c r="V18" s="23">
        <v>1.8255813953488399E-2</v>
      </c>
      <c r="W18" s="21">
        <f t="shared" si="0"/>
        <v>1.0768773984204569</v>
      </c>
      <c r="X18" s="21">
        <f t="shared" si="1"/>
        <v>0.85472972972972971</v>
      </c>
      <c r="Y18" s="21">
        <v>0.835768233376185</v>
      </c>
      <c r="Z18" s="21">
        <v>0.35993573401812701</v>
      </c>
      <c r="AA18" s="22">
        <v>538.67344664828295</v>
      </c>
      <c r="AB18" s="22">
        <v>207.32063354060699</v>
      </c>
      <c r="AC18" s="23">
        <v>1.7444444444444401E-2</v>
      </c>
      <c r="AD18" s="21">
        <v>0.856989842900303</v>
      </c>
      <c r="AE18" s="21">
        <v>0.34847999602131502</v>
      </c>
      <c r="AF18" s="21">
        <v>0.47867645286566302</v>
      </c>
      <c r="AG18" s="22">
        <v>554.44477611224602</v>
      </c>
      <c r="AH18" s="23">
        <v>1.23E-2</v>
      </c>
      <c r="AI18" s="21">
        <v>0.82971427624122596</v>
      </c>
    </row>
    <row r="19" spans="1:35" x14ac:dyDescent="0.25">
      <c r="B19" s="1">
        <v>10</v>
      </c>
      <c r="C19" s="1">
        <v>4</v>
      </c>
      <c r="D19" s="3">
        <v>32.466666666666697</v>
      </c>
      <c r="E19" s="5">
        <v>3.262</v>
      </c>
      <c r="F19" s="1">
        <v>25</v>
      </c>
      <c r="G19" s="1">
        <v>36</v>
      </c>
      <c r="H19" s="4">
        <v>95.721926864521507</v>
      </c>
      <c r="I19" s="1">
        <v>600</v>
      </c>
      <c r="J19" s="29">
        <v>564</v>
      </c>
      <c r="K19" s="22">
        <v>304</v>
      </c>
      <c r="L19" s="29">
        <v>86</v>
      </c>
      <c r="M19" s="5">
        <v>0.44</v>
      </c>
      <c r="N19" s="21">
        <v>0.50177465310629799</v>
      </c>
      <c r="O19" s="22">
        <v>628</v>
      </c>
      <c r="P19" s="22">
        <v>207.32063354060699</v>
      </c>
      <c r="Q19" s="23">
        <v>1.7444444444444401E-2</v>
      </c>
      <c r="R19" s="21">
        <v>1.14039693887795</v>
      </c>
      <c r="S19" s="5">
        <v>0.42580937402192098</v>
      </c>
      <c r="T19" s="22">
        <v>628</v>
      </c>
      <c r="U19" s="22">
        <v>199</v>
      </c>
      <c r="V19" s="23">
        <v>1.8255813953488399E-2</v>
      </c>
      <c r="W19" s="21">
        <f t="shared" si="0"/>
        <v>1.0768773984204569</v>
      </c>
      <c r="X19" s="21">
        <f t="shared" si="1"/>
        <v>0.85472972972972971</v>
      </c>
      <c r="Y19" s="21">
        <v>0.96774857732254804</v>
      </c>
      <c r="Z19" s="21">
        <v>0.43754444256407599</v>
      </c>
      <c r="AA19" s="22">
        <v>628</v>
      </c>
      <c r="AB19" s="22">
        <v>207.32063354060699</v>
      </c>
      <c r="AC19" s="23">
        <v>1.7444444444444401E-2</v>
      </c>
      <c r="AD19" s="21">
        <v>0.99441918764562698</v>
      </c>
      <c r="AE19" s="21">
        <v>0.39471097380685</v>
      </c>
      <c r="AF19" s="21">
        <v>0.61410800657888298</v>
      </c>
      <c r="AG19" s="22">
        <v>628</v>
      </c>
      <c r="AH19" s="23">
        <v>1.23E-2</v>
      </c>
      <c r="AI19" s="21">
        <v>0.89707039501556896</v>
      </c>
    </row>
    <row r="20" spans="1:35" x14ac:dyDescent="0.25">
      <c r="B20" s="1">
        <v>10</v>
      </c>
      <c r="C20" s="1">
        <v>4</v>
      </c>
      <c r="D20" s="3">
        <v>32.466666666666697</v>
      </c>
      <c r="E20" s="5">
        <v>3.262</v>
      </c>
      <c r="F20" s="1">
        <v>25</v>
      </c>
      <c r="G20" s="1">
        <v>36</v>
      </c>
      <c r="H20" s="4">
        <v>95.721926864521507</v>
      </c>
      <c r="I20" s="1">
        <v>600</v>
      </c>
      <c r="J20" s="29">
        <v>564</v>
      </c>
      <c r="K20" s="22">
        <v>304</v>
      </c>
      <c r="L20" s="29">
        <v>86</v>
      </c>
      <c r="M20" s="5">
        <v>0.5</v>
      </c>
      <c r="N20" s="21">
        <v>0.50177465310629799</v>
      </c>
      <c r="O20" s="22">
        <v>628</v>
      </c>
      <c r="P20" s="22">
        <v>207.32063354060699</v>
      </c>
      <c r="Q20" s="23">
        <v>1.7444444444444401E-2</v>
      </c>
      <c r="R20" s="21">
        <v>1.0035493062126</v>
      </c>
      <c r="S20" s="5">
        <v>0.42580937402192098</v>
      </c>
      <c r="T20" s="22">
        <v>628</v>
      </c>
      <c r="U20" s="22">
        <v>199</v>
      </c>
      <c r="V20" s="23">
        <v>1.8255813953488399E-2</v>
      </c>
      <c r="W20" s="21">
        <f t="shared" si="0"/>
        <v>1.0768773984204569</v>
      </c>
      <c r="X20" s="21">
        <f t="shared" si="1"/>
        <v>0.85472972972972971</v>
      </c>
      <c r="Y20" s="21">
        <v>0.85161874804384197</v>
      </c>
      <c r="Z20" s="21">
        <v>0.43754444256407599</v>
      </c>
      <c r="AA20" s="22">
        <v>628</v>
      </c>
      <c r="AB20" s="22">
        <v>207.32063354060699</v>
      </c>
      <c r="AC20" s="23">
        <v>1.7444444444444401E-2</v>
      </c>
      <c r="AD20" s="21">
        <v>0.87508888512815197</v>
      </c>
      <c r="AE20" s="21">
        <v>0.39471097380685</v>
      </c>
      <c r="AF20" s="21">
        <v>0.61410800657888298</v>
      </c>
      <c r="AG20" s="22">
        <v>628</v>
      </c>
      <c r="AH20" s="23">
        <v>1.23E-2</v>
      </c>
      <c r="AI20" s="21">
        <v>0.78942194761370099</v>
      </c>
    </row>
    <row r="21" spans="1:35" x14ac:dyDescent="0.25">
      <c r="A21" t="s">
        <v>25</v>
      </c>
      <c r="B21" s="1">
        <v>10</v>
      </c>
      <c r="C21" s="1">
        <v>4</v>
      </c>
      <c r="D21" s="3">
        <v>32.466666666666697</v>
      </c>
      <c r="E21" s="5">
        <v>3.5139999999999998</v>
      </c>
      <c r="F21" s="1">
        <v>25</v>
      </c>
      <c r="G21" s="1">
        <v>36</v>
      </c>
      <c r="H21" s="4">
        <v>87.120678710097707</v>
      </c>
      <c r="I21" s="1">
        <v>600</v>
      </c>
      <c r="J21" s="29">
        <v>564</v>
      </c>
      <c r="K21" s="22">
        <v>303</v>
      </c>
      <c r="L21" s="29">
        <v>86</v>
      </c>
      <c r="M21" s="5">
        <v>0.24</v>
      </c>
      <c r="N21" s="21">
        <v>0.189229893046237</v>
      </c>
      <c r="O21" s="22">
        <v>321.47187644259401</v>
      </c>
      <c r="P21" s="22">
        <v>219.251221075838</v>
      </c>
      <c r="Q21" s="23">
        <v>1.7444444444444401E-2</v>
      </c>
      <c r="R21" s="21">
        <v>0.78845788769265401</v>
      </c>
      <c r="S21" s="5">
        <v>0.16333872081928399</v>
      </c>
      <c r="T21" s="22">
        <v>321.47187644259401</v>
      </c>
      <c r="U21" s="22">
        <v>210</v>
      </c>
      <c r="V21" s="23">
        <v>1.8255813953488399E-2</v>
      </c>
      <c r="W21" s="21">
        <f t="shared" si="0"/>
        <v>1.0754907969224252</v>
      </c>
      <c r="X21" s="21">
        <f t="shared" si="1"/>
        <v>0.85521885521885521</v>
      </c>
      <c r="Y21" s="21">
        <v>0.68057800341368202</v>
      </c>
      <c r="Z21" s="21">
        <v>0.16758074432571601</v>
      </c>
      <c r="AA21" s="22">
        <v>321.47187644259401</v>
      </c>
      <c r="AB21" s="22">
        <v>219.251221075838</v>
      </c>
      <c r="AC21" s="23">
        <v>1.7444444444444401E-2</v>
      </c>
      <c r="AD21" s="21">
        <v>0.69825310135715002</v>
      </c>
      <c r="AE21" s="21">
        <v>0.20908799761278901</v>
      </c>
      <c r="AF21" s="21">
        <v>0.15996566082219801</v>
      </c>
      <c r="AG21" s="22">
        <v>332.66686566734802</v>
      </c>
      <c r="AH21" s="23">
        <v>1.23E-2</v>
      </c>
      <c r="AI21" s="21">
        <v>0.66652358675916001</v>
      </c>
    </row>
    <row r="22" spans="1:35" x14ac:dyDescent="0.25">
      <c r="B22" s="1">
        <v>10</v>
      </c>
      <c r="C22" s="1">
        <v>4</v>
      </c>
      <c r="D22" s="3">
        <v>32.466666666666697</v>
      </c>
      <c r="E22" s="5">
        <v>3.5139999999999998</v>
      </c>
      <c r="F22" s="1">
        <v>25</v>
      </c>
      <c r="G22" s="1">
        <v>36</v>
      </c>
      <c r="H22" s="4">
        <v>87.120678710097707</v>
      </c>
      <c r="I22" s="1">
        <v>600</v>
      </c>
      <c r="J22" s="29">
        <v>564</v>
      </c>
      <c r="K22" s="22">
        <v>303</v>
      </c>
      <c r="L22" s="29">
        <v>86</v>
      </c>
      <c r="M22" s="5">
        <v>0.3</v>
      </c>
      <c r="N22" s="21">
        <v>0.22481898461479799</v>
      </c>
      <c r="O22" s="22">
        <v>357.19097382510398</v>
      </c>
      <c r="P22" s="22">
        <v>219.251221075838</v>
      </c>
      <c r="Q22" s="23">
        <v>1.7444444444444401E-2</v>
      </c>
      <c r="R22" s="21">
        <v>0.749396615382661</v>
      </c>
      <c r="S22" s="5">
        <v>0.193213400157039</v>
      </c>
      <c r="T22" s="22">
        <v>357.19097382510398</v>
      </c>
      <c r="U22" s="22">
        <v>210</v>
      </c>
      <c r="V22" s="23">
        <v>1.8255813953488399E-2</v>
      </c>
      <c r="W22" s="21">
        <f t="shared" si="0"/>
        <v>1.0754907969224252</v>
      </c>
      <c r="X22" s="21">
        <f t="shared" si="1"/>
        <v>0.85521885521885521</v>
      </c>
      <c r="Y22" s="21">
        <v>0.64404466719013098</v>
      </c>
      <c r="Z22" s="21">
        <v>0.19604078582316301</v>
      </c>
      <c r="AA22" s="22">
        <v>357.19097382510398</v>
      </c>
      <c r="AB22" s="22">
        <v>219.251221075838</v>
      </c>
      <c r="AC22" s="23">
        <v>1.7444444444444401E-2</v>
      </c>
      <c r="AD22" s="21">
        <v>0.653469286077209</v>
      </c>
      <c r="AE22" s="21">
        <v>0.23231999734754299</v>
      </c>
      <c r="AF22" s="21">
        <v>0.19748847015086199</v>
      </c>
      <c r="AG22" s="22">
        <v>369.62985074149799</v>
      </c>
      <c r="AH22" s="23">
        <v>1.23E-2</v>
      </c>
      <c r="AI22" s="21">
        <v>0.65829490050287398</v>
      </c>
    </row>
    <row r="23" spans="1:35" x14ac:dyDescent="0.25">
      <c r="B23" s="1">
        <v>10</v>
      </c>
      <c r="C23" s="1">
        <v>4</v>
      </c>
      <c r="D23" s="3">
        <v>32.466666666666697</v>
      </c>
      <c r="E23" s="5">
        <v>3.5139999999999998</v>
      </c>
      <c r="F23" s="1">
        <v>25</v>
      </c>
      <c r="G23" s="1">
        <v>36</v>
      </c>
      <c r="H23" s="4">
        <v>87.120678710097707</v>
      </c>
      <c r="I23" s="1">
        <v>600</v>
      </c>
      <c r="J23" s="29">
        <v>564</v>
      </c>
      <c r="K23" s="22">
        <v>303</v>
      </c>
      <c r="L23" s="29">
        <v>86</v>
      </c>
      <c r="M23" s="5">
        <v>0.3</v>
      </c>
      <c r="N23" s="21">
        <v>0.23816489395300899</v>
      </c>
      <c r="O23" s="22">
        <v>370.58563534354499</v>
      </c>
      <c r="P23" s="22">
        <v>219.251221075838</v>
      </c>
      <c r="Q23" s="23">
        <v>1.7444444444444401E-2</v>
      </c>
      <c r="R23" s="21">
        <v>0.79388297984336298</v>
      </c>
      <c r="S23" s="5">
        <v>0.204416404908698</v>
      </c>
      <c r="T23" s="22">
        <v>370.58563534354499</v>
      </c>
      <c r="U23" s="22">
        <v>210</v>
      </c>
      <c r="V23" s="23">
        <v>1.8255813953488399E-2</v>
      </c>
      <c r="W23" s="21">
        <f t="shared" si="0"/>
        <v>1.0754907969224252</v>
      </c>
      <c r="X23" s="21">
        <f t="shared" si="1"/>
        <v>0.85521885521885521</v>
      </c>
      <c r="Y23" s="21">
        <v>0.68138801636232604</v>
      </c>
      <c r="Z23" s="21">
        <v>0.20767833751244899</v>
      </c>
      <c r="AA23" s="22">
        <v>370.58563534354499</v>
      </c>
      <c r="AB23" s="22">
        <v>219.251221075838</v>
      </c>
      <c r="AC23" s="23">
        <v>1.7444444444444401E-2</v>
      </c>
      <c r="AD23" s="21">
        <v>0.69226112504149495</v>
      </c>
      <c r="AE23" s="21">
        <v>0.241031997248076</v>
      </c>
      <c r="AF23" s="21">
        <v>0.212577823573326</v>
      </c>
      <c r="AG23" s="22">
        <v>383.49097014430401</v>
      </c>
      <c r="AH23" s="23">
        <v>1.23E-2</v>
      </c>
      <c r="AI23" s="21">
        <v>0.70859274524442095</v>
      </c>
    </row>
    <row r="24" spans="1:35" x14ac:dyDescent="0.25">
      <c r="B24" s="1">
        <v>10</v>
      </c>
      <c r="C24" s="1">
        <v>4</v>
      </c>
      <c r="D24" s="3">
        <v>32.466666666666697</v>
      </c>
      <c r="E24" s="5">
        <v>3.5139999999999998</v>
      </c>
      <c r="F24" s="1">
        <v>25</v>
      </c>
      <c r="G24" s="1">
        <v>36</v>
      </c>
      <c r="H24" s="4">
        <v>87.120678710097707</v>
      </c>
      <c r="I24" s="1">
        <v>600</v>
      </c>
      <c r="J24" s="29">
        <v>564</v>
      </c>
      <c r="K24" s="22">
        <v>303</v>
      </c>
      <c r="L24" s="29">
        <v>86</v>
      </c>
      <c r="M24" s="5">
        <v>0.3</v>
      </c>
      <c r="N24" s="21">
        <v>0.26040807618335998</v>
      </c>
      <c r="O24" s="22">
        <v>392.91007120761401</v>
      </c>
      <c r="P24" s="22">
        <v>219.251221075838</v>
      </c>
      <c r="Q24" s="23">
        <v>1.7444444444444401E-2</v>
      </c>
      <c r="R24" s="21">
        <v>0.86802692061119902</v>
      </c>
      <c r="S24" s="5">
        <v>0.22308807949479501</v>
      </c>
      <c r="T24" s="22">
        <v>392.91007120761401</v>
      </c>
      <c r="U24" s="22">
        <v>210</v>
      </c>
      <c r="V24" s="23">
        <v>1.8255813953488399E-2</v>
      </c>
      <c r="W24" s="21">
        <f t="shared" si="0"/>
        <v>1.0754907969224252</v>
      </c>
      <c r="X24" s="21">
        <f t="shared" si="1"/>
        <v>0.85521885521885521</v>
      </c>
      <c r="Y24" s="21">
        <v>0.74362693164931604</v>
      </c>
      <c r="Z24" s="21">
        <v>0.22707425699459199</v>
      </c>
      <c r="AA24" s="22">
        <v>392.91007120761401</v>
      </c>
      <c r="AB24" s="22">
        <v>219.251221075838</v>
      </c>
      <c r="AC24" s="23">
        <v>1.7444444444444401E-2</v>
      </c>
      <c r="AD24" s="21">
        <v>0.75691418998197202</v>
      </c>
      <c r="AE24" s="21">
        <v>0.25555199708229798</v>
      </c>
      <c r="AF24" s="21">
        <v>0.23896104888254299</v>
      </c>
      <c r="AG24" s="22">
        <v>406.59283581564699</v>
      </c>
      <c r="AH24" s="23">
        <v>1.23E-2</v>
      </c>
      <c r="AI24" s="21">
        <v>0.79653682960847705</v>
      </c>
    </row>
    <row r="25" spans="1:35" x14ac:dyDescent="0.25">
      <c r="B25" s="1">
        <v>10</v>
      </c>
      <c r="C25" s="1">
        <v>4</v>
      </c>
      <c r="D25" s="3">
        <v>32.466666666666697</v>
      </c>
      <c r="E25" s="5">
        <v>3.5139999999999998</v>
      </c>
      <c r="F25" s="1">
        <v>25</v>
      </c>
      <c r="G25" s="1">
        <v>36</v>
      </c>
      <c r="H25" s="4">
        <v>87.120678710097707</v>
      </c>
      <c r="I25" s="1">
        <v>600</v>
      </c>
      <c r="J25" s="29">
        <v>564</v>
      </c>
      <c r="K25" s="22">
        <v>303</v>
      </c>
      <c r="L25" s="29">
        <v>86</v>
      </c>
      <c r="M25" s="5">
        <v>0.38</v>
      </c>
      <c r="N25" s="21">
        <v>0.29154853130585101</v>
      </c>
      <c r="O25" s="22">
        <v>424.16428141731097</v>
      </c>
      <c r="P25" s="22">
        <v>219.251221075838</v>
      </c>
      <c r="Q25" s="23">
        <v>1.7444444444444401E-2</v>
      </c>
      <c r="R25" s="21">
        <v>0.76723297712065996</v>
      </c>
      <c r="S25" s="5">
        <v>0.24922842391533101</v>
      </c>
      <c r="T25" s="22">
        <v>424.16428141731097</v>
      </c>
      <c r="U25" s="22">
        <v>210</v>
      </c>
      <c r="V25" s="23">
        <v>1.8255813953488399E-2</v>
      </c>
      <c r="W25" s="21">
        <f t="shared" si="0"/>
        <v>1.0754907969224252</v>
      </c>
      <c r="X25" s="21">
        <f t="shared" si="1"/>
        <v>0.85521885521885521</v>
      </c>
      <c r="Y25" s="21">
        <v>0.65586427346139697</v>
      </c>
      <c r="Z25" s="21">
        <v>0.25422854426959202</v>
      </c>
      <c r="AA25" s="22">
        <v>424.16428141731097</v>
      </c>
      <c r="AB25" s="22">
        <v>219.251221075838</v>
      </c>
      <c r="AC25" s="23">
        <v>1.7444444444444401E-2</v>
      </c>
      <c r="AD25" s="21">
        <v>0.66902248491997895</v>
      </c>
      <c r="AE25" s="21">
        <v>0.27587999685020798</v>
      </c>
      <c r="AF25" s="21">
        <v>0.27848960048617699</v>
      </c>
      <c r="AG25" s="22">
        <v>438.935447755528</v>
      </c>
      <c r="AH25" s="23">
        <v>1.23E-2</v>
      </c>
      <c r="AI25" s="21">
        <v>0.72599999171107299</v>
      </c>
    </row>
    <row r="26" spans="1:35" x14ac:dyDescent="0.25">
      <c r="B26" s="1">
        <v>10</v>
      </c>
      <c r="C26" s="1">
        <v>4</v>
      </c>
      <c r="D26" s="3">
        <v>32.466666666666697</v>
      </c>
      <c r="E26" s="5">
        <v>3.5139999999999998</v>
      </c>
      <c r="F26" s="1">
        <v>25</v>
      </c>
      <c r="G26" s="1">
        <v>36</v>
      </c>
      <c r="H26" s="4">
        <v>87.120678710097707</v>
      </c>
      <c r="I26" s="1">
        <v>600</v>
      </c>
      <c r="J26" s="29">
        <v>564</v>
      </c>
      <c r="K26" s="22">
        <v>303</v>
      </c>
      <c r="L26" s="29">
        <v>86</v>
      </c>
      <c r="M26" s="5">
        <v>0.44</v>
      </c>
      <c r="N26" s="21">
        <v>0.35827807799690298</v>
      </c>
      <c r="O26" s="22">
        <v>491.13758900951802</v>
      </c>
      <c r="P26" s="22">
        <v>219.251221075838</v>
      </c>
      <c r="Q26" s="23">
        <v>1.7444444444444401E-2</v>
      </c>
      <c r="R26" s="21">
        <v>0.81426835908387096</v>
      </c>
      <c r="S26" s="5">
        <v>0.30524344767362299</v>
      </c>
      <c r="T26" s="22">
        <v>491.13758900951802</v>
      </c>
      <c r="U26" s="22">
        <v>210</v>
      </c>
      <c r="V26" s="23">
        <v>1.8255813953488399E-2</v>
      </c>
      <c r="W26" s="21">
        <f t="shared" si="0"/>
        <v>1.0754907969224252</v>
      </c>
      <c r="X26" s="21">
        <f t="shared" si="1"/>
        <v>0.85521885521885521</v>
      </c>
      <c r="Y26" s="21">
        <v>0.69373510834914198</v>
      </c>
      <c r="Z26" s="21">
        <v>0.312416302716021</v>
      </c>
      <c r="AA26" s="22">
        <v>491.13758900951802</v>
      </c>
      <c r="AB26" s="22">
        <v>219.251221075838</v>
      </c>
      <c r="AC26" s="23">
        <v>1.7444444444444401E-2</v>
      </c>
      <c r="AD26" s="21">
        <v>0.710037051627321</v>
      </c>
      <c r="AE26" s="21">
        <v>0.31943999635287201</v>
      </c>
      <c r="AF26" s="21">
        <v>0.37337663887897399</v>
      </c>
      <c r="AG26" s="22">
        <v>508.24104476955898</v>
      </c>
      <c r="AH26" s="23">
        <v>1.23E-2</v>
      </c>
      <c r="AI26" s="21">
        <v>0.72599999171107299</v>
      </c>
    </row>
    <row r="27" spans="1:35" x14ac:dyDescent="0.25">
      <c r="A27" t="s">
        <v>26</v>
      </c>
      <c r="B27" s="1">
        <v>16</v>
      </c>
      <c r="C27" s="1">
        <v>4</v>
      </c>
      <c r="D27" s="3">
        <v>37</v>
      </c>
      <c r="E27" s="5">
        <v>4.2587999999999999</v>
      </c>
      <c r="F27" s="1">
        <v>33</v>
      </c>
      <c r="G27" s="1">
        <v>59</v>
      </c>
      <c r="H27" s="4">
        <v>86</v>
      </c>
      <c r="I27" s="1">
        <v>250</v>
      </c>
      <c r="J27" s="29">
        <v>191</v>
      </c>
      <c r="K27" s="22">
        <v>132</v>
      </c>
      <c r="L27" s="29">
        <v>132</v>
      </c>
      <c r="M27" s="5">
        <v>0.18</v>
      </c>
      <c r="N27" s="21">
        <v>5.34417672094403E-2</v>
      </c>
      <c r="O27" s="30">
        <v>140.041965597591</v>
      </c>
      <c r="P27" s="22">
        <v>60</v>
      </c>
      <c r="Q27" s="23">
        <v>0.1168</v>
      </c>
      <c r="R27" s="31">
        <v>0.296898706719113</v>
      </c>
      <c r="S27" s="5">
        <v>5.4713257349968597E-2</v>
      </c>
      <c r="T27" s="22">
        <v>140.041965597591</v>
      </c>
      <c r="U27" s="22">
        <v>128</v>
      </c>
      <c r="V27" s="23">
        <v>4.0800000000000003E-2</v>
      </c>
      <c r="W27" s="21">
        <f t="shared" si="0"/>
        <v>1.5619047619047619</v>
      </c>
      <c r="X27" s="21">
        <f t="shared" si="1"/>
        <v>0.44067796610169491</v>
      </c>
      <c r="Y27" s="21">
        <v>0.30396254083315899</v>
      </c>
      <c r="Z27" s="21">
        <v>6.9589927034866203E-2</v>
      </c>
      <c r="AA27" s="22">
        <v>140.041965597591</v>
      </c>
      <c r="AB27" s="22">
        <v>60</v>
      </c>
      <c r="AC27" s="23">
        <v>0.1168</v>
      </c>
      <c r="AD27" s="21">
        <v>0.38661070574925699</v>
      </c>
      <c r="AE27" s="21">
        <v>4.9777664148208702E-2</v>
      </c>
      <c r="AF27" s="21">
        <v>4.4458844902455802E-2</v>
      </c>
      <c r="AG27" s="22">
        <v>150.07086162172601</v>
      </c>
      <c r="AH27" s="23">
        <v>5.45E-2</v>
      </c>
      <c r="AI27" s="21">
        <v>0.246993582791421</v>
      </c>
    </row>
    <row r="28" spans="1:35" x14ac:dyDescent="0.25">
      <c r="B28" s="1">
        <v>16</v>
      </c>
      <c r="C28" s="1">
        <v>4</v>
      </c>
      <c r="D28" s="3">
        <v>37</v>
      </c>
      <c r="E28" s="5">
        <v>4.2587999999999999</v>
      </c>
      <c r="F28" s="1">
        <v>33</v>
      </c>
      <c r="G28" s="1">
        <v>59</v>
      </c>
      <c r="H28" s="4">
        <v>86</v>
      </c>
      <c r="I28" s="1">
        <v>250</v>
      </c>
      <c r="J28" s="29">
        <v>191</v>
      </c>
      <c r="K28" s="22">
        <v>132</v>
      </c>
      <c r="L28" s="29">
        <v>132</v>
      </c>
      <c r="M28" s="5">
        <v>0.2</v>
      </c>
      <c r="N28" s="21">
        <v>8.4991922663127106E-2</v>
      </c>
      <c r="O28" s="30">
        <v>201.59887355257601</v>
      </c>
      <c r="P28" s="22">
        <v>60</v>
      </c>
      <c r="Q28" s="23">
        <v>0.1168</v>
      </c>
      <c r="R28" s="31">
        <v>0.42495961331563498</v>
      </c>
      <c r="S28" s="5">
        <v>0.10778702027692399</v>
      </c>
      <c r="T28" s="22">
        <v>201.59887355257601</v>
      </c>
      <c r="U28" s="22">
        <v>128</v>
      </c>
      <c r="V28" s="23">
        <v>4.0800000000000003E-2</v>
      </c>
      <c r="W28" s="21">
        <f t="shared" si="0"/>
        <v>1.5619047619047619</v>
      </c>
      <c r="X28" s="21">
        <f t="shared" si="1"/>
        <v>0.44067796610169491</v>
      </c>
      <c r="Y28" s="21">
        <v>0.53893510138461997</v>
      </c>
      <c r="Z28" s="21">
        <v>0.110673392844599</v>
      </c>
      <c r="AA28" s="22">
        <v>201.59887355257601</v>
      </c>
      <c r="AB28" s="22">
        <v>60</v>
      </c>
      <c r="AC28" s="23">
        <v>0.1168</v>
      </c>
      <c r="AD28" s="21">
        <v>0.55336696422299603</v>
      </c>
      <c r="AE28" s="21">
        <v>7.1657956081487298E-2</v>
      </c>
      <c r="AF28" s="21">
        <v>9.2133587413482002E-2</v>
      </c>
      <c r="AG28" s="22">
        <v>216.03607552138601</v>
      </c>
      <c r="AH28" s="23">
        <v>5.45E-2</v>
      </c>
      <c r="AI28" s="21">
        <v>0.35828978040743598</v>
      </c>
    </row>
    <row r="29" spans="1:35" x14ac:dyDescent="0.25">
      <c r="B29" s="1">
        <v>16</v>
      </c>
      <c r="C29" s="1">
        <v>4</v>
      </c>
      <c r="D29" s="3">
        <v>37</v>
      </c>
      <c r="E29" s="5">
        <v>4.2587999999999999</v>
      </c>
      <c r="F29" s="1">
        <v>33</v>
      </c>
      <c r="G29" s="1">
        <v>59</v>
      </c>
      <c r="H29" s="4">
        <v>86</v>
      </c>
      <c r="I29" s="1">
        <v>250</v>
      </c>
      <c r="J29" s="29">
        <v>191</v>
      </c>
      <c r="K29" s="22">
        <v>132</v>
      </c>
      <c r="L29" s="29">
        <v>132</v>
      </c>
      <c r="M29" s="5">
        <v>0.26</v>
      </c>
      <c r="N29" s="21">
        <v>0.106682654537537</v>
      </c>
      <c r="O29" s="30">
        <v>243.91924777162799</v>
      </c>
      <c r="P29" s="22">
        <v>60</v>
      </c>
      <c r="Q29" s="23">
        <v>0.1168</v>
      </c>
      <c r="R29" s="31">
        <v>0.410317902067449</v>
      </c>
      <c r="S29" s="5">
        <v>0.144275232289206</v>
      </c>
      <c r="T29" s="22">
        <v>243.91924777162799</v>
      </c>
      <c r="U29" s="22">
        <v>128</v>
      </c>
      <c r="V29" s="23">
        <v>4.0800000000000003E-2</v>
      </c>
      <c r="W29" s="21">
        <f t="shared" si="0"/>
        <v>1.5619047619047619</v>
      </c>
      <c r="X29" s="21">
        <f t="shared" si="1"/>
        <v>0.44067796610169491</v>
      </c>
      <c r="Y29" s="21">
        <v>0.55490473957386899</v>
      </c>
      <c r="Z29" s="21">
        <v>0.138918275588791</v>
      </c>
      <c r="AA29" s="22">
        <v>243.91924777162799</v>
      </c>
      <c r="AB29" s="22">
        <v>60</v>
      </c>
      <c r="AC29" s="23">
        <v>0.1168</v>
      </c>
      <c r="AD29" s="21">
        <v>0.53430105995688704</v>
      </c>
      <c r="AE29" s="21">
        <v>8.6700656785616295E-2</v>
      </c>
      <c r="AF29" s="21">
        <v>0.134875765771129</v>
      </c>
      <c r="AG29" s="22">
        <v>261.38716007740197</v>
      </c>
      <c r="AH29" s="23">
        <v>5.45E-2</v>
      </c>
      <c r="AI29" s="21">
        <v>0.333464064560063</v>
      </c>
    </row>
    <row r="30" spans="1:35" x14ac:dyDescent="0.25">
      <c r="B30" s="1">
        <v>16</v>
      </c>
      <c r="C30" s="1">
        <v>4</v>
      </c>
      <c r="D30" s="3">
        <v>37</v>
      </c>
      <c r="E30" s="5">
        <v>4.2587999999999999</v>
      </c>
      <c r="F30" s="1">
        <v>33</v>
      </c>
      <c r="G30" s="1">
        <v>59</v>
      </c>
      <c r="H30" s="4">
        <v>86</v>
      </c>
      <c r="I30" s="1">
        <v>250</v>
      </c>
      <c r="J30" s="29">
        <v>191</v>
      </c>
      <c r="K30" s="22">
        <v>132</v>
      </c>
      <c r="L30" s="29">
        <v>132</v>
      </c>
      <c r="M30" s="5">
        <v>0.44</v>
      </c>
      <c r="N30" s="21">
        <v>0.14257095636610501</v>
      </c>
      <c r="O30" s="30">
        <v>313.94023057042398</v>
      </c>
      <c r="P30" s="22">
        <v>60</v>
      </c>
      <c r="Q30" s="23">
        <v>0.1168</v>
      </c>
      <c r="R30" s="31">
        <v>0.32402490083205798</v>
      </c>
      <c r="S30" s="5">
        <v>0.20464663761861801</v>
      </c>
      <c r="T30" s="22">
        <v>313.94023057042398</v>
      </c>
      <c r="U30" s="22">
        <v>128</v>
      </c>
      <c r="V30" s="23">
        <v>4.0800000000000003E-2</v>
      </c>
      <c r="W30" s="21">
        <f t="shared" si="0"/>
        <v>1.5619047619047619</v>
      </c>
      <c r="X30" s="21">
        <f t="shared" si="1"/>
        <v>0.44067796610169491</v>
      </c>
      <c r="Y30" s="21">
        <v>0.46510599458776802</v>
      </c>
      <c r="Z30" s="21">
        <v>0.18565071794736199</v>
      </c>
      <c r="AA30" s="22">
        <v>313.94023057042398</v>
      </c>
      <c r="AB30" s="22">
        <v>60</v>
      </c>
      <c r="AC30" s="23">
        <v>0.1168</v>
      </c>
      <c r="AD30" s="21">
        <v>0.42193344988036802</v>
      </c>
      <c r="AE30" s="21">
        <v>0.111589488859721</v>
      </c>
      <c r="AF30" s="21">
        <v>0.22342703652464699</v>
      </c>
      <c r="AG30" s="22">
        <v>336.42259088826501</v>
      </c>
      <c r="AH30" s="23">
        <v>5.45E-2</v>
      </c>
      <c r="AI30" s="21">
        <v>0.25361247468118298</v>
      </c>
    </row>
    <row r="31" spans="1:35" x14ac:dyDescent="0.25">
      <c r="B31" s="1">
        <v>16</v>
      </c>
      <c r="C31" s="1">
        <v>4</v>
      </c>
      <c r="D31" s="3">
        <v>37</v>
      </c>
      <c r="E31" s="5">
        <v>4.2587999999999999</v>
      </c>
      <c r="F31" s="1">
        <v>33</v>
      </c>
      <c r="G31" s="1">
        <v>59</v>
      </c>
      <c r="H31" s="4">
        <v>86</v>
      </c>
      <c r="I31" s="1">
        <v>250</v>
      </c>
      <c r="J31" s="29">
        <v>191</v>
      </c>
      <c r="K31" s="22">
        <v>132</v>
      </c>
      <c r="L31" s="29">
        <v>132</v>
      </c>
      <c r="M31" s="5">
        <v>0.6</v>
      </c>
      <c r="N31" s="21">
        <v>0.19502308980786001</v>
      </c>
      <c r="O31" s="30">
        <v>416.27859004558701</v>
      </c>
      <c r="P31" s="22">
        <v>60</v>
      </c>
      <c r="Q31" s="23">
        <v>0.1168</v>
      </c>
      <c r="R31" s="31">
        <v>0.32503848301310001</v>
      </c>
      <c r="S31" s="5">
        <v>0.292881768484681</v>
      </c>
      <c r="T31" s="22">
        <v>416.27859004558701</v>
      </c>
      <c r="U31" s="22">
        <v>128</v>
      </c>
      <c r="V31" s="23">
        <v>4.0800000000000003E-2</v>
      </c>
      <c r="W31" s="21">
        <f t="shared" si="0"/>
        <v>1.5619047619047619</v>
      </c>
      <c r="X31" s="21">
        <f t="shared" si="1"/>
        <v>0.44067796610169491</v>
      </c>
      <c r="Y31" s="21">
        <v>0.48813628080780203</v>
      </c>
      <c r="Z31" s="21">
        <v>0.25395197985604301</v>
      </c>
      <c r="AA31" s="22">
        <v>416.27859004558701</v>
      </c>
      <c r="AB31" s="22">
        <v>60</v>
      </c>
      <c r="AC31" s="23">
        <v>0.1168</v>
      </c>
      <c r="AD31" s="21">
        <v>0.42325329976007198</v>
      </c>
      <c r="AE31" s="21">
        <v>0.14796547419879599</v>
      </c>
      <c r="AF31" s="21">
        <v>0.39283477795241101</v>
      </c>
      <c r="AG31" s="22">
        <v>446.08975899644901</v>
      </c>
      <c r="AH31" s="23">
        <v>5.45E-2</v>
      </c>
      <c r="AI31" s="21">
        <v>0.24660912366466001</v>
      </c>
    </row>
    <row r="32" spans="1:35" x14ac:dyDescent="0.25">
      <c r="A32" t="s">
        <v>27</v>
      </c>
      <c r="B32" s="1">
        <v>12</v>
      </c>
      <c r="C32" s="1">
        <v>4</v>
      </c>
      <c r="D32" s="3">
        <v>79.3</v>
      </c>
      <c r="E32" s="5">
        <v>2.6933292113182898</v>
      </c>
      <c r="F32" s="1">
        <v>20</v>
      </c>
      <c r="G32" s="1">
        <v>38</v>
      </c>
      <c r="H32" s="4">
        <v>76.169428201642404</v>
      </c>
      <c r="I32" s="1">
        <v>450</v>
      </c>
      <c r="J32" s="29">
        <v>412</v>
      </c>
      <c r="K32" s="22">
        <v>228</v>
      </c>
      <c r="L32" s="29">
        <v>98</v>
      </c>
      <c r="M32" s="5">
        <v>0.36</v>
      </c>
      <c r="N32" s="21">
        <v>0.243492377830339</v>
      </c>
      <c r="O32" s="22">
        <v>300.43295624924099</v>
      </c>
      <c r="P32" s="22">
        <v>216.14137246489199</v>
      </c>
      <c r="Q32" s="23">
        <v>1.3593984962406E-2</v>
      </c>
      <c r="R32" s="21">
        <v>0.67636771619538705</v>
      </c>
      <c r="S32" s="5">
        <v>0.234277041464278</v>
      </c>
      <c r="T32" s="22">
        <v>300.43295624924099</v>
      </c>
      <c r="U32" s="22">
        <v>222</v>
      </c>
      <c r="V32" s="23">
        <v>1.3177842565597699E-2</v>
      </c>
      <c r="W32" s="21">
        <f t="shared" si="0"/>
        <v>1.1131522952080024</v>
      </c>
      <c r="X32" s="21">
        <f t="shared" si="1"/>
        <v>0.77927927927927931</v>
      </c>
      <c r="Y32" s="21">
        <v>0.65076955962299399</v>
      </c>
      <c r="Z32" s="21">
        <v>0.19654297410838101</v>
      </c>
      <c r="AA32" s="22">
        <v>300.43295624924099</v>
      </c>
      <c r="AB32" s="22">
        <v>216.14137246489199</v>
      </c>
      <c r="AC32" s="23">
        <v>1.3593984962406E-2</v>
      </c>
      <c r="AD32" s="21">
        <v>0.54595270585661304</v>
      </c>
      <c r="AE32" s="21">
        <v>0.22346339002485899</v>
      </c>
      <c r="AF32" s="21">
        <v>0.22693428965131099</v>
      </c>
      <c r="AG32" s="22">
        <v>309.032955202506</v>
      </c>
      <c r="AH32" s="23">
        <v>1.3599999999999999E-2</v>
      </c>
      <c r="AI32" s="21">
        <v>0.62073163895794203</v>
      </c>
    </row>
    <row r="33" spans="1:35" x14ac:dyDescent="0.25">
      <c r="B33" s="1">
        <v>12</v>
      </c>
      <c r="C33" s="1">
        <v>4</v>
      </c>
      <c r="D33" s="3">
        <v>79.3</v>
      </c>
      <c r="E33" s="5">
        <v>2.6933292113182898</v>
      </c>
      <c r="F33" s="1">
        <v>20</v>
      </c>
      <c r="G33" s="1">
        <v>38</v>
      </c>
      <c r="H33" s="4">
        <v>76.169428201642404</v>
      </c>
      <c r="I33" s="1">
        <v>450</v>
      </c>
      <c r="J33" s="29">
        <v>412</v>
      </c>
      <c r="K33" s="22">
        <v>228</v>
      </c>
      <c r="L33" s="29">
        <v>98</v>
      </c>
      <c r="M33" s="5">
        <v>0.43</v>
      </c>
      <c r="N33" s="21">
        <v>0.36590013330846</v>
      </c>
      <c r="O33" s="22">
        <v>386.27094374902401</v>
      </c>
      <c r="P33" s="22">
        <v>216.14137246489199</v>
      </c>
      <c r="Q33" s="23">
        <v>1.3593984962406E-2</v>
      </c>
      <c r="R33" s="21">
        <v>0.85093054257781298</v>
      </c>
      <c r="S33" s="5">
        <v>0.35469963715583802</v>
      </c>
      <c r="T33" s="22">
        <v>386.27094374902401</v>
      </c>
      <c r="U33" s="22">
        <v>222</v>
      </c>
      <c r="V33" s="23">
        <v>1.3177842565597699E-2</v>
      </c>
      <c r="W33" s="21">
        <f t="shared" si="0"/>
        <v>1.1131522952080024</v>
      </c>
      <c r="X33" s="21">
        <f t="shared" si="1"/>
        <v>0.77927927927927931</v>
      </c>
      <c r="Y33" s="21">
        <v>0.82488287710660002</v>
      </c>
      <c r="Z33" s="21">
        <v>0.27976402135554901</v>
      </c>
      <c r="AA33" s="22">
        <v>386.27094374902401</v>
      </c>
      <c r="AB33" s="22">
        <v>216.14137246489199</v>
      </c>
      <c r="AC33" s="23">
        <v>1.3593984962406E-2</v>
      </c>
      <c r="AD33" s="21">
        <v>0.650614003152439</v>
      </c>
      <c r="AE33" s="21">
        <v>0.28731007288910398</v>
      </c>
      <c r="AF33" s="21">
        <v>0.375136274729718</v>
      </c>
      <c r="AG33" s="22">
        <v>397.32808526036501</v>
      </c>
      <c r="AH33" s="23">
        <v>1.3599999999999999E-2</v>
      </c>
      <c r="AI33" s="21">
        <v>0.66816296020721899</v>
      </c>
    </row>
    <row r="34" spans="1:35" x14ac:dyDescent="0.25">
      <c r="B34" s="1">
        <v>12</v>
      </c>
      <c r="C34" s="1">
        <v>4</v>
      </c>
      <c r="D34" s="3">
        <v>79.3</v>
      </c>
      <c r="E34" s="5">
        <v>2.6933292113182898</v>
      </c>
      <c r="F34" s="1">
        <v>20</v>
      </c>
      <c r="G34" s="1">
        <v>38</v>
      </c>
      <c r="H34" s="4">
        <v>76.169428201642404</v>
      </c>
      <c r="I34" s="1">
        <v>450</v>
      </c>
      <c r="J34" s="29">
        <v>412</v>
      </c>
      <c r="K34" s="22">
        <v>228</v>
      </c>
      <c r="L34" s="29">
        <v>98</v>
      </c>
      <c r="M34" s="5">
        <v>0.56000000000000005</v>
      </c>
      <c r="N34" s="21">
        <v>0.52808145784571003</v>
      </c>
      <c r="O34" s="22">
        <v>500</v>
      </c>
      <c r="P34" s="22">
        <v>216.14137246489199</v>
      </c>
      <c r="Q34" s="23">
        <v>1.3593984962406E-2</v>
      </c>
      <c r="R34" s="21">
        <v>0.94300260329591101</v>
      </c>
      <c r="S34" s="5">
        <v>0.51425077014725995</v>
      </c>
      <c r="T34" s="22">
        <v>500</v>
      </c>
      <c r="U34" s="22">
        <v>222</v>
      </c>
      <c r="V34" s="23">
        <v>1.3177842565597699E-2</v>
      </c>
      <c r="W34" s="21">
        <f t="shared" si="0"/>
        <v>1.1131522952080024</v>
      </c>
      <c r="X34" s="21">
        <f t="shared" si="1"/>
        <v>0.77927927927927931</v>
      </c>
      <c r="Y34" s="21">
        <v>0.91830494669153495</v>
      </c>
      <c r="Z34" s="21">
        <v>0.40376643461255801</v>
      </c>
      <c r="AA34" s="22">
        <v>500</v>
      </c>
      <c r="AB34" s="22">
        <v>216.14137246489199</v>
      </c>
      <c r="AC34" s="23">
        <v>1.3593984962406E-2</v>
      </c>
      <c r="AD34" s="21">
        <v>0.72101149037956802</v>
      </c>
      <c r="AE34" s="21">
        <v>0.36155268598849899</v>
      </c>
      <c r="AF34" s="21">
        <v>0.59406031512087498</v>
      </c>
      <c r="AG34" s="22">
        <v>500</v>
      </c>
      <c r="AH34" s="23">
        <v>1.3599999999999999E-2</v>
      </c>
      <c r="AI34" s="21">
        <v>0.64562979640803297</v>
      </c>
    </row>
    <row r="35" spans="1:35" x14ac:dyDescent="0.25">
      <c r="B35" s="1">
        <v>12</v>
      </c>
      <c r="C35" s="1">
        <v>4</v>
      </c>
      <c r="D35" s="3">
        <v>79.3</v>
      </c>
      <c r="E35" s="5">
        <v>2.6933292113182898</v>
      </c>
      <c r="F35" s="1">
        <v>20</v>
      </c>
      <c r="G35" s="1">
        <v>38</v>
      </c>
      <c r="H35" s="4">
        <v>76.169428201642404</v>
      </c>
      <c r="I35" s="1">
        <v>450</v>
      </c>
      <c r="J35" s="29">
        <v>412</v>
      </c>
      <c r="K35" s="22">
        <v>228</v>
      </c>
      <c r="L35" s="29">
        <v>98</v>
      </c>
      <c r="M35" s="5">
        <v>0.71</v>
      </c>
      <c r="N35" s="21">
        <v>0.52808145784571003</v>
      </c>
      <c r="O35" s="22">
        <v>500</v>
      </c>
      <c r="P35" s="22">
        <v>216.14137246489199</v>
      </c>
      <c r="Q35" s="23">
        <v>1.3593984962406E-2</v>
      </c>
      <c r="R35" s="21">
        <v>0.74377670119114103</v>
      </c>
      <c r="S35" s="5">
        <v>0.51425077014725995</v>
      </c>
      <c r="T35" s="22">
        <v>500</v>
      </c>
      <c r="U35" s="22">
        <v>222</v>
      </c>
      <c r="V35" s="23">
        <v>1.3177842565597699E-2</v>
      </c>
      <c r="W35" s="21">
        <f t="shared" si="0"/>
        <v>1.1131522952080024</v>
      </c>
      <c r="X35" s="21">
        <f t="shared" si="1"/>
        <v>0.77927927927927931</v>
      </c>
      <c r="Y35" s="21">
        <v>0.72429685936233701</v>
      </c>
      <c r="Z35" s="21">
        <v>0.40376643461255801</v>
      </c>
      <c r="AA35" s="22">
        <v>500</v>
      </c>
      <c r="AB35" s="22">
        <v>216.14137246489199</v>
      </c>
      <c r="AC35" s="23">
        <v>1.3593984962406E-2</v>
      </c>
      <c r="AD35" s="21">
        <v>0.56868511917261699</v>
      </c>
      <c r="AE35" s="21">
        <v>0.36155268598849899</v>
      </c>
      <c r="AF35" s="21">
        <v>0.59406031512087498</v>
      </c>
      <c r="AG35" s="22">
        <v>500</v>
      </c>
      <c r="AH35" s="23">
        <v>1.3599999999999999E-2</v>
      </c>
      <c r="AI35" s="21">
        <v>0.50922913519506896</v>
      </c>
    </row>
    <row r="36" spans="1:35" x14ac:dyDescent="0.25">
      <c r="B36" s="1">
        <v>12</v>
      </c>
      <c r="C36" s="1">
        <v>4</v>
      </c>
      <c r="D36" s="3">
        <v>79.3</v>
      </c>
      <c r="E36" s="5">
        <v>2.6933292113182898</v>
      </c>
      <c r="F36" s="1">
        <v>20</v>
      </c>
      <c r="G36" s="1">
        <v>38</v>
      </c>
      <c r="H36" s="4">
        <v>76.169428201642404</v>
      </c>
      <c r="I36" s="1">
        <v>450</v>
      </c>
      <c r="J36" s="29">
        <v>412</v>
      </c>
      <c r="K36" s="22">
        <v>228</v>
      </c>
      <c r="L36" s="29">
        <v>98</v>
      </c>
      <c r="M36" s="5">
        <v>0.79</v>
      </c>
      <c r="N36" s="21">
        <v>0.52808145784571003</v>
      </c>
      <c r="O36" s="22">
        <v>500</v>
      </c>
      <c r="P36" s="22">
        <v>216.14137246489199</v>
      </c>
      <c r="Q36" s="23">
        <v>1.3593984962406E-2</v>
      </c>
      <c r="R36" s="21">
        <v>0.668457541576848</v>
      </c>
      <c r="S36" s="5">
        <v>0.51425077014725995</v>
      </c>
      <c r="T36" s="22">
        <v>500</v>
      </c>
      <c r="U36" s="22">
        <v>222</v>
      </c>
      <c r="V36" s="23">
        <v>1.3177842565597699E-2</v>
      </c>
      <c r="W36" s="21">
        <f t="shared" si="0"/>
        <v>1.1131522952080024</v>
      </c>
      <c r="X36" s="21">
        <f t="shared" si="1"/>
        <v>0.77927927927927931</v>
      </c>
      <c r="Y36" s="21">
        <v>0.65095034195855594</v>
      </c>
      <c r="Z36" s="21">
        <v>0.40376643461255801</v>
      </c>
      <c r="AA36" s="22">
        <v>500</v>
      </c>
      <c r="AB36" s="22">
        <v>216.14137246489199</v>
      </c>
      <c r="AC36" s="23">
        <v>1.3593984962406E-2</v>
      </c>
      <c r="AD36" s="21">
        <v>0.51109675267412402</v>
      </c>
      <c r="AE36" s="21">
        <v>0.36155268598849899</v>
      </c>
      <c r="AF36" s="21">
        <v>0.59406031512087498</v>
      </c>
      <c r="AG36" s="22">
        <v>500</v>
      </c>
      <c r="AH36" s="23">
        <v>1.3599999999999999E-2</v>
      </c>
      <c r="AI36" s="21">
        <v>0.45766162783354303</v>
      </c>
    </row>
    <row r="37" spans="1:35" x14ac:dyDescent="0.25">
      <c r="A37" t="s">
        <v>28</v>
      </c>
      <c r="B37" s="1">
        <v>25</v>
      </c>
      <c r="C37" s="1">
        <v>4</v>
      </c>
      <c r="D37" s="3">
        <v>62</v>
      </c>
      <c r="E37" s="5">
        <v>2.6933292113182898</v>
      </c>
      <c r="F37" s="1">
        <v>20</v>
      </c>
      <c r="G37" s="1">
        <v>44.5</v>
      </c>
      <c r="H37" s="4">
        <v>140.92716892937</v>
      </c>
      <c r="I37" s="1">
        <v>450</v>
      </c>
      <c r="J37" s="29">
        <v>405.5</v>
      </c>
      <c r="K37" s="22">
        <v>237</v>
      </c>
      <c r="L37" s="29">
        <v>155.75</v>
      </c>
      <c r="M37" s="5">
        <v>0.2</v>
      </c>
      <c r="N37" s="21">
        <v>5.53032499253404E-2</v>
      </c>
      <c r="O37" s="22">
        <v>106.512655225995</v>
      </c>
      <c r="P37" s="22">
        <v>67.463611650618702</v>
      </c>
      <c r="Q37" s="23">
        <v>5.4467051199458903E-2</v>
      </c>
      <c r="R37" s="21">
        <v>0.27651624962670202</v>
      </c>
      <c r="S37" s="5">
        <v>5.2197084757393902E-2</v>
      </c>
      <c r="T37" s="22">
        <v>106.512655225995</v>
      </c>
      <c r="U37" s="22">
        <v>93</v>
      </c>
      <c r="V37" s="23">
        <v>3.60284338454483E-2</v>
      </c>
      <c r="W37" s="21">
        <f t="shared" si="0"/>
        <v>1.1681956526674515</v>
      </c>
      <c r="X37" s="21">
        <f t="shared" si="1"/>
        <v>0.63438967136150237</v>
      </c>
      <c r="Y37" s="21">
        <v>0.26098542378696998</v>
      </c>
      <c r="Z37" s="21">
        <v>4.821469359438E-2</v>
      </c>
      <c r="AA37" s="22">
        <v>106.512655225995</v>
      </c>
      <c r="AB37" s="22">
        <v>67.463611650618702</v>
      </c>
      <c r="AC37" s="23">
        <v>5.4467051199458903E-2</v>
      </c>
      <c r="AD37" s="21">
        <v>0.24107346797189999</v>
      </c>
      <c r="AE37" s="21">
        <v>8.9930527918053199E-2</v>
      </c>
      <c r="AF37" s="21">
        <v>6.1700380095881399E-2</v>
      </c>
      <c r="AG37" s="22">
        <v>111.639857150688</v>
      </c>
      <c r="AH37" s="23">
        <v>2.9399999999999999E-2</v>
      </c>
      <c r="AI37" s="21">
        <v>0.30850190047940701</v>
      </c>
    </row>
    <row r="38" spans="1:35" x14ac:dyDescent="0.25">
      <c r="B38" s="1">
        <v>25</v>
      </c>
      <c r="C38" s="1">
        <v>4</v>
      </c>
      <c r="D38" s="3">
        <v>62</v>
      </c>
      <c r="E38" s="5">
        <v>2.6933292113182898</v>
      </c>
      <c r="F38" s="1">
        <v>20</v>
      </c>
      <c r="G38" s="1">
        <v>44.5</v>
      </c>
      <c r="H38" s="4">
        <v>140.92716892937</v>
      </c>
      <c r="I38" s="1">
        <v>450</v>
      </c>
      <c r="J38" s="29">
        <v>405.5</v>
      </c>
      <c r="K38" s="22">
        <v>237</v>
      </c>
      <c r="L38" s="29">
        <v>155.75</v>
      </c>
      <c r="M38" s="5">
        <v>0.25</v>
      </c>
      <c r="N38" s="21">
        <v>0.126665910856779</v>
      </c>
      <c r="O38" s="22">
        <v>191.72277940679001</v>
      </c>
      <c r="P38" s="22">
        <v>67.463611650618702</v>
      </c>
      <c r="Q38" s="23">
        <v>5.4467051199458903E-2</v>
      </c>
      <c r="R38" s="21">
        <v>0.50666364342711401</v>
      </c>
      <c r="S38" s="5">
        <v>0.13966391626237401</v>
      </c>
      <c r="T38" s="22">
        <v>191.72277940679001</v>
      </c>
      <c r="U38" s="22">
        <v>93</v>
      </c>
      <c r="V38" s="23">
        <v>3.60284338454483E-2</v>
      </c>
      <c r="W38" s="21">
        <f t="shared" si="0"/>
        <v>1.1681956526674515</v>
      </c>
      <c r="X38" s="21">
        <f t="shared" si="1"/>
        <v>0.63438967136150237</v>
      </c>
      <c r="Y38" s="21">
        <v>0.55865566504949404</v>
      </c>
      <c r="Z38" s="21">
        <v>0.110430365106161</v>
      </c>
      <c r="AA38" s="22">
        <v>191.72277940679001</v>
      </c>
      <c r="AB38" s="22">
        <v>67.463611650618702</v>
      </c>
      <c r="AC38" s="23">
        <v>5.4467051199458903E-2</v>
      </c>
      <c r="AD38" s="21">
        <v>0.441721460424645</v>
      </c>
      <c r="AE38" s="21">
        <v>0.16187495025249601</v>
      </c>
      <c r="AF38" s="21">
        <v>0.19990923151065601</v>
      </c>
      <c r="AG38" s="22">
        <v>200.951742871238</v>
      </c>
      <c r="AH38" s="23">
        <v>2.9399999999999999E-2</v>
      </c>
      <c r="AI38" s="21">
        <v>0.64749980100998294</v>
      </c>
    </row>
    <row r="39" spans="1:35" x14ac:dyDescent="0.25">
      <c r="B39" s="1">
        <v>25</v>
      </c>
      <c r="C39" s="1">
        <v>4</v>
      </c>
      <c r="D39" s="3">
        <v>62</v>
      </c>
      <c r="E39" s="5">
        <v>2.6933292113182898</v>
      </c>
      <c r="F39" s="1">
        <v>20</v>
      </c>
      <c r="G39" s="1">
        <v>44.5</v>
      </c>
      <c r="H39" s="4">
        <v>140.92716892937</v>
      </c>
      <c r="I39" s="1">
        <v>450</v>
      </c>
      <c r="J39" s="29">
        <v>405.5</v>
      </c>
      <c r="K39" s="22">
        <v>237</v>
      </c>
      <c r="L39" s="29">
        <v>155.75</v>
      </c>
      <c r="M39" s="5">
        <v>0.36</v>
      </c>
      <c r="N39" s="21">
        <v>0.19802857178821701</v>
      </c>
      <c r="O39" s="22">
        <v>276.932903587586</v>
      </c>
      <c r="P39" s="22">
        <v>67.463611650618702</v>
      </c>
      <c r="Q39" s="23">
        <v>5.4467051199458903E-2</v>
      </c>
      <c r="R39" s="21">
        <v>0.55007936607838004</v>
      </c>
      <c r="S39" s="5">
        <v>0.22713074776735301</v>
      </c>
      <c r="T39" s="22">
        <v>276.932903587586</v>
      </c>
      <c r="U39" s="22">
        <v>93</v>
      </c>
      <c r="V39" s="23">
        <v>3.60284338454483E-2</v>
      </c>
      <c r="W39" s="21">
        <f t="shared" si="0"/>
        <v>1.1681956526674515</v>
      </c>
      <c r="X39" s="21">
        <f t="shared" si="1"/>
        <v>0.63438967136150237</v>
      </c>
      <c r="Y39" s="21">
        <v>0.63091874379820401</v>
      </c>
      <c r="Z39" s="21">
        <v>0.17264603661794301</v>
      </c>
      <c r="AA39" s="22">
        <v>276.932903587586</v>
      </c>
      <c r="AB39" s="22">
        <v>67.463611650618702</v>
      </c>
      <c r="AC39" s="23">
        <v>5.4467051199458903E-2</v>
      </c>
      <c r="AD39" s="21">
        <v>0.47957232393872901</v>
      </c>
      <c r="AE39" s="21">
        <v>0.233819372586938</v>
      </c>
      <c r="AF39" s="21">
        <v>0.41709456944815898</v>
      </c>
      <c r="AG39" s="22">
        <v>290.26362859178801</v>
      </c>
      <c r="AH39" s="23">
        <v>2.9399999999999999E-2</v>
      </c>
      <c r="AI39" s="21">
        <v>0.64949825718594001</v>
      </c>
    </row>
    <row r="40" spans="1:35" x14ac:dyDescent="0.25">
      <c r="B40" s="1">
        <v>25</v>
      </c>
      <c r="C40" s="1">
        <v>4</v>
      </c>
      <c r="D40" s="3">
        <v>62</v>
      </c>
      <c r="E40" s="5">
        <v>2.6933292113182898</v>
      </c>
      <c r="F40" s="1">
        <v>20</v>
      </c>
      <c r="G40" s="1">
        <v>44.5</v>
      </c>
      <c r="H40" s="4">
        <v>140.92716892937</v>
      </c>
      <c r="I40" s="1">
        <v>450</v>
      </c>
      <c r="J40" s="29">
        <v>405.5</v>
      </c>
      <c r="K40" s="22">
        <v>237</v>
      </c>
      <c r="L40" s="29">
        <v>155.75</v>
      </c>
      <c r="M40" s="5">
        <v>0.47</v>
      </c>
      <c r="N40" s="21">
        <v>0.26939123271965498</v>
      </c>
      <c r="O40" s="22">
        <v>362.14302776838201</v>
      </c>
      <c r="P40" s="22">
        <v>67.463611650618702</v>
      </c>
      <c r="Q40" s="23">
        <v>5.4467051199458903E-2</v>
      </c>
      <c r="R40" s="21">
        <v>0.573172835573734</v>
      </c>
      <c r="S40" s="5">
        <v>0.31459757927233301</v>
      </c>
      <c r="T40" s="22">
        <v>362.14302776838201</v>
      </c>
      <c r="U40" s="22">
        <v>93</v>
      </c>
      <c r="V40" s="23">
        <v>3.60284338454483E-2</v>
      </c>
      <c r="W40" s="21">
        <f t="shared" si="0"/>
        <v>1.1681956526674515</v>
      </c>
      <c r="X40" s="21">
        <f t="shared" si="1"/>
        <v>0.63438967136150237</v>
      </c>
      <c r="Y40" s="21">
        <v>0.66935655164326202</v>
      </c>
      <c r="Z40" s="21">
        <v>0.23486170812972401</v>
      </c>
      <c r="AA40" s="22">
        <v>362.14302776838201</v>
      </c>
      <c r="AB40" s="22">
        <v>67.463611650618702</v>
      </c>
      <c r="AC40" s="23">
        <v>5.4467051199458903E-2</v>
      </c>
      <c r="AD40" s="21">
        <v>0.49970576197813599</v>
      </c>
      <c r="AE40" s="21">
        <v>0.305763794921381</v>
      </c>
      <c r="AF40" s="21">
        <v>0.71325639390839002</v>
      </c>
      <c r="AG40" s="22">
        <v>379.57551431233799</v>
      </c>
      <c r="AH40" s="23">
        <v>2.9399999999999999E-2</v>
      </c>
      <c r="AI40" s="21">
        <v>0.65056126579017204</v>
      </c>
    </row>
    <row r="41" spans="1:35" x14ac:dyDescent="0.25">
      <c r="B41" s="1">
        <v>25</v>
      </c>
      <c r="C41" s="1">
        <v>4</v>
      </c>
      <c r="D41" s="3">
        <v>62</v>
      </c>
      <c r="E41" s="5">
        <v>2.6933292113182898</v>
      </c>
      <c r="F41" s="1">
        <v>20</v>
      </c>
      <c r="G41" s="1">
        <v>44.5</v>
      </c>
      <c r="H41" s="4">
        <v>140.92716892937</v>
      </c>
      <c r="I41" s="1">
        <v>450</v>
      </c>
      <c r="J41" s="29">
        <v>405.5</v>
      </c>
      <c r="K41" s="22">
        <v>237</v>
      </c>
      <c r="L41" s="29">
        <v>155.75</v>
      </c>
      <c r="M41" s="5">
        <v>0.56999999999999995</v>
      </c>
      <c r="N41" s="21">
        <v>0.322913228418233</v>
      </c>
      <c r="O41" s="22">
        <v>426.05062090397797</v>
      </c>
      <c r="P41" s="22">
        <v>67.463611650618702</v>
      </c>
      <c r="Q41" s="23">
        <v>5.4467051199458903E-2</v>
      </c>
      <c r="R41" s="21">
        <v>0.56651443582146199</v>
      </c>
      <c r="S41" s="5">
        <v>0.38019770290106802</v>
      </c>
      <c r="T41" s="22">
        <v>426.05062090397797</v>
      </c>
      <c r="U41" s="22">
        <v>93</v>
      </c>
      <c r="V41" s="23">
        <v>3.60284338454483E-2</v>
      </c>
      <c r="W41" s="21">
        <f t="shared" si="0"/>
        <v>1.1681956526674515</v>
      </c>
      <c r="X41" s="21">
        <f t="shared" si="1"/>
        <v>0.63438967136150237</v>
      </c>
      <c r="Y41" s="21">
        <v>0.66701351386152197</v>
      </c>
      <c r="Z41" s="21">
        <v>0.28152346176356002</v>
      </c>
      <c r="AA41" s="22">
        <v>426.05062090397797</v>
      </c>
      <c r="AB41" s="22">
        <v>67.463611650618702</v>
      </c>
      <c r="AC41" s="23">
        <v>5.4467051199458903E-2</v>
      </c>
      <c r="AD41" s="21">
        <v>0.49390081011150899</v>
      </c>
      <c r="AE41" s="21">
        <v>0.35972211167221302</v>
      </c>
      <c r="AF41" s="21">
        <v>0.98720608153410305</v>
      </c>
      <c r="AG41" s="22">
        <v>446.55942860275002</v>
      </c>
      <c r="AH41" s="23">
        <v>2.9399999999999999E-2</v>
      </c>
      <c r="AI41" s="21">
        <v>0.631091423986338</v>
      </c>
    </row>
    <row r="42" spans="1:35" x14ac:dyDescent="0.25">
      <c r="B42" s="1">
        <v>25</v>
      </c>
      <c r="C42" s="1">
        <v>4</v>
      </c>
      <c r="D42" s="3">
        <v>62</v>
      </c>
      <c r="E42" s="5">
        <v>2.6933292113182898</v>
      </c>
      <c r="F42" s="1">
        <v>20</v>
      </c>
      <c r="G42" s="1">
        <v>44.5</v>
      </c>
      <c r="H42" s="4">
        <v>140.92716892937</v>
      </c>
      <c r="I42" s="1">
        <v>450</v>
      </c>
      <c r="J42" s="29">
        <v>405.5</v>
      </c>
      <c r="K42" s="22">
        <v>237</v>
      </c>
      <c r="L42" s="29">
        <v>155.75</v>
      </c>
      <c r="M42" s="5">
        <v>0.78</v>
      </c>
      <c r="N42" s="21">
        <v>0.38484512345130201</v>
      </c>
      <c r="O42" s="22">
        <v>500</v>
      </c>
      <c r="P42" s="22">
        <v>67.463611650618702</v>
      </c>
      <c r="Q42" s="23">
        <v>5.4467051199458903E-2</v>
      </c>
      <c r="R42" s="21">
        <v>0.49339118391192599</v>
      </c>
      <c r="S42" s="5">
        <v>0.45610555943189202</v>
      </c>
      <c r="T42" s="22">
        <v>500</v>
      </c>
      <c r="U42" s="22">
        <v>93</v>
      </c>
      <c r="V42" s="23">
        <v>3.60284338454483E-2</v>
      </c>
      <c r="W42" s="21">
        <f t="shared" si="0"/>
        <v>1.1681956526674515</v>
      </c>
      <c r="X42" s="21">
        <f t="shared" si="1"/>
        <v>0.63438967136150237</v>
      </c>
      <c r="Y42" s="21">
        <v>0.58475071722037497</v>
      </c>
      <c r="Z42" s="21">
        <v>0.33551716641509199</v>
      </c>
      <c r="AA42" s="22">
        <v>500</v>
      </c>
      <c r="AB42" s="22">
        <v>67.463611650618702</v>
      </c>
      <c r="AC42" s="23">
        <v>5.4467051199458903E-2</v>
      </c>
      <c r="AD42" s="21">
        <v>0.430150213352682</v>
      </c>
      <c r="AE42" s="21">
        <v>0.40277070489560102</v>
      </c>
      <c r="AF42" s="21">
        <v>1.23762565650182</v>
      </c>
      <c r="AG42" s="22">
        <v>500</v>
      </c>
      <c r="AH42" s="23">
        <v>2.9399999999999999E-2</v>
      </c>
      <c r="AI42" s="21">
        <v>0.51637269858410295</v>
      </c>
    </row>
    <row r="43" spans="1:35" x14ac:dyDescent="0.25">
      <c r="A43" t="s">
        <v>29</v>
      </c>
      <c r="B43" s="1">
        <v>12</v>
      </c>
      <c r="C43" s="1">
        <v>4</v>
      </c>
      <c r="D43" s="3">
        <v>79.3</v>
      </c>
      <c r="E43" s="5">
        <v>2.6933292113182898</v>
      </c>
      <c r="F43" s="1">
        <v>20</v>
      </c>
      <c r="G43" s="1">
        <v>34</v>
      </c>
      <c r="H43" s="4">
        <v>76.575869689672899</v>
      </c>
      <c r="I43" s="1">
        <v>450</v>
      </c>
      <c r="J43" s="29">
        <v>416</v>
      </c>
      <c r="K43" s="22">
        <v>228</v>
      </c>
      <c r="L43" s="29">
        <v>94</v>
      </c>
      <c r="M43" s="5">
        <v>0.21</v>
      </c>
      <c r="N43" s="21">
        <v>0.123601278848589</v>
      </c>
      <c r="O43" s="22">
        <v>212.47112712609001</v>
      </c>
      <c r="P43" s="22">
        <v>195.28594715601201</v>
      </c>
      <c r="Q43" s="23">
        <v>1.5193277310924401E-2</v>
      </c>
      <c r="R43" s="21">
        <v>0.58857751832661598</v>
      </c>
      <c r="S43" s="5">
        <v>0.115038822092364</v>
      </c>
      <c r="T43" s="22">
        <v>212.47112712609001</v>
      </c>
      <c r="U43" s="22">
        <v>214</v>
      </c>
      <c r="V43" s="23">
        <v>1.37386018237082E-2</v>
      </c>
      <c r="W43" s="21">
        <f t="shared" si="0"/>
        <v>1.1001696607984666</v>
      </c>
      <c r="X43" s="21">
        <f t="shared" si="1"/>
        <v>0.78828828828828823</v>
      </c>
      <c r="Y43" s="21">
        <v>0.54780391472554402</v>
      </c>
      <c r="Z43" s="21">
        <v>0.128929548243119</v>
      </c>
      <c r="AA43" s="22">
        <v>212.47112712609001</v>
      </c>
      <c r="AB43" s="22">
        <v>195.28594715601201</v>
      </c>
      <c r="AC43" s="23">
        <v>1.5193277310924401E-2</v>
      </c>
      <c r="AD43" s="21">
        <v>0.61395022972913604</v>
      </c>
      <c r="AE43" s="21">
        <v>0.158019738781601</v>
      </c>
      <c r="AF43" s="21">
        <v>0.113477572228636</v>
      </c>
      <c r="AG43" s="22">
        <v>218.52933874570499</v>
      </c>
      <c r="AH43" s="23">
        <v>1.3599999999999999E-2</v>
      </c>
      <c r="AI43" s="21">
        <v>0.54036939156493302</v>
      </c>
    </row>
    <row r="44" spans="1:35" x14ac:dyDescent="0.25">
      <c r="B44" s="1">
        <v>12</v>
      </c>
      <c r="C44" s="1">
        <v>4</v>
      </c>
      <c r="D44" s="3">
        <v>79.3</v>
      </c>
      <c r="E44" s="5">
        <v>2.6933292113182898</v>
      </c>
      <c r="F44" s="1">
        <v>20</v>
      </c>
      <c r="G44" s="1">
        <v>34</v>
      </c>
      <c r="H44" s="4">
        <v>76.575869689672899</v>
      </c>
      <c r="I44" s="1">
        <v>450</v>
      </c>
      <c r="J44" s="29">
        <v>416</v>
      </c>
      <c r="K44" s="22">
        <v>228</v>
      </c>
      <c r="L44" s="29">
        <v>94</v>
      </c>
      <c r="M44" s="5">
        <v>0.31</v>
      </c>
      <c r="N44" s="21">
        <v>0.17871528641151799</v>
      </c>
      <c r="O44" s="22">
        <v>254.965352551308</v>
      </c>
      <c r="P44" s="22">
        <v>195.28594715601201</v>
      </c>
      <c r="Q44" s="23">
        <v>1.5193277310924401E-2</v>
      </c>
      <c r="R44" s="21">
        <v>0.57650092390812202</v>
      </c>
      <c r="S44" s="5">
        <v>0.17127121819076399</v>
      </c>
      <c r="T44" s="22">
        <v>254.965352551308</v>
      </c>
      <c r="U44" s="22">
        <v>214</v>
      </c>
      <c r="V44" s="23">
        <v>1.37386018237082E-2</v>
      </c>
      <c r="W44" s="21">
        <f t="shared" si="0"/>
        <v>1.1001696607984666</v>
      </c>
      <c r="X44" s="21">
        <f t="shared" si="1"/>
        <v>0.78828828828828823</v>
      </c>
      <c r="Y44" s="21">
        <v>0.55248780061536795</v>
      </c>
      <c r="Z44" s="21">
        <v>0.15471545789174199</v>
      </c>
      <c r="AA44" s="22">
        <v>254.965352551308</v>
      </c>
      <c r="AB44" s="22">
        <v>195.28594715601201</v>
      </c>
      <c r="AC44" s="23">
        <v>1.5193277310924401E-2</v>
      </c>
      <c r="AD44" s="21">
        <v>0.49908212223142701</v>
      </c>
      <c r="AE44" s="21">
        <v>0.189623686537921</v>
      </c>
      <c r="AF44" s="21">
        <v>0.16340770400923599</v>
      </c>
      <c r="AG44" s="22">
        <v>262.23520649484698</v>
      </c>
      <c r="AH44" s="23">
        <v>1.3599999999999999E-2</v>
      </c>
      <c r="AI44" s="21">
        <v>0.527121625836244</v>
      </c>
    </row>
    <row r="45" spans="1:35" x14ac:dyDescent="0.25">
      <c r="B45" s="1">
        <v>12</v>
      </c>
      <c r="C45" s="1">
        <v>4</v>
      </c>
      <c r="D45" s="3">
        <v>79.3</v>
      </c>
      <c r="E45" s="5">
        <v>2.6933292113182898</v>
      </c>
      <c r="F45" s="1">
        <v>20</v>
      </c>
      <c r="G45" s="1">
        <v>34</v>
      </c>
      <c r="H45" s="4">
        <v>76.575869689672899</v>
      </c>
      <c r="I45" s="1">
        <v>450</v>
      </c>
      <c r="J45" s="29">
        <v>416</v>
      </c>
      <c r="K45" s="22">
        <v>228</v>
      </c>
      <c r="L45" s="29">
        <v>94</v>
      </c>
      <c r="M45" s="5">
        <v>0.38</v>
      </c>
      <c r="N45" s="21">
        <v>0.23382929397444599</v>
      </c>
      <c r="O45" s="22">
        <v>297.459577976525</v>
      </c>
      <c r="P45" s="22">
        <v>195.28594715601201</v>
      </c>
      <c r="Q45" s="23">
        <v>1.5193277310924401E-2</v>
      </c>
      <c r="R45" s="21">
        <v>0.61534024730117298</v>
      </c>
      <c r="S45" s="5">
        <v>0.22879062923694601</v>
      </c>
      <c r="T45" s="22">
        <v>297.459577976525</v>
      </c>
      <c r="U45" s="22">
        <v>214</v>
      </c>
      <c r="V45" s="23">
        <v>1.37386018237082E-2</v>
      </c>
      <c r="W45" s="21">
        <f t="shared" si="0"/>
        <v>1.1001696607984666</v>
      </c>
      <c r="X45" s="21">
        <f t="shared" si="1"/>
        <v>0.78828828828828823</v>
      </c>
      <c r="Y45" s="21">
        <v>0.60208060325512103</v>
      </c>
      <c r="Z45" s="21">
        <v>0.182334198819364</v>
      </c>
      <c r="AA45" s="22">
        <v>297.459577976525</v>
      </c>
      <c r="AB45" s="22">
        <v>195.28594715601201</v>
      </c>
      <c r="AC45" s="23">
        <v>1.5193277310924401E-2</v>
      </c>
      <c r="AD45" s="21">
        <v>0.47982683899832601</v>
      </c>
      <c r="AE45" s="21">
        <v>0.221227634294241</v>
      </c>
      <c r="AF45" s="21">
        <v>0.222416041568126</v>
      </c>
      <c r="AG45" s="22">
        <v>305.941074243988</v>
      </c>
      <c r="AH45" s="23">
        <v>1.3599999999999999E-2</v>
      </c>
      <c r="AI45" s="21">
        <v>0.58217798498484397</v>
      </c>
    </row>
    <row r="46" spans="1:35" x14ac:dyDescent="0.25">
      <c r="B46" s="1">
        <v>12</v>
      </c>
      <c r="C46" s="1">
        <v>4</v>
      </c>
      <c r="D46" s="3">
        <v>79.3</v>
      </c>
      <c r="E46" s="5">
        <v>2.6933292113182898</v>
      </c>
      <c r="F46" s="1">
        <v>20</v>
      </c>
      <c r="G46" s="1">
        <v>34</v>
      </c>
      <c r="H46" s="4">
        <v>76.575869689672899</v>
      </c>
      <c r="I46" s="1">
        <v>450</v>
      </c>
      <c r="J46" s="29">
        <v>416</v>
      </c>
      <c r="K46" s="22">
        <v>228</v>
      </c>
      <c r="L46" s="29">
        <v>94</v>
      </c>
      <c r="M46" s="5">
        <v>0.52</v>
      </c>
      <c r="N46" s="21">
        <v>0.34405730910030302</v>
      </c>
      <c r="O46" s="22">
        <v>382.44802882696098</v>
      </c>
      <c r="P46" s="22">
        <v>195.28594715601201</v>
      </c>
      <c r="Q46" s="23">
        <v>1.5193277310924401E-2</v>
      </c>
      <c r="R46" s="21">
        <v>0.66164867134673599</v>
      </c>
      <c r="S46" s="5">
        <v>0.34382945132930998</v>
      </c>
      <c r="T46" s="22">
        <v>382.44802882696098</v>
      </c>
      <c r="U46" s="22">
        <v>214</v>
      </c>
      <c r="V46" s="23">
        <v>1.37386018237082E-2</v>
      </c>
      <c r="W46" s="21">
        <f t="shared" si="0"/>
        <v>1.1001696607984666</v>
      </c>
      <c r="X46" s="21">
        <f t="shared" si="1"/>
        <v>0.78828828828828823</v>
      </c>
      <c r="Y46" s="21">
        <v>0.66121048332559695</v>
      </c>
      <c r="Z46" s="21">
        <v>0.26828723098144303</v>
      </c>
      <c r="AA46" s="22">
        <v>382.44802882696098</v>
      </c>
      <c r="AB46" s="22">
        <v>195.28594715601201</v>
      </c>
      <c r="AC46" s="23">
        <v>1.5193277310924401E-2</v>
      </c>
      <c r="AD46" s="21">
        <v>0.51593698265662102</v>
      </c>
      <c r="AE46" s="21">
        <v>0.28443552980688103</v>
      </c>
      <c r="AF46" s="21">
        <v>0.36766733402078</v>
      </c>
      <c r="AG46" s="22">
        <v>393.35280974226998</v>
      </c>
      <c r="AH46" s="23">
        <v>1.3599999999999999E-2</v>
      </c>
      <c r="AI46" s="21">
        <v>0.54699140347477104</v>
      </c>
    </row>
    <row r="47" spans="1:35" x14ac:dyDescent="0.25">
      <c r="B47" s="1">
        <v>12</v>
      </c>
      <c r="C47" s="1">
        <v>4</v>
      </c>
      <c r="D47" s="3">
        <v>79.3</v>
      </c>
      <c r="E47" s="5">
        <v>2.6933292113182898</v>
      </c>
      <c r="F47" s="1">
        <v>20</v>
      </c>
      <c r="G47" s="1">
        <v>34</v>
      </c>
      <c r="H47" s="4">
        <v>76.575869689672899</v>
      </c>
      <c r="I47" s="1">
        <v>450</v>
      </c>
      <c r="J47" s="29">
        <v>416</v>
      </c>
      <c r="K47" s="22">
        <v>228</v>
      </c>
      <c r="L47" s="29">
        <v>94</v>
      </c>
      <c r="M47" s="5">
        <v>0.74</v>
      </c>
      <c r="N47" s="21">
        <v>0.49651944162391898</v>
      </c>
      <c r="O47" s="22">
        <v>500</v>
      </c>
      <c r="P47" s="22">
        <v>195.28594715601201</v>
      </c>
      <c r="Q47" s="23">
        <v>1.5193277310924401E-2</v>
      </c>
      <c r="R47" s="21">
        <v>0.67097221841070098</v>
      </c>
      <c r="S47" s="5">
        <v>0.50294566256817597</v>
      </c>
      <c r="T47" s="22">
        <v>500</v>
      </c>
      <c r="U47" s="22">
        <v>214</v>
      </c>
      <c r="V47" s="23">
        <v>1.37386018237082E-2</v>
      </c>
      <c r="W47" s="21">
        <f t="shared" si="0"/>
        <v>1.1001696607984666</v>
      </c>
      <c r="X47" s="21">
        <f t="shared" si="1"/>
        <v>0.78828828828828823</v>
      </c>
      <c r="Y47" s="21">
        <v>0.67965630076780603</v>
      </c>
      <c r="Z47" s="21">
        <v>0.38717336501314897</v>
      </c>
      <c r="AA47" s="22">
        <v>500</v>
      </c>
      <c r="AB47" s="22">
        <v>195.28594715601201</v>
      </c>
      <c r="AC47" s="23">
        <v>1.5193277310924401E-2</v>
      </c>
      <c r="AD47" s="21">
        <v>0.52320725001776902</v>
      </c>
      <c r="AE47" s="21">
        <v>0.36155268598849899</v>
      </c>
      <c r="AF47" s="21">
        <v>0.59406031512087498</v>
      </c>
      <c r="AG47" s="22">
        <v>500</v>
      </c>
      <c r="AH47" s="23">
        <v>1.3599999999999999E-2</v>
      </c>
      <c r="AI47" s="21">
        <v>0.48858471079526899</v>
      </c>
    </row>
    <row r="48" spans="1:35" x14ac:dyDescent="0.25">
      <c r="A48" t="s">
        <v>30</v>
      </c>
      <c r="B48" s="1">
        <v>12</v>
      </c>
      <c r="C48" s="1">
        <v>4</v>
      </c>
      <c r="D48" s="3">
        <v>79.3</v>
      </c>
      <c r="E48" s="5">
        <v>2.6933292113182898</v>
      </c>
      <c r="F48" s="1">
        <v>20</v>
      </c>
      <c r="G48" s="1">
        <v>34</v>
      </c>
      <c r="H48" s="4">
        <v>76.575869689672899</v>
      </c>
      <c r="I48" s="1">
        <v>450</v>
      </c>
      <c r="J48" s="29">
        <v>416</v>
      </c>
      <c r="K48" s="22">
        <v>228</v>
      </c>
      <c r="L48" s="29">
        <v>94</v>
      </c>
      <c r="M48" s="5">
        <v>0.17</v>
      </c>
      <c r="N48" s="21">
        <v>0.123601278848589</v>
      </c>
      <c r="O48" s="22">
        <v>212.47112712609001</v>
      </c>
      <c r="P48" s="22">
        <v>195.28594715601201</v>
      </c>
      <c r="Q48" s="23">
        <v>1.5193277310924401E-2</v>
      </c>
      <c r="R48" s="21">
        <v>0.72706634616817301</v>
      </c>
      <c r="S48" s="5">
        <v>0.115038822092364</v>
      </c>
      <c r="T48" s="22">
        <v>212.47112712609001</v>
      </c>
      <c r="U48" s="22">
        <v>214</v>
      </c>
      <c r="V48" s="23">
        <v>1.37386018237082E-2</v>
      </c>
      <c r="W48" s="21">
        <f t="shared" si="0"/>
        <v>1.1001696607984666</v>
      </c>
      <c r="X48" s="21">
        <f t="shared" si="1"/>
        <v>0.78828828828828823</v>
      </c>
      <c r="Y48" s="21">
        <v>0.67669895348449505</v>
      </c>
      <c r="Z48" s="21">
        <v>0.128929548243119</v>
      </c>
      <c r="AA48" s="22">
        <v>212.47112712609001</v>
      </c>
      <c r="AB48" s="22">
        <v>195.28594715601201</v>
      </c>
      <c r="AC48" s="23">
        <v>1.5193277310924401E-2</v>
      </c>
      <c r="AD48" s="21">
        <v>0.75840910731246203</v>
      </c>
      <c r="AE48" s="21">
        <v>0.158019738781601</v>
      </c>
      <c r="AF48" s="21">
        <v>0.113477572228636</v>
      </c>
      <c r="AG48" s="22">
        <v>218.52933874570499</v>
      </c>
      <c r="AH48" s="23">
        <v>1.3599999999999999E-2</v>
      </c>
      <c r="AI48" s="21">
        <v>0.66751513075668101</v>
      </c>
    </row>
    <row r="49" spans="1:35" x14ac:dyDescent="0.25">
      <c r="B49" s="1">
        <v>12</v>
      </c>
      <c r="C49" s="1">
        <v>4</v>
      </c>
      <c r="D49" s="3">
        <v>79.3</v>
      </c>
      <c r="E49" s="5">
        <v>2.6933292113182898</v>
      </c>
      <c r="F49" s="1">
        <v>20</v>
      </c>
      <c r="G49" s="1">
        <v>34</v>
      </c>
      <c r="H49" s="4">
        <v>76.575869689672899</v>
      </c>
      <c r="I49" s="1">
        <v>450</v>
      </c>
      <c r="J49" s="29">
        <v>416</v>
      </c>
      <c r="K49" s="22">
        <v>228</v>
      </c>
      <c r="L49" s="29">
        <v>94</v>
      </c>
      <c r="M49" s="5">
        <v>0.36</v>
      </c>
      <c r="N49" s="21">
        <v>0.23382929397444599</v>
      </c>
      <c r="O49" s="22">
        <v>297.459577976525</v>
      </c>
      <c r="P49" s="22">
        <v>195.28594715601201</v>
      </c>
      <c r="Q49" s="23">
        <v>1.5193277310924401E-2</v>
      </c>
      <c r="R49" s="21">
        <v>0.64952581659568298</v>
      </c>
      <c r="S49" s="5">
        <v>0.22879062923694601</v>
      </c>
      <c r="T49" s="22">
        <v>297.459577976525</v>
      </c>
      <c r="U49" s="22">
        <v>214</v>
      </c>
      <c r="V49" s="23">
        <v>1.37386018237082E-2</v>
      </c>
      <c r="W49" s="21">
        <f t="shared" si="0"/>
        <v>1.1001696607984666</v>
      </c>
      <c r="X49" s="21">
        <f t="shared" si="1"/>
        <v>0.78828828828828823</v>
      </c>
      <c r="Y49" s="21">
        <v>0.63552952565818299</v>
      </c>
      <c r="Z49" s="21">
        <v>0.182334198819364</v>
      </c>
      <c r="AA49" s="22">
        <v>297.459577976525</v>
      </c>
      <c r="AB49" s="22">
        <v>195.28594715601201</v>
      </c>
      <c r="AC49" s="23">
        <v>1.5193277310924401E-2</v>
      </c>
      <c r="AD49" s="21">
        <v>0.50648388560934399</v>
      </c>
      <c r="AE49" s="21">
        <v>0.221227634294241</v>
      </c>
      <c r="AF49" s="21">
        <v>0.222416041568126</v>
      </c>
      <c r="AG49" s="22">
        <v>305.941074243988</v>
      </c>
      <c r="AH49" s="23">
        <v>1.3599999999999999E-2</v>
      </c>
      <c r="AI49" s="21">
        <v>0.61452120637289098</v>
      </c>
    </row>
    <row r="50" spans="1:35" x14ac:dyDescent="0.25">
      <c r="B50" s="1">
        <v>12</v>
      </c>
      <c r="C50" s="1">
        <v>4</v>
      </c>
      <c r="D50" s="3">
        <v>79.3</v>
      </c>
      <c r="E50" s="5">
        <v>2.6933292113182898</v>
      </c>
      <c r="F50" s="1">
        <v>20</v>
      </c>
      <c r="G50" s="1">
        <v>34</v>
      </c>
      <c r="H50" s="4">
        <v>76.575869689672899</v>
      </c>
      <c r="I50" s="1">
        <v>450</v>
      </c>
      <c r="J50" s="29">
        <v>416</v>
      </c>
      <c r="K50" s="22">
        <v>228</v>
      </c>
      <c r="L50" s="29">
        <v>94</v>
      </c>
      <c r="M50" s="5">
        <v>0.56000000000000005</v>
      </c>
      <c r="N50" s="21">
        <v>0.34405730910030302</v>
      </c>
      <c r="O50" s="22">
        <v>382.44802882696098</v>
      </c>
      <c r="P50" s="22">
        <v>195.28594715601201</v>
      </c>
      <c r="Q50" s="23">
        <v>1.5193277310924401E-2</v>
      </c>
      <c r="R50" s="21">
        <v>0.61438805196482604</v>
      </c>
      <c r="S50" s="5">
        <v>0.34382945132930998</v>
      </c>
      <c r="T50" s="22">
        <v>382.44802882696098</v>
      </c>
      <c r="U50" s="22">
        <v>214</v>
      </c>
      <c r="V50" s="23">
        <v>1.37386018237082E-2</v>
      </c>
      <c r="W50" s="21">
        <f t="shared" si="0"/>
        <v>1.1001696607984666</v>
      </c>
      <c r="X50" s="21">
        <f t="shared" si="1"/>
        <v>0.78828828828828823</v>
      </c>
      <c r="Y50" s="21">
        <v>0.61398116308805395</v>
      </c>
      <c r="Z50" s="21">
        <v>0.26828723098144303</v>
      </c>
      <c r="AA50" s="22">
        <v>382.44802882696098</v>
      </c>
      <c r="AB50" s="22">
        <v>195.28594715601201</v>
      </c>
      <c r="AC50" s="23">
        <v>1.5193277310924401E-2</v>
      </c>
      <c r="AD50" s="21">
        <v>0.47908434103829101</v>
      </c>
      <c r="AE50" s="21">
        <v>0.28443552980688103</v>
      </c>
      <c r="AF50" s="21">
        <v>0.36766733402078</v>
      </c>
      <c r="AG50" s="22">
        <v>393.35280974226998</v>
      </c>
      <c r="AH50" s="23">
        <v>1.3599999999999999E-2</v>
      </c>
      <c r="AI50" s="21">
        <v>0.50792058894085901</v>
      </c>
    </row>
    <row r="51" spans="1:35" x14ac:dyDescent="0.25">
      <c r="B51" s="1">
        <v>12</v>
      </c>
      <c r="C51" s="1">
        <v>4</v>
      </c>
      <c r="D51" s="3">
        <v>79.3</v>
      </c>
      <c r="E51" s="5">
        <v>2.6933292113182898</v>
      </c>
      <c r="F51" s="1">
        <v>20</v>
      </c>
      <c r="G51" s="1">
        <v>34</v>
      </c>
      <c r="H51" s="4">
        <v>76.575869689672899</v>
      </c>
      <c r="I51" s="1">
        <v>450</v>
      </c>
      <c r="J51" s="29">
        <v>416</v>
      </c>
      <c r="K51" s="22">
        <v>228</v>
      </c>
      <c r="L51" s="29">
        <v>94</v>
      </c>
      <c r="M51" s="5">
        <v>0.78</v>
      </c>
      <c r="N51" s="21">
        <v>0.49651944162391898</v>
      </c>
      <c r="O51" s="22">
        <v>500</v>
      </c>
      <c r="P51" s="22">
        <v>195.28594715601201</v>
      </c>
      <c r="Q51" s="23">
        <v>1.5193277310924401E-2</v>
      </c>
      <c r="R51" s="21">
        <v>0.63656338669733104</v>
      </c>
      <c r="S51" s="5">
        <v>0.50294566256817597</v>
      </c>
      <c r="T51" s="22">
        <v>500</v>
      </c>
      <c r="U51" s="22">
        <v>214</v>
      </c>
      <c r="V51" s="23">
        <v>1.37386018237082E-2</v>
      </c>
      <c r="W51" s="21">
        <f t="shared" si="0"/>
        <v>1.1001696607984666</v>
      </c>
      <c r="X51" s="21">
        <f t="shared" si="1"/>
        <v>0.78828828828828823</v>
      </c>
      <c r="Y51" s="21">
        <v>0.64480213149766197</v>
      </c>
      <c r="Z51" s="21">
        <v>0.38717336501314897</v>
      </c>
      <c r="AA51" s="22">
        <v>500</v>
      </c>
      <c r="AB51" s="22">
        <v>195.28594715601201</v>
      </c>
      <c r="AC51" s="23">
        <v>1.5193277310924401E-2</v>
      </c>
      <c r="AD51" s="21">
        <v>0.49637610899121698</v>
      </c>
      <c r="AE51" s="21">
        <v>0.36155268598849899</v>
      </c>
      <c r="AF51" s="21">
        <v>0.59406031512087498</v>
      </c>
      <c r="AG51" s="22">
        <v>500</v>
      </c>
      <c r="AH51" s="23">
        <v>1.3599999999999999E-2</v>
      </c>
      <c r="AI51" s="21">
        <v>0.46352908460063902</v>
      </c>
    </row>
    <row r="52" spans="1:35" x14ac:dyDescent="0.25">
      <c r="A52" t="s">
        <v>31</v>
      </c>
      <c r="B52" s="1">
        <v>12</v>
      </c>
      <c r="C52" s="1">
        <v>4</v>
      </c>
      <c r="D52" s="3">
        <v>46</v>
      </c>
      <c r="E52" s="5">
        <v>2.6933292113182898</v>
      </c>
      <c r="F52" s="1">
        <v>70</v>
      </c>
      <c r="G52" s="1">
        <v>88</v>
      </c>
      <c r="H52" s="4">
        <v>70.913891854445893</v>
      </c>
      <c r="I52" s="1">
        <v>450</v>
      </c>
      <c r="J52" s="29">
        <v>362</v>
      </c>
      <c r="K52" s="22">
        <v>227</v>
      </c>
      <c r="L52" s="29">
        <v>120</v>
      </c>
      <c r="M52" s="5">
        <v>0.31</v>
      </c>
      <c r="N52" s="21">
        <v>0.17775875829437099</v>
      </c>
      <c r="O52" s="22">
        <v>245.19477048546599</v>
      </c>
      <c r="P52" s="22">
        <v>281.54823249932099</v>
      </c>
      <c r="Q52" s="23">
        <v>1.02200677657071E-2</v>
      </c>
      <c r="R52" s="21">
        <v>0.57341534933668104</v>
      </c>
      <c r="S52" s="5">
        <v>0.26142770114999903</v>
      </c>
      <c r="T52" s="22">
        <v>245.19477048546599</v>
      </c>
      <c r="U52" s="22">
        <v>268</v>
      </c>
      <c r="V52" s="23">
        <v>1.0761904761904801E-2</v>
      </c>
      <c r="W52" s="21">
        <f t="shared" si="0"/>
        <v>1.3023160416710668</v>
      </c>
      <c r="X52" s="21">
        <f t="shared" si="1"/>
        <v>0.73094170403587444</v>
      </c>
      <c r="Y52" s="21">
        <v>0.84331516499999604</v>
      </c>
      <c r="Z52" s="21">
        <v>0.32189705492002602</v>
      </c>
      <c r="AA52" s="22">
        <v>245.19477048546599</v>
      </c>
      <c r="AB52" s="22">
        <v>281.54823249932099</v>
      </c>
      <c r="AC52" s="23">
        <v>1.02200677657071E-2</v>
      </c>
      <c r="AD52" s="21">
        <v>1.0383775965162101</v>
      </c>
      <c r="AE52" s="21">
        <v>0.35643211676504999</v>
      </c>
      <c r="AF52" s="21">
        <v>0.1516070469554</v>
      </c>
      <c r="AG52" s="22">
        <v>252.58899675618099</v>
      </c>
      <c r="AH52" s="23">
        <v>6.4999999999999997E-3</v>
      </c>
      <c r="AI52" s="21">
        <v>0.48905499017871001</v>
      </c>
    </row>
    <row r="53" spans="1:35" x14ac:dyDescent="0.25">
      <c r="B53" s="1">
        <v>12</v>
      </c>
      <c r="C53" s="1">
        <v>4</v>
      </c>
      <c r="D53" s="3">
        <v>46</v>
      </c>
      <c r="E53" s="5">
        <v>2.6933292113182898</v>
      </c>
      <c r="F53" s="1">
        <v>70</v>
      </c>
      <c r="G53" s="1">
        <v>88</v>
      </c>
      <c r="H53" s="4">
        <v>70.913891854445893</v>
      </c>
      <c r="I53" s="1">
        <v>450</v>
      </c>
      <c r="J53" s="29">
        <v>362</v>
      </c>
      <c r="K53" s="22">
        <v>227</v>
      </c>
      <c r="L53" s="29">
        <v>120</v>
      </c>
      <c r="M53" s="5">
        <v>0.44</v>
      </c>
      <c r="N53" s="21">
        <v>0.29205769761843797</v>
      </c>
      <c r="O53" s="22">
        <v>294.23372458256</v>
      </c>
      <c r="P53" s="22">
        <v>281.54823249932099</v>
      </c>
      <c r="Q53" s="23">
        <v>1.02200677657071E-2</v>
      </c>
      <c r="R53" s="21">
        <v>0.66376749458735995</v>
      </c>
      <c r="S53" s="5">
        <v>0.35522130050725198</v>
      </c>
      <c r="T53" s="22">
        <v>294.23372458256</v>
      </c>
      <c r="U53" s="22">
        <v>268</v>
      </c>
      <c r="V53" s="23">
        <v>1.0761904761904801E-2</v>
      </c>
      <c r="W53" s="21">
        <f t="shared" si="0"/>
        <v>1.3023160416710668</v>
      </c>
      <c r="X53" s="21">
        <f t="shared" si="1"/>
        <v>0.73094170403587444</v>
      </c>
      <c r="Y53" s="21">
        <v>0.80732113751648205</v>
      </c>
      <c r="Z53" s="21">
        <v>0.38627646590403097</v>
      </c>
      <c r="AA53" s="22">
        <v>294.23372458256</v>
      </c>
      <c r="AB53" s="22">
        <v>281.54823249932099</v>
      </c>
      <c r="AC53" s="23">
        <v>1.02200677657071E-2</v>
      </c>
      <c r="AD53" s="21">
        <v>0.87790105887279901</v>
      </c>
      <c r="AE53" s="21">
        <v>0.42771854011805999</v>
      </c>
      <c r="AF53" s="21">
        <v>0.218314147615776</v>
      </c>
      <c r="AG53" s="22">
        <v>303.10679610741801</v>
      </c>
      <c r="AH53" s="23">
        <v>6.4999999999999997E-3</v>
      </c>
      <c r="AI53" s="21">
        <v>0.49616851730858202</v>
      </c>
    </row>
    <row r="54" spans="1:35" x14ac:dyDescent="0.25">
      <c r="A54" t="s">
        <v>32</v>
      </c>
      <c r="B54" s="1">
        <v>12</v>
      </c>
      <c r="C54" s="1">
        <v>4</v>
      </c>
      <c r="D54" s="3">
        <v>46</v>
      </c>
      <c r="E54" s="5">
        <v>2.6933292113182898</v>
      </c>
      <c r="F54" s="1">
        <v>70</v>
      </c>
      <c r="G54" s="1">
        <v>84</v>
      </c>
      <c r="H54" s="4">
        <v>71.347043658761095</v>
      </c>
      <c r="I54" s="1">
        <v>450</v>
      </c>
      <c r="J54" s="29">
        <v>366</v>
      </c>
      <c r="K54" s="22">
        <v>227</v>
      </c>
      <c r="L54" s="29">
        <v>120</v>
      </c>
      <c r="M54" s="5">
        <v>0.14000000000000001</v>
      </c>
      <c r="N54" s="21">
        <v>5.8682947698771998E-2</v>
      </c>
      <c r="O54" s="22">
        <v>193.94581491041399</v>
      </c>
      <c r="P54" s="22">
        <v>281.24711366257799</v>
      </c>
      <c r="Q54" s="23">
        <v>1.0231758789687699E-2</v>
      </c>
      <c r="R54" s="21">
        <v>0.41916391213408599</v>
      </c>
      <c r="S54" s="5">
        <v>0.204037001359618</v>
      </c>
      <c r="T54" s="22">
        <v>193.94581491041399</v>
      </c>
      <c r="U54" s="22">
        <v>268</v>
      </c>
      <c r="V54" s="23">
        <v>1.0761904761904801E-2</v>
      </c>
      <c r="W54" s="21">
        <f t="shared" si="0"/>
        <v>1.2850811376306681</v>
      </c>
      <c r="X54" s="21">
        <f t="shared" si="1"/>
        <v>0.73094170403587444</v>
      </c>
      <c r="Y54" s="21">
        <v>1.4574071525687</v>
      </c>
      <c r="Z54" s="21">
        <v>0.25448360281216198</v>
      </c>
      <c r="AA54" s="22">
        <v>193.94581491041399</v>
      </c>
      <c r="AB54" s="22">
        <v>281.24711366257799</v>
      </c>
      <c r="AC54" s="23">
        <v>1.0231758789687699E-2</v>
      </c>
      <c r="AD54" s="21">
        <v>1.8177400200868701</v>
      </c>
      <c r="AE54" s="21">
        <v>0.28189693997758702</v>
      </c>
      <c r="AF54" s="21">
        <v>9.4830153189527797E-2</v>
      </c>
      <c r="AG54" s="22">
        <v>199.76893750153201</v>
      </c>
      <c r="AH54" s="23">
        <v>6.4999999999999997E-3</v>
      </c>
      <c r="AI54" s="21">
        <v>0.67735823706805598</v>
      </c>
    </row>
    <row r="55" spans="1:35" x14ac:dyDescent="0.25">
      <c r="B55" s="1">
        <v>12</v>
      </c>
      <c r="C55" s="1">
        <v>4</v>
      </c>
      <c r="D55" s="3">
        <v>46</v>
      </c>
      <c r="E55" s="5">
        <v>2.6933292113182898</v>
      </c>
      <c r="F55" s="1">
        <v>70</v>
      </c>
      <c r="G55" s="1">
        <v>84</v>
      </c>
      <c r="H55" s="4">
        <v>71.347043658761095</v>
      </c>
      <c r="I55" s="1">
        <v>450</v>
      </c>
      <c r="J55" s="29">
        <v>366</v>
      </c>
      <c r="K55" s="22">
        <v>227</v>
      </c>
      <c r="L55" s="29">
        <v>120</v>
      </c>
      <c r="M55" s="5">
        <v>0.31</v>
      </c>
      <c r="N55" s="21">
        <v>0.17160378323165601</v>
      </c>
      <c r="O55" s="22">
        <v>242.432268638018</v>
      </c>
      <c r="P55" s="22">
        <v>281.24711366257799</v>
      </c>
      <c r="Q55" s="23">
        <v>1.0231758789687699E-2</v>
      </c>
      <c r="R55" s="21">
        <v>0.553560591069857</v>
      </c>
      <c r="S55" s="5">
        <v>0.255046251699522</v>
      </c>
      <c r="T55" s="22">
        <v>242.432268638018</v>
      </c>
      <c r="U55" s="22">
        <v>268</v>
      </c>
      <c r="V55" s="23">
        <v>1.0761904761904801E-2</v>
      </c>
      <c r="W55" s="21">
        <f t="shared" si="0"/>
        <v>1.2850811376306681</v>
      </c>
      <c r="X55" s="21">
        <f t="shared" si="1"/>
        <v>0.73094170403587444</v>
      </c>
      <c r="Y55" s="21">
        <v>0.82272984419200801</v>
      </c>
      <c r="Z55" s="21">
        <v>0.31810450351520297</v>
      </c>
      <c r="AA55" s="22">
        <v>242.432268638018</v>
      </c>
      <c r="AB55" s="22">
        <v>281.24711366257799</v>
      </c>
      <c r="AC55" s="23">
        <v>1.0231758789687699E-2</v>
      </c>
      <c r="AD55" s="21">
        <v>1.0261435597264601</v>
      </c>
      <c r="AE55" s="21">
        <v>0.352371174971984</v>
      </c>
      <c r="AF55" s="21">
        <v>0.148172114358637</v>
      </c>
      <c r="AG55" s="22">
        <v>249.71117187691499</v>
      </c>
      <c r="AH55" s="23">
        <v>6.4999999999999997E-3</v>
      </c>
      <c r="AI55" s="21">
        <v>0.47797456244721698</v>
      </c>
    </row>
    <row r="56" spans="1:35" x14ac:dyDescent="0.25">
      <c r="B56" s="1">
        <v>12</v>
      </c>
      <c r="C56" s="1">
        <v>4</v>
      </c>
      <c r="D56" s="3">
        <v>46</v>
      </c>
      <c r="E56" s="5">
        <v>2.6933292113182898</v>
      </c>
      <c r="F56" s="1">
        <v>70</v>
      </c>
      <c r="G56" s="1">
        <v>84</v>
      </c>
      <c r="H56" s="4">
        <v>71.347043658761095</v>
      </c>
      <c r="I56" s="1">
        <v>450</v>
      </c>
      <c r="J56" s="29">
        <v>366</v>
      </c>
      <c r="K56" s="22">
        <v>227</v>
      </c>
      <c r="L56" s="29">
        <v>120</v>
      </c>
      <c r="M56" s="5">
        <v>0.4</v>
      </c>
      <c r="N56" s="21">
        <v>0.28452461876453899</v>
      </c>
      <c r="O56" s="22">
        <v>290.91872236562199</v>
      </c>
      <c r="P56" s="22">
        <v>281.24711366257799</v>
      </c>
      <c r="Q56" s="23">
        <v>1.0231758789687699E-2</v>
      </c>
      <c r="R56" s="21">
        <v>0.71131154691134801</v>
      </c>
      <c r="S56" s="5">
        <v>0.34178055859895101</v>
      </c>
      <c r="T56" s="22">
        <v>290.91872236562199</v>
      </c>
      <c r="U56" s="22">
        <v>268</v>
      </c>
      <c r="V56" s="23">
        <v>1.0761904761904801E-2</v>
      </c>
      <c r="W56" s="21">
        <f t="shared" si="0"/>
        <v>1.2850811376306681</v>
      </c>
      <c r="X56" s="21">
        <f t="shared" si="1"/>
        <v>0.73094170403587444</v>
      </c>
      <c r="Y56" s="21">
        <v>0.854451396497377</v>
      </c>
      <c r="Z56" s="21">
        <v>0.38172540421824303</v>
      </c>
      <c r="AA56" s="22">
        <v>290.91872236562199</v>
      </c>
      <c r="AB56" s="22">
        <v>281.24711366257799</v>
      </c>
      <c r="AC56" s="23">
        <v>1.0231758789687699E-2</v>
      </c>
      <c r="AD56" s="21">
        <v>0.95431351054560898</v>
      </c>
      <c r="AE56" s="21">
        <v>0.42284540996638098</v>
      </c>
      <c r="AF56" s="21">
        <v>0.21336784467643799</v>
      </c>
      <c r="AG56" s="22">
        <v>299.65340625229902</v>
      </c>
      <c r="AH56" s="23">
        <v>6.4999999999999997E-3</v>
      </c>
      <c r="AI56" s="21">
        <v>0.53341961169109398</v>
      </c>
    </row>
    <row r="57" spans="1:35" x14ac:dyDescent="0.25">
      <c r="A57" t="s">
        <v>33</v>
      </c>
      <c r="B57" s="1">
        <v>12</v>
      </c>
      <c r="C57" s="1">
        <v>4</v>
      </c>
      <c r="D57" s="3">
        <v>46</v>
      </c>
      <c r="E57" s="5">
        <v>2.6933292113182898</v>
      </c>
      <c r="F57" s="1">
        <v>70</v>
      </c>
      <c r="G57" s="1">
        <v>84</v>
      </c>
      <c r="H57" s="4">
        <v>71.347043658761095</v>
      </c>
      <c r="I57" s="1">
        <v>450</v>
      </c>
      <c r="J57" s="29">
        <v>366</v>
      </c>
      <c r="K57" s="22">
        <v>227</v>
      </c>
      <c r="L57" s="29">
        <v>120</v>
      </c>
      <c r="M57" s="5">
        <v>0.25</v>
      </c>
      <c r="N57" s="21">
        <v>5.8682947698771998E-2</v>
      </c>
      <c r="O57" s="22">
        <v>193.94581491041399</v>
      </c>
      <c r="P57" s="22">
        <v>281.24711366257799</v>
      </c>
      <c r="Q57" s="23">
        <v>1.0231758789687699E-2</v>
      </c>
      <c r="R57" s="21">
        <v>0.23473179079508799</v>
      </c>
      <c r="S57" s="5">
        <v>0.204037001359618</v>
      </c>
      <c r="T57" s="22">
        <v>193.94581491041399</v>
      </c>
      <c r="U57" s="22">
        <v>268</v>
      </c>
      <c r="V57" s="23">
        <v>1.0761904761904801E-2</v>
      </c>
      <c r="W57" s="21">
        <f t="shared" si="0"/>
        <v>1.2850811376306681</v>
      </c>
      <c r="X57" s="21">
        <f t="shared" si="1"/>
        <v>0.73094170403587444</v>
      </c>
      <c r="Y57" s="21">
        <v>0.81614800543847199</v>
      </c>
      <c r="Z57" s="21">
        <v>0.25448360281216198</v>
      </c>
      <c r="AA57" s="22">
        <v>193.94581491041399</v>
      </c>
      <c r="AB57" s="22">
        <v>281.24711366257799</v>
      </c>
      <c r="AC57" s="23">
        <v>1.0231758789687699E-2</v>
      </c>
      <c r="AD57" s="21">
        <v>1.0179344112486499</v>
      </c>
      <c r="AE57" s="21">
        <v>0.28189693997758702</v>
      </c>
      <c r="AF57" s="21">
        <v>9.4830153189527797E-2</v>
      </c>
      <c r="AG57" s="22">
        <v>199.76893750153201</v>
      </c>
      <c r="AH57" s="23">
        <v>6.4999999999999997E-3</v>
      </c>
      <c r="AI57" s="21">
        <v>0.37932061275811102</v>
      </c>
    </row>
    <row r="58" spans="1:35" x14ac:dyDescent="0.25">
      <c r="B58" s="1">
        <v>12</v>
      </c>
      <c r="C58" s="1">
        <v>4</v>
      </c>
      <c r="D58" s="3">
        <v>46</v>
      </c>
      <c r="E58" s="5">
        <v>2.6933292113182898</v>
      </c>
      <c r="F58" s="1">
        <v>70</v>
      </c>
      <c r="G58" s="1">
        <v>84</v>
      </c>
      <c r="H58" s="4">
        <v>71.347043658761095</v>
      </c>
      <c r="I58" s="1">
        <v>450</v>
      </c>
      <c r="J58" s="29">
        <v>366</v>
      </c>
      <c r="K58" s="22">
        <v>227</v>
      </c>
      <c r="L58" s="29">
        <v>120</v>
      </c>
      <c r="M58" s="5">
        <v>0.44</v>
      </c>
      <c r="N58" s="21">
        <v>0.17160378323165601</v>
      </c>
      <c r="O58" s="22">
        <v>242.432268638018</v>
      </c>
      <c r="P58" s="22">
        <v>281.24711366257799</v>
      </c>
      <c r="Q58" s="23">
        <v>1.0231758789687699E-2</v>
      </c>
      <c r="R58" s="21">
        <v>0.39000859825376299</v>
      </c>
      <c r="S58" s="5">
        <v>0.255046251699522</v>
      </c>
      <c r="T58" s="22">
        <v>242.432268638018</v>
      </c>
      <c r="U58" s="22">
        <v>268</v>
      </c>
      <c r="V58" s="23">
        <v>1.0761904761904801E-2</v>
      </c>
      <c r="W58" s="21">
        <f t="shared" si="0"/>
        <v>1.2850811376306681</v>
      </c>
      <c r="X58" s="21">
        <f t="shared" si="1"/>
        <v>0.73094170403587444</v>
      </c>
      <c r="Y58" s="21">
        <v>0.57965057204436898</v>
      </c>
      <c r="Z58" s="21">
        <v>0.31810450351520297</v>
      </c>
      <c r="AA58" s="22">
        <v>242.432268638018</v>
      </c>
      <c r="AB58" s="22">
        <v>281.24711366257799</v>
      </c>
      <c r="AC58" s="23">
        <v>1.0231758789687699E-2</v>
      </c>
      <c r="AD58" s="21">
        <v>0.72296478071637005</v>
      </c>
      <c r="AE58" s="21">
        <v>0.352371174971984</v>
      </c>
      <c r="AF58" s="21">
        <v>0.148172114358637</v>
      </c>
      <c r="AG58" s="22">
        <v>249.71117187691499</v>
      </c>
      <c r="AH58" s="23">
        <v>6.4999999999999997E-3</v>
      </c>
      <c r="AI58" s="21">
        <v>0.33675480536053898</v>
      </c>
    </row>
    <row r="59" spans="1:35" x14ac:dyDescent="0.25">
      <c r="B59" s="1">
        <v>12</v>
      </c>
      <c r="C59" s="1">
        <v>4</v>
      </c>
      <c r="D59" s="3">
        <v>46</v>
      </c>
      <c r="E59" s="5">
        <v>2.6933292113182898</v>
      </c>
      <c r="F59" s="1">
        <v>70</v>
      </c>
      <c r="G59" s="1">
        <v>84</v>
      </c>
      <c r="H59" s="4">
        <v>71.347043658761095</v>
      </c>
      <c r="I59" s="1">
        <v>450</v>
      </c>
      <c r="J59" s="29">
        <v>366</v>
      </c>
      <c r="K59" s="22">
        <v>227</v>
      </c>
      <c r="L59" s="29">
        <v>120</v>
      </c>
      <c r="M59" s="5">
        <v>0.56000000000000005</v>
      </c>
      <c r="N59" s="21">
        <v>0.28452461876453899</v>
      </c>
      <c r="O59" s="22">
        <v>290.91872236562199</v>
      </c>
      <c r="P59" s="22">
        <v>281.24711366257799</v>
      </c>
      <c r="Q59" s="23">
        <v>1.0231758789687699E-2</v>
      </c>
      <c r="R59" s="21">
        <v>0.50807967636524798</v>
      </c>
      <c r="S59" s="5">
        <v>0.34178055859895101</v>
      </c>
      <c r="T59" s="22">
        <v>290.91872236562199</v>
      </c>
      <c r="U59" s="22">
        <v>268</v>
      </c>
      <c r="V59" s="23">
        <v>1.0761904761904801E-2</v>
      </c>
      <c r="W59" s="21">
        <f t="shared" si="0"/>
        <v>1.2850811376306681</v>
      </c>
      <c r="X59" s="21">
        <f t="shared" si="1"/>
        <v>0.73094170403587444</v>
      </c>
      <c r="Y59" s="21">
        <v>0.610322426069555</v>
      </c>
      <c r="Z59" s="21">
        <v>0.38172540421824303</v>
      </c>
      <c r="AA59" s="22">
        <v>290.91872236562199</v>
      </c>
      <c r="AB59" s="22">
        <v>281.24711366257799</v>
      </c>
      <c r="AC59" s="23">
        <v>1.0231758789687699E-2</v>
      </c>
      <c r="AD59" s="21">
        <v>0.681652507532577</v>
      </c>
      <c r="AE59" s="21">
        <v>0.42284540996638098</v>
      </c>
      <c r="AF59" s="21">
        <v>0.21336784467643799</v>
      </c>
      <c r="AG59" s="22">
        <v>299.65340625229902</v>
      </c>
      <c r="AH59" s="23">
        <v>6.4999999999999997E-3</v>
      </c>
      <c r="AI59" s="21">
        <v>0.38101400835078097</v>
      </c>
    </row>
    <row r="60" spans="1:35" x14ac:dyDescent="0.25">
      <c r="A60" t="s">
        <v>34</v>
      </c>
      <c r="B60" s="1">
        <v>25</v>
      </c>
      <c r="C60" s="1">
        <v>4</v>
      </c>
      <c r="D60" s="3">
        <v>62</v>
      </c>
      <c r="E60" s="5">
        <v>2.6933292113182898</v>
      </c>
      <c r="F60" s="1">
        <v>20</v>
      </c>
      <c r="G60" s="1">
        <v>40.5</v>
      </c>
      <c r="H60" s="4">
        <v>141.76646013770099</v>
      </c>
      <c r="I60" s="1">
        <v>450</v>
      </c>
      <c r="J60" s="29">
        <v>409.5</v>
      </c>
      <c r="K60" s="22">
        <v>237</v>
      </c>
      <c r="L60" s="29">
        <v>141.75</v>
      </c>
      <c r="M60" s="5">
        <v>0.23</v>
      </c>
      <c r="N60" s="21">
        <v>0.14122631889913001</v>
      </c>
      <c r="O60" s="22">
        <v>210.83754926858899</v>
      </c>
      <c r="P60" s="22">
        <v>66.612008163975105</v>
      </c>
      <c r="Q60" s="23">
        <v>5.5421516754850103E-2</v>
      </c>
      <c r="R60" s="21">
        <v>0.61402747347447695</v>
      </c>
      <c r="S60" s="5">
        <v>0.15610003267778999</v>
      </c>
      <c r="T60" s="22">
        <v>210.83754926858899</v>
      </c>
      <c r="U60" s="22">
        <v>86</v>
      </c>
      <c r="V60" s="23">
        <v>3.9586797682035803E-2</v>
      </c>
      <c r="W60" s="21">
        <f t="shared" si="0"/>
        <v>1.1512698036294966</v>
      </c>
      <c r="X60" s="21">
        <f t="shared" si="1"/>
        <v>0.66725352112676051</v>
      </c>
      <c r="Y60" s="21">
        <v>0.67869579425125903</v>
      </c>
      <c r="Z60" s="21">
        <v>0.123611894101224</v>
      </c>
      <c r="AA60" s="22">
        <v>210.83754926858899</v>
      </c>
      <c r="AB60" s="22">
        <v>66.612008163975105</v>
      </c>
      <c r="AC60" s="23">
        <v>5.5421516754850103E-2</v>
      </c>
      <c r="AD60" s="21">
        <v>0.53744301783140802</v>
      </c>
      <c r="AE60" s="21">
        <v>0.17799191159417399</v>
      </c>
      <c r="AF60" s="21">
        <v>0.24169857413436399</v>
      </c>
      <c r="AG60" s="22">
        <v>220.95935656530699</v>
      </c>
      <c r="AH60" s="23">
        <v>2.9399999999999999E-2</v>
      </c>
      <c r="AI60" s="21">
        <v>0.77387787649641004</v>
      </c>
    </row>
    <row r="61" spans="1:35" x14ac:dyDescent="0.25">
      <c r="B61" s="1">
        <v>25</v>
      </c>
      <c r="C61" s="1">
        <v>4</v>
      </c>
      <c r="D61" s="3">
        <v>62</v>
      </c>
      <c r="E61" s="5">
        <v>2.6933292113182898</v>
      </c>
      <c r="F61" s="1">
        <v>20</v>
      </c>
      <c r="G61" s="1">
        <v>40.5</v>
      </c>
      <c r="H61" s="4">
        <v>141.76646013770099</v>
      </c>
      <c r="I61" s="1">
        <v>450</v>
      </c>
      <c r="J61" s="29">
        <v>409.5</v>
      </c>
      <c r="K61" s="22">
        <v>237</v>
      </c>
      <c r="L61" s="29">
        <v>141.75</v>
      </c>
      <c r="M61" s="5">
        <v>0.35</v>
      </c>
      <c r="N61" s="21">
        <v>0.22835615725307201</v>
      </c>
      <c r="O61" s="22">
        <v>316.25632390288399</v>
      </c>
      <c r="P61" s="22">
        <v>66.612008163975105</v>
      </c>
      <c r="Q61" s="23">
        <v>5.5421516754850103E-2</v>
      </c>
      <c r="R61" s="21">
        <v>0.65244616358020702</v>
      </c>
      <c r="S61" s="5">
        <v>0.25946151729319999</v>
      </c>
      <c r="T61" s="22">
        <v>316.25632390288399</v>
      </c>
      <c r="U61" s="22">
        <v>86</v>
      </c>
      <c r="V61" s="23">
        <v>3.9586797682035803E-2</v>
      </c>
      <c r="W61" s="21">
        <f t="shared" si="0"/>
        <v>1.1512698036294966</v>
      </c>
      <c r="X61" s="21">
        <f t="shared" si="1"/>
        <v>0.66725352112676051</v>
      </c>
      <c r="Y61" s="21">
        <v>0.74131862083771305</v>
      </c>
      <c r="Z61" s="21">
        <v>0.19987448053425899</v>
      </c>
      <c r="AA61" s="22">
        <v>316.25632390288399</v>
      </c>
      <c r="AB61" s="22">
        <v>66.612008163975105</v>
      </c>
      <c r="AC61" s="23">
        <v>5.5421516754850103E-2</v>
      </c>
      <c r="AD61" s="21">
        <v>0.57106994438359804</v>
      </c>
      <c r="AE61" s="21">
        <v>0.26698786739126101</v>
      </c>
      <c r="AF61" s="21">
        <v>0.54382179180231804</v>
      </c>
      <c r="AG61" s="22">
        <v>331.43903484796101</v>
      </c>
      <c r="AH61" s="23">
        <v>2.9399999999999999E-2</v>
      </c>
      <c r="AI61" s="21">
        <v>0.76282247826074701</v>
      </c>
    </row>
    <row r="62" spans="1:35" x14ac:dyDescent="0.25">
      <c r="B62" s="1">
        <v>25</v>
      </c>
      <c r="C62" s="1">
        <v>4</v>
      </c>
      <c r="D62" s="3">
        <v>62</v>
      </c>
      <c r="E62" s="5">
        <v>2.6933292113182898</v>
      </c>
      <c r="F62" s="1">
        <v>20</v>
      </c>
      <c r="G62" s="1">
        <v>40.5</v>
      </c>
      <c r="H62" s="4">
        <v>141.76646013770099</v>
      </c>
      <c r="I62" s="1">
        <v>450</v>
      </c>
      <c r="J62" s="29">
        <v>409.5</v>
      </c>
      <c r="K62" s="22">
        <v>237</v>
      </c>
      <c r="L62" s="29">
        <v>141.75</v>
      </c>
      <c r="M62" s="5">
        <v>0.49</v>
      </c>
      <c r="N62" s="21">
        <v>0.31548599560701501</v>
      </c>
      <c r="O62" s="22">
        <v>421.675098537179</v>
      </c>
      <c r="P62" s="22">
        <v>66.612008163975105</v>
      </c>
      <c r="Q62" s="23">
        <v>5.5421516754850103E-2</v>
      </c>
      <c r="R62" s="21">
        <v>0.64384897062656099</v>
      </c>
      <c r="S62" s="5">
        <v>0.36282300190861</v>
      </c>
      <c r="T62" s="22">
        <v>421.675098537179</v>
      </c>
      <c r="U62" s="22">
        <v>86</v>
      </c>
      <c r="V62" s="23">
        <v>3.9586797682035803E-2</v>
      </c>
      <c r="W62" s="21">
        <f t="shared" si="0"/>
        <v>1.1512698036294966</v>
      </c>
      <c r="X62" s="21">
        <f t="shared" si="1"/>
        <v>0.66725352112676051</v>
      </c>
      <c r="Y62" s="21">
        <v>0.740455105935938</v>
      </c>
      <c r="Z62" s="21">
        <v>0.27613706696729501</v>
      </c>
      <c r="AA62" s="22">
        <v>421.675098537179</v>
      </c>
      <c r="AB62" s="22">
        <v>66.612008163975105</v>
      </c>
      <c r="AC62" s="23">
        <v>5.5421516754850103E-2</v>
      </c>
      <c r="AD62" s="21">
        <v>0.56354503462713201</v>
      </c>
      <c r="AE62" s="21">
        <v>0.35598382318834798</v>
      </c>
      <c r="AF62" s="21">
        <v>0.96679429653745397</v>
      </c>
      <c r="AG62" s="22">
        <v>441.91871313061398</v>
      </c>
      <c r="AH62" s="23">
        <v>2.9399999999999999E-2</v>
      </c>
      <c r="AI62" s="21">
        <v>0.72649759834356797</v>
      </c>
    </row>
    <row r="63" spans="1:35" x14ac:dyDescent="0.25">
      <c r="B63" s="1">
        <v>25</v>
      </c>
      <c r="C63" s="1">
        <v>4</v>
      </c>
      <c r="D63" s="3">
        <v>62</v>
      </c>
      <c r="E63" s="5">
        <v>2.6933292113182898</v>
      </c>
      <c r="F63" s="1">
        <v>20</v>
      </c>
      <c r="G63" s="1">
        <v>40.5</v>
      </c>
      <c r="H63" s="4">
        <v>141.76646013770099</v>
      </c>
      <c r="I63" s="1">
        <v>450</v>
      </c>
      <c r="J63" s="29">
        <v>409.5</v>
      </c>
      <c r="K63" s="22">
        <v>237</v>
      </c>
      <c r="L63" s="29">
        <v>141.75</v>
      </c>
      <c r="M63" s="5">
        <v>0.67</v>
      </c>
      <c r="N63" s="21">
        <v>0.380222433942772</v>
      </c>
      <c r="O63" s="22">
        <v>500</v>
      </c>
      <c r="P63" s="22">
        <v>66.612008163975105</v>
      </c>
      <c r="Q63" s="23">
        <v>5.5421516754850103E-2</v>
      </c>
      <c r="R63" s="21">
        <v>0.56749617006383901</v>
      </c>
      <c r="S63" s="5">
        <v>0.43961936124438999</v>
      </c>
      <c r="T63" s="22">
        <v>500</v>
      </c>
      <c r="U63" s="22">
        <v>86</v>
      </c>
      <c r="V63" s="23">
        <v>3.9586797682035803E-2</v>
      </c>
      <c r="W63" s="21">
        <f t="shared" si="0"/>
        <v>1.1512698036294966</v>
      </c>
      <c r="X63" s="21">
        <f t="shared" si="1"/>
        <v>0.66725352112676051</v>
      </c>
      <c r="Y63" s="21">
        <v>0.65614830036476102</v>
      </c>
      <c r="Z63" s="21">
        <v>0.33279926578708802</v>
      </c>
      <c r="AA63" s="22">
        <v>500</v>
      </c>
      <c r="AB63" s="22">
        <v>66.612008163975105</v>
      </c>
      <c r="AC63" s="23">
        <v>5.5421516754850103E-2</v>
      </c>
      <c r="AD63" s="21">
        <v>0.49671532207028102</v>
      </c>
      <c r="AE63" s="21">
        <v>0.40277070489560102</v>
      </c>
      <c r="AF63" s="21">
        <v>1.23762565650182</v>
      </c>
      <c r="AG63" s="22">
        <v>500</v>
      </c>
      <c r="AH63" s="23">
        <v>2.9399999999999999E-2</v>
      </c>
      <c r="AI63" s="21">
        <v>0.60115030581432904</v>
      </c>
    </row>
    <row r="64" spans="1:35" x14ac:dyDescent="0.25">
      <c r="A64" t="s">
        <v>35</v>
      </c>
      <c r="B64" s="1">
        <v>25</v>
      </c>
      <c r="C64" s="1">
        <v>4</v>
      </c>
      <c r="D64" s="3">
        <v>62</v>
      </c>
      <c r="E64" s="5">
        <v>2.6933292113182898</v>
      </c>
      <c r="F64" s="1">
        <v>20</v>
      </c>
      <c r="G64" s="1">
        <v>40.5</v>
      </c>
      <c r="H64" s="4">
        <v>141.76646013770099</v>
      </c>
      <c r="I64" s="1">
        <v>450</v>
      </c>
      <c r="J64" s="29">
        <v>409.5</v>
      </c>
      <c r="K64" s="22">
        <v>237</v>
      </c>
      <c r="L64" s="29">
        <v>141.75</v>
      </c>
      <c r="M64" s="5">
        <v>0.27</v>
      </c>
      <c r="N64" s="21">
        <v>0.14122631889913001</v>
      </c>
      <c r="O64" s="22">
        <v>210.83754926858899</v>
      </c>
      <c r="P64" s="22">
        <v>66.612008163975105</v>
      </c>
      <c r="Q64" s="23">
        <v>5.5421516754850103E-2</v>
      </c>
      <c r="R64" s="21">
        <v>0.52306044036714705</v>
      </c>
      <c r="S64" s="5">
        <v>0.15610003267778999</v>
      </c>
      <c r="T64" s="22">
        <v>210.83754926858899</v>
      </c>
      <c r="U64" s="22">
        <v>86</v>
      </c>
      <c r="V64" s="23">
        <v>3.9586797682035803E-2</v>
      </c>
      <c r="W64" s="21">
        <f t="shared" si="0"/>
        <v>1.1512698036294966</v>
      </c>
      <c r="X64" s="21">
        <f t="shared" si="1"/>
        <v>0.66725352112676051</v>
      </c>
      <c r="Y64" s="21">
        <v>0.57814826917699802</v>
      </c>
      <c r="Z64" s="21">
        <v>0.123611894101224</v>
      </c>
      <c r="AA64" s="22">
        <v>210.83754926858899</v>
      </c>
      <c r="AB64" s="22">
        <v>66.612008163975105</v>
      </c>
      <c r="AC64" s="23">
        <v>5.5421516754850103E-2</v>
      </c>
      <c r="AD64" s="21">
        <v>0.45782183000453303</v>
      </c>
      <c r="AE64" s="21">
        <v>0.17799191159417399</v>
      </c>
      <c r="AF64" s="21">
        <v>0.24169857413436399</v>
      </c>
      <c r="AG64" s="22">
        <v>220.95935656530699</v>
      </c>
      <c r="AH64" s="23">
        <v>2.9399999999999999E-2</v>
      </c>
      <c r="AI64" s="21">
        <v>0.65922930220064502</v>
      </c>
    </row>
    <row r="65" spans="1:35" x14ac:dyDescent="0.25">
      <c r="B65" s="1">
        <v>25</v>
      </c>
      <c r="C65" s="1">
        <v>4</v>
      </c>
      <c r="D65" s="3">
        <v>62</v>
      </c>
      <c r="E65" s="5">
        <v>2.6933292113182898</v>
      </c>
      <c r="F65" s="1">
        <v>20</v>
      </c>
      <c r="G65" s="1">
        <v>40.5</v>
      </c>
      <c r="H65" s="4">
        <v>141.76646013770099</v>
      </c>
      <c r="I65" s="1">
        <v>450</v>
      </c>
      <c r="J65" s="29">
        <v>409.5</v>
      </c>
      <c r="K65" s="22">
        <v>237</v>
      </c>
      <c r="L65" s="29">
        <v>141.75</v>
      </c>
      <c r="M65" s="5">
        <v>0.4</v>
      </c>
      <c r="N65" s="21">
        <v>0.22835615725307201</v>
      </c>
      <c r="O65" s="22">
        <v>316.25632390288399</v>
      </c>
      <c r="P65" s="22">
        <v>66.612008163975105</v>
      </c>
      <c r="Q65" s="23">
        <v>5.5421516754850103E-2</v>
      </c>
      <c r="R65" s="21">
        <v>0.57089039313268097</v>
      </c>
      <c r="S65" s="5">
        <v>0.25946151729319999</v>
      </c>
      <c r="T65" s="22">
        <v>316.25632390288399</v>
      </c>
      <c r="U65" s="22">
        <v>86</v>
      </c>
      <c r="V65" s="23">
        <v>3.9586797682035803E-2</v>
      </c>
      <c r="W65" s="21">
        <f t="shared" si="0"/>
        <v>1.1512698036294966</v>
      </c>
      <c r="X65" s="21">
        <f t="shared" si="1"/>
        <v>0.66725352112676051</v>
      </c>
      <c r="Y65" s="21">
        <v>0.64865379323299899</v>
      </c>
      <c r="Z65" s="21">
        <v>0.19987448053425899</v>
      </c>
      <c r="AA65" s="22">
        <v>316.25632390288399</v>
      </c>
      <c r="AB65" s="22">
        <v>66.612008163975105</v>
      </c>
      <c r="AC65" s="23">
        <v>5.5421516754850103E-2</v>
      </c>
      <c r="AD65" s="21">
        <v>0.49968620133564801</v>
      </c>
      <c r="AE65" s="21">
        <v>0.26698786739126101</v>
      </c>
      <c r="AF65" s="21">
        <v>0.54382179180231804</v>
      </c>
      <c r="AG65" s="22">
        <v>331.43903484796101</v>
      </c>
      <c r="AH65" s="23">
        <v>2.9399999999999999E-2</v>
      </c>
      <c r="AI65" s="21">
        <v>0.66746966847815303</v>
      </c>
    </row>
    <row r="66" spans="1:35" x14ac:dyDescent="0.25">
      <c r="B66" s="1">
        <v>25</v>
      </c>
      <c r="C66" s="1">
        <v>4</v>
      </c>
      <c r="D66" s="3">
        <v>62</v>
      </c>
      <c r="E66" s="5">
        <v>2.6933292113182898</v>
      </c>
      <c r="F66" s="1">
        <v>20</v>
      </c>
      <c r="G66" s="1">
        <v>40.5</v>
      </c>
      <c r="H66" s="4">
        <v>141.76646013770099</v>
      </c>
      <c r="I66" s="1">
        <v>450</v>
      </c>
      <c r="J66" s="29">
        <v>409.5</v>
      </c>
      <c r="K66" s="22">
        <v>237</v>
      </c>
      <c r="L66" s="29">
        <v>141.75</v>
      </c>
      <c r="M66" s="5">
        <v>0.53</v>
      </c>
      <c r="N66" s="21">
        <v>0.31548599560701501</v>
      </c>
      <c r="O66" s="22">
        <v>421.675098537179</v>
      </c>
      <c r="P66" s="22">
        <v>66.612008163975105</v>
      </c>
      <c r="Q66" s="23">
        <v>5.5421516754850103E-2</v>
      </c>
      <c r="R66" s="21">
        <v>0.59525659548493404</v>
      </c>
      <c r="S66" s="5">
        <v>0.36282300190861</v>
      </c>
      <c r="T66" s="22">
        <v>421.675098537179</v>
      </c>
      <c r="U66" s="22">
        <v>86</v>
      </c>
      <c r="V66" s="23">
        <v>3.9586797682035803E-2</v>
      </c>
      <c r="W66" s="21">
        <f t="shared" ref="W66:W129" si="2">(I66-H66)/(J66-H66)</f>
        <v>1.1512698036294966</v>
      </c>
      <c r="X66" s="21">
        <f t="shared" ref="X66:X129" si="3">0.5*(1+(I66-K66-L66)/(I66-K66))</f>
        <v>0.66725352112676051</v>
      </c>
      <c r="Y66" s="21">
        <v>0.68457170171435799</v>
      </c>
      <c r="Z66" s="21">
        <v>0.27613706696729501</v>
      </c>
      <c r="AA66" s="22">
        <v>421.675098537179</v>
      </c>
      <c r="AB66" s="22">
        <v>66.612008163975105</v>
      </c>
      <c r="AC66" s="23">
        <v>5.5421516754850103E-2</v>
      </c>
      <c r="AD66" s="21">
        <v>0.52101333390055604</v>
      </c>
      <c r="AE66" s="21">
        <v>0.35598382318834798</v>
      </c>
      <c r="AF66" s="21">
        <v>0.96679429653745397</v>
      </c>
      <c r="AG66" s="22">
        <v>441.91871313061398</v>
      </c>
      <c r="AH66" s="23">
        <v>2.9399999999999999E-2</v>
      </c>
      <c r="AI66" s="21">
        <v>0.67166759092141204</v>
      </c>
    </row>
    <row r="67" spans="1:35" x14ac:dyDescent="0.25">
      <c r="B67" s="1">
        <v>25</v>
      </c>
      <c r="C67" s="1">
        <v>4</v>
      </c>
      <c r="D67" s="3">
        <v>62</v>
      </c>
      <c r="E67" s="5">
        <v>2.6933292113182898</v>
      </c>
      <c r="F67" s="1">
        <v>20</v>
      </c>
      <c r="G67" s="1">
        <v>40.5</v>
      </c>
      <c r="H67" s="4">
        <v>141.76646013770099</v>
      </c>
      <c r="I67" s="1">
        <v>450</v>
      </c>
      <c r="J67" s="29">
        <v>409.5</v>
      </c>
      <c r="K67" s="22">
        <v>237</v>
      </c>
      <c r="L67" s="29">
        <v>141.75</v>
      </c>
      <c r="M67" s="5">
        <v>0.72</v>
      </c>
      <c r="N67" s="21">
        <v>0.380222433942772</v>
      </c>
      <c r="O67" s="22">
        <v>500</v>
      </c>
      <c r="P67" s="22">
        <v>66.612008163975105</v>
      </c>
      <c r="Q67" s="23">
        <v>5.5421516754850103E-2</v>
      </c>
      <c r="R67" s="21">
        <v>0.52808671380940597</v>
      </c>
      <c r="S67" s="5">
        <v>0.43961936124438999</v>
      </c>
      <c r="T67" s="22">
        <v>500</v>
      </c>
      <c r="U67" s="22">
        <v>86</v>
      </c>
      <c r="V67" s="23">
        <v>3.9586797682035803E-2</v>
      </c>
      <c r="W67" s="21">
        <f t="shared" si="2"/>
        <v>1.1512698036294966</v>
      </c>
      <c r="X67" s="21">
        <f t="shared" si="3"/>
        <v>0.66725352112676051</v>
      </c>
      <c r="Y67" s="21">
        <v>0.61058244617276403</v>
      </c>
      <c r="Z67" s="21">
        <v>0.33279926578708802</v>
      </c>
      <c r="AA67" s="22">
        <v>500</v>
      </c>
      <c r="AB67" s="22">
        <v>66.612008163975105</v>
      </c>
      <c r="AC67" s="23">
        <v>5.5421516754850103E-2</v>
      </c>
      <c r="AD67" s="21">
        <v>0.462221202482067</v>
      </c>
      <c r="AE67" s="21">
        <v>0.40277070489560102</v>
      </c>
      <c r="AF67" s="21">
        <v>1.23762565650182</v>
      </c>
      <c r="AG67" s="22">
        <v>500</v>
      </c>
      <c r="AH67" s="23">
        <v>2.9399999999999999E-2</v>
      </c>
      <c r="AI67" s="21">
        <v>0.55940375679944498</v>
      </c>
    </row>
    <row r="68" spans="1:35" x14ac:dyDescent="0.25">
      <c r="A68" t="s">
        <v>36</v>
      </c>
      <c r="B68" s="1">
        <v>25</v>
      </c>
      <c r="C68" s="1">
        <v>4</v>
      </c>
      <c r="D68" s="3">
        <v>28.7</v>
      </c>
      <c r="E68" s="5">
        <v>2.6933292113182898</v>
      </c>
      <c r="F68" s="1">
        <v>70</v>
      </c>
      <c r="G68" s="1">
        <v>94.5</v>
      </c>
      <c r="H68" s="4">
        <v>130.081813066926</v>
      </c>
      <c r="I68" s="1">
        <v>450</v>
      </c>
      <c r="J68" s="29">
        <v>355.5</v>
      </c>
      <c r="K68" s="22">
        <v>234</v>
      </c>
      <c r="L68" s="29">
        <v>219.5</v>
      </c>
      <c r="M68" s="5">
        <v>0.3</v>
      </c>
      <c r="N68" s="21">
        <v>0.109905925341171</v>
      </c>
      <c r="O68" s="22">
        <v>122.340765829723</v>
      </c>
      <c r="P68" s="22">
        <v>69.198767762806796</v>
      </c>
      <c r="Q68" s="23">
        <v>5.2620596145749599E-2</v>
      </c>
      <c r="R68" s="21">
        <v>0.36635308447056902</v>
      </c>
      <c r="S68" s="5">
        <v>0.10939457736918699</v>
      </c>
      <c r="T68" s="22">
        <v>122.340765829723</v>
      </c>
      <c r="U68" s="22">
        <v>123</v>
      </c>
      <c r="V68" s="23">
        <v>2.5564594858444499E-2</v>
      </c>
      <c r="W68" s="21">
        <f t="shared" si="2"/>
        <v>1.4192208325588955</v>
      </c>
      <c r="X68" s="21">
        <f t="shared" si="3"/>
        <v>0.49189814814814814</v>
      </c>
      <c r="Y68" s="21">
        <v>0.36464859123062399</v>
      </c>
      <c r="Z68" s="21">
        <v>0.12881608464782099</v>
      </c>
      <c r="AA68" s="22">
        <v>122.340765829723</v>
      </c>
      <c r="AB68" s="22">
        <v>69.198767762806796</v>
      </c>
      <c r="AC68" s="23">
        <v>5.2620596145749599E-2</v>
      </c>
      <c r="AD68" s="21">
        <v>0.42938694882607098</v>
      </c>
      <c r="AE68" s="21">
        <v>0.16556711308129901</v>
      </c>
      <c r="AF68" s="21">
        <v>8.1665558272208894E-2</v>
      </c>
      <c r="AG68" s="22">
        <v>128.438380260679</v>
      </c>
      <c r="AH68" s="23">
        <v>1.6299999999999999E-2</v>
      </c>
      <c r="AI68" s="21">
        <v>0.27221852757402998</v>
      </c>
    </row>
    <row r="69" spans="1:35" x14ac:dyDescent="0.25">
      <c r="B69" s="1">
        <v>25</v>
      </c>
      <c r="C69" s="1">
        <v>4</v>
      </c>
      <c r="D69" s="3">
        <v>28.7</v>
      </c>
      <c r="E69" s="5">
        <v>2.6933292113182898</v>
      </c>
      <c r="F69" s="1">
        <v>70</v>
      </c>
      <c r="G69" s="1">
        <v>94.5</v>
      </c>
      <c r="H69" s="4">
        <v>130.081813066926</v>
      </c>
      <c r="I69" s="1">
        <v>450</v>
      </c>
      <c r="J69" s="29">
        <v>355.5</v>
      </c>
      <c r="K69" s="22">
        <v>234</v>
      </c>
      <c r="L69" s="29">
        <v>219.5</v>
      </c>
      <c r="M69" s="5">
        <v>0.56999999999999995</v>
      </c>
      <c r="N69" s="21">
        <v>0.27627222904761201</v>
      </c>
      <c r="O69" s="22">
        <v>244.68153165944599</v>
      </c>
      <c r="P69" s="22">
        <v>69.198767762806796</v>
      </c>
      <c r="Q69" s="23">
        <v>5.2620596145749599E-2</v>
      </c>
      <c r="R69" s="21">
        <v>0.484688121136162</v>
      </c>
      <c r="S69" s="5">
        <v>0.38150227100816497</v>
      </c>
      <c r="T69" s="22">
        <v>244.68153165944599</v>
      </c>
      <c r="U69" s="22">
        <v>123</v>
      </c>
      <c r="V69" s="23">
        <v>2.5564594858444499E-2</v>
      </c>
      <c r="W69" s="21">
        <f t="shared" si="2"/>
        <v>1.4192208325588955</v>
      </c>
      <c r="X69" s="21">
        <f t="shared" si="3"/>
        <v>0.49189814814814814</v>
      </c>
      <c r="Y69" s="21">
        <v>0.66930222983888499</v>
      </c>
      <c r="Z69" s="21">
        <v>0.32380698977208</v>
      </c>
      <c r="AA69" s="22">
        <v>244.68153165944599</v>
      </c>
      <c r="AB69" s="22">
        <v>69.198767762806796</v>
      </c>
      <c r="AC69" s="23">
        <v>5.2620596145749599E-2</v>
      </c>
      <c r="AD69" s="21">
        <v>0.56808243819663196</v>
      </c>
      <c r="AE69" s="21">
        <v>0.33113422616259902</v>
      </c>
      <c r="AF69" s="21">
        <v>0.32666223308883502</v>
      </c>
      <c r="AG69" s="22">
        <v>256.87676052135703</v>
      </c>
      <c r="AH69" s="23">
        <v>1.6299999999999999E-2</v>
      </c>
      <c r="AI69" s="21">
        <v>0.57309163699795695</v>
      </c>
    </row>
    <row r="70" spans="1:35" x14ac:dyDescent="0.25">
      <c r="A70" t="s">
        <v>37</v>
      </c>
      <c r="B70" s="1">
        <v>25</v>
      </c>
      <c r="C70" s="1">
        <v>4</v>
      </c>
      <c r="D70" s="3">
        <v>28.7</v>
      </c>
      <c r="E70" s="5">
        <v>2.6933292113182898</v>
      </c>
      <c r="F70" s="1">
        <v>70</v>
      </c>
      <c r="G70" s="1">
        <v>90.5</v>
      </c>
      <c r="H70" s="4">
        <v>130.975130551886</v>
      </c>
      <c r="I70" s="1">
        <v>450</v>
      </c>
      <c r="J70" s="29">
        <v>359.5</v>
      </c>
      <c r="K70" s="22">
        <v>234</v>
      </c>
      <c r="L70" s="29">
        <v>215.5</v>
      </c>
      <c r="M70" s="5">
        <v>0.26</v>
      </c>
      <c r="N70" s="21">
        <v>0.107925994945012</v>
      </c>
      <c r="O70" s="22">
        <v>120.90671371296</v>
      </c>
      <c r="P70" s="22">
        <v>69.055845270099994</v>
      </c>
      <c r="Q70" s="23">
        <v>5.2767941707515101E-2</v>
      </c>
      <c r="R70" s="21">
        <v>0.415099980557738</v>
      </c>
      <c r="S70" s="5">
        <v>0.106297702576725</v>
      </c>
      <c r="T70" s="22">
        <v>120.90671371296</v>
      </c>
      <c r="U70" s="22">
        <v>121</v>
      </c>
      <c r="V70" s="23">
        <v>2.60391117003646E-2</v>
      </c>
      <c r="W70" s="21">
        <f t="shared" si="2"/>
        <v>1.3960181673817686</v>
      </c>
      <c r="X70" s="21">
        <f t="shared" si="3"/>
        <v>0.50115740740740744</v>
      </c>
      <c r="Y70" s="21">
        <v>0.40883731760278902</v>
      </c>
      <c r="Z70" s="21">
        <v>0.12657750301551299</v>
      </c>
      <c r="AA70" s="22">
        <v>120.90671371296</v>
      </c>
      <c r="AB70" s="22">
        <v>69.055845270099994</v>
      </c>
      <c r="AC70" s="23">
        <v>5.2767941707515101E-2</v>
      </c>
      <c r="AD70" s="21">
        <v>0.48683655005966397</v>
      </c>
      <c r="AE70" s="21">
        <v>0.16360417247081699</v>
      </c>
      <c r="AF70" s="21">
        <v>7.9740606352613902E-2</v>
      </c>
      <c r="AG70" s="22">
        <v>126.915632730289</v>
      </c>
      <c r="AH70" s="23">
        <v>1.6299999999999999E-2</v>
      </c>
      <c r="AI70" s="21">
        <v>0.30669463981774597</v>
      </c>
    </row>
    <row r="71" spans="1:35" x14ac:dyDescent="0.25">
      <c r="B71" s="1">
        <v>25</v>
      </c>
      <c r="C71" s="1">
        <v>4</v>
      </c>
      <c r="D71" s="3">
        <v>28.7</v>
      </c>
      <c r="E71" s="5">
        <v>2.6933292113182898</v>
      </c>
      <c r="F71" s="1">
        <v>70</v>
      </c>
      <c r="G71" s="1">
        <v>90.5</v>
      </c>
      <c r="H71" s="4">
        <v>130.975130551886</v>
      </c>
      <c r="I71" s="1">
        <v>450</v>
      </c>
      <c r="J71" s="29">
        <v>359.5</v>
      </c>
      <c r="K71" s="22">
        <v>234</v>
      </c>
      <c r="L71" s="29">
        <v>215.5</v>
      </c>
      <c r="M71" s="5">
        <v>0.6</v>
      </c>
      <c r="N71" s="21">
        <v>0.27211941231575099</v>
      </c>
      <c r="O71" s="22">
        <v>241.81342742592</v>
      </c>
      <c r="P71" s="22">
        <v>69.055845270099994</v>
      </c>
      <c r="Q71" s="23">
        <v>5.2767941707515101E-2</v>
      </c>
      <c r="R71" s="21">
        <v>0.45353235385958601</v>
      </c>
      <c r="S71" s="5">
        <v>0.37132705037540797</v>
      </c>
      <c r="T71" s="22">
        <v>241.81342742592</v>
      </c>
      <c r="U71" s="22">
        <v>121</v>
      </c>
      <c r="V71" s="23">
        <v>2.60391117003646E-2</v>
      </c>
      <c r="W71" s="21">
        <f t="shared" si="2"/>
        <v>1.3960181673817686</v>
      </c>
      <c r="X71" s="21">
        <f t="shared" si="3"/>
        <v>0.50115740740740744</v>
      </c>
      <c r="Y71" s="21">
        <v>0.61887841729234605</v>
      </c>
      <c r="Z71" s="21">
        <v>0.31914642761019602</v>
      </c>
      <c r="AA71" s="22">
        <v>241.81342742592</v>
      </c>
      <c r="AB71" s="22">
        <v>69.055845270099994</v>
      </c>
      <c r="AC71" s="23">
        <v>5.2767941707515101E-2</v>
      </c>
      <c r="AD71" s="21">
        <v>0.53191071268365897</v>
      </c>
      <c r="AE71" s="21">
        <v>0.32720834494163298</v>
      </c>
      <c r="AF71" s="21">
        <v>0.318962425410456</v>
      </c>
      <c r="AG71" s="22">
        <v>253.83126546057801</v>
      </c>
      <c r="AH71" s="23">
        <v>1.6299999999999999E-2</v>
      </c>
      <c r="AI71" s="21">
        <v>0.53160404235075898</v>
      </c>
    </row>
    <row r="72" spans="1:35" x14ac:dyDescent="0.25">
      <c r="A72" t="s">
        <v>38</v>
      </c>
      <c r="B72" s="1">
        <v>25</v>
      </c>
      <c r="C72" s="1">
        <v>4</v>
      </c>
      <c r="D72" s="3">
        <v>28.7</v>
      </c>
      <c r="E72" s="5">
        <v>2.6933292113182898</v>
      </c>
      <c r="F72" s="1">
        <v>70</v>
      </c>
      <c r="G72" s="1">
        <v>90.5</v>
      </c>
      <c r="H72" s="4">
        <v>130.975130551886</v>
      </c>
      <c r="I72" s="1">
        <v>450</v>
      </c>
      <c r="J72" s="29">
        <v>359.5</v>
      </c>
      <c r="K72" s="22">
        <v>234</v>
      </c>
      <c r="L72" s="29">
        <v>215.5</v>
      </c>
      <c r="M72" s="5">
        <v>0.27</v>
      </c>
      <c r="N72" s="21">
        <v>0.107925994945012</v>
      </c>
      <c r="O72" s="22">
        <v>120.90671371296</v>
      </c>
      <c r="P72" s="22">
        <v>69.055845270099994</v>
      </c>
      <c r="Q72" s="23">
        <v>5.2767941707515101E-2</v>
      </c>
      <c r="R72" s="21">
        <v>0.39972590720374701</v>
      </c>
      <c r="S72" s="5">
        <v>0.106297702576725</v>
      </c>
      <c r="T72" s="22">
        <v>120.90671371296</v>
      </c>
      <c r="U72" s="22">
        <v>121</v>
      </c>
      <c r="V72" s="23">
        <v>2.60391117003646E-2</v>
      </c>
      <c r="W72" s="21">
        <f t="shared" si="2"/>
        <v>1.3960181673817686</v>
      </c>
      <c r="X72" s="21">
        <f t="shared" si="3"/>
        <v>0.50115740740740744</v>
      </c>
      <c r="Y72" s="21">
        <v>0.39369519472861098</v>
      </c>
      <c r="Z72" s="21">
        <v>0.12657750301551299</v>
      </c>
      <c r="AA72" s="22">
        <v>120.90671371296</v>
      </c>
      <c r="AB72" s="22">
        <v>69.055845270099994</v>
      </c>
      <c r="AC72" s="23">
        <v>5.2767941707515101E-2</v>
      </c>
      <c r="AD72" s="21">
        <v>0.46880556672412099</v>
      </c>
      <c r="AE72" s="21">
        <v>0.16360417247081699</v>
      </c>
      <c r="AF72" s="21">
        <v>7.9740606352613902E-2</v>
      </c>
      <c r="AG72" s="22">
        <v>126.915632730289</v>
      </c>
      <c r="AH72" s="23">
        <v>1.6299999999999999E-2</v>
      </c>
      <c r="AI72" s="21">
        <v>0.29533557908375502</v>
      </c>
    </row>
    <row r="73" spans="1:35" x14ac:dyDescent="0.25">
      <c r="B73" s="1">
        <v>25</v>
      </c>
      <c r="C73" s="1">
        <v>4</v>
      </c>
      <c r="D73" s="3">
        <v>28.7</v>
      </c>
      <c r="E73" s="5">
        <v>2.6933292113182898</v>
      </c>
      <c r="F73" s="1">
        <v>70</v>
      </c>
      <c r="G73" s="1">
        <v>90.5</v>
      </c>
      <c r="H73" s="4">
        <v>130.975130551886</v>
      </c>
      <c r="I73" s="1">
        <v>450</v>
      </c>
      <c r="J73" s="29">
        <v>359.5</v>
      </c>
      <c r="K73" s="22">
        <v>234</v>
      </c>
      <c r="L73" s="29">
        <v>215.5</v>
      </c>
      <c r="M73" s="5">
        <v>0.59</v>
      </c>
      <c r="N73" s="21">
        <v>0.27211941231575099</v>
      </c>
      <c r="O73" s="22">
        <v>241.81342742592</v>
      </c>
      <c r="P73" s="22">
        <v>69.055845270099994</v>
      </c>
      <c r="Q73" s="23">
        <v>5.2767941707515101E-2</v>
      </c>
      <c r="R73" s="21">
        <v>0.461219342908053</v>
      </c>
      <c r="S73" s="5">
        <v>0.37132705037540797</v>
      </c>
      <c r="T73" s="22">
        <v>241.81342742592</v>
      </c>
      <c r="U73" s="22">
        <v>121</v>
      </c>
      <c r="V73" s="23">
        <v>2.60391117003646E-2</v>
      </c>
      <c r="W73" s="21">
        <f t="shared" si="2"/>
        <v>1.3960181673817686</v>
      </c>
      <c r="X73" s="21">
        <f t="shared" si="3"/>
        <v>0.50115740740740744</v>
      </c>
      <c r="Y73" s="21">
        <v>0.62936788199221605</v>
      </c>
      <c r="Z73" s="21">
        <v>0.31914642761019602</v>
      </c>
      <c r="AA73" s="22">
        <v>241.81342742592</v>
      </c>
      <c r="AB73" s="22">
        <v>69.055845270099994</v>
      </c>
      <c r="AC73" s="23">
        <v>5.2767941707515101E-2</v>
      </c>
      <c r="AD73" s="21">
        <v>0.54092614849185705</v>
      </c>
      <c r="AE73" s="21">
        <v>0.32720834494163298</v>
      </c>
      <c r="AF73" s="21">
        <v>0.318962425410456</v>
      </c>
      <c r="AG73" s="22">
        <v>253.83126546057801</v>
      </c>
      <c r="AH73" s="23">
        <v>1.6299999999999999E-2</v>
      </c>
      <c r="AI73" s="21">
        <v>0.540614280356704</v>
      </c>
    </row>
    <row r="74" spans="1:35" x14ac:dyDescent="0.25">
      <c r="A74" t="s">
        <v>39</v>
      </c>
      <c r="B74" s="1">
        <v>9.52</v>
      </c>
      <c r="C74" s="1">
        <v>3</v>
      </c>
      <c r="D74" s="3">
        <v>22.2</v>
      </c>
      <c r="E74" s="5">
        <v>3.5641600019995101</v>
      </c>
      <c r="F74" s="1">
        <v>20.64</v>
      </c>
      <c r="G74" s="1">
        <v>25.4</v>
      </c>
      <c r="H74" s="4">
        <v>56.390968153099003</v>
      </c>
      <c r="I74" s="1">
        <v>228.6</v>
      </c>
      <c r="J74" s="29">
        <v>203.2</v>
      </c>
      <c r="K74" s="22">
        <v>118</v>
      </c>
      <c r="L74" s="29">
        <v>73</v>
      </c>
      <c r="M74" s="5">
        <v>0.15</v>
      </c>
      <c r="N74" s="21">
        <v>0.13329381492770401</v>
      </c>
      <c r="O74" s="22">
        <v>295.47063165326</v>
      </c>
      <c r="P74" s="22">
        <v>130.56402948394501</v>
      </c>
      <c r="Q74" s="23">
        <v>3.2448510099947502E-2</v>
      </c>
      <c r="R74" s="21">
        <v>0.88862543285136297</v>
      </c>
      <c r="S74" s="5">
        <v>0.123662143998871</v>
      </c>
      <c r="T74" s="22">
        <v>295.47063165326</v>
      </c>
      <c r="U74" s="22">
        <v>160</v>
      </c>
      <c r="V74" s="23">
        <v>2.5515646160668301E-2</v>
      </c>
      <c r="W74" s="21">
        <f t="shared" si="2"/>
        <v>1.1730138785091115</v>
      </c>
      <c r="X74" s="21">
        <f t="shared" si="3"/>
        <v>0.66998191681735986</v>
      </c>
      <c r="Y74" s="21">
        <v>0.82441429332580496</v>
      </c>
      <c r="Z74" s="21">
        <v>0.13033571952634701</v>
      </c>
      <c r="AA74" s="22">
        <v>295.47063165326</v>
      </c>
      <c r="AB74" s="22">
        <v>130.56402948394501</v>
      </c>
      <c r="AC74" s="23">
        <v>3.2448510099947502E-2</v>
      </c>
      <c r="AD74" s="21">
        <v>0.86890479684231303</v>
      </c>
      <c r="AE74" s="21">
        <v>0.14133750002718701</v>
      </c>
      <c r="AF74" s="21">
        <v>0.13684830482913199</v>
      </c>
      <c r="AG74" s="22">
        <v>309.94202697710801</v>
      </c>
      <c r="AH74" s="23">
        <v>1.78E-2</v>
      </c>
      <c r="AI74" s="21">
        <v>0.91232203219421204</v>
      </c>
    </row>
    <row r="75" spans="1:35" x14ac:dyDescent="0.25">
      <c r="B75" s="1">
        <v>9.52</v>
      </c>
      <c r="C75" s="1">
        <v>3</v>
      </c>
      <c r="D75" s="3">
        <v>22.2</v>
      </c>
      <c r="E75" s="5">
        <v>3.5641600019995101</v>
      </c>
      <c r="F75" s="1">
        <v>20.64</v>
      </c>
      <c r="G75" s="1">
        <v>25.4</v>
      </c>
      <c r="H75" s="4">
        <v>56.390968153099003</v>
      </c>
      <c r="I75" s="1">
        <v>228.6</v>
      </c>
      <c r="J75" s="29">
        <v>203.2</v>
      </c>
      <c r="K75" s="22">
        <v>118</v>
      </c>
      <c r="L75" s="29">
        <v>73</v>
      </c>
      <c r="M75" s="5">
        <v>0.17</v>
      </c>
      <c r="N75" s="21">
        <v>0.163003337276488</v>
      </c>
      <c r="O75" s="22">
        <v>343.866683389569</v>
      </c>
      <c r="P75" s="22">
        <v>130.56402948394501</v>
      </c>
      <c r="Q75" s="23">
        <v>3.2448510099947502E-2</v>
      </c>
      <c r="R75" s="21">
        <v>0.95884316044992601</v>
      </c>
      <c r="S75" s="5">
        <v>0.153702296183471</v>
      </c>
      <c r="T75" s="22">
        <v>343.866683389569</v>
      </c>
      <c r="U75" s="22">
        <v>160</v>
      </c>
      <c r="V75" s="23">
        <v>2.5515646160668301E-2</v>
      </c>
      <c r="W75" s="21">
        <f t="shared" si="2"/>
        <v>1.1730138785091115</v>
      </c>
      <c r="X75" s="21">
        <f t="shared" si="3"/>
        <v>0.66998191681735986</v>
      </c>
      <c r="Y75" s="21">
        <v>0.904131154020415</v>
      </c>
      <c r="Z75" s="21">
        <v>0.15938591944907299</v>
      </c>
      <c r="AA75" s="22">
        <v>343.866683389569</v>
      </c>
      <c r="AB75" s="22">
        <v>130.56402948394501</v>
      </c>
      <c r="AC75" s="23">
        <v>3.2448510099947502E-2</v>
      </c>
      <c r="AD75" s="21">
        <v>0.93756423205337303</v>
      </c>
      <c r="AE75" s="21">
        <v>0.16448760779026</v>
      </c>
      <c r="AF75" s="21">
        <v>0.185349312983868</v>
      </c>
      <c r="AG75" s="22">
        <v>360.70839346473798</v>
      </c>
      <c r="AH75" s="23">
        <v>1.78E-2</v>
      </c>
      <c r="AI75" s="21">
        <v>0.96757416347212</v>
      </c>
    </row>
    <row r="76" spans="1:35" x14ac:dyDescent="0.25">
      <c r="A76" t="s">
        <v>40</v>
      </c>
      <c r="B76" s="1">
        <v>12.7</v>
      </c>
      <c r="C76" s="1">
        <v>3</v>
      </c>
      <c r="D76" s="3">
        <v>19.05</v>
      </c>
      <c r="E76" s="5">
        <v>3.9766081638229398</v>
      </c>
      <c r="F76" s="1">
        <v>19.05</v>
      </c>
      <c r="G76" s="1">
        <v>25.4</v>
      </c>
      <c r="H76" s="4">
        <v>70.373657577616498</v>
      </c>
      <c r="I76" s="1">
        <v>228.6</v>
      </c>
      <c r="J76" s="29">
        <v>203.2</v>
      </c>
      <c r="K76" s="22">
        <v>120</v>
      </c>
      <c r="L76" s="29">
        <v>88.9</v>
      </c>
      <c r="M76" s="5">
        <v>0.15</v>
      </c>
      <c r="N76" s="21">
        <v>0.117678130194578</v>
      </c>
      <c r="O76" s="22">
        <v>303.25602523129697</v>
      </c>
      <c r="P76" s="22">
        <v>83.818709045569406</v>
      </c>
      <c r="Q76" s="23">
        <v>6.42124745559393E-2</v>
      </c>
      <c r="R76" s="21">
        <v>0.78452086796385201</v>
      </c>
      <c r="S76" s="5">
        <v>0.122571018889015</v>
      </c>
      <c r="T76" s="22">
        <v>303.25602523129697</v>
      </c>
      <c r="U76" s="22">
        <v>126</v>
      </c>
      <c r="V76" s="23">
        <v>3.8095631746819097E-2</v>
      </c>
      <c r="W76" s="21">
        <f t="shared" si="2"/>
        <v>1.1912271281191256</v>
      </c>
      <c r="X76" s="21">
        <f t="shared" si="3"/>
        <v>0.59069981583793729</v>
      </c>
      <c r="Y76" s="21">
        <v>0.81714012592676699</v>
      </c>
      <c r="Z76" s="21">
        <v>0.124449511945649</v>
      </c>
      <c r="AA76" s="22">
        <v>303.25602523129697</v>
      </c>
      <c r="AB76" s="22">
        <v>83.818709045569406</v>
      </c>
      <c r="AC76" s="23">
        <v>6.42124745559393E-2</v>
      </c>
      <c r="AD76" s="21">
        <v>0.829663412970991</v>
      </c>
      <c r="AE76" s="21">
        <v>0.146986108925762</v>
      </c>
      <c r="AF76" s="21">
        <v>0.17649154312757001</v>
      </c>
      <c r="AG76" s="22">
        <v>321.897145575639</v>
      </c>
      <c r="AH76" s="23">
        <v>2.5399999999999999E-2</v>
      </c>
      <c r="AI76" s="21">
        <v>0.97990739283841199</v>
      </c>
    </row>
    <row r="77" spans="1:35" x14ac:dyDescent="0.25">
      <c r="B77" s="1">
        <v>12.7</v>
      </c>
      <c r="C77" s="1">
        <v>3</v>
      </c>
      <c r="D77" s="3">
        <v>19.05</v>
      </c>
      <c r="E77" s="5">
        <v>3.9766081638229398</v>
      </c>
      <c r="F77" s="1">
        <v>19.05</v>
      </c>
      <c r="G77" s="1">
        <v>25.4</v>
      </c>
      <c r="H77" s="4">
        <v>70.373657577616498</v>
      </c>
      <c r="I77" s="1">
        <v>228.6</v>
      </c>
      <c r="J77" s="29">
        <v>203.2</v>
      </c>
      <c r="K77" s="22">
        <v>120</v>
      </c>
      <c r="L77" s="29">
        <v>88.9</v>
      </c>
      <c r="M77" s="5">
        <v>0.17</v>
      </c>
      <c r="N77" s="21">
        <v>0.13840455251525</v>
      </c>
      <c r="O77" s="22">
        <v>347.810227990398</v>
      </c>
      <c r="P77" s="22">
        <v>83.818709045569406</v>
      </c>
      <c r="Q77" s="23">
        <v>6.42124745559393E-2</v>
      </c>
      <c r="R77" s="21">
        <v>0.81414442656029296</v>
      </c>
      <c r="S77" s="5">
        <v>0.14657657941336699</v>
      </c>
      <c r="T77" s="22">
        <v>347.810227990398</v>
      </c>
      <c r="U77" s="22">
        <v>126</v>
      </c>
      <c r="V77" s="23">
        <v>3.8095631746819097E-2</v>
      </c>
      <c r="W77" s="21">
        <f t="shared" si="2"/>
        <v>1.1912271281191256</v>
      </c>
      <c r="X77" s="21">
        <f t="shared" si="3"/>
        <v>0.59069981583793729</v>
      </c>
      <c r="Y77" s="21">
        <v>0.86221517301980599</v>
      </c>
      <c r="Z77" s="21">
        <v>0.14636856468656201</v>
      </c>
      <c r="AA77" s="22">
        <v>347.810227990398</v>
      </c>
      <c r="AB77" s="22">
        <v>83.818709045569406</v>
      </c>
      <c r="AC77" s="23">
        <v>6.42124745559393E-2</v>
      </c>
      <c r="AD77" s="21">
        <v>0.86099155697977703</v>
      </c>
      <c r="AE77" s="21">
        <v>0.16858122445513901</v>
      </c>
      <c r="AF77" s="21">
        <v>0.23216124372145699</v>
      </c>
      <c r="AG77" s="22">
        <v>369.19009113414597</v>
      </c>
      <c r="AH77" s="23">
        <v>2.5399999999999999E-2</v>
      </c>
      <c r="AI77" s="21">
        <v>0.99165426150081804</v>
      </c>
    </row>
    <row r="78" spans="1:35" x14ac:dyDescent="0.25">
      <c r="B78" s="1">
        <v>12.7</v>
      </c>
      <c r="C78" s="1">
        <v>3</v>
      </c>
      <c r="D78" s="3">
        <v>19.05</v>
      </c>
      <c r="E78" s="5">
        <v>3.9766081638229398</v>
      </c>
      <c r="F78" s="1">
        <v>19.05</v>
      </c>
      <c r="G78" s="1">
        <v>25.4</v>
      </c>
      <c r="H78" s="4">
        <v>70.373657577616498</v>
      </c>
      <c r="I78" s="1">
        <v>228.6</v>
      </c>
      <c r="J78" s="29">
        <v>203.2</v>
      </c>
      <c r="K78" s="22">
        <v>120</v>
      </c>
      <c r="L78" s="29">
        <v>88.9</v>
      </c>
      <c r="M78" s="5">
        <v>0.2</v>
      </c>
      <c r="N78" s="21">
        <v>0.167822700325236</v>
      </c>
      <c r="O78" s="22">
        <v>411.048451261379</v>
      </c>
      <c r="P78" s="22">
        <v>83.818709045569406</v>
      </c>
      <c r="Q78" s="23">
        <v>6.42124745559393E-2</v>
      </c>
      <c r="R78" s="21">
        <v>0.83911350162618004</v>
      </c>
      <c r="S78" s="5">
        <v>0.18064898789954401</v>
      </c>
      <c r="T78" s="22">
        <v>411.048451261379</v>
      </c>
      <c r="U78" s="22">
        <v>126</v>
      </c>
      <c r="V78" s="23">
        <v>3.8095631746819097E-2</v>
      </c>
      <c r="W78" s="21">
        <f t="shared" si="2"/>
        <v>1.1912271281191256</v>
      </c>
      <c r="X78" s="21">
        <f t="shared" si="3"/>
        <v>0.59069981583793729</v>
      </c>
      <c r="Y78" s="21">
        <v>0.903244939497721</v>
      </c>
      <c r="Z78" s="21">
        <v>0.17747947825431001</v>
      </c>
      <c r="AA78" s="22">
        <v>411.048451261379</v>
      </c>
      <c r="AB78" s="22">
        <v>83.818709045569406</v>
      </c>
      <c r="AC78" s="23">
        <v>6.42124745559393E-2</v>
      </c>
      <c r="AD78" s="21">
        <v>0.88739739127155204</v>
      </c>
      <c r="AE78" s="21">
        <v>0.19817501382220501</v>
      </c>
      <c r="AF78" s="21">
        <v>0.32082566870426499</v>
      </c>
      <c r="AG78" s="22">
        <v>434</v>
      </c>
      <c r="AH78" s="23">
        <v>2.5399999999999999E-2</v>
      </c>
      <c r="AI78" s="21">
        <v>0.99087506911102397</v>
      </c>
    </row>
    <row r="79" spans="1:35" x14ac:dyDescent="0.25">
      <c r="A79" t="s">
        <v>41</v>
      </c>
      <c r="B79" s="1">
        <v>15.9</v>
      </c>
      <c r="C79" s="1">
        <v>3</v>
      </c>
      <c r="D79" s="3">
        <v>15.9</v>
      </c>
      <c r="E79" s="5">
        <v>3.9766081638229398</v>
      </c>
      <c r="F79" s="1">
        <v>17.46</v>
      </c>
      <c r="G79" s="1">
        <v>25.4</v>
      </c>
      <c r="H79" s="4">
        <v>83.256822362436296</v>
      </c>
      <c r="I79" s="1">
        <v>228.6</v>
      </c>
      <c r="J79" s="29">
        <v>203.2</v>
      </c>
      <c r="K79" s="22">
        <v>123</v>
      </c>
      <c r="L79" s="29">
        <v>88.9</v>
      </c>
      <c r="M79" s="5">
        <v>0.16</v>
      </c>
      <c r="N79" s="21">
        <v>9.6336619183132896E-2</v>
      </c>
      <c r="O79" s="22">
        <v>289.73492291565401</v>
      </c>
      <c r="P79" s="22">
        <v>58.591082217381</v>
      </c>
      <c r="Q79" s="23">
        <v>0.10835067563565499</v>
      </c>
      <c r="R79" s="21">
        <v>0.60210386989458098</v>
      </c>
      <c r="S79" s="5">
        <v>0.111252068275181</v>
      </c>
      <c r="T79" s="22">
        <v>289.73492291565401</v>
      </c>
      <c r="U79" s="22">
        <v>89</v>
      </c>
      <c r="V79" s="23">
        <v>5.9047737143093297E-2</v>
      </c>
      <c r="W79" s="21">
        <f t="shared" si="2"/>
        <v>1.2117669424829818</v>
      </c>
      <c r="X79" s="21">
        <f t="shared" si="3"/>
        <v>0.57907196969696961</v>
      </c>
      <c r="Y79" s="21">
        <v>0.69532542671987896</v>
      </c>
      <c r="Z79" s="21">
        <v>0.10731930169564</v>
      </c>
      <c r="AA79" s="22">
        <v>289.73492291565401</v>
      </c>
      <c r="AB79" s="22">
        <v>58.591082217381</v>
      </c>
      <c r="AC79" s="23">
        <v>0.10835067563565499</v>
      </c>
      <c r="AD79" s="21">
        <v>0.67074563559775002</v>
      </c>
      <c r="AE79" s="21">
        <v>0.14464187891341099</v>
      </c>
      <c r="AF79" s="21">
        <v>0.20413587615404699</v>
      </c>
      <c r="AG79" s="22">
        <v>309.39845616117901</v>
      </c>
      <c r="AH79" s="23">
        <v>3.32E-2</v>
      </c>
      <c r="AI79" s="21">
        <v>0.90401174320882205</v>
      </c>
    </row>
    <row r="80" spans="1:35" x14ac:dyDescent="0.25">
      <c r="B80" s="1">
        <v>15.9</v>
      </c>
      <c r="C80" s="1">
        <v>3</v>
      </c>
      <c r="D80" s="3">
        <v>15.9</v>
      </c>
      <c r="E80" s="5">
        <v>3.9766081638229398</v>
      </c>
      <c r="F80" s="1">
        <v>17.46</v>
      </c>
      <c r="G80" s="1">
        <v>25.4</v>
      </c>
      <c r="H80" s="4">
        <v>83.256822362436296</v>
      </c>
      <c r="I80" s="1">
        <v>228.6</v>
      </c>
      <c r="J80" s="29">
        <v>203.2</v>
      </c>
      <c r="K80" s="22">
        <v>123</v>
      </c>
      <c r="L80" s="29">
        <v>88.9</v>
      </c>
      <c r="M80" s="5">
        <v>0.21</v>
      </c>
      <c r="N80" s="21">
        <v>0.130486662894268</v>
      </c>
      <c r="O80" s="22">
        <v>379.98022677462899</v>
      </c>
      <c r="P80" s="22">
        <v>58.591082217381</v>
      </c>
      <c r="Q80" s="23">
        <v>0.10835067563565499</v>
      </c>
      <c r="R80" s="21">
        <v>0.62136506140127501</v>
      </c>
      <c r="S80" s="5">
        <v>0.153759462873372</v>
      </c>
      <c r="T80" s="22">
        <v>379.98022677462899</v>
      </c>
      <c r="U80" s="22">
        <v>89</v>
      </c>
      <c r="V80" s="23">
        <v>5.9047737143093297E-2</v>
      </c>
      <c r="W80" s="21">
        <f t="shared" si="2"/>
        <v>1.2117669424829818</v>
      </c>
      <c r="X80" s="21">
        <f t="shared" si="3"/>
        <v>0.57907196969696961</v>
      </c>
      <c r="Y80" s="21">
        <v>0.73218791844462605</v>
      </c>
      <c r="Z80" s="21">
        <v>0.14536255954536401</v>
      </c>
      <c r="AA80" s="22">
        <v>379.98022677462899</v>
      </c>
      <c r="AB80" s="22">
        <v>58.591082217381</v>
      </c>
      <c r="AC80" s="23">
        <v>0.10835067563565499</v>
      </c>
      <c r="AD80" s="21">
        <v>0.69220266450173296</v>
      </c>
      <c r="AE80" s="21">
        <v>0.18969426742742501</v>
      </c>
      <c r="AF80" s="21">
        <v>0.35110712372639102</v>
      </c>
      <c r="AG80" s="22">
        <v>405.76846709662902</v>
      </c>
      <c r="AH80" s="23">
        <v>3.32E-2</v>
      </c>
      <c r="AI80" s="21">
        <v>0.90330603536869003</v>
      </c>
    </row>
    <row r="81" spans="1:35" x14ac:dyDescent="0.25">
      <c r="A81" t="s">
        <v>42</v>
      </c>
      <c r="B81" s="1">
        <v>16</v>
      </c>
      <c r="C81" s="1">
        <v>2</v>
      </c>
      <c r="D81" s="3">
        <v>138</v>
      </c>
      <c r="E81" s="5">
        <v>3.2690000000000001</v>
      </c>
      <c r="F81" s="1">
        <v>40</v>
      </c>
      <c r="G81" s="1">
        <v>48</v>
      </c>
      <c r="H81" s="4">
        <v>73.386285342529106</v>
      </c>
      <c r="I81" s="1">
        <v>348</v>
      </c>
      <c r="J81" s="29">
        <v>300</v>
      </c>
      <c r="K81" s="22">
        <v>178</v>
      </c>
      <c r="L81" s="29">
        <v>128</v>
      </c>
      <c r="M81" s="5">
        <v>0.15</v>
      </c>
      <c r="N81" s="21">
        <v>9.7763317902372596E-2</v>
      </c>
      <c r="O81" s="22">
        <v>185.27396447016599</v>
      </c>
      <c r="P81" s="22">
        <v>211.30113906801</v>
      </c>
      <c r="Q81" s="23">
        <v>1.7479097888417901E-2</v>
      </c>
      <c r="R81" s="21">
        <v>0.65175545268248403</v>
      </c>
      <c r="S81" s="5">
        <v>0.122061551131185</v>
      </c>
      <c r="T81" s="22">
        <v>185.27396447016599</v>
      </c>
      <c r="U81" s="22">
        <v>286</v>
      </c>
      <c r="V81" s="23">
        <v>1.2500000000000001E-2</v>
      </c>
      <c r="W81" s="21">
        <f t="shared" si="2"/>
        <v>1.211814188177236</v>
      </c>
      <c r="X81" s="21">
        <f t="shared" si="3"/>
        <v>0.62352941176470589</v>
      </c>
      <c r="Y81" s="21">
        <v>0.81374367420789795</v>
      </c>
      <c r="Z81" s="21">
        <v>0.16208568924502401</v>
      </c>
      <c r="AA81" s="22">
        <v>185.27396447016599</v>
      </c>
      <c r="AB81" s="22">
        <v>211.30113906801</v>
      </c>
      <c r="AC81" s="23">
        <v>1.7479097888417901E-2</v>
      </c>
      <c r="AD81" s="21">
        <v>1.0805712616334899</v>
      </c>
      <c r="AE81" s="21">
        <v>0.251489698791037</v>
      </c>
      <c r="AF81" s="21">
        <v>9.5278931346240298E-2</v>
      </c>
      <c r="AG81" s="22">
        <v>191.04978078703101</v>
      </c>
      <c r="AH81" s="23">
        <v>9.5999999999999992E-3</v>
      </c>
      <c r="AI81" s="21">
        <v>0.63519287564160198</v>
      </c>
    </row>
    <row r="82" spans="1:35" x14ac:dyDescent="0.25">
      <c r="B82" s="1">
        <v>16</v>
      </c>
      <c r="C82" s="1">
        <v>2</v>
      </c>
      <c r="D82" s="3">
        <v>138</v>
      </c>
      <c r="E82" s="5">
        <v>3.2690000000000001</v>
      </c>
      <c r="F82" s="1">
        <v>40</v>
      </c>
      <c r="G82" s="1">
        <v>48</v>
      </c>
      <c r="H82" s="4">
        <v>73.386285342529106</v>
      </c>
      <c r="I82" s="1">
        <v>348</v>
      </c>
      <c r="J82" s="29">
        <v>300</v>
      </c>
      <c r="K82" s="22">
        <v>178</v>
      </c>
      <c r="L82" s="29">
        <v>128</v>
      </c>
      <c r="M82" s="5">
        <v>0.2</v>
      </c>
      <c r="N82" s="21">
        <v>0.14204371000539801</v>
      </c>
      <c r="O82" s="22">
        <v>211.76759699969</v>
      </c>
      <c r="P82" s="22">
        <v>211.30113906801</v>
      </c>
      <c r="Q82" s="23">
        <v>1.7479097888417901E-2</v>
      </c>
      <c r="R82" s="21">
        <v>0.71021855002698997</v>
      </c>
      <c r="S82" s="5">
        <v>0.139515994290002</v>
      </c>
      <c r="T82" s="22">
        <v>211.76759699969</v>
      </c>
      <c r="U82" s="22">
        <v>286</v>
      </c>
      <c r="V82" s="23">
        <v>1.2500000000000001E-2</v>
      </c>
      <c r="W82" s="21">
        <f t="shared" si="2"/>
        <v>1.211814188177236</v>
      </c>
      <c r="X82" s="21">
        <f t="shared" si="3"/>
        <v>0.62352941176470589</v>
      </c>
      <c r="Y82" s="21">
        <v>0.69757997145001205</v>
      </c>
      <c r="Z82" s="21">
        <v>0.185263466551364</v>
      </c>
      <c r="AA82" s="22">
        <v>211.76759699969</v>
      </c>
      <c r="AB82" s="22">
        <v>211.30113906801</v>
      </c>
      <c r="AC82" s="23">
        <v>1.7479097888417901E-2</v>
      </c>
      <c r="AD82" s="21">
        <v>0.92631733275682204</v>
      </c>
      <c r="AE82" s="21">
        <v>0.28745198676703199</v>
      </c>
      <c r="AF82" s="21">
        <v>0.12447642459592401</v>
      </c>
      <c r="AG82" s="22">
        <v>218.36933807880999</v>
      </c>
      <c r="AH82" s="23">
        <v>9.5999999999999992E-3</v>
      </c>
      <c r="AI82" s="21">
        <v>0.62238212297962103</v>
      </c>
    </row>
    <row r="83" spans="1:35" x14ac:dyDescent="0.25">
      <c r="B83" s="1">
        <v>16</v>
      </c>
      <c r="C83" s="1">
        <v>2</v>
      </c>
      <c r="D83" s="3">
        <v>138</v>
      </c>
      <c r="E83" s="5">
        <v>3.2690000000000001</v>
      </c>
      <c r="F83" s="1">
        <v>40</v>
      </c>
      <c r="G83" s="1">
        <v>48</v>
      </c>
      <c r="H83" s="4">
        <v>73.386285342529106</v>
      </c>
      <c r="I83" s="1">
        <v>348</v>
      </c>
      <c r="J83" s="29">
        <v>300</v>
      </c>
      <c r="K83" s="22">
        <v>178</v>
      </c>
      <c r="L83" s="29">
        <v>128</v>
      </c>
      <c r="M83" s="5">
        <v>0.25</v>
      </c>
      <c r="N83" s="21">
        <v>0.18632410210842401</v>
      </c>
      <c r="O83" s="22">
        <v>238.26122952921401</v>
      </c>
      <c r="P83" s="22">
        <v>211.30113906801</v>
      </c>
      <c r="Q83" s="23">
        <v>1.7479097888417901E-2</v>
      </c>
      <c r="R83" s="21">
        <v>0.74529640843369505</v>
      </c>
      <c r="S83" s="5">
        <v>0.15697043744882</v>
      </c>
      <c r="T83" s="22">
        <v>238.26122952921401</v>
      </c>
      <c r="U83" s="22">
        <v>286</v>
      </c>
      <c r="V83" s="23">
        <v>1.2500000000000001E-2</v>
      </c>
      <c r="W83" s="21">
        <f t="shared" si="2"/>
        <v>1.211814188177236</v>
      </c>
      <c r="X83" s="21">
        <f t="shared" si="3"/>
        <v>0.62352941176470589</v>
      </c>
      <c r="Y83" s="21">
        <v>0.627881749795281</v>
      </c>
      <c r="Z83" s="21">
        <v>0.20844124385770499</v>
      </c>
      <c r="AA83" s="22">
        <v>238.26122952921401</v>
      </c>
      <c r="AB83" s="22">
        <v>211.30113906801</v>
      </c>
      <c r="AC83" s="23">
        <v>1.7479097888417901E-2</v>
      </c>
      <c r="AD83" s="21">
        <v>0.83376497543081896</v>
      </c>
      <c r="AE83" s="21">
        <v>0.32341427474302797</v>
      </c>
      <c r="AF83" s="21">
        <v>0.157570475445657</v>
      </c>
      <c r="AG83" s="22">
        <v>245.68889537058899</v>
      </c>
      <c r="AH83" s="23">
        <v>9.5999999999999992E-3</v>
      </c>
      <c r="AI83" s="21">
        <v>0.63028190178262999</v>
      </c>
    </row>
    <row r="84" spans="1:35" x14ac:dyDescent="0.25">
      <c r="B84" s="1">
        <v>16</v>
      </c>
      <c r="C84" s="1">
        <v>2</v>
      </c>
      <c r="D84" s="3">
        <v>138</v>
      </c>
      <c r="E84" s="5">
        <v>3.2690000000000001</v>
      </c>
      <c r="F84" s="1">
        <v>40</v>
      </c>
      <c r="G84" s="1">
        <v>48</v>
      </c>
      <c r="H84" s="4">
        <v>73.386285342529106</v>
      </c>
      <c r="I84" s="1">
        <v>348</v>
      </c>
      <c r="J84" s="29">
        <v>300</v>
      </c>
      <c r="K84" s="22">
        <v>178</v>
      </c>
      <c r="L84" s="29">
        <v>128</v>
      </c>
      <c r="M84" s="5">
        <v>0.28000000000000003</v>
      </c>
      <c r="N84" s="21">
        <v>0.23052867162223201</v>
      </c>
      <c r="O84" s="22">
        <v>264.70949624961202</v>
      </c>
      <c r="P84" s="22">
        <v>211.30113906801</v>
      </c>
      <c r="Q84" s="23">
        <v>1.7479097888417901E-2</v>
      </c>
      <c r="R84" s="21">
        <v>0.82331668436511396</v>
      </c>
      <c r="S84" s="5">
        <v>0.17439499286250301</v>
      </c>
      <c r="T84" s="22">
        <v>264.70949624961202</v>
      </c>
      <c r="U84" s="22">
        <v>286</v>
      </c>
      <c r="V84" s="23">
        <v>1.2500000000000001E-2</v>
      </c>
      <c r="W84" s="21">
        <f t="shared" si="2"/>
        <v>1.211814188177236</v>
      </c>
      <c r="X84" s="21">
        <f t="shared" si="3"/>
        <v>0.62352941176470589</v>
      </c>
      <c r="Y84" s="21">
        <v>0.622839260223225</v>
      </c>
      <c r="Z84" s="21">
        <v>0.23157933318920601</v>
      </c>
      <c r="AA84" s="22">
        <v>264.70949624961202</v>
      </c>
      <c r="AB84" s="22">
        <v>211.30113906801</v>
      </c>
      <c r="AC84" s="23">
        <v>1.7479097888417901E-2</v>
      </c>
      <c r="AD84" s="21">
        <v>0.82706904710430496</v>
      </c>
      <c r="AE84" s="21">
        <v>0.35931498345878998</v>
      </c>
      <c r="AF84" s="21">
        <v>0.194494413431132</v>
      </c>
      <c r="AG84" s="22">
        <v>272.96167259851302</v>
      </c>
      <c r="AH84" s="23">
        <v>9.5999999999999992E-3</v>
      </c>
      <c r="AI84" s="21">
        <v>0.69462290511118396</v>
      </c>
    </row>
    <row r="85" spans="1:35" x14ac:dyDescent="0.25">
      <c r="B85" s="1">
        <v>16</v>
      </c>
      <c r="C85" s="1">
        <v>2</v>
      </c>
      <c r="D85" s="3">
        <v>138</v>
      </c>
      <c r="E85" s="5">
        <v>3.2690000000000001</v>
      </c>
      <c r="F85" s="1">
        <v>40</v>
      </c>
      <c r="G85" s="1">
        <v>48</v>
      </c>
      <c r="H85" s="4">
        <v>73.386285342529106</v>
      </c>
      <c r="I85" s="1">
        <v>348</v>
      </c>
      <c r="J85" s="29">
        <v>300</v>
      </c>
      <c r="K85" s="22">
        <v>178</v>
      </c>
      <c r="L85" s="29">
        <v>128</v>
      </c>
      <c r="M85" s="5">
        <v>0.28000000000000003</v>
      </c>
      <c r="N85" s="21">
        <v>0.27473324113603997</v>
      </c>
      <c r="O85" s="22">
        <v>291.15776297001099</v>
      </c>
      <c r="P85" s="22">
        <v>211.30113906801</v>
      </c>
      <c r="Q85" s="23">
        <v>1.7479097888417901E-2</v>
      </c>
      <c r="R85" s="21">
        <v>0.98119014691442896</v>
      </c>
      <c r="S85" s="5">
        <v>0.197116438963645</v>
      </c>
      <c r="T85" s="22">
        <v>291.15776297001099</v>
      </c>
      <c r="U85" s="22">
        <v>286</v>
      </c>
      <c r="V85" s="23">
        <v>1.2500000000000001E-2</v>
      </c>
      <c r="W85" s="21">
        <f t="shared" si="2"/>
        <v>1.211814188177236</v>
      </c>
      <c r="X85" s="21">
        <f t="shared" si="3"/>
        <v>0.62352941176470589</v>
      </c>
      <c r="Y85" s="21">
        <v>0.70398728201301597</v>
      </c>
      <c r="Z85" s="21">
        <v>0.254717422520706</v>
      </c>
      <c r="AA85" s="22">
        <v>291.15776297001099</v>
      </c>
      <c r="AB85" s="22">
        <v>211.30113906801</v>
      </c>
      <c r="AC85" s="23">
        <v>1.7479097888417901E-2</v>
      </c>
      <c r="AD85" s="21">
        <v>0.90970508043109399</v>
      </c>
      <c r="AE85" s="21">
        <v>0.39521569217455299</v>
      </c>
      <c r="AF85" s="21">
        <v>0.23530157606629101</v>
      </c>
      <c r="AG85" s="22">
        <v>300.23444982643599</v>
      </c>
      <c r="AH85" s="23">
        <v>9.5999999999999992E-3</v>
      </c>
      <c r="AI85" s="21">
        <v>0.84036277166532602</v>
      </c>
    </row>
    <row r="86" spans="1:35" x14ac:dyDescent="0.25">
      <c r="B86" s="1">
        <v>16</v>
      </c>
      <c r="C86" s="1">
        <v>2</v>
      </c>
      <c r="D86" s="3">
        <v>138</v>
      </c>
      <c r="E86" s="5">
        <v>3.2690000000000001</v>
      </c>
      <c r="F86" s="1">
        <v>40</v>
      </c>
      <c r="G86" s="1">
        <v>48</v>
      </c>
      <c r="H86" s="4">
        <v>73.386285342529106</v>
      </c>
      <c r="I86" s="1">
        <v>348</v>
      </c>
      <c r="J86" s="29">
        <v>300</v>
      </c>
      <c r="K86" s="22">
        <v>178</v>
      </c>
      <c r="L86" s="29">
        <v>128</v>
      </c>
      <c r="M86" s="5">
        <v>0.3</v>
      </c>
      <c r="N86" s="21">
        <v>0.31901363323906601</v>
      </c>
      <c r="O86" s="22">
        <v>317.651395499535</v>
      </c>
      <c r="P86" s="22">
        <v>211.30113906801</v>
      </c>
      <c r="Q86" s="23">
        <v>1.7479097888417901E-2</v>
      </c>
      <c r="R86" s="21">
        <v>1.0633787774635499</v>
      </c>
      <c r="S86" s="5">
        <v>0.240752546860689</v>
      </c>
      <c r="T86" s="22">
        <v>317.651395499535</v>
      </c>
      <c r="U86" s="22">
        <v>286</v>
      </c>
      <c r="V86" s="23">
        <v>1.2500000000000001E-2</v>
      </c>
      <c r="W86" s="21">
        <f t="shared" si="2"/>
        <v>1.211814188177236</v>
      </c>
      <c r="X86" s="21">
        <f t="shared" si="3"/>
        <v>0.62352941176470589</v>
      </c>
      <c r="Y86" s="21">
        <v>0.80250848953563003</v>
      </c>
      <c r="Z86" s="21">
        <v>0.278303277430267</v>
      </c>
      <c r="AA86" s="22">
        <v>317.651395499535</v>
      </c>
      <c r="AB86" s="22">
        <v>211.30113906801</v>
      </c>
      <c r="AC86" s="23">
        <v>1.7479097888417901E-2</v>
      </c>
      <c r="AD86" s="21">
        <v>0.92767759143422301</v>
      </c>
      <c r="AE86" s="21">
        <v>0.43117798015054798</v>
      </c>
      <c r="AF86" s="21">
        <v>0.28007195534083001</v>
      </c>
      <c r="AG86" s="22">
        <v>327.554007118215</v>
      </c>
      <c r="AH86" s="23">
        <v>9.5999999999999992E-3</v>
      </c>
      <c r="AI86" s="21">
        <v>0.93357318446943205</v>
      </c>
    </row>
    <row r="87" spans="1:35" x14ac:dyDescent="0.25">
      <c r="B87" s="1">
        <v>16</v>
      </c>
      <c r="C87" s="1">
        <v>2</v>
      </c>
      <c r="D87" s="3">
        <v>138</v>
      </c>
      <c r="E87" s="5">
        <v>3.2690000000000001</v>
      </c>
      <c r="F87" s="1">
        <v>40</v>
      </c>
      <c r="G87" s="1">
        <v>48</v>
      </c>
      <c r="H87" s="4">
        <v>73.386285342529106</v>
      </c>
      <c r="I87" s="1">
        <v>348</v>
      </c>
      <c r="J87" s="29">
        <v>300</v>
      </c>
      <c r="K87" s="22">
        <v>178</v>
      </c>
      <c r="L87" s="29">
        <v>128</v>
      </c>
      <c r="M87" s="5">
        <v>0.33</v>
      </c>
      <c r="N87" s="21">
        <v>0.36329402534209099</v>
      </c>
      <c r="O87" s="22">
        <v>344.14502802905901</v>
      </c>
      <c r="P87" s="22">
        <v>211.30113906801</v>
      </c>
      <c r="Q87" s="23">
        <v>1.7479097888417901E-2</v>
      </c>
      <c r="R87" s="21">
        <v>1.1008909858851299</v>
      </c>
      <c r="S87" s="5">
        <v>0.28438865475773301</v>
      </c>
      <c r="T87" s="22">
        <v>344.14502802905901</v>
      </c>
      <c r="U87" s="22">
        <v>286</v>
      </c>
      <c r="V87" s="23">
        <v>1.2500000000000001E-2</v>
      </c>
      <c r="W87" s="21">
        <f t="shared" si="2"/>
        <v>1.211814188177236</v>
      </c>
      <c r="X87" s="21">
        <f t="shared" si="3"/>
        <v>0.62352941176470589</v>
      </c>
      <c r="Y87" s="21">
        <v>0.86178380229616203</v>
      </c>
      <c r="Z87" s="21">
        <v>0.31693290627416798</v>
      </c>
      <c r="AA87" s="22">
        <v>344.14502802905901</v>
      </c>
      <c r="AB87" s="22">
        <v>211.30113906801</v>
      </c>
      <c r="AC87" s="23">
        <v>1.7479097888417901E-2</v>
      </c>
      <c r="AD87" s="21">
        <v>0.96040274628535605</v>
      </c>
      <c r="AE87" s="21">
        <v>0.46714026812654302</v>
      </c>
      <c r="AF87" s="21">
        <v>0.32873889221541702</v>
      </c>
      <c r="AG87" s="22">
        <v>354.873564409994</v>
      </c>
      <c r="AH87" s="23">
        <v>9.5999999999999992E-3</v>
      </c>
      <c r="AI87" s="21">
        <v>0.99617846125884002</v>
      </c>
    </row>
    <row r="88" spans="1:35" x14ac:dyDescent="0.25">
      <c r="B88" s="1">
        <v>16</v>
      </c>
      <c r="C88" s="1">
        <v>2</v>
      </c>
      <c r="D88" s="3">
        <v>138</v>
      </c>
      <c r="E88" s="5">
        <v>3.2690000000000001</v>
      </c>
      <c r="F88" s="1">
        <v>40</v>
      </c>
      <c r="G88" s="1">
        <v>48</v>
      </c>
      <c r="H88" s="4">
        <v>73.386285342529106</v>
      </c>
      <c r="I88" s="1">
        <v>348</v>
      </c>
      <c r="J88" s="29">
        <v>300</v>
      </c>
      <c r="K88" s="22">
        <v>178</v>
      </c>
      <c r="L88" s="29">
        <v>128</v>
      </c>
      <c r="M88" s="5">
        <v>0.33</v>
      </c>
      <c r="N88" s="21">
        <v>0.407422772266682</v>
      </c>
      <c r="O88" s="22">
        <v>370.54792894033199</v>
      </c>
      <c r="P88" s="22">
        <v>211.30113906801</v>
      </c>
      <c r="Q88" s="23">
        <v>1.7479097888417901E-2</v>
      </c>
      <c r="R88" s="21">
        <v>1.2346144614141901</v>
      </c>
      <c r="S88" s="5">
        <v>0.32787532392910301</v>
      </c>
      <c r="T88" s="22">
        <v>370.54792894033199</v>
      </c>
      <c r="U88" s="22">
        <v>286</v>
      </c>
      <c r="V88" s="23">
        <v>1.2500000000000001E-2</v>
      </c>
      <c r="W88" s="21">
        <f t="shared" si="2"/>
        <v>1.211814188177236</v>
      </c>
      <c r="X88" s="21">
        <f t="shared" si="3"/>
        <v>0.62352941176470589</v>
      </c>
      <c r="Y88" s="21">
        <v>0.99356158766394898</v>
      </c>
      <c r="Z88" s="21">
        <v>0.355430241868603</v>
      </c>
      <c r="AA88" s="22">
        <v>370.54792894033199</v>
      </c>
      <c r="AB88" s="22">
        <v>211.30113906801</v>
      </c>
      <c r="AC88" s="23">
        <v>1.7479097888417901E-2</v>
      </c>
      <c r="AD88" s="21">
        <v>1.0770613389957699</v>
      </c>
      <c r="AE88" s="21">
        <v>0.502979397582073</v>
      </c>
      <c r="AF88" s="21">
        <v>0.38111572538496102</v>
      </c>
      <c r="AG88" s="22">
        <v>382.09956157406202</v>
      </c>
      <c r="AH88" s="23">
        <v>9.5999999999999992E-3</v>
      </c>
      <c r="AI88" s="21">
        <v>1.15489613753019</v>
      </c>
    </row>
    <row r="89" spans="1:35" x14ac:dyDescent="0.25">
      <c r="A89" t="s">
        <v>43</v>
      </c>
      <c r="B89" s="1">
        <v>16</v>
      </c>
      <c r="C89" s="1">
        <v>2</v>
      </c>
      <c r="D89" s="3">
        <v>138</v>
      </c>
      <c r="E89" s="5">
        <v>3.2690000000000001</v>
      </c>
      <c r="F89" s="1">
        <v>40</v>
      </c>
      <c r="G89" s="1">
        <v>48</v>
      </c>
      <c r="H89" s="4">
        <v>73.386285342529106</v>
      </c>
      <c r="I89" s="1">
        <v>348</v>
      </c>
      <c r="J89" s="29">
        <v>300</v>
      </c>
      <c r="K89" s="22">
        <v>178</v>
      </c>
      <c r="L89" s="29">
        <v>128</v>
      </c>
      <c r="M89" s="5">
        <v>0.15</v>
      </c>
      <c r="N89" s="21">
        <v>0.14204371000539801</v>
      </c>
      <c r="O89" s="22">
        <v>211.76759699969</v>
      </c>
      <c r="P89" s="22">
        <v>211.30113906801</v>
      </c>
      <c r="Q89" s="23">
        <v>1.7479097888417901E-2</v>
      </c>
      <c r="R89" s="21">
        <v>0.94695806670265403</v>
      </c>
      <c r="S89" s="5">
        <v>0.139515994290002</v>
      </c>
      <c r="T89" s="22">
        <v>211.76759699969</v>
      </c>
      <c r="U89" s="22">
        <v>286</v>
      </c>
      <c r="V89" s="23">
        <v>1.2500000000000001E-2</v>
      </c>
      <c r="W89" s="21">
        <f t="shared" si="2"/>
        <v>1.211814188177236</v>
      </c>
      <c r="X89" s="21">
        <f t="shared" si="3"/>
        <v>0.62352941176470589</v>
      </c>
      <c r="Y89" s="21">
        <v>0.93010662860001603</v>
      </c>
      <c r="Z89" s="21">
        <v>0.185263466551364</v>
      </c>
      <c r="AA89" s="22">
        <v>211.76759699969</v>
      </c>
      <c r="AB89" s="22">
        <v>211.30113906801</v>
      </c>
      <c r="AC89" s="23">
        <v>1.7479097888417901E-2</v>
      </c>
      <c r="AD89" s="21">
        <v>1.2350897770091001</v>
      </c>
      <c r="AE89" s="21">
        <v>0.28745198676703199</v>
      </c>
      <c r="AF89" s="21">
        <v>0.12447642459592401</v>
      </c>
      <c r="AG89" s="22">
        <v>218.36933807880999</v>
      </c>
      <c r="AH89" s="23">
        <v>9.5999999999999992E-3</v>
      </c>
      <c r="AI89" s="21">
        <v>0.82984283063949504</v>
      </c>
    </row>
    <row r="90" spans="1:35" x14ac:dyDescent="0.25">
      <c r="B90" s="1">
        <v>16</v>
      </c>
      <c r="C90" s="1">
        <v>2</v>
      </c>
      <c r="D90" s="3">
        <v>138</v>
      </c>
      <c r="E90" s="5">
        <v>3.2690000000000001</v>
      </c>
      <c r="F90" s="1">
        <v>40</v>
      </c>
      <c r="G90" s="1">
        <v>48</v>
      </c>
      <c r="H90" s="4">
        <v>73.386285342529106</v>
      </c>
      <c r="I90" s="1">
        <v>348</v>
      </c>
      <c r="J90" s="29">
        <v>300</v>
      </c>
      <c r="K90" s="22">
        <v>178</v>
      </c>
      <c r="L90" s="29">
        <v>128</v>
      </c>
      <c r="M90" s="5">
        <v>0.18</v>
      </c>
      <c r="N90" s="21">
        <v>0.18632410210842401</v>
      </c>
      <c r="O90" s="22">
        <v>238.26122952921401</v>
      </c>
      <c r="P90" s="22">
        <v>211.30113906801</v>
      </c>
      <c r="Q90" s="23">
        <v>1.7479097888417901E-2</v>
      </c>
      <c r="R90" s="21">
        <v>1.0351339006023501</v>
      </c>
      <c r="S90" s="5">
        <v>0.15697043744882</v>
      </c>
      <c r="T90" s="22">
        <v>238.26122952921401</v>
      </c>
      <c r="U90" s="22">
        <v>286</v>
      </c>
      <c r="V90" s="23">
        <v>1.2500000000000001E-2</v>
      </c>
      <c r="W90" s="21">
        <f t="shared" si="2"/>
        <v>1.211814188177236</v>
      </c>
      <c r="X90" s="21">
        <f t="shared" si="3"/>
        <v>0.62352941176470589</v>
      </c>
      <c r="Y90" s="21">
        <v>0.87205798582677896</v>
      </c>
      <c r="Z90" s="21">
        <v>0.20844124385770499</v>
      </c>
      <c r="AA90" s="22">
        <v>238.26122952921401</v>
      </c>
      <c r="AB90" s="22">
        <v>211.30113906801</v>
      </c>
      <c r="AC90" s="23">
        <v>1.7479097888417901E-2</v>
      </c>
      <c r="AD90" s="21">
        <v>1.1580069103205799</v>
      </c>
      <c r="AE90" s="21">
        <v>0.32341427474302797</v>
      </c>
      <c r="AF90" s="21">
        <v>0.157570475445657</v>
      </c>
      <c r="AG90" s="22">
        <v>245.68889537058899</v>
      </c>
      <c r="AH90" s="23">
        <v>9.5999999999999992E-3</v>
      </c>
      <c r="AI90" s="21">
        <v>0.87539153025365302</v>
      </c>
    </row>
    <row r="91" spans="1:35" x14ac:dyDescent="0.25">
      <c r="B91" s="1">
        <v>16</v>
      </c>
      <c r="C91" s="1">
        <v>2</v>
      </c>
      <c r="D91" s="3">
        <v>138</v>
      </c>
      <c r="E91" s="5">
        <v>3.2690000000000001</v>
      </c>
      <c r="F91" s="1">
        <v>40</v>
      </c>
      <c r="G91" s="1">
        <v>48</v>
      </c>
      <c r="H91" s="4">
        <v>73.386285342529106</v>
      </c>
      <c r="I91" s="1">
        <v>348</v>
      </c>
      <c r="J91" s="29">
        <v>300</v>
      </c>
      <c r="K91" s="22">
        <v>178</v>
      </c>
      <c r="L91" s="29">
        <v>128</v>
      </c>
      <c r="M91" s="5">
        <v>0.2</v>
      </c>
      <c r="N91" s="21">
        <v>0.23052867162223201</v>
      </c>
      <c r="O91" s="22">
        <v>264.70949624961202</v>
      </c>
      <c r="P91" s="22">
        <v>211.30113906801</v>
      </c>
      <c r="Q91" s="23">
        <v>1.7479097888417901E-2</v>
      </c>
      <c r="R91" s="21">
        <v>1.1526433581111599</v>
      </c>
      <c r="S91" s="5">
        <v>0.17439499286250301</v>
      </c>
      <c r="T91" s="22">
        <v>264.70949624961202</v>
      </c>
      <c r="U91" s="22">
        <v>286</v>
      </c>
      <c r="V91" s="23">
        <v>1.2500000000000001E-2</v>
      </c>
      <c r="W91" s="21">
        <f t="shared" si="2"/>
        <v>1.211814188177236</v>
      </c>
      <c r="X91" s="21">
        <f t="shared" si="3"/>
        <v>0.62352941176470589</v>
      </c>
      <c r="Y91" s="21">
        <v>0.87197496431251498</v>
      </c>
      <c r="Z91" s="21">
        <v>0.23157933318920601</v>
      </c>
      <c r="AA91" s="22">
        <v>264.70949624961202</v>
      </c>
      <c r="AB91" s="22">
        <v>211.30113906801</v>
      </c>
      <c r="AC91" s="23">
        <v>1.7479097888417901E-2</v>
      </c>
      <c r="AD91" s="21">
        <v>1.1578966659460299</v>
      </c>
      <c r="AE91" s="21">
        <v>0.35931498345878998</v>
      </c>
      <c r="AF91" s="21">
        <v>0.194494413431132</v>
      </c>
      <c r="AG91" s="22">
        <v>272.96167259851302</v>
      </c>
      <c r="AH91" s="23">
        <v>9.5999999999999992E-3</v>
      </c>
      <c r="AI91" s="21">
        <v>0.97247206715565804</v>
      </c>
    </row>
    <row r="92" spans="1:35" x14ac:dyDescent="0.25">
      <c r="B92" s="1">
        <v>16</v>
      </c>
      <c r="C92" s="1">
        <v>2</v>
      </c>
      <c r="D92" s="3">
        <v>138</v>
      </c>
      <c r="E92" s="5">
        <v>3.2690000000000001</v>
      </c>
      <c r="F92" s="1">
        <v>40</v>
      </c>
      <c r="G92" s="1">
        <v>48</v>
      </c>
      <c r="H92" s="4">
        <v>73.386285342529106</v>
      </c>
      <c r="I92" s="1">
        <v>348</v>
      </c>
      <c r="J92" s="29">
        <v>300</v>
      </c>
      <c r="K92" s="22">
        <v>178</v>
      </c>
      <c r="L92" s="29">
        <v>128</v>
      </c>
      <c r="M92" s="5">
        <v>0.25</v>
      </c>
      <c r="N92" s="21">
        <v>0.27473324113603997</v>
      </c>
      <c r="O92" s="22">
        <v>291.15776297001099</v>
      </c>
      <c r="P92" s="22">
        <v>211.30113906801</v>
      </c>
      <c r="Q92" s="23">
        <v>1.7479097888417901E-2</v>
      </c>
      <c r="R92" s="21">
        <v>1.0989329645441599</v>
      </c>
      <c r="S92" s="5">
        <v>0.197116438963645</v>
      </c>
      <c r="T92" s="22">
        <v>291.15776297001099</v>
      </c>
      <c r="U92" s="22">
        <v>286</v>
      </c>
      <c r="V92" s="23">
        <v>1.2500000000000001E-2</v>
      </c>
      <c r="W92" s="21">
        <f t="shared" si="2"/>
        <v>1.211814188177236</v>
      </c>
      <c r="X92" s="21">
        <f t="shared" si="3"/>
        <v>0.62352941176470589</v>
      </c>
      <c r="Y92" s="21">
        <v>0.78846575585457901</v>
      </c>
      <c r="Z92" s="21">
        <v>0.254717422520706</v>
      </c>
      <c r="AA92" s="22">
        <v>291.15776297001099</v>
      </c>
      <c r="AB92" s="22">
        <v>211.30113906801</v>
      </c>
      <c r="AC92" s="23">
        <v>1.7479097888417901E-2</v>
      </c>
      <c r="AD92" s="21">
        <v>1.01886969008283</v>
      </c>
      <c r="AE92" s="21">
        <v>0.39521569217455299</v>
      </c>
      <c r="AF92" s="21">
        <v>0.23530157606629101</v>
      </c>
      <c r="AG92" s="22">
        <v>300.23444982643599</v>
      </c>
      <c r="AH92" s="23">
        <v>9.5999999999999992E-3</v>
      </c>
      <c r="AI92" s="21">
        <v>0.94120630426516505</v>
      </c>
    </row>
    <row r="93" spans="1:35" x14ac:dyDescent="0.25">
      <c r="B93" s="1">
        <v>16</v>
      </c>
      <c r="C93" s="1">
        <v>2</v>
      </c>
      <c r="D93" s="3">
        <v>138</v>
      </c>
      <c r="E93" s="5">
        <v>3.2690000000000001</v>
      </c>
      <c r="F93" s="1">
        <v>40</v>
      </c>
      <c r="G93" s="1">
        <v>48</v>
      </c>
      <c r="H93" s="4">
        <v>73.386285342529106</v>
      </c>
      <c r="I93" s="1">
        <v>348</v>
      </c>
      <c r="J93" s="29">
        <v>300</v>
      </c>
      <c r="K93" s="22">
        <v>178</v>
      </c>
      <c r="L93" s="29">
        <v>128</v>
      </c>
      <c r="M93" s="5">
        <v>0.3</v>
      </c>
      <c r="N93" s="21">
        <v>0.31901363323906601</v>
      </c>
      <c r="O93" s="22">
        <v>317.651395499535</v>
      </c>
      <c r="P93" s="22">
        <v>211.30113906801</v>
      </c>
      <c r="Q93" s="23">
        <v>1.7479097888417901E-2</v>
      </c>
      <c r="R93" s="21">
        <v>1.0633787774635499</v>
      </c>
      <c r="S93" s="5">
        <v>0.240752546860689</v>
      </c>
      <c r="T93" s="22">
        <v>317.651395499535</v>
      </c>
      <c r="U93" s="22">
        <v>286</v>
      </c>
      <c r="V93" s="23">
        <v>1.2500000000000001E-2</v>
      </c>
      <c r="W93" s="21">
        <f t="shared" si="2"/>
        <v>1.211814188177236</v>
      </c>
      <c r="X93" s="21">
        <f t="shared" si="3"/>
        <v>0.62352941176470589</v>
      </c>
      <c r="Y93" s="21">
        <v>0.80250848953563003</v>
      </c>
      <c r="Z93" s="21">
        <v>0.278303277430267</v>
      </c>
      <c r="AA93" s="22">
        <v>317.651395499535</v>
      </c>
      <c r="AB93" s="22">
        <v>211.30113906801</v>
      </c>
      <c r="AC93" s="23">
        <v>1.7479097888417901E-2</v>
      </c>
      <c r="AD93" s="21">
        <v>0.92767759143422301</v>
      </c>
      <c r="AE93" s="21">
        <v>0.43117798015054798</v>
      </c>
      <c r="AF93" s="21">
        <v>0.28007195534083001</v>
      </c>
      <c r="AG93" s="22">
        <v>327.554007118215</v>
      </c>
      <c r="AH93" s="23">
        <v>9.5999999999999992E-3</v>
      </c>
      <c r="AI93" s="21">
        <v>0.93357318446943205</v>
      </c>
    </row>
    <row r="94" spans="1:35" x14ac:dyDescent="0.25">
      <c r="B94" s="1">
        <v>16</v>
      </c>
      <c r="C94" s="1">
        <v>2</v>
      </c>
      <c r="D94" s="3">
        <v>138</v>
      </c>
      <c r="E94" s="5">
        <v>3.2690000000000001</v>
      </c>
      <c r="F94" s="1">
        <v>40</v>
      </c>
      <c r="G94" s="1">
        <v>48</v>
      </c>
      <c r="H94" s="4">
        <v>73.386285342529106</v>
      </c>
      <c r="I94" s="1">
        <v>348</v>
      </c>
      <c r="J94" s="29">
        <v>300</v>
      </c>
      <c r="K94" s="22">
        <v>178</v>
      </c>
      <c r="L94" s="29">
        <v>128</v>
      </c>
      <c r="M94" s="5">
        <v>0.33</v>
      </c>
      <c r="N94" s="21">
        <v>0.36329402534209099</v>
      </c>
      <c r="O94" s="22">
        <v>344.14502802905901</v>
      </c>
      <c r="P94" s="22">
        <v>211.30113906801</v>
      </c>
      <c r="Q94" s="23">
        <v>1.7479097888417901E-2</v>
      </c>
      <c r="R94" s="21">
        <v>1.1008909858851299</v>
      </c>
      <c r="S94" s="5">
        <v>0.28438865475773301</v>
      </c>
      <c r="T94" s="22">
        <v>344.14502802905901</v>
      </c>
      <c r="U94" s="22">
        <v>286</v>
      </c>
      <c r="V94" s="23">
        <v>1.2500000000000001E-2</v>
      </c>
      <c r="W94" s="21">
        <f t="shared" si="2"/>
        <v>1.211814188177236</v>
      </c>
      <c r="X94" s="21">
        <f t="shared" si="3"/>
        <v>0.62352941176470589</v>
      </c>
      <c r="Y94" s="21">
        <v>0.86178380229616203</v>
      </c>
      <c r="Z94" s="21">
        <v>0.31693290627416798</v>
      </c>
      <c r="AA94" s="22">
        <v>344.14502802905901</v>
      </c>
      <c r="AB94" s="22">
        <v>211.30113906801</v>
      </c>
      <c r="AC94" s="23">
        <v>1.7479097888417901E-2</v>
      </c>
      <c r="AD94" s="21">
        <v>0.96040274628535605</v>
      </c>
      <c r="AE94" s="21">
        <v>0.46714026812654302</v>
      </c>
      <c r="AF94" s="21">
        <v>0.32873889221541702</v>
      </c>
      <c r="AG94" s="22">
        <v>354.873564409994</v>
      </c>
      <c r="AH94" s="23">
        <v>9.5999999999999992E-3</v>
      </c>
      <c r="AI94" s="21">
        <v>0.99617846125884002</v>
      </c>
    </row>
    <row r="95" spans="1:35" x14ac:dyDescent="0.25">
      <c r="B95" s="1">
        <v>16</v>
      </c>
      <c r="C95" s="1">
        <v>2</v>
      </c>
      <c r="D95" s="3">
        <v>138</v>
      </c>
      <c r="E95" s="5">
        <v>3.2690000000000001</v>
      </c>
      <c r="F95" s="1">
        <v>40</v>
      </c>
      <c r="G95" s="1">
        <v>48</v>
      </c>
      <c r="H95" s="4">
        <v>73.386285342529106</v>
      </c>
      <c r="I95" s="1">
        <v>348</v>
      </c>
      <c r="J95" s="29">
        <v>300</v>
      </c>
      <c r="K95" s="22">
        <v>178</v>
      </c>
      <c r="L95" s="29">
        <v>128</v>
      </c>
      <c r="M95" s="5">
        <v>0.38</v>
      </c>
      <c r="N95" s="21">
        <v>0.407422772266682</v>
      </c>
      <c r="O95" s="22">
        <v>370.54792894033199</v>
      </c>
      <c r="P95" s="22">
        <v>211.30113906801</v>
      </c>
      <c r="Q95" s="23">
        <v>1.7479097888417901E-2</v>
      </c>
      <c r="R95" s="21">
        <v>1.0721651901754801</v>
      </c>
      <c r="S95" s="5">
        <v>0.32787532392910301</v>
      </c>
      <c r="T95" s="22">
        <v>370.54792894033199</v>
      </c>
      <c r="U95" s="22">
        <v>286</v>
      </c>
      <c r="V95" s="23">
        <v>1.2500000000000001E-2</v>
      </c>
      <c r="W95" s="21">
        <f t="shared" si="2"/>
        <v>1.211814188177236</v>
      </c>
      <c r="X95" s="21">
        <f t="shared" si="3"/>
        <v>0.62352941176470589</v>
      </c>
      <c r="Y95" s="21">
        <v>0.86282979981343</v>
      </c>
      <c r="Z95" s="21">
        <v>0.355430241868603</v>
      </c>
      <c r="AA95" s="22">
        <v>370.54792894033199</v>
      </c>
      <c r="AB95" s="22">
        <v>211.30113906801</v>
      </c>
      <c r="AC95" s="23">
        <v>1.7479097888417901E-2</v>
      </c>
      <c r="AD95" s="21">
        <v>0.93534274175948096</v>
      </c>
      <c r="AE95" s="21">
        <v>0.502979397582073</v>
      </c>
      <c r="AF95" s="21">
        <v>0.38111572538496102</v>
      </c>
      <c r="AG95" s="22">
        <v>382.09956157406202</v>
      </c>
      <c r="AH95" s="23">
        <v>9.5999999999999992E-3</v>
      </c>
      <c r="AI95" s="21">
        <v>1.00293611943411</v>
      </c>
    </row>
    <row r="96" spans="1:35" x14ac:dyDescent="0.25">
      <c r="A96" t="s">
        <v>44</v>
      </c>
      <c r="B96" s="1">
        <v>16</v>
      </c>
      <c r="C96" s="1">
        <v>2</v>
      </c>
      <c r="D96" s="3">
        <v>168</v>
      </c>
      <c r="E96" s="5">
        <v>3.2690000000000001</v>
      </c>
      <c r="F96" s="1">
        <v>25</v>
      </c>
      <c r="G96" s="1">
        <v>33</v>
      </c>
      <c r="H96" s="4">
        <v>73.386285342529106</v>
      </c>
      <c r="I96" s="1">
        <v>333</v>
      </c>
      <c r="J96" s="29">
        <v>300</v>
      </c>
      <c r="K96" s="22">
        <v>170</v>
      </c>
      <c r="L96" s="29">
        <v>113</v>
      </c>
      <c r="M96" s="5">
        <v>0.15</v>
      </c>
      <c r="N96" s="21">
        <v>0.13409248123173201</v>
      </c>
      <c r="O96" s="22">
        <v>211.76759699969</v>
      </c>
      <c r="P96" s="22">
        <v>192.83556964816199</v>
      </c>
      <c r="Q96" s="23">
        <v>1.9393939393939401E-2</v>
      </c>
      <c r="R96" s="21">
        <v>0.89394987487821098</v>
      </c>
      <c r="S96" s="5">
        <v>9.9274752045340003E-2</v>
      </c>
      <c r="T96" s="22">
        <v>211.76759699969</v>
      </c>
      <c r="U96" s="22">
        <v>232</v>
      </c>
      <c r="V96" s="23">
        <v>1.57460983498901E-2</v>
      </c>
      <c r="W96" s="21">
        <f t="shared" si="2"/>
        <v>1.1456222543718497</v>
      </c>
      <c r="X96" s="21">
        <f t="shared" si="3"/>
        <v>0.65337423312883436</v>
      </c>
      <c r="Y96" s="21">
        <v>0.66183168030226702</v>
      </c>
      <c r="Z96" s="21">
        <v>0.14310195367254</v>
      </c>
      <c r="AA96" s="22">
        <v>211.76759699969</v>
      </c>
      <c r="AB96" s="22">
        <v>192.83556964816199</v>
      </c>
      <c r="AC96" s="23">
        <v>1.9393939393939401E-2</v>
      </c>
      <c r="AD96" s="21">
        <v>0.95401302448360303</v>
      </c>
      <c r="AE96" s="21">
        <v>0.26428228038373303</v>
      </c>
      <c r="AF96" s="21">
        <v>0.12447642459592401</v>
      </c>
      <c r="AG96" s="22">
        <v>218.36933807880999</v>
      </c>
      <c r="AH96" s="23">
        <v>1.0500000000000001E-2</v>
      </c>
      <c r="AI96" s="21">
        <v>0.82984283063949504</v>
      </c>
    </row>
    <row r="97" spans="1:35" x14ac:dyDescent="0.25">
      <c r="B97" s="1">
        <v>16</v>
      </c>
      <c r="C97" s="1">
        <v>2</v>
      </c>
      <c r="D97" s="3">
        <v>168</v>
      </c>
      <c r="E97" s="5">
        <v>3.2690000000000001</v>
      </c>
      <c r="F97" s="1">
        <v>25</v>
      </c>
      <c r="G97" s="1">
        <v>33</v>
      </c>
      <c r="H97" s="4">
        <v>73.386285342529106</v>
      </c>
      <c r="I97" s="1">
        <v>333</v>
      </c>
      <c r="J97" s="29">
        <v>300</v>
      </c>
      <c r="K97" s="22">
        <v>170</v>
      </c>
      <c r="L97" s="29">
        <v>113</v>
      </c>
      <c r="M97" s="5">
        <v>0.18</v>
      </c>
      <c r="N97" s="21">
        <v>0.171073176637526</v>
      </c>
      <c r="O97" s="22">
        <v>238.26122952921401</v>
      </c>
      <c r="P97" s="22">
        <v>192.83556964816199</v>
      </c>
      <c r="Q97" s="23">
        <v>1.9393939393939401E-2</v>
      </c>
      <c r="R97" s="21">
        <v>0.95040653687514298</v>
      </c>
      <c r="S97" s="5">
        <v>0.116178589995917</v>
      </c>
      <c r="T97" s="22">
        <v>238.26122952921401</v>
      </c>
      <c r="U97" s="22">
        <v>232</v>
      </c>
      <c r="V97" s="23">
        <v>1.57460983498901E-2</v>
      </c>
      <c r="W97" s="21">
        <f t="shared" si="2"/>
        <v>1.1456222543718497</v>
      </c>
      <c r="X97" s="21">
        <f t="shared" si="3"/>
        <v>0.65337423312883436</v>
      </c>
      <c r="Y97" s="21">
        <v>0.64543661108842698</v>
      </c>
      <c r="Z97" s="21">
        <v>0.16100502585436599</v>
      </c>
      <c r="AA97" s="22">
        <v>238.26122952921401</v>
      </c>
      <c r="AB97" s="22">
        <v>192.83556964816199</v>
      </c>
      <c r="AC97" s="23">
        <v>1.9393939393939401E-2</v>
      </c>
      <c r="AD97" s="21">
        <v>0.89447236585759204</v>
      </c>
      <c r="AE97" s="21">
        <v>0.29734587330235002</v>
      </c>
      <c r="AF97" s="21">
        <v>0.157570475445657</v>
      </c>
      <c r="AG97" s="22">
        <v>245.68889537058899</v>
      </c>
      <c r="AH97" s="23">
        <v>1.0500000000000001E-2</v>
      </c>
      <c r="AI97" s="21">
        <v>0.87539153025365302</v>
      </c>
    </row>
    <row r="98" spans="1:35" x14ac:dyDescent="0.25">
      <c r="B98" s="1">
        <v>16</v>
      </c>
      <c r="C98" s="1">
        <v>2</v>
      </c>
      <c r="D98" s="3">
        <v>168</v>
      </c>
      <c r="E98" s="5">
        <v>3.2690000000000001</v>
      </c>
      <c r="F98" s="1">
        <v>25</v>
      </c>
      <c r="G98" s="1">
        <v>33</v>
      </c>
      <c r="H98" s="4">
        <v>73.386285342529106</v>
      </c>
      <c r="I98" s="1">
        <v>333</v>
      </c>
      <c r="J98" s="29">
        <v>300</v>
      </c>
      <c r="K98" s="22">
        <v>170</v>
      </c>
      <c r="L98" s="29">
        <v>113</v>
      </c>
      <c r="M98" s="5">
        <v>0.2</v>
      </c>
      <c r="N98" s="21">
        <v>0.207990548934748</v>
      </c>
      <c r="O98" s="22">
        <v>264.70949624961202</v>
      </c>
      <c r="P98" s="22">
        <v>192.83556964816199</v>
      </c>
      <c r="Q98" s="23">
        <v>1.9393939393939401E-2</v>
      </c>
      <c r="R98" s="21">
        <v>1.03995274467374</v>
      </c>
      <c r="S98" s="5">
        <v>0.14717536615403201</v>
      </c>
      <c r="T98" s="22">
        <v>264.70949624961202</v>
      </c>
      <c r="U98" s="22">
        <v>232</v>
      </c>
      <c r="V98" s="23">
        <v>1.57460983498901E-2</v>
      </c>
      <c r="W98" s="21">
        <f t="shared" si="2"/>
        <v>1.1456222543718497</v>
      </c>
      <c r="X98" s="21">
        <f t="shared" si="3"/>
        <v>0.65337423312883436</v>
      </c>
      <c r="Y98" s="21">
        <v>0.73587683077016197</v>
      </c>
      <c r="Z98" s="21">
        <v>0.17887744209067599</v>
      </c>
      <c r="AA98" s="22">
        <v>264.70949624961202</v>
      </c>
      <c r="AB98" s="22">
        <v>192.83556964816199</v>
      </c>
      <c r="AC98" s="23">
        <v>1.9393939393939401E-2</v>
      </c>
      <c r="AD98" s="21">
        <v>0.89438721045337799</v>
      </c>
      <c r="AE98" s="21">
        <v>0.330352850479667</v>
      </c>
      <c r="AF98" s="21">
        <v>0.194494413431132</v>
      </c>
      <c r="AG98" s="22">
        <v>272.96167259851302</v>
      </c>
      <c r="AH98" s="23">
        <v>1.0500000000000001E-2</v>
      </c>
      <c r="AI98" s="21">
        <v>0.97247206715565804</v>
      </c>
    </row>
    <row r="99" spans="1:35" x14ac:dyDescent="0.25">
      <c r="B99" s="1">
        <v>16</v>
      </c>
      <c r="C99" s="1">
        <v>2</v>
      </c>
      <c r="D99" s="3">
        <v>168</v>
      </c>
      <c r="E99" s="5">
        <v>3.2690000000000001</v>
      </c>
      <c r="F99" s="1">
        <v>25</v>
      </c>
      <c r="G99" s="1">
        <v>33</v>
      </c>
      <c r="H99" s="4">
        <v>73.386285342529106</v>
      </c>
      <c r="I99" s="1">
        <v>333</v>
      </c>
      <c r="J99" s="29">
        <v>300</v>
      </c>
      <c r="K99" s="22">
        <v>170</v>
      </c>
      <c r="L99" s="29">
        <v>113</v>
      </c>
      <c r="M99" s="5">
        <v>0.23</v>
      </c>
      <c r="N99" s="21">
        <v>0.244907921231971</v>
      </c>
      <c r="O99" s="22">
        <v>291.15776297001099</v>
      </c>
      <c r="P99" s="22">
        <v>192.83556964816199</v>
      </c>
      <c r="Q99" s="23">
        <v>1.9393939393939401E-2</v>
      </c>
      <c r="R99" s="21">
        <v>1.06481704883466</v>
      </c>
      <c r="S99" s="5">
        <v>0.17817214231214801</v>
      </c>
      <c r="T99" s="22">
        <v>291.15776297001099</v>
      </c>
      <c r="U99" s="22">
        <v>232</v>
      </c>
      <c r="V99" s="23">
        <v>1.57460983498901E-2</v>
      </c>
      <c r="W99" s="21">
        <f t="shared" si="2"/>
        <v>1.1456222543718497</v>
      </c>
      <c r="X99" s="21">
        <f t="shared" si="3"/>
        <v>0.65337423312883436</v>
      </c>
      <c r="Y99" s="21">
        <v>0.77466148831368598</v>
      </c>
      <c r="Z99" s="21">
        <v>0.19760779435522899</v>
      </c>
      <c r="AA99" s="22">
        <v>291.15776297001099</v>
      </c>
      <c r="AB99" s="22">
        <v>192.83556964816199</v>
      </c>
      <c r="AC99" s="23">
        <v>1.9393939393939401E-2</v>
      </c>
      <c r="AD99" s="21">
        <v>0.85916432328360504</v>
      </c>
      <c r="AE99" s="21">
        <v>0.36335982765698399</v>
      </c>
      <c r="AF99" s="21">
        <v>0.23530157606629101</v>
      </c>
      <c r="AG99" s="22">
        <v>300.23444982643599</v>
      </c>
      <c r="AH99" s="23">
        <v>1.0500000000000001E-2</v>
      </c>
      <c r="AI99" s="21">
        <v>1.0230503307230101</v>
      </c>
    </row>
    <row r="100" spans="1:35" x14ac:dyDescent="0.25">
      <c r="B100" s="1">
        <v>16</v>
      </c>
      <c r="C100" s="1">
        <v>2</v>
      </c>
      <c r="D100" s="3">
        <v>168</v>
      </c>
      <c r="E100" s="5">
        <v>3.2690000000000001</v>
      </c>
      <c r="F100" s="1">
        <v>25</v>
      </c>
      <c r="G100" s="1">
        <v>33</v>
      </c>
      <c r="H100" s="4">
        <v>73.386285342529106</v>
      </c>
      <c r="I100" s="1">
        <v>333</v>
      </c>
      <c r="J100" s="29">
        <v>300</v>
      </c>
      <c r="K100" s="22">
        <v>170</v>
      </c>
      <c r="L100" s="29">
        <v>113</v>
      </c>
      <c r="M100" s="5">
        <v>0.25</v>
      </c>
      <c r="N100" s="21">
        <v>0.28188861663776499</v>
      </c>
      <c r="O100" s="22">
        <v>317.651395499535</v>
      </c>
      <c r="P100" s="22">
        <v>192.83556964816199</v>
      </c>
      <c r="Q100" s="23">
        <v>1.9393939393939401E-2</v>
      </c>
      <c r="R100" s="21">
        <v>1.12755446655106</v>
      </c>
      <c r="S100" s="5">
        <v>0.20922208618237001</v>
      </c>
      <c r="T100" s="22">
        <v>317.651395499535</v>
      </c>
      <c r="U100" s="22">
        <v>232</v>
      </c>
      <c r="V100" s="23">
        <v>1.57460983498901E-2</v>
      </c>
      <c r="W100" s="21">
        <f t="shared" si="2"/>
        <v>1.1456222543718497</v>
      </c>
      <c r="X100" s="21">
        <f t="shared" si="3"/>
        <v>0.65337423312883436</v>
      </c>
      <c r="Y100" s="21">
        <v>0.83688834472947904</v>
      </c>
      <c r="Z100" s="21">
        <v>0.22744624799160601</v>
      </c>
      <c r="AA100" s="22">
        <v>317.651395499535</v>
      </c>
      <c r="AB100" s="22">
        <v>192.83556964816199</v>
      </c>
      <c r="AC100" s="23">
        <v>1.9393939393939401E-2</v>
      </c>
      <c r="AD100" s="21">
        <v>0.90978499196642304</v>
      </c>
      <c r="AE100" s="21">
        <v>0.39642342057559998</v>
      </c>
      <c r="AF100" s="21">
        <v>0.28007195534083001</v>
      </c>
      <c r="AG100" s="22">
        <v>327.554007118215</v>
      </c>
      <c r="AH100" s="23">
        <v>1.0500000000000001E-2</v>
      </c>
      <c r="AI100" s="21">
        <v>1.1202878213633201</v>
      </c>
    </row>
    <row r="101" spans="1:35" x14ac:dyDescent="0.25">
      <c r="B101" s="1">
        <v>16</v>
      </c>
      <c r="C101" s="1">
        <v>2</v>
      </c>
      <c r="D101" s="3">
        <v>168</v>
      </c>
      <c r="E101" s="5">
        <v>3.2690000000000001</v>
      </c>
      <c r="F101" s="1">
        <v>25</v>
      </c>
      <c r="G101" s="1">
        <v>33</v>
      </c>
      <c r="H101" s="4">
        <v>73.386285342529106</v>
      </c>
      <c r="I101" s="1">
        <v>333</v>
      </c>
      <c r="J101" s="29">
        <v>300</v>
      </c>
      <c r="K101" s="22">
        <v>170</v>
      </c>
      <c r="L101" s="29">
        <v>113</v>
      </c>
      <c r="M101" s="5">
        <v>0.3</v>
      </c>
      <c r="N101" s="21">
        <v>0.31886931204355901</v>
      </c>
      <c r="O101" s="22">
        <v>344.14502802905901</v>
      </c>
      <c r="P101" s="22">
        <v>192.83556964816199</v>
      </c>
      <c r="Q101" s="23">
        <v>1.9393939393939401E-2</v>
      </c>
      <c r="R101" s="21">
        <v>1.0628977068118599</v>
      </c>
      <c r="S101" s="5">
        <v>0.24027203005259201</v>
      </c>
      <c r="T101" s="22">
        <v>344.14502802905901</v>
      </c>
      <c r="U101" s="22">
        <v>232</v>
      </c>
      <c r="V101" s="23">
        <v>1.57460983498901E-2</v>
      </c>
      <c r="W101" s="21">
        <f t="shared" si="2"/>
        <v>1.1456222543718497</v>
      </c>
      <c r="X101" s="21">
        <f t="shared" si="3"/>
        <v>0.65337423312883436</v>
      </c>
      <c r="Y101" s="21">
        <v>0.80090676684197304</v>
      </c>
      <c r="Z101" s="21">
        <v>0.257284701627982</v>
      </c>
      <c r="AA101" s="22">
        <v>344.14502802905901</v>
      </c>
      <c r="AB101" s="22">
        <v>192.83556964816199</v>
      </c>
      <c r="AC101" s="23">
        <v>1.9393939393939401E-2</v>
      </c>
      <c r="AD101" s="21">
        <v>0.85761567209327505</v>
      </c>
      <c r="AE101" s="21">
        <v>0.42948701349421597</v>
      </c>
      <c r="AF101" s="21">
        <v>0.32873889221541702</v>
      </c>
      <c r="AG101" s="22">
        <v>354.87356440999503</v>
      </c>
      <c r="AH101" s="23">
        <v>1.0500000000000001E-2</v>
      </c>
      <c r="AI101" s="21">
        <v>1.0957963073847199</v>
      </c>
    </row>
    <row r="102" spans="1:35" x14ac:dyDescent="0.25">
      <c r="B102" s="1">
        <v>16</v>
      </c>
      <c r="C102" s="1">
        <v>2</v>
      </c>
      <c r="D102" s="3">
        <v>168</v>
      </c>
      <c r="E102" s="5">
        <v>3.2690000000000001</v>
      </c>
      <c r="F102" s="1">
        <v>25</v>
      </c>
      <c r="G102" s="1">
        <v>33</v>
      </c>
      <c r="H102" s="4">
        <v>73.386285342529106</v>
      </c>
      <c r="I102" s="1">
        <v>333</v>
      </c>
      <c r="J102" s="29">
        <v>300</v>
      </c>
      <c r="K102" s="22">
        <v>170</v>
      </c>
      <c r="L102" s="29">
        <v>113</v>
      </c>
      <c r="M102" s="5">
        <v>0.3</v>
      </c>
      <c r="N102" s="21">
        <v>0.35572336123220999</v>
      </c>
      <c r="O102" s="22">
        <v>370.54792894033199</v>
      </c>
      <c r="P102" s="22">
        <v>192.83556964816199</v>
      </c>
      <c r="Q102" s="23">
        <v>1.9393939393939401E-2</v>
      </c>
      <c r="R102" s="21">
        <v>1.1857445374407001</v>
      </c>
      <c r="S102" s="5">
        <v>0.27121563849860097</v>
      </c>
      <c r="T102" s="22">
        <v>370.54792894033199</v>
      </c>
      <c r="U102" s="22">
        <v>232</v>
      </c>
      <c r="V102" s="23">
        <v>1.57460983498901E-2</v>
      </c>
      <c r="W102" s="21">
        <f t="shared" si="2"/>
        <v>1.1456222543718497</v>
      </c>
      <c r="X102" s="21">
        <f t="shared" si="3"/>
        <v>0.65337423312883436</v>
      </c>
      <c r="Y102" s="21">
        <v>0.90405212832866899</v>
      </c>
      <c r="Z102" s="21">
        <v>0.287020968779303</v>
      </c>
      <c r="AA102" s="22">
        <v>370.54792894033199</v>
      </c>
      <c r="AB102" s="22">
        <v>192.83556964816199</v>
      </c>
      <c r="AC102" s="23">
        <v>1.9393939393939401E-2</v>
      </c>
      <c r="AD102" s="21">
        <v>0.95673656259767703</v>
      </c>
      <c r="AE102" s="21">
        <v>0.46243737493023401</v>
      </c>
      <c r="AF102" s="21">
        <v>0.38111572538496102</v>
      </c>
      <c r="AG102" s="22">
        <v>382.09956157406202</v>
      </c>
      <c r="AH102" s="23">
        <v>1.0500000000000001E-2</v>
      </c>
      <c r="AI102" s="21">
        <v>1.2703857512832</v>
      </c>
    </row>
    <row r="103" spans="1:35" x14ac:dyDescent="0.25">
      <c r="A103" t="s">
        <v>45</v>
      </c>
      <c r="B103" s="1">
        <v>16</v>
      </c>
      <c r="C103" s="1">
        <v>2</v>
      </c>
      <c r="D103" s="3">
        <v>168</v>
      </c>
      <c r="E103" s="5">
        <v>3.2690000000000001</v>
      </c>
      <c r="F103" s="1">
        <v>25</v>
      </c>
      <c r="G103" s="1">
        <v>33</v>
      </c>
      <c r="H103" s="4">
        <v>73.386285342529106</v>
      </c>
      <c r="I103" s="1">
        <v>333</v>
      </c>
      <c r="J103" s="29">
        <v>300</v>
      </c>
      <c r="K103" s="22">
        <v>170</v>
      </c>
      <c r="L103" s="29">
        <v>113</v>
      </c>
      <c r="M103" s="5">
        <v>0.15</v>
      </c>
      <c r="N103" s="21">
        <v>9.7111785825937505E-2</v>
      </c>
      <c r="O103" s="22">
        <v>185.27396447016599</v>
      </c>
      <c r="P103" s="22">
        <v>192.83556964816199</v>
      </c>
      <c r="Q103" s="23">
        <v>1.9393939393939401E-2</v>
      </c>
      <c r="R103" s="21">
        <v>0.64741190550625005</v>
      </c>
      <c r="S103" s="5">
        <v>8.6854774497251194E-2</v>
      </c>
      <c r="T103" s="22">
        <v>185.27396447016599</v>
      </c>
      <c r="U103" s="22">
        <v>232</v>
      </c>
      <c r="V103" s="23">
        <v>1.57460983498901E-2</v>
      </c>
      <c r="W103" s="21">
        <f t="shared" si="2"/>
        <v>1.1456222543718497</v>
      </c>
      <c r="X103" s="21">
        <f t="shared" si="3"/>
        <v>0.65337423312883436</v>
      </c>
      <c r="Y103" s="21">
        <v>0.57903182998167502</v>
      </c>
      <c r="Z103" s="21">
        <v>0.12519888149071501</v>
      </c>
      <c r="AA103" s="22">
        <v>185.27396447016599</v>
      </c>
      <c r="AB103" s="22">
        <v>192.83556964816199</v>
      </c>
      <c r="AC103" s="23">
        <v>1.9393939393939401E-2</v>
      </c>
      <c r="AD103" s="21">
        <v>0.83465920993809695</v>
      </c>
      <c r="AE103" s="21">
        <v>0.23121868746511701</v>
      </c>
      <c r="AF103" s="21">
        <v>9.5278931346240298E-2</v>
      </c>
      <c r="AG103" s="22">
        <v>191.04978078703101</v>
      </c>
      <c r="AH103" s="23">
        <v>1.0500000000000001E-2</v>
      </c>
      <c r="AI103" s="21">
        <v>0.63519287564160198</v>
      </c>
    </row>
    <row r="104" spans="1:35" x14ac:dyDescent="0.25">
      <c r="B104" s="1">
        <v>16</v>
      </c>
      <c r="C104" s="1">
        <v>2</v>
      </c>
      <c r="D104" s="3">
        <v>168</v>
      </c>
      <c r="E104" s="5">
        <v>3.2690000000000001</v>
      </c>
      <c r="F104" s="1">
        <v>25</v>
      </c>
      <c r="G104" s="1">
        <v>33</v>
      </c>
      <c r="H104" s="4">
        <v>73.386285342529106</v>
      </c>
      <c r="I104" s="1">
        <v>333</v>
      </c>
      <c r="J104" s="29">
        <v>300</v>
      </c>
      <c r="K104" s="22">
        <v>170</v>
      </c>
      <c r="L104" s="29">
        <v>113</v>
      </c>
      <c r="M104" s="5">
        <v>0.18</v>
      </c>
      <c r="N104" s="21">
        <v>0.13409248123173201</v>
      </c>
      <c r="O104" s="22">
        <v>211.76759699969</v>
      </c>
      <c r="P104" s="22">
        <v>192.83556964816199</v>
      </c>
      <c r="Q104" s="23">
        <v>1.9393939393939401E-2</v>
      </c>
      <c r="R104" s="21">
        <v>0.74495822906517595</v>
      </c>
      <c r="S104" s="5">
        <v>9.9274752045340003E-2</v>
      </c>
      <c r="T104" s="22">
        <v>211.76759699969</v>
      </c>
      <c r="U104" s="22">
        <v>232</v>
      </c>
      <c r="V104" s="23">
        <v>1.57460983498901E-2</v>
      </c>
      <c r="W104" s="21">
        <f t="shared" si="2"/>
        <v>1.1456222543718497</v>
      </c>
      <c r="X104" s="21">
        <f t="shared" si="3"/>
        <v>0.65337423312883436</v>
      </c>
      <c r="Y104" s="21">
        <v>0.55152640025188904</v>
      </c>
      <c r="Z104" s="21">
        <v>0.14310195367254</v>
      </c>
      <c r="AA104" s="22">
        <v>211.76759699969</v>
      </c>
      <c r="AB104" s="22">
        <v>192.83556964816199</v>
      </c>
      <c r="AC104" s="23">
        <v>1.9393939393939401E-2</v>
      </c>
      <c r="AD104" s="21">
        <v>0.79501085373633595</v>
      </c>
      <c r="AE104" s="21">
        <v>0.26428228038373303</v>
      </c>
      <c r="AF104" s="21">
        <v>0.12447642459592401</v>
      </c>
      <c r="AG104" s="22">
        <v>218.36933807880999</v>
      </c>
      <c r="AH104" s="23">
        <v>1.0500000000000001E-2</v>
      </c>
      <c r="AI104" s="21">
        <v>0.691535692199579</v>
      </c>
    </row>
    <row r="105" spans="1:35" x14ac:dyDescent="0.25">
      <c r="B105" s="1">
        <v>16</v>
      </c>
      <c r="C105" s="1">
        <v>2</v>
      </c>
      <c r="D105" s="3">
        <v>168</v>
      </c>
      <c r="E105" s="5">
        <v>3.2690000000000001</v>
      </c>
      <c r="F105" s="1">
        <v>25</v>
      </c>
      <c r="G105" s="1">
        <v>33</v>
      </c>
      <c r="H105" s="4">
        <v>73.386285342529106</v>
      </c>
      <c r="I105" s="1">
        <v>333</v>
      </c>
      <c r="J105" s="29">
        <v>300</v>
      </c>
      <c r="K105" s="22">
        <v>170</v>
      </c>
      <c r="L105" s="29">
        <v>113</v>
      </c>
      <c r="M105" s="5">
        <v>0.18</v>
      </c>
      <c r="N105" s="21">
        <v>0.171073176637526</v>
      </c>
      <c r="O105" s="22">
        <v>238.26122952921401</v>
      </c>
      <c r="P105" s="22">
        <v>192.83556964816199</v>
      </c>
      <c r="Q105" s="23">
        <v>1.9393939393939401E-2</v>
      </c>
      <c r="R105" s="21">
        <v>0.95040653687514298</v>
      </c>
      <c r="S105" s="5">
        <v>0.116178589995917</v>
      </c>
      <c r="T105" s="22">
        <v>238.26122952921401</v>
      </c>
      <c r="U105" s="22">
        <v>232</v>
      </c>
      <c r="V105" s="23">
        <v>1.57460983498901E-2</v>
      </c>
      <c r="W105" s="21">
        <f t="shared" si="2"/>
        <v>1.1456222543718497</v>
      </c>
      <c r="X105" s="21">
        <f t="shared" si="3"/>
        <v>0.65337423312883436</v>
      </c>
      <c r="Y105" s="21">
        <v>0.64543661108842698</v>
      </c>
      <c r="Z105" s="21">
        <v>0.16100502585436599</v>
      </c>
      <c r="AA105" s="22">
        <v>238.26122952921401</v>
      </c>
      <c r="AB105" s="22">
        <v>192.83556964816199</v>
      </c>
      <c r="AC105" s="23">
        <v>1.9393939393939401E-2</v>
      </c>
      <c r="AD105" s="21">
        <v>0.89447236585759204</v>
      </c>
      <c r="AE105" s="21">
        <v>0.29734587330235002</v>
      </c>
      <c r="AF105" s="21">
        <v>0.157570475445657</v>
      </c>
      <c r="AG105" s="22">
        <v>245.68889537058899</v>
      </c>
      <c r="AH105" s="23">
        <v>1.0500000000000001E-2</v>
      </c>
      <c r="AI105" s="21">
        <v>0.87539153025365302</v>
      </c>
    </row>
    <row r="106" spans="1:35" x14ac:dyDescent="0.25">
      <c r="B106" s="1">
        <v>16</v>
      </c>
      <c r="C106" s="1">
        <v>2</v>
      </c>
      <c r="D106" s="3">
        <v>168</v>
      </c>
      <c r="E106" s="5">
        <v>3.2690000000000001</v>
      </c>
      <c r="F106" s="1">
        <v>25</v>
      </c>
      <c r="G106" s="1">
        <v>33</v>
      </c>
      <c r="H106" s="4">
        <v>73.386285342529106</v>
      </c>
      <c r="I106" s="1">
        <v>333</v>
      </c>
      <c r="J106" s="29">
        <v>300</v>
      </c>
      <c r="K106" s="22">
        <v>170</v>
      </c>
      <c r="L106" s="29">
        <v>113</v>
      </c>
      <c r="M106" s="5">
        <v>0.25</v>
      </c>
      <c r="N106" s="21">
        <v>0.207990548934748</v>
      </c>
      <c r="O106" s="22">
        <v>264.70949624961202</v>
      </c>
      <c r="P106" s="22">
        <v>192.83556964816199</v>
      </c>
      <c r="Q106" s="23">
        <v>1.9393939393939401E-2</v>
      </c>
      <c r="R106" s="21">
        <v>0.83196219573899299</v>
      </c>
      <c r="S106" s="5">
        <v>0.14717536615403201</v>
      </c>
      <c r="T106" s="22">
        <v>264.70949624961202</v>
      </c>
      <c r="U106" s="22">
        <v>232</v>
      </c>
      <c r="V106" s="23">
        <v>1.57460983498901E-2</v>
      </c>
      <c r="W106" s="21">
        <f t="shared" si="2"/>
        <v>1.1456222543718497</v>
      </c>
      <c r="X106" s="21">
        <f t="shared" si="3"/>
        <v>0.65337423312883436</v>
      </c>
      <c r="Y106" s="21">
        <v>0.58870146461612904</v>
      </c>
      <c r="Z106" s="21">
        <v>0.17887744209067599</v>
      </c>
      <c r="AA106" s="22">
        <v>264.70949624961202</v>
      </c>
      <c r="AB106" s="22">
        <v>192.83556964816199</v>
      </c>
      <c r="AC106" s="23">
        <v>1.9393939393939401E-2</v>
      </c>
      <c r="AD106" s="21">
        <v>0.71550976836270197</v>
      </c>
      <c r="AE106" s="21">
        <v>0.330352850479667</v>
      </c>
      <c r="AF106" s="21">
        <v>0.194494413431132</v>
      </c>
      <c r="AG106" s="22">
        <v>272.96167259851302</v>
      </c>
      <c r="AH106" s="23">
        <v>1.0500000000000001E-2</v>
      </c>
      <c r="AI106" s="21">
        <v>0.77797765372452699</v>
      </c>
    </row>
    <row r="107" spans="1:35" x14ac:dyDescent="0.25">
      <c r="B107" s="1">
        <v>16</v>
      </c>
      <c r="C107" s="1">
        <v>2</v>
      </c>
      <c r="D107" s="3">
        <v>168</v>
      </c>
      <c r="E107" s="5">
        <v>3.2690000000000001</v>
      </c>
      <c r="F107" s="1">
        <v>25</v>
      </c>
      <c r="G107" s="1">
        <v>33</v>
      </c>
      <c r="H107" s="4">
        <v>73.386285342529106</v>
      </c>
      <c r="I107" s="1">
        <v>333</v>
      </c>
      <c r="J107" s="29">
        <v>300</v>
      </c>
      <c r="K107" s="22">
        <v>170</v>
      </c>
      <c r="L107" s="29">
        <v>113</v>
      </c>
      <c r="M107" s="5">
        <v>0.28000000000000003</v>
      </c>
      <c r="N107" s="21">
        <v>0.244907921231971</v>
      </c>
      <c r="O107" s="22">
        <v>291.15776297001099</v>
      </c>
      <c r="P107" s="22">
        <v>192.83556964816199</v>
      </c>
      <c r="Q107" s="23">
        <v>1.9393939393939401E-2</v>
      </c>
      <c r="R107" s="21">
        <v>0.87467114725703898</v>
      </c>
      <c r="S107" s="5">
        <v>0.17817214231214801</v>
      </c>
      <c r="T107" s="22">
        <v>291.15776297001099</v>
      </c>
      <c r="U107" s="22">
        <v>232</v>
      </c>
      <c r="V107" s="23">
        <v>1.57460983498901E-2</v>
      </c>
      <c r="W107" s="21">
        <f t="shared" si="2"/>
        <v>1.1456222543718497</v>
      </c>
      <c r="X107" s="21">
        <f t="shared" si="3"/>
        <v>0.65337423312883436</v>
      </c>
      <c r="Y107" s="21">
        <v>0.63632907968624197</v>
      </c>
      <c r="Z107" s="21">
        <v>0.19760779435522899</v>
      </c>
      <c r="AA107" s="22">
        <v>291.15776297001099</v>
      </c>
      <c r="AB107" s="22">
        <v>192.83556964816199</v>
      </c>
      <c r="AC107" s="23">
        <v>1.9393939393939401E-2</v>
      </c>
      <c r="AD107" s="21">
        <v>0.70574212269724701</v>
      </c>
      <c r="AE107" s="21">
        <v>0.36335982765698399</v>
      </c>
      <c r="AF107" s="21">
        <v>0.23530157606629101</v>
      </c>
      <c r="AG107" s="22">
        <v>300.23444982643599</v>
      </c>
      <c r="AH107" s="23">
        <v>1.0500000000000001E-2</v>
      </c>
      <c r="AI107" s="21">
        <v>0.84036277166532602</v>
      </c>
    </row>
    <row r="108" spans="1:35" x14ac:dyDescent="0.25">
      <c r="B108" s="1">
        <v>16</v>
      </c>
      <c r="C108" s="1">
        <v>2</v>
      </c>
      <c r="D108" s="3">
        <v>168</v>
      </c>
      <c r="E108" s="5">
        <v>3.2690000000000001</v>
      </c>
      <c r="F108" s="1">
        <v>25</v>
      </c>
      <c r="G108" s="1">
        <v>33</v>
      </c>
      <c r="H108" s="4">
        <v>73.386285342529106</v>
      </c>
      <c r="I108" s="1">
        <v>333</v>
      </c>
      <c r="J108" s="29">
        <v>300</v>
      </c>
      <c r="K108" s="22">
        <v>170</v>
      </c>
      <c r="L108" s="29">
        <v>113</v>
      </c>
      <c r="M108" s="5">
        <v>0.33</v>
      </c>
      <c r="N108" s="21">
        <v>0.28188861663776499</v>
      </c>
      <c r="O108" s="22">
        <v>317.651395499535</v>
      </c>
      <c r="P108" s="22">
        <v>192.83556964816199</v>
      </c>
      <c r="Q108" s="23">
        <v>1.9393939393939401E-2</v>
      </c>
      <c r="R108" s="21">
        <v>0.85420792920534905</v>
      </c>
      <c r="S108" s="5">
        <v>0.20922208618237001</v>
      </c>
      <c r="T108" s="22">
        <v>317.651395499535</v>
      </c>
      <c r="U108" s="22">
        <v>232</v>
      </c>
      <c r="V108" s="23">
        <v>1.57460983498901E-2</v>
      </c>
      <c r="W108" s="21">
        <f t="shared" si="2"/>
        <v>1.1456222543718497</v>
      </c>
      <c r="X108" s="21">
        <f t="shared" si="3"/>
        <v>0.65337423312883436</v>
      </c>
      <c r="Y108" s="21">
        <v>0.63400632176475702</v>
      </c>
      <c r="Z108" s="21">
        <v>0.22744624799160601</v>
      </c>
      <c r="AA108" s="22">
        <v>317.651395499535</v>
      </c>
      <c r="AB108" s="22">
        <v>192.83556964816199</v>
      </c>
      <c r="AC108" s="23">
        <v>1.9393939393939401E-2</v>
      </c>
      <c r="AD108" s="21">
        <v>0.68923105452001798</v>
      </c>
      <c r="AE108" s="21">
        <v>0.39642342057559998</v>
      </c>
      <c r="AF108" s="21">
        <v>0.28007195534083001</v>
      </c>
      <c r="AG108" s="22">
        <v>327.554007118215</v>
      </c>
      <c r="AH108" s="23">
        <v>1.0500000000000001E-2</v>
      </c>
      <c r="AI108" s="21">
        <v>0.84870289497221096</v>
      </c>
    </row>
    <row r="109" spans="1:35" x14ac:dyDescent="0.25">
      <c r="B109" s="1">
        <v>16</v>
      </c>
      <c r="C109" s="1">
        <v>2</v>
      </c>
      <c r="D109" s="3">
        <v>168</v>
      </c>
      <c r="E109" s="5">
        <v>3.2690000000000001</v>
      </c>
      <c r="F109" s="1">
        <v>25</v>
      </c>
      <c r="G109" s="1">
        <v>33</v>
      </c>
      <c r="H109" s="4">
        <v>73.386285342529106</v>
      </c>
      <c r="I109" s="1">
        <v>333</v>
      </c>
      <c r="J109" s="29">
        <v>300</v>
      </c>
      <c r="K109" s="22">
        <v>170</v>
      </c>
      <c r="L109" s="29">
        <v>113</v>
      </c>
      <c r="M109" s="5">
        <v>0.38</v>
      </c>
      <c r="N109" s="21">
        <v>0.31886931204355901</v>
      </c>
      <c r="O109" s="22">
        <v>344.14502802905901</v>
      </c>
      <c r="P109" s="22">
        <v>192.83556964816199</v>
      </c>
      <c r="Q109" s="23">
        <v>1.9393939393939401E-2</v>
      </c>
      <c r="R109" s="21">
        <v>0.839129768535682</v>
      </c>
      <c r="S109" s="5">
        <v>0.24027203005259201</v>
      </c>
      <c r="T109" s="22">
        <v>344.14502802905901</v>
      </c>
      <c r="U109" s="22">
        <v>232</v>
      </c>
      <c r="V109" s="23">
        <v>1.57460983498901E-2</v>
      </c>
      <c r="W109" s="21">
        <f t="shared" si="2"/>
        <v>1.1456222543718497</v>
      </c>
      <c r="X109" s="21">
        <f t="shared" si="3"/>
        <v>0.65337423312883436</v>
      </c>
      <c r="Y109" s="21">
        <v>0.63229481592787296</v>
      </c>
      <c r="Z109" s="21">
        <v>0.257284701627982</v>
      </c>
      <c r="AA109" s="22">
        <v>344.14502802905901</v>
      </c>
      <c r="AB109" s="22">
        <v>192.83556964816199</v>
      </c>
      <c r="AC109" s="23">
        <v>1.9393939393939401E-2</v>
      </c>
      <c r="AD109" s="21">
        <v>0.67706500428416405</v>
      </c>
      <c r="AE109" s="21">
        <v>0.42948701349421597</v>
      </c>
      <c r="AF109" s="21">
        <v>0.32873889221541702</v>
      </c>
      <c r="AG109" s="22">
        <v>354.87356440999503</v>
      </c>
      <c r="AH109" s="23">
        <v>1.0500000000000001E-2</v>
      </c>
      <c r="AI109" s="21">
        <v>0.86510234793530805</v>
      </c>
    </row>
    <row r="110" spans="1:35" x14ac:dyDescent="0.25">
      <c r="B110" s="1">
        <v>16</v>
      </c>
      <c r="C110" s="1">
        <v>2</v>
      </c>
      <c r="D110" s="3">
        <v>168</v>
      </c>
      <c r="E110" s="5">
        <v>3.2690000000000001</v>
      </c>
      <c r="F110" s="1">
        <v>25</v>
      </c>
      <c r="G110" s="1">
        <v>33</v>
      </c>
      <c r="H110" s="4">
        <v>73.386285342529106</v>
      </c>
      <c r="I110" s="1">
        <v>333</v>
      </c>
      <c r="J110" s="29">
        <v>300</v>
      </c>
      <c r="K110" s="22">
        <v>170</v>
      </c>
      <c r="L110" s="29">
        <v>113</v>
      </c>
      <c r="M110" s="5">
        <v>0.43</v>
      </c>
      <c r="N110" s="21">
        <v>0.35572336123220999</v>
      </c>
      <c r="O110" s="22">
        <v>370.54792894033199</v>
      </c>
      <c r="P110" s="22">
        <v>192.83556964816199</v>
      </c>
      <c r="Q110" s="23">
        <v>1.9393939393939401E-2</v>
      </c>
      <c r="R110" s="21">
        <v>0.82726363077258303</v>
      </c>
      <c r="S110" s="5">
        <v>0.27121563849860097</v>
      </c>
      <c r="T110" s="22">
        <v>370.54792894033199</v>
      </c>
      <c r="U110" s="22">
        <v>232</v>
      </c>
      <c r="V110" s="23">
        <v>1.57460983498901E-2</v>
      </c>
      <c r="W110" s="21">
        <f t="shared" si="2"/>
        <v>1.1456222543718497</v>
      </c>
      <c r="X110" s="21">
        <f t="shared" si="3"/>
        <v>0.65337423312883436</v>
      </c>
      <c r="Y110" s="21">
        <v>0.63073404302000202</v>
      </c>
      <c r="Z110" s="21">
        <v>0.287020968779303</v>
      </c>
      <c r="AA110" s="22">
        <v>370.54792894033199</v>
      </c>
      <c r="AB110" s="22">
        <v>192.83556964816199</v>
      </c>
      <c r="AC110" s="23">
        <v>1.9393939393939401E-2</v>
      </c>
      <c r="AD110" s="21">
        <v>0.66749062506814605</v>
      </c>
      <c r="AE110" s="21">
        <v>0.46243737493023401</v>
      </c>
      <c r="AF110" s="21">
        <v>0.38111572538496102</v>
      </c>
      <c r="AG110" s="22">
        <v>382.09956157406202</v>
      </c>
      <c r="AH110" s="23">
        <v>1.0500000000000001E-2</v>
      </c>
      <c r="AI110" s="21">
        <v>0.88631564043014199</v>
      </c>
    </row>
    <row r="111" spans="1:35" x14ac:dyDescent="0.25">
      <c r="A111" t="s">
        <v>46</v>
      </c>
      <c r="B111" s="1">
        <v>16</v>
      </c>
      <c r="C111" s="1">
        <v>3</v>
      </c>
      <c r="D111" s="3">
        <v>76</v>
      </c>
      <c r="E111" s="5">
        <v>3.2690000000000001</v>
      </c>
      <c r="F111" s="1">
        <v>25</v>
      </c>
      <c r="G111" s="1">
        <v>33</v>
      </c>
      <c r="H111" s="4">
        <v>87.114505405349803</v>
      </c>
      <c r="I111" s="1">
        <v>333</v>
      </c>
      <c r="J111" s="29">
        <v>300</v>
      </c>
      <c r="K111" s="22">
        <v>172</v>
      </c>
      <c r="L111" s="29">
        <v>113</v>
      </c>
      <c r="M111" s="5">
        <v>0.15</v>
      </c>
      <c r="N111" s="21">
        <v>0.15310623544979499</v>
      </c>
      <c r="O111" s="22">
        <v>233.30469206437201</v>
      </c>
      <c r="P111" s="22">
        <v>135.91660184676101</v>
      </c>
      <c r="Q111" s="23">
        <v>2.9281922513849101E-2</v>
      </c>
      <c r="R111" s="21">
        <v>1.02070823633196</v>
      </c>
      <c r="S111" s="5">
        <v>0.12226734357024099</v>
      </c>
      <c r="T111" s="22">
        <v>233.30469206437201</v>
      </c>
      <c r="U111" s="22">
        <v>178</v>
      </c>
      <c r="V111" s="23">
        <v>2.12389380530973E-2</v>
      </c>
      <c r="W111" s="21">
        <f t="shared" si="2"/>
        <v>1.1550129099346784</v>
      </c>
      <c r="X111" s="21">
        <f t="shared" si="3"/>
        <v>0.64906832298136652</v>
      </c>
      <c r="Y111" s="21">
        <v>0.81511562380160596</v>
      </c>
      <c r="Z111" s="21">
        <v>0.13497830291539201</v>
      </c>
      <c r="AA111" s="22">
        <v>233.30469206437201</v>
      </c>
      <c r="AB111" s="22">
        <v>135.91660184676101</v>
      </c>
      <c r="AC111" s="23">
        <v>2.9281922513849101E-2</v>
      </c>
      <c r="AD111" s="21">
        <v>0.89985535276928197</v>
      </c>
      <c r="AE111" s="21">
        <v>0.19624775636841499</v>
      </c>
      <c r="AF111" s="21">
        <v>0.15248177687827699</v>
      </c>
      <c r="AG111" s="22">
        <v>241.689107009564</v>
      </c>
      <c r="AH111" s="23">
        <v>1.66E-2</v>
      </c>
      <c r="AI111" s="21">
        <v>1.0165451791885101</v>
      </c>
    </row>
    <row r="112" spans="1:35" x14ac:dyDescent="0.25">
      <c r="B112" s="1">
        <v>16</v>
      </c>
      <c r="C112" s="1">
        <v>3</v>
      </c>
      <c r="D112" s="3">
        <v>76</v>
      </c>
      <c r="E112" s="5">
        <v>3.2690000000000001</v>
      </c>
      <c r="F112" s="1">
        <v>25</v>
      </c>
      <c r="G112" s="1">
        <v>33</v>
      </c>
      <c r="H112" s="4">
        <v>87.114505405349803</v>
      </c>
      <c r="I112" s="1">
        <v>333</v>
      </c>
      <c r="J112" s="29">
        <v>300</v>
      </c>
      <c r="K112" s="22">
        <v>172</v>
      </c>
      <c r="L112" s="29">
        <v>113</v>
      </c>
      <c r="M112" s="5">
        <v>0.18</v>
      </c>
      <c r="N112" s="21">
        <v>0.17116484293996001</v>
      </c>
      <c r="O112" s="22">
        <v>251.20389200919999</v>
      </c>
      <c r="P112" s="22">
        <v>135.91660184676101</v>
      </c>
      <c r="Q112" s="23">
        <v>2.9281922513849101E-2</v>
      </c>
      <c r="R112" s="21">
        <v>0.950915794110889</v>
      </c>
      <c r="S112" s="5">
        <v>0.139582863940406</v>
      </c>
      <c r="T112" s="22">
        <v>251.20389200919999</v>
      </c>
      <c r="U112" s="22">
        <v>178</v>
      </c>
      <c r="V112" s="23">
        <v>2.12389380530973E-2</v>
      </c>
      <c r="W112" s="21">
        <f t="shared" si="2"/>
        <v>1.1550129099346784</v>
      </c>
      <c r="X112" s="21">
        <f t="shared" si="3"/>
        <v>0.64906832298136652</v>
      </c>
      <c r="Y112" s="21">
        <v>0.77546035522447798</v>
      </c>
      <c r="Z112" s="21">
        <v>0.15089875308436701</v>
      </c>
      <c r="AA112" s="22">
        <v>251.20389200919999</v>
      </c>
      <c r="AB112" s="22">
        <v>135.91660184676101</v>
      </c>
      <c r="AC112" s="23">
        <v>2.9281922513849101E-2</v>
      </c>
      <c r="AD112" s="21">
        <v>0.83832640602426001</v>
      </c>
      <c r="AE112" s="21">
        <v>0.21130393804603401</v>
      </c>
      <c r="AF112" s="21">
        <v>0.17677617215085001</v>
      </c>
      <c r="AG112" s="22">
        <v>260.23156156790401</v>
      </c>
      <c r="AH112" s="23">
        <v>1.66E-2</v>
      </c>
      <c r="AI112" s="21">
        <v>0.98208984528249899</v>
      </c>
    </row>
    <row r="113" spans="1:35" x14ac:dyDescent="0.25">
      <c r="B113" s="1">
        <v>16</v>
      </c>
      <c r="C113" s="1">
        <v>3</v>
      </c>
      <c r="D113" s="3">
        <v>76</v>
      </c>
      <c r="E113" s="5">
        <v>3.2690000000000001</v>
      </c>
      <c r="F113" s="1">
        <v>25</v>
      </c>
      <c r="G113" s="1">
        <v>33</v>
      </c>
      <c r="H113" s="4">
        <v>87.114505405349803</v>
      </c>
      <c r="I113" s="1">
        <v>333</v>
      </c>
      <c r="J113" s="29">
        <v>300</v>
      </c>
      <c r="K113" s="22">
        <v>172</v>
      </c>
      <c r="L113" s="29">
        <v>113</v>
      </c>
      <c r="M113" s="5">
        <v>0.18</v>
      </c>
      <c r="N113" s="21">
        <v>0.18928550750053899</v>
      </c>
      <c r="O113" s="22">
        <v>269.164601232189</v>
      </c>
      <c r="P113" s="22">
        <v>135.91660184676101</v>
      </c>
      <c r="Q113" s="23">
        <v>2.9281922513849101E-2</v>
      </c>
      <c r="R113" s="21">
        <v>1.0515861527807699</v>
      </c>
      <c r="S113" s="5">
        <v>0.15695788781699799</v>
      </c>
      <c r="T113" s="22">
        <v>269.164601232189</v>
      </c>
      <c r="U113" s="22">
        <v>178</v>
      </c>
      <c r="V113" s="23">
        <v>2.12389380530973E-2</v>
      </c>
      <c r="W113" s="21">
        <f t="shared" si="2"/>
        <v>1.1550129099346784</v>
      </c>
      <c r="X113" s="21">
        <f t="shared" si="3"/>
        <v>0.64906832298136652</v>
      </c>
      <c r="Y113" s="21">
        <v>0.87198826564998699</v>
      </c>
      <c r="Z113" s="21">
        <v>0.16687391270409399</v>
      </c>
      <c r="AA113" s="22">
        <v>269.164601232189</v>
      </c>
      <c r="AB113" s="22">
        <v>135.91660184676101</v>
      </c>
      <c r="AC113" s="23">
        <v>2.9281922513849101E-2</v>
      </c>
      <c r="AD113" s="21">
        <v>0.92707729280052098</v>
      </c>
      <c r="AE113" s="21">
        <v>0.22641185917959</v>
      </c>
      <c r="AF113" s="21">
        <v>0.20295833219562001</v>
      </c>
      <c r="AG113" s="22">
        <v>278.83773590135797</v>
      </c>
      <c r="AH113" s="23">
        <v>1.66E-2</v>
      </c>
      <c r="AI113" s="21">
        <v>1.1275462899756701</v>
      </c>
    </row>
    <row r="114" spans="1:35" x14ac:dyDescent="0.25">
      <c r="B114" s="1">
        <v>16</v>
      </c>
      <c r="C114" s="1">
        <v>3</v>
      </c>
      <c r="D114" s="3">
        <v>76</v>
      </c>
      <c r="E114" s="5">
        <v>3.2690000000000001</v>
      </c>
      <c r="F114" s="1">
        <v>25</v>
      </c>
      <c r="G114" s="1">
        <v>33</v>
      </c>
      <c r="H114" s="4">
        <v>87.114505405349803</v>
      </c>
      <c r="I114" s="1">
        <v>333</v>
      </c>
      <c r="J114" s="29">
        <v>300</v>
      </c>
      <c r="K114" s="22">
        <v>172</v>
      </c>
      <c r="L114" s="29">
        <v>113</v>
      </c>
      <c r="M114" s="5">
        <v>0.2</v>
      </c>
      <c r="N114" s="21">
        <v>0.207406172061117</v>
      </c>
      <c r="O114" s="22">
        <v>287.12531045517801</v>
      </c>
      <c r="P114" s="22">
        <v>135.91660184676101</v>
      </c>
      <c r="Q114" s="23">
        <v>2.9281922513849101E-2</v>
      </c>
      <c r="R114" s="21">
        <v>1.03703086030558</v>
      </c>
      <c r="S114" s="5">
        <v>0.17433291169359</v>
      </c>
      <c r="T114" s="22">
        <v>287.12531045517801</v>
      </c>
      <c r="U114" s="22">
        <v>178</v>
      </c>
      <c r="V114" s="23">
        <v>2.12389380530973E-2</v>
      </c>
      <c r="W114" s="21">
        <f t="shared" si="2"/>
        <v>1.1550129099346784</v>
      </c>
      <c r="X114" s="21">
        <f t="shared" si="3"/>
        <v>0.64906832298136652</v>
      </c>
      <c r="Y114" s="21">
        <v>0.87166455846794699</v>
      </c>
      <c r="Z114" s="21">
        <v>0.182849072323821</v>
      </c>
      <c r="AA114" s="22">
        <v>287.12531045517801</v>
      </c>
      <c r="AB114" s="22">
        <v>135.91660184676101</v>
      </c>
      <c r="AC114" s="23">
        <v>2.9281922513849101E-2</v>
      </c>
      <c r="AD114" s="21">
        <v>0.91424536161910297</v>
      </c>
      <c r="AE114" s="21">
        <v>0.241519780313146</v>
      </c>
      <c r="AF114" s="21">
        <v>0.23094786593615199</v>
      </c>
      <c r="AG114" s="22">
        <v>297.44391023481302</v>
      </c>
      <c r="AH114" s="23">
        <v>1.66E-2</v>
      </c>
      <c r="AI114" s="21">
        <v>1.15473932968076</v>
      </c>
    </row>
    <row r="115" spans="1:35" x14ac:dyDescent="0.25">
      <c r="B115" s="1">
        <v>16</v>
      </c>
      <c r="C115" s="1">
        <v>3</v>
      </c>
      <c r="D115" s="3">
        <v>76</v>
      </c>
      <c r="E115" s="5">
        <v>3.2690000000000001</v>
      </c>
      <c r="F115" s="1">
        <v>25</v>
      </c>
      <c r="G115" s="1">
        <v>33</v>
      </c>
      <c r="H115" s="4">
        <v>87.114505405349803</v>
      </c>
      <c r="I115" s="1">
        <v>333</v>
      </c>
      <c r="J115" s="29">
        <v>300</v>
      </c>
      <c r="K115" s="22">
        <v>172</v>
      </c>
      <c r="L115" s="29">
        <v>113</v>
      </c>
      <c r="M115" s="5">
        <v>0.2</v>
      </c>
      <c r="N115" s="21">
        <v>0.22552683662169501</v>
      </c>
      <c r="O115" s="22">
        <v>305.08601967816702</v>
      </c>
      <c r="P115" s="22">
        <v>135.91660184676101</v>
      </c>
      <c r="Q115" s="23">
        <v>2.9281922513849101E-2</v>
      </c>
      <c r="R115" s="21">
        <v>1.12763418310848</v>
      </c>
      <c r="S115" s="5">
        <v>0.19170793557018101</v>
      </c>
      <c r="T115" s="22">
        <v>305.08601967816702</v>
      </c>
      <c r="U115" s="22">
        <v>178</v>
      </c>
      <c r="V115" s="23">
        <v>2.12389380530973E-2</v>
      </c>
      <c r="W115" s="21">
        <f t="shared" si="2"/>
        <v>1.1550129099346784</v>
      </c>
      <c r="X115" s="21">
        <f t="shared" si="3"/>
        <v>0.64906832298136652</v>
      </c>
      <c r="Y115" s="21">
        <v>0.95853967785090699</v>
      </c>
      <c r="Z115" s="21">
        <v>0.19882423194354801</v>
      </c>
      <c r="AA115" s="22">
        <v>305.08601967816702</v>
      </c>
      <c r="AB115" s="22">
        <v>135.91660184676101</v>
      </c>
      <c r="AC115" s="23">
        <v>2.9281922513849101E-2</v>
      </c>
      <c r="AD115" s="21">
        <v>0.99412115971773796</v>
      </c>
      <c r="AE115" s="21">
        <v>0.25662770144670199</v>
      </c>
      <c r="AF115" s="21">
        <v>0.260744773372447</v>
      </c>
      <c r="AG115" s="22">
        <v>316.05008456826698</v>
      </c>
      <c r="AH115" s="23">
        <v>1.66E-2</v>
      </c>
      <c r="AI115" s="21">
        <v>1.28313850723351</v>
      </c>
    </row>
    <row r="116" spans="1:35" x14ac:dyDescent="0.25">
      <c r="A116" t="s">
        <v>47</v>
      </c>
      <c r="B116" s="1">
        <v>16</v>
      </c>
      <c r="C116" s="1">
        <v>3</v>
      </c>
      <c r="D116" s="3">
        <v>76</v>
      </c>
      <c r="E116" s="5">
        <v>3.2690000000000001</v>
      </c>
      <c r="F116" s="1">
        <v>25</v>
      </c>
      <c r="G116" s="1">
        <v>33</v>
      </c>
      <c r="H116" s="4">
        <v>87.114505405349803</v>
      </c>
      <c r="I116" s="1">
        <v>333</v>
      </c>
      <c r="J116" s="29">
        <v>300</v>
      </c>
      <c r="K116" s="22">
        <v>172</v>
      </c>
      <c r="L116" s="29">
        <v>113</v>
      </c>
      <c r="M116" s="5">
        <v>0.15</v>
      </c>
      <c r="N116" s="21">
        <v>0.17116484293996001</v>
      </c>
      <c r="O116" s="22">
        <v>251.20389200919999</v>
      </c>
      <c r="P116" s="22">
        <v>135.91660184676101</v>
      </c>
      <c r="Q116" s="23">
        <v>2.9281922513849101E-2</v>
      </c>
      <c r="R116" s="21">
        <v>1.14109895293307</v>
      </c>
      <c r="S116" s="5">
        <v>0.139582863940406</v>
      </c>
      <c r="T116" s="22">
        <v>251.20389200919999</v>
      </c>
      <c r="U116" s="22">
        <v>178</v>
      </c>
      <c r="V116" s="23">
        <v>2.12389380530973E-2</v>
      </c>
      <c r="W116" s="21">
        <f t="shared" si="2"/>
        <v>1.1550129099346784</v>
      </c>
      <c r="X116" s="21">
        <f t="shared" si="3"/>
        <v>0.64906832298136652</v>
      </c>
      <c r="Y116" s="21">
        <v>0.93055242626937296</v>
      </c>
      <c r="Z116" s="21">
        <v>0.15089875308436701</v>
      </c>
      <c r="AA116" s="22">
        <v>251.20389200919999</v>
      </c>
      <c r="AB116" s="22">
        <v>135.91660184676101</v>
      </c>
      <c r="AC116" s="23">
        <v>2.9281922513849101E-2</v>
      </c>
      <c r="AD116" s="21">
        <v>1.0059916872291099</v>
      </c>
      <c r="AE116" s="21">
        <v>0.21130393804603401</v>
      </c>
      <c r="AF116" s="21">
        <v>0.17677617215085001</v>
      </c>
      <c r="AG116" s="22">
        <v>260.23156156790401</v>
      </c>
      <c r="AH116" s="23">
        <v>1.66E-2</v>
      </c>
      <c r="AI116" s="21">
        <v>1.178507814339</v>
      </c>
    </row>
    <row r="117" spans="1:35" x14ac:dyDescent="0.25">
      <c r="B117" s="1">
        <v>16</v>
      </c>
      <c r="C117" s="1">
        <v>3</v>
      </c>
      <c r="D117" s="3">
        <v>76</v>
      </c>
      <c r="E117" s="5">
        <v>3.2690000000000001</v>
      </c>
      <c r="F117" s="1">
        <v>25</v>
      </c>
      <c r="G117" s="1">
        <v>33</v>
      </c>
      <c r="H117" s="4">
        <v>87.114505405349803</v>
      </c>
      <c r="I117" s="1">
        <v>333</v>
      </c>
      <c r="J117" s="29">
        <v>300</v>
      </c>
      <c r="K117" s="22">
        <v>172</v>
      </c>
      <c r="L117" s="29">
        <v>113</v>
      </c>
      <c r="M117" s="5">
        <v>0.18</v>
      </c>
      <c r="N117" s="21">
        <v>0.18928550750053899</v>
      </c>
      <c r="O117" s="22">
        <v>269.164601232189</v>
      </c>
      <c r="P117" s="22">
        <v>135.91660184676101</v>
      </c>
      <c r="Q117" s="23">
        <v>2.9281922513849101E-2</v>
      </c>
      <c r="R117" s="21">
        <v>1.0515861527807699</v>
      </c>
      <c r="S117" s="5">
        <v>0.15695788781699799</v>
      </c>
      <c r="T117" s="22">
        <v>269.164601232189</v>
      </c>
      <c r="U117" s="22">
        <v>178</v>
      </c>
      <c r="V117" s="23">
        <v>2.12389380530973E-2</v>
      </c>
      <c r="W117" s="21">
        <f t="shared" si="2"/>
        <v>1.1550129099346784</v>
      </c>
      <c r="X117" s="21">
        <f t="shared" si="3"/>
        <v>0.64906832298136652</v>
      </c>
      <c r="Y117" s="21">
        <v>0.87198826564998699</v>
      </c>
      <c r="Z117" s="21">
        <v>0.16687391270409399</v>
      </c>
      <c r="AA117" s="22">
        <v>269.164601232189</v>
      </c>
      <c r="AB117" s="22">
        <v>135.91660184676101</v>
      </c>
      <c r="AC117" s="23">
        <v>2.9281922513849101E-2</v>
      </c>
      <c r="AD117" s="21">
        <v>0.92707729280052098</v>
      </c>
      <c r="AE117" s="21">
        <v>0.22641185917959</v>
      </c>
      <c r="AF117" s="21">
        <v>0.20295833219562001</v>
      </c>
      <c r="AG117" s="22">
        <v>278.83773590135797</v>
      </c>
      <c r="AH117" s="23">
        <v>1.66E-2</v>
      </c>
      <c r="AI117" s="21">
        <v>1.1275462899756701</v>
      </c>
    </row>
    <row r="118" spans="1:35" x14ac:dyDescent="0.25">
      <c r="B118" s="1">
        <v>16</v>
      </c>
      <c r="C118" s="1">
        <v>3</v>
      </c>
      <c r="D118" s="3">
        <v>76</v>
      </c>
      <c r="E118" s="5">
        <v>3.2690000000000001</v>
      </c>
      <c r="F118" s="1">
        <v>25</v>
      </c>
      <c r="G118" s="1">
        <v>33</v>
      </c>
      <c r="H118" s="4">
        <v>87.114505405349803</v>
      </c>
      <c r="I118" s="1">
        <v>333</v>
      </c>
      <c r="J118" s="29">
        <v>300</v>
      </c>
      <c r="K118" s="22">
        <v>172</v>
      </c>
      <c r="L118" s="29">
        <v>113</v>
      </c>
      <c r="M118" s="5">
        <v>0.2</v>
      </c>
      <c r="N118" s="21">
        <v>0.207406172061117</v>
      </c>
      <c r="O118" s="22">
        <v>287.12531045517801</v>
      </c>
      <c r="P118" s="22">
        <v>135.91660184676101</v>
      </c>
      <c r="Q118" s="23">
        <v>2.9281922513849101E-2</v>
      </c>
      <c r="R118" s="21">
        <v>1.03703086030558</v>
      </c>
      <c r="S118" s="5">
        <v>0.17433291169359</v>
      </c>
      <c r="T118" s="22">
        <v>287.12531045517801</v>
      </c>
      <c r="U118" s="22">
        <v>178</v>
      </c>
      <c r="V118" s="23">
        <v>2.12389380530973E-2</v>
      </c>
      <c r="W118" s="21">
        <f t="shared" si="2"/>
        <v>1.1550129099346784</v>
      </c>
      <c r="X118" s="21">
        <f t="shared" si="3"/>
        <v>0.64906832298136652</v>
      </c>
      <c r="Y118" s="21">
        <v>0.87166455846794699</v>
      </c>
      <c r="Z118" s="21">
        <v>0.182849072323821</v>
      </c>
      <c r="AA118" s="22">
        <v>287.12531045517801</v>
      </c>
      <c r="AB118" s="22">
        <v>135.91660184676101</v>
      </c>
      <c r="AC118" s="23">
        <v>2.9281922513849101E-2</v>
      </c>
      <c r="AD118" s="21">
        <v>0.91424536161910297</v>
      </c>
      <c r="AE118" s="21">
        <v>0.241519780313146</v>
      </c>
      <c r="AF118" s="21">
        <v>0.23094786593615199</v>
      </c>
      <c r="AG118" s="22">
        <v>297.44391023481302</v>
      </c>
      <c r="AH118" s="23">
        <v>1.66E-2</v>
      </c>
      <c r="AI118" s="21">
        <v>1.15473932968076</v>
      </c>
    </row>
    <row r="119" spans="1:35" x14ac:dyDescent="0.25">
      <c r="B119" s="1">
        <v>16</v>
      </c>
      <c r="C119" s="1">
        <v>3</v>
      </c>
      <c r="D119" s="3">
        <v>76</v>
      </c>
      <c r="E119" s="5">
        <v>3.2690000000000001</v>
      </c>
      <c r="F119" s="1">
        <v>25</v>
      </c>
      <c r="G119" s="1">
        <v>33</v>
      </c>
      <c r="H119" s="4">
        <v>87.114505405349803</v>
      </c>
      <c r="I119" s="1">
        <v>333</v>
      </c>
      <c r="J119" s="29">
        <v>300</v>
      </c>
      <c r="K119" s="22">
        <v>172</v>
      </c>
      <c r="L119" s="29">
        <v>113</v>
      </c>
      <c r="M119" s="5">
        <v>0.2</v>
      </c>
      <c r="N119" s="21">
        <v>0.22552683662169501</v>
      </c>
      <c r="O119" s="22">
        <v>305.08601967816702</v>
      </c>
      <c r="P119" s="22">
        <v>135.91660184676101</v>
      </c>
      <c r="Q119" s="23">
        <v>2.9281922513849101E-2</v>
      </c>
      <c r="R119" s="21">
        <v>1.12763418310848</v>
      </c>
      <c r="S119" s="5">
        <v>0.19170793557018101</v>
      </c>
      <c r="T119" s="22">
        <v>305.08601967816702</v>
      </c>
      <c r="U119" s="22">
        <v>178</v>
      </c>
      <c r="V119" s="23">
        <v>2.12389380530973E-2</v>
      </c>
      <c r="W119" s="21">
        <f t="shared" si="2"/>
        <v>1.1550129099346784</v>
      </c>
      <c r="X119" s="21">
        <f t="shared" si="3"/>
        <v>0.64906832298136652</v>
      </c>
      <c r="Y119" s="21">
        <v>0.95853967785090699</v>
      </c>
      <c r="Z119" s="21">
        <v>0.19882423194354801</v>
      </c>
      <c r="AA119" s="22">
        <v>305.08601967816702</v>
      </c>
      <c r="AB119" s="22">
        <v>135.91660184676101</v>
      </c>
      <c r="AC119" s="23">
        <v>2.9281922513849101E-2</v>
      </c>
      <c r="AD119" s="21">
        <v>0.99412115971773796</v>
      </c>
      <c r="AE119" s="21">
        <v>0.25662770144670199</v>
      </c>
      <c r="AF119" s="21">
        <v>0.260744773372447</v>
      </c>
      <c r="AG119" s="22">
        <v>316.05008456826698</v>
      </c>
      <c r="AH119" s="23">
        <v>1.66E-2</v>
      </c>
      <c r="AI119" s="21">
        <v>1.28313850723351</v>
      </c>
    </row>
    <row r="120" spans="1:35" x14ac:dyDescent="0.25">
      <c r="A120" t="s">
        <v>48</v>
      </c>
      <c r="B120" s="1">
        <v>12</v>
      </c>
      <c r="C120" s="1">
        <v>2</v>
      </c>
      <c r="D120" s="3">
        <v>296</v>
      </c>
      <c r="E120" s="5">
        <v>3.2690000000000001</v>
      </c>
      <c r="F120" s="1">
        <v>25</v>
      </c>
      <c r="G120" s="1">
        <v>31</v>
      </c>
      <c r="H120" s="4">
        <v>28.758860606294402</v>
      </c>
      <c r="I120" s="1">
        <v>161</v>
      </c>
      <c r="J120" s="29">
        <v>130</v>
      </c>
      <c r="K120" s="22">
        <v>82</v>
      </c>
      <c r="L120" s="29">
        <v>91</v>
      </c>
      <c r="M120" s="5">
        <v>0.2</v>
      </c>
      <c r="N120" s="21">
        <v>7.1690562907372997E-3</v>
      </c>
      <c r="O120" s="22">
        <v>176.28617352026799</v>
      </c>
      <c r="P120" s="22">
        <v>286.27550543787299</v>
      </c>
      <c r="Q120" s="23">
        <v>1.24772064696725E-2</v>
      </c>
      <c r="R120" s="21">
        <v>3.5845281453686498E-2</v>
      </c>
      <c r="S120" s="5">
        <v>7.2148609668635899E-2</v>
      </c>
      <c r="T120" s="22">
        <v>176.28617352026799</v>
      </c>
      <c r="U120" s="22">
        <v>303</v>
      </c>
      <c r="V120" s="23">
        <v>1.17247911599868E-2</v>
      </c>
      <c r="W120" s="21">
        <f t="shared" si="2"/>
        <v>1.3061996356979695</v>
      </c>
      <c r="X120" s="21">
        <f t="shared" si="3"/>
        <v>0.42405063291139239</v>
      </c>
      <c r="Y120" s="21">
        <v>0.36074304834318</v>
      </c>
      <c r="Z120" s="21">
        <v>0.13142035655526901</v>
      </c>
      <c r="AA120" s="22">
        <v>176.28617352026799</v>
      </c>
      <c r="AB120" s="22">
        <v>286.27550543787299</v>
      </c>
      <c r="AC120" s="23">
        <v>1.24772064696725E-2</v>
      </c>
      <c r="AD120" s="21">
        <v>0.65710178277634701</v>
      </c>
      <c r="AE120" s="21">
        <v>0.242542063772406</v>
      </c>
      <c r="AF120" s="21">
        <v>6.4368016399245206E-2</v>
      </c>
      <c r="AG120" s="22">
        <v>181.32284984641899</v>
      </c>
      <c r="AH120" s="23">
        <v>6.8999999999999999E-3</v>
      </c>
      <c r="AI120" s="21">
        <v>0.32184008199622599</v>
      </c>
    </row>
    <row r="121" spans="1:35" x14ac:dyDescent="0.25">
      <c r="B121" s="1">
        <v>12</v>
      </c>
      <c r="C121" s="1">
        <v>2</v>
      </c>
      <c r="D121" s="3">
        <v>296</v>
      </c>
      <c r="E121" s="5">
        <v>3.2690000000000001</v>
      </c>
      <c r="F121" s="1">
        <v>25</v>
      </c>
      <c r="G121" s="1">
        <v>31</v>
      </c>
      <c r="H121" s="4">
        <v>28.758860606294402</v>
      </c>
      <c r="I121" s="1">
        <v>161</v>
      </c>
      <c r="J121" s="29">
        <v>130</v>
      </c>
      <c r="K121" s="22">
        <v>82</v>
      </c>
      <c r="L121" s="29">
        <v>91</v>
      </c>
      <c r="M121" s="5">
        <v>0.25</v>
      </c>
      <c r="N121" s="21">
        <v>0.11192516701366401</v>
      </c>
      <c r="O121" s="22">
        <v>242.34630278375201</v>
      </c>
      <c r="P121" s="22">
        <v>286.27550543787299</v>
      </c>
      <c r="Q121" s="23">
        <v>1.24772064696725E-2</v>
      </c>
      <c r="R121" s="21">
        <v>0.44770066805465802</v>
      </c>
      <c r="S121" s="5">
        <v>9.9185026568017601E-2</v>
      </c>
      <c r="T121" s="22">
        <v>242.34630278375201</v>
      </c>
      <c r="U121" s="22">
        <v>303</v>
      </c>
      <c r="V121" s="23">
        <v>1.17247911599868E-2</v>
      </c>
      <c r="W121" s="21">
        <f t="shared" si="2"/>
        <v>1.3061996356979695</v>
      </c>
      <c r="X121" s="21">
        <f t="shared" si="3"/>
        <v>0.42405063291139239</v>
      </c>
      <c r="Y121" s="21">
        <v>0.39674010627207101</v>
      </c>
      <c r="Z121" s="21">
        <v>0.18066781350852901</v>
      </c>
      <c r="AA121" s="22">
        <v>242.34630278375201</v>
      </c>
      <c r="AB121" s="22">
        <v>286.27550543787299</v>
      </c>
      <c r="AC121" s="23">
        <v>1.24772064696725E-2</v>
      </c>
      <c r="AD121" s="21">
        <v>0.72267125403411503</v>
      </c>
      <c r="AE121" s="21">
        <v>0.33343041743444302</v>
      </c>
      <c r="AF121" s="21">
        <v>0.121648405518749</v>
      </c>
      <c r="AG121" s="22">
        <v>249.27038458544101</v>
      </c>
      <c r="AH121" s="23">
        <v>6.8999999999999999E-3</v>
      </c>
      <c r="AI121" s="21">
        <v>0.48659362207499701</v>
      </c>
    </row>
    <row r="122" spans="1:35" x14ac:dyDescent="0.25">
      <c r="B122" s="1">
        <v>12</v>
      </c>
      <c r="C122" s="1">
        <v>2</v>
      </c>
      <c r="D122" s="3">
        <v>296</v>
      </c>
      <c r="E122" s="5">
        <v>3.2690000000000001</v>
      </c>
      <c r="F122" s="1">
        <v>25</v>
      </c>
      <c r="G122" s="1">
        <v>31</v>
      </c>
      <c r="H122" s="4">
        <v>28.758860606294402</v>
      </c>
      <c r="I122" s="1">
        <v>161</v>
      </c>
      <c r="J122" s="29">
        <v>130</v>
      </c>
      <c r="K122" s="22">
        <v>82</v>
      </c>
      <c r="L122" s="29">
        <v>91</v>
      </c>
      <c r="M122" s="5">
        <v>0.33</v>
      </c>
      <c r="N122" s="21">
        <v>0.21668127773659199</v>
      </c>
      <c r="O122" s="22">
        <v>308.40643204723602</v>
      </c>
      <c r="P122" s="22">
        <v>286.27550543787299</v>
      </c>
      <c r="Q122" s="23">
        <v>1.24772064696725E-2</v>
      </c>
      <c r="R122" s="21">
        <v>0.65660993253512701</v>
      </c>
      <c r="S122" s="5">
        <v>0.12948602837324</v>
      </c>
      <c r="T122" s="22">
        <v>308.40643204723602</v>
      </c>
      <c r="U122" s="22">
        <v>303</v>
      </c>
      <c r="V122" s="23">
        <v>1.17247911599868E-2</v>
      </c>
      <c r="W122" s="21">
        <f t="shared" si="2"/>
        <v>1.3061996356979695</v>
      </c>
      <c r="X122" s="21">
        <f t="shared" si="3"/>
        <v>0.42405063291139239</v>
      </c>
      <c r="Y122" s="21">
        <v>0.39238190416133201</v>
      </c>
      <c r="Z122" s="21">
        <v>0.229915270461788</v>
      </c>
      <c r="AA122" s="22">
        <v>308.40643204723602</v>
      </c>
      <c r="AB122" s="22">
        <v>286.27550543787299</v>
      </c>
      <c r="AC122" s="23">
        <v>1.24772064696725E-2</v>
      </c>
      <c r="AD122" s="21">
        <v>0.69671294079329804</v>
      </c>
      <c r="AE122" s="21">
        <v>0.42431877109647997</v>
      </c>
      <c r="AF122" s="21">
        <v>0.197006464784174</v>
      </c>
      <c r="AG122" s="22">
        <v>317.21791932446303</v>
      </c>
      <c r="AH122" s="23">
        <v>6.8999999999999999E-3</v>
      </c>
      <c r="AI122" s="21">
        <v>0.59698928722477096</v>
      </c>
    </row>
    <row r="123" spans="1:35" x14ac:dyDescent="0.25">
      <c r="A123" t="s">
        <v>49</v>
      </c>
      <c r="B123" s="1">
        <v>12</v>
      </c>
      <c r="C123" s="1">
        <v>2</v>
      </c>
      <c r="D123" s="3">
        <v>296</v>
      </c>
      <c r="E123" s="5">
        <v>3.2690000000000001</v>
      </c>
      <c r="F123" s="1">
        <v>25</v>
      </c>
      <c r="G123" s="1">
        <v>31</v>
      </c>
      <c r="H123" s="4">
        <v>28.758860606294402</v>
      </c>
      <c r="I123" s="1">
        <v>161</v>
      </c>
      <c r="J123" s="29">
        <v>130</v>
      </c>
      <c r="K123" s="22">
        <v>82</v>
      </c>
      <c r="L123" s="29">
        <v>91</v>
      </c>
      <c r="M123" s="5">
        <v>0.23</v>
      </c>
      <c r="N123" s="21">
        <v>0.11192516701366401</v>
      </c>
      <c r="O123" s="22">
        <v>242.34630278375201</v>
      </c>
      <c r="P123" s="22">
        <v>286.27550543787299</v>
      </c>
      <c r="Q123" s="23">
        <v>1.24772064696725E-2</v>
      </c>
      <c r="R123" s="21">
        <v>0.48663116092897601</v>
      </c>
      <c r="S123" s="5">
        <v>9.9185026568017601E-2</v>
      </c>
      <c r="T123" s="22">
        <v>242.34630278375201</v>
      </c>
      <c r="U123" s="22">
        <v>303</v>
      </c>
      <c r="V123" s="23">
        <v>1.17247911599868E-2</v>
      </c>
      <c r="W123" s="21">
        <f t="shared" si="2"/>
        <v>1.3061996356979695</v>
      </c>
      <c r="X123" s="21">
        <f t="shared" si="3"/>
        <v>0.42405063291139239</v>
      </c>
      <c r="Y123" s="21">
        <v>0.43123924594790303</v>
      </c>
      <c r="Z123" s="21">
        <v>0.18066781350852901</v>
      </c>
      <c r="AA123" s="22">
        <v>242.34630278375201</v>
      </c>
      <c r="AB123" s="22">
        <v>286.27550543787299</v>
      </c>
      <c r="AC123" s="23">
        <v>1.24772064696725E-2</v>
      </c>
      <c r="AD123" s="21">
        <v>0.78551223264577796</v>
      </c>
      <c r="AE123" s="21">
        <v>0.33343041743444302</v>
      </c>
      <c r="AF123" s="21">
        <v>0.121648405518749</v>
      </c>
      <c r="AG123" s="22">
        <v>249.27038458544101</v>
      </c>
      <c r="AH123" s="23">
        <v>6.8999999999999999E-3</v>
      </c>
      <c r="AI123" s="21">
        <v>0.52890611095108397</v>
      </c>
    </row>
    <row r="124" spans="1:35" x14ac:dyDescent="0.25">
      <c r="B124" s="1">
        <v>12</v>
      </c>
      <c r="C124" s="1">
        <v>2</v>
      </c>
      <c r="D124" s="3">
        <v>296</v>
      </c>
      <c r="E124" s="5">
        <v>3.2690000000000001</v>
      </c>
      <c r="F124" s="1">
        <v>25</v>
      </c>
      <c r="G124" s="1">
        <v>31</v>
      </c>
      <c r="H124" s="4">
        <v>28.758860606294402</v>
      </c>
      <c r="I124" s="1">
        <v>161</v>
      </c>
      <c r="J124" s="29">
        <v>130</v>
      </c>
      <c r="K124" s="22">
        <v>82</v>
      </c>
      <c r="L124" s="29">
        <v>91</v>
      </c>
      <c r="M124" s="5">
        <v>0.28000000000000003</v>
      </c>
      <c r="N124" s="21">
        <v>0.21668127773659199</v>
      </c>
      <c r="O124" s="22">
        <v>308.40643204723602</v>
      </c>
      <c r="P124" s="22">
        <v>286.27550543787299</v>
      </c>
      <c r="Q124" s="23">
        <v>1.24772064696725E-2</v>
      </c>
      <c r="R124" s="21">
        <v>0.77386170620211303</v>
      </c>
      <c r="S124" s="5">
        <v>0.12948602837324</v>
      </c>
      <c r="T124" s="22">
        <v>308.40643204723602</v>
      </c>
      <c r="U124" s="22">
        <v>303</v>
      </c>
      <c r="V124" s="23">
        <v>1.17247911599868E-2</v>
      </c>
      <c r="W124" s="21">
        <f t="shared" si="2"/>
        <v>1.3061996356979695</v>
      </c>
      <c r="X124" s="21">
        <f t="shared" si="3"/>
        <v>0.42405063291139239</v>
      </c>
      <c r="Y124" s="21">
        <v>0.46245010133299902</v>
      </c>
      <c r="Z124" s="21">
        <v>0.229915270461788</v>
      </c>
      <c r="AA124" s="22">
        <v>308.40643204723602</v>
      </c>
      <c r="AB124" s="22">
        <v>286.27550543787299</v>
      </c>
      <c r="AC124" s="23">
        <v>1.24772064696725E-2</v>
      </c>
      <c r="AD124" s="21">
        <v>0.82112596593495801</v>
      </c>
      <c r="AE124" s="21">
        <v>0.42431877109647997</v>
      </c>
      <c r="AF124" s="21">
        <v>0.197006464784174</v>
      </c>
      <c r="AG124" s="22">
        <v>317.21791932446303</v>
      </c>
      <c r="AH124" s="23">
        <v>6.8999999999999999E-3</v>
      </c>
      <c r="AI124" s="21">
        <v>0.70359451708633702</v>
      </c>
    </row>
    <row r="125" spans="1:35" x14ac:dyDescent="0.25">
      <c r="A125" t="s">
        <v>50</v>
      </c>
      <c r="B125" s="1">
        <v>12</v>
      </c>
      <c r="C125" s="1">
        <v>3</v>
      </c>
      <c r="D125" s="3">
        <v>142</v>
      </c>
      <c r="E125" s="5">
        <v>3.2690000000000001</v>
      </c>
      <c r="F125" s="1">
        <v>25</v>
      </c>
      <c r="G125" s="1">
        <v>31</v>
      </c>
      <c r="H125" s="4">
        <v>34.253185076506</v>
      </c>
      <c r="I125" s="1">
        <v>161</v>
      </c>
      <c r="J125" s="29">
        <v>130</v>
      </c>
      <c r="K125" s="22">
        <v>82</v>
      </c>
      <c r="L125" s="29">
        <v>91</v>
      </c>
      <c r="M125" s="5">
        <v>0.18</v>
      </c>
      <c r="N125" s="21">
        <v>0.103474462444596</v>
      </c>
      <c r="O125" s="22">
        <v>208.77973928930399</v>
      </c>
      <c r="P125" s="22">
        <v>191.68597451579899</v>
      </c>
      <c r="Q125" s="23">
        <v>1.9527117912145901E-2</v>
      </c>
      <c r="R125" s="21">
        <v>0.57485812469220099</v>
      </c>
      <c r="S125" s="5">
        <v>8.6147565717616198E-2</v>
      </c>
      <c r="T125" s="22">
        <v>208.77973928930399</v>
      </c>
      <c r="U125" s="22">
        <v>303</v>
      </c>
      <c r="V125" s="23">
        <v>1.17247911599868E-2</v>
      </c>
      <c r="W125" s="21">
        <f t="shared" si="2"/>
        <v>1.3237705611906818</v>
      </c>
      <c r="X125" s="21">
        <f t="shared" si="3"/>
        <v>0.42405063291139239</v>
      </c>
      <c r="Y125" s="21">
        <v>0.47859758732009</v>
      </c>
      <c r="Z125" s="21">
        <v>0.118672555494497</v>
      </c>
      <c r="AA125" s="22">
        <v>208.77973928930399</v>
      </c>
      <c r="AB125" s="22">
        <v>191.68597451579899</v>
      </c>
      <c r="AC125" s="23">
        <v>1.9527117912145901E-2</v>
      </c>
      <c r="AD125" s="21">
        <v>0.65929197496942604</v>
      </c>
      <c r="AE125" s="21">
        <v>0.262937479003861</v>
      </c>
      <c r="AF125" s="21">
        <v>9.1097171658443707E-2</v>
      </c>
      <c r="AG125" s="22">
        <v>215.70982177722999</v>
      </c>
      <c r="AH125" s="23">
        <v>7.6E-3</v>
      </c>
      <c r="AI125" s="21">
        <v>0.50609539810246496</v>
      </c>
    </row>
    <row r="126" spans="1:35" x14ac:dyDescent="0.25">
      <c r="B126" s="1">
        <v>12</v>
      </c>
      <c r="C126" s="1">
        <v>3</v>
      </c>
      <c r="D126" s="3">
        <v>142</v>
      </c>
      <c r="E126" s="5">
        <v>3.2690000000000001</v>
      </c>
      <c r="F126" s="1">
        <v>25</v>
      </c>
      <c r="G126" s="1">
        <v>31</v>
      </c>
      <c r="H126" s="4">
        <v>34.253185076506</v>
      </c>
      <c r="I126" s="1">
        <v>161</v>
      </c>
      <c r="J126" s="29">
        <v>130</v>
      </c>
      <c r="K126" s="22">
        <v>82</v>
      </c>
      <c r="L126" s="29">
        <v>91</v>
      </c>
      <c r="M126" s="5">
        <v>0.23</v>
      </c>
      <c r="N126" s="21">
        <v>0.152823893840593</v>
      </c>
      <c r="O126" s="22">
        <v>253.50000168297299</v>
      </c>
      <c r="P126" s="22">
        <v>191.68597451579899</v>
      </c>
      <c r="Q126" s="23">
        <v>1.9527117912145901E-2</v>
      </c>
      <c r="R126" s="21">
        <v>0.66445171235040501</v>
      </c>
      <c r="S126" s="5">
        <v>0.104600226673042</v>
      </c>
      <c r="T126" s="22">
        <v>253.50000168297299</v>
      </c>
      <c r="U126" s="22">
        <v>303</v>
      </c>
      <c r="V126" s="23">
        <v>1.17247911599868E-2</v>
      </c>
      <c r="W126" s="21">
        <f t="shared" si="2"/>
        <v>1.3237705611906818</v>
      </c>
      <c r="X126" s="21">
        <f t="shared" si="3"/>
        <v>0.42405063291139239</v>
      </c>
      <c r="Y126" s="21">
        <v>0.45478359423061698</v>
      </c>
      <c r="Z126" s="21">
        <v>0.14409201352575399</v>
      </c>
      <c r="AA126" s="22">
        <v>253.50000168297299</v>
      </c>
      <c r="AB126" s="22">
        <v>191.68597451579899</v>
      </c>
      <c r="AC126" s="23">
        <v>1.9527117912145901E-2</v>
      </c>
      <c r="AD126" s="21">
        <v>0.62648701532936402</v>
      </c>
      <c r="AE126" s="21">
        <v>0.319258236440428</v>
      </c>
      <c r="AF126" s="21">
        <v>0.13430250855204301</v>
      </c>
      <c r="AG126" s="22">
        <v>261.91449596451901</v>
      </c>
      <c r="AH126" s="23">
        <v>7.6E-3</v>
      </c>
      <c r="AI126" s="21">
        <v>0.58392395022627497</v>
      </c>
    </row>
    <row r="127" spans="1:35" x14ac:dyDescent="0.25">
      <c r="B127" s="1">
        <v>12</v>
      </c>
      <c r="C127" s="1">
        <v>3</v>
      </c>
      <c r="D127" s="3">
        <v>142</v>
      </c>
      <c r="E127" s="5">
        <v>3.2690000000000001</v>
      </c>
      <c r="F127" s="1">
        <v>25</v>
      </c>
      <c r="G127" s="1">
        <v>31</v>
      </c>
      <c r="H127" s="4">
        <v>34.253185076506</v>
      </c>
      <c r="I127" s="1">
        <v>161</v>
      </c>
      <c r="J127" s="29">
        <v>130</v>
      </c>
      <c r="K127" s="22">
        <v>82</v>
      </c>
      <c r="L127" s="29">
        <v>91</v>
      </c>
      <c r="M127" s="5">
        <v>0.25</v>
      </c>
      <c r="N127" s="21">
        <v>0.20217332523659001</v>
      </c>
      <c r="O127" s="22">
        <v>298.22026407664299</v>
      </c>
      <c r="P127" s="22">
        <v>191.68597451579899</v>
      </c>
      <c r="Q127" s="23">
        <v>1.9527117912145901E-2</v>
      </c>
      <c r="R127" s="21">
        <v>0.80869330094636005</v>
      </c>
      <c r="S127" s="5">
        <v>0.123052887628468</v>
      </c>
      <c r="T127" s="22">
        <v>298.22026407664299</v>
      </c>
      <c r="U127" s="22">
        <v>303</v>
      </c>
      <c r="V127" s="23">
        <v>1.17247911599868E-2</v>
      </c>
      <c r="W127" s="21">
        <f t="shared" si="2"/>
        <v>1.3237705611906818</v>
      </c>
      <c r="X127" s="21">
        <f t="shared" si="3"/>
        <v>0.42405063291139239</v>
      </c>
      <c r="Y127" s="21">
        <v>0.492211550513871</v>
      </c>
      <c r="Z127" s="21">
        <v>0.17356283583266199</v>
      </c>
      <c r="AA127" s="22">
        <v>298.22026407664299</v>
      </c>
      <c r="AB127" s="22">
        <v>191.68597451579899</v>
      </c>
      <c r="AC127" s="23">
        <v>1.9527117912145901E-2</v>
      </c>
      <c r="AD127" s="21">
        <v>0.69425134333064598</v>
      </c>
      <c r="AE127" s="21">
        <v>0.375578993876996</v>
      </c>
      <c r="AF127" s="21">
        <v>0.185867086967345</v>
      </c>
      <c r="AG127" s="22">
        <v>308.11917015180899</v>
      </c>
      <c r="AH127" s="23">
        <v>7.6E-3</v>
      </c>
      <c r="AI127" s="21">
        <v>0.74346834786937999</v>
      </c>
    </row>
    <row r="128" spans="1:35" x14ac:dyDescent="0.25">
      <c r="A128" t="s">
        <v>51</v>
      </c>
      <c r="B128" s="1">
        <v>12</v>
      </c>
      <c r="C128" s="1">
        <v>3</v>
      </c>
      <c r="D128" s="3">
        <v>142</v>
      </c>
      <c r="E128" s="5">
        <v>3.2690000000000001</v>
      </c>
      <c r="F128" s="1">
        <v>25</v>
      </c>
      <c r="G128" s="1">
        <v>31</v>
      </c>
      <c r="H128" s="4">
        <v>34.253185076506</v>
      </c>
      <c r="I128" s="1">
        <v>161</v>
      </c>
      <c r="J128" s="29">
        <v>130</v>
      </c>
      <c r="K128" s="22">
        <v>82</v>
      </c>
      <c r="L128" s="29">
        <v>91</v>
      </c>
      <c r="M128" s="5">
        <v>0.18</v>
      </c>
      <c r="N128" s="21">
        <v>0.103474462444596</v>
      </c>
      <c r="O128" s="22">
        <v>208.77973928930399</v>
      </c>
      <c r="P128" s="22">
        <v>191.68597451579899</v>
      </c>
      <c r="Q128" s="23">
        <v>1.9527117912145901E-2</v>
      </c>
      <c r="R128" s="21">
        <v>0.57485812469220099</v>
      </c>
      <c r="S128" s="5">
        <v>8.6147565717616198E-2</v>
      </c>
      <c r="T128" s="22">
        <v>208.77973928930399</v>
      </c>
      <c r="U128" s="22">
        <v>303</v>
      </c>
      <c r="V128" s="23">
        <v>1.17247911599868E-2</v>
      </c>
      <c r="W128" s="21">
        <f t="shared" si="2"/>
        <v>1.3237705611906818</v>
      </c>
      <c r="X128" s="21">
        <f t="shared" si="3"/>
        <v>0.42405063291139239</v>
      </c>
      <c r="Y128" s="21">
        <v>0.47859758732009</v>
      </c>
      <c r="Z128" s="21">
        <v>0.118672555494497</v>
      </c>
      <c r="AA128" s="22">
        <v>208.77973928930399</v>
      </c>
      <c r="AB128" s="22">
        <v>191.68597451579899</v>
      </c>
      <c r="AC128" s="23">
        <v>1.9527117912145901E-2</v>
      </c>
      <c r="AD128" s="21">
        <v>0.65929197496942604</v>
      </c>
      <c r="AE128" s="21">
        <v>0.262937479003861</v>
      </c>
      <c r="AF128" s="21">
        <v>9.1097171658443707E-2</v>
      </c>
      <c r="AG128" s="22">
        <v>215.70982177722999</v>
      </c>
      <c r="AH128" s="23">
        <v>7.6E-3</v>
      </c>
      <c r="AI128" s="21">
        <v>0.50609539810246496</v>
      </c>
    </row>
    <row r="129" spans="1:35" x14ac:dyDescent="0.25">
      <c r="B129" s="1">
        <v>12</v>
      </c>
      <c r="C129" s="1">
        <v>3</v>
      </c>
      <c r="D129" s="3">
        <v>142</v>
      </c>
      <c r="E129" s="5">
        <v>3.2690000000000001</v>
      </c>
      <c r="F129" s="1">
        <v>25</v>
      </c>
      <c r="G129" s="1">
        <v>31</v>
      </c>
      <c r="H129" s="4">
        <v>34.253185076506</v>
      </c>
      <c r="I129" s="1">
        <v>161</v>
      </c>
      <c r="J129" s="29">
        <v>130</v>
      </c>
      <c r="K129" s="22">
        <v>82</v>
      </c>
      <c r="L129" s="29">
        <v>91</v>
      </c>
      <c r="M129" s="5">
        <v>0.23</v>
      </c>
      <c r="N129" s="21">
        <v>0.152823893840593</v>
      </c>
      <c r="O129" s="22">
        <v>253.50000168297299</v>
      </c>
      <c r="P129" s="22">
        <v>191.68597451579899</v>
      </c>
      <c r="Q129" s="23">
        <v>1.9527117912145901E-2</v>
      </c>
      <c r="R129" s="21">
        <v>0.66445171235040501</v>
      </c>
      <c r="S129" s="5">
        <v>0.104600226673042</v>
      </c>
      <c r="T129" s="22">
        <v>253.50000168297299</v>
      </c>
      <c r="U129" s="22">
        <v>303</v>
      </c>
      <c r="V129" s="23">
        <v>1.17247911599868E-2</v>
      </c>
      <c r="W129" s="21">
        <f t="shared" si="2"/>
        <v>1.3237705611906818</v>
      </c>
      <c r="X129" s="21">
        <f t="shared" si="3"/>
        <v>0.42405063291139239</v>
      </c>
      <c r="Y129" s="21">
        <v>0.45478359423061698</v>
      </c>
      <c r="Z129" s="21">
        <v>0.14409201352575399</v>
      </c>
      <c r="AA129" s="22">
        <v>253.50000168297299</v>
      </c>
      <c r="AB129" s="22">
        <v>191.68597451579899</v>
      </c>
      <c r="AC129" s="23">
        <v>1.9527117912145901E-2</v>
      </c>
      <c r="AD129" s="21">
        <v>0.62648701532936402</v>
      </c>
      <c r="AE129" s="21">
        <v>0.319258236440428</v>
      </c>
      <c r="AF129" s="21">
        <v>0.13430250855204301</v>
      </c>
      <c r="AG129" s="22">
        <v>261.91449596451901</v>
      </c>
      <c r="AH129" s="23">
        <v>7.6E-3</v>
      </c>
      <c r="AI129" s="21">
        <v>0.58392395022627497</v>
      </c>
    </row>
    <row r="130" spans="1:35" x14ac:dyDescent="0.25">
      <c r="B130" s="1">
        <v>12</v>
      </c>
      <c r="C130" s="1">
        <v>3</v>
      </c>
      <c r="D130" s="3">
        <v>142</v>
      </c>
      <c r="E130" s="5">
        <v>3.2690000000000001</v>
      </c>
      <c r="F130" s="1">
        <v>25</v>
      </c>
      <c r="G130" s="1">
        <v>31</v>
      </c>
      <c r="H130" s="4">
        <v>34.253185076506</v>
      </c>
      <c r="I130" s="1">
        <v>161</v>
      </c>
      <c r="J130" s="29">
        <v>130</v>
      </c>
      <c r="K130" s="22">
        <v>82</v>
      </c>
      <c r="L130" s="29">
        <v>91</v>
      </c>
      <c r="M130" s="5">
        <v>0.25</v>
      </c>
      <c r="N130" s="21">
        <v>0.20217332523659001</v>
      </c>
      <c r="O130" s="22">
        <v>298.22026407664299</v>
      </c>
      <c r="P130" s="22">
        <v>191.68597451579899</v>
      </c>
      <c r="Q130" s="23">
        <v>1.9527117912145901E-2</v>
      </c>
      <c r="R130" s="21">
        <v>0.80869330094636005</v>
      </c>
      <c r="S130" s="5">
        <v>0.123052887628468</v>
      </c>
      <c r="T130" s="22">
        <v>298.22026407664299</v>
      </c>
      <c r="U130" s="22">
        <v>303</v>
      </c>
      <c r="V130" s="23">
        <v>1.17247911599868E-2</v>
      </c>
      <c r="W130" s="21">
        <f t="shared" ref="W130:W193" si="4">(I130-H130)/(J130-H130)</f>
        <v>1.3237705611906818</v>
      </c>
      <c r="X130" s="21">
        <f t="shared" ref="X130:X193" si="5">0.5*(1+(I130-K130-L130)/(I130-K130))</f>
        <v>0.42405063291139239</v>
      </c>
      <c r="Y130" s="21">
        <v>0.492211550513871</v>
      </c>
      <c r="Z130" s="21">
        <v>0.17356283583266199</v>
      </c>
      <c r="AA130" s="22">
        <v>298.22026407664299</v>
      </c>
      <c r="AB130" s="22">
        <v>191.68597451579899</v>
      </c>
      <c r="AC130" s="23">
        <v>1.9527117912145901E-2</v>
      </c>
      <c r="AD130" s="21">
        <v>0.69425134333064598</v>
      </c>
      <c r="AE130" s="21">
        <v>0.375578993876996</v>
      </c>
      <c r="AF130" s="21">
        <v>0.185867086967345</v>
      </c>
      <c r="AG130" s="22">
        <v>308.11917015180899</v>
      </c>
      <c r="AH130" s="23">
        <v>7.6E-3</v>
      </c>
      <c r="AI130" s="21">
        <v>0.74346834786937999</v>
      </c>
    </row>
    <row r="131" spans="1:35" x14ac:dyDescent="0.25">
      <c r="A131" t="s">
        <v>52</v>
      </c>
      <c r="B131" s="1">
        <v>12</v>
      </c>
      <c r="C131" s="1">
        <v>4</v>
      </c>
      <c r="D131" s="3">
        <v>90.67</v>
      </c>
      <c r="E131" s="5">
        <v>3.2690000000000001</v>
      </c>
      <c r="F131" s="1">
        <v>25</v>
      </c>
      <c r="G131" s="1">
        <v>31</v>
      </c>
      <c r="H131" s="4">
        <v>38.636261189159299</v>
      </c>
      <c r="I131" s="1">
        <v>161</v>
      </c>
      <c r="J131" s="29">
        <v>130</v>
      </c>
      <c r="K131" s="22">
        <v>83</v>
      </c>
      <c r="L131" s="29">
        <v>91</v>
      </c>
      <c r="M131" s="5">
        <v>0.15</v>
      </c>
      <c r="N131" s="21">
        <v>0.120790775953349</v>
      </c>
      <c r="O131" s="22">
        <v>226.45530266576</v>
      </c>
      <c r="P131" s="22">
        <v>145.49201841259799</v>
      </c>
      <c r="Q131" s="23">
        <v>2.6968773854657999E-2</v>
      </c>
      <c r="R131" s="21">
        <v>0.80527183968899396</v>
      </c>
      <c r="S131" s="5">
        <v>9.2384993595776899E-2</v>
      </c>
      <c r="T131" s="22">
        <v>226.45530266576</v>
      </c>
      <c r="U131" s="22">
        <v>295</v>
      </c>
      <c r="V131" s="23">
        <v>1.20879120879121E-2</v>
      </c>
      <c r="W131" s="21">
        <f t="shared" si="4"/>
        <v>1.3393031021221924</v>
      </c>
      <c r="X131" s="21">
        <f t="shared" si="5"/>
        <v>0.41666666666666669</v>
      </c>
      <c r="Y131" s="21">
        <v>0.61589995730517899</v>
      </c>
      <c r="Z131" s="21">
        <v>0.11177549980360001</v>
      </c>
      <c r="AA131" s="22">
        <v>226.45530266576</v>
      </c>
      <c r="AB131" s="22">
        <v>145.49201841259799</v>
      </c>
      <c r="AC131" s="23">
        <v>2.6968773854657999E-2</v>
      </c>
      <c r="AD131" s="21">
        <v>0.74516999869066902</v>
      </c>
      <c r="AE131" s="21">
        <v>0.23113702289701099</v>
      </c>
      <c r="AF131" s="21">
        <v>0.107884330678079</v>
      </c>
      <c r="AG131" s="22">
        <v>234.74516667902401</v>
      </c>
      <c r="AH131" s="23">
        <v>9.5999999999999992E-3</v>
      </c>
      <c r="AI131" s="21">
        <v>0.71922887118719503</v>
      </c>
    </row>
    <row r="132" spans="1:35" x14ac:dyDescent="0.25">
      <c r="B132" s="1">
        <v>12</v>
      </c>
      <c r="C132" s="1">
        <v>4</v>
      </c>
      <c r="D132" s="3">
        <v>90.67</v>
      </c>
      <c r="E132" s="5">
        <v>3.2690000000000001</v>
      </c>
      <c r="F132" s="1">
        <v>25</v>
      </c>
      <c r="G132" s="1">
        <v>31</v>
      </c>
      <c r="H132" s="4">
        <v>38.636261189159299</v>
      </c>
      <c r="I132" s="1">
        <v>161</v>
      </c>
      <c r="J132" s="29">
        <v>130</v>
      </c>
      <c r="K132" s="22">
        <v>83</v>
      </c>
      <c r="L132" s="29">
        <v>91</v>
      </c>
      <c r="M132" s="5">
        <v>0.15</v>
      </c>
      <c r="N132" s="21">
        <v>0.15026678983333899</v>
      </c>
      <c r="O132" s="22">
        <v>260.41389561049601</v>
      </c>
      <c r="P132" s="22">
        <v>145.49201841259799</v>
      </c>
      <c r="Q132" s="23">
        <v>2.6968773854657999E-2</v>
      </c>
      <c r="R132" s="21">
        <v>1.0017785988889201</v>
      </c>
      <c r="S132" s="5">
        <v>0.106238784409197</v>
      </c>
      <c r="T132" s="22">
        <v>260.41389561049601</v>
      </c>
      <c r="U132" s="22">
        <v>295</v>
      </c>
      <c r="V132" s="23">
        <v>1.20879120879121E-2</v>
      </c>
      <c r="W132" s="21">
        <f t="shared" si="4"/>
        <v>1.3393031021221924</v>
      </c>
      <c r="X132" s="21">
        <f t="shared" si="5"/>
        <v>0.41666666666666669</v>
      </c>
      <c r="Y132" s="21">
        <v>0.70825856272797805</v>
      </c>
      <c r="Z132" s="21">
        <v>0.13905155757912199</v>
      </c>
      <c r="AA132" s="22">
        <v>260.41389561049601</v>
      </c>
      <c r="AB132" s="22">
        <v>145.49201841259799</v>
      </c>
      <c r="AC132" s="23">
        <v>2.6968773854657999E-2</v>
      </c>
      <c r="AD132" s="21">
        <v>0.92701038386081502</v>
      </c>
      <c r="AE132" s="21">
        <v>0.26579767328859399</v>
      </c>
      <c r="AF132" s="21">
        <v>0.142666396244713</v>
      </c>
      <c r="AG132" s="22">
        <v>269.94688404734399</v>
      </c>
      <c r="AH132" s="23">
        <v>9.5999999999999992E-3</v>
      </c>
      <c r="AI132" s="21">
        <v>0.95110930829808904</v>
      </c>
    </row>
    <row r="133" spans="1:35" x14ac:dyDescent="0.25">
      <c r="B133" s="1">
        <v>12</v>
      </c>
      <c r="C133" s="1">
        <v>4</v>
      </c>
      <c r="D133" s="3">
        <v>90.67</v>
      </c>
      <c r="E133" s="5">
        <v>3.2690000000000001</v>
      </c>
      <c r="F133" s="1">
        <v>25</v>
      </c>
      <c r="G133" s="1">
        <v>31</v>
      </c>
      <c r="H133" s="4">
        <v>38.636261189159299</v>
      </c>
      <c r="I133" s="1">
        <v>161</v>
      </c>
      <c r="J133" s="29">
        <v>130</v>
      </c>
      <c r="K133" s="22">
        <v>83</v>
      </c>
      <c r="L133" s="29">
        <v>91</v>
      </c>
      <c r="M133" s="5">
        <v>0.18</v>
      </c>
      <c r="N133" s="21">
        <v>0.17974280371332799</v>
      </c>
      <c r="O133" s="22">
        <v>294.37248855523302</v>
      </c>
      <c r="P133" s="22">
        <v>145.49201841259799</v>
      </c>
      <c r="Q133" s="23">
        <v>2.6968773854657999E-2</v>
      </c>
      <c r="R133" s="21">
        <v>0.99857113174071199</v>
      </c>
      <c r="S133" s="5">
        <v>0.120092575222617</v>
      </c>
      <c r="T133" s="22">
        <v>294.37248855523302</v>
      </c>
      <c r="U133" s="22">
        <v>295</v>
      </c>
      <c r="V133" s="23">
        <v>1.20879120879121E-2</v>
      </c>
      <c r="W133" s="21">
        <f t="shared" si="4"/>
        <v>1.3393031021221924</v>
      </c>
      <c r="X133" s="21">
        <f t="shared" si="5"/>
        <v>0.41666666666666669</v>
      </c>
      <c r="Y133" s="21">
        <v>0.66718097345898097</v>
      </c>
      <c r="Z133" s="21">
        <v>0.16632761535464399</v>
      </c>
      <c r="AA133" s="22">
        <v>294.37248855523302</v>
      </c>
      <c r="AB133" s="22">
        <v>145.49201841259799</v>
      </c>
      <c r="AC133" s="23">
        <v>2.6968773854657999E-2</v>
      </c>
      <c r="AD133" s="21">
        <v>0.92404230752580196</v>
      </c>
      <c r="AE133" s="21">
        <v>0.300458323680177</v>
      </c>
      <c r="AF133" s="21">
        <v>0.18230048371183399</v>
      </c>
      <c r="AG133" s="22">
        <v>305.14860141566299</v>
      </c>
      <c r="AH133" s="23">
        <v>9.5999999999999992E-3</v>
      </c>
      <c r="AI133" s="21">
        <v>1.0127804650657499</v>
      </c>
    </row>
    <row r="134" spans="1:35" x14ac:dyDescent="0.25">
      <c r="A134" t="s">
        <v>53</v>
      </c>
      <c r="B134" s="1">
        <v>12</v>
      </c>
      <c r="C134" s="1">
        <v>4</v>
      </c>
      <c r="D134" s="3">
        <v>90.67</v>
      </c>
      <c r="E134" s="5">
        <v>3.2690000000000001</v>
      </c>
      <c r="F134" s="1">
        <v>25</v>
      </c>
      <c r="G134" s="1">
        <v>31</v>
      </c>
      <c r="H134" s="4">
        <v>38.636261189159299</v>
      </c>
      <c r="I134" s="1">
        <v>161</v>
      </c>
      <c r="J134" s="29">
        <v>130</v>
      </c>
      <c r="K134" s="22">
        <v>83</v>
      </c>
      <c r="L134" s="29">
        <v>91</v>
      </c>
      <c r="M134" s="5">
        <v>0.18</v>
      </c>
      <c r="N134" s="21">
        <v>0.120790775953349</v>
      </c>
      <c r="O134" s="22">
        <v>226.45530266576</v>
      </c>
      <c r="P134" s="22">
        <v>145.49201841259799</v>
      </c>
      <c r="Q134" s="23">
        <v>2.6968773854657999E-2</v>
      </c>
      <c r="R134" s="21">
        <v>0.67105986640749504</v>
      </c>
      <c r="S134" s="5">
        <v>9.2384993595776899E-2</v>
      </c>
      <c r="T134" s="22">
        <v>226.45530266576</v>
      </c>
      <c r="U134" s="22">
        <v>295</v>
      </c>
      <c r="V134" s="23">
        <v>1.20879120879121E-2</v>
      </c>
      <c r="W134" s="21">
        <f t="shared" si="4"/>
        <v>1.3393031021221924</v>
      </c>
      <c r="X134" s="21">
        <f t="shared" si="5"/>
        <v>0.41666666666666669</v>
      </c>
      <c r="Y134" s="21">
        <v>0.51324996442098303</v>
      </c>
      <c r="Z134" s="21">
        <v>0.11177549980360001</v>
      </c>
      <c r="AA134" s="22">
        <v>226.45530266576</v>
      </c>
      <c r="AB134" s="22">
        <v>145.49201841259799</v>
      </c>
      <c r="AC134" s="23">
        <v>2.6968773854657999E-2</v>
      </c>
      <c r="AD134" s="21">
        <v>0.62097499890889096</v>
      </c>
      <c r="AE134" s="21">
        <v>0.23113702289701099</v>
      </c>
      <c r="AF134" s="21">
        <v>0.107884330678079</v>
      </c>
      <c r="AG134" s="22">
        <v>234.74516667902401</v>
      </c>
      <c r="AH134" s="23">
        <v>9.5999999999999992E-3</v>
      </c>
      <c r="AI134" s="21">
        <v>0.59935739265599597</v>
      </c>
    </row>
    <row r="135" spans="1:35" x14ac:dyDescent="0.25">
      <c r="B135" s="1">
        <v>12</v>
      </c>
      <c r="C135" s="1">
        <v>4</v>
      </c>
      <c r="D135" s="3">
        <v>90.67</v>
      </c>
      <c r="E135" s="5">
        <v>3.2690000000000001</v>
      </c>
      <c r="F135" s="1">
        <v>25</v>
      </c>
      <c r="G135" s="1">
        <v>31</v>
      </c>
      <c r="H135" s="4">
        <v>38.636261189159299</v>
      </c>
      <c r="I135" s="1">
        <v>161</v>
      </c>
      <c r="J135" s="29">
        <v>130</v>
      </c>
      <c r="K135" s="22">
        <v>83</v>
      </c>
      <c r="L135" s="29">
        <v>91</v>
      </c>
      <c r="M135" s="5">
        <v>0.2</v>
      </c>
      <c r="N135" s="21">
        <v>0.15026678983333899</v>
      </c>
      <c r="O135" s="22">
        <v>260.41389561049601</v>
      </c>
      <c r="P135" s="22">
        <v>145.49201841259799</v>
      </c>
      <c r="Q135" s="23">
        <v>2.6968773854657999E-2</v>
      </c>
      <c r="R135" s="21">
        <v>0.75133394916669305</v>
      </c>
      <c r="S135" s="5">
        <v>0.106238784409197</v>
      </c>
      <c r="T135" s="22">
        <v>260.41389561049601</v>
      </c>
      <c r="U135" s="22">
        <v>295</v>
      </c>
      <c r="V135" s="23">
        <v>1.20879120879121E-2</v>
      </c>
      <c r="W135" s="21">
        <f t="shared" si="4"/>
        <v>1.3393031021221924</v>
      </c>
      <c r="X135" s="21">
        <f t="shared" si="5"/>
        <v>0.41666666666666669</v>
      </c>
      <c r="Y135" s="21">
        <v>0.53119392204598403</v>
      </c>
      <c r="Z135" s="21">
        <v>0.13905155757912199</v>
      </c>
      <c r="AA135" s="22">
        <v>260.41389561049601</v>
      </c>
      <c r="AB135" s="22">
        <v>145.49201841259799</v>
      </c>
      <c r="AC135" s="23">
        <v>2.6968773854657999E-2</v>
      </c>
      <c r="AD135" s="21">
        <v>0.69525778789561099</v>
      </c>
      <c r="AE135" s="21">
        <v>0.26579767328859399</v>
      </c>
      <c r="AF135" s="21">
        <v>0.142666396244713</v>
      </c>
      <c r="AG135" s="22">
        <v>269.94688404734399</v>
      </c>
      <c r="AH135" s="23">
        <v>9.5999999999999992E-3</v>
      </c>
      <c r="AI135" s="21">
        <v>0.713331981223567</v>
      </c>
    </row>
    <row r="136" spans="1:35" x14ac:dyDescent="0.25">
      <c r="B136" s="1">
        <v>12</v>
      </c>
      <c r="C136" s="1">
        <v>4</v>
      </c>
      <c r="D136" s="3">
        <v>90.67</v>
      </c>
      <c r="E136" s="5">
        <v>3.2690000000000001</v>
      </c>
      <c r="F136" s="1">
        <v>25</v>
      </c>
      <c r="G136" s="1">
        <v>31</v>
      </c>
      <c r="H136" s="4">
        <v>38.636261189159299</v>
      </c>
      <c r="I136" s="1">
        <v>161</v>
      </c>
      <c r="J136" s="29">
        <v>130</v>
      </c>
      <c r="K136" s="22">
        <v>83</v>
      </c>
      <c r="L136" s="29">
        <v>91</v>
      </c>
      <c r="M136" s="5">
        <v>0.23</v>
      </c>
      <c r="N136" s="21">
        <v>0.17974280371332799</v>
      </c>
      <c r="O136" s="22">
        <v>294.37248855523302</v>
      </c>
      <c r="P136" s="22">
        <v>145.49201841259799</v>
      </c>
      <c r="Q136" s="23">
        <v>2.6968773854657999E-2</v>
      </c>
      <c r="R136" s="21">
        <v>0.78149045092751401</v>
      </c>
      <c r="S136" s="5">
        <v>0.120092575222617</v>
      </c>
      <c r="T136" s="22">
        <v>294.37248855523302</v>
      </c>
      <c r="U136" s="22">
        <v>295</v>
      </c>
      <c r="V136" s="23">
        <v>1.20879120879121E-2</v>
      </c>
      <c r="W136" s="21">
        <f t="shared" si="4"/>
        <v>1.3393031021221924</v>
      </c>
      <c r="X136" s="21">
        <f t="shared" si="5"/>
        <v>0.41666666666666669</v>
      </c>
      <c r="Y136" s="21">
        <v>0.52214163140268099</v>
      </c>
      <c r="Z136" s="21">
        <v>0.16632761535464399</v>
      </c>
      <c r="AA136" s="22">
        <v>294.37248855523302</v>
      </c>
      <c r="AB136" s="22">
        <v>145.49201841259799</v>
      </c>
      <c r="AC136" s="23">
        <v>2.6968773854657999E-2</v>
      </c>
      <c r="AD136" s="21">
        <v>0.72316354502019298</v>
      </c>
      <c r="AE136" s="21">
        <v>0.300458323680177</v>
      </c>
      <c r="AF136" s="21">
        <v>0.18230048371183399</v>
      </c>
      <c r="AG136" s="22">
        <v>305.14860141566299</v>
      </c>
      <c r="AH136" s="23">
        <v>9.5999999999999992E-3</v>
      </c>
      <c r="AI136" s="21">
        <v>0.79261079874710605</v>
      </c>
    </row>
    <row r="137" spans="1:35" x14ac:dyDescent="0.25">
      <c r="A137" t="s">
        <v>54</v>
      </c>
      <c r="B137" s="1">
        <v>10</v>
      </c>
      <c r="C137" s="1">
        <v>1</v>
      </c>
      <c r="D137" s="3">
        <v>45</v>
      </c>
      <c r="E137" s="5">
        <v>2.8</v>
      </c>
      <c r="F137" s="1">
        <v>40</v>
      </c>
      <c r="G137" s="1">
        <v>45</v>
      </c>
      <c r="H137" s="4">
        <v>43.4459689087927</v>
      </c>
      <c r="I137" s="1">
        <v>250</v>
      </c>
      <c r="J137" s="29">
        <v>205</v>
      </c>
      <c r="K137" s="22">
        <v>127</v>
      </c>
      <c r="L137" s="29">
        <v>95</v>
      </c>
      <c r="M137" s="5">
        <v>0.16</v>
      </c>
      <c r="N137" s="21">
        <v>0.16512721124267701</v>
      </c>
      <c r="O137" s="22">
        <v>274.14363221273101</v>
      </c>
      <c r="P137" s="22">
        <v>266.42161994155299</v>
      </c>
      <c r="Q137" s="23">
        <v>1.14013751634802E-2</v>
      </c>
      <c r="R137" s="21">
        <v>1.0320450702667301</v>
      </c>
      <c r="S137" s="5">
        <v>0.16285127956433501</v>
      </c>
      <c r="T137" s="22">
        <v>274.14363221273101</v>
      </c>
      <c r="U137" s="22">
        <v>360</v>
      </c>
      <c r="V137" s="23">
        <v>8.2631578947368403E-3</v>
      </c>
      <c r="W137" s="21">
        <f t="shared" si="4"/>
        <v>1.2785445816241794</v>
      </c>
      <c r="X137" s="21">
        <f t="shared" si="5"/>
        <v>0.61382113821138207</v>
      </c>
      <c r="Y137" s="21">
        <v>1.0178204972770899</v>
      </c>
      <c r="Z137" s="21">
        <v>0.209356261929807</v>
      </c>
      <c r="AA137" s="22">
        <v>274.14363221273101</v>
      </c>
      <c r="AB137" s="22">
        <v>266.42161994155299</v>
      </c>
      <c r="AC137" s="23">
        <v>1.14013751634802E-2</v>
      </c>
      <c r="AD137" s="21">
        <v>1.3084766370612899</v>
      </c>
      <c r="AE137" s="21">
        <v>0.231875216932936</v>
      </c>
      <c r="AF137" s="21">
        <v>0.134918611549185</v>
      </c>
      <c r="AG137" s="22">
        <v>281.65962364336298</v>
      </c>
      <c r="AH137" s="23">
        <v>8.3999999999999995E-3</v>
      </c>
      <c r="AI137" s="21">
        <v>0.84324132218240799</v>
      </c>
    </row>
    <row r="138" spans="1:35" x14ac:dyDescent="0.25">
      <c r="B138" s="1">
        <v>10</v>
      </c>
      <c r="C138" s="1">
        <v>1</v>
      </c>
      <c r="D138" s="3">
        <v>45</v>
      </c>
      <c r="E138" s="5">
        <v>2.8</v>
      </c>
      <c r="F138" s="1">
        <v>40</v>
      </c>
      <c r="G138" s="1">
        <v>45</v>
      </c>
      <c r="H138" s="4">
        <v>43.4459689087927</v>
      </c>
      <c r="I138" s="1">
        <v>250</v>
      </c>
      <c r="J138" s="29">
        <v>205</v>
      </c>
      <c r="K138" s="22">
        <v>127</v>
      </c>
      <c r="L138" s="29">
        <v>95</v>
      </c>
      <c r="M138" s="5">
        <v>0.18</v>
      </c>
      <c r="N138" s="21">
        <v>0.19410888513240501</v>
      </c>
      <c r="O138" s="22">
        <v>294.202922374639</v>
      </c>
      <c r="P138" s="22">
        <v>266.42161994155299</v>
      </c>
      <c r="Q138" s="23">
        <v>1.14013751634802E-2</v>
      </c>
      <c r="R138" s="21">
        <v>1.0783826951800299</v>
      </c>
      <c r="S138" s="5">
        <v>0.17476722684953</v>
      </c>
      <c r="T138" s="22">
        <v>294.202922374639</v>
      </c>
      <c r="U138" s="22">
        <v>360</v>
      </c>
      <c r="V138" s="23">
        <v>8.2631578947368403E-3</v>
      </c>
      <c r="W138" s="21">
        <f t="shared" si="4"/>
        <v>1.2785445816241794</v>
      </c>
      <c r="X138" s="21">
        <f t="shared" si="5"/>
        <v>0.61382113821138207</v>
      </c>
      <c r="Y138" s="21">
        <v>0.97092903805294595</v>
      </c>
      <c r="Z138" s="21">
        <v>0.22467501280271901</v>
      </c>
      <c r="AA138" s="22">
        <v>294.202922374639</v>
      </c>
      <c r="AB138" s="22">
        <v>266.42161994155299</v>
      </c>
      <c r="AC138" s="23">
        <v>1.14013751634802E-2</v>
      </c>
      <c r="AD138" s="21">
        <v>1.24819451557066</v>
      </c>
      <c r="AE138" s="21">
        <v>0.24884169622071201</v>
      </c>
      <c r="AF138" s="21">
        <v>0.15538514691208999</v>
      </c>
      <c r="AG138" s="22">
        <v>302.26886439775598</v>
      </c>
      <c r="AH138" s="23">
        <v>8.3999999999999995E-3</v>
      </c>
      <c r="AI138" s="21">
        <v>0.86325081617827604</v>
      </c>
    </row>
    <row r="139" spans="1:35" x14ac:dyDescent="0.25">
      <c r="B139" s="1">
        <v>10</v>
      </c>
      <c r="C139" s="1">
        <v>1</v>
      </c>
      <c r="D139" s="3">
        <v>45</v>
      </c>
      <c r="E139" s="5">
        <v>2.8</v>
      </c>
      <c r="F139" s="1">
        <v>40</v>
      </c>
      <c r="G139" s="1">
        <v>45</v>
      </c>
      <c r="H139" s="4">
        <v>43.4459689087927</v>
      </c>
      <c r="I139" s="1">
        <v>250</v>
      </c>
      <c r="J139" s="29">
        <v>205</v>
      </c>
      <c r="K139" s="22">
        <v>127</v>
      </c>
      <c r="L139" s="29">
        <v>95</v>
      </c>
      <c r="M139" s="5">
        <v>0.2</v>
      </c>
      <c r="N139" s="21">
        <v>0.22695478220743001</v>
      </c>
      <c r="O139" s="22">
        <v>316.93678455813301</v>
      </c>
      <c r="P139" s="22">
        <v>266.42161994155299</v>
      </c>
      <c r="Q139" s="23">
        <v>1.14013751634802E-2</v>
      </c>
      <c r="R139" s="21">
        <v>1.13477391103715</v>
      </c>
      <c r="S139" s="5">
        <v>0.18827196710608499</v>
      </c>
      <c r="T139" s="22">
        <v>316.93678455813301</v>
      </c>
      <c r="U139" s="22">
        <v>360</v>
      </c>
      <c r="V139" s="23">
        <v>8.2631578947368403E-3</v>
      </c>
      <c r="W139" s="21">
        <f t="shared" si="4"/>
        <v>1.2785445816241794</v>
      </c>
      <c r="X139" s="21">
        <f t="shared" si="5"/>
        <v>0.61382113821138207</v>
      </c>
      <c r="Y139" s="21">
        <v>0.94135983553042402</v>
      </c>
      <c r="Z139" s="21">
        <v>0.24203626379202101</v>
      </c>
      <c r="AA139" s="22">
        <v>316.93678455813301</v>
      </c>
      <c r="AB139" s="22">
        <v>266.42161994155299</v>
      </c>
      <c r="AC139" s="23">
        <v>1.14013751634802E-2</v>
      </c>
      <c r="AD139" s="21">
        <v>1.2101813189601001</v>
      </c>
      <c r="AE139" s="21">
        <v>0.26807037274685802</v>
      </c>
      <c r="AF139" s="21">
        <v>0.18032703134101599</v>
      </c>
      <c r="AG139" s="22">
        <v>325.62600391939998</v>
      </c>
      <c r="AH139" s="23">
        <v>8.3999999999999995E-3</v>
      </c>
      <c r="AI139" s="21">
        <v>0.90163515670507899</v>
      </c>
    </row>
    <row r="140" spans="1:35" x14ac:dyDescent="0.25">
      <c r="B140" s="1">
        <v>10</v>
      </c>
      <c r="C140" s="1">
        <v>1</v>
      </c>
      <c r="D140" s="3">
        <v>45</v>
      </c>
      <c r="E140" s="5">
        <v>2.8</v>
      </c>
      <c r="F140" s="1">
        <v>40</v>
      </c>
      <c r="G140" s="1">
        <v>45</v>
      </c>
      <c r="H140" s="4">
        <v>43.4459689087927</v>
      </c>
      <c r="I140" s="1">
        <v>250</v>
      </c>
      <c r="J140" s="29">
        <v>205</v>
      </c>
      <c r="K140" s="22">
        <v>127</v>
      </c>
      <c r="L140" s="29">
        <v>95</v>
      </c>
      <c r="M140" s="5">
        <v>0.22</v>
      </c>
      <c r="N140" s="21">
        <v>0.25593645609715798</v>
      </c>
      <c r="O140" s="22">
        <v>336.99607472004101</v>
      </c>
      <c r="P140" s="22">
        <v>266.42161994155299</v>
      </c>
      <c r="Q140" s="23">
        <v>1.14013751634802E-2</v>
      </c>
      <c r="R140" s="21">
        <v>1.1633475277143499</v>
      </c>
      <c r="S140" s="5">
        <v>0.20018791439128</v>
      </c>
      <c r="T140" s="22">
        <v>336.99607472004101</v>
      </c>
      <c r="U140" s="22">
        <v>360</v>
      </c>
      <c r="V140" s="23">
        <v>8.2631578947368403E-3</v>
      </c>
      <c r="W140" s="21">
        <f t="shared" si="4"/>
        <v>1.2785445816241794</v>
      </c>
      <c r="X140" s="21">
        <f t="shared" si="5"/>
        <v>0.61382113821138207</v>
      </c>
      <c r="Y140" s="21">
        <v>0.90994506541490905</v>
      </c>
      <c r="Z140" s="21">
        <v>0.25735501466493299</v>
      </c>
      <c r="AA140" s="22">
        <v>336.99607472004101</v>
      </c>
      <c r="AB140" s="22">
        <v>266.42161994155299</v>
      </c>
      <c r="AC140" s="23">
        <v>1.14013751634802E-2</v>
      </c>
      <c r="AD140" s="21">
        <v>1.1697955212042399</v>
      </c>
      <c r="AE140" s="21">
        <v>0.28503685203463403</v>
      </c>
      <c r="AF140" s="21">
        <v>0.20387558614680501</v>
      </c>
      <c r="AG140" s="22">
        <v>346.23524467379298</v>
      </c>
      <c r="AH140" s="23">
        <v>8.3999999999999995E-3</v>
      </c>
      <c r="AI140" s="21">
        <v>0.92670720975820298</v>
      </c>
    </row>
    <row r="141" spans="1:35" x14ac:dyDescent="0.25">
      <c r="B141" s="1">
        <v>10</v>
      </c>
      <c r="C141" s="1">
        <v>1</v>
      </c>
      <c r="D141" s="3">
        <v>45</v>
      </c>
      <c r="E141" s="5">
        <v>2.8</v>
      </c>
      <c r="F141" s="1">
        <v>40</v>
      </c>
      <c r="G141" s="1">
        <v>45</v>
      </c>
      <c r="H141" s="4">
        <v>43.4459689087927</v>
      </c>
      <c r="I141" s="1">
        <v>250</v>
      </c>
      <c r="J141" s="29">
        <v>205</v>
      </c>
      <c r="K141" s="22">
        <v>127</v>
      </c>
      <c r="L141" s="29">
        <v>95</v>
      </c>
      <c r="M141" s="5">
        <v>0.24</v>
      </c>
      <c r="N141" s="21">
        <v>0.28878235317218298</v>
      </c>
      <c r="O141" s="22">
        <v>359.72993690353502</v>
      </c>
      <c r="P141" s="22">
        <v>266.42161994155299</v>
      </c>
      <c r="Q141" s="23">
        <v>1.14013751634802E-2</v>
      </c>
      <c r="R141" s="21">
        <v>1.2032598048840899</v>
      </c>
      <c r="S141" s="5">
        <v>0.21372760574098101</v>
      </c>
      <c r="T141" s="22">
        <v>359.72993690353502</v>
      </c>
      <c r="U141" s="22">
        <v>360</v>
      </c>
      <c r="V141" s="23">
        <v>8.2631578947368403E-3</v>
      </c>
      <c r="W141" s="21">
        <f t="shared" si="4"/>
        <v>1.2785445816241794</v>
      </c>
      <c r="X141" s="21">
        <f t="shared" si="5"/>
        <v>0.61382113821138207</v>
      </c>
      <c r="Y141" s="21">
        <v>0.89053169058741999</v>
      </c>
      <c r="Z141" s="21">
        <v>0.27471626565423402</v>
      </c>
      <c r="AA141" s="22">
        <v>359.72993690353502</v>
      </c>
      <c r="AB141" s="22">
        <v>266.42161994155299</v>
      </c>
      <c r="AC141" s="23">
        <v>1.14013751634802E-2</v>
      </c>
      <c r="AD141" s="21">
        <v>1.1446511068926399</v>
      </c>
      <c r="AE141" s="21">
        <v>0.30426552856077999</v>
      </c>
      <c r="AF141" s="21">
        <v>0.23231042594433299</v>
      </c>
      <c r="AG141" s="22">
        <v>369.592384195438</v>
      </c>
      <c r="AH141" s="23">
        <v>8.3999999999999995E-3</v>
      </c>
      <c r="AI141" s="21">
        <v>0.96796010810138799</v>
      </c>
    </row>
    <row r="142" spans="1:35" x14ac:dyDescent="0.25">
      <c r="B142" s="1">
        <v>10</v>
      </c>
      <c r="C142" s="1">
        <v>1</v>
      </c>
      <c r="D142" s="3">
        <v>45</v>
      </c>
      <c r="E142" s="5">
        <v>2.8</v>
      </c>
      <c r="F142" s="1">
        <v>40</v>
      </c>
      <c r="G142" s="1">
        <v>45</v>
      </c>
      <c r="H142" s="4">
        <v>43.4459689087927</v>
      </c>
      <c r="I142" s="1">
        <v>250</v>
      </c>
      <c r="J142" s="29">
        <v>205</v>
      </c>
      <c r="K142" s="22">
        <v>127</v>
      </c>
      <c r="L142" s="29">
        <v>95</v>
      </c>
      <c r="M142" s="5">
        <v>0.26</v>
      </c>
      <c r="N142" s="21">
        <v>0.31776402706190998</v>
      </c>
      <c r="O142" s="22">
        <v>379.78922706544199</v>
      </c>
      <c r="P142" s="22">
        <v>266.42161994155299</v>
      </c>
      <c r="Q142" s="23">
        <v>1.14013751634802E-2</v>
      </c>
      <c r="R142" s="21">
        <v>1.2221693348535001</v>
      </c>
      <c r="S142" s="5">
        <v>0.243517473953969</v>
      </c>
      <c r="T142" s="22">
        <v>379.78922706544199</v>
      </c>
      <c r="U142" s="22">
        <v>360</v>
      </c>
      <c r="V142" s="23">
        <v>8.2631578947368403E-3</v>
      </c>
      <c r="W142" s="21">
        <f t="shared" si="4"/>
        <v>1.2785445816241794</v>
      </c>
      <c r="X142" s="21">
        <f t="shared" si="5"/>
        <v>0.61382113821138207</v>
      </c>
      <c r="Y142" s="21">
        <v>0.936605669053726</v>
      </c>
      <c r="Z142" s="21">
        <v>0.29003501652714703</v>
      </c>
      <c r="AA142" s="22">
        <v>379.78922706544199</v>
      </c>
      <c r="AB142" s="22">
        <v>266.42161994155299</v>
      </c>
      <c r="AC142" s="23">
        <v>1.14013751634802E-2</v>
      </c>
      <c r="AD142" s="21">
        <v>1.1155192943351799</v>
      </c>
      <c r="AE142" s="21">
        <v>0.32123200784855599</v>
      </c>
      <c r="AF142" s="21">
        <v>0.25894100019300598</v>
      </c>
      <c r="AG142" s="22">
        <v>390.20162494982998</v>
      </c>
      <c r="AH142" s="23">
        <v>8.3999999999999995E-3</v>
      </c>
      <c r="AI142" s="21">
        <v>0.99592692381925496</v>
      </c>
    </row>
    <row r="143" spans="1:35" x14ac:dyDescent="0.25">
      <c r="B143" s="1">
        <v>10</v>
      </c>
      <c r="C143" s="1">
        <v>1</v>
      </c>
      <c r="D143" s="3">
        <v>45</v>
      </c>
      <c r="E143" s="5">
        <v>2.8</v>
      </c>
      <c r="F143" s="1">
        <v>40</v>
      </c>
      <c r="G143" s="1">
        <v>45</v>
      </c>
      <c r="H143" s="4">
        <v>43.4459689087927</v>
      </c>
      <c r="I143" s="1">
        <v>250</v>
      </c>
      <c r="J143" s="29">
        <v>205</v>
      </c>
      <c r="K143" s="22">
        <v>127</v>
      </c>
      <c r="L143" s="29">
        <v>95</v>
      </c>
      <c r="M143" s="5">
        <v>0.28000000000000003</v>
      </c>
      <c r="N143" s="21">
        <v>0.35254203572958398</v>
      </c>
      <c r="O143" s="22">
        <v>403.86037525973097</v>
      </c>
      <c r="P143" s="22">
        <v>266.42161994155299</v>
      </c>
      <c r="Q143" s="23">
        <v>1.14013751634802E-2</v>
      </c>
      <c r="R143" s="21">
        <v>1.25907869903423</v>
      </c>
      <c r="S143" s="5">
        <v>0.27926531580955499</v>
      </c>
      <c r="T143" s="22">
        <v>403.86037525973097</v>
      </c>
      <c r="U143" s="22">
        <v>360</v>
      </c>
      <c r="V143" s="23">
        <v>8.2631578947368403E-3</v>
      </c>
      <c r="W143" s="21">
        <f t="shared" si="4"/>
        <v>1.2785445816241794</v>
      </c>
      <c r="X143" s="21">
        <f t="shared" si="5"/>
        <v>0.61382113821138207</v>
      </c>
      <c r="Y143" s="21">
        <v>0.99737612789126595</v>
      </c>
      <c r="Z143" s="21">
        <v>0.31057003114677001</v>
      </c>
      <c r="AA143" s="22">
        <v>403.86037525973097</v>
      </c>
      <c r="AB143" s="22">
        <v>266.42161994155299</v>
      </c>
      <c r="AC143" s="23">
        <v>1.14013751634802E-2</v>
      </c>
      <c r="AD143" s="21">
        <v>1.10917868266704</v>
      </c>
      <c r="AE143" s="21">
        <v>0.34159178299388698</v>
      </c>
      <c r="AF143" s="21">
        <v>0.29280468882169902</v>
      </c>
      <c r="AG143" s="22">
        <v>414.93271385510099</v>
      </c>
      <c r="AH143" s="23">
        <v>8.3999999999999995E-3</v>
      </c>
      <c r="AI143" s="21">
        <v>1.0457310315060699</v>
      </c>
    </row>
    <row r="144" spans="1:35" x14ac:dyDescent="0.25">
      <c r="A144" t="s">
        <v>55</v>
      </c>
      <c r="B144" s="1">
        <v>10</v>
      </c>
      <c r="C144" s="1">
        <v>1</v>
      </c>
      <c r="D144" s="3">
        <v>45</v>
      </c>
      <c r="E144" s="5">
        <v>2.8</v>
      </c>
      <c r="F144" s="1">
        <v>40</v>
      </c>
      <c r="G144" s="1">
        <v>45</v>
      </c>
      <c r="H144" s="4">
        <v>43.4459689087927</v>
      </c>
      <c r="I144" s="1">
        <v>250</v>
      </c>
      <c r="J144" s="29">
        <v>205</v>
      </c>
      <c r="K144" s="22">
        <v>127</v>
      </c>
      <c r="L144" s="29">
        <v>95</v>
      </c>
      <c r="M144" s="5">
        <v>0.15</v>
      </c>
      <c r="N144" s="21">
        <v>0.13228131416765199</v>
      </c>
      <c r="O144" s="22">
        <v>251.409770029237</v>
      </c>
      <c r="P144" s="22">
        <v>266.42161994155299</v>
      </c>
      <c r="Q144" s="23">
        <v>1.14013751634802E-2</v>
      </c>
      <c r="R144" s="21">
        <v>0.88187542778435002</v>
      </c>
      <c r="S144" s="5">
        <v>0.14934653930778</v>
      </c>
      <c r="T144" s="22">
        <v>251.409770029237</v>
      </c>
      <c r="U144" s="22">
        <v>360</v>
      </c>
      <c r="V144" s="23">
        <v>8.2631578947368403E-3</v>
      </c>
      <c r="W144" s="21">
        <f t="shared" si="4"/>
        <v>1.2785445816241794</v>
      </c>
      <c r="X144" s="21">
        <f t="shared" si="5"/>
        <v>0.61382113821138207</v>
      </c>
      <c r="Y144" s="21">
        <v>0.99564359538520197</v>
      </c>
      <c r="Z144" s="21">
        <v>0.191995010940506</v>
      </c>
      <c r="AA144" s="22">
        <v>251.409770029237</v>
      </c>
      <c r="AB144" s="22">
        <v>266.42161994155299</v>
      </c>
      <c r="AC144" s="23">
        <v>1.14013751634802E-2</v>
      </c>
      <c r="AD144" s="21">
        <v>1.27996673960337</v>
      </c>
      <c r="AE144" s="21">
        <v>0.21264654040679001</v>
      </c>
      <c r="AF144" s="21">
        <v>0.11346968248886199</v>
      </c>
      <c r="AG144" s="22">
        <v>258.30248412171801</v>
      </c>
      <c r="AH144" s="23">
        <v>8.3999999999999995E-3</v>
      </c>
      <c r="AI144" s="21">
        <v>0.75646454992574397</v>
      </c>
    </row>
    <row r="145" spans="1:35" x14ac:dyDescent="0.25">
      <c r="B145" s="1">
        <v>10</v>
      </c>
      <c r="C145" s="1">
        <v>1</v>
      </c>
      <c r="D145" s="3">
        <v>45</v>
      </c>
      <c r="E145" s="5">
        <v>2.8</v>
      </c>
      <c r="F145" s="1">
        <v>40</v>
      </c>
      <c r="G145" s="1">
        <v>45</v>
      </c>
      <c r="H145" s="4">
        <v>43.4459689087927</v>
      </c>
      <c r="I145" s="1">
        <v>250</v>
      </c>
      <c r="J145" s="29">
        <v>205</v>
      </c>
      <c r="K145" s="22">
        <v>127</v>
      </c>
      <c r="L145" s="29">
        <v>95</v>
      </c>
      <c r="M145" s="5">
        <v>0.17</v>
      </c>
      <c r="N145" s="21">
        <v>0.16512721124267701</v>
      </c>
      <c r="O145" s="22">
        <v>274.14363221273101</v>
      </c>
      <c r="P145" s="22">
        <v>266.42161994155299</v>
      </c>
      <c r="Q145" s="23">
        <v>1.14013751634802E-2</v>
      </c>
      <c r="R145" s="21">
        <v>0.97133653672163101</v>
      </c>
      <c r="S145" s="5">
        <v>0.16285127956433501</v>
      </c>
      <c r="T145" s="22">
        <v>274.14363221273101</v>
      </c>
      <c r="U145" s="22">
        <v>360</v>
      </c>
      <c r="V145" s="23">
        <v>8.2631578947368403E-3</v>
      </c>
      <c r="W145" s="21">
        <f t="shared" si="4"/>
        <v>1.2785445816241794</v>
      </c>
      <c r="X145" s="21">
        <f t="shared" si="5"/>
        <v>0.61382113821138207</v>
      </c>
      <c r="Y145" s="21">
        <v>0.95794870331961701</v>
      </c>
      <c r="Z145" s="21">
        <v>0.209356261929807</v>
      </c>
      <c r="AA145" s="22">
        <v>274.14363221273101</v>
      </c>
      <c r="AB145" s="22">
        <v>266.42161994155299</v>
      </c>
      <c r="AC145" s="23">
        <v>1.14013751634802E-2</v>
      </c>
      <c r="AD145" s="21">
        <v>1.23150742311651</v>
      </c>
      <c r="AE145" s="21">
        <v>0.231875216932936</v>
      </c>
      <c r="AF145" s="21">
        <v>0.134918611549185</v>
      </c>
      <c r="AG145" s="22">
        <v>281.65962364336298</v>
      </c>
      <c r="AH145" s="23">
        <v>8.3999999999999995E-3</v>
      </c>
      <c r="AI145" s="21">
        <v>0.79363889146579603</v>
      </c>
    </row>
    <row r="146" spans="1:35" x14ac:dyDescent="0.25">
      <c r="B146" s="1">
        <v>10</v>
      </c>
      <c r="C146" s="1">
        <v>1</v>
      </c>
      <c r="D146" s="3">
        <v>45</v>
      </c>
      <c r="E146" s="5">
        <v>2.8</v>
      </c>
      <c r="F146" s="1">
        <v>40</v>
      </c>
      <c r="G146" s="1">
        <v>45</v>
      </c>
      <c r="H146" s="4">
        <v>43.4459689087927</v>
      </c>
      <c r="I146" s="1">
        <v>250</v>
      </c>
      <c r="J146" s="29">
        <v>205</v>
      </c>
      <c r="K146" s="22">
        <v>127</v>
      </c>
      <c r="L146" s="29">
        <v>95</v>
      </c>
      <c r="M146" s="5">
        <v>0.19</v>
      </c>
      <c r="N146" s="21">
        <v>0.19604099672505401</v>
      </c>
      <c r="O146" s="22">
        <v>295.54020838543198</v>
      </c>
      <c r="P146" s="22">
        <v>266.42161994155299</v>
      </c>
      <c r="Q146" s="23">
        <v>1.14013751634802E-2</v>
      </c>
      <c r="R146" s="21">
        <v>1.0317947196055499</v>
      </c>
      <c r="S146" s="5">
        <v>0.17556162333521</v>
      </c>
      <c r="T146" s="22">
        <v>295.54020838543198</v>
      </c>
      <c r="U146" s="22">
        <v>360</v>
      </c>
      <c r="V146" s="23">
        <v>8.2631578947368403E-3</v>
      </c>
      <c r="W146" s="21">
        <f t="shared" si="4"/>
        <v>1.2785445816241794</v>
      </c>
      <c r="X146" s="21">
        <f t="shared" si="5"/>
        <v>0.61382113821138207</v>
      </c>
      <c r="Y146" s="21">
        <v>0.92400854386952602</v>
      </c>
      <c r="Z146" s="21">
        <v>0.22569626286091399</v>
      </c>
      <c r="AA146" s="22">
        <v>295.54020838543198</v>
      </c>
      <c r="AB146" s="22">
        <v>266.42161994155299</v>
      </c>
      <c r="AC146" s="23">
        <v>1.14013751634802E-2</v>
      </c>
      <c r="AD146" s="21">
        <v>1.18787506768902</v>
      </c>
      <c r="AE146" s="21">
        <v>0.24997279483989701</v>
      </c>
      <c r="AF146" s="21">
        <v>0.156800949593665</v>
      </c>
      <c r="AG146" s="22">
        <v>303.64281378138202</v>
      </c>
      <c r="AH146" s="23">
        <v>8.3999999999999995E-3</v>
      </c>
      <c r="AI146" s="21">
        <v>0.82526815575613</v>
      </c>
    </row>
    <row r="147" spans="1:35" x14ac:dyDescent="0.25">
      <c r="B147" s="1">
        <v>10</v>
      </c>
      <c r="C147" s="1">
        <v>1</v>
      </c>
      <c r="D147" s="3">
        <v>45</v>
      </c>
      <c r="E147" s="5">
        <v>2.8</v>
      </c>
      <c r="F147" s="1">
        <v>40</v>
      </c>
      <c r="G147" s="1">
        <v>45</v>
      </c>
      <c r="H147" s="4">
        <v>43.4459689087927</v>
      </c>
      <c r="I147" s="1">
        <v>250</v>
      </c>
      <c r="J147" s="29">
        <v>205</v>
      </c>
      <c r="K147" s="22">
        <v>127</v>
      </c>
      <c r="L147" s="29">
        <v>95</v>
      </c>
      <c r="M147" s="5">
        <v>0.2</v>
      </c>
      <c r="N147" s="21">
        <v>0.22405661481845701</v>
      </c>
      <c r="O147" s="22">
        <v>314.930855541943</v>
      </c>
      <c r="P147" s="22">
        <v>266.42161994155299</v>
      </c>
      <c r="Q147" s="23">
        <v>1.14013751634802E-2</v>
      </c>
      <c r="R147" s="21">
        <v>1.12028307409229</v>
      </c>
      <c r="S147" s="5">
        <v>0.187080372377565</v>
      </c>
      <c r="T147" s="22">
        <v>314.930855541943</v>
      </c>
      <c r="U147" s="22">
        <v>360</v>
      </c>
      <c r="V147" s="23">
        <v>8.2631578947368403E-3</v>
      </c>
      <c r="W147" s="21">
        <f t="shared" si="4"/>
        <v>1.2785445816241794</v>
      </c>
      <c r="X147" s="21">
        <f t="shared" si="5"/>
        <v>0.61382113821138207</v>
      </c>
      <c r="Y147" s="21">
        <v>0.93540186188782604</v>
      </c>
      <c r="Z147" s="21">
        <v>0.24050438870472901</v>
      </c>
      <c r="AA147" s="22">
        <v>314.930855541943</v>
      </c>
      <c r="AB147" s="22">
        <v>266.42161994155299</v>
      </c>
      <c r="AC147" s="23">
        <v>1.14013751634802E-2</v>
      </c>
      <c r="AD147" s="21">
        <v>1.20252194352365</v>
      </c>
      <c r="AE147" s="21">
        <v>0.26637372481808003</v>
      </c>
      <c r="AF147" s="21">
        <v>0.178051634174199</v>
      </c>
      <c r="AG147" s="22">
        <v>323.56507984396097</v>
      </c>
      <c r="AH147" s="23">
        <v>8.3999999999999995E-3</v>
      </c>
      <c r="AI147" s="21">
        <v>0.89025817087099401</v>
      </c>
    </row>
    <row r="148" spans="1:35" x14ac:dyDescent="0.25">
      <c r="B148" s="1">
        <v>10</v>
      </c>
      <c r="C148" s="1">
        <v>1</v>
      </c>
      <c r="D148" s="3">
        <v>45</v>
      </c>
      <c r="E148" s="5">
        <v>2.8</v>
      </c>
      <c r="F148" s="1">
        <v>40</v>
      </c>
      <c r="G148" s="1">
        <v>45</v>
      </c>
      <c r="H148" s="4">
        <v>43.4459689087927</v>
      </c>
      <c r="I148" s="1">
        <v>250</v>
      </c>
      <c r="J148" s="29">
        <v>205</v>
      </c>
      <c r="K148" s="22">
        <v>127</v>
      </c>
      <c r="L148" s="29">
        <v>95</v>
      </c>
      <c r="M148" s="5">
        <v>0.22</v>
      </c>
      <c r="N148" s="21">
        <v>0.25593645609715798</v>
      </c>
      <c r="O148" s="22">
        <v>336.99607472004101</v>
      </c>
      <c r="P148" s="22">
        <v>266.42161994155299</v>
      </c>
      <c r="Q148" s="23">
        <v>1.14013751634802E-2</v>
      </c>
      <c r="R148" s="21">
        <v>1.1633475277143499</v>
      </c>
      <c r="S148" s="5">
        <v>0.20018791439128</v>
      </c>
      <c r="T148" s="22">
        <v>336.99607472004101</v>
      </c>
      <c r="U148" s="22">
        <v>360</v>
      </c>
      <c r="V148" s="23">
        <v>8.2631578947368403E-3</v>
      </c>
      <c r="W148" s="21">
        <f t="shared" si="4"/>
        <v>1.2785445816241794</v>
      </c>
      <c r="X148" s="21">
        <f t="shared" si="5"/>
        <v>0.61382113821138207</v>
      </c>
      <c r="Y148" s="21">
        <v>0.90994506541490905</v>
      </c>
      <c r="Z148" s="21">
        <v>0.25735501466493299</v>
      </c>
      <c r="AA148" s="22">
        <v>336.99607472004101</v>
      </c>
      <c r="AB148" s="22">
        <v>266.42161994155299</v>
      </c>
      <c r="AC148" s="23">
        <v>1.14013751634802E-2</v>
      </c>
      <c r="AD148" s="21">
        <v>1.1697955212042399</v>
      </c>
      <c r="AE148" s="21">
        <v>0.28503685203463403</v>
      </c>
      <c r="AF148" s="21">
        <v>0.20387558614680501</v>
      </c>
      <c r="AG148" s="22">
        <v>346.23524467379298</v>
      </c>
      <c r="AH148" s="23">
        <v>8.3999999999999995E-3</v>
      </c>
      <c r="AI148" s="21">
        <v>0.92670720975820298</v>
      </c>
    </row>
    <row r="149" spans="1:35" x14ac:dyDescent="0.25">
      <c r="B149" s="1">
        <v>10</v>
      </c>
      <c r="C149" s="1">
        <v>1</v>
      </c>
      <c r="D149" s="3">
        <v>45</v>
      </c>
      <c r="E149" s="5">
        <v>2.8</v>
      </c>
      <c r="F149" s="1">
        <v>40</v>
      </c>
      <c r="G149" s="1">
        <v>45</v>
      </c>
      <c r="H149" s="4">
        <v>43.4459689087927</v>
      </c>
      <c r="I149" s="1">
        <v>250</v>
      </c>
      <c r="J149" s="29">
        <v>205</v>
      </c>
      <c r="K149" s="22">
        <v>127</v>
      </c>
      <c r="L149" s="29">
        <v>95</v>
      </c>
      <c r="M149" s="5">
        <v>0.24</v>
      </c>
      <c r="N149" s="21">
        <v>0.28781629737585801</v>
      </c>
      <c r="O149" s="22">
        <v>359.06129389813799</v>
      </c>
      <c r="P149" s="22">
        <v>266.42161994155299</v>
      </c>
      <c r="Q149" s="23">
        <v>1.14013751634802E-2</v>
      </c>
      <c r="R149" s="21">
        <v>1.19923457239941</v>
      </c>
      <c r="S149" s="5">
        <v>0.213295456404995</v>
      </c>
      <c r="T149" s="22">
        <v>359.06129389813799</v>
      </c>
      <c r="U149" s="22">
        <v>360</v>
      </c>
      <c r="V149" s="23">
        <v>8.2631578947368403E-3</v>
      </c>
      <c r="W149" s="21">
        <f t="shared" si="4"/>
        <v>1.2785445816241794</v>
      </c>
      <c r="X149" s="21">
        <f t="shared" si="5"/>
        <v>0.61382113821138207</v>
      </c>
      <c r="Y149" s="21">
        <v>0.88873106835414495</v>
      </c>
      <c r="Z149" s="21">
        <v>0.27420564062513703</v>
      </c>
      <c r="AA149" s="22">
        <v>359.06129389813799</v>
      </c>
      <c r="AB149" s="22">
        <v>266.42161994155299</v>
      </c>
      <c r="AC149" s="23">
        <v>1.14013751634802E-2</v>
      </c>
      <c r="AD149" s="21">
        <v>1.14252350260474</v>
      </c>
      <c r="AE149" s="21">
        <v>0.30369997925118702</v>
      </c>
      <c r="AF149" s="21">
        <v>0.23144762102217101</v>
      </c>
      <c r="AG149" s="22">
        <v>368.90540950362401</v>
      </c>
      <c r="AH149" s="23">
        <v>8.3999999999999995E-3</v>
      </c>
      <c r="AI149" s="21">
        <v>0.96436508759238104</v>
      </c>
    </row>
    <row r="150" spans="1:35" x14ac:dyDescent="0.25">
      <c r="B150" s="1">
        <v>10</v>
      </c>
      <c r="C150" s="1">
        <v>1</v>
      </c>
      <c r="D150" s="3">
        <v>45</v>
      </c>
      <c r="E150" s="5">
        <v>2.8</v>
      </c>
      <c r="F150" s="1">
        <v>40</v>
      </c>
      <c r="G150" s="1">
        <v>45</v>
      </c>
      <c r="H150" s="4">
        <v>43.4459689087927</v>
      </c>
      <c r="I150" s="1">
        <v>250</v>
      </c>
      <c r="J150" s="29">
        <v>205</v>
      </c>
      <c r="K150" s="22">
        <v>127</v>
      </c>
      <c r="L150" s="29">
        <v>95</v>
      </c>
      <c r="M150" s="5">
        <v>0.26</v>
      </c>
      <c r="N150" s="21">
        <v>0.31486585967293801</v>
      </c>
      <c r="O150" s="22">
        <v>377.78329804925198</v>
      </c>
      <c r="P150" s="22">
        <v>266.42161994155299</v>
      </c>
      <c r="Q150" s="23">
        <v>1.14013751634802E-2</v>
      </c>
      <c r="R150" s="21">
        <v>1.2110225372036101</v>
      </c>
      <c r="S150" s="5">
        <v>0.24053848713267001</v>
      </c>
      <c r="T150" s="22">
        <v>377.78329804925198</v>
      </c>
      <c r="U150" s="22">
        <v>360</v>
      </c>
      <c r="V150" s="23">
        <v>8.2631578947368403E-3</v>
      </c>
      <c r="W150" s="21">
        <f t="shared" si="4"/>
        <v>1.2785445816241794</v>
      </c>
      <c r="X150" s="21">
        <f t="shared" si="5"/>
        <v>0.61382113821138207</v>
      </c>
      <c r="Y150" s="21">
        <v>0.92514802743334601</v>
      </c>
      <c r="Z150" s="21">
        <v>0.288503141439856</v>
      </c>
      <c r="AA150" s="22">
        <v>377.78329804925198</v>
      </c>
      <c r="AB150" s="22">
        <v>266.42161994155299</v>
      </c>
      <c r="AC150" s="23">
        <v>1.14013751634802E-2</v>
      </c>
      <c r="AD150" s="21">
        <v>1.1096274670763699</v>
      </c>
      <c r="AE150" s="21">
        <v>0.31953535991977799</v>
      </c>
      <c r="AF150" s="21">
        <v>0.25621293142051599</v>
      </c>
      <c r="AG150" s="22">
        <v>388.14070087439097</v>
      </c>
      <c r="AH150" s="23">
        <v>8.3999999999999995E-3</v>
      </c>
      <c r="AI150" s="21">
        <v>0.98543435161736803</v>
      </c>
    </row>
    <row r="151" spans="1:35" x14ac:dyDescent="0.25">
      <c r="B151" s="1">
        <v>10</v>
      </c>
      <c r="C151" s="1">
        <v>1</v>
      </c>
      <c r="D151" s="3">
        <v>45</v>
      </c>
      <c r="E151" s="5">
        <v>2.8</v>
      </c>
      <c r="F151" s="1">
        <v>40</v>
      </c>
      <c r="G151" s="1">
        <v>45</v>
      </c>
      <c r="H151" s="4">
        <v>43.4459689087927</v>
      </c>
      <c r="I151" s="1">
        <v>250</v>
      </c>
      <c r="J151" s="29">
        <v>205</v>
      </c>
      <c r="K151" s="22">
        <v>127</v>
      </c>
      <c r="L151" s="29">
        <v>95</v>
      </c>
      <c r="M151" s="5">
        <v>0.28999999999999998</v>
      </c>
      <c r="N151" s="21">
        <v>0.34094936617369298</v>
      </c>
      <c r="O151" s="22">
        <v>395.83665919496798</v>
      </c>
      <c r="P151" s="22">
        <v>266.42161994155299</v>
      </c>
      <c r="Q151" s="23">
        <v>1.14013751634802E-2</v>
      </c>
      <c r="R151" s="21">
        <v>1.1756874695644599</v>
      </c>
      <c r="S151" s="5">
        <v>0.26734936852435898</v>
      </c>
      <c r="T151" s="22">
        <v>395.83665919496798</v>
      </c>
      <c r="U151" s="22">
        <v>360</v>
      </c>
      <c r="V151" s="23">
        <v>8.2631578947368403E-3</v>
      </c>
      <c r="W151" s="21">
        <f t="shared" si="4"/>
        <v>1.2785445816241794</v>
      </c>
      <c r="X151" s="21">
        <f t="shared" si="5"/>
        <v>0.61382113821138207</v>
      </c>
      <c r="Y151" s="21">
        <v>0.92189437422192899</v>
      </c>
      <c r="Z151" s="21">
        <v>0.30229001722547699</v>
      </c>
      <c r="AA151" s="22">
        <v>395.83665919496798</v>
      </c>
      <c r="AB151" s="22">
        <v>266.42161994155299</v>
      </c>
      <c r="AC151" s="23">
        <v>1.14013751634802E-2</v>
      </c>
      <c r="AD151" s="21">
        <v>1.0423793697430199</v>
      </c>
      <c r="AE151" s="21">
        <v>0.334805191278776</v>
      </c>
      <c r="AF151" s="21">
        <v>0.28128564115391802</v>
      </c>
      <c r="AG151" s="22">
        <v>406.689017553344</v>
      </c>
      <c r="AH151" s="23">
        <v>8.3999999999999995E-3</v>
      </c>
      <c r="AI151" s="21">
        <v>0.96995048673765005</v>
      </c>
    </row>
    <row r="152" spans="1:35" x14ac:dyDescent="0.25">
      <c r="A152" t="s">
        <v>56</v>
      </c>
      <c r="B152" s="1">
        <v>20</v>
      </c>
      <c r="C152" s="1">
        <v>1</v>
      </c>
      <c r="D152" s="3">
        <v>40</v>
      </c>
      <c r="E152" s="5">
        <v>2.8</v>
      </c>
      <c r="F152" s="1">
        <v>40</v>
      </c>
      <c r="G152" s="1">
        <v>50</v>
      </c>
      <c r="H152" s="4">
        <v>75.400393066082202</v>
      </c>
      <c r="I152" s="1">
        <v>250</v>
      </c>
      <c r="J152" s="29">
        <v>200</v>
      </c>
      <c r="K152" s="22">
        <v>130</v>
      </c>
      <c r="L152" s="29">
        <v>150</v>
      </c>
      <c r="M152" s="5">
        <v>0.17</v>
      </c>
      <c r="N152" s="21">
        <v>0.13248092114240001</v>
      </c>
      <c r="O152" s="22">
        <v>201.33268539095999</v>
      </c>
      <c r="P152" s="22">
        <v>72.012286636750801</v>
      </c>
      <c r="Q152" s="23">
        <v>5.4123833185813597E-2</v>
      </c>
      <c r="R152" s="21">
        <v>0.77929953613176495</v>
      </c>
      <c r="S152" s="5">
        <v>0.124480015931012</v>
      </c>
      <c r="T152" s="22">
        <v>201.33268539095999</v>
      </c>
      <c r="U152" s="22">
        <v>154</v>
      </c>
      <c r="V152" s="23">
        <v>2.1000000000000001E-2</v>
      </c>
      <c r="W152" s="21">
        <f t="shared" si="4"/>
        <v>1.4012853750535332</v>
      </c>
      <c r="X152" s="21">
        <f t="shared" si="5"/>
        <v>0.375</v>
      </c>
      <c r="Y152" s="21">
        <v>0.73223538782948305</v>
      </c>
      <c r="Z152" s="21">
        <v>0.144212393826816</v>
      </c>
      <c r="AA152" s="22">
        <v>201.33268539095999</v>
      </c>
      <c r="AB152" s="22">
        <v>72.012286636750801</v>
      </c>
      <c r="AC152" s="23">
        <v>5.4123833185813597E-2</v>
      </c>
      <c r="AD152" s="21">
        <v>0.84830819898127097</v>
      </c>
      <c r="AE152" s="21">
        <v>0.17073851136246301</v>
      </c>
      <c r="AF152" s="21">
        <v>0.15478528012645701</v>
      </c>
      <c r="AG152" s="22">
        <v>210.446996358186</v>
      </c>
      <c r="AH152" s="23">
        <v>1.9599999999999999E-2</v>
      </c>
      <c r="AI152" s="21">
        <v>0.91050164780268805</v>
      </c>
    </row>
    <row r="153" spans="1:35" x14ac:dyDescent="0.25">
      <c r="B153" s="1">
        <v>20</v>
      </c>
      <c r="C153" s="1">
        <v>1</v>
      </c>
      <c r="D153" s="3">
        <v>40</v>
      </c>
      <c r="E153" s="5">
        <v>2.8</v>
      </c>
      <c r="F153" s="1">
        <v>40</v>
      </c>
      <c r="G153" s="1">
        <v>50</v>
      </c>
      <c r="H153" s="4">
        <v>75.400393066082202</v>
      </c>
      <c r="I153" s="1">
        <v>250</v>
      </c>
      <c r="J153" s="29">
        <v>200</v>
      </c>
      <c r="K153" s="22">
        <v>130</v>
      </c>
      <c r="L153" s="29">
        <v>150</v>
      </c>
      <c r="M153" s="5">
        <v>0.2</v>
      </c>
      <c r="N153" s="21">
        <v>0.16092397911136799</v>
      </c>
      <c r="O153" s="22">
        <v>235.281479050211</v>
      </c>
      <c r="P153" s="22">
        <v>72.012286636750801</v>
      </c>
      <c r="Q153" s="23">
        <v>5.4123833185813597E-2</v>
      </c>
      <c r="R153" s="21">
        <v>0.80461989555683999</v>
      </c>
      <c r="S153" s="5">
        <v>0.16319147975293599</v>
      </c>
      <c r="T153" s="22">
        <v>235.281479050211</v>
      </c>
      <c r="U153" s="22">
        <v>154</v>
      </c>
      <c r="V153" s="23">
        <v>2.1000000000000001E-2</v>
      </c>
      <c r="W153" s="21">
        <f t="shared" si="4"/>
        <v>1.4012853750535332</v>
      </c>
      <c r="X153" s="21">
        <f t="shared" si="5"/>
        <v>0.375</v>
      </c>
      <c r="Y153" s="21">
        <v>0.81595739876467899</v>
      </c>
      <c r="Z153" s="21">
        <v>0.17517414622172001</v>
      </c>
      <c r="AA153" s="22">
        <v>235.281479050211</v>
      </c>
      <c r="AB153" s="22">
        <v>72.012286636750801</v>
      </c>
      <c r="AC153" s="23">
        <v>5.4123833185813597E-2</v>
      </c>
      <c r="AD153" s="21">
        <v>0.87587073110860003</v>
      </c>
      <c r="AE153" s="21">
        <v>0.19952850381041701</v>
      </c>
      <c r="AF153" s="21">
        <v>0.211386169121142</v>
      </c>
      <c r="AG153" s="22">
        <v>245.93264858449899</v>
      </c>
      <c r="AH153" s="23">
        <v>1.9599999999999999E-2</v>
      </c>
      <c r="AI153" s="21">
        <v>0.99764251905208501</v>
      </c>
    </row>
    <row r="154" spans="1:35" x14ac:dyDescent="0.25">
      <c r="B154" s="1">
        <v>20</v>
      </c>
      <c r="C154" s="1">
        <v>1</v>
      </c>
      <c r="D154" s="3">
        <v>40</v>
      </c>
      <c r="E154" s="5">
        <v>2.8</v>
      </c>
      <c r="F154" s="1">
        <v>40</v>
      </c>
      <c r="G154" s="1">
        <v>50</v>
      </c>
      <c r="H154" s="4">
        <v>75.400393066082202</v>
      </c>
      <c r="I154" s="1">
        <v>250</v>
      </c>
      <c r="J154" s="29">
        <v>200</v>
      </c>
      <c r="K154" s="22">
        <v>130</v>
      </c>
      <c r="L154" s="29">
        <v>150</v>
      </c>
      <c r="M154" s="5">
        <v>0.24</v>
      </c>
      <c r="N154" s="21">
        <v>0.18845442559470099</v>
      </c>
      <c r="O154" s="22">
        <v>268.14100660274801</v>
      </c>
      <c r="P154" s="22">
        <v>72.012286636750801</v>
      </c>
      <c r="Q154" s="23">
        <v>5.4123833185813597E-2</v>
      </c>
      <c r="R154" s="21">
        <v>0.78522677331125401</v>
      </c>
      <c r="S154" s="5">
        <v>0.200660864521749</v>
      </c>
      <c r="T154" s="22">
        <v>268.14100660274801</v>
      </c>
      <c r="U154" s="22">
        <v>154</v>
      </c>
      <c r="V154" s="23">
        <v>2.1000000000000001E-2</v>
      </c>
      <c r="W154" s="21">
        <f t="shared" si="4"/>
        <v>1.4012853750535332</v>
      </c>
      <c r="X154" s="21">
        <f t="shared" si="5"/>
        <v>0.375</v>
      </c>
      <c r="Y154" s="21">
        <v>0.83608693550728896</v>
      </c>
      <c r="Z154" s="21">
        <v>0.20514247340609201</v>
      </c>
      <c r="AA154" s="22">
        <v>268.14100660274801</v>
      </c>
      <c r="AB154" s="22">
        <v>72.012286636750801</v>
      </c>
      <c r="AC154" s="23">
        <v>5.4123833185813597E-2</v>
      </c>
      <c r="AD154" s="21">
        <v>0.85476030585871798</v>
      </c>
      <c r="AE154" s="21">
        <v>0.22739475318517399</v>
      </c>
      <c r="AF154" s="21">
        <v>0.27455386120200997</v>
      </c>
      <c r="AG154" s="22">
        <v>280.27972373403202</v>
      </c>
      <c r="AH154" s="23">
        <v>1.9599999999999999E-2</v>
      </c>
      <c r="AI154" s="21">
        <v>0.94747813827155902</v>
      </c>
    </row>
    <row r="155" spans="1:35" x14ac:dyDescent="0.25">
      <c r="B155" s="1">
        <v>20</v>
      </c>
      <c r="C155" s="1">
        <v>1</v>
      </c>
      <c r="D155" s="3">
        <v>40</v>
      </c>
      <c r="E155" s="5">
        <v>2.8</v>
      </c>
      <c r="F155" s="1">
        <v>40</v>
      </c>
      <c r="G155" s="1">
        <v>50</v>
      </c>
      <c r="H155" s="4">
        <v>75.400393066082202</v>
      </c>
      <c r="I155" s="1">
        <v>250</v>
      </c>
      <c r="J155" s="29">
        <v>200</v>
      </c>
      <c r="K155" s="22">
        <v>130</v>
      </c>
      <c r="L155" s="29">
        <v>150</v>
      </c>
      <c r="M155" s="5">
        <v>0.27</v>
      </c>
      <c r="N155" s="21">
        <v>0.21583277016376101</v>
      </c>
      <c r="O155" s="22">
        <v>300.81898980416599</v>
      </c>
      <c r="P155" s="22">
        <v>72.012286636750801</v>
      </c>
      <c r="Q155" s="23">
        <v>5.4123833185813597E-2</v>
      </c>
      <c r="R155" s="21">
        <v>0.79938063023615202</v>
      </c>
      <c r="S155" s="5">
        <v>0.23792323611504501</v>
      </c>
      <c r="T155" s="22">
        <v>300.81898980416599</v>
      </c>
      <c r="U155" s="22">
        <v>154</v>
      </c>
      <c r="V155" s="23">
        <v>2.1000000000000001E-2</v>
      </c>
      <c r="W155" s="21">
        <f t="shared" si="4"/>
        <v>1.4012853750535332</v>
      </c>
      <c r="X155" s="21">
        <f t="shared" si="5"/>
        <v>0.375</v>
      </c>
      <c r="Y155" s="21">
        <v>0.88119717079646198</v>
      </c>
      <c r="Z155" s="21">
        <v>0.23494522972204299</v>
      </c>
      <c r="AA155" s="22">
        <v>300.81898980416599</v>
      </c>
      <c r="AB155" s="22">
        <v>72.012286636750801</v>
      </c>
      <c r="AC155" s="23">
        <v>5.4123833185813597E-2</v>
      </c>
      <c r="AD155" s="21">
        <v>0.87016751748904697</v>
      </c>
      <c r="AE155" s="21">
        <v>0.25510704538106599</v>
      </c>
      <c r="AF155" s="21">
        <v>0.34555054480386899</v>
      </c>
      <c r="AG155" s="22">
        <v>314.43703603743501</v>
      </c>
      <c r="AH155" s="23">
        <v>1.9599999999999999E-2</v>
      </c>
      <c r="AI155" s="21">
        <v>0.94484090881876104</v>
      </c>
    </row>
    <row r="156" spans="1:35" x14ac:dyDescent="0.25">
      <c r="B156" s="1">
        <v>20</v>
      </c>
      <c r="C156" s="1">
        <v>1</v>
      </c>
      <c r="D156" s="3">
        <v>40</v>
      </c>
      <c r="E156" s="5">
        <v>2.8</v>
      </c>
      <c r="F156" s="1">
        <v>40</v>
      </c>
      <c r="G156" s="1">
        <v>50</v>
      </c>
      <c r="H156" s="4">
        <v>75.400393066082202</v>
      </c>
      <c r="I156" s="1">
        <v>250</v>
      </c>
      <c r="J156" s="29">
        <v>200</v>
      </c>
      <c r="K156" s="22">
        <v>130</v>
      </c>
      <c r="L156" s="29">
        <v>150</v>
      </c>
      <c r="M156" s="5">
        <v>0.32</v>
      </c>
      <c r="N156" s="21">
        <v>0.24290691090427599</v>
      </c>
      <c r="O156" s="22">
        <v>333.13388430334601</v>
      </c>
      <c r="P156" s="22">
        <v>72.012286636750801</v>
      </c>
      <c r="Q156" s="23">
        <v>5.4123833185813597E-2</v>
      </c>
      <c r="R156" s="21">
        <v>0.75908409657586295</v>
      </c>
      <c r="S156" s="5">
        <v>0.27477158135730401</v>
      </c>
      <c r="T156" s="22">
        <v>333.13388430334601</v>
      </c>
      <c r="U156" s="22">
        <v>154</v>
      </c>
      <c r="V156" s="23">
        <v>2.1000000000000001E-2</v>
      </c>
      <c r="W156" s="21">
        <f t="shared" si="4"/>
        <v>1.4012853750535332</v>
      </c>
      <c r="X156" s="21">
        <f t="shared" si="5"/>
        <v>0.375</v>
      </c>
      <c r="Y156" s="21">
        <v>0.85866119174157396</v>
      </c>
      <c r="Z156" s="21">
        <v>0.26441684430114898</v>
      </c>
      <c r="AA156" s="22">
        <v>333.13388430334601</v>
      </c>
      <c r="AB156" s="22">
        <v>72.012286636750801</v>
      </c>
      <c r="AC156" s="23">
        <v>5.4123833185813597E-2</v>
      </c>
      <c r="AD156" s="21">
        <v>0.82630263844109098</v>
      </c>
      <c r="AE156" s="21">
        <v>0.28251142321922501</v>
      </c>
      <c r="AF156" s="21">
        <v>0.42377828820333802</v>
      </c>
      <c r="AG156" s="22">
        <v>348.21482264857701</v>
      </c>
      <c r="AH156" s="23">
        <v>1.9599999999999999E-2</v>
      </c>
      <c r="AI156" s="21">
        <v>0.88284819756007704</v>
      </c>
    </row>
    <row r="157" spans="1:35" x14ac:dyDescent="0.25">
      <c r="B157" s="1">
        <v>20</v>
      </c>
      <c r="C157" s="1">
        <v>1</v>
      </c>
      <c r="D157" s="3">
        <v>40</v>
      </c>
      <c r="E157" s="5">
        <v>2.8</v>
      </c>
      <c r="F157" s="1">
        <v>40</v>
      </c>
      <c r="G157" s="1">
        <v>50</v>
      </c>
      <c r="H157" s="4">
        <v>75.400393066082202</v>
      </c>
      <c r="I157" s="1">
        <v>250</v>
      </c>
      <c r="J157" s="29">
        <v>200</v>
      </c>
      <c r="K157" s="22">
        <v>130</v>
      </c>
      <c r="L157" s="29">
        <v>150</v>
      </c>
      <c r="M157" s="5">
        <v>0.34</v>
      </c>
      <c r="N157" s="21">
        <v>0.270741561216154</v>
      </c>
      <c r="O157" s="22">
        <v>366.35650055812101</v>
      </c>
      <c r="P157" s="22">
        <v>72.012286636750801</v>
      </c>
      <c r="Q157" s="23">
        <v>5.4123833185813597E-2</v>
      </c>
      <c r="R157" s="21">
        <v>0.79629870945927606</v>
      </c>
      <c r="S157" s="5">
        <v>0.312654992477154</v>
      </c>
      <c r="T157" s="22">
        <v>366.35650055812101</v>
      </c>
      <c r="U157" s="22">
        <v>154</v>
      </c>
      <c r="V157" s="23">
        <v>2.1000000000000001E-2</v>
      </c>
      <c r="W157" s="21">
        <f t="shared" si="4"/>
        <v>1.4012853750535332</v>
      </c>
      <c r="X157" s="21">
        <f t="shared" si="5"/>
        <v>0.375</v>
      </c>
      <c r="Y157" s="21">
        <v>0.91957350728574705</v>
      </c>
      <c r="Z157" s="21">
        <v>0.29471631322236502</v>
      </c>
      <c r="AA157" s="22">
        <v>366.35650055812101</v>
      </c>
      <c r="AB157" s="22">
        <v>72.012286636750801</v>
      </c>
      <c r="AC157" s="23">
        <v>5.4123833185813597E-2</v>
      </c>
      <c r="AD157" s="21">
        <v>0.86681268594813299</v>
      </c>
      <c r="AE157" s="21">
        <v>0.310685586951714</v>
      </c>
      <c r="AF157" s="21">
        <v>0.51251772415843</v>
      </c>
      <c r="AG157" s="22">
        <v>382.94142349037003</v>
      </c>
      <c r="AH157" s="23">
        <v>1.9599999999999999E-2</v>
      </c>
      <c r="AI157" s="21">
        <v>0.91378113809327599</v>
      </c>
    </row>
    <row r="158" spans="1:35" x14ac:dyDescent="0.25">
      <c r="A158" t="s">
        <v>57</v>
      </c>
      <c r="B158" s="1">
        <v>20</v>
      </c>
      <c r="C158" s="1">
        <v>1</v>
      </c>
      <c r="D158" s="3">
        <v>40</v>
      </c>
      <c r="E158" s="5">
        <v>2.8</v>
      </c>
      <c r="F158" s="1">
        <v>40</v>
      </c>
      <c r="G158" s="1">
        <v>50</v>
      </c>
      <c r="H158" s="4">
        <v>75.400393066082202</v>
      </c>
      <c r="I158" s="1">
        <v>250</v>
      </c>
      <c r="J158" s="29">
        <v>200</v>
      </c>
      <c r="K158" s="22">
        <v>130</v>
      </c>
      <c r="L158" s="29">
        <v>150</v>
      </c>
      <c r="M158" s="5">
        <v>0.16</v>
      </c>
      <c r="N158" s="21">
        <v>0.106015188058975</v>
      </c>
      <c r="O158" s="22">
        <v>169.74396829625499</v>
      </c>
      <c r="P158" s="22">
        <v>72.012286636750801</v>
      </c>
      <c r="Q158" s="23">
        <v>5.4123833185813597E-2</v>
      </c>
      <c r="R158" s="21">
        <v>0.66259492536859399</v>
      </c>
      <c r="S158" s="5">
        <v>8.84597233908265E-2</v>
      </c>
      <c r="T158" s="22">
        <v>169.74396829625499</v>
      </c>
      <c r="U158" s="22">
        <v>154</v>
      </c>
      <c r="V158" s="23">
        <v>2.1000000000000001E-2</v>
      </c>
      <c r="W158" s="21">
        <f t="shared" si="4"/>
        <v>1.4012853750535332</v>
      </c>
      <c r="X158" s="21">
        <f t="shared" si="5"/>
        <v>0.375</v>
      </c>
      <c r="Y158" s="21">
        <v>0.55287327119266605</v>
      </c>
      <c r="Z158" s="21">
        <v>0.115403062721397</v>
      </c>
      <c r="AA158" s="22">
        <v>169.74396829625499</v>
      </c>
      <c r="AB158" s="22">
        <v>72.012286636750801</v>
      </c>
      <c r="AC158" s="23">
        <v>5.4123833185813597E-2</v>
      </c>
      <c r="AD158" s="21">
        <v>0.72126914200873304</v>
      </c>
      <c r="AE158" s="21">
        <v>0.143949962239768</v>
      </c>
      <c r="AF158" s="21">
        <v>0.11002459711025001</v>
      </c>
      <c r="AG158" s="22">
        <v>177.428261131564</v>
      </c>
      <c r="AH158" s="23">
        <v>1.9599999999999999E-2</v>
      </c>
      <c r="AI158" s="21">
        <v>0.68765373193906498</v>
      </c>
    </row>
    <row r="159" spans="1:35" x14ac:dyDescent="0.25">
      <c r="B159" s="1">
        <v>20</v>
      </c>
      <c r="C159" s="1">
        <v>1</v>
      </c>
      <c r="D159" s="3">
        <v>40</v>
      </c>
      <c r="E159" s="5">
        <v>2.8</v>
      </c>
      <c r="F159" s="1">
        <v>40</v>
      </c>
      <c r="G159" s="1">
        <v>50</v>
      </c>
      <c r="H159" s="4">
        <v>75.400393066082202</v>
      </c>
      <c r="I159" s="1">
        <v>250</v>
      </c>
      <c r="J159" s="29">
        <v>200</v>
      </c>
      <c r="K159" s="22">
        <v>130</v>
      </c>
      <c r="L159" s="29">
        <v>150</v>
      </c>
      <c r="M159" s="5">
        <v>0.2</v>
      </c>
      <c r="N159" s="21">
        <v>0.132937226885218</v>
      </c>
      <c r="O159" s="22">
        <v>201.87731844431701</v>
      </c>
      <c r="P159" s="22">
        <v>72.012286636750801</v>
      </c>
      <c r="Q159" s="23">
        <v>5.4123833185813597E-2</v>
      </c>
      <c r="R159" s="21">
        <v>0.66468613442608804</v>
      </c>
      <c r="S159" s="5">
        <v>0.125101055457567</v>
      </c>
      <c r="T159" s="22">
        <v>201.87731844431701</v>
      </c>
      <c r="U159" s="22">
        <v>154</v>
      </c>
      <c r="V159" s="23">
        <v>2.1000000000000001E-2</v>
      </c>
      <c r="W159" s="21">
        <f t="shared" si="4"/>
        <v>1.4012853750535332</v>
      </c>
      <c r="X159" s="21">
        <f t="shared" si="5"/>
        <v>0.375</v>
      </c>
      <c r="Y159" s="21">
        <v>0.625505277287835</v>
      </c>
      <c r="Z159" s="21">
        <v>0.14470910643208201</v>
      </c>
      <c r="AA159" s="22">
        <v>201.87731844431701</v>
      </c>
      <c r="AB159" s="22">
        <v>72.012286636750801</v>
      </c>
      <c r="AC159" s="23">
        <v>5.4123833185813597E-2</v>
      </c>
      <c r="AD159" s="21">
        <v>0.72354553216040896</v>
      </c>
      <c r="AE159" s="21">
        <v>0.171200382899061</v>
      </c>
      <c r="AF159" s="21">
        <v>0.155623844444048</v>
      </c>
      <c r="AG159" s="22">
        <v>211.016284896576</v>
      </c>
      <c r="AH159" s="23">
        <v>1.9599999999999999E-2</v>
      </c>
      <c r="AI159" s="21">
        <v>0.77811922222023799</v>
      </c>
    </row>
    <row r="160" spans="1:35" x14ac:dyDescent="0.25">
      <c r="B160" s="1">
        <v>20</v>
      </c>
      <c r="C160" s="1">
        <v>1</v>
      </c>
      <c r="D160" s="3">
        <v>40</v>
      </c>
      <c r="E160" s="5">
        <v>2.8</v>
      </c>
      <c r="F160" s="1">
        <v>40</v>
      </c>
      <c r="G160" s="1">
        <v>50</v>
      </c>
      <c r="H160" s="4">
        <v>75.400393066082202</v>
      </c>
      <c r="I160" s="1">
        <v>250</v>
      </c>
      <c r="J160" s="29">
        <v>200</v>
      </c>
      <c r="K160" s="22">
        <v>130</v>
      </c>
      <c r="L160" s="29">
        <v>150</v>
      </c>
      <c r="M160" s="5">
        <v>0.24</v>
      </c>
      <c r="N160" s="21">
        <v>0.16046767336855</v>
      </c>
      <c r="O160" s="22">
        <v>234.73684599685399</v>
      </c>
      <c r="P160" s="22">
        <v>72.012286636750801</v>
      </c>
      <c r="Q160" s="23">
        <v>5.4123833185813597E-2</v>
      </c>
      <c r="R160" s="21">
        <v>0.66861530570229299</v>
      </c>
      <c r="S160" s="5">
        <v>0.16257044022638101</v>
      </c>
      <c r="T160" s="22">
        <v>234.73684599685399</v>
      </c>
      <c r="U160" s="22">
        <v>154</v>
      </c>
      <c r="V160" s="23">
        <v>2.1000000000000001E-2</v>
      </c>
      <c r="W160" s="21">
        <f t="shared" si="4"/>
        <v>1.4012853750535332</v>
      </c>
      <c r="X160" s="21">
        <f t="shared" si="5"/>
        <v>0.375</v>
      </c>
      <c r="Y160" s="21">
        <v>0.67737683427658701</v>
      </c>
      <c r="Z160" s="21">
        <v>0.17467743361645399</v>
      </c>
      <c r="AA160" s="22">
        <v>234.73684599685399</v>
      </c>
      <c r="AB160" s="22">
        <v>72.012286636750801</v>
      </c>
      <c r="AC160" s="23">
        <v>5.4123833185813597E-2</v>
      </c>
      <c r="AD160" s="21">
        <v>0.72782264006855901</v>
      </c>
      <c r="AE160" s="21">
        <v>0.19906663227381899</v>
      </c>
      <c r="AF160" s="21">
        <v>0.21040866213409001</v>
      </c>
      <c r="AG160" s="22">
        <v>245.36336004610899</v>
      </c>
      <c r="AH160" s="23">
        <v>1.9599999999999999E-2</v>
      </c>
      <c r="AI160" s="21">
        <v>0.82944430114091094</v>
      </c>
    </row>
    <row r="161" spans="1:35" x14ac:dyDescent="0.25">
      <c r="B161" s="1">
        <v>20</v>
      </c>
      <c r="C161" s="1">
        <v>1</v>
      </c>
      <c r="D161" s="3">
        <v>40</v>
      </c>
      <c r="E161" s="5">
        <v>2.8</v>
      </c>
      <c r="F161" s="1">
        <v>40</v>
      </c>
      <c r="G161" s="1">
        <v>50</v>
      </c>
      <c r="H161" s="4">
        <v>75.400393066082202</v>
      </c>
      <c r="I161" s="1">
        <v>250</v>
      </c>
      <c r="J161" s="29">
        <v>200</v>
      </c>
      <c r="K161" s="22">
        <v>130</v>
      </c>
      <c r="L161" s="29">
        <v>150</v>
      </c>
      <c r="M161" s="5">
        <v>0.27</v>
      </c>
      <c r="N161" s="21">
        <v>0.18769391602333799</v>
      </c>
      <c r="O161" s="22">
        <v>267.23328484715302</v>
      </c>
      <c r="P161" s="22">
        <v>72.012286636750801</v>
      </c>
      <c r="Q161" s="23">
        <v>5.4123833185813597E-2</v>
      </c>
      <c r="R161" s="21">
        <v>0.69516265193828897</v>
      </c>
      <c r="S161" s="5">
        <v>0.199625798644158</v>
      </c>
      <c r="T161" s="22">
        <v>267.23328484715302</v>
      </c>
      <c r="U161" s="22">
        <v>154</v>
      </c>
      <c r="V161" s="23">
        <v>2.1000000000000001E-2</v>
      </c>
      <c r="W161" s="21">
        <f t="shared" si="4"/>
        <v>1.4012853750535332</v>
      </c>
      <c r="X161" s="21">
        <f t="shared" si="5"/>
        <v>0.375</v>
      </c>
      <c r="Y161" s="21">
        <v>0.73935480979317703</v>
      </c>
      <c r="Z161" s="21">
        <v>0.20431461906398299</v>
      </c>
      <c r="AA161" s="22">
        <v>267.23328484715302</v>
      </c>
      <c r="AB161" s="22">
        <v>72.012286636750801</v>
      </c>
      <c r="AC161" s="23">
        <v>5.4123833185813597E-2</v>
      </c>
      <c r="AD161" s="21">
        <v>0.756720811348083</v>
      </c>
      <c r="AE161" s="21">
        <v>0.226624967290844</v>
      </c>
      <c r="AF161" s="21">
        <v>0.27269814592917901</v>
      </c>
      <c r="AG161" s="22">
        <v>279.33090950338197</v>
      </c>
      <c r="AH161" s="23">
        <v>1.9599999999999999E-2</v>
      </c>
      <c r="AI161" s="21">
        <v>0.839351730706829</v>
      </c>
    </row>
    <row r="162" spans="1:35" x14ac:dyDescent="0.25">
      <c r="B162" s="1">
        <v>20</v>
      </c>
      <c r="C162" s="1">
        <v>1</v>
      </c>
      <c r="D162" s="3">
        <v>40</v>
      </c>
      <c r="E162" s="5">
        <v>2.8</v>
      </c>
      <c r="F162" s="1">
        <v>40</v>
      </c>
      <c r="G162" s="1">
        <v>50</v>
      </c>
      <c r="H162" s="4">
        <v>75.400393066082202</v>
      </c>
      <c r="I162" s="1">
        <v>250</v>
      </c>
      <c r="J162" s="29">
        <v>200</v>
      </c>
      <c r="K162" s="22">
        <v>130</v>
      </c>
      <c r="L162" s="29">
        <v>150</v>
      </c>
      <c r="M162" s="5">
        <v>0.28999999999999998</v>
      </c>
      <c r="N162" s="21">
        <v>0.21598487207803399</v>
      </c>
      <c r="O162" s="22">
        <v>301.00053415528498</v>
      </c>
      <c r="P162" s="22">
        <v>72.012286636750801</v>
      </c>
      <c r="Q162" s="23">
        <v>5.4123833185813597E-2</v>
      </c>
      <c r="R162" s="21">
        <v>0.74477542095873694</v>
      </c>
      <c r="S162" s="5">
        <v>0.23813024929056301</v>
      </c>
      <c r="T162" s="22">
        <v>301.00053415528498</v>
      </c>
      <c r="U162" s="22">
        <v>154</v>
      </c>
      <c r="V162" s="23">
        <v>2.1000000000000001E-2</v>
      </c>
      <c r="W162" s="21">
        <f t="shared" si="4"/>
        <v>1.4012853750535332</v>
      </c>
      <c r="X162" s="21">
        <f t="shared" si="5"/>
        <v>0.375</v>
      </c>
      <c r="Y162" s="21">
        <v>0.82113879065711504</v>
      </c>
      <c r="Z162" s="21">
        <v>0.23511080059046499</v>
      </c>
      <c r="AA162" s="22">
        <v>301.00053415528498</v>
      </c>
      <c r="AB162" s="22">
        <v>72.012286636750801</v>
      </c>
      <c r="AC162" s="23">
        <v>5.4123833185813597E-2</v>
      </c>
      <c r="AD162" s="21">
        <v>0.810726898587809</v>
      </c>
      <c r="AE162" s="21">
        <v>0.255261002559932</v>
      </c>
      <c r="AF162" s="21">
        <v>0.34596775037385402</v>
      </c>
      <c r="AG162" s="22">
        <v>314.62679888356502</v>
      </c>
      <c r="AH162" s="23">
        <v>1.9599999999999999E-2</v>
      </c>
      <c r="AI162" s="21">
        <v>0.88021035365493705</v>
      </c>
    </row>
    <row r="163" spans="1:35" x14ac:dyDescent="0.25">
      <c r="B163" s="1">
        <v>20</v>
      </c>
      <c r="C163" s="1">
        <v>1</v>
      </c>
      <c r="D163" s="3">
        <v>40</v>
      </c>
      <c r="E163" s="5">
        <v>2.8</v>
      </c>
      <c r="F163" s="1">
        <v>40</v>
      </c>
      <c r="G163" s="1">
        <v>50</v>
      </c>
      <c r="H163" s="4">
        <v>75.400393066082202</v>
      </c>
      <c r="I163" s="1">
        <v>250</v>
      </c>
      <c r="J163" s="29">
        <v>200</v>
      </c>
      <c r="K163" s="22">
        <v>130</v>
      </c>
      <c r="L163" s="29">
        <v>150</v>
      </c>
      <c r="M163" s="5">
        <v>0.32</v>
      </c>
      <c r="N163" s="21">
        <v>0.24290691090427599</v>
      </c>
      <c r="O163" s="22">
        <v>333.13388430334601</v>
      </c>
      <c r="P163" s="22">
        <v>72.012286636750801</v>
      </c>
      <c r="Q163" s="23">
        <v>5.4123833185813597E-2</v>
      </c>
      <c r="R163" s="21">
        <v>0.75908409657586295</v>
      </c>
      <c r="S163" s="5">
        <v>0.27477158135730401</v>
      </c>
      <c r="T163" s="22">
        <v>333.13388430334601</v>
      </c>
      <c r="U163" s="22">
        <v>154</v>
      </c>
      <c r="V163" s="23">
        <v>2.1000000000000001E-2</v>
      </c>
      <c r="W163" s="21">
        <f t="shared" si="4"/>
        <v>1.4012853750535332</v>
      </c>
      <c r="X163" s="21">
        <f t="shared" si="5"/>
        <v>0.375</v>
      </c>
      <c r="Y163" s="21">
        <v>0.85866119174157396</v>
      </c>
      <c r="Z163" s="21">
        <v>0.26441684430114898</v>
      </c>
      <c r="AA163" s="22">
        <v>333.13388430334601</v>
      </c>
      <c r="AB163" s="22">
        <v>72.012286636750801</v>
      </c>
      <c r="AC163" s="23">
        <v>5.4123833185813597E-2</v>
      </c>
      <c r="AD163" s="21">
        <v>0.82630263844109098</v>
      </c>
      <c r="AE163" s="21">
        <v>0.28251142321922501</v>
      </c>
      <c r="AF163" s="21">
        <v>0.42377828820333802</v>
      </c>
      <c r="AG163" s="22">
        <v>348.21482264857701</v>
      </c>
      <c r="AH163" s="23">
        <v>1.9599999999999999E-2</v>
      </c>
      <c r="AI163" s="21">
        <v>0.88284819756007704</v>
      </c>
    </row>
    <row r="164" spans="1:35" x14ac:dyDescent="0.25">
      <c r="B164" s="1">
        <v>20</v>
      </c>
      <c r="C164" s="1">
        <v>1</v>
      </c>
      <c r="D164" s="3">
        <v>40</v>
      </c>
      <c r="E164" s="5">
        <v>2.8</v>
      </c>
      <c r="F164" s="1">
        <v>40</v>
      </c>
      <c r="G164" s="1">
        <v>50</v>
      </c>
      <c r="H164" s="4">
        <v>75.400393066082202</v>
      </c>
      <c r="I164" s="1">
        <v>250</v>
      </c>
      <c r="J164" s="29">
        <v>200</v>
      </c>
      <c r="K164" s="22">
        <v>130</v>
      </c>
      <c r="L164" s="29">
        <v>150</v>
      </c>
      <c r="M164" s="5">
        <v>0.33</v>
      </c>
      <c r="N164" s="21">
        <v>0.25598767553171597</v>
      </c>
      <c r="O164" s="22">
        <v>348.746698499579</v>
      </c>
      <c r="P164" s="22">
        <v>72.012286636750801</v>
      </c>
      <c r="Q164" s="23">
        <v>5.4123833185813597E-2</v>
      </c>
      <c r="R164" s="21">
        <v>0.77572022888398795</v>
      </c>
      <c r="S164" s="5">
        <v>0.29257471445187799</v>
      </c>
      <c r="T164" s="22">
        <v>348.746698499579</v>
      </c>
      <c r="U164" s="22">
        <v>154</v>
      </c>
      <c r="V164" s="23">
        <v>2.1000000000000001E-2</v>
      </c>
      <c r="W164" s="21">
        <f t="shared" si="4"/>
        <v>1.4012853750535332</v>
      </c>
      <c r="X164" s="21">
        <f t="shared" si="5"/>
        <v>0.375</v>
      </c>
      <c r="Y164" s="21">
        <v>0.88659004379356998</v>
      </c>
      <c r="Z164" s="21">
        <v>0.278655938985436</v>
      </c>
      <c r="AA164" s="22">
        <v>348.746698499579</v>
      </c>
      <c r="AB164" s="22">
        <v>72.012286636750801</v>
      </c>
      <c r="AC164" s="23">
        <v>5.4123833185813597E-2</v>
      </c>
      <c r="AD164" s="21">
        <v>0.84441193631950395</v>
      </c>
      <c r="AE164" s="21">
        <v>0.295751740601706</v>
      </c>
      <c r="AF164" s="21">
        <v>0.46443110099199603</v>
      </c>
      <c r="AG164" s="22">
        <v>364.53442741575799</v>
      </c>
      <c r="AH164" s="23">
        <v>1.9599999999999999E-2</v>
      </c>
      <c r="AI164" s="21">
        <v>0.89621739576274495</v>
      </c>
    </row>
    <row r="165" spans="1:35" x14ac:dyDescent="0.25">
      <c r="A165" t="s">
        <v>58</v>
      </c>
      <c r="B165" s="1">
        <v>10</v>
      </c>
      <c r="C165" s="1">
        <v>1</v>
      </c>
      <c r="D165" s="3">
        <v>45</v>
      </c>
      <c r="E165" s="5">
        <v>2.8</v>
      </c>
      <c r="F165" s="1">
        <v>40</v>
      </c>
      <c r="G165" s="1">
        <v>45</v>
      </c>
      <c r="H165" s="4">
        <v>54.138654849565903</v>
      </c>
      <c r="I165" s="1">
        <v>350</v>
      </c>
      <c r="J165" s="29">
        <v>305</v>
      </c>
      <c r="K165" s="22">
        <v>177</v>
      </c>
      <c r="L165" s="29">
        <v>95</v>
      </c>
      <c r="M165" s="5">
        <v>0.15</v>
      </c>
      <c r="N165" s="21">
        <v>0.16612686256381701</v>
      </c>
      <c r="O165" s="22">
        <v>310.30985357473799</v>
      </c>
      <c r="P165" s="22">
        <v>372.60441372746999</v>
      </c>
      <c r="Q165" s="23">
        <v>7.9598096831560508E-3</v>
      </c>
      <c r="R165" s="21">
        <v>1.10751241709211</v>
      </c>
      <c r="S165" s="5">
        <v>0.18861841261242801</v>
      </c>
      <c r="T165" s="22">
        <v>310.30985357473799</v>
      </c>
      <c r="U165" s="22">
        <v>360</v>
      </c>
      <c r="V165" s="23">
        <v>8.2631578947368403E-3</v>
      </c>
      <c r="W165" s="21">
        <f t="shared" si="4"/>
        <v>1.1793819608717111</v>
      </c>
      <c r="X165" s="21">
        <f t="shared" si="5"/>
        <v>0.72543352601156075</v>
      </c>
      <c r="Y165" s="21">
        <v>1.2574560840828499</v>
      </c>
      <c r="Z165" s="21">
        <v>0.29056052556803103</v>
      </c>
      <c r="AA165" s="22">
        <v>310.30985357473799</v>
      </c>
      <c r="AB165" s="22">
        <v>372.60441372746999</v>
      </c>
      <c r="AC165" s="23">
        <v>7.9598096831560508E-3</v>
      </c>
      <c r="AD165" s="21">
        <v>1.93707017045354</v>
      </c>
      <c r="AE165" s="21">
        <v>0.26142925199470501</v>
      </c>
      <c r="AF165" s="21">
        <v>0.171502935220785</v>
      </c>
      <c r="AG165" s="22">
        <v>317.55901169675798</v>
      </c>
      <c r="AH165" s="23">
        <v>8.3999999999999995E-3</v>
      </c>
      <c r="AI165" s="21">
        <v>1.1433529014718999</v>
      </c>
    </row>
    <row r="166" spans="1:35" x14ac:dyDescent="0.25">
      <c r="B166" s="1">
        <v>10</v>
      </c>
      <c r="C166" s="1">
        <v>1</v>
      </c>
      <c r="D166" s="3">
        <v>45</v>
      </c>
      <c r="E166" s="5">
        <v>2.8</v>
      </c>
      <c r="F166" s="1">
        <v>40</v>
      </c>
      <c r="G166" s="1">
        <v>45</v>
      </c>
      <c r="H166" s="4">
        <v>54.138654849565903</v>
      </c>
      <c r="I166" s="1">
        <v>350</v>
      </c>
      <c r="J166" s="29">
        <v>305</v>
      </c>
      <c r="K166" s="22">
        <v>177</v>
      </c>
      <c r="L166" s="29">
        <v>95</v>
      </c>
      <c r="M166" s="5">
        <v>0.19</v>
      </c>
      <c r="N166" s="21">
        <v>0.20438424701114299</v>
      </c>
      <c r="O166" s="22">
        <v>330.286882774829</v>
      </c>
      <c r="P166" s="22">
        <v>372.60441372746999</v>
      </c>
      <c r="Q166" s="23">
        <v>7.9598096831560508E-3</v>
      </c>
      <c r="R166" s="21">
        <v>1.0757065632165399</v>
      </c>
      <c r="S166" s="5">
        <v>0.20076122887503001</v>
      </c>
      <c r="T166" s="22">
        <v>330.286882774829</v>
      </c>
      <c r="U166" s="22">
        <v>360</v>
      </c>
      <c r="V166" s="23">
        <v>8.2631578947368403E-3</v>
      </c>
      <c r="W166" s="21">
        <f t="shared" si="4"/>
        <v>1.1793819608717111</v>
      </c>
      <c r="X166" s="21">
        <f t="shared" si="5"/>
        <v>0.72543352601156075</v>
      </c>
      <c r="Y166" s="21">
        <v>1.0566380467106899</v>
      </c>
      <c r="Z166" s="21">
        <v>0.30926613880202503</v>
      </c>
      <c r="AA166" s="22">
        <v>330.286882774829</v>
      </c>
      <c r="AB166" s="22">
        <v>372.60441372746999</v>
      </c>
      <c r="AC166" s="23">
        <v>7.9598096831560508E-3</v>
      </c>
      <c r="AD166" s="21">
        <v>1.62771652001066</v>
      </c>
      <c r="AE166" s="21">
        <v>0.27825946135058699</v>
      </c>
      <c r="AF166" s="21">
        <v>0.19429564972313301</v>
      </c>
      <c r="AG166" s="22">
        <v>338.00272489612001</v>
      </c>
      <c r="AH166" s="23">
        <v>8.3999999999999995E-3</v>
      </c>
      <c r="AI166" s="21">
        <v>1.0226086827533301</v>
      </c>
    </row>
    <row r="167" spans="1:35" x14ac:dyDescent="0.25">
      <c r="B167" s="1">
        <v>10</v>
      </c>
      <c r="C167" s="1">
        <v>1</v>
      </c>
      <c r="D167" s="3">
        <v>45</v>
      </c>
      <c r="E167" s="5">
        <v>2.8</v>
      </c>
      <c r="F167" s="1">
        <v>40</v>
      </c>
      <c r="G167" s="1">
        <v>45</v>
      </c>
      <c r="H167" s="4">
        <v>54.138654849565903</v>
      </c>
      <c r="I167" s="1">
        <v>350</v>
      </c>
      <c r="J167" s="29">
        <v>305</v>
      </c>
      <c r="K167" s="22">
        <v>177</v>
      </c>
      <c r="L167" s="29">
        <v>95</v>
      </c>
      <c r="M167" s="5">
        <v>0.2</v>
      </c>
      <c r="N167" s="21">
        <v>0.21203572390060799</v>
      </c>
      <c r="O167" s="22">
        <v>334.282288614847</v>
      </c>
      <c r="P167" s="22">
        <v>372.60441372746999</v>
      </c>
      <c r="Q167" s="23">
        <v>7.9598096831560508E-3</v>
      </c>
      <c r="R167" s="21">
        <v>1.06017861950304</v>
      </c>
      <c r="S167" s="5">
        <v>0.20318979212755101</v>
      </c>
      <c r="T167" s="22">
        <v>334.282288614847</v>
      </c>
      <c r="U167" s="22">
        <v>360</v>
      </c>
      <c r="V167" s="23">
        <v>8.2631578947368403E-3</v>
      </c>
      <c r="W167" s="21">
        <f t="shared" si="4"/>
        <v>1.1793819608717111</v>
      </c>
      <c r="X167" s="21">
        <f t="shared" si="5"/>
        <v>0.72543352601156075</v>
      </c>
      <c r="Y167" s="21">
        <v>1.0159489606377501</v>
      </c>
      <c r="Z167" s="21">
        <v>0.31300726144882302</v>
      </c>
      <c r="AA167" s="22">
        <v>334.282288614847</v>
      </c>
      <c r="AB167" s="22">
        <v>372.60441372746999</v>
      </c>
      <c r="AC167" s="23">
        <v>7.9598096831560508E-3</v>
      </c>
      <c r="AD167" s="21">
        <v>1.56503630724412</v>
      </c>
      <c r="AE167" s="21">
        <v>0.281625503221764</v>
      </c>
      <c r="AF167" s="21">
        <v>0.19902478258661399</v>
      </c>
      <c r="AG167" s="22">
        <v>342.09146753599202</v>
      </c>
      <c r="AH167" s="23">
        <v>8.3999999999999995E-3</v>
      </c>
      <c r="AI167" s="21">
        <v>0.99512391293306801</v>
      </c>
    </row>
    <row r="168" spans="1:35" x14ac:dyDescent="0.25">
      <c r="B168" s="1">
        <v>10</v>
      </c>
      <c r="C168" s="1">
        <v>1</v>
      </c>
      <c r="D168" s="3">
        <v>45</v>
      </c>
      <c r="E168" s="5">
        <v>2.8</v>
      </c>
      <c r="F168" s="1">
        <v>40</v>
      </c>
      <c r="G168" s="1">
        <v>45</v>
      </c>
      <c r="H168" s="4">
        <v>54.138654849565903</v>
      </c>
      <c r="I168" s="1">
        <v>350</v>
      </c>
      <c r="J168" s="29">
        <v>305</v>
      </c>
      <c r="K168" s="22">
        <v>177</v>
      </c>
      <c r="L168" s="29">
        <v>95</v>
      </c>
      <c r="M168" s="5">
        <v>0.23</v>
      </c>
      <c r="N168" s="21">
        <v>0.24434195965612701</v>
      </c>
      <c r="O168" s="22">
        <v>351.151779939368</v>
      </c>
      <c r="P168" s="22">
        <v>372.60441372746999</v>
      </c>
      <c r="Q168" s="23">
        <v>7.9598096831560508E-3</v>
      </c>
      <c r="R168" s="21">
        <v>1.06235634633099</v>
      </c>
      <c r="S168" s="5">
        <v>0.21344372586041499</v>
      </c>
      <c r="T168" s="22">
        <v>351.151779939368</v>
      </c>
      <c r="U168" s="22">
        <v>360</v>
      </c>
      <c r="V168" s="23">
        <v>8.2631578947368403E-3</v>
      </c>
      <c r="W168" s="21">
        <f t="shared" si="4"/>
        <v>1.1793819608717111</v>
      </c>
      <c r="X168" s="21">
        <f t="shared" si="5"/>
        <v>0.72543352601156075</v>
      </c>
      <c r="Y168" s="21">
        <v>0.92801619939310998</v>
      </c>
      <c r="Z168" s="21">
        <v>0.32880311262419598</v>
      </c>
      <c r="AA168" s="22">
        <v>351.151779939368</v>
      </c>
      <c r="AB168" s="22">
        <v>372.60441372746999</v>
      </c>
      <c r="AC168" s="23">
        <v>7.9598096831560508E-3</v>
      </c>
      <c r="AD168" s="21">
        <v>1.42957875053998</v>
      </c>
      <c r="AE168" s="21">
        <v>0.295837680011176</v>
      </c>
      <c r="AF168" s="21">
        <v>0.21961913301830299</v>
      </c>
      <c r="AG168" s="22">
        <v>359.35504757100898</v>
      </c>
      <c r="AH168" s="23">
        <v>8.3999999999999995E-3</v>
      </c>
      <c r="AI168" s="21">
        <v>0.95486579573175301</v>
      </c>
    </row>
    <row r="169" spans="1:35" x14ac:dyDescent="0.25">
      <c r="B169" s="1">
        <v>10</v>
      </c>
      <c r="C169" s="1">
        <v>1</v>
      </c>
      <c r="D169" s="3">
        <v>45</v>
      </c>
      <c r="E169" s="5">
        <v>2.8</v>
      </c>
      <c r="F169" s="1">
        <v>40</v>
      </c>
      <c r="G169" s="1">
        <v>45</v>
      </c>
      <c r="H169" s="4">
        <v>54.138654849565903</v>
      </c>
      <c r="I169" s="1">
        <v>350</v>
      </c>
      <c r="J169" s="29">
        <v>305</v>
      </c>
      <c r="K169" s="22">
        <v>177</v>
      </c>
      <c r="L169" s="29">
        <v>95</v>
      </c>
      <c r="M169" s="5">
        <v>0.25</v>
      </c>
      <c r="N169" s="21">
        <v>0.26644622622569403</v>
      </c>
      <c r="O169" s="22">
        <v>362.69406347719797</v>
      </c>
      <c r="P169" s="22">
        <v>372.60441372746999</v>
      </c>
      <c r="Q169" s="23">
        <v>7.9598096831560508E-3</v>
      </c>
      <c r="R169" s="21">
        <v>1.0657849049027699</v>
      </c>
      <c r="S169" s="5">
        <v>0.223197905782135</v>
      </c>
      <c r="T169" s="22">
        <v>362.69406347719797</v>
      </c>
      <c r="U169" s="22">
        <v>360</v>
      </c>
      <c r="V169" s="23">
        <v>8.2631578947368403E-3</v>
      </c>
      <c r="W169" s="21">
        <f t="shared" si="4"/>
        <v>1.1793819608717111</v>
      </c>
      <c r="X169" s="21">
        <f t="shared" si="5"/>
        <v>0.72543352601156075</v>
      </c>
      <c r="Y169" s="21">
        <v>0.89279162312854099</v>
      </c>
      <c r="Z169" s="21">
        <v>0.339610800270503</v>
      </c>
      <c r="AA169" s="22">
        <v>362.69406347719797</v>
      </c>
      <c r="AB169" s="22">
        <v>372.60441372746999</v>
      </c>
      <c r="AC169" s="23">
        <v>7.9598096831560508E-3</v>
      </c>
      <c r="AD169" s="21">
        <v>1.35844320108201</v>
      </c>
      <c r="AE169" s="21">
        <v>0.30556180097235203</v>
      </c>
      <c r="AF169" s="21">
        <v>0.23429408193512999</v>
      </c>
      <c r="AG169" s="22">
        <v>371.16697075286299</v>
      </c>
      <c r="AH169" s="23">
        <v>8.3999999999999995E-3</v>
      </c>
      <c r="AI169" s="21">
        <v>0.93717632774051995</v>
      </c>
    </row>
    <row r="170" spans="1:35" x14ac:dyDescent="0.25">
      <c r="B170" s="1">
        <v>10</v>
      </c>
      <c r="C170" s="1">
        <v>1</v>
      </c>
      <c r="D170" s="3">
        <v>45</v>
      </c>
      <c r="E170" s="5">
        <v>2.8</v>
      </c>
      <c r="F170" s="1">
        <v>40</v>
      </c>
      <c r="G170" s="1">
        <v>45</v>
      </c>
      <c r="H170" s="4">
        <v>54.138654849565903</v>
      </c>
      <c r="I170" s="1">
        <v>350</v>
      </c>
      <c r="J170" s="29">
        <v>305</v>
      </c>
      <c r="K170" s="22">
        <v>177</v>
      </c>
      <c r="L170" s="29">
        <v>95</v>
      </c>
      <c r="M170" s="5">
        <v>0.28000000000000003</v>
      </c>
      <c r="N170" s="21">
        <v>0.29110098509174798</v>
      </c>
      <c r="O170" s="22">
        <v>375.56814896170101</v>
      </c>
      <c r="P170" s="22">
        <v>372.60441372746999</v>
      </c>
      <c r="Q170" s="23">
        <v>7.9598096831560508E-3</v>
      </c>
      <c r="R170" s="21">
        <v>1.0396463753276699</v>
      </c>
      <c r="S170" s="5">
        <v>0.24276133198299499</v>
      </c>
      <c r="T170" s="22">
        <v>375.56814896170101</v>
      </c>
      <c r="U170" s="22">
        <v>360</v>
      </c>
      <c r="V170" s="23">
        <v>8.2631578947368403E-3</v>
      </c>
      <c r="W170" s="21">
        <f t="shared" si="4"/>
        <v>1.1793819608717111</v>
      </c>
      <c r="X170" s="21">
        <f t="shared" si="5"/>
        <v>0.72543352601156075</v>
      </c>
      <c r="Y170" s="21">
        <v>0.86700475708212599</v>
      </c>
      <c r="Z170" s="21">
        <v>0.35166552879907598</v>
      </c>
      <c r="AA170" s="22">
        <v>375.56814896170101</v>
      </c>
      <c r="AB170" s="22">
        <v>372.60441372746999</v>
      </c>
      <c r="AC170" s="23">
        <v>7.9598096831560508E-3</v>
      </c>
      <c r="AD170" s="21">
        <v>1.25594831713956</v>
      </c>
      <c r="AE170" s="21">
        <v>0.31640793589058702</v>
      </c>
      <c r="AF170" s="21">
        <v>0.25122215219469302</v>
      </c>
      <c r="AG170" s="22">
        <v>384.34180814800698</v>
      </c>
      <c r="AH170" s="23">
        <v>8.3999999999999995E-3</v>
      </c>
      <c r="AI170" s="21">
        <v>0.89722197212390398</v>
      </c>
    </row>
    <row r="171" spans="1:35" x14ac:dyDescent="0.25">
      <c r="B171" s="1">
        <v>10</v>
      </c>
      <c r="C171" s="1">
        <v>1</v>
      </c>
      <c r="D171" s="3">
        <v>45</v>
      </c>
      <c r="E171" s="5">
        <v>2.8</v>
      </c>
      <c r="F171" s="1">
        <v>40</v>
      </c>
      <c r="G171" s="1">
        <v>45</v>
      </c>
      <c r="H171" s="4">
        <v>54.138654849565903</v>
      </c>
      <c r="I171" s="1">
        <v>350</v>
      </c>
      <c r="J171" s="29">
        <v>305</v>
      </c>
      <c r="K171" s="22">
        <v>177</v>
      </c>
      <c r="L171" s="29">
        <v>95</v>
      </c>
      <c r="M171" s="5">
        <v>0.31</v>
      </c>
      <c r="N171" s="21">
        <v>0.31320525166131402</v>
      </c>
      <c r="O171" s="22">
        <v>387.11043249953099</v>
      </c>
      <c r="P171" s="22">
        <v>372.60441372746999</v>
      </c>
      <c r="Q171" s="23">
        <v>7.9598096831560508E-3</v>
      </c>
      <c r="R171" s="21">
        <v>1.0103395214881099</v>
      </c>
      <c r="S171" s="5">
        <v>0.26030095547342103</v>
      </c>
      <c r="T171" s="22">
        <v>387.11043249953099</v>
      </c>
      <c r="U171" s="22">
        <v>360</v>
      </c>
      <c r="V171" s="23">
        <v>8.2631578947368403E-3</v>
      </c>
      <c r="W171" s="21">
        <f t="shared" si="4"/>
        <v>1.1793819608717111</v>
      </c>
      <c r="X171" s="21">
        <f t="shared" si="5"/>
        <v>0.72543352601156075</v>
      </c>
      <c r="Y171" s="21">
        <v>0.839680501527165</v>
      </c>
      <c r="Z171" s="21">
        <v>0.36247321644538399</v>
      </c>
      <c r="AA171" s="22">
        <v>387.11043249953099</v>
      </c>
      <c r="AB171" s="22">
        <v>372.60441372746999</v>
      </c>
      <c r="AC171" s="23">
        <v>7.9598096831560508E-3</v>
      </c>
      <c r="AD171" s="21">
        <v>1.1692684401464</v>
      </c>
      <c r="AE171" s="21">
        <v>0.326132056851764</v>
      </c>
      <c r="AF171" s="21">
        <v>0.26690098443294502</v>
      </c>
      <c r="AG171" s="22">
        <v>396.15373132986099</v>
      </c>
      <c r="AH171" s="23">
        <v>8.3999999999999995E-3</v>
      </c>
      <c r="AI171" s="21">
        <v>0.86097091752562904</v>
      </c>
    </row>
    <row r="172" spans="1:35" x14ac:dyDescent="0.25">
      <c r="B172" s="1">
        <v>10</v>
      </c>
      <c r="C172" s="1">
        <v>1</v>
      </c>
      <c r="D172" s="3">
        <v>45</v>
      </c>
      <c r="E172" s="5">
        <v>2.8</v>
      </c>
      <c r="F172" s="1">
        <v>40</v>
      </c>
      <c r="G172" s="1">
        <v>45</v>
      </c>
      <c r="H172" s="4">
        <v>54.138654849565903</v>
      </c>
      <c r="I172" s="1">
        <v>350</v>
      </c>
      <c r="J172" s="29">
        <v>305</v>
      </c>
      <c r="K172" s="22">
        <v>177</v>
      </c>
      <c r="L172" s="29">
        <v>95</v>
      </c>
      <c r="M172" s="5">
        <v>0.36</v>
      </c>
      <c r="N172" s="21">
        <v>0.339560338725027</v>
      </c>
      <c r="O172" s="22">
        <v>400.87238594848202</v>
      </c>
      <c r="P172" s="22">
        <v>372.60441372746999</v>
      </c>
      <c r="Q172" s="23">
        <v>7.9598096831560508E-3</v>
      </c>
      <c r="R172" s="21">
        <v>0.94322316312507504</v>
      </c>
      <c r="S172" s="5">
        <v>0.28121358348123698</v>
      </c>
      <c r="T172" s="22">
        <v>400.87238594848202</v>
      </c>
      <c r="U172" s="22">
        <v>360</v>
      </c>
      <c r="V172" s="23">
        <v>8.2631578947368403E-3</v>
      </c>
      <c r="W172" s="21">
        <f t="shared" si="4"/>
        <v>1.1793819608717111</v>
      </c>
      <c r="X172" s="21">
        <f t="shared" si="5"/>
        <v>0.72543352601156075</v>
      </c>
      <c r="Y172" s="21">
        <v>0.78114884300343501</v>
      </c>
      <c r="Z172" s="21">
        <v>0.37535930556213498</v>
      </c>
      <c r="AA172" s="22">
        <v>400.87238594848202</v>
      </c>
      <c r="AB172" s="22">
        <v>372.60441372746999</v>
      </c>
      <c r="AC172" s="23">
        <v>7.9598096831560508E-3</v>
      </c>
      <c r="AD172" s="21">
        <v>1.0426647376725999</v>
      </c>
      <c r="AE172" s="21">
        <v>0.33772620107470502</v>
      </c>
      <c r="AF172" s="21">
        <v>0.28621520812574103</v>
      </c>
      <c r="AG172" s="22">
        <v>410.23717820053298</v>
      </c>
      <c r="AH172" s="23">
        <v>8.3999999999999995E-3</v>
      </c>
      <c r="AI172" s="21">
        <v>0.79504224479372398</v>
      </c>
    </row>
    <row r="173" spans="1:35" x14ac:dyDescent="0.25">
      <c r="A173" t="s">
        <v>59</v>
      </c>
      <c r="B173" s="1">
        <v>10</v>
      </c>
      <c r="C173" s="1">
        <v>1</v>
      </c>
      <c r="D173" s="3">
        <v>45</v>
      </c>
      <c r="E173" s="5">
        <v>2.8</v>
      </c>
      <c r="F173" s="1">
        <v>40</v>
      </c>
      <c r="G173" s="1">
        <v>45</v>
      </c>
      <c r="H173" s="4">
        <v>54.138654849565903</v>
      </c>
      <c r="I173" s="1">
        <v>350</v>
      </c>
      <c r="J173" s="29">
        <v>305</v>
      </c>
      <c r="K173" s="22">
        <v>177</v>
      </c>
      <c r="L173" s="29">
        <v>95</v>
      </c>
      <c r="M173" s="5">
        <v>0.16</v>
      </c>
      <c r="N173" s="21">
        <v>0.16357637026732899</v>
      </c>
      <c r="O173" s="22">
        <v>308.978051628066</v>
      </c>
      <c r="P173" s="22">
        <v>372.60441372746999</v>
      </c>
      <c r="Q173" s="23">
        <v>7.9598096831560508E-3</v>
      </c>
      <c r="R173" s="21">
        <v>1.0223523141708</v>
      </c>
      <c r="S173" s="5">
        <v>0.187808891528254</v>
      </c>
      <c r="T173" s="22">
        <v>308.978051628066</v>
      </c>
      <c r="U173" s="22">
        <v>360</v>
      </c>
      <c r="V173" s="23">
        <v>8.2631578947368403E-3</v>
      </c>
      <c r="W173" s="21">
        <f t="shared" si="4"/>
        <v>1.1793819608717111</v>
      </c>
      <c r="X173" s="21">
        <f t="shared" si="5"/>
        <v>0.72543352601156075</v>
      </c>
      <c r="Y173" s="21">
        <v>1.1738055720515901</v>
      </c>
      <c r="Z173" s="21">
        <v>0.28931348468576501</v>
      </c>
      <c r="AA173" s="22">
        <v>308.978051628066</v>
      </c>
      <c r="AB173" s="22">
        <v>372.60441372746999</v>
      </c>
      <c r="AC173" s="23">
        <v>7.9598096831560508E-3</v>
      </c>
      <c r="AD173" s="21">
        <v>1.80820927928603</v>
      </c>
      <c r="AE173" s="21">
        <v>0.26030723803764599</v>
      </c>
      <c r="AF173" s="21">
        <v>0.17003396609485399</v>
      </c>
      <c r="AG173" s="22">
        <v>316.19609748346699</v>
      </c>
      <c r="AH173" s="23">
        <v>8.3999999999999995E-3</v>
      </c>
      <c r="AI173" s="21">
        <v>1.0627122880928399</v>
      </c>
    </row>
    <row r="174" spans="1:35" x14ac:dyDescent="0.25">
      <c r="B174" s="1">
        <v>10</v>
      </c>
      <c r="C174" s="1">
        <v>1</v>
      </c>
      <c r="D174" s="3">
        <v>45</v>
      </c>
      <c r="E174" s="5">
        <v>2.8</v>
      </c>
      <c r="F174" s="1">
        <v>40</v>
      </c>
      <c r="G174" s="1">
        <v>45</v>
      </c>
      <c r="H174" s="4">
        <v>54.138654849565903</v>
      </c>
      <c r="I174" s="1">
        <v>350</v>
      </c>
      <c r="J174" s="29">
        <v>305</v>
      </c>
      <c r="K174" s="22">
        <v>177</v>
      </c>
      <c r="L174" s="29">
        <v>95</v>
      </c>
      <c r="M174" s="5">
        <v>0.18</v>
      </c>
      <c r="N174" s="21">
        <v>0.18908129323221201</v>
      </c>
      <c r="O174" s="22">
        <v>322.29607109479298</v>
      </c>
      <c r="P174" s="22">
        <v>372.60441372746999</v>
      </c>
      <c r="Q174" s="23">
        <v>7.9598096831560508E-3</v>
      </c>
      <c r="R174" s="21">
        <v>1.0504516290678501</v>
      </c>
      <c r="S174" s="5">
        <v>0.19590410236998901</v>
      </c>
      <c r="T174" s="22">
        <v>322.29607109479298</v>
      </c>
      <c r="U174" s="22">
        <v>360</v>
      </c>
      <c r="V174" s="23">
        <v>8.2631578947368403E-3</v>
      </c>
      <c r="W174" s="21">
        <f t="shared" si="4"/>
        <v>1.1793819608717111</v>
      </c>
      <c r="X174" s="21">
        <f t="shared" si="5"/>
        <v>0.72543352601156075</v>
      </c>
      <c r="Y174" s="21">
        <v>1.08835612427772</v>
      </c>
      <c r="Z174" s="21">
        <v>0.30178389350842699</v>
      </c>
      <c r="AA174" s="22">
        <v>322.29607109479298</v>
      </c>
      <c r="AB174" s="22">
        <v>372.60441372746999</v>
      </c>
      <c r="AC174" s="23">
        <v>7.9598096831560508E-3</v>
      </c>
      <c r="AD174" s="21">
        <v>1.6765771861579299</v>
      </c>
      <c r="AE174" s="21">
        <v>0.27152737760823398</v>
      </c>
      <c r="AF174" s="21">
        <v>0.185007973959182</v>
      </c>
      <c r="AG174" s="22">
        <v>329.82523961637497</v>
      </c>
      <c r="AH174" s="23">
        <v>8.3999999999999995E-3</v>
      </c>
      <c r="AI174" s="21">
        <v>1.0278220775510101</v>
      </c>
    </row>
    <row r="175" spans="1:35" x14ac:dyDescent="0.25">
      <c r="B175" s="1">
        <v>10</v>
      </c>
      <c r="C175" s="1">
        <v>1</v>
      </c>
      <c r="D175" s="3">
        <v>45</v>
      </c>
      <c r="E175" s="5">
        <v>2.8</v>
      </c>
      <c r="F175" s="1">
        <v>40</v>
      </c>
      <c r="G175" s="1">
        <v>45</v>
      </c>
      <c r="H175" s="4">
        <v>54.138654849565903</v>
      </c>
      <c r="I175" s="1">
        <v>350</v>
      </c>
      <c r="J175" s="29">
        <v>305</v>
      </c>
      <c r="K175" s="22">
        <v>177</v>
      </c>
      <c r="L175" s="29">
        <v>95</v>
      </c>
      <c r="M175" s="5">
        <v>0.2</v>
      </c>
      <c r="N175" s="21">
        <v>0.212885887999437</v>
      </c>
      <c r="O175" s="22">
        <v>334.726222597071</v>
      </c>
      <c r="P175" s="22">
        <v>372.60441372746999</v>
      </c>
      <c r="Q175" s="23">
        <v>7.9598096831560508E-3</v>
      </c>
      <c r="R175" s="21">
        <v>1.0644294399971901</v>
      </c>
      <c r="S175" s="5">
        <v>0.203459632488942</v>
      </c>
      <c r="T175" s="22">
        <v>334.726222597071</v>
      </c>
      <c r="U175" s="22">
        <v>360</v>
      </c>
      <c r="V175" s="23">
        <v>8.2631578947368403E-3</v>
      </c>
      <c r="W175" s="21">
        <f t="shared" si="4"/>
        <v>1.1793819608717111</v>
      </c>
      <c r="X175" s="21">
        <f t="shared" si="5"/>
        <v>0.72543352601156075</v>
      </c>
      <c r="Y175" s="21">
        <v>1.0172981624447099</v>
      </c>
      <c r="Z175" s="21">
        <v>0.31342294174291202</v>
      </c>
      <c r="AA175" s="22">
        <v>334.726222597071</v>
      </c>
      <c r="AB175" s="22">
        <v>372.60441372746999</v>
      </c>
      <c r="AC175" s="23">
        <v>7.9598096831560508E-3</v>
      </c>
      <c r="AD175" s="21">
        <v>1.56711470871456</v>
      </c>
      <c r="AE175" s="21">
        <v>0.28199950787411698</v>
      </c>
      <c r="AF175" s="21">
        <v>0.19955375187521099</v>
      </c>
      <c r="AG175" s="22">
        <v>342.54577227375597</v>
      </c>
      <c r="AH175" s="23">
        <v>8.3999999999999995E-3</v>
      </c>
      <c r="AI175" s="21">
        <v>0.99776875937605203</v>
      </c>
    </row>
    <row r="176" spans="1:35" x14ac:dyDescent="0.25">
      <c r="B176" s="1">
        <v>10</v>
      </c>
      <c r="C176" s="1">
        <v>1</v>
      </c>
      <c r="D176" s="3">
        <v>45</v>
      </c>
      <c r="E176" s="5">
        <v>2.8</v>
      </c>
      <c r="F176" s="1">
        <v>40</v>
      </c>
      <c r="G176" s="1">
        <v>45</v>
      </c>
      <c r="H176" s="4">
        <v>54.138654849565903</v>
      </c>
      <c r="I176" s="1">
        <v>350</v>
      </c>
      <c r="J176" s="29">
        <v>305</v>
      </c>
      <c r="K176" s="22">
        <v>177</v>
      </c>
      <c r="L176" s="29">
        <v>95</v>
      </c>
      <c r="M176" s="5">
        <v>0.23</v>
      </c>
      <c r="N176" s="21">
        <v>0.23754064686549201</v>
      </c>
      <c r="O176" s="22">
        <v>347.60030808157398</v>
      </c>
      <c r="P176" s="22">
        <v>372.60441372746999</v>
      </c>
      <c r="Q176" s="23">
        <v>7.9598096831560508E-3</v>
      </c>
      <c r="R176" s="21">
        <v>1.0327854211543099</v>
      </c>
      <c r="S176" s="5">
        <v>0.21128500296928601</v>
      </c>
      <c r="T176" s="22">
        <v>347.60030808157398</v>
      </c>
      <c r="U176" s="22">
        <v>360</v>
      </c>
      <c r="V176" s="23">
        <v>8.2631578947368403E-3</v>
      </c>
      <c r="W176" s="21">
        <f t="shared" si="4"/>
        <v>1.1793819608717111</v>
      </c>
      <c r="X176" s="21">
        <f t="shared" si="5"/>
        <v>0.72543352601156075</v>
      </c>
      <c r="Y176" s="21">
        <v>0.91863044769254698</v>
      </c>
      <c r="Z176" s="21">
        <v>0.325477670271486</v>
      </c>
      <c r="AA176" s="22">
        <v>347.60030808157398</v>
      </c>
      <c r="AB176" s="22">
        <v>372.60441372746999</v>
      </c>
      <c r="AC176" s="23">
        <v>7.9598096831560508E-3</v>
      </c>
      <c r="AD176" s="21">
        <v>1.4151203055282</v>
      </c>
      <c r="AE176" s="21">
        <v>0.29284564279235198</v>
      </c>
      <c r="AF176" s="21">
        <v>0.2151992383388</v>
      </c>
      <c r="AG176" s="22">
        <v>355.72060966890001</v>
      </c>
      <c r="AH176" s="23">
        <v>8.3999999999999995E-3</v>
      </c>
      <c r="AI176" s="21">
        <v>0.93564886234260702</v>
      </c>
    </row>
    <row r="177" spans="1:35" x14ac:dyDescent="0.25">
      <c r="B177" s="1">
        <v>10</v>
      </c>
      <c r="C177" s="1">
        <v>1</v>
      </c>
      <c r="D177" s="3">
        <v>45</v>
      </c>
      <c r="E177" s="5">
        <v>2.8</v>
      </c>
      <c r="F177" s="1">
        <v>40</v>
      </c>
      <c r="G177" s="1">
        <v>45</v>
      </c>
      <c r="H177" s="4">
        <v>54.138654849565903</v>
      </c>
      <c r="I177" s="1">
        <v>350</v>
      </c>
      <c r="J177" s="29">
        <v>305</v>
      </c>
      <c r="K177" s="22">
        <v>177</v>
      </c>
      <c r="L177" s="29">
        <v>95</v>
      </c>
      <c r="M177" s="5">
        <v>0.24</v>
      </c>
      <c r="N177" s="21">
        <v>0.26389573392920501</v>
      </c>
      <c r="O177" s="22">
        <v>361.36226153052502</v>
      </c>
      <c r="P177" s="22">
        <v>372.60441372746999</v>
      </c>
      <c r="Q177" s="23">
        <v>7.9598096831560508E-3</v>
      </c>
      <c r="R177" s="21">
        <v>1.0995655580383601</v>
      </c>
      <c r="S177" s="5">
        <v>0.22117410307170199</v>
      </c>
      <c r="T177" s="22">
        <v>361.36226153052502</v>
      </c>
      <c r="U177" s="22">
        <v>360</v>
      </c>
      <c r="V177" s="23">
        <v>8.2631578947368403E-3</v>
      </c>
      <c r="W177" s="21">
        <f t="shared" si="4"/>
        <v>1.1793819608717111</v>
      </c>
      <c r="X177" s="21">
        <f t="shared" si="5"/>
        <v>0.72543352601156075</v>
      </c>
      <c r="Y177" s="21">
        <v>0.92155876279875704</v>
      </c>
      <c r="Z177" s="21">
        <v>0.33836375938823698</v>
      </c>
      <c r="AA177" s="22">
        <v>361.36226153052502</v>
      </c>
      <c r="AB177" s="22">
        <v>372.60441372746999</v>
      </c>
      <c r="AC177" s="23">
        <v>7.9598096831560508E-3</v>
      </c>
      <c r="AD177" s="21">
        <v>1.40984899745099</v>
      </c>
      <c r="AE177" s="21">
        <v>0.30443978701529301</v>
      </c>
      <c r="AF177" s="21">
        <v>0.23257659903592301</v>
      </c>
      <c r="AG177" s="22">
        <v>369.804056539572</v>
      </c>
      <c r="AH177" s="23">
        <v>8.3999999999999995E-3</v>
      </c>
      <c r="AI177" s="21">
        <v>0.96906916264968102</v>
      </c>
    </row>
    <row r="178" spans="1:35" x14ac:dyDescent="0.25">
      <c r="B178" s="1">
        <v>10</v>
      </c>
      <c r="C178" s="1">
        <v>1</v>
      </c>
      <c r="D178" s="3">
        <v>45</v>
      </c>
      <c r="E178" s="5">
        <v>2.8</v>
      </c>
      <c r="F178" s="1">
        <v>40</v>
      </c>
      <c r="G178" s="1">
        <v>45</v>
      </c>
      <c r="H178" s="4">
        <v>54.138654849565903</v>
      </c>
      <c r="I178" s="1">
        <v>350</v>
      </c>
      <c r="J178" s="29">
        <v>305</v>
      </c>
      <c r="K178" s="22">
        <v>177</v>
      </c>
      <c r="L178" s="29">
        <v>95</v>
      </c>
      <c r="M178" s="5">
        <v>0.25</v>
      </c>
      <c r="N178" s="21">
        <v>0.29110098509174798</v>
      </c>
      <c r="O178" s="22">
        <v>375.56814896170101</v>
      </c>
      <c r="P178" s="22">
        <v>372.60441372746999</v>
      </c>
      <c r="Q178" s="23">
        <v>7.9598096831560508E-3</v>
      </c>
      <c r="R178" s="21">
        <v>1.1644039403669899</v>
      </c>
      <c r="S178" s="5">
        <v>0.24276133198299499</v>
      </c>
      <c r="T178" s="22">
        <v>375.56814896170101</v>
      </c>
      <c r="U178" s="22">
        <v>360</v>
      </c>
      <c r="V178" s="23">
        <v>8.2631578947368403E-3</v>
      </c>
      <c r="W178" s="21">
        <f t="shared" si="4"/>
        <v>1.1793819608717111</v>
      </c>
      <c r="X178" s="21">
        <f t="shared" si="5"/>
        <v>0.72543352601156075</v>
      </c>
      <c r="Y178" s="21">
        <v>0.97104532793198095</v>
      </c>
      <c r="Z178" s="21">
        <v>0.35166552879907598</v>
      </c>
      <c r="AA178" s="22">
        <v>375.56814896170101</v>
      </c>
      <c r="AB178" s="22">
        <v>372.60441372746999</v>
      </c>
      <c r="AC178" s="23">
        <v>7.9598096831560508E-3</v>
      </c>
      <c r="AD178" s="21">
        <v>1.4066621151963099</v>
      </c>
      <c r="AE178" s="21">
        <v>0.31640793589058702</v>
      </c>
      <c r="AF178" s="21">
        <v>0.25122215219469302</v>
      </c>
      <c r="AG178" s="22">
        <v>384.34180814800698</v>
      </c>
      <c r="AH178" s="23">
        <v>8.3999999999999995E-3</v>
      </c>
      <c r="AI178" s="21">
        <v>1.0048886087787701</v>
      </c>
    </row>
    <row r="179" spans="1:35" x14ac:dyDescent="0.25">
      <c r="B179" s="1">
        <v>10</v>
      </c>
      <c r="C179" s="1">
        <v>1</v>
      </c>
      <c r="D179" s="3">
        <v>45</v>
      </c>
      <c r="E179" s="5">
        <v>2.8</v>
      </c>
      <c r="F179" s="1">
        <v>40</v>
      </c>
      <c r="G179" s="1">
        <v>45</v>
      </c>
      <c r="H179" s="4">
        <v>54.138654849565903</v>
      </c>
      <c r="I179" s="1">
        <v>350</v>
      </c>
      <c r="J179" s="29">
        <v>305</v>
      </c>
      <c r="K179" s="22">
        <v>177</v>
      </c>
      <c r="L179" s="29">
        <v>95</v>
      </c>
      <c r="M179" s="5">
        <v>0.27</v>
      </c>
      <c r="N179" s="21">
        <v>0.31575574395780198</v>
      </c>
      <c r="O179" s="22">
        <v>388.44223444620297</v>
      </c>
      <c r="P179" s="22">
        <v>372.60441372746999</v>
      </c>
      <c r="Q179" s="23">
        <v>7.9598096831560508E-3</v>
      </c>
      <c r="R179" s="21">
        <v>1.1694657183622299</v>
      </c>
      <c r="S179" s="5">
        <v>0.26232475818385498</v>
      </c>
      <c r="T179" s="22">
        <v>388.44223444620297</v>
      </c>
      <c r="U179" s="22">
        <v>360</v>
      </c>
      <c r="V179" s="23">
        <v>8.2631578947368403E-3</v>
      </c>
      <c r="W179" s="21">
        <f t="shared" si="4"/>
        <v>1.1793819608717111</v>
      </c>
      <c r="X179" s="21">
        <f t="shared" si="5"/>
        <v>0.72543352601156075</v>
      </c>
      <c r="Y179" s="21">
        <v>0.97157317845872204</v>
      </c>
      <c r="Z179" s="21">
        <v>0.36372025732765001</v>
      </c>
      <c r="AA179" s="22">
        <v>388.44223444620297</v>
      </c>
      <c r="AB179" s="22">
        <v>372.60441372746999</v>
      </c>
      <c r="AC179" s="23">
        <v>7.9598096831560508E-3</v>
      </c>
      <c r="AD179" s="21">
        <v>1.34711206417648</v>
      </c>
      <c r="AE179" s="21">
        <v>0.32725407080882202</v>
      </c>
      <c r="AF179" s="21">
        <v>0.268740618169863</v>
      </c>
      <c r="AG179" s="22">
        <v>397.51664554315198</v>
      </c>
      <c r="AH179" s="23">
        <v>8.3999999999999995E-3</v>
      </c>
      <c r="AI179" s="21">
        <v>0.99533562285134602</v>
      </c>
    </row>
    <row r="180" spans="1:35" x14ac:dyDescent="0.25">
      <c r="B180" s="1">
        <v>10</v>
      </c>
      <c r="C180" s="1">
        <v>1</v>
      </c>
      <c r="D180" s="3">
        <v>45</v>
      </c>
      <c r="E180" s="5">
        <v>2.8</v>
      </c>
      <c r="F180" s="1">
        <v>40</v>
      </c>
      <c r="G180" s="1">
        <v>45</v>
      </c>
      <c r="H180" s="4">
        <v>54.138654849565903</v>
      </c>
      <c r="I180" s="1">
        <v>350</v>
      </c>
      <c r="J180" s="29">
        <v>305</v>
      </c>
      <c r="K180" s="22">
        <v>177</v>
      </c>
      <c r="L180" s="29">
        <v>95</v>
      </c>
      <c r="M180" s="5">
        <v>0.28999999999999998</v>
      </c>
      <c r="N180" s="21">
        <v>0.33786001052736803</v>
      </c>
      <c r="O180" s="22">
        <v>399.984517984033</v>
      </c>
      <c r="P180" s="22">
        <v>372.60441372746999</v>
      </c>
      <c r="Q180" s="23">
        <v>7.9598096831560508E-3</v>
      </c>
      <c r="R180" s="21">
        <v>1.1650345190598901</v>
      </c>
      <c r="S180" s="5">
        <v>0.27986438167428102</v>
      </c>
      <c r="T180" s="22">
        <v>399.984517984033</v>
      </c>
      <c r="U180" s="22">
        <v>360</v>
      </c>
      <c r="V180" s="23">
        <v>8.2631578947368403E-3</v>
      </c>
      <c r="W180" s="21">
        <f t="shared" si="4"/>
        <v>1.1793819608717111</v>
      </c>
      <c r="X180" s="21">
        <f t="shared" si="5"/>
        <v>0.72543352601156075</v>
      </c>
      <c r="Y180" s="21">
        <v>0.96504959198027895</v>
      </c>
      <c r="Z180" s="21">
        <v>0.37452794497395703</v>
      </c>
      <c r="AA180" s="22">
        <v>399.984517984033</v>
      </c>
      <c r="AB180" s="22">
        <v>372.60441372746999</v>
      </c>
      <c r="AC180" s="23">
        <v>7.9598096831560508E-3</v>
      </c>
      <c r="AD180" s="21">
        <v>1.29147567232399</v>
      </c>
      <c r="AE180" s="21">
        <v>0.33697819176999899</v>
      </c>
      <c r="AF180" s="21">
        <v>0.28494877070486602</v>
      </c>
      <c r="AG180" s="22">
        <v>409.32856872500503</v>
      </c>
      <c r="AH180" s="23">
        <v>8.3999999999999995E-3</v>
      </c>
      <c r="AI180" s="21">
        <v>0.98258196794781505</v>
      </c>
    </row>
    <row r="181" spans="1:35" x14ac:dyDescent="0.25">
      <c r="A181" t="s">
        <v>60</v>
      </c>
      <c r="B181" s="1">
        <v>10</v>
      </c>
      <c r="C181" s="1">
        <v>1</v>
      </c>
      <c r="D181" s="3">
        <v>45</v>
      </c>
      <c r="E181" s="5">
        <v>2.8</v>
      </c>
      <c r="F181" s="1">
        <v>40</v>
      </c>
      <c r="G181" s="1">
        <v>45</v>
      </c>
      <c r="H181" s="4">
        <v>54.138654849565903</v>
      </c>
      <c r="I181" s="1">
        <v>350</v>
      </c>
      <c r="J181" s="29">
        <v>305</v>
      </c>
      <c r="K181" s="22">
        <v>177</v>
      </c>
      <c r="L181" s="29">
        <v>95</v>
      </c>
      <c r="M181" s="5">
        <v>0.15</v>
      </c>
      <c r="N181" s="21">
        <v>0.191631785528701</v>
      </c>
      <c r="O181" s="22">
        <v>323.62787304146502</v>
      </c>
      <c r="P181" s="22">
        <v>372.60441372746999</v>
      </c>
      <c r="Q181" s="23">
        <v>7.9598096831560508E-3</v>
      </c>
      <c r="R181" s="21">
        <v>1.27754523685801</v>
      </c>
      <c r="S181" s="5">
        <v>0.19671362345416299</v>
      </c>
      <c r="T181" s="22">
        <v>323.62787304146502</v>
      </c>
      <c r="U181" s="22">
        <v>360</v>
      </c>
      <c r="V181" s="23">
        <v>8.2631578947368403E-3</v>
      </c>
      <c r="W181" s="21">
        <f t="shared" si="4"/>
        <v>1.1793819608717111</v>
      </c>
      <c r="X181" s="21">
        <f t="shared" si="5"/>
        <v>0.72543352601156075</v>
      </c>
      <c r="Y181" s="21">
        <v>1.31142415636109</v>
      </c>
      <c r="Z181" s="21">
        <v>0.30303093439069301</v>
      </c>
      <c r="AA181" s="22">
        <v>323.62787304146502</v>
      </c>
      <c r="AB181" s="22">
        <v>372.60441372746999</v>
      </c>
      <c r="AC181" s="23">
        <v>7.9598096831560508E-3</v>
      </c>
      <c r="AD181" s="21">
        <v>2.0202062292712899</v>
      </c>
      <c r="AE181" s="21">
        <v>0.272649391565293</v>
      </c>
      <c r="AF181" s="21">
        <v>0.18654012455289501</v>
      </c>
      <c r="AG181" s="22">
        <v>331.18815382966602</v>
      </c>
      <c r="AH181" s="23">
        <v>8.3999999999999995E-3</v>
      </c>
      <c r="AI181" s="21">
        <v>1.24360083035263</v>
      </c>
    </row>
    <row r="182" spans="1:35" x14ac:dyDescent="0.25">
      <c r="B182" s="1">
        <v>10</v>
      </c>
      <c r="C182" s="1">
        <v>1</v>
      </c>
      <c r="D182" s="3">
        <v>45</v>
      </c>
      <c r="E182" s="5">
        <v>2.8</v>
      </c>
      <c r="F182" s="1">
        <v>40</v>
      </c>
      <c r="G182" s="1">
        <v>45</v>
      </c>
      <c r="H182" s="4">
        <v>54.138654849565903</v>
      </c>
      <c r="I182" s="1">
        <v>350</v>
      </c>
      <c r="J182" s="29">
        <v>305</v>
      </c>
      <c r="K182" s="22">
        <v>177</v>
      </c>
      <c r="L182" s="29">
        <v>95</v>
      </c>
      <c r="M182" s="5">
        <v>0.16</v>
      </c>
      <c r="N182" s="21">
        <v>0.216286544394755</v>
      </c>
      <c r="O182" s="22">
        <v>336.50195852596801</v>
      </c>
      <c r="P182" s="22">
        <v>372.60441372746999</v>
      </c>
      <c r="Q182" s="23">
        <v>7.9598096831560508E-3</v>
      </c>
      <c r="R182" s="21">
        <v>1.3517909024672199</v>
      </c>
      <c r="S182" s="5">
        <v>0.204538993934507</v>
      </c>
      <c r="T182" s="22">
        <v>336.50195852596801</v>
      </c>
      <c r="U182" s="22">
        <v>360</v>
      </c>
      <c r="V182" s="23">
        <v>8.2631578947368403E-3</v>
      </c>
      <c r="W182" s="21">
        <f t="shared" si="4"/>
        <v>1.1793819608717111</v>
      </c>
      <c r="X182" s="21">
        <f t="shared" si="5"/>
        <v>0.72543352601156075</v>
      </c>
      <c r="Y182" s="21">
        <v>1.2783687120906699</v>
      </c>
      <c r="Z182" s="21">
        <v>0.31508566291926698</v>
      </c>
      <c r="AA182" s="22">
        <v>336.50195852596801</v>
      </c>
      <c r="AB182" s="22">
        <v>372.60441372746999</v>
      </c>
      <c r="AC182" s="23">
        <v>7.9598096831560508E-3</v>
      </c>
      <c r="AD182" s="21">
        <v>1.96928539324542</v>
      </c>
      <c r="AE182" s="21">
        <v>0.28349552648352799</v>
      </c>
      <c r="AF182" s="21">
        <v>0.20167664919268499</v>
      </c>
      <c r="AG182" s="22">
        <v>344.36299122481</v>
      </c>
      <c r="AH182" s="23">
        <v>8.3999999999999995E-3</v>
      </c>
      <c r="AI182" s="21">
        <v>1.2604790574542799</v>
      </c>
    </row>
    <row r="183" spans="1:35" x14ac:dyDescent="0.25">
      <c r="B183" s="1">
        <v>10</v>
      </c>
      <c r="C183" s="1">
        <v>1</v>
      </c>
      <c r="D183" s="3">
        <v>45</v>
      </c>
      <c r="E183" s="5">
        <v>2.8</v>
      </c>
      <c r="F183" s="1">
        <v>40</v>
      </c>
      <c r="G183" s="1">
        <v>45</v>
      </c>
      <c r="H183" s="4">
        <v>54.138654849565903</v>
      </c>
      <c r="I183" s="1">
        <v>350</v>
      </c>
      <c r="J183" s="29">
        <v>305</v>
      </c>
      <c r="K183" s="22">
        <v>177</v>
      </c>
      <c r="L183" s="29">
        <v>95</v>
      </c>
      <c r="M183" s="5">
        <v>0.18</v>
      </c>
      <c r="N183" s="21">
        <v>0.25114327244676299</v>
      </c>
      <c r="O183" s="22">
        <v>354.70325179716201</v>
      </c>
      <c r="P183" s="22">
        <v>372.60441372746999</v>
      </c>
      <c r="Q183" s="23">
        <v>7.9598096831560508E-3</v>
      </c>
      <c r="R183" s="21">
        <v>1.39524040248202</v>
      </c>
      <c r="S183" s="5">
        <v>0.21560244875154499</v>
      </c>
      <c r="T183" s="22">
        <v>354.70325179716201</v>
      </c>
      <c r="U183" s="22">
        <v>360</v>
      </c>
      <c r="V183" s="23">
        <v>8.2631578947368403E-3</v>
      </c>
      <c r="W183" s="21">
        <f t="shared" si="4"/>
        <v>1.1793819608717111</v>
      </c>
      <c r="X183" s="21">
        <f t="shared" si="5"/>
        <v>0.72543352601156075</v>
      </c>
      <c r="Y183" s="21">
        <v>1.1977913819530299</v>
      </c>
      <c r="Z183" s="21">
        <v>0.33212855497690502</v>
      </c>
      <c r="AA183" s="22">
        <v>354.70325179716201</v>
      </c>
      <c r="AB183" s="22">
        <v>372.60441372746999</v>
      </c>
      <c r="AC183" s="23">
        <v>7.9598096831560508E-3</v>
      </c>
      <c r="AD183" s="21">
        <v>1.8451586387605901</v>
      </c>
      <c r="AE183" s="21">
        <v>0.29882971722999901</v>
      </c>
      <c r="AF183" s="21">
        <v>0.22408395674156301</v>
      </c>
      <c r="AG183" s="22">
        <v>362.98948547311801</v>
      </c>
      <c r="AH183" s="23">
        <v>8.3999999999999995E-3</v>
      </c>
      <c r="AI183" s="21">
        <v>1.24491087078646</v>
      </c>
    </row>
    <row r="184" spans="1:35" x14ac:dyDescent="0.25">
      <c r="B184" s="1">
        <v>10</v>
      </c>
      <c r="C184" s="1">
        <v>1</v>
      </c>
      <c r="D184" s="3">
        <v>45</v>
      </c>
      <c r="E184" s="5">
        <v>2.8</v>
      </c>
      <c r="F184" s="1">
        <v>40</v>
      </c>
      <c r="G184" s="1">
        <v>45</v>
      </c>
      <c r="H184" s="4">
        <v>54.138654849565903</v>
      </c>
      <c r="I184" s="1">
        <v>350</v>
      </c>
      <c r="J184" s="29">
        <v>305</v>
      </c>
      <c r="K184" s="22">
        <v>177</v>
      </c>
      <c r="L184" s="29">
        <v>95</v>
      </c>
      <c r="M184" s="5">
        <v>0.18</v>
      </c>
      <c r="N184" s="21">
        <v>0.27154721081867</v>
      </c>
      <c r="O184" s="22">
        <v>365.35766737054303</v>
      </c>
      <c r="P184" s="22">
        <v>372.60441372746999</v>
      </c>
      <c r="Q184" s="23">
        <v>7.9598096831560508E-3</v>
      </c>
      <c r="R184" s="21">
        <v>1.5085956156592799</v>
      </c>
      <c r="S184" s="5">
        <v>0.22724551120300299</v>
      </c>
      <c r="T184" s="22">
        <v>365.35766737054303</v>
      </c>
      <c r="U184" s="22">
        <v>360</v>
      </c>
      <c r="V184" s="23">
        <v>8.2631578947368403E-3</v>
      </c>
      <c r="W184" s="21">
        <f t="shared" si="4"/>
        <v>1.1793819608717111</v>
      </c>
      <c r="X184" s="21">
        <f t="shared" si="5"/>
        <v>0.72543352601156075</v>
      </c>
      <c r="Y184" s="21">
        <v>1.26247506223891</v>
      </c>
      <c r="Z184" s="21">
        <v>0.34210488203503497</v>
      </c>
      <c r="AA184" s="22">
        <v>365.35766737054303</v>
      </c>
      <c r="AB184" s="22">
        <v>372.60441372746999</v>
      </c>
      <c r="AC184" s="23">
        <v>7.9598096831560508E-3</v>
      </c>
      <c r="AD184" s="21">
        <v>1.90058267797242</v>
      </c>
      <c r="AE184" s="21">
        <v>0.30780582888647001</v>
      </c>
      <c r="AF184" s="21">
        <v>0.23774800217387801</v>
      </c>
      <c r="AG184" s="22">
        <v>373.89279917944401</v>
      </c>
      <c r="AH184" s="23">
        <v>8.3999999999999995E-3</v>
      </c>
      <c r="AI184" s="21">
        <v>1.3208222342993201</v>
      </c>
    </row>
    <row r="185" spans="1:35" x14ac:dyDescent="0.25">
      <c r="B185" s="1">
        <v>10</v>
      </c>
      <c r="C185" s="1">
        <v>1</v>
      </c>
      <c r="D185" s="3">
        <v>45</v>
      </c>
      <c r="E185" s="5">
        <v>2.8</v>
      </c>
      <c r="F185" s="1">
        <v>40</v>
      </c>
      <c r="G185" s="1">
        <v>45</v>
      </c>
      <c r="H185" s="4">
        <v>54.138654849565903</v>
      </c>
      <c r="I185" s="1">
        <v>350</v>
      </c>
      <c r="J185" s="29">
        <v>305</v>
      </c>
      <c r="K185" s="22">
        <v>177</v>
      </c>
      <c r="L185" s="29">
        <v>95</v>
      </c>
      <c r="M185" s="5">
        <v>0.19</v>
      </c>
      <c r="N185" s="21">
        <v>0.29110098509174798</v>
      </c>
      <c r="O185" s="22">
        <v>375.56814896170101</v>
      </c>
      <c r="P185" s="22">
        <v>372.60441372746999</v>
      </c>
      <c r="Q185" s="23">
        <v>7.9598096831560508E-3</v>
      </c>
      <c r="R185" s="21">
        <v>1.5321104478513099</v>
      </c>
      <c r="S185" s="5">
        <v>0.24276133198299499</v>
      </c>
      <c r="T185" s="22">
        <v>375.56814896170101</v>
      </c>
      <c r="U185" s="22">
        <v>360</v>
      </c>
      <c r="V185" s="23">
        <v>8.2631578947368403E-3</v>
      </c>
      <c r="W185" s="21">
        <f t="shared" si="4"/>
        <v>1.1793819608717111</v>
      </c>
      <c r="X185" s="21">
        <f t="shared" si="5"/>
        <v>0.72543352601156075</v>
      </c>
      <c r="Y185" s="21">
        <v>1.2776912209631299</v>
      </c>
      <c r="Z185" s="21">
        <v>0.35166552879907598</v>
      </c>
      <c r="AA185" s="22">
        <v>375.56814896170101</v>
      </c>
      <c r="AB185" s="22">
        <v>372.60441372746999</v>
      </c>
      <c r="AC185" s="23">
        <v>7.9598096831560508E-3</v>
      </c>
      <c r="AD185" s="21">
        <v>1.8508712042056701</v>
      </c>
      <c r="AE185" s="21">
        <v>0.31640793589058702</v>
      </c>
      <c r="AF185" s="21">
        <v>0.25122215219469302</v>
      </c>
      <c r="AG185" s="22">
        <v>384.34180814800698</v>
      </c>
      <c r="AH185" s="23">
        <v>8.3999999999999995E-3</v>
      </c>
      <c r="AI185" s="21">
        <v>1.32222185365628</v>
      </c>
    </row>
    <row r="186" spans="1:35" x14ac:dyDescent="0.25">
      <c r="B186" s="1">
        <v>10</v>
      </c>
      <c r="C186" s="1">
        <v>1</v>
      </c>
      <c r="D186" s="3">
        <v>45</v>
      </c>
      <c r="E186" s="5">
        <v>2.8</v>
      </c>
      <c r="F186" s="1">
        <v>40</v>
      </c>
      <c r="G186" s="1">
        <v>45</v>
      </c>
      <c r="H186" s="4">
        <v>54.138654849565903</v>
      </c>
      <c r="I186" s="1">
        <v>350</v>
      </c>
      <c r="J186" s="29">
        <v>305</v>
      </c>
      <c r="K186" s="22">
        <v>177</v>
      </c>
      <c r="L186" s="29">
        <v>95</v>
      </c>
      <c r="M186" s="5">
        <v>0.2</v>
      </c>
      <c r="N186" s="21">
        <v>0.31235508756248498</v>
      </c>
      <c r="O186" s="22">
        <v>386.66649851730602</v>
      </c>
      <c r="P186" s="22">
        <v>372.60441372746999</v>
      </c>
      <c r="Q186" s="23">
        <v>7.9598096831560508E-3</v>
      </c>
      <c r="R186" s="21">
        <v>1.56177543781242</v>
      </c>
      <c r="S186" s="5">
        <v>0.25962635456994299</v>
      </c>
      <c r="T186" s="22">
        <v>386.66649851730602</v>
      </c>
      <c r="U186" s="22">
        <v>360</v>
      </c>
      <c r="V186" s="23">
        <v>8.2631578947368403E-3</v>
      </c>
      <c r="W186" s="21">
        <f t="shared" si="4"/>
        <v>1.1793819608717111</v>
      </c>
      <c r="X186" s="21">
        <f t="shared" si="5"/>
        <v>0.72543352601156075</v>
      </c>
      <c r="Y186" s="21">
        <v>1.2981317728497199</v>
      </c>
      <c r="Z186" s="21">
        <v>0.36205753615129499</v>
      </c>
      <c r="AA186" s="22">
        <v>386.66649851730602</v>
      </c>
      <c r="AB186" s="22">
        <v>372.60441372746999</v>
      </c>
      <c r="AC186" s="23">
        <v>7.9598096831560508E-3</v>
      </c>
      <c r="AD186" s="21">
        <v>1.8102876807564701</v>
      </c>
      <c r="AE186" s="21">
        <v>0.32575805219941101</v>
      </c>
      <c r="AF186" s="21">
        <v>0.26628917721992301</v>
      </c>
      <c r="AG186" s="22">
        <v>395.69942659209698</v>
      </c>
      <c r="AH186" s="23">
        <v>8.3999999999999995E-3</v>
      </c>
      <c r="AI186" s="21">
        <v>1.3314458860996099</v>
      </c>
    </row>
    <row r="187" spans="1:35" x14ac:dyDescent="0.25">
      <c r="B187" s="1">
        <v>10</v>
      </c>
      <c r="C187" s="1">
        <v>1</v>
      </c>
      <c r="D187" s="3">
        <v>45</v>
      </c>
      <c r="E187" s="5">
        <v>2.8</v>
      </c>
      <c r="F187" s="1">
        <v>40</v>
      </c>
      <c r="G187" s="1">
        <v>45</v>
      </c>
      <c r="H187" s="4">
        <v>54.138654849565903</v>
      </c>
      <c r="I187" s="1">
        <v>350</v>
      </c>
      <c r="J187" s="29">
        <v>305</v>
      </c>
      <c r="K187" s="22">
        <v>177</v>
      </c>
      <c r="L187" s="29">
        <v>95</v>
      </c>
      <c r="M187" s="5">
        <v>0.22</v>
      </c>
      <c r="N187" s="21">
        <v>0.34041050282385699</v>
      </c>
      <c r="O187" s="22">
        <v>401.31631993070602</v>
      </c>
      <c r="P187" s="22">
        <v>372.60441372746999</v>
      </c>
      <c r="Q187" s="23">
        <v>7.9598096831560508E-3</v>
      </c>
      <c r="R187" s="21">
        <v>1.54732046738117</v>
      </c>
      <c r="S187" s="5">
        <v>0.28188818438471502</v>
      </c>
      <c r="T187" s="22">
        <v>401.31631993070602</v>
      </c>
      <c r="U187" s="22">
        <v>360</v>
      </c>
      <c r="V187" s="23">
        <v>8.2631578947368403E-3</v>
      </c>
      <c r="W187" s="21">
        <f t="shared" si="4"/>
        <v>1.1793819608717111</v>
      </c>
      <c r="X187" s="21">
        <f t="shared" si="5"/>
        <v>0.72543352601156075</v>
      </c>
      <c r="Y187" s="21">
        <v>1.28130992902143</v>
      </c>
      <c r="Z187" s="21">
        <v>0.37577498585622399</v>
      </c>
      <c r="AA187" s="22">
        <v>401.31631993070602</v>
      </c>
      <c r="AB187" s="22">
        <v>372.60441372746999</v>
      </c>
      <c r="AC187" s="23">
        <v>7.9598096831560508E-3</v>
      </c>
      <c r="AD187" s="21">
        <v>1.7080681175282899</v>
      </c>
      <c r="AE187" s="21">
        <v>0.33810020572705801</v>
      </c>
      <c r="AF187" s="21">
        <v>0.28684947986064102</v>
      </c>
      <c r="AG187" s="22">
        <v>410.69148293829602</v>
      </c>
      <c r="AH187" s="23">
        <v>8.3999999999999995E-3</v>
      </c>
      <c r="AI187" s="21">
        <v>1.3038612720938201</v>
      </c>
    </row>
    <row r="188" spans="1:35" x14ac:dyDescent="0.25">
      <c r="A188" t="s">
        <v>61</v>
      </c>
      <c r="B188" s="1">
        <v>20</v>
      </c>
      <c r="C188" s="1">
        <v>1</v>
      </c>
      <c r="D188" s="3">
        <v>40</v>
      </c>
      <c r="E188" s="5">
        <v>2.8</v>
      </c>
      <c r="F188" s="1">
        <v>40</v>
      </c>
      <c r="G188" s="1">
        <v>50</v>
      </c>
      <c r="H188" s="4">
        <v>96.386921369125801</v>
      </c>
      <c r="I188" s="1">
        <v>350</v>
      </c>
      <c r="J188" s="29">
        <v>300</v>
      </c>
      <c r="K188" s="22">
        <v>182</v>
      </c>
      <c r="L188" s="29">
        <v>150</v>
      </c>
      <c r="M188" s="5">
        <v>0.16</v>
      </c>
      <c r="N188" s="21">
        <v>0.176217506045446</v>
      </c>
      <c r="O188" s="22">
        <v>224.93648942333201</v>
      </c>
      <c r="P188" s="22">
        <v>95.423685658071307</v>
      </c>
      <c r="Q188" s="23">
        <v>3.7261485294905403E-2</v>
      </c>
      <c r="R188" s="21">
        <v>1.10135941278404</v>
      </c>
      <c r="S188" s="5">
        <v>0.16250526374056301</v>
      </c>
      <c r="T188" s="22">
        <v>224.93648942333201</v>
      </c>
      <c r="U188" s="22">
        <v>154</v>
      </c>
      <c r="V188" s="23">
        <v>2.1000000000000001E-2</v>
      </c>
      <c r="W188" s="21">
        <f t="shared" si="4"/>
        <v>1.2455637935254833</v>
      </c>
      <c r="X188" s="21">
        <f t="shared" si="5"/>
        <v>0.5535714285714286</v>
      </c>
      <c r="Y188" s="21">
        <v>1.0156578983785201</v>
      </c>
      <c r="Z188" s="21">
        <v>0.17479495534935299</v>
      </c>
      <c r="AA188" s="22">
        <v>224.93648942333201</v>
      </c>
      <c r="AB188" s="22">
        <v>95.423685658071307</v>
      </c>
      <c r="AC188" s="23">
        <v>3.7261485294905403E-2</v>
      </c>
      <c r="AD188" s="21">
        <v>1.09246847093345</v>
      </c>
      <c r="AE188" s="21">
        <v>0.189875768539394</v>
      </c>
      <c r="AF188" s="21">
        <v>0.19142813392713301</v>
      </c>
      <c r="AG188" s="22">
        <v>234.034986315937</v>
      </c>
      <c r="AH188" s="23">
        <v>1.9599999999999999E-2</v>
      </c>
      <c r="AI188" s="21">
        <v>1.1867235533712099</v>
      </c>
    </row>
    <row r="189" spans="1:35" x14ac:dyDescent="0.25">
      <c r="B189" s="1">
        <v>20</v>
      </c>
      <c r="C189" s="1">
        <v>1</v>
      </c>
      <c r="D189" s="3">
        <v>40</v>
      </c>
      <c r="E189" s="5">
        <v>2.8</v>
      </c>
      <c r="F189" s="1">
        <v>40</v>
      </c>
      <c r="G189" s="1">
        <v>50</v>
      </c>
      <c r="H189" s="4">
        <v>96.386921369125801</v>
      </c>
      <c r="I189" s="1">
        <v>350</v>
      </c>
      <c r="J189" s="29">
        <v>300</v>
      </c>
      <c r="K189" s="22">
        <v>182</v>
      </c>
      <c r="L189" s="29">
        <v>150</v>
      </c>
      <c r="M189" s="5">
        <v>0.2</v>
      </c>
      <c r="N189" s="21">
        <v>0.21295822122347299</v>
      </c>
      <c r="O189" s="22">
        <v>259.89764030841201</v>
      </c>
      <c r="P189" s="22">
        <v>95.423685658071307</v>
      </c>
      <c r="Q189" s="23">
        <v>3.7261485294905403E-2</v>
      </c>
      <c r="R189" s="21">
        <v>1.0647911061173601</v>
      </c>
      <c r="S189" s="5">
        <v>0.20529664584009599</v>
      </c>
      <c r="T189" s="22">
        <v>259.89764030841201</v>
      </c>
      <c r="U189" s="22">
        <v>154</v>
      </c>
      <c r="V189" s="23">
        <v>2.1000000000000001E-2</v>
      </c>
      <c r="W189" s="21">
        <f t="shared" si="4"/>
        <v>1.2455637935254833</v>
      </c>
      <c r="X189" s="21">
        <f t="shared" si="5"/>
        <v>0.5535714285714286</v>
      </c>
      <c r="Y189" s="21">
        <v>1.02648322920048</v>
      </c>
      <c r="Z189" s="21">
        <v>0.21123907383205501</v>
      </c>
      <c r="AA189" s="22">
        <v>259.89764030841201</v>
      </c>
      <c r="AB189" s="22">
        <v>95.423685658071307</v>
      </c>
      <c r="AC189" s="23">
        <v>3.7261485294905403E-2</v>
      </c>
      <c r="AD189" s="21">
        <v>1.0561953691602699</v>
      </c>
      <c r="AE189" s="21">
        <v>0.21938754499836199</v>
      </c>
      <c r="AF189" s="21">
        <v>0.25555866628532897</v>
      </c>
      <c r="AG189" s="22">
        <v>270.41028713954199</v>
      </c>
      <c r="AH189" s="23">
        <v>1.9599999999999999E-2</v>
      </c>
      <c r="AI189" s="21">
        <v>1.09693772499181</v>
      </c>
    </row>
    <row r="190" spans="1:35" x14ac:dyDescent="0.25">
      <c r="B190" s="1">
        <v>20</v>
      </c>
      <c r="C190" s="1">
        <v>1</v>
      </c>
      <c r="D190" s="3">
        <v>40</v>
      </c>
      <c r="E190" s="5">
        <v>2.8</v>
      </c>
      <c r="F190" s="1">
        <v>40</v>
      </c>
      <c r="G190" s="1">
        <v>50</v>
      </c>
      <c r="H190" s="4">
        <v>96.386921369125801</v>
      </c>
      <c r="I190" s="1">
        <v>350</v>
      </c>
      <c r="J190" s="29">
        <v>300</v>
      </c>
      <c r="K190" s="22">
        <v>182</v>
      </c>
      <c r="L190" s="29">
        <v>150</v>
      </c>
      <c r="M190" s="5">
        <v>0.23</v>
      </c>
      <c r="N190" s="21">
        <v>0.24957439160428599</v>
      </c>
      <c r="O190" s="22">
        <v>294.740278817611</v>
      </c>
      <c r="P190" s="22">
        <v>95.423685658071307</v>
      </c>
      <c r="Q190" s="23">
        <v>3.7261485294905403E-2</v>
      </c>
      <c r="R190" s="21">
        <v>1.08510605045342</v>
      </c>
      <c r="S190" s="5">
        <v>0.24794297240708699</v>
      </c>
      <c r="T190" s="22">
        <v>294.740278817611</v>
      </c>
      <c r="U190" s="22">
        <v>154</v>
      </c>
      <c r="V190" s="23">
        <v>2.1000000000000001E-2</v>
      </c>
      <c r="W190" s="21">
        <f t="shared" si="4"/>
        <v>1.2455637935254833</v>
      </c>
      <c r="X190" s="21">
        <f t="shared" si="5"/>
        <v>0.5535714285714286</v>
      </c>
      <c r="Y190" s="21">
        <v>1.0780129235090801</v>
      </c>
      <c r="Z190" s="21">
        <v>0.24755965293007001</v>
      </c>
      <c r="AA190" s="22">
        <v>294.740278817611</v>
      </c>
      <c r="AB190" s="22">
        <v>95.423685658071307</v>
      </c>
      <c r="AC190" s="23">
        <v>3.7261485294905403E-2</v>
      </c>
      <c r="AD190" s="21">
        <v>1.07634631708726</v>
      </c>
      <c r="AE190" s="21">
        <v>0.24879928153712999</v>
      </c>
      <c r="AF190" s="21">
        <v>0.32867367449457502</v>
      </c>
      <c r="AG190" s="22">
        <v>306.66228185865998</v>
      </c>
      <c r="AH190" s="23">
        <v>1.9599999999999999E-2</v>
      </c>
      <c r="AI190" s="21">
        <v>1.08173600668317</v>
      </c>
    </row>
    <row r="191" spans="1:35" x14ac:dyDescent="0.25">
      <c r="A191" t="s">
        <v>62</v>
      </c>
      <c r="B191" s="1">
        <v>20</v>
      </c>
      <c r="C191" s="1">
        <v>1</v>
      </c>
      <c r="D191" s="3">
        <v>40</v>
      </c>
      <c r="E191" s="5">
        <v>2.8</v>
      </c>
      <c r="F191" s="1">
        <v>40</v>
      </c>
      <c r="G191" s="1">
        <v>50</v>
      </c>
      <c r="H191" s="4">
        <v>96.386921369125801</v>
      </c>
      <c r="I191" s="1">
        <v>350</v>
      </c>
      <c r="J191" s="29">
        <v>300</v>
      </c>
      <c r="K191" s="22">
        <v>182</v>
      </c>
      <c r="L191" s="29">
        <v>150</v>
      </c>
      <c r="M191" s="5">
        <v>0.14000000000000001</v>
      </c>
      <c r="N191" s="21">
        <v>0.176217506045446</v>
      </c>
      <c r="O191" s="22">
        <v>224.93648942333201</v>
      </c>
      <c r="P191" s="22">
        <v>95.423685658071307</v>
      </c>
      <c r="Q191" s="23">
        <v>3.7261485294905403E-2</v>
      </c>
      <c r="R191" s="21">
        <v>1.2586964717531799</v>
      </c>
      <c r="S191" s="5">
        <v>0.16250526374056301</v>
      </c>
      <c r="T191" s="22">
        <v>224.93648942333201</v>
      </c>
      <c r="U191" s="22">
        <v>154</v>
      </c>
      <c r="V191" s="23">
        <v>2.1000000000000001E-2</v>
      </c>
      <c r="W191" s="21">
        <f t="shared" si="4"/>
        <v>1.2455637935254833</v>
      </c>
      <c r="X191" s="21">
        <f t="shared" si="5"/>
        <v>0.5535714285714286</v>
      </c>
      <c r="Y191" s="21">
        <v>1.1607518838611599</v>
      </c>
      <c r="Z191" s="21">
        <v>0.17479495534935299</v>
      </c>
      <c r="AA191" s="22">
        <v>224.93648942333201</v>
      </c>
      <c r="AB191" s="22">
        <v>95.423685658071307</v>
      </c>
      <c r="AC191" s="23">
        <v>3.7261485294905403E-2</v>
      </c>
      <c r="AD191" s="21">
        <v>1.24853539535252</v>
      </c>
      <c r="AE191" s="21">
        <v>0.189875768539394</v>
      </c>
      <c r="AF191" s="21">
        <v>0.19142813392713301</v>
      </c>
      <c r="AG191" s="22">
        <v>234.034986315937</v>
      </c>
      <c r="AH191" s="23">
        <v>1.9599999999999999E-2</v>
      </c>
      <c r="AI191" s="21">
        <v>1.3562554895671</v>
      </c>
    </row>
    <row r="192" spans="1:35" x14ac:dyDescent="0.25">
      <c r="B192" s="1">
        <v>20</v>
      </c>
      <c r="C192" s="1">
        <v>1</v>
      </c>
      <c r="D192" s="3">
        <v>40</v>
      </c>
      <c r="E192" s="5">
        <v>2.8</v>
      </c>
      <c r="F192" s="1">
        <v>40</v>
      </c>
      <c r="G192" s="1">
        <v>50</v>
      </c>
      <c r="H192" s="4">
        <v>96.386921369125801</v>
      </c>
      <c r="I192" s="1">
        <v>350</v>
      </c>
      <c r="J192" s="29">
        <v>300</v>
      </c>
      <c r="K192" s="22">
        <v>182</v>
      </c>
      <c r="L192" s="29">
        <v>150</v>
      </c>
      <c r="M192" s="5">
        <v>0.17</v>
      </c>
      <c r="N192" s="21">
        <v>0.21246004203461799</v>
      </c>
      <c r="O192" s="22">
        <v>259.42359080488598</v>
      </c>
      <c r="P192" s="22">
        <v>95.423685658071307</v>
      </c>
      <c r="Q192" s="23">
        <v>3.7261485294905403E-2</v>
      </c>
      <c r="R192" s="21">
        <v>1.2497649531448101</v>
      </c>
      <c r="S192" s="5">
        <v>0.20471642370993301</v>
      </c>
      <c r="T192" s="22">
        <v>259.42359080488598</v>
      </c>
      <c r="U192" s="22">
        <v>154</v>
      </c>
      <c r="V192" s="23">
        <v>2.1000000000000001E-2</v>
      </c>
      <c r="W192" s="21">
        <f t="shared" si="4"/>
        <v>1.2455637935254833</v>
      </c>
      <c r="X192" s="21">
        <f t="shared" si="5"/>
        <v>0.5535714285714286</v>
      </c>
      <c r="Y192" s="21">
        <v>1.2042142571172501</v>
      </c>
      <c r="Z192" s="21">
        <v>0.21074491629330599</v>
      </c>
      <c r="AA192" s="22">
        <v>259.42359080488598</v>
      </c>
      <c r="AB192" s="22">
        <v>95.423685658071307</v>
      </c>
      <c r="AC192" s="23">
        <v>3.7261485294905403E-2</v>
      </c>
      <c r="AD192" s="21">
        <v>1.2396759781959199</v>
      </c>
      <c r="AE192" s="21">
        <v>0.21898738531756201</v>
      </c>
      <c r="AF192" s="21">
        <v>0.25462724595282998</v>
      </c>
      <c r="AG192" s="22">
        <v>269.91706272159502</v>
      </c>
      <c r="AH192" s="23">
        <v>1.9599999999999999E-2</v>
      </c>
      <c r="AI192" s="21">
        <v>1.28816109010331</v>
      </c>
    </row>
    <row r="193" spans="1:35" x14ac:dyDescent="0.25">
      <c r="B193" s="1">
        <v>20</v>
      </c>
      <c r="C193" s="1">
        <v>1</v>
      </c>
      <c r="D193" s="3">
        <v>40</v>
      </c>
      <c r="E193" s="5">
        <v>2.8</v>
      </c>
      <c r="F193" s="1">
        <v>40</v>
      </c>
      <c r="G193" s="1">
        <v>50</v>
      </c>
      <c r="H193" s="4">
        <v>96.386921369125801</v>
      </c>
      <c r="I193" s="1">
        <v>350</v>
      </c>
      <c r="J193" s="29">
        <v>300</v>
      </c>
      <c r="K193" s="22">
        <v>182</v>
      </c>
      <c r="L193" s="29">
        <v>150</v>
      </c>
      <c r="M193" s="5">
        <v>0.21</v>
      </c>
      <c r="N193" s="21">
        <v>0.24895166761821799</v>
      </c>
      <c r="O193" s="22">
        <v>294.14771693820302</v>
      </c>
      <c r="P193" s="22">
        <v>95.423685658071307</v>
      </c>
      <c r="Q193" s="23">
        <v>3.7261485294905403E-2</v>
      </c>
      <c r="R193" s="21">
        <v>1.1854841315153199</v>
      </c>
      <c r="S193" s="5">
        <v>0.24721769474438299</v>
      </c>
      <c r="T193" s="22">
        <v>294.14771693820302</v>
      </c>
      <c r="U193" s="22">
        <v>154</v>
      </c>
      <c r="V193" s="23">
        <v>2.1000000000000001E-2</v>
      </c>
      <c r="W193" s="21">
        <f t="shared" si="4"/>
        <v>1.2455637935254833</v>
      </c>
      <c r="X193" s="21">
        <f t="shared" si="5"/>
        <v>0.5535714285714286</v>
      </c>
      <c r="Y193" s="21">
        <v>1.1772271178303999</v>
      </c>
      <c r="Z193" s="21">
        <v>0.24694195600663399</v>
      </c>
      <c r="AA193" s="22">
        <v>294.14771693820302</v>
      </c>
      <c r="AB193" s="22">
        <v>95.423685658071307</v>
      </c>
      <c r="AC193" s="23">
        <v>3.7261485294905403E-2</v>
      </c>
      <c r="AD193" s="21">
        <v>1.1759140762220699</v>
      </c>
      <c r="AE193" s="21">
        <v>0.24829908193613001</v>
      </c>
      <c r="AF193" s="21">
        <v>0.32735343612391499</v>
      </c>
      <c r="AG193" s="22">
        <v>306.04575133622598</v>
      </c>
      <c r="AH193" s="23">
        <v>1.9599999999999999E-2</v>
      </c>
      <c r="AI193" s="21">
        <v>1.18237658064824</v>
      </c>
    </row>
    <row r="194" spans="1:35" x14ac:dyDescent="0.25">
      <c r="A194" t="s">
        <v>63</v>
      </c>
      <c r="B194" s="1">
        <v>20</v>
      </c>
      <c r="C194" s="1">
        <v>1</v>
      </c>
      <c r="D194" s="3">
        <v>40</v>
      </c>
      <c r="E194" s="5">
        <v>2.8</v>
      </c>
      <c r="F194" s="1">
        <v>40</v>
      </c>
      <c r="G194" s="1">
        <v>50</v>
      </c>
      <c r="H194" s="4">
        <v>96.386921369125801</v>
      </c>
      <c r="I194" s="1">
        <v>350</v>
      </c>
      <c r="J194" s="29">
        <v>300</v>
      </c>
      <c r="K194" s="22">
        <v>182</v>
      </c>
      <c r="L194" s="29">
        <v>150</v>
      </c>
      <c r="M194" s="5">
        <v>0.21</v>
      </c>
      <c r="N194" s="21">
        <v>0.10198880690610999</v>
      </c>
      <c r="O194" s="22">
        <v>154.30311339788099</v>
      </c>
      <c r="P194" s="22">
        <v>95.423685658071307</v>
      </c>
      <c r="Q194" s="23">
        <v>3.7261485294905403E-2</v>
      </c>
      <c r="R194" s="21">
        <v>0.48566098526719098</v>
      </c>
      <c r="S194" s="5">
        <v>7.6052166346253294E-2</v>
      </c>
      <c r="T194" s="22">
        <v>154.30311339788099</v>
      </c>
      <c r="U194" s="22">
        <v>154</v>
      </c>
      <c r="V194" s="23">
        <v>2.1000000000000001E-2</v>
      </c>
      <c r="W194" s="21">
        <f t="shared" ref="W194:W257" si="6">(I194-H194)/(J194-H194)</f>
        <v>1.2455637935254833</v>
      </c>
      <c r="X194" s="21">
        <f t="shared" ref="X194:X257" si="7">0.5*(1+(I194-K194-L194)/(I194-K194))</f>
        <v>0.5535714285714286</v>
      </c>
      <c r="Y194" s="21">
        <v>0.36215317307739697</v>
      </c>
      <c r="Z194" s="21">
        <v>0.101165482075826</v>
      </c>
      <c r="AA194" s="22">
        <v>154.30311339788099</v>
      </c>
      <c r="AB194" s="22">
        <v>95.423685658071307</v>
      </c>
      <c r="AC194" s="23">
        <v>3.7261485294905403E-2</v>
      </c>
      <c r="AD194" s="21">
        <v>0.481740390837266</v>
      </c>
      <c r="AE194" s="21">
        <v>0.13025197610025799</v>
      </c>
      <c r="AF194" s="21">
        <v>9.0081439601391797E-2</v>
      </c>
      <c r="AG194" s="22">
        <v>160.54454804180699</v>
      </c>
      <c r="AH194" s="23">
        <v>1.9599999999999999E-2</v>
      </c>
      <c r="AI194" s="21">
        <v>0.42895923619710402</v>
      </c>
    </row>
    <row r="195" spans="1:35" x14ac:dyDescent="0.25">
      <c r="B195" s="1">
        <v>20</v>
      </c>
      <c r="C195" s="1">
        <v>1</v>
      </c>
      <c r="D195" s="3">
        <v>40</v>
      </c>
      <c r="E195" s="5">
        <v>2.8</v>
      </c>
      <c r="F195" s="1">
        <v>40</v>
      </c>
      <c r="G195" s="1">
        <v>50</v>
      </c>
      <c r="H195" s="4">
        <v>96.386921369125801</v>
      </c>
      <c r="I195" s="1">
        <v>350</v>
      </c>
      <c r="J195" s="29">
        <v>300</v>
      </c>
      <c r="K195" s="22">
        <v>182</v>
      </c>
      <c r="L195" s="29">
        <v>150</v>
      </c>
      <c r="M195" s="5">
        <v>0.25</v>
      </c>
      <c r="N195" s="21">
        <v>0.13985042525906</v>
      </c>
      <c r="O195" s="22">
        <v>190.330875665896</v>
      </c>
      <c r="P195" s="22">
        <v>95.423685658071307</v>
      </c>
      <c r="Q195" s="23">
        <v>3.7261485294905403E-2</v>
      </c>
      <c r="R195" s="21">
        <v>0.55940170103623998</v>
      </c>
      <c r="S195" s="5">
        <v>0.12014904823865299</v>
      </c>
      <c r="T195" s="22">
        <v>190.330875665896</v>
      </c>
      <c r="U195" s="22">
        <v>154</v>
      </c>
      <c r="V195" s="23">
        <v>2.1000000000000001E-2</v>
      </c>
      <c r="W195" s="21">
        <f t="shared" si="6"/>
        <v>1.2455637935254833</v>
      </c>
      <c r="X195" s="21">
        <f t="shared" si="7"/>
        <v>0.5535714285714286</v>
      </c>
      <c r="Y195" s="21">
        <v>0.48059619295461198</v>
      </c>
      <c r="Z195" s="21">
        <v>0.13872145502071201</v>
      </c>
      <c r="AA195" s="22">
        <v>190.330875665896</v>
      </c>
      <c r="AB195" s="22">
        <v>95.423685658071307</v>
      </c>
      <c r="AC195" s="23">
        <v>3.7261485294905403E-2</v>
      </c>
      <c r="AD195" s="21">
        <v>0.55488582008284804</v>
      </c>
      <c r="AE195" s="21">
        <v>0.160664111841025</v>
      </c>
      <c r="AF195" s="21">
        <v>0.137058013048421</v>
      </c>
      <c r="AG195" s="22">
        <v>198.02960380579299</v>
      </c>
      <c r="AH195" s="23">
        <v>1.9599999999999999E-2</v>
      </c>
      <c r="AI195" s="21">
        <v>0.54823205219368398</v>
      </c>
    </row>
    <row r="196" spans="1:35" x14ac:dyDescent="0.25">
      <c r="B196" s="1">
        <v>20</v>
      </c>
      <c r="C196" s="1">
        <v>1</v>
      </c>
      <c r="D196" s="3">
        <v>40</v>
      </c>
      <c r="E196" s="5">
        <v>2.8</v>
      </c>
      <c r="F196" s="1">
        <v>40</v>
      </c>
      <c r="G196" s="1">
        <v>50</v>
      </c>
      <c r="H196" s="4">
        <v>96.386921369125801</v>
      </c>
      <c r="I196" s="1">
        <v>350</v>
      </c>
      <c r="J196" s="29">
        <v>300</v>
      </c>
      <c r="K196" s="22">
        <v>182</v>
      </c>
      <c r="L196" s="29">
        <v>150</v>
      </c>
      <c r="M196" s="5">
        <v>0.28999999999999998</v>
      </c>
      <c r="N196" s="21">
        <v>0.17559478205937801</v>
      </c>
      <c r="O196" s="22">
        <v>224.343927543924</v>
      </c>
      <c r="P196" s="22">
        <v>95.423685658071307</v>
      </c>
      <c r="Q196" s="23">
        <v>3.7261485294905403E-2</v>
      </c>
      <c r="R196" s="21">
        <v>0.60549924848061198</v>
      </c>
      <c r="S196" s="5">
        <v>0.16177998607785901</v>
      </c>
      <c r="T196" s="22">
        <v>224.343927543924</v>
      </c>
      <c r="U196" s="22">
        <v>154</v>
      </c>
      <c r="V196" s="23">
        <v>2.1000000000000001E-2</v>
      </c>
      <c r="W196" s="21">
        <f t="shared" si="6"/>
        <v>1.2455637935254833</v>
      </c>
      <c r="X196" s="21">
        <f t="shared" si="7"/>
        <v>0.5535714285714286</v>
      </c>
      <c r="Y196" s="21">
        <v>0.55786202095813497</v>
      </c>
      <c r="Z196" s="21">
        <v>0.174177258425917</v>
      </c>
      <c r="AA196" s="22">
        <v>224.343927543924</v>
      </c>
      <c r="AB196" s="22">
        <v>95.423685658071307</v>
      </c>
      <c r="AC196" s="23">
        <v>3.7261485294905403E-2</v>
      </c>
      <c r="AD196" s="21">
        <v>0.60061123595143795</v>
      </c>
      <c r="AE196" s="21">
        <v>0.189375568938394</v>
      </c>
      <c r="AF196" s="21">
        <v>0.19042088424647899</v>
      </c>
      <c r="AG196" s="22">
        <v>233.418455793503</v>
      </c>
      <c r="AH196" s="23">
        <v>1.9599999999999999E-2</v>
      </c>
      <c r="AI196" s="21">
        <v>0.65301920323584195</v>
      </c>
    </row>
    <row r="197" spans="1:35" x14ac:dyDescent="0.25">
      <c r="B197" s="1">
        <v>20</v>
      </c>
      <c r="C197" s="1">
        <v>1</v>
      </c>
      <c r="D197" s="3">
        <v>40</v>
      </c>
      <c r="E197" s="5">
        <v>2.8</v>
      </c>
      <c r="F197" s="1">
        <v>40</v>
      </c>
      <c r="G197" s="1">
        <v>50</v>
      </c>
      <c r="H197" s="4">
        <v>96.386921369125801</v>
      </c>
      <c r="I197" s="1">
        <v>350</v>
      </c>
      <c r="J197" s="29">
        <v>300</v>
      </c>
      <c r="K197" s="22">
        <v>182</v>
      </c>
      <c r="L197" s="29">
        <v>150</v>
      </c>
      <c r="M197" s="5">
        <v>0.33</v>
      </c>
      <c r="N197" s="21">
        <v>0.21146368365690901</v>
      </c>
      <c r="O197" s="22">
        <v>258.475491797833</v>
      </c>
      <c r="P197" s="22">
        <v>95.423685658071307</v>
      </c>
      <c r="Q197" s="23">
        <v>3.7261485294905403E-2</v>
      </c>
      <c r="R197" s="21">
        <v>0.640799041384572</v>
      </c>
      <c r="S197" s="5">
        <v>0.20355597944960599</v>
      </c>
      <c r="T197" s="22">
        <v>258.475491797833</v>
      </c>
      <c r="U197" s="22">
        <v>154</v>
      </c>
      <c r="V197" s="23">
        <v>2.1000000000000001E-2</v>
      </c>
      <c r="W197" s="21">
        <f t="shared" si="6"/>
        <v>1.2455637935254833</v>
      </c>
      <c r="X197" s="21">
        <f t="shared" si="7"/>
        <v>0.5535714285714286</v>
      </c>
      <c r="Y197" s="21">
        <v>0.61683630136244305</v>
      </c>
      <c r="Z197" s="21">
        <v>0.209756601215809</v>
      </c>
      <c r="AA197" s="22">
        <v>258.475491797833</v>
      </c>
      <c r="AB197" s="22">
        <v>95.423685658071307</v>
      </c>
      <c r="AC197" s="23">
        <v>3.7261485294905403E-2</v>
      </c>
      <c r="AD197" s="21">
        <v>0.63562606429033097</v>
      </c>
      <c r="AE197" s="21">
        <v>0.21818706595596299</v>
      </c>
      <c r="AF197" s="21">
        <v>0.25276950663150599</v>
      </c>
      <c r="AG197" s="22">
        <v>268.93061388570101</v>
      </c>
      <c r="AH197" s="23">
        <v>1.9599999999999999E-2</v>
      </c>
      <c r="AI197" s="21">
        <v>0.661172927139282</v>
      </c>
    </row>
    <row r="198" spans="1:35" x14ac:dyDescent="0.25">
      <c r="B198" s="1">
        <v>20</v>
      </c>
      <c r="C198" s="1">
        <v>1</v>
      </c>
      <c r="D198" s="3">
        <v>40</v>
      </c>
      <c r="E198" s="5">
        <v>2.8</v>
      </c>
      <c r="F198" s="1">
        <v>40</v>
      </c>
      <c r="G198" s="1">
        <v>50</v>
      </c>
      <c r="H198" s="4">
        <v>96.386921369125801</v>
      </c>
      <c r="I198" s="1">
        <v>350</v>
      </c>
      <c r="J198" s="29">
        <v>300</v>
      </c>
      <c r="K198" s="22">
        <v>182</v>
      </c>
      <c r="L198" s="29">
        <v>150</v>
      </c>
      <c r="M198" s="5">
        <v>0.37</v>
      </c>
      <c r="N198" s="21">
        <v>0.26215341612286402</v>
      </c>
      <c r="O198" s="22">
        <v>306.71002878165598</v>
      </c>
      <c r="P198" s="22">
        <v>95.423685658071307</v>
      </c>
      <c r="Q198" s="23">
        <v>3.7261485294905403E-2</v>
      </c>
      <c r="R198" s="21">
        <v>0.70852274627801204</v>
      </c>
      <c r="S198" s="5">
        <v>0.26259358119370702</v>
      </c>
      <c r="T198" s="22">
        <v>306.71002878165598</v>
      </c>
      <c r="U198" s="22">
        <v>154</v>
      </c>
      <c r="V198" s="23">
        <v>2.1000000000000001E-2</v>
      </c>
      <c r="W198" s="21">
        <f t="shared" si="6"/>
        <v>1.2455637935254833</v>
      </c>
      <c r="X198" s="21">
        <f t="shared" si="7"/>
        <v>0.5535714285714286</v>
      </c>
      <c r="Y198" s="21">
        <v>0.70971238160461303</v>
      </c>
      <c r="Z198" s="21">
        <v>0.26003713078346902</v>
      </c>
      <c r="AA198" s="22">
        <v>306.71002878165598</v>
      </c>
      <c r="AB198" s="22">
        <v>95.423685658071307</v>
      </c>
      <c r="AC198" s="23">
        <v>3.7261485294905403E-2</v>
      </c>
      <c r="AD198" s="21">
        <v>0.70280305617153904</v>
      </c>
      <c r="AE198" s="21">
        <v>0.25890331347731899</v>
      </c>
      <c r="AF198" s="21">
        <v>0.35591139567956698</v>
      </c>
      <c r="AG198" s="22">
        <v>319.11619841182602</v>
      </c>
      <c r="AH198" s="23">
        <v>1.9599999999999999E-2</v>
      </c>
      <c r="AI198" s="21">
        <v>0.69973868507383397</v>
      </c>
    </row>
    <row r="199" spans="1:35" x14ac:dyDescent="0.25">
      <c r="A199" t="s">
        <v>64</v>
      </c>
      <c r="B199" s="1">
        <v>20</v>
      </c>
      <c r="C199" s="1">
        <v>6</v>
      </c>
      <c r="D199" s="3">
        <v>84</v>
      </c>
      <c r="E199" s="5">
        <v>3.50882128585544</v>
      </c>
      <c r="F199" s="1">
        <v>50</v>
      </c>
      <c r="G199" s="1">
        <v>64</v>
      </c>
      <c r="H199" s="4">
        <v>96.251010941285003</v>
      </c>
      <c r="I199" s="1">
        <v>400</v>
      </c>
      <c r="J199" s="29">
        <v>336</v>
      </c>
      <c r="K199" s="22">
        <v>205</v>
      </c>
      <c r="L199" s="29">
        <v>164</v>
      </c>
      <c r="M199" s="5">
        <v>0.15</v>
      </c>
      <c r="N199" s="21">
        <v>0.13165888294920999</v>
      </c>
      <c r="O199" s="22">
        <v>179.888040262956</v>
      </c>
      <c r="P199" s="22">
        <v>134.73248610695401</v>
      </c>
      <c r="Q199" s="23">
        <v>3.1012448894699399E-2</v>
      </c>
      <c r="R199" s="21">
        <v>0.87772588632806803</v>
      </c>
      <c r="S199" s="5">
        <v>0.111129674723574</v>
      </c>
      <c r="T199" s="22">
        <v>179.888040262956</v>
      </c>
      <c r="U199" s="22">
        <v>205</v>
      </c>
      <c r="V199" s="23">
        <v>1.9146341463414599E-2</v>
      </c>
      <c r="W199" s="21">
        <f t="shared" si="6"/>
        <v>1.266945859714663</v>
      </c>
      <c r="X199" s="21">
        <f t="shared" si="7"/>
        <v>0.57948717948717943</v>
      </c>
      <c r="Y199" s="21">
        <v>0.74086449815716104</v>
      </c>
      <c r="Z199" s="21">
        <v>0.14372200877992899</v>
      </c>
      <c r="AA199" s="22">
        <v>179.888040262956</v>
      </c>
      <c r="AB199" s="22">
        <v>134.73248610695401</v>
      </c>
      <c r="AC199" s="23">
        <v>3.1012448894699399E-2</v>
      </c>
      <c r="AD199" s="21">
        <v>0.95814672519952704</v>
      </c>
      <c r="AE199" s="21">
        <v>0.18553423573636599</v>
      </c>
      <c r="AF199" s="21">
        <v>0.10264414564050101</v>
      </c>
      <c r="AG199" s="22">
        <v>188.29032467668799</v>
      </c>
      <c r="AH199" s="23">
        <v>1.6299999999999999E-2</v>
      </c>
      <c r="AI199" s="21">
        <v>0.68429430427000404</v>
      </c>
    </row>
    <row r="200" spans="1:35" x14ac:dyDescent="0.25">
      <c r="B200" s="1">
        <v>20</v>
      </c>
      <c r="C200" s="1">
        <v>6</v>
      </c>
      <c r="D200" s="3">
        <v>84</v>
      </c>
      <c r="E200" s="5">
        <v>3.50882128585544</v>
      </c>
      <c r="F200" s="1">
        <v>50</v>
      </c>
      <c r="G200" s="1">
        <v>64</v>
      </c>
      <c r="H200" s="4">
        <v>96.251010941285003</v>
      </c>
      <c r="I200" s="1">
        <v>400</v>
      </c>
      <c r="J200" s="29">
        <v>336</v>
      </c>
      <c r="K200" s="22">
        <v>205</v>
      </c>
      <c r="L200" s="29">
        <v>164</v>
      </c>
      <c r="M200" s="5">
        <v>0.23</v>
      </c>
      <c r="N200" s="21">
        <v>0.19201766444682</v>
      </c>
      <c r="O200" s="22">
        <v>225.29667178564301</v>
      </c>
      <c r="P200" s="22">
        <v>134.73248610695401</v>
      </c>
      <c r="Q200" s="23">
        <v>3.1012448894699399E-2</v>
      </c>
      <c r="R200" s="21">
        <v>0.83485941063834901</v>
      </c>
      <c r="S200" s="5">
        <v>0.158125712265201</v>
      </c>
      <c r="T200" s="22">
        <v>225.29667178564301</v>
      </c>
      <c r="U200" s="22">
        <v>205</v>
      </c>
      <c r="V200" s="23">
        <v>1.9146341463414599E-2</v>
      </c>
      <c r="W200" s="21">
        <f t="shared" si="6"/>
        <v>1.266945859714663</v>
      </c>
      <c r="X200" s="21">
        <f t="shared" si="7"/>
        <v>0.57948717948717943</v>
      </c>
      <c r="Y200" s="21">
        <v>0.68750309680522304</v>
      </c>
      <c r="Z200" s="21">
        <v>0.19235738777105399</v>
      </c>
      <c r="AA200" s="22">
        <v>225.29667178564301</v>
      </c>
      <c r="AB200" s="22">
        <v>134.73248610695401</v>
      </c>
      <c r="AC200" s="23">
        <v>3.1012448894699399E-2</v>
      </c>
      <c r="AD200" s="21">
        <v>0.83633646856980004</v>
      </c>
      <c r="AE200" s="21">
        <v>0.23236812048535099</v>
      </c>
      <c r="AF200" s="21">
        <v>0.16100492295254701</v>
      </c>
      <c r="AG200" s="22">
        <v>235.81992119701701</v>
      </c>
      <c r="AH200" s="23">
        <v>1.6299999999999999E-2</v>
      </c>
      <c r="AI200" s="21">
        <v>0.70002140414150804</v>
      </c>
    </row>
    <row r="201" spans="1:35" x14ac:dyDescent="0.25">
      <c r="B201" s="1">
        <v>20</v>
      </c>
      <c r="C201" s="1">
        <v>6</v>
      </c>
      <c r="D201" s="3">
        <v>84</v>
      </c>
      <c r="E201" s="5">
        <v>3.50882128585544</v>
      </c>
      <c r="F201" s="1">
        <v>50</v>
      </c>
      <c r="G201" s="1">
        <v>64</v>
      </c>
      <c r="H201" s="4">
        <v>96.251010941285003</v>
      </c>
      <c r="I201" s="1">
        <v>400</v>
      </c>
      <c r="J201" s="29">
        <v>336</v>
      </c>
      <c r="K201" s="22">
        <v>205</v>
      </c>
      <c r="L201" s="29">
        <v>164</v>
      </c>
      <c r="M201" s="5">
        <v>0.28000000000000003</v>
      </c>
      <c r="N201" s="21">
        <v>0.25237644594443098</v>
      </c>
      <c r="O201" s="22">
        <v>270.705303308331</v>
      </c>
      <c r="P201" s="22">
        <v>134.73248610695401</v>
      </c>
      <c r="Q201" s="23">
        <v>3.1012448894699399E-2</v>
      </c>
      <c r="R201" s="21">
        <v>0.90134444980153805</v>
      </c>
      <c r="S201" s="5">
        <v>0.22825608951794199</v>
      </c>
      <c r="T201" s="22">
        <v>270.705303308331</v>
      </c>
      <c r="U201" s="22">
        <v>205</v>
      </c>
      <c r="V201" s="23">
        <v>1.9146341463414599E-2</v>
      </c>
      <c r="W201" s="21">
        <f t="shared" si="6"/>
        <v>1.266945859714663</v>
      </c>
      <c r="X201" s="21">
        <f t="shared" si="7"/>
        <v>0.57948717948717943</v>
      </c>
      <c r="Y201" s="21">
        <v>0.81520031970693596</v>
      </c>
      <c r="Z201" s="21">
        <v>0.25282295780791703</v>
      </c>
      <c r="AA201" s="22">
        <v>270.705303308331</v>
      </c>
      <c r="AB201" s="22">
        <v>134.73248610695401</v>
      </c>
      <c r="AC201" s="23">
        <v>3.1012448894699399E-2</v>
      </c>
      <c r="AD201" s="21">
        <v>0.90293913502827605</v>
      </c>
      <c r="AE201" s="21">
        <v>0.27920200523433703</v>
      </c>
      <c r="AF201" s="21">
        <v>0.23244656414487999</v>
      </c>
      <c r="AG201" s="22">
        <v>283.34951771734501</v>
      </c>
      <c r="AH201" s="23">
        <v>1.6299999999999999E-2</v>
      </c>
      <c r="AI201" s="21">
        <v>0.83016630051742701</v>
      </c>
    </row>
    <row r="202" spans="1:35" x14ac:dyDescent="0.25">
      <c r="A202" t="s">
        <v>65</v>
      </c>
      <c r="B202" s="1">
        <v>20</v>
      </c>
      <c r="C202" s="1">
        <v>9</v>
      </c>
      <c r="D202" s="3">
        <v>45</v>
      </c>
      <c r="E202" s="5">
        <v>3.50882128585544</v>
      </c>
      <c r="F202" s="1">
        <v>50</v>
      </c>
      <c r="G202" s="1">
        <v>64</v>
      </c>
      <c r="H202" s="4">
        <v>113.55033398296101</v>
      </c>
      <c r="I202" s="1">
        <v>400</v>
      </c>
      <c r="J202" s="29">
        <v>336</v>
      </c>
      <c r="K202" s="22">
        <v>208</v>
      </c>
      <c r="L202" s="29">
        <v>164</v>
      </c>
      <c r="M202" s="5">
        <v>0.18</v>
      </c>
      <c r="N202" s="21">
        <v>0.12272095972411499</v>
      </c>
      <c r="O202" s="22">
        <v>176.83957373352101</v>
      </c>
      <c r="P202" s="22">
        <v>92.722529128704906</v>
      </c>
      <c r="Q202" s="23">
        <v>4.9328037963777903E-2</v>
      </c>
      <c r="R202" s="21">
        <v>0.68178310957841604</v>
      </c>
      <c r="S202" s="5">
        <v>0.117948216713536</v>
      </c>
      <c r="T202" s="22">
        <v>176.83957373352101</v>
      </c>
      <c r="U202" s="22">
        <v>144</v>
      </c>
      <c r="V202" s="23">
        <v>2.8719512195122001E-2</v>
      </c>
      <c r="W202" s="21">
        <f t="shared" si="6"/>
        <v>1.2877055342267756</v>
      </c>
      <c r="X202" s="21">
        <f t="shared" si="7"/>
        <v>0.57291666666666663</v>
      </c>
      <c r="Y202" s="21">
        <v>0.65526787063075298</v>
      </c>
      <c r="Z202" s="21">
        <v>0.13790150792584999</v>
      </c>
      <c r="AA202" s="22">
        <v>176.83957373352101</v>
      </c>
      <c r="AB202" s="22">
        <v>92.722529128704906</v>
      </c>
      <c r="AC202" s="23">
        <v>4.9328037963777903E-2</v>
      </c>
      <c r="AD202" s="21">
        <v>0.766119488476944</v>
      </c>
      <c r="AE202" s="21">
        <v>0.15058108016807401</v>
      </c>
      <c r="AF202" s="21">
        <v>0.10035281057140499</v>
      </c>
      <c r="AG202" s="22">
        <v>186.17685184047301</v>
      </c>
      <c r="AH202" s="23">
        <v>2.06E-2</v>
      </c>
      <c r="AI202" s="21">
        <v>0.55751561428558105</v>
      </c>
    </row>
    <row r="203" spans="1:35" x14ac:dyDescent="0.25">
      <c r="B203" s="1">
        <v>20</v>
      </c>
      <c r="C203" s="1">
        <v>9</v>
      </c>
      <c r="D203" s="3">
        <v>45</v>
      </c>
      <c r="E203" s="5">
        <v>3.50882128585544</v>
      </c>
      <c r="F203" s="1">
        <v>50</v>
      </c>
      <c r="G203" s="1">
        <v>64</v>
      </c>
      <c r="H203" s="4">
        <v>113.55033398296101</v>
      </c>
      <c r="I203" s="1">
        <v>400</v>
      </c>
      <c r="J203" s="29">
        <v>336</v>
      </c>
      <c r="K203" s="22">
        <v>208</v>
      </c>
      <c r="L203" s="29">
        <v>164</v>
      </c>
      <c r="M203" s="5">
        <v>0.26</v>
      </c>
      <c r="N203" s="21">
        <v>0.16718299484634599</v>
      </c>
      <c r="O203" s="22">
        <v>220.752756472718</v>
      </c>
      <c r="P203" s="22">
        <v>92.722529128704906</v>
      </c>
      <c r="Q203" s="23">
        <v>4.9328037963777903E-2</v>
      </c>
      <c r="R203" s="21">
        <v>0.643011518639792</v>
      </c>
      <c r="S203" s="5">
        <v>0.17512939694084201</v>
      </c>
      <c r="T203" s="22">
        <v>220.752756472718</v>
      </c>
      <c r="U203" s="22">
        <v>144</v>
      </c>
      <c r="V203" s="23">
        <v>2.8719512195122001E-2</v>
      </c>
      <c r="W203" s="21">
        <f t="shared" si="6"/>
        <v>1.2877055342267756</v>
      </c>
      <c r="X203" s="21">
        <f t="shared" si="7"/>
        <v>0.57291666666666663</v>
      </c>
      <c r="Y203" s="21">
        <v>0.67357460361862298</v>
      </c>
      <c r="Z203" s="21">
        <v>0.18786348428743899</v>
      </c>
      <c r="AA203" s="22">
        <v>220.752756472718</v>
      </c>
      <c r="AB203" s="22">
        <v>92.722529128704906</v>
      </c>
      <c r="AC203" s="23">
        <v>4.9328037963777903E-2</v>
      </c>
      <c r="AD203" s="21">
        <v>0.72255186264399596</v>
      </c>
      <c r="AE203" s="21">
        <v>0.18797369739101799</v>
      </c>
      <c r="AF203" s="21">
        <v>0.15638060603253501</v>
      </c>
      <c r="AG203" s="22">
        <v>232.40868753240301</v>
      </c>
      <c r="AH203" s="23">
        <v>2.06E-2</v>
      </c>
      <c r="AI203" s="21">
        <v>0.60146386935590401</v>
      </c>
    </row>
    <row r="204" spans="1:35" x14ac:dyDescent="0.25">
      <c r="B204" s="1">
        <v>20</v>
      </c>
      <c r="C204" s="1">
        <v>9</v>
      </c>
      <c r="D204" s="3">
        <v>45</v>
      </c>
      <c r="E204" s="5">
        <v>3.50882128585544</v>
      </c>
      <c r="F204" s="1">
        <v>50</v>
      </c>
      <c r="G204" s="1">
        <v>64</v>
      </c>
      <c r="H204" s="4">
        <v>113.55033398296101</v>
      </c>
      <c r="I204" s="1">
        <v>400</v>
      </c>
      <c r="J204" s="29">
        <v>336</v>
      </c>
      <c r="K204" s="22">
        <v>208</v>
      </c>
      <c r="L204" s="29">
        <v>164</v>
      </c>
      <c r="M204" s="5">
        <v>0.34</v>
      </c>
      <c r="N204" s="21">
        <v>0.21164502996857701</v>
      </c>
      <c r="O204" s="22">
        <v>264.66593921191401</v>
      </c>
      <c r="P204" s="22">
        <v>92.722529128704906</v>
      </c>
      <c r="Q204" s="23">
        <v>4.9328037963777903E-2</v>
      </c>
      <c r="R204" s="21">
        <v>0.62248538226052097</v>
      </c>
      <c r="S204" s="5">
        <v>0.23231057716814801</v>
      </c>
      <c r="T204" s="22">
        <v>264.66593921191401</v>
      </c>
      <c r="U204" s="22">
        <v>144</v>
      </c>
      <c r="V204" s="23">
        <v>2.8719512195122001E-2</v>
      </c>
      <c r="W204" s="21">
        <f t="shared" si="6"/>
        <v>1.2877055342267756</v>
      </c>
      <c r="X204" s="21">
        <f t="shared" si="7"/>
        <v>0.57291666666666663</v>
      </c>
      <c r="Y204" s="21">
        <v>0.68326640343573097</v>
      </c>
      <c r="Z204" s="21">
        <v>0.23782546064902799</v>
      </c>
      <c r="AA204" s="22">
        <v>264.66593921191401</v>
      </c>
      <c r="AB204" s="22">
        <v>92.722529128704906</v>
      </c>
      <c r="AC204" s="23">
        <v>4.9328037963777903E-2</v>
      </c>
      <c r="AD204" s="21">
        <v>0.69948664896773005</v>
      </c>
      <c r="AE204" s="21">
        <v>0.225366314613963</v>
      </c>
      <c r="AF204" s="21">
        <v>0.22478469064030299</v>
      </c>
      <c r="AG204" s="22">
        <v>278.64052322433201</v>
      </c>
      <c r="AH204" s="23">
        <v>2.06E-2</v>
      </c>
      <c r="AI204" s="21">
        <v>0.66113144305971605</v>
      </c>
    </row>
    <row r="205" spans="1:35" x14ac:dyDescent="0.25">
      <c r="A205" t="s">
        <v>66</v>
      </c>
      <c r="B205" s="1">
        <v>16</v>
      </c>
      <c r="C205" s="1">
        <v>2</v>
      </c>
      <c r="D205" s="3">
        <v>52</v>
      </c>
      <c r="E205" s="5">
        <v>3.42</v>
      </c>
      <c r="F205" s="1">
        <v>27</v>
      </c>
      <c r="G205" s="1">
        <v>35</v>
      </c>
      <c r="H205" s="4">
        <v>69.8404266407112</v>
      </c>
      <c r="I205" s="1">
        <v>235</v>
      </c>
      <c r="J205" s="29">
        <v>200</v>
      </c>
      <c r="K205" s="22">
        <v>123</v>
      </c>
      <c r="L205" s="29">
        <v>115</v>
      </c>
      <c r="M205" s="5">
        <v>0.15</v>
      </c>
      <c r="N205" s="21">
        <v>0.12947798925127499</v>
      </c>
      <c r="O205" s="22">
        <v>234.72234542321399</v>
      </c>
      <c r="P205" s="22">
        <v>94.165512992369202</v>
      </c>
      <c r="Q205" s="23">
        <v>4.8680193563528699E-2</v>
      </c>
      <c r="R205" s="21">
        <v>0.86318659500849804</v>
      </c>
      <c r="S205" s="5">
        <v>0.11752778194930601</v>
      </c>
      <c r="T205" s="22">
        <v>234.72234542321399</v>
      </c>
      <c r="U205" s="22">
        <v>171</v>
      </c>
      <c r="V205" s="23">
        <v>2.3304347826087E-2</v>
      </c>
      <c r="W205" s="21">
        <f t="shared" si="6"/>
        <v>1.2689006970189354</v>
      </c>
      <c r="X205" s="21">
        <f t="shared" si="7"/>
        <v>0.48660714285714285</v>
      </c>
      <c r="Y205" s="21">
        <v>0.78351854632870899</v>
      </c>
      <c r="Z205" s="21">
        <v>0.13159532895532</v>
      </c>
      <c r="AA205" s="22">
        <v>234.72234542321399</v>
      </c>
      <c r="AB205" s="22">
        <v>94.165512992369202</v>
      </c>
      <c r="AC205" s="23">
        <v>4.8680193563528699E-2</v>
      </c>
      <c r="AD205" s="21">
        <v>0.87730219303546897</v>
      </c>
      <c r="AE205" s="21">
        <v>0.179901478557426</v>
      </c>
      <c r="AF205" s="21">
        <v>0.150210926096571</v>
      </c>
      <c r="AG205" s="22">
        <v>245.36039355332301</v>
      </c>
      <c r="AH205" s="23">
        <v>1.8800000000000001E-2</v>
      </c>
      <c r="AI205" s="21">
        <v>1.00140617397714</v>
      </c>
    </row>
    <row r="206" spans="1:35" x14ac:dyDescent="0.25">
      <c r="B206" s="1">
        <v>16</v>
      </c>
      <c r="C206" s="1">
        <v>2</v>
      </c>
      <c r="D206" s="3">
        <v>52</v>
      </c>
      <c r="E206" s="5">
        <v>3.42</v>
      </c>
      <c r="F206" s="1">
        <v>27</v>
      </c>
      <c r="G206" s="1">
        <v>35</v>
      </c>
      <c r="H206" s="4">
        <v>69.8404266407112</v>
      </c>
      <c r="I206" s="1">
        <v>235</v>
      </c>
      <c r="J206" s="29">
        <v>200</v>
      </c>
      <c r="K206" s="22">
        <v>123</v>
      </c>
      <c r="L206" s="29">
        <v>115</v>
      </c>
      <c r="M206" s="5">
        <v>0.19</v>
      </c>
      <c r="N206" s="21">
        <v>0.188279507963272</v>
      </c>
      <c r="O206" s="22">
        <v>315.66108522432199</v>
      </c>
      <c r="P206" s="22">
        <v>94.165512992369202</v>
      </c>
      <c r="Q206" s="23">
        <v>4.8680193563528699E-2</v>
      </c>
      <c r="R206" s="21">
        <v>0.99094477875406295</v>
      </c>
      <c r="S206" s="5">
        <v>0.18941639586178199</v>
      </c>
      <c r="T206" s="22">
        <v>315.66108522432199</v>
      </c>
      <c r="U206" s="22">
        <v>171</v>
      </c>
      <c r="V206" s="23">
        <v>2.3304347826087E-2</v>
      </c>
      <c r="W206" s="21">
        <f t="shared" si="6"/>
        <v>1.2689006970189354</v>
      </c>
      <c r="X206" s="21">
        <f t="shared" si="7"/>
        <v>0.48660714285714285</v>
      </c>
      <c r="Y206" s="21">
        <v>0.99692839927253496</v>
      </c>
      <c r="Z206" s="21">
        <v>0.191358422611036</v>
      </c>
      <c r="AA206" s="22">
        <v>315.66108522432199</v>
      </c>
      <c r="AB206" s="22">
        <v>94.165512992369202</v>
      </c>
      <c r="AC206" s="23">
        <v>4.8680193563528699E-2</v>
      </c>
      <c r="AD206" s="21">
        <v>1.0071495926896601</v>
      </c>
      <c r="AE206" s="21">
        <v>0.241936471163435</v>
      </c>
      <c r="AF206" s="21">
        <v>0.27166565825551098</v>
      </c>
      <c r="AG206" s="22">
        <v>329.96742581308899</v>
      </c>
      <c r="AH206" s="23">
        <v>1.8800000000000001E-2</v>
      </c>
      <c r="AI206" s="21">
        <v>1.2733498482286101</v>
      </c>
    </row>
    <row r="207" spans="1:35" x14ac:dyDescent="0.25">
      <c r="B207" s="1">
        <v>16</v>
      </c>
      <c r="C207" s="1">
        <v>2</v>
      </c>
      <c r="D207" s="3">
        <v>52</v>
      </c>
      <c r="E207" s="5">
        <v>3.42</v>
      </c>
      <c r="F207" s="1">
        <v>27</v>
      </c>
      <c r="G207" s="1">
        <v>35</v>
      </c>
      <c r="H207" s="4">
        <v>69.8404266407112</v>
      </c>
      <c r="I207" s="1">
        <v>235</v>
      </c>
      <c r="J207" s="29">
        <v>200</v>
      </c>
      <c r="K207" s="22">
        <v>123</v>
      </c>
      <c r="L207" s="29">
        <v>115</v>
      </c>
      <c r="M207" s="5">
        <v>0.22</v>
      </c>
      <c r="N207" s="21">
        <v>0.22356041919047001</v>
      </c>
      <c r="O207" s="22">
        <v>364.22432910498702</v>
      </c>
      <c r="P207" s="22">
        <v>94.165512992369202</v>
      </c>
      <c r="Q207" s="23">
        <v>4.8680193563528699E-2</v>
      </c>
      <c r="R207" s="21">
        <v>1.01618372359305</v>
      </c>
      <c r="S207" s="5">
        <v>0.23254956420926701</v>
      </c>
      <c r="T207" s="22">
        <v>364.22432910498702</v>
      </c>
      <c r="U207" s="22">
        <v>171</v>
      </c>
      <c r="V207" s="23">
        <v>2.3304347826087E-2</v>
      </c>
      <c r="W207" s="21">
        <f t="shared" si="6"/>
        <v>1.2689006970189354</v>
      </c>
      <c r="X207" s="21">
        <f t="shared" si="7"/>
        <v>0.48660714285714285</v>
      </c>
      <c r="Y207" s="21">
        <v>1.0570434736784899</v>
      </c>
      <c r="Z207" s="21">
        <v>0.22721627880446599</v>
      </c>
      <c r="AA207" s="22">
        <v>364.22432910498702</v>
      </c>
      <c r="AB207" s="22">
        <v>94.165512992369202</v>
      </c>
      <c r="AC207" s="23">
        <v>4.8680193563528699E-2</v>
      </c>
      <c r="AD207" s="21">
        <v>1.03280126729303</v>
      </c>
      <c r="AE207" s="21">
        <v>0.279157466727041</v>
      </c>
      <c r="AF207" s="21">
        <v>0.36168504797331402</v>
      </c>
      <c r="AG207" s="22">
        <v>380.731645168949</v>
      </c>
      <c r="AH207" s="23">
        <v>1.8800000000000001E-2</v>
      </c>
      <c r="AI207" s="21">
        <v>1.268897576032</v>
      </c>
    </row>
    <row r="208" spans="1:35" x14ac:dyDescent="0.25">
      <c r="B208" s="1">
        <v>16</v>
      </c>
      <c r="C208" s="1">
        <v>2</v>
      </c>
      <c r="D208" s="3">
        <v>52</v>
      </c>
      <c r="E208" s="5">
        <v>3.42</v>
      </c>
      <c r="F208" s="1">
        <v>27</v>
      </c>
      <c r="G208" s="1">
        <v>35</v>
      </c>
      <c r="H208" s="4">
        <v>69.8404266407112</v>
      </c>
      <c r="I208" s="1">
        <v>235</v>
      </c>
      <c r="J208" s="29">
        <v>200</v>
      </c>
      <c r="K208" s="22">
        <v>123</v>
      </c>
      <c r="L208" s="29">
        <v>115</v>
      </c>
      <c r="M208" s="5">
        <v>0.22</v>
      </c>
      <c r="N208" s="21">
        <v>0.25296117854646899</v>
      </c>
      <c r="O208" s="22">
        <v>404.69369900554102</v>
      </c>
      <c r="P208" s="22">
        <v>94.165512992369202</v>
      </c>
      <c r="Q208" s="23">
        <v>4.8680193563528699E-2</v>
      </c>
      <c r="R208" s="21">
        <v>1.1498235388475899</v>
      </c>
      <c r="S208" s="5">
        <v>0.26849387116550399</v>
      </c>
      <c r="T208" s="22">
        <v>404.69369900554102</v>
      </c>
      <c r="U208" s="22">
        <v>171</v>
      </c>
      <c r="V208" s="23">
        <v>2.3304347826087E-2</v>
      </c>
      <c r="W208" s="21">
        <f t="shared" si="6"/>
        <v>1.2689006970189354</v>
      </c>
      <c r="X208" s="21">
        <f t="shared" si="7"/>
        <v>0.48660714285714285</v>
      </c>
      <c r="Y208" s="21">
        <v>1.2204266871159299</v>
      </c>
      <c r="Z208" s="21">
        <v>0.25709782563232397</v>
      </c>
      <c r="AA208" s="22">
        <v>404.69369900554102</v>
      </c>
      <c r="AB208" s="22">
        <v>94.165512992369202</v>
      </c>
      <c r="AC208" s="23">
        <v>4.8680193563528699E-2</v>
      </c>
      <c r="AD208" s="21">
        <v>1.1686264801469299</v>
      </c>
      <c r="AE208" s="21">
        <v>0.31017496303004499</v>
      </c>
      <c r="AF208" s="21">
        <v>0.44652475058433799</v>
      </c>
      <c r="AG208" s="22">
        <v>423.03516129883201</v>
      </c>
      <c r="AH208" s="23">
        <v>1.8800000000000001E-2</v>
      </c>
      <c r="AI208" s="21">
        <v>1.4098861955911199</v>
      </c>
    </row>
    <row r="209" spans="1:35" x14ac:dyDescent="0.25">
      <c r="B209" s="1">
        <v>16</v>
      </c>
      <c r="C209" s="1">
        <v>2</v>
      </c>
      <c r="D209" s="3">
        <v>52</v>
      </c>
      <c r="E209" s="5">
        <v>3.42</v>
      </c>
      <c r="F209" s="1">
        <v>27</v>
      </c>
      <c r="G209" s="1">
        <v>35</v>
      </c>
      <c r="H209" s="4">
        <v>69.8404266407112</v>
      </c>
      <c r="I209" s="1">
        <v>235</v>
      </c>
      <c r="J209" s="29">
        <v>200</v>
      </c>
      <c r="K209" s="22">
        <v>123</v>
      </c>
      <c r="L209" s="29">
        <v>115</v>
      </c>
      <c r="M209" s="5">
        <v>0.25</v>
      </c>
      <c r="N209" s="21">
        <v>0.300002393516067</v>
      </c>
      <c r="O209" s="22">
        <v>469.44469084642799</v>
      </c>
      <c r="P209" s="22">
        <v>94.165512992369202</v>
      </c>
      <c r="Q209" s="23">
        <v>4.8680193563528699E-2</v>
      </c>
      <c r="R209" s="21">
        <v>1.20000957406427</v>
      </c>
      <c r="S209" s="5">
        <v>0.32600476229548497</v>
      </c>
      <c r="T209" s="22">
        <v>469.44469084642799</v>
      </c>
      <c r="U209" s="22">
        <v>171</v>
      </c>
      <c r="V209" s="23">
        <v>2.3304347826087E-2</v>
      </c>
      <c r="W209" s="21">
        <f t="shared" si="6"/>
        <v>1.2689006970189354</v>
      </c>
      <c r="X209" s="21">
        <f t="shared" si="7"/>
        <v>0.48660714285714285</v>
      </c>
      <c r="Y209" s="21">
        <v>1.3040190491819399</v>
      </c>
      <c r="Z209" s="21">
        <v>0.30490830055689599</v>
      </c>
      <c r="AA209" s="22">
        <v>469.44469084642799</v>
      </c>
      <c r="AB209" s="22">
        <v>94.165512992369202</v>
      </c>
      <c r="AC209" s="23">
        <v>4.8680193563528699E-2</v>
      </c>
      <c r="AD209" s="21">
        <v>1.21963320222759</v>
      </c>
      <c r="AE209" s="21">
        <v>0.35980295711485299</v>
      </c>
      <c r="AF209" s="21">
        <v>0.60084370438628498</v>
      </c>
      <c r="AG209" s="22">
        <v>490.72078710664499</v>
      </c>
      <c r="AH209" s="23">
        <v>1.8800000000000001E-2</v>
      </c>
      <c r="AI209" s="21">
        <v>1.43921182845941</v>
      </c>
    </row>
    <row r="210" spans="1:35" x14ac:dyDescent="0.25">
      <c r="B210" s="1">
        <v>16</v>
      </c>
      <c r="C210" s="1">
        <v>2</v>
      </c>
      <c r="D210" s="3">
        <v>52</v>
      </c>
      <c r="E210" s="5">
        <v>3.42</v>
      </c>
      <c r="F210" s="1">
        <v>27</v>
      </c>
      <c r="G210" s="1">
        <v>35</v>
      </c>
      <c r="H210" s="4">
        <v>69.8404266407112</v>
      </c>
      <c r="I210" s="1">
        <v>235</v>
      </c>
      <c r="J210" s="29">
        <v>200</v>
      </c>
      <c r="K210" s="22">
        <v>123</v>
      </c>
      <c r="L210" s="29">
        <v>115</v>
      </c>
      <c r="M210" s="5">
        <v>0.28999999999999998</v>
      </c>
      <c r="N210" s="21">
        <v>0.34116345661446501</v>
      </c>
      <c r="O210" s="22">
        <v>526.10180870720399</v>
      </c>
      <c r="P210" s="22">
        <v>94.165512992369202</v>
      </c>
      <c r="Q210" s="23">
        <v>4.8680193563528699E-2</v>
      </c>
      <c r="R210" s="21">
        <v>1.1764257124636699</v>
      </c>
      <c r="S210" s="5">
        <v>0.37632679203421798</v>
      </c>
      <c r="T210" s="22">
        <v>526.10180870720399</v>
      </c>
      <c r="U210" s="22">
        <v>171</v>
      </c>
      <c r="V210" s="23">
        <v>2.3304347826087E-2</v>
      </c>
      <c r="W210" s="21">
        <f t="shared" si="6"/>
        <v>1.2689006970189354</v>
      </c>
      <c r="X210" s="21">
        <f t="shared" si="7"/>
        <v>0.48660714285714285</v>
      </c>
      <c r="Y210" s="21">
        <v>1.2976785932214401</v>
      </c>
      <c r="Z210" s="21">
        <v>0.34674246611589798</v>
      </c>
      <c r="AA210" s="22">
        <v>526.10180870720399</v>
      </c>
      <c r="AB210" s="22">
        <v>94.165512992369202</v>
      </c>
      <c r="AC210" s="23">
        <v>4.8680193563528699E-2</v>
      </c>
      <c r="AD210" s="21">
        <v>1.1956636762617201</v>
      </c>
      <c r="AE210" s="21">
        <v>0.38713656797945201</v>
      </c>
      <c r="AF210" s="21">
        <v>0.69560140350877198</v>
      </c>
      <c r="AG210" s="22">
        <v>528</v>
      </c>
      <c r="AH210" s="23">
        <v>1.8800000000000001E-2</v>
      </c>
      <c r="AI210" s="21">
        <v>1.3349536826877699</v>
      </c>
    </row>
    <row r="211" spans="1:35" x14ac:dyDescent="0.25">
      <c r="A211" t="s">
        <v>67</v>
      </c>
      <c r="B211" s="1">
        <v>20</v>
      </c>
      <c r="C211" s="1">
        <v>2</v>
      </c>
      <c r="D211" s="3">
        <v>44</v>
      </c>
      <c r="E211" s="5">
        <v>3.42</v>
      </c>
      <c r="F211" s="1">
        <v>25</v>
      </c>
      <c r="G211" s="1">
        <v>35</v>
      </c>
      <c r="H211" s="4">
        <v>82.823824444556394</v>
      </c>
      <c r="I211" s="1">
        <v>235</v>
      </c>
      <c r="J211" s="29">
        <v>200</v>
      </c>
      <c r="K211" s="22">
        <v>125</v>
      </c>
      <c r="L211" s="29">
        <v>122.5</v>
      </c>
      <c r="M211" s="5">
        <v>0.17</v>
      </c>
      <c r="N211" s="21">
        <v>0.13588199007541199</v>
      </c>
      <c r="O211" s="22">
        <v>270.87013331072598</v>
      </c>
      <c r="P211" s="22">
        <v>65.347574009437494</v>
      </c>
      <c r="Q211" s="23">
        <v>8.2535915718449093E-2</v>
      </c>
      <c r="R211" s="21">
        <v>0.79930582397301198</v>
      </c>
      <c r="S211" s="5">
        <v>0.15128120300738601</v>
      </c>
      <c r="T211" s="22">
        <v>270.87013331072598</v>
      </c>
      <c r="U211" s="22">
        <v>124</v>
      </c>
      <c r="V211" s="23">
        <v>3.4176870748299303E-2</v>
      </c>
      <c r="W211" s="21">
        <f t="shared" si="6"/>
        <v>1.2986955311870478</v>
      </c>
      <c r="X211" s="21">
        <f t="shared" si="7"/>
        <v>0.44318181818181818</v>
      </c>
      <c r="Y211" s="21">
        <v>0.88988942945521299</v>
      </c>
      <c r="Z211" s="21">
        <v>0.14617173010832901</v>
      </c>
      <c r="AA211" s="22">
        <v>270.87013331072598</v>
      </c>
      <c r="AB211" s="22">
        <v>65.347574009437494</v>
      </c>
      <c r="AC211" s="23">
        <v>8.2535915718449093E-2</v>
      </c>
      <c r="AD211" s="21">
        <v>0.85983370651958502</v>
      </c>
      <c r="AE211" s="21">
        <v>0.20519523255216399</v>
      </c>
      <c r="AF211" s="21">
        <v>0.25252771133111901</v>
      </c>
      <c r="AG211" s="22">
        <v>284.54647677583398</v>
      </c>
      <c r="AH211" s="23">
        <v>2.53E-2</v>
      </c>
      <c r="AI211" s="21">
        <v>1.2070307797186099</v>
      </c>
    </row>
    <row r="212" spans="1:35" x14ac:dyDescent="0.25">
      <c r="B212" s="1">
        <v>20</v>
      </c>
      <c r="C212" s="1">
        <v>2</v>
      </c>
      <c r="D212" s="3">
        <v>44</v>
      </c>
      <c r="E212" s="5">
        <v>3.42</v>
      </c>
      <c r="F212" s="1">
        <v>25</v>
      </c>
      <c r="G212" s="1">
        <v>35</v>
      </c>
      <c r="H212" s="4">
        <v>82.823824444556394</v>
      </c>
      <c r="I212" s="1">
        <v>235</v>
      </c>
      <c r="J212" s="29">
        <v>200</v>
      </c>
      <c r="K212" s="22">
        <v>125</v>
      </c>
      <c r="L212" s="29">
        <v>122.5</v>
      </c>
      <c r="M212" s="5">
        <v>0.19</v>
      </c>
      <c r="N212" s="21">
        <v>0.15768903676554999</v>
      </c>
      <c r="O212" s="22">
        <v>308.04838690239399</v>
      </c>
      <c r="P212" s="22">
        <v>65.347574009437494</v>
      </c>
      <c r="Q212" s="23">
        <v>8.2535915718449093E-2</v>
      </c>
      <c r="R212" s="21">
        <v>0.82994229876605097</v>
      </c>
      <c r="S212" s="5">
        <v>0.17990644867800401</v>
      </c>
      <c r="T212" s="22">
        <v>308.04838690239399</v>
      </c>
      <c r="U212" s="22">
        <v>124</v>
      </c>
      <c r="V212" s="23">
        <v>3.4176870748299303E-2</v>
      </c>
      <c r="W212" s="21">
        <f t="shared" si="6"/>
        <v>1.2986955311870478</v>
      </c>
      <c r="X212" s="21">
        <f t="shared" si="7"/>
        <v>0.44318181818181818</v>
      </c>
      <c r="Y212" s="21">
        <v>0.94687604567370298</v>
      </c>
      <c r="Z212" s="21">
        <v>0.16963012765962701</v>
      </c>
      <c r="AA212" s="22">
        <v>308.04838690239399</v>
      </c>
      <c r="AB212" s="22">
        <v>65.347574009437494</v>
      </c>
      <c r="AC212" s="23">
        <v>8.2535915718449093E-2</v>
      </c>
      <c r="AD212" s="21">
        <v>0.89279014557698599</v>
      </c>
      <c r="AE212" s="21">
        <v>0.233359284078932</v>
      </c>
      <c r="AF212" s="21">
        <v>0.32660639020295401</v>
      </c>
      <c r="AG212" s="22">
        <v>323.60187554898698</v>
      </c>
      <c r="AH212" s="23">
        <v>2.53E-2</v>
      </c>
      <c r="AI212" s="21">
        <v>1.2282067583101699</v>
      </c>
    </row>
    <row r="213" spans="1:35" x14ac:dyDescent="0.25">
      <c r="B213" s="1">
        <v>20</v>
      </c>
      <c r="C213" s="1">
        <v>2</v>
      </c>
      <c r="D213" s="3">
        <v>44</v>
      </c>
      <c r="E213" s="5">
        <v>3.42</v>
      </c>
      <c r="F213" s="1">
        <v>25</v>
      </c>
      <c r="G213" s="1">
        <v>35</v>
      </c>
      <c r="H213" s="4">
        <v>82.823824444556394</v>
      </c>
      <c r="I213" s="1">
        <v>235</v>
      </c>
      <c r="J213" s="29">
        <v>200</v>
      </c>
      <c r="K213" s="22">
        <v>125</v>
      </c>
      <c r="L213" s="29">
        <v>122.5</v>
      </c>
      <c r="M213" s="5">
        <v>0.21</v>
      </c>
      <c r="N213" s="21">
        <v>0.18572666822429801</v>
      </c>
      <c r="O213" s="22">
        <v>355.84899866311099</v>
      </c>
      <c r="P213" s="22">
        <v>65.347574009437494</v>
      </c>
      <c r="Q213" s="23">
        <v>8.2535915718449093E-2</v>
      </c>
      <c r="R213" s="21">
        <v>0.88441270582999199</v>
      </c>
      <c r="S213" s="5">
        <v>0.21671033596879799</v>
      </c>
      <c r="T213" s="22">
        <v>355.84899866311099</v>
      </c>
      <c r="U213" s="22">
        <v>124</v>
      </c>
      <c r="V213" s="23">
        <v>3.4176870748299303E-2</v>
      </c>
      <c r="W213" s="21">
        <f t="shared" si="6"/>
        <v>1.2986955311870478</v>
      </c>
      <c r="X213" s="21">
        <f t="shared" si="7"/>
        <v>0.44318181818181818</v>
      </c>
      <c r="Y213" s="21">
        <v>1.0319539808038001</v>
      </c>
      <c r="Z213" s="21">
        <v>0.19979092451129599</v>
      </c>
      <c r="AA213" s="22">
        <v>355.84899866311099</v>
      </c>
      <c r="AB213" s="22">
        <v>65.347574009437494</v>
      </c>
      <c r="AC213" s="23">
        <v>8.2535915718449093E-2</v>
      </c>
      <c r="AD213" s="21">
        <v>0.95138535481569697</v>
      </c>
      <c r="AE213" s="21">
        <v>0.26957020747049099</v>
      </c>
      <c r="AF213" s="21">
        <v>0.43583117884098099</v>
      </c>
      <c r="AG213" s="22">
        <v>373.81595968589897</v>
      </c>
      <c r="AH213" s="23">
        <v>2.53E-2</v>
      </c>
      <c r="AI213" s="21">
        <v>1.2836676546213801</v>
      </c>
    </row>
    <row r="214" spans="1:35" x14ac:dyDescent="0.25">
      <c r="B214" s="1">
        <v>20</v>
      </c>
      <c r="C214" s="1">
        <v>2</v>
      </c>
      <c r="D214" s="3">
        <v>44</v>
      </c>
      <c r="E214" s="5">
        <v>3.42</v>
      </c>
      <c r="F214" s="1">
        <v>25</v>
      </c>
      <c r="G214" s="1">
        <v>35</v>
      </c>
      <c r="H214" s="4">
        <v>82.823824444556394</v>
      </c>
      <c r="I214" s="1">
        <v>235</v>
      </c>
      <c r="J214" s="29">
        <v>200</v>
      </c>
      <c r="K214" s="22">
        <v>125</v>
      </c>
      <c r="L214" s="29">
        <v>122.5</v>
      </c>
      <c r="M214" s="5">
        <v>0.23</v>
      </c>
      <c r="N214" s="21">
        <v>0.19818783776151999</v>
      </c>
      <c r="O214" s="22">
        <v>377.09371500120699</v>
      </c>
      <c r="P214" s="22">
        <v>65.347574009437494</v>
      </c>
      <c r="Q214" s="23">
        <v>8.2535915718449093E-2</v>
      </c>
      <c r="R214" s="21">
        <v>0.861686251137043</v>
      </c>
      <c r="S214" s="5">
        <v>0.23306761920915001</v>
      </c>
      <c r="T214" s="22">
        <v>377.09371500120699</v>
      </c>
      <c r="U214" s="22">
        <v>124</v>
      </c>
      <c r="V214" s="23">
        <v>3.4176870748299303E-2</v>
      </c>
      <c r="W214" s="21">
        <f t="shared" si="6"/>
        <v>1.2986955311870478</v>
      </c>
      <c r="X214" s="21">
        <f t="shared" si="7"/>
        <v>0.44318181818181818</v>
      </c>
      <c r="Y214" s="21">
        <v>1.01333747482239</v>
      </c>
      <c r="Z214" s="21">
        <v>0.21319572311203799</v>
      </c>
      <c r="AA214" s="22">
        <v>377.09371500120699</v>
      </c>
      <c r="AB214" s="22">
        <v>65.347574009437494</v>
      </c>
      <c r="AC214" s="23">
        <v>8.2535915718449093E-2</v>
      </c>
      <c r="AD214" s="21">
        <v>0.92693792657407903</v>
      </c>
      <c r="AE214" s="21">
        <v>0.28566395120007199</v>
      </c>
      <c r="AF214" s="21">
        <v>0.48942414179937299</v>
      </c>
      <c r="AG214" s="22">
        <v>396.13333041341502</v>
      </c>
      <c r="AH214" s="23">
        <v>2.53E-2</v>
      </c>
      <c r="AI214" s="21">
        <v>1.2420171791307499</v>
      </c>
    </row>
    <row r="215" spans="1:35" x14ac:dyDescent="0.25">
      <c r="B215" s="1">
        <v>20</v>
      </c>
      <c r="C215" s="1">
        <v>2</v>
      </c>
      <c r="D215" s="3">
        <v>44</v>
      </c>
      <c r="E215" s="5">
        <v>3.42</v>
      </c>
      <c r="F215" s="1">
        <v>25</v>
      </c>
      <c r="G215" s="1">
        <v>35</v>
      </c>
      <c r="H215" s="4">
        <v>82.823824444556394</v>
      </c>
      <c r="I215" s="1">
        <v>235</v>
      </c>
      <c r="J215" s="29">
        <v>200</v>
      </c>
      <c r="K215" s="22">
        <v>125</v>
      </c>
      <c r="L215" s="29">
        <v>122.5</v>
      </c>
      <c r="M215" s="5">
        <v>0.25</v>
      </c>
      <c r="N215" s="21">
        <v>0.22622546922026901</v>
      </c>
      <c r="O215" s="22">
        <v>424.89432676192303</v>
      </c>
      <c r="P215" s="22">
        <v>65.347574009437494</v>
      </c>
      <c r="Q215" s="23">
        <v>8.2535915718449093E-2</v>
      </c>
      <c r="R215" s="21">
        <v>0.90490187688107404</v>
      </c>
      <c r="S215" s="5">
        <v>0.26987150649994401</v>
      </c>
      <c r="T215" s="22">
        <v>424.89432676192303</v>
      </c>
      <c r="U215" s="22">
        <v>124</v>
      </c>
      <c r="V215" s="23">
        <v>3.4176870748299303E-2</v>
      </c>
      <c r="W215" s="21">
        <f t="shared" si="6"/>
        <v>1.2986955311870478</v>
      </c>
      <c r="X215" s="21">
        <f t="shared" si="7"/>
        <v>0.44318181818181818</v>
      </c>
      <c r="Y215" s="21">
        <v>1.0794860259997801</v>
      </c>
      <c r="Z215" s="21">
        <v>0.243356519963707</v>
      </c>
      <c r="AA215" s="22">
        <v>424.89432676192303</v>
      </c>
      <c r="AB215" s="22">
        <v>65.347574009437494</v>
      </c>
      <c r="AC215" s="23">
        <v>8.2535915718449093E-2</v>
      </c>
      <c r="AD215" s="21">
        <v>0.97342607985482899</v>
      </c>
      <c r="AE215" s="21">
        <v>0.32187487459163</v>
      </c>
      <c r="AF215" s="21">
        <v>0.62136768647411</v>
      </c>
      <c r="AG215" s="22">
        <v>446.34741455032702</v>
      </c>
      <c r="AH215" s="23">
        <v>2.53E-2</v>
      </c>
      <c r="AI215" s="21">
        <v>1.28749949836652</v>
      </c>
    </row>
    <row r="216" spans="1:35" x14ac:dyDescent="0.25">
      <c r="B216" s="1">
        <v>20</v>
      </c>
      <c r="C216" s="1">
        <v>2</v>
      </c>
      <c r="D216" s="3">
        <v>44</v>
      </c>
      <c r="E216" s="5">
        <v>3.42</v>
      </c>
      <c r="F216" s="1">
        <v>25</v>
      </c>
      <c r="G216" s="1">
        <v>35</v>
      </c>
      <c r="H216" s="4">
        <v>82.823824444556394</v>
      </c>
      <c r="I216" s="1">
        <v>235</v>
      </c>
      <c r="J216" s="29">
        <v>200</v>
      </c>
      <c r="K216" s="22">
        <v>125</v>
      </c>
      <c r="L216" s="29">
        <v>122.5</v>
      </c>
      <c r="M216" s="5">
        <v>0.25</v>
      </c>
      <c r="N216" s="21">
        <v>0.28541602452207099</v>
      </c>
      <c r="O216" s="22">
        <v>525.80672936788005</v>
      </c>
      <c r="P216" s="22">
        <v>65.347574009437494</v>
      </c>
      <c r="Q216" s="23">
        <v>8.2535915718449093E-2</v>
      </c>
      <c r="R216" s="21">
        <v>1.14166409808828</v>
      </c>
      <c r="S216" s="5">
        <v>0.34756860189161998</v>
      </c>
      <c r="T216" s="22">
        <v>525.80672936788005</v>
      </c>
      <c r="U216" s="22">
        <v>124</v>
      </c>
      <c r="V216" s="23">
        <v>3.4176870748299303E-2</v>
      </c>
      <c r="W216" s="21">
        <f t="shared" si="6"/>
        <v>1.2986955311870478</v>
      </c>
      <c r="X216" s="21">
        <f t="shared" si="7"/>
        <v>0.44318181818181818</v>
      </c>
      <c r="Y216" s="21">
        <v>1.3902744075664799</v>
      </c>
      <c r="Z216" s="21">
        <v>0.30702931331723099</v>
      </c>
      <c r="AA216" s="22">
        <v>525.80672936788005</v>
      </c>
      <c r="AB216" s="22">
        <v>65.347574009437494</v>
      </c>
      <c r="AC216" s="23">
        <v>8.2535915718449093E-2</v>
      </c>
      <c r="AD216" s="21">
        <v>1.22811725326892</v>
      </c>
      <c r="AE216" s="21">
        <v>0.380757070040603</v>
      </c>
      <c r="AF216" s="21">
        <v>0.869501754385965</v>
      </c>
      <c r="AG216" s="22">
        <v>528</v>
      </c>
      <c r="AH216" s="23">
        <v>2.53E-2</v>
      </c>
      <c r="AI216" s="21">
        <v>1.52302828016241</v>
      </c>
    </row>
    <row r="217" spans="1:35" x14ac:dyDescent="0.25">
      <c r="A217" t="s">
        <v>68</v>
      </c>
      <c r="B217" s="1">
        <v>20</v>
      </c>
      <c r="C217" s="1">
        <v>3</v>
      </c>
      <c r="D217" s="3">
        <v>12</v>
      </c>
      <c r="E217" s="5">
        <v>3.42</v>
      </c>
      <c r="F217" s="1">
        <v>25</v>
      </c>
      <c r="G217" s="1">
        <v>35</v>
      </c>
      <c r="H217" s="4">
        <v>95.701732145716306</v>
      </c>
      <c r="I217" s="1">
        <v>235</v>
      </c>
      <c r="J217" s="29">
        <v>200</v>
      </c>
      <c r="K217" s="22">
        <v>129</v>
      </c>
      <c r="L217" s="29">
        <v>122.5</v>
      </c>
      <c r="M217" s="5">
        <v>0.18</v>
      </c>
      <c r="N217" s="21">
        <v>9.9001541127222897E-2</v>
      </c>
      <c r="O217" s="22">
        <v>246.92191294539799</v>
      </c>
      <c r="P217" s="22">
        <v>49.197695849258302</v>
      </c>
      <c r="Q217" s="23">
        <v>0.13524934868327301</v>
      </c>
      <c r="R217" s="21">
        <v>0.55000856181790503</v>
      </c>
      <c r="S217" s="5">
        <v>0.127038496444004</v>
      </c>
      <c r="T217" s="22">
        <v>246.92191294539799</v>
      </c>
      <c r="U217" s="22">
        <v>91</v>
      </c>
      <c r="V217" s="23">
        <v>5.1265306122448999E-2</v>
      </c>
      <c r="W217" s="21">
        <f t="shared" si="6"/>
        <v>1.3355760428245933</v>
      </c>
      <c r="X217" s="21">
        <f t="shared" si="7"/>
        <v>0.42216981132075471</v>
      </c>
      <c r="Y217" s="21">
        <v>0.70576942468891202</v>
      </c>
      <c r="Z217" s="21">
        <v>0.11972263952841</v>
      </c>
      <c r="AA217" s="22">
        <v>246.92191294539799</v>
      </c>
      <c r="AB217" s="22">
        <v>49.197695849258302</v>
      </c>
      <c r="AC217" s="23">
        <v>0.13524934868327301</v>
      </c>
      <c r="AD217" s="21">
        <v>0.665125775157832</v>
      </c>
      <c r="AE217" s="21">
        <v>0.15281153215677201</v>
      </c>
      <c r="AF217" s="21">
        <v>0.21127454925494199</v>
      </c>
      <c r="AG217" s="22">
        <v>260.268903933731</v>
      </c>
      <c r="AH217" s="23">
        <v>3.3300000000000003E-2</v>
      </c>
      <c r="AI217" s="21">
        <v>0.84895295642651003</v>
      </c>
    </row>
    <row r="218" spans="1:35" x14ac:dyDescent="0.25">
      <c r="B218" s="1">
        <v>20</v>
      </c>
      <c r="C218" s="1">
        <v>3</v>
      </c>
      <c r="D218" s="3">
        <v>12</v>
      </c>
      <c r="E218" s="5">
        <v>3.42</v>
      </c>
      <c r="F218" s="1">
        <v>25</v>
      </c>
      <c r="G218" s="1">
        <v>35</v>
      </c>
      <c r="H218" s="4">
        <v>95.701732145716306</v>
      </c>
      <c r="I218" s="1">
        <v>235</v>
      </c>
      <c r="J218" s="29">
        <v>200</v>
      </c>
      <c r="K218" s="22">
        <v>129</v>
      </c>
      <c r="L218" s="29">
        <v>122.5</v>
      </c>
      <c r="M218" s="5">
        <v>0.19</v>
      </c>
      <c r="N218" s="21">
        <v>0.11553739220709</v>
      </c>
      <c r="O218" s="22">
        <v>283.23395896677999</v>
      </c>
      <c r="P218" s="22">
        <v>49.197695849258302</v>
      </c>
      <c r="Q218" s="23">
        <v>0.13524934868327301</v>
      </c>
      <c r="R218" s="21">
        <v>0.60809153793205295</v>
      </c>
      <c r="S218" s="5">
        <v>0.150996277788399</v>
      </c>
      <c r="T218" s="22">
        <v>283.23395896677999</v>
      </c>
      <c r="U218" s="22">
        <v>91</v>
      </c>
      <c r="V218" s="23">
        <v>5.1265306122448999E-2</v>
      </c>
      <c r="W218" s="21">
        <f t="shared" si="6"/>
        <v>1.3355760428245933</v>
      </c>
      <c r="X218" s="21">
        <f t="shared" si="7"/>
        <v>0.42216981132075471</v>
      </c>
      <c r="Y218" s="21">
        <v>0.79471725151788897</v>
      </c>
      <c r="Z218" s="21">
        <v>0.13971945690710399</v>
      </c>
      <c r="AA218" s="22">
        <v>283.23395896677999</v>
      </c>
      <c r="AB218" s="22">
        <v>49.197695849258302</v>
      </c>
      <c r="AC218" s="23">
        <v>0.13524934868327301</v>
      </c>
      <c r="AD218" s="21">
        <v>0.73536556266897102</v>
      </c>
      <c r="AE218" s="21">
        <v>0.175283816297473</v>
      </c>
      <c r="AF218" s="21">
        <v>0.27798320883803301</v>
      </c>
      <c r="AG218" s="22">
        <v>298.54374274751501</v>
      </c>
      <c r="AH218" s="23">
        <v>3.3300000000000003E-2</v>
      </c>
      <c r="AI218" s="21">
        <v>0.92254640156565004</v>
      </c>
    </row>
    <row r="219" spans="1:35" x14ac:dyDescent="0.25">
      <c r="B219" s="1">
        <v>20</v>
      </c>
      <c r="C219" s="1">
        <v>3</v>
      </c>
      <c r="D219" s="3">
        <v>12</v>
      </c>
      <c r="E219" s="5">
        <v>3.42</v>
      </c>
      <c r="F219" s="1">
        <v>25</v>
      </c>
      <c r="G219" s="1">
        <v>35</v>
      </c>
      <c r="H219" s="4">
        <v>95.701732145716306</v>
      </c>
      <c r="I219" s="1">
        <v>235</v>
      </c>
      <c r="J219" s="29">
        <v>200</v>
      </c>
      <c r="K219" s="22">
        <v>129</v>
      </c>
      <c r="L219" s="29">
        <v>122.5</v>
      </c>
      <c r="M219" s="5">
        <v>0.21</v>
      </c>
      <c r="N219" s="21">
        <v>0.130419658178971</v>
      </c>
      <c r="O219" s="22">
        <v>315.91480038602401</v>
      </c>
      <c r="P219" s="22">
        <v>49.197695849258302</v>
      </c>
      <c r="Q219" s="23">
        <v>0.13524934868327301</v>
      </c>
      <c r="R219" s="21">
        <v>0.62104599132843097</v>
      </c>
      <c r="S219" s="5">
        <v>0.17255828099835399</v>
      </c>
      <c r="T219" s="22">
        <v>315.91480038602401</v>
      </c>
      <c r="U219" s="22">
        <v>91</v>
      </c>
      <c r="V219" s="23">
        <v>5.1265306122448999E-2</v>
      </c>
      <c r="W219" s="21">
        <f t="shared" si="6"/>
        <v>1.3355760428245933</v>
      </c>
      <c r="X219" s="21">
        <f t="shared" si="7"/>
        <v>0.42216981132075471</v>
      </c>
      <c r="Y219" s="21">
        <v>0.82170609999216304</v>
      </c>
      <c r="Z219" s="21">
        <v>0.15771659254793</v>
      </c>
      <c r="AA219" s="22">
        <v>315.91480038602401</v>
      </c>
      <c r="AB219" s="22">
        <v>49.197695849258302</v>
      </c>
      <c r="AC219" s="23">
        <v>0.13524934868327301</v>
      </c>
      <c r="AD219" s="21">
        <v>0.75103139308537903</v>
      </c>
      <c r="AE219" s="21">
        <v>0.195508872024105</v>
      </c>
      <c r="AF219" s="21">
        <v>0.34583413998932799</v>
      </c>
      <c r="AG219" s="22">
        <v>332.99109767992002</v>
      </c>
      <c r="AH219" s="23">
        <v>3.3300000000000003E-2</v>
      </c>
      <c r="AI219" s="21">
        <v>0.93099462868621397</v>
      </c>
    </row>
    <row r="220" spans="1:35" x14ac:dyDescent="0.25">
      <c r="B220" s="1">
        <v>20</v>
      </c>
      <c r="C220" s="1">
        <v>3</v>
      </c>
      <c r="D220" s="3">
        <v>12</v>
      </c>
      <c r="E220" s="5">
        <v>3.42</v>
      </c>
      <c r="F220" s="1">
        <v>25</v>
      </c>
      <c r="G220" s="1">
        <v>35</v>
      </c>
      <c r="H220" s="4">
        <v>95.701732145716306</v>
      </c>
      <c r="I220" s="1">
        <v>235</v>
      </c>
      <c r="J220" s="29">
        <v>200</v>
      </c>
      <c r="K220" s="22">
        <v>129</v>
      </c>
      <c r="L220" s="29">
        <v>122.5</v>
      </c>
      <c r="M220" s="5">
        <v>0.23</v>
      </c>
      <c r="N220" s="21">
        <v>0.14860909436682401</v>
      </c>
      <c r="O220" s="22">
        <v>355.85805100954502</v>
      </c>
      <c r="P220" s="22">
        <v>49.197695849258302</v>
      </c>
      <c r="Q220" s="23">
        <v>0.13524934868327301</v>
      </c>
      <c r="R220" s="21">
        <v>0.64612649724706295</v>
      </c>
      <c r="S220" s="5">
        <v>0.19891184047718799</v>
      </c>
      <c r="T220" s="22">
        <v>355.85805100954502</v>
      </c>
      <c r="U220" s="22">
        <v>91</v>
      </c>
      <c r="V220" s="23">
        <v>5.1265306122448999E-2</v>
      </c>
      <c r="W220" s="21">
        <f t="shared" si="6"/>
        <v>1.3355760428245933</v>
      </c>
      <c r="X220" s="21">
        <f t="shared" si="7"/>
        <v>0.42216981132075471</v>
      </c>
      <c r="Y220" s="21">
        <v>0.86483408903125303</v>
      </c>
      <c r="Z220" s="21">
        <v>0.17971309166449401</v>
      </c>
      <c r="AA220" s="22">
        <v>355.85805100954502</v>
      </c>
      <c r="AB220" s="22">
        <v>49.197695849258302</v>
      </c>
      <c r="AC220" s="23">
        <v>0.13524934868327301</v>
      </c>
      <c r="AD220" s="21">
        <v>0.78136126810649398</v>
      </c>
      <c r="AE220" s="21">
        <v>0.220228384578877</v>
      </c>
      <c r="AF220" s="21">
        <v>0.43881504564110302</v>
      </c>
      <c r="AG220" s="22">
        <v>375.09342037508299</v>
      </c>
      <c r="AH220" s="23">
        <v>3.3300000000000003E-2</v>
      </c>
      <c r="AI220" s="21">
        <v>0.95751471556033396</v>
      </c>
    </row>
    <row r="221" spans="1:35" x14ac:dyDescent="0.25">
      <c r="B221" s="1">
        <v>20</v>
      </c>
      <c r="C221" s="1">
        <v>3</v>
      </c>
      <c r="D221" s="3">
        <v>12</v>
      </c>
      <c r="E221" s="5">
        <v>3.42</v>
      </c>
      <c r="F221" s="1">
        <v>25</v>
      </c>
      <c r="G221" s="1">
        <v>35</v>
      </c>
      <c r="H221" s="4">
        <v>95.701732145716306</v>
      </c>
      <c r="I221" s="1">
        <v>235</v>
      </c>
      <c r="J221" s="29">
        <v>200</v>
      </c>
      <c r="K221" s="22">
        <v>129</v>
      </c>
      <c r="L221" s="29">
        <v>122.5</v>
      </c>
      <c r="M221" s="5">
        <v>0.25</v>
      </c>
      <c r="N221" s="21">
        <v>0.166798530554678</v>
      </c>
      <c r="O221" s="22">
        <v>395.80130163306501</v>
      </c>
      <c r="P221" s="22">
        <v>49.197695849258302</v>
      </c>
      <c r="Q221" s="23">
        <v>0.13524934868327301</v>
      </c>
      <c r="R221" s="21">
        <v>0.66719412221871299</v>
      </c>
      <c r="S221" s="5">
        <v>0.22526539995602299</v>
      </c>
      <c r="T221" s="22">
        <v>395.80130163306501</v>
      </c>
      <c r="U221" s="22">
        <v>91</v>
      </c>
      <c r="V221" s="23">
        <v>5.1265306122448999E-2</v>
      </c>
      <c r="W221" s="21">
        <f t="shared" si="6"/>
        <v>1.3355760428245933</v>
      </c>
      <c r="X221" s="21">
        <f t="shared" si="7"/>
        <v>0.42216981132075471</v>
      </c>
      <c r="Y221" s="21">
        <v>0.90106159982408995</v>
      </c>
      <c r="Z221" s="21">
        <v>0.20170959078105799</v>
      </c>
      <c r="AA221" s="22">
        <v>395.80130163306501</v>
      </c>
      <c r="AB221" s="22">
        <v>49.197695849258302</v>
      </c>
      <c r="AC221" s="23">
        <v>0.13524934868327301</v>
      </c>
      <c r="AD221" s="21">
        <v>0.80683836312423096</v>
      </c>
      <c r="AE221" s="21">
        <v>0.24494789713364901</v>
      </c>
      <c r="AF221" s="21">
        <v>0.54285314007308905</v>
      </c>
      <c r="AG221" s="22">
        <v>417.19574307024499</v>
      </c>
      <c r="AH221" s="23">
        <v>3.3300000000000003E-2</v>
      </c>
      <c r="AI221" s="21">
        <v>0.97979158853459603</v>
      </c>
    </row>
    <row r="222" spans="1:35" x14ac:dyDescent="0.25">
      <c r="B222" s="1">
        <v>20</v>
      </c>
      <c r="C222" s="1">
        <v>3</v>
      </c>
      <c r="D222" s="3">
        <v>12</v>
      </c>
      <c r="E222" s="5">
        <v>3.42</v>
      </c>
      <c r="F222" s="1">
        <v>25</v>
      </c>
      <c r="G222" s="1">
        <v>35</v>
      </c>
      <c r="H222" s="4">
        <v>95.701732145716306</v>
      </c>
      <c r="I222" s="1">
        <v>235</v>
      </c>
      <c r="J222" s="29">
        <v>200</v>
      </c>
      <c r="K222" s="22">
        <v>129</v>
      </c>
      <c r="L222" s="29">
        <v>122.5</v>
      </c>
      <c r="M222" s="5">
        <v>0.28999999999999998</v>
      </c>
      <c r="N222" s="21">
        <v>0.18333438163454599</v>
      </c>
      <c r="O222" s="22">
        <v>432.11334765444701</v>
      </c>
      <c r="P222" s="22">
        <v>49.197695849258302</v>
      </c>
      <c r="Q222" s="23">
        <v>0.13524934868327301</v>
      </c>
      <c r="R222" s="21">
        <v>0.63218752287774305</v>
      </c>
      <c r="S222" s="5">
        <v>0.24922318130041701</v>
      </c>
      <c r="T222" s="22">
        <v>432.11334765444701</v>
      </c>
      <c r="U222" s="22">
        <v>91</v>
      </c>
      <c r="V222" s="23">
        <v>5.1265306122448999E-2</v>
      </c>
      <c r="W222" s="21">
        <f t="shared" si="6"/>
        <v>1.3355760428245933</v>
      </c>
      <c r="X222" s="21">
        <f t="shared" si="7"/>
        <v>0.42216981132075471</v>
      </c>
      <c r="Y222" s="21">
        <v>0.85939028034626597</v>
      </c>
      <c r="Z222" s="21">
        <v>0.22170640815975201</v>
      </c>
      <c r="AA222" s="22">
        <v>432.11334765444701</v>
      </c>
      <c r="AB222" s="22">
        <v>49.197695849258302</v>
      </c>
      <c r="AC222" s="23">
        <v>0.13524934868327301</v>
      </c>
      <c r="AD222" s="21">
        <v>0.76450485572328397</v>
      </c>
      <c r="AE222" s="21">
        <v>0.26742018127435102</v>
      </c>
      <c r="AF222" s="21">
        <v>0.64702830709325798</v>
      </c>
      <c r="AG222" s="22">
        <v>455.470581884029</v>
      </c>
      <c r="AH222" s="23">
        <v>3.3300000000000003E-2</v>
      </c>
      <c r="AI222" s="21">
        <v>0.92213855611844997</v>
      </c>
    </row>
    <row r="223" spans="1:35" x14ac:dyDescent="0.25">
      <c r="B223" s="1">
        <v>20</v>
      </c>
      <c r="C223" s="1">
        <v>3</v>
      </c>
      <c r="D223" s="3">
        <v>12</v>
      </c>
      <c r="E223" s="5">
        <v>3.42</v>
      </c>
      <c r="F223" s="1">
        <v>25</v>
      </c>
      <c r="G223" s="1">
        <v>35</v>
      </c>
      <c r="H223" s="4">
        <v>95.701732145716306</v>
      </c>
      <c r="I223" s="1">
        <v>235</v>
      </c>
      <c r="J223" s="29">
        <v>200</v>
      </c>
      <c r="K223" s="22">
        <v>129</v>
      </c>
      <c r="L223" s="29">
        <v>122.5</v>
      </c>
      <c r="M223" s="5">
        <v>0.31</v>
      </c>
      <c r="N223" s="21">
        <v>0.19987023271441301</v>
      </c>
      <c r="O223" s="22">
        <v>468.42539367582901</v>
      </c>
      <c r="P223" s="22">
        <v>49.197695849258302</v>
      </c>
      <c r="Q223" s="23">
        <v>0.13524934868327301</v>
      </c>
      <c r="R223" s="21">
        <v>0.64474268617552499</v>
      </c>
      <c r="S223" s="5">
        <v>0.27318096264481201</v>
      </c>
      <c r="T223" s="22">
        <v>468.42539367582901</v>
      </c>
      <c r="U223" s="22">
        <v>91</v>
      </c>
      <c r="V223" s="23">
        <v>5.1265306122448999E-2</v>
      </c>
      <c r="W223" s="21">
        <f t="shared" si="6"/>
        <v>1.3355760428245933</v>
      </c>
      <c r="X223" s="21">
        <f t="shared" si="7"/>
        <v>0.42216981132075471</v>
      </c>
      <c r="Y223" s="21">
        <v>0.88122891175745699</v>
      </c>
      <c r="Z223" s="21">
        <v>0.241703225538447</v>
      </c>
      <c r="AA223" s="22">
        <v>468.42539367582901</v>
      </c>
      <c r="AB223" s="22">
        <v>49.197695849258302</v>
      </c>
      <c r="AC223" s="23">
        <v>0.13524934868327301</v>
      </c>
      <c r="AD223" s="21">
        <v>0.779687824317571</v>
      </c>
      <c r="AE223" s="21">
        <v>0.28989246541505198</v>
      </c>
      <c r="AF223" s="21">
        <v>0.76034164665905801</v>
      </c>
      <c r="AG223" s="22">
        <v>493.74542069781302</v>
      </c>
      <c r="AH223" s="23">
        <v>3.3300000000000003E-2</v>
      </c>
      <c r="AI223" s="21">
        <v>0.93513698520984601</v>
      </c>
    </row>
    <row r="224" spans="1:35" x14ac:dyDescent="0.25">
      <c r="B224" s="1">
        <v>20</v>
      </c>
      <c r="C224" s="1">
        <v>3</v>
      </c>
      <c r="D224" s="3">
        <v>12</v>
      </c>
      <c r="E224" s="5">
        <v>3.42</v>
      </c>
      <c r="F224" s="1">
        <v>25</v>
      </c>
      <c r="G224" s="1">
        <v>35</v>
      </c>
      <c r="H224" s="4">
        <v>95.701732145716306</v>
      </c>
      <c r="I224" s="1">
        <v>235</v>
      </c>
      <c r="J224" s="29">
        <v>200</v>
      </c>
      <c r="K224" s="22">
        <v>129</v>
      </c>
      <c r="L224" s="29">
        <v>122.5</v>
      </c>
      <c r="M224" s="5">
        <v>0.37</v>
      </c>
      <c r="N224" s="21">
        <v>0.21475249868629301</v>
      </c>
      <c r="O224" s="22">
        <v>501.10623509507298</v>
      </c>
      <c r="P224" s="22">
        <v>49.197695849258302</v>
      </c>
      <c r="Q224" s="23">
        <v>0.13524934868327301</v>
      </c>
      <c r="R224" s="21">
        <v>0.580412158611603</v>
      </c>
      <c r="S224" s="5">
        <v>0.294742965854767</v>
      </c>
      <c r="T224" s="22">
        <v>501.10623509507298</v>
      </c>
      <c r="U224" s="22">
        <v>91</v>
      </c>
      <c r="V224" s="23">
        <v>5.1265306122448999E-2</v>
      </c>
      <c r="W224" s="21">
        <f t="shared" si="6"/>
        <v>1.3355760428245933</v>
      </c>
      <c r="X224" s="21">
        <f t="shared" si="7"/>
        <v>0.42216981132075471</v>
      </c>
      <c r="Y224" s="21">
        <v>0.79660261041828895</v>
      </c>
      <c r="Z224" s="21">
        <v>0.25970036117927198</v>
      </c>
      <c r="AA224" s="22">
        <v>501.10623509507298</v>
      </c>
      <c r="AB224" s="22">
        <v>49.197695849258302</v>
      </c>
      <c r="AC224" s="23">
        <v>0.13524934868327301</v>
      </c>
      <c r="AD224" s="21">
        <v>0.70189286805208695</v>
      </c>
      <c r="AE224" s="21">
        <v>0.31000433689657803</v>
      </c>
      <c r="AF224" s="21">
        <v>0.869501754385965</v>
      </c>
      <c r="AG224" s="22">
        <v>528</v>
      </c>
      <c r="AH224" s="23">
        <v>3.3300000000000003E-2</v>
      </c>
      <c r="AI224" s="21">
        <v>0.83784955917994097</v>
      </c>
    </row>
    <row r="225" spans="1:35" x14ac:dyDescent="0.25">
      <c r="A225" t="s">
        <v>69</v>
      </c>
      <c r="B225" s="1">
        <v>16</v>
      </c>
      <c r="C225" s="1">
        <v>2</v>
      </c>
      <c r="D225" s="3">
        <v>52</v>
      </c>
      <c r="E225" s="5">
        <v>2.98</v>
      </c>
      <c r="F225" s="1">
        <v>27</v>
      </c>
      <c r="G225" s="1">
        <v>35</v>
      </c>
      <c r="H225" s="4">
        <v>67.594050734712994</v>
      </c>
      <c r="I225" s="1">
        <v>235</v>
      </c>
      <c r="J225" s="29">
        <v>200</v>
      </c>
      <c r="K225" s="22">
        <v>122</v>
      </c>
      <c r="L225" s="29">
        <v>115</v>
      </c>
      <c r="M225" s="5">
        <v>0.16</v>
      </c>
      <c r="N225" s="21">
        <v>0.23593566188489301</v>
      </c>
      <c r="O225" s="22">
        <v>370.74728404873298</v>
      </c>
      <c r="P225" s="22">
        <v>81.233434783322494</v>
      </c>
      <c r="Q225" s="23">
        <v>4.8026966994220002E-2</v>
      </c>
      <c r="R225" s="21">
        <v>1.47459788678058</v>
      </c>
      <c r="S225" s="5">
        <v>0.25056522044372098</v>
      </c>
      <c r="T225" s="22">
        <v>370.74728404873298</v>
      </c>
      <c r="U225" s="22">
        <v>147</v>
      </c>
      <c r="V225" s="23">
        <v>2.3304347826087E-2</v>
      </c>
      <c r="W225" s="21">
        <f t="shared" si="6"/>
        <v>1.2643385753752983</v>
      </c>
      <c r="X225" s="21">
        <f t="shared" si="7"/>
        <v>0.49115044247787609</v>
      </c>
      <c r="Y225" s="21">
        <v>1.5660326277732599</v>
      </c>
      <c r="Z225" s="21">
        <v>0.23898546695454101</v>
      </c>
      <c r="AA225" s="22">
        <v>370.74728404873298</v>
      </c>
      <c r="AB225" s="22">
        <v>81.233434783322494</v>
      </c>
      <c r="AC225" s="23">
        <v>4.8026966994220002E-2</v>
      </c>
      <c r="AD225" s="21">
        <v>1.49365916846588</v>
      </c>
      <c r="AE225" s="21">
        <v>0.28536096598764199</v>
      </c>
      <c r="AF225" s="21">
        <v>0.43374155611391801</v>
      </c>
      <c r="AG225" s="22">
        <v>389.192348394926</v>
      </c>
      <c r="AH225" s="23">
        <v>1.8800000000000001E-2</v>
      </c>
      <c r="AI225" s="21">
        <v>1.78350603742276</v>
      </c>
    </row>
    <row r="226" spans="1:35" x14ac:dyDescent="0.25">
      <c r="B226" s="1">
        <v>16</v>
      </c>
      <c r="C226" s="1">
        <v>2</v>
      </c>
      <c r="D226" s="3">
        <v>52</v>
      </c>
      <c r="E226" s="5">
        <v>2.98</v>
      </c>
      <c r="F226" s="1">
        <v>27</v>
      </c>
      <c r="G226" s="1">
        <v>35</v>
      </c>
      <c r="H226" s="4">
        <v>67.594050734712994</v>
      </c>
      <c r="I226" s="1">
        <v>235</v>
      </c>
      <c r="J226" s="29">
        <v>200</v>
      </c>
      <c r="K226" s="22">
        <v>122</v>
      </c>
      <c r="L226" s="29">
        <v>115</v>
      </c>
      <c r="M226" s="5">
        <v>0.2</v>
      </c>
      <c r="N226" s="21">
        <v>0.28908411538548201</v>
      </c>
      <c r="O226" s="22">
        <v>443.28479614522399</v>
      </c>
      <c r="P226" s="22">
        <v>81.233434783322494</v>
      </c>
      <c r="Q226" s="23">
        <v>4.8026966994220002E-2</v>
      </c>
      <c r="R226" s="21">
        <v>1.44542057692741</v>
      </c>
      <c r="S226" s="5">
        <v>0.31490001064532802</v>
      </c>
      <c r="T226" s="22">
        <v>443.28479614522399</v>
      </c>
      <c r="U226" s="22">
        <v>147</v>
      </c>
      <c r="V226" s="23">
        <v>2.3304347826087E-2</v>
      </c>
      <c r="W226" s="21">
        <f t="shared" si="6"/>
        <v>1.2643385753752983</v>
      </c>
      <c r="X226" s="21">
        <f t="shared" si="7"/>
        <v>0.49115044247787609</v>
      </c>
      <c r="Y226" s="21">
        <v>1.57450005322664</v>
      </c>
      <c r="Z226" s="21">
        <v>0.29282094005036702</v>
      </c>
      <c r="AA226" s="22">
        <v>443.28479614522399</v>
      </c>
      <c r="AB226" s="22">
        <v>81.233434783322494</v>
      </c>
      <c r="AC226" s="23">
        <v>4.8026966994220002E-2</v>
      </c>
      <c r="AD226" s="21">
        <v>1.4641047002518299</v>
      </c>
      <c r="AE226" s="21">
        <v>0.34119245933304998</v>
      </c>
      <c r="AF226" s="21">
        <v>0.62007004123090803</v>
      </c>
      <c r="AG226" s="22">
        <v>465.33867742871598</v>
      </c>
      <c r="AH226" s="23">
        <v>1.8800000000000001E-2</v>
      </c>
      <c r="AI226" s="21">
        <v>1.7059622966652499</v>
      </c>
    </row>
    <row r="227" spans="1:35" x14ac:dyDescent="0.25">
      <c r="B227" s="1">
        <v>16</v>
      </c>
      <c r="C227" s="1">
        <v>2</v>
      </c>
      <c r="D227" s="3">
        <v>52</v>
      </c>
      <c r="E227" s="5">
        <v>2.98</v>
      </c>
      <c r="F227" s="1">
        <v>27</v>
      </c>
      <c r="G227" s="1">
        <v>35</v>
      </c>
      <c r="H227" s="4">
        <v>67.594050734712994</v>
      </c>
      <c r="I227" s="1">
        <v>235</v>
      </c>
      <c r="J227" s="29">
        <v>200</v>
      </c>
      <c r="K227" s="22">
        <v>122</v>
      </c>
      <c r="L227" s="29">
        <v>115</v>
      </c>
      <c r="M227" s="5">
        <v>0.26</v>
      </c>
      <c r="N227" s="21">
        <v>0.348137952608359</v>
      </c>
      <c r="O227" s="22">
        <v>523.88203180799201</v>
      </c>
      <c r="P227" s="22">
        <v>81.233434783322494</v>
      </c>
      <c r="Q227" s="23">
        <v>4.8026966994220002E-2</v>
      </c>
      <c r="R227" s="21">
        <v>1.33899212541677</v>
      </c>
      <c r="S227" s="5">
        <v>0.38638311086933602</v>
      </c>
      <c r="T227" s="22">
        <v>523.88203180799201</v>
      </c>
      <c r="U227" s="22">
        <v>147</v>
      </c>
      <c r="V227" s="23">
        <v>2.3304347826087E-2</v>
      </c>
      <c r="W227" s="21">
        <f t="shared" si="6"/>
        <v>1.2643385753752983</v>
      </c>
      <c r="X227" s="21">
        <f t="shared" si="7"/>
        <v>0.49115044247787609</v>
      </c>
      <c r="Y227" s="21">
        <v>1.48608888795899</v>
      </c>
      <c r="Z227" s="21">
        <v>0.352638132379062</v>
      </c>
      <c r="AA227" s="22">
        <v>523.88203180799201</v>
      </c>
      <c r="AB227" s="22">
        <v>81.233434783322494</v>
      </c>
      <c r="AC227" s="23">
        <v>4.8026966994220002E-2</v>
      </c>
      <c r="AD227" s="21">
        <v>1.35630050915024</v>
      </c>
      <c r="AE227" s="21">
        <v>0.38713656797945201</v>
      </c>
      <c r="AF227" s="21">
        <v>0.79830765100671097</v>
      </c>
      <c r="AG227" s="22">
        <v>528</v>
      </c>
      <c r="AH227" s="23">
        <v>1.8800000000000001E-2</v>
      </c>
      <c r="AI227" s="21">
        <v>1.48898679992097</v>
      </c>
    </row>
    <row r="228" spans="1:35" x14ac:dyDescent="0.25">
      <c r="A228" t="s">
        <v>70</v>
      </c>
      <c r="B228" s="1">
        <v>20</v>
      </c>
      <c r="C228" s="1">
        <v>2</v>
      </c>
      <c r="D228" s="3">
        <v>44</v>
      </c>
      <c r="E228" s="5">
        <v>2.98</v>
      </c>
      <c r="F228" s="1">
        <v>25</v>
      </c>
      <c r="G228" s="1">
        <v>35</v>
      </c>
      <c r="H228" s="4">
        <v>80.321192218194994</v>
      </c>
      <c r="I228" s="1">
        <v>235</v>
      </c>
      <c r="J228" s="29">
        <v>200</v>
      </c>
      <c r="K228" s="22">
        <v>125</v>
      </c>
      <c r="L228" s="29">
        <v>122.5</v>
      </c>
      <c r="M228" s="5">
        <v>0.17</v>
      </c>
      <c r="N228" s="21">
        <v>0.136624194395983</v>
      </c>
      <c r="O228" s="22">
        <v>264.28009430947401</v>
      </c>
      <c r="P228" s="22">
        <v>55.884232323737898</v>
      </c>
      <c r="Q228" s="23">
        <v>8.1200522425266902E-2</v>
      </c>
      <c r="R228" s="21">
        <v>0.80367173174107698</v>
      </c>
      <c r="S228" s="5">
        <v>0.154143497430964</v>
      </c>
      <c r="T228" s="22">
        <v>264.28009430947401</v>
      </c>
      <c r="U228" s="22">
        <v>106</v>
      </c>
      <c r="V228" s="23">
        <v>3.4176870748299303E-2</v>
      </c>
      <c r="W228" s="21">
        <f t="shared" si="6"/>
        <v>1.2924494373624693</v>
      </c>
      <c r="X228" s="21">
        <f t="shared" si="7"/>
        <v>0.44318181818181818</v>
      </c>
      <c r="Y228" s="21">
        <v>0.90672645547625896</v>
      </c>
      <c r="Z228" s="21">
        <v>0.14637788590728401</v>
      </c>
      <c r="AA228" s="22">
        <v>264.28009430947401</v>
      </c>
      <c r="AB228" s="22">
        <v>55.884232323737898</v>
      </c>
      <c r="AC228" s="23">
        <v>8.1200522425266902E-2</v>
      </c>
      <c r="AD228" s="21">
        <v>0.86104638768990904</v>
      </c>
      <c r="AE228" s="21">
        <v>0.201171796619769</v>
      </c>
      <c r="AF228" s="21">
        <v>0.27855986364060598</v>
      </c>
      <c r="AG228" s="22">
        <v>278.96713409395397</v>
      </c>
      <c r="AH228" s="23">
        <v>2.53E-2</v>
      </c>
      <c r="AI228" s="21">
        <v>1.1833635095280499</v>
      </c>
    </row>
    <row r="229" spans="1:35" x14ac:dyDescent="0.25">
      <c r="B229" s="1">
        <v>20</v>
      </c>
      <c r="C229" s="1">
        <v>2</v>
      </c>
      <c r="D229" s="3">
        <v>44</v>
      </c>
      <c r="E229" s="5">
        <v>2.98</v>
      </c>
      <c r="F229" s="1">
        <v>25</v>
      </c>
      <c r="G229" s="1">
        <v>35</v>
      </c>
      <c r="H229" s="4">
        <v>80.321192218194994</v>
      </c>
      <c r="I229" s="1">
        <v>235</v>
      </c>
      <c r="J229" s="29">
        <v>200</v>
      </c>
      <c r="K229" s="22">
        <v>125</v>
      </c>
      <c r="L229" s="29">
        <v>122.5</v>
      </c>
      <c r="M229" s="5">
        <v>0.19</v>
      </c>
      <c r="N229" s="21">
        <v>0.15853100890336799</v>
      </c>
      <c r="O229" s="22">
        <v>301.27930751280002</v>
      </c>
      <c r="P229" s="22">
        <v>55.884232323737898</v>
      </c>
      <c r="Q229" s="23">
        <v>8.1200522425266902E-2</v>
      </c>
      <c r="R229" s="21">
        <v>0.83437373107035995</v>
      </c>
      <c r="S229" s="5">
        <v>0.18259499046457001</v>
      </c>
      <c r="T229" s="22">
        <v>301.27930751280002</v>
      </c>
      <c r="U229" s="22">
        <v>106</v>
      </c>
      <c r="V229" s="23">
        <v>3.4176870748299303E-2</v>
      </c>
      <c r="W229" s="21">
        <f t="shared" si="6"/>
        <v>1.2924494373624693</v>
      </c>
      <c r="X229" s="21">
        <f t="shared" si="7"/>
        <v>0.44318181818181818</v>
      </c>
      <c r="Y229" s="21">
        <v>0.96102626560299897</v>
      </c>
      <c r="Z229" s="21">
        <v>0.169848642377109</v>
      </c>
      <c r="AA229" s="22">
        <v>301.27930751280002</v>
      </c>
      <c r="AB229" s="22">
        <v>55.884232323737898</v>
      </c>
      <c r="AC229" s="23">
        <v>8.1200522425266902E-2</v>
      </c>
      <c r="AD229" s="21">
        <v>0.89394022303741605</v>
      </c>
      <c r="AE229" s="21">
        <v>0.22933584814653701</v>
      </c>
      <c r="AF229" s="21">
        <v>0.36201639878733199</v>
      </c>
      <c r="AG229" s="22">
        <v>318.022532867108</v>
      </c>
      <c r="AH229" s="23">
        <v>2.53E-2</v>
      </c>
      <c r="AI229" s="21">
        <v>1.2070307797186099</v>
      </c>
    </row>
    <row r="230" spans="1:35" x14ac:dyDescent="0.25">
      <c r="B230" s="1">
        <v>20</v>
      </c>
      <c r="C230" s="1">
        <v>2</v>
      </c>
      <c r="D230" s="3">
        <v>44</v>
      </c>
      <c r="E230" s="5">
        <v>2.98</v>
      </c>
      <c r="F230" s="1">
        <v>25</v>
      </c>
      <c r="G230" s="1">
        <v>35</v>
      </c>
      <c r="H230" s="4">
        <v>80.321192218194994</v>
      </c>
      <c r="I230" s="1">
        <v>235</v>
      </c>
      <c r="J230" s="29">
        <v>200</v>
      </c>
      <c r="K230" s="22">
        <v>125</v>
      </c>
      <c r="L230" s="29">
        <v>122.5</v>
      </c>
      <c r="M230" s="5">
        <v>0.23</v>
      </c>
      <c r="N230" s="21">
        <v>0.18669691327000701</v>
      </c>
      <c r="O230" s="22">
        <v>348.84972448850499</v>
      </c>
      <c r="P230" s="22">
        <v>55.884232323737898</v>
      </c>
      <c r="Q230" s="23">
        <v>8.1200522425266902E-2</v>
      </c>
      <c r="R230" s="21">
        <v>0.81172570986959403</v>
      </c>
      <c r="S230" s="5">
        <v>0.21917548150777699</v>
      </c>
      <c r="T230" s="22">
        <v>348.84972448850499</v>
      </c>
      <c r="U230" s="22">
        <v>106</v>
      </c>
      <c r="V230" s="23">
        <v>3.4176870748299303E-2</v>
      </c>
      <c r="W230" s="21">
        <f t="shared" si="6"/>
        <v>1.2924494373624693</v>
      </c>
      <c r="X230" s="21">
        <f t="shared" si="7"/>
        <v>0.44318181818181818</v>
      </c>
      <c r="Y230" s="21">
        <v>0.95293687612077005</v>
      </c>
      <c r="Z230" s="21">
        <v>0.20002532926688299</v>
      </c>
      <c r="AA230" s="22">
        <v>348.84972448850499</v>
      </c>
      <c r="AB230" s="22">
        <v>55.884232323737898</v>
      </c>
      <c r="AC230" s="23">
        <v>8.1200522425266902E-2</v>
      </c>
      <c r="AD230" s="21">
        <v>0.86967534463862395</v>
      </c>
      <c r="AE230" s="21">
        <v>0.26554677153809497</v>
      </c>
      <c r="AF230" s="21">
        <v>0.48536270640739199</v>
      </c>
      <c r="AG230" s="22">
        <v>368.23661700401999</v>
      </c>
      <c r="AH230" s="23">
        <v>2.53E-2</v>
      </c>
      <c r="AI230" s="21">
        <v>1.1545511806004101</v>
      </c>
    </row>
    <row r="231" spans="1:35" x14ac:dyDescent="0.25">
      <c r="B231" s="1">
        <v>20</v>
      </c>
      <c r="C231" s="1">
        <v>2</v>
      </c>
      <c r="D231" s="3">
        <v>44</v>
      </c>
      <c r="E231" s="5">
        <v>2.98</v>
      </c>
      <c r="F231" s="1">
        <v>25</v>
      </c>
      <c r="G231" s="1">
        <v>35</v>
      </c>
      <c r="H231" s="4">
        <v>80.321192218194994</v>
      </c>
      <c r="I231" s="1">
        <v>235</v>
      </c>
      <c r="J231" s="29">
        <v>200</v>
      </c>
      <c r="K231" s="22">
        <v>125</v>
      </c>
      <c r="L231" s="29">
        <v>122.5</v>
      </c>
      <c r="M231" s="5">
        <v>0.25</v>
      </c>
      <c r="N231" s="21">
        <v>0.199215092988513</v>
      </c>
      <c r="O231" s="22">
        <v>369.99213203326298</v>
      </c>
      <c r="P231" s="22">
        <v>55.884232323737898</v>
      </c>
      <c r="Q231" s="23">
        <v>8.1200522425266902E-2</v>
      </c>
      <c r="R231" s="21">
        <v>0.79686037195405002</v>
      </c>
      <c r="S231" s="5">
        <v>0.23543347752698099</v>
      </c>
      <c r="T231" s="22">
        <v>369.99213203326298</v>
      </c>
      <c r="U231" s="22">
        <v>106</v>
      </c>
      <c r="V231" s="23">
        <v>3.4176870748299303E-2</v>
      </c>
      <c r="W231" s="21">
        <f t="shared" si="6"/>
        <v>1.2924494373624693</v>
      </c>
      <c r="X231" s="21">
        <f t="shared" si="7"/>
        <v>0.44318181818181818</v>
      </c>
      <c r="Y231" s="21">
        <v>0.94173391010792196</v>
      </c>
      <c r="Z231" s="21">
        <v>0.213437190106783</v>
      </c>
      <c r="AA231" s="22">
        <v>369.99213203326298</v>
      </c>
      <c r="AB231" s="22">
        <v>55.884232323737898</v>
      </c>
      <c r="AC231" s="23">
        <v>8.1200522425266902E-2</v>
      </c>
      <c r="AD231" s="21">
        <v>0.85374876042713299</v>
      </c>
      <c r="AE231" s="21">
        <v>0.28164051526767703</v>
      </c>
      <c r="AF231" s="21">
        <v>0.54597733273558802</v>
      </c>
      <c r="AG231" s="22">
        <v>390.55398773153598</v>
      </c>
      <c r="AH231" s="23">
        <v>2.53E-2</v>
      </c>
      <c r="AI231" s="21">
        <v>1.1265620610707101</v>
      </c>
    </row>
    <row r="232" spans="1:35" x14ac:dyDescent="0.25">
      <c r="B232" s="1">
        <v>20</v>
      </c>
      <c r="C232" s="1">
        <v>2</v>
      </c>
      <c r="D232" s="3">
        <v>44</v>
      </c>
      <c r="E232" s="5">
        <v>2.98</v>
      </c>
      <c r="F232" s="1">
        <v>25</v>
      </c>
      <c r="G232" s="1">
        <v>35</v>
      </c>
      <c r="H232" s="4">
        <v>80.321192218194994</v>
      </c>
      <c r="I232" s="1">
        <v>235</v>
      </c>
      <c r="J232" s="29">
        <v>200</v>
      </c>
      <c r="K232" s="22">
        <v>125</v>
      </c>
      <c r="L232" s="29">
        <v>122.5</v>
      </c>
      <c r="M232" s="5">
        <v>0.3</v>
      </c>
      <c r="N232" s="21">
        <v>0.217992362566271</v>
      </c>
      <c r="O232" s="22">
        <v>401.70574335039998</v>
      </c>
      <c r="P232" s="22">
        <v>55.884232323737898</v>
      </c>
      <c r="Q232" s="23">
        <v>8.1200522425266902E-2</v>
      </c>
      <c r="R232" s="21">
        <v>0.72664120855423797</v>
      </c>
      <c r="S232" s="5">
        <v>0.25982047155578503</v>
      </c>
      <c r="T232" s="22">
        <v>401.70574335039998</v>
      </c>
      <c r="U232" s="22">
        <v>106</v>
      </c>
      <c r="V232" s="23">
        <v>3.4176870748299303E-2</v>
      </c>
      <c r="W232" s="21">
        <f t="shared" si="6"/>
        <v>1.2924494373624693</v>
      </c>
      <c r="X232" s="21">
        <f t="shared" si="7"/>
        <v>0.44318181818181818</v>
      </c>
      <c r="Y232" s="21">
        <v>0.86606823851928505</v>
      </c>
      <c r="Z232" s="21">
        <v>0.233554981366633</v>
      </c>
      <c r="AA232" s="22">
        <v>401.70574335039998</v>
      </c>
      <c r="AB232" s="22">
        <v>55.884232323737898</v>
      </c>
      <c r="AC232" s="23">
        <v>8.1200522425266902E-2</v>
      </c>
      <c r="AD232" s="21">
        <v>0.77851660455544303</v>
      </c>
      <c r="AE232" s="21">
        <v>0.305781130862049</v>
      </c>
      <c r="AF232" s="21">
        <v>0.64358470895525599</v>
      </c>
      <c r="AG232" s="22">
        <v>424.03004382281102</v>
      </c>
      <c r="AH232" s="23">
        <v>2.53E-2</v>
      </c>
      <c r="AI232" s="21">
        <v>1.0192704362068301</v>
      </c>
    </row>
    <row r="233" spans="1:35" x14ac:dyDescent="0.25">
      <c r="B233" s="1">
        <v>20</v>
      </c>
      <c r="C233" s="1">
        <v>2</v>
      </c>
      <c r="D233" s="3">
        <v>44</v>
      </c>
      <c r="E233" s="5">
        <v>2.98</v>
      </c>
      <c r="F233" s="1">
        <v>25</v>
      </c>
      <c r="G233" s="1">
        <v>35</v>
      </c>
      <c r="H233" s="4">
        <v>80.321192218194994</v>
      </c>
      <c r="I233" s="1">
        <v>235</v>
      </c>
      <c r="J233" s="29">
        <v>200</v>
      </c>
      <c r="K233" s="22">
        <v>125</v>
      </c>
      <c r="L233" s="29">
        <v>122.5</v>
      </c>
      <c r="M233" s="5">
        <v>0.32</v>
      </c>
      <c r="N233" s="21">
        <v>0.23051054228477699</v>
      </c>
      <c r="O233" s="22">
        <v>422.84815089515803</v>
      </c>
      <c r="P233" s="22">
        <v>55.884232323737898</v>
      </c>
      <c r="Q233" s="23">
        <v>8.1200522425266902E-2</v>
      </c>
      <c r="R233" s="21">
        <v>0.720345444639929</v>
      </c>
      <c r="S233" s="5">
        <v>0.27607846757498899</v>
      </c>
      <c r="T233" s="22">
        <v>422.84815089515803</v>
      </c>
      <c r="U233" s="22">
        <v>106</v>
      </c>
      <c r="V233" s="23">
        <v>3.4176870748299303E-2</v>
      </c>
      <c r="W233" s="21">
        <f t="shared" si="6"/>
        <v>1.2924494373624693</v>
      </c>
      <c r="X233" s="21">
        <f t="shared" si="7"/>
        <v>0.44318181818181818</v>
      </c>
      <c r="Y233" s="21">
        <v>0.86274521117184</v>
      </c>
      <c r="Z233" s="21">
        <v>0.246966842206533</v>
      </c>
      <c r="AA233" s="22">
        <v>422.84815089515803</v>
      </c>
      <c r="AB233" s="22">
        <v>55.884232323737898</v>
      </c>
      <c r="AC233" s="23">
        <v>8.1200522425266902E-2</v>
      </c>
      <c r="AD233" s="21">
        <v>0.77177138189541405</v>
      </c>
      <c r="AE233" s="21">
        <v>0.32187487459163</v>
      </c>
      <c r="AF233" s="21">
        <v>0.71311325091995204</v>
      </c>
      <c r="AG233" s="22">
        <v>446.34741455032702</v>
      </c>
      <c r="AH233" s="23">
        <v>2.53E-2</v>
      </c>
      <c r="AI233" s="21">
        <v>1.00585898309885</v>
      </c>
    </row>
    <row r="234" spans="1:35" x14ac:dyDescent="0.25">
      <c r="B234" s="1">
        <v>20</v>
      </c>
      <c r="C234" s="1">
        <v>2</v>
      </c>
      <c r="D234" s="3">
        <v>44</v>
      </c>
      <c r="E234" s="5">
        <v>2.98</v>
      </c>
      <c r="F234" s="1">
        <v>25</v>
      </c>
      <c r="G234" s="1">
        <v>35</v>
      </c>
      <c r="H234" s="4">
        <v>80.321192218194994</v>
      </c>
      <c r="I234" s="1">
        <v>235</v>
      </c>
      <c r="J234" s="29">
        <v>200</v>
      </c>
      <c r="K234" s="22">
        <v>125</v>
      </c>
      <c r="L234" s="29">
        <v>122.5</v>
      </c>
      <c r="M234" s="5">
        <v>0.36</v>
      </c>
      <c r="N234" s="21">
        <v>0.26118008259511699</v>
      </c>
      <c r="O234" s="22">
        <v>474.64704937981401</v>
      </c>
      <c r="P234" s="22">
        <v>55.884232323737898</v>
      </c>
      <c r="Q234" s="23">
        <v>8.1200522425266902E-2</v>
      </c>
      <c r="R234" s="21">
        <v>0.725500229430879</v>
      </c>
      <c r="S234" s="5">
        <v>0.31591055782203697</v>
      </c>
      <c r="T234" s="22">
        <v>474.64704937981401</v>
      </c>
      <c r="U234" s="22">
        <v>106</v>
      </c>
      <c r="V234" s="23">
        <v>3.4176870748299303E-2</v>
      </c>
      <c r="W234" s="21">
        <f t="shared" si="6"/>
        <v>1.2924494373624693</v>
      </c>
      <c r="X234" s="21">
        <f t="shared" si="7"/>
        <v>0.44318181818181818</v>
      </c>
      <c r="Y234" s="21">
        <v>0.87752932728343602</v>
      </c>
      <c r="Z234" s="21">
        <v>0.27982590126428702</v>
      </c>
      <c r="AA234" s="22">
        <v>474.64704937981401</v>
      </c>
      <c r="AB234" s="22">
        <v>55.884232323737898</v>
      </c>
      <c r="AC234" s="23">
        <v>8.1200522425266902E-2</v>
      </c>
      <c r="AD234" s="21">
        <v>0.77729417017857505</v>
      </c>
      <c r="AE234" s="21">
        <v>0.361304546729105</v>
      </c>
      <c r="AF234" s="21">
        <v>0.89852715311695697</v>
      </c>
      <c r="AG234" s="22">
        <v>501.02497283274198</v>
      </c>
      <c r="AH234" s="23">
        <v>2.53E-2</v>
      </c>
      <c r="AI234" s="21">
        <v>1.0036237409141799</v>
      </c>
    </row>
    <row r="235" spans="1:35" x14ac:dyDescent="0.25">
      <c r="B235" s="1">
        <v>20</v>
      </c>
      <c r="C235" s="1">
        <v>2</v>
      </c>
      <c r="D235" s="3">
        <v>44</v>
      </c>
      <c r="E235" s="5">
        <v>2.98</v>
      </c>
      <c r="F235" s="1">
        <v>25</v>
      </c>
      <c r="G235" s="1">
        <v>35</v>
      </c>
      <c r="H235" s="4">
        <v>80.321192218194994</v>
      </c>
      <c r="I235" s="1">
        <v>235</v>
      </c>
      <c r="J235" s="29">
        <v>200</v>
      </c>
      <c r="K235" s="22">
        <v>125</v>
      </c>
      <c r="L235" s="29">
        <v>122.5</v>
      </c>
      <c r="M235" s="5">
        <v>0.47</v>
      </c>
      <c r="N235" s="21">
        <v>0.29184962290545602</v>
      </c>
      <c r="O235" s="22">
        <v>526.44594786447101</v>
      </c>
      <c r="P235" s="22">
        <v>55.884232323737898</v>
      </c>
      <c r="Q235" s="23">
        <v>8.1200522425266902E-2</v>
      </c>
      <c r="R235" s="21">
        <v>0.62095664447969401</v>
      </c>
      <c r="S235" s="5">
        <v>0.35574264806908501</v>
      </c>
      <c r="T235" s="22">
        <v>526.44594786447101</v>
      </c>
      <c r="U235" s="22">
        <v>106</v>
      </c>
      <c r="V235" s="23">
        <v>3.4176870748299303E-2</v>
      </c>
      <c r="W235" s="21">
        <f t="shared" si="6"/>
        <v>1.2924494373624693</v>
      </c>
      <c r="X235" s="21">
        <f t="shared" si="7"/>
        <v>0.44318181818181818</v>
      </c>
      <c r="Y235" s="21">
        <v>0.75689925121081902</v>
      </c>
      <c r="Z235" s="21">
        <v>0.31268496032204102</v>
      </c>
      <c r="AA235" s="22">
        <v>526.44594786447101</v>
      </c>
      <c r="AB235" s="22">
        <v>55.884232323737898</v>
      </c>
      <c r="AC235" s="23">
        <v>8.1200522425266902E-2</v>
      </c>
      <c r="AD235" s="21">
        <v>0.66528714962136404</v>
      </c>
      <c r="AE235" s="21">
        <v>0.380757070040603</v>
      </c>
      <c r="AF235" s="21">
        <v>0.99788456375838896</v>
      </c>
      <c r="AG235" s="22">
        <v>528</v>
      </c>
      <c r="AH235" s="23">
        <v>2.53E-2</v>
      </c>
      <c r="AI235" s="21">
        <v>0.81012142561830403</v>
      </c>
    </row>
    <row r="236" spans="1:35" x14ac:dyDescent="0.25">
      <c r="A236" t="s">
        <v>71</v>
      </c>
      <c r="B236" s="1">
        <v>20</v>
      </c>
      <c r="C236" s="1">
        <v>3</v>
      </c>
      <c r="D236" s="3">
        <v>12</v>
      </c>
      <c r="E236" s="5">
        <v>2.98</v>
      </c>
      <c r="F236" s="1">
        <v>25</v>
      </c>
      <c r="G236" s="1">
        <v>35</v>
      </c>
      <c r="H236" s="4">
        <v>93.011358125141797</v>
      </c>
      <c r="I236" s="1">
        <v>235</v>
      </c>
      <c r="J236" s="29">
        <v>200</v>
      </c>
      <c r="K236" s="22">
        <v>128</v>
      </c>
      <c r="L236" s="29">
        <v>122.5</v>
      </c>
      <c r="M236" s="5">
        <v>0.16</v>
      </c>
      <c r="N236" s="21">
        <v>0.12789012791537699</v>
      </c>
      <c r="O236" s="22">
        <v>303.402568314191</v>
      </c>
      <c r="P236" s="22">
        <v>41.643886357836003</v>
      </c>
      <c r="Q236" s="23">
        <v>0.13268666951969799</v>
      </c>
      <c r="R236" s="21">
        <v>0.79931329947110497</v>
      </c>
      <c r="S236" s="5">
        <v>0.16920059472353</v>
      </c>
      <c r="T236" s="22">
        <v>303.402568314191</v>
      </c>
      <c r="U236" s="22">
        <v>77</v>
      </c>
      <c r="V236" s="23">
        <v>5.1265306122448999E-2</v>
      </c>
      <c r="W236" s="21">
        <f t="shared" si="6"/>
        <v>1.3271375296168222</v>
      </c>
      <c r="X236" s="21">
        <f t="shared" si="7"/>
        <v>0.42757009345794394</v>
      </c>
      <c r="Y236" s="21">
        <v>1.05750371702206</v>
      </c>
      <c r="Z236" s="21">
        <v>0.15399797461207199</v>
      </c>
      <c r="AA236" s="22">
        <v>303.402568314191</v>
      </c>
      <c r="AB236" s="22">
        <v>41.643886357836003</v>
      </c>
      <c r="AC236" s="23">
        <v>0.13268666951969799</v>
      </c>
      <c r="AD236" s="21">
        <v>0.962487341325447</v>
      </c>
      <c r="AE236" s="21">
        <v>0.188767186781895</v>
      </c>
      <c r="AF236" s="21">
        <v>0.36999663347029599</v>
      </c>
      <c r="AG236" s="22">
        <v>321.50864603578498</v>
      </c>
      <c r="AH236" s="23">
        <v>3.3300000000000003E-2</v>
      </c>
      <c r="AI236" s="21">
        <v>1.1797949173868401</v>
      </c>
    </row>
    <row r="237" spans="1:35" x14ac:dyDescent="0.25">
      <c r="B237" s="1">
        <v>20</v>
      </c>
      <c r="C237" s="1">
        <v>3</v>
      </c>
      <c r="D237" s="3">
        <v>12</v>
      </c>
      <c r="E237" s="5">
        <v>2.98</v>
      </c>
      <c r="F237" s="1">
        <v>25</v>
      </c>
      <c r="G237" s="1">
        <v>35</v>
      </c>
      <c r="H237" s="4">
        <v>93.011358125141797</v>
      </c>
      <c r="I237" s="1">
        <v>235</v>
      </c>
      <c r="J237" s="29">
        <v>200</v>
      </c>
      <c r="K237" s="22">
        <v>128</v>
      </c>
      <c r="L237" s="29">
        <v>122.5</v>
      </c>
      <c r="M237" s="5">
        <v>0.18</v>
      </c>
      <c r="N237" s="21">
        <v>0.134526678686815</v>
      </c>
      <c r="O237" s="22">
        <v>317.85030966248502</v>
      </c>
      <c r="P237" s="22">
        <v>41.643886357836003</v>
      </c>
      <c r="Q237" s="23">
        <v>0.13268666951969799</v>
      </c>
      <c r="R237" s="21">
        <v>0.747370437148974</v>
      </c>
      <c r="S237" s="5">
        <v>0.17871200070263199</v>
      </c>
      <c r="T237" s="22">
        <v>317.85030966248502</v>
      </c>
      <c r="U237" s="22">
        <v>77</v>
      </c>
      <c r="V237" s="23">
        <v>5.1265306122448999E-2</v>
      </c>
      <c r="W237" s="21">
        <f t="shared" si="6"/>
        <v>1.3271375296168222</v>
      </c>
      <c r="X237" s="21">
        <f t="shared" si="7"/>
        <v>0.42757009345794394</v>
      </c>
      <c r="Y237" s="21">
        <v>0.99284444834795504</v>
      </c>
      <c r="Z237" s="21">
        <v>0.16198932933092799</v>
      </c>
      <c r="AA237" s="22">
        <v>317.85030966248502</v>
      </c>
      <c r="AB237" s="22">
        <v>41.643886357836003</v>
      </c>
      <c r="AC237" s="23">
        <v>0.13268666951969799</v>
      </c>
      <c r="AD237" s="21">
        <v>0.899940718505156</v>
      </c>
      <c r="AE237" s="21">
        <v>0.19775610043817499</v>
      </c>
      <c r="AF237" s="21">
        <v>0.40607340272023401</v>
      </c>
      <c r="AG237" s="22">
        <v>336.81858156129903</v>
      </c>
      <c r="AH237" s="23">
        <v>3.3300000000000003E-2</v>
      </c>
      <c r="AI237" s="21">
        <v>1.09864500243431</v>
      </c>
    </row>
    <row r="238" spans="1:35" x14ac:dyDescent="0.25">
      <c r="B238" s="1">
        <v>20</v>
      </c>
      <c r="C238" s="1">
        <v>3</v>
      </c>
      <c r="D238" s="3">
        <v>12</v>
      </c>
      <c r="E238" s="5">
        <v>2.98</v>
      </c>
      <c r="F238" s="1">
        <v>25</v>
      </c>
      <c r="G238" s="1">
        <v>35</v>
      </c>
      <c r="H238" s="4">
        <v>93.011358125141797</v>
      </c>
      <c r="I238" s="1">
        <v>235</v>
      </c>
      <c r="J238" s="29">
        <v>200</v>
      </c>
      <c r="K238" s="22">
        <v>128</v>
      </c>
      <c r="L238" s="29">
        <v>122.5</v>
      </c>
      <c r="M238" s="5">
        <v>0.18</v>
      </c>
      <c r="N238" s="21">
        <v>0.151118055615412</v>
      </c>
      <c r="O238" s="22">
        <v>353.96966303322199</v>
      </c>
      <c r="P238" s="22">
        <v>41.643886357836003</v>
      </c>
      <c r="Q238" s="23">
        <v>0.13268666951969799</v>
      </c>
      <c r="R238" s="21">
        <v>0.83954475341895396</v>
      </c>
      <c r="S238" s="5">
        <v>0.202490515650387</v>
      </c>
      <c r="T238" s="22">
        <v>353.96966303322199</v>
      </c>
      <c r="U238" s="22">
        <v>77</v>
      </c>
      <c r="V238" s="23">
        <v>5.1265306122448999E-2</v>
      </c>
      <c r="W238" s="21">
        <f t="shared" si="6"/>
        <v>1.3271375296168222</v>
      </c>
      <c r="X238" s="21">
        <f t="shared" si="7"/>
        <v>0.42757009345794394</v>
      </c>
      <c r="Y238" s="21">
        <v>1.12494730916882</v>
      </c>
      <c r="Z238" s="21">
        <v>0.18196771612807</v>
      </c>
      <c r="AA238" s="22">
        <v>353.96966303322199</v>
      </c>
      <c r="AB238" s="22">
        <v>41.643886357836003</v>
      </c>
      <c r="AC238" s="23">
        <v>0.13268666951969799</v>
      </c>
      <c r="AD238" s="21">
        <v>1.0109317562670499</v>
      </c>
      <c r="AE238" s="21">
        <v>0.220228384578877</v>
      </c>
      <c r="AF238" s="21">
        <v>0.50360652889012403</v>
      </c>
      <c r="AG238" s="22">
        <v>375.09342037508299</v>
      </c>
      <c r="AH238" s="23">
        <v>3.3300000000000003E-2</v>
      </c>
      <c r="AI238" s="21">
        <v>1.2234910254382101</v>
      </c>
    </row>
    <row r="239" spans="1:35" x14ac:dyDescent="0.25">
      <c r="B239" s="1">
        <v>20</v>
      </c>
      <c r="C239" s="1">
        <v>3</v>
      </c>
      <c r="D239" s="3">
        <v>12</v>
      </c>
      <c r="E239" s="5">
        <v>2.98</v>
      </c>
      <c r="F239" s="1">
        <v>25</v>
      </c>
      <c r="G239" s="1">
        <v>35</v>
      </c>
      <c r="H239" s="4">
        <v>93.011358125141797</v>
      </c>
      <c r="I239" s="1">
        <v>235</v>
      </c>
      <c r="J239" s="29">
        <v>200</v>
      </c>
      <c r="K239" s="22">
        <v>128</v>
      </c>
      <c r="L239" s="29">
        <v>122.5</v>
      </c>
      <c r="M239" s="5">
        <v>0.2</v>
      </c>
      <c r="N239" s="21">
        <v>0.16936857023686799</v>
      </c>
      <c r="O239" s="22">
        <v>393.70095174103301</v>
      </c>
      <c r="P239" s="22">
        <v>41.643886357836003</v>
      </c>
      <c r="Q239" s="23">
        <v>0.13268666951969799</v>
      </c>
      <c r="R239" s="21">
        <v>0.846842851184338</v>
      </c>
      <c r="S239" s="5">
        <v>0.228646882092917</v>
      </c>
      <c r="T239" s="22">
        <v>393.70095174103301</v>
      </c>
      <c r="U239" s="22">
        <v>77</v>
      </c>
      <c r="V239" s="23">
        <v>5.1265306122448999E-2</v>
      </c>
      <c r="W239" s="21">
        <f t="shared" si="6"/>
        <v>1.3271375296168222</v>
      </c>
      <c r="X239" s="21">
        <f t="shared" si="7"/>
        <v>0.42757009345794394</v>
      </c>
      <c r="Y239" s="21">
        <v>1.14323441046458</v>
      </c>
      <c r="Z239" s="21">
        <v>0.20394394160492499</v>
      </c>
      <c r="AA239" s="22">
        <v>393.70095174103301</v>
      </c>
      <c r="AB239" s="22">
        <v>41.643886357836003</v>
      </c>
      <c r="AC239" s="23">
        <v>0.13268666951969799</v>
      </c>
      <c r="AD239" s="21">
        <v>1.0197197080246301</v>
      </c>
      <c r="AE239" s="21">
        <v>0.24494789713364901</v>
      </c>
      <c r="AF239" s="21">
        <v>0.62300595270132997</v>
      </c>
      <c r="AG239" s="22">
        <v>417.19574307024499</v>
      </c>
      <c r="AH239" s="23">
        <v>3.3300000000000003E-2</v>
      </c>
      <c r="AI239" s="21">
        <v>1.2247394856682401</v>
      </c>
    </row>
    <row r="240" spans="1:35" x14ac:dyDescent="0.25">
      <c r="B240" s="1">
        <v>20</v>
      </c>
      <c r="C240" s="1">
        <v>3</v>
      </c>
      <c r="D240" s="3">
        <v>12</v>
      </c>
      <c r="E240" s="5">
        <v>2.98</v>
      </c>
      <c r="F240" s="1">
        <v>25</v>
      </c>
      <c r="G240" s="1">
        <v>35</v>
      </c>
      <c r="H240" s="4">
        <v>93.011358125141797</v>
      </c>
      <c r="I240" s="1">
        <v>235</v>
      </c>
      <c r="J240" s="29">
        <v>200</v>
      </c>
      <c r="K240" s="22">
        <v>128</v>
      </c>
      <c r="L240" s="29">
        <v>122.5</v>
      </c>
      <c r="M240" s="5">
        <v>0.2</v>
      </c>
      <c r="N240" s="21">
        <v>0.18595994716546399</v>
      </c>
      <c r="O240" s="22">
        <v>429.82030511176998</v>
      </c>
      <c r="P240" s="22">
        <v>41.643886357836003</v>
      </c>
      <c r="Q240" s="23">
        <v>0.13268666951969799</v>
      </c>
      <c r="R240" s="21">
        <v>0.92979973582732001</v>
      </c>
      <c r="S240" s="5">
        <v>0.25242539704067202</v>
      </c>
      <c r="T240" s="22">
        <v>429.82030511176998</v>
      </c>
      <c r="U240" s="22">
        <v>77</v>
      </c>
      <c r="V240" s="23">
        <v>5.1265306122448999E-2</v>
      </c>
      <c r="W240" s="21">
        <f t="shared" si="6"/>
        <v>1.3271375296168222</v>
      </c>
      <c r="X240" s="21">
        <f t="shared" si="7"/>
        <v>0.42757009345794394</v>
      </c>
      <c r="Y240" s="21">
        <v>1.2621269852033601</v>
      </c>
      <c r="Z240" s="21">
        <v>0.22392232840206699</v>
      </c>
      <c r="AA240" s="22">
        <v>429.82030511176998</v>
      </c>
      <c r="AB240" s="22">
        <v>41.643886357836003</v>
      </c>
      <c r="AC240" s="23">
        <v>0.13268666951969799</v>
      </c>
      <c r="AD240" s="21">
        <v>1.1196116420103299</v>
      </c>
      <c r="AE240" s="21">
        <v>0.26742018127435102</v>
      </c>
      <c r="AF240" s="21">
        <v>0.74256268800635705</v>
      </c>
      <c r="AG240" s="22">
        <v>455.470581884029</v>
      </c>
      <c r="AH240" s="23">
        <v>3.3300000000000003E-2</v>
      </c>
      <c r="AI240" s="21">
        <v>1.3371009063717501</v>
      </c>
    </row>
    <row r="241" spans="1:35" x14ac:dyDescent="0.25">
      <c r="B241" s="1">
        <v>20</v>
      </c>
      <c r="C241" s="1">
        <v>3</v>
      </c>
      <c r="D241" s="3">
        <v>12</v>
      </c>
      <c r="E241" s="5">
        <v>2.98</v>
      </c>
      <c r="F241" s="1">
        <v>25</v>
      </c>
      <c r="G241" s="1">
        <v>35</v>
      </c>
      <c r="H241" s="4">
        <v>93.011358125141797</v>
      </c>
      <c r="I241" s="1">
        <v>235</v>
      </c>
      <c r="J241" s="29">
        <v>200</v>
      </c>
      <c r="K241" s="22">
        <v>128</v>
      </c>
      <c r="L241" s="29">
        <v>122.5</v>
      </c>
      <c r="M241" s="5">
        <v>0.2</v>
      </c>
      <c r="N241" s="21">
        <v>0.20089218640120099</v>
      </c>
      <c r="O241" s="22">
        <v>462.32772314543303</v>
      </c>
      <c r="P241" s="22">
        <v>41.643886357836003</v>
      </c>
      <c r="Q241" s="23">
        <v>0.13268666951969799</v>
      </c>
      <c r="R241" s="21">
        <v>1.0044609320060001</v>
      </c>
      <c r="S241" s="5">
        <v>0.27382606049365099</v>
      </c>
      <c r="T241" s="22">
        <v>462.32772314543303</v>
      </c>
      <c r="U241" s="22">
        <v>77</v>
      </c>
      <c r="V241" s="23">
        <v>5.1265306122448999E-2</v>
      </c>
      <c r="W241" s="21">
        <f t="shared" si="6"/>
        <v>1.3271375296168222</v>
      </c>
      <c r="X241" s="21">
        <f t="shared" si="7"/>
        <v>0.42757009345794394</v>
      </c>
      <c r="Y241" s="21">
        <v>1.36913030246825</v>
      </c>
      <c r="Z241" s="21">
        <v>0.24190287651949399</v>
      </c>
      <c r="AA241" s="22">
        <v>462.32772314543303</v>
      </c>
      <c r="AB241" s="22">
        <v>41.643886357836003</v>
      </c>
      <c r="AC241" s="23">
        <v>0.13268666951969799</v>
      </c>
      <c r="AD241" s="21">
        <v>1.2095143825974699</v>
      </c>
      <c r="AE241" s="21">
        <v>0.28764523700098199</v>
      </c>
      <c r="AF241" s="21">
        <v>0.85913050492875898</v>
      </c>
      <c r="AG241" s="22">
        <v>489.91793681643497</v>
      </c>
      <c r="AH241" s="23">
        <v>3.3300000000000003E-2</v>
      </c>
      <c r="AI241" s="21">
        <v>1.4382261850049101</v>
      </c>
    </row>
    <row r="242" spans="1:35" x14ac:dyDescent="0.25">
      <c r="B242" s="1">
        <v>20</v>
      </c>
      <c r="C242" s="1">
        <v>3</v>
      </c>
      <c r="D242" s="3">
        <v>12</v>
      </c>
      <c r="E242" s="5">
        <v>2.98</v>
      </c>
      <c r="F242" s="1">
        <v>25</v>
      </c>
      <c r="G242" s="1">
        <v>35</v>
      </c>
      <c r="H242" s="4">
        <v>93.011358125141797</v>
      </c>
      <c r="I242" s="1">
        <v>235</v>
      </c>
      <c r="J242" s="29">
        <v>200</v>
      </c>
      <c r="K242" s="22">
        <v>128</v>
      </c>
      <c r="L242" s="29">
        <v>122.5</v>
      </c>
      <c r="M242" s="5">
        <v>0.22</v>
      </c>
      <c r="N242" s="21">
        <v>0.21914270102265701</v>
      </c>
      <c r="O242" s="22">
        <v>502.05901185324399</v>
      </c>
      <c r="P242" s="22">
        <v>41.643886357836003</v>
      </c>
      <c r="Q242" s="23">
        <v>0.13268666951969799</v>
      </c>
      <c r="R242" s="21">
        <v>0.99610318646662099</v>
      </c>
      <c r="S242" s="5">
        <v>0.29998242693618099</v>
      </c>
      <c r="T242" s="22">
        <v>502.05901185324399</v>
      </c>
      <c r="U242" s="22">
        <v>77</v>
      </c>
      <c r="V242" s="23">
        <v>5.1265306122448999E-2</v>
      </c>
      <c r="W242" s="21">
        <f t="shared" si="6"/>
        <v>1.3271375296168222</v>
      </c>
      <c r="X242" s="21">
        <f t="shared" si="7"/>
        <v>0.42757009345794394</v>
      </c>
      <c r="Y242" s="21">
        <v>1.3635564860735501</v>
      </c>
      <c r="Z242" s="21">
        <v>0.26387910199634901</v>
      </c>
      <c r="AA242" s="22">
        <v>502.05901185324399</v>
      </c>
      <c r="AB242" s="22">
        <v>41.643886357836003</v>
      </c>
      <c r="AC242" s="23">
        <v>0.13268666951969799</v>
      </c>
      <c r="AD242" s="21">
        <v>1.19945046361977</v>
      </c>
      <c r="AE242" s="21">
        <v>0.31000433689657803</v>
      </c>
      <c r="AF242" s="21">
        <v>0.99788456375838896</v>
      </c>
      <c r="AG242" s="22">
        <v>528</v>
      </c>
      <c r="AH242" s="23">
        <v>3.3300000000000003E-2</v>
      </c>
      <c r="AI242" s="21">
        <v>1.4091106222571701</v>
      </c>
    </row>
    <row r="243" spans="1:35" x14ac:dyDescent="0.25">
      <c r="A243" t="s">
        <v>72</v>
      </c>
      <c r="B243" s="1">
        <v>28</v>
      </c>
      <c r="C243" s="1">
        <v>4</v>
      </c>
      <c r="D243" s="3">
        <v>16</v>
      </c>
      <c r="E243" s="5">
        <v>5.3084743571011099</v>
      </c>
      <c r="F243" s="1">
        <v>30</v>
      </c>
      <c r="G243" s="1">
        <v>44</v>
      </c>
      <c r="H243" s="4">
        <v>133.49341623498299</v>
      </c>
      <c r="I243" s="1">
        <v>300</v>
      </c>
      <c r="J243" s="29">
        <v>256</v>
      </c>
      <c r="K243" s="22">
        <v>168</v>
      </c>
      <c r="L243" s="29">
        <v>154</v>
      </c>
      <c r="M243" s="5">
        <v>0.22</v>
      </c>
      <c r="N243" s="21">
        <v>5.6084396803587601E-2</v>
      </c>
      <c r="O243" s="22">
        <v>151.17196997745901</v>
      </c>
      <c r="P243" s="22">
        <v>55.276666442213198</v>
      </c>
      <c r="Q243" s="23">
        <v>0.22188311816029299</v>
      </c>
      <c r="R243" s="21">
        <v>0.254929076379943</v>
      </c>
      <c r="S243" s="5">
        <v>6.76476530429682E-2</v>
      </c>
      <c r="T243" s="22">
        <v>151.17196997745901</v>
      </c>
      <c r="U243" s="22">
        <v>98</v>
      </c>
      <c r="V243" s="23">
        <v>7.9967532467532507E-2</v>
      </c>
      <c r="W243" s="21">
        <f t="shared" si="6"/>
        <v>1.359164370172933</v>
      </c>
      <c r="X243" s="21">
        <f t="shared" si="7"/>
        <v>0.41666666666666669</v>
      </c>
      <c r="Y243" s="21">
        <v>0.30748933201349199</v>
      </c>
      <c r="Z243" s="21">
        <v>7.28407994883951E-2</v>
      </c>
      <c r="AA243" s="22">
        <v>151.17196997745901</v>
      </c>
      <c r="AB243" s="22">
        <v>55.276666442213198</v>
      </c>
      <c r="AC243" s="23">
        <v>0.22188311816029299</v>
      </c>
      <c r="AD243" s="21">
        <v>0.331094543129069</v>
      </c>
      <c r="AE243" s="21">
        <v>0.11044982359729399</v>
      </c>
      <c r="AF243" s="21">
        <v>7.3361377368608205E-2</v>
      </c>
      <c r="AG243" s="22">
        <v>161.487986871358</v>
      </c>
      <c r="AH243" s="23">
        <v>4.3299999999999998E-2</v>
      </c>
      <c r="AI243" s="21">
        <v>0.33346080622094598</v>
      </c>
    </row>
    <row r="244" spans="1:35" x14ac:dyDescent="0.25">
      <c r="B244" s="1">
        <v>28</v>
      </c>
      <c r="C244" s="1">
        <v>4</v>
      </c>
      <c r="D244" s="3">
        <v>16</v>
      </c>
      <c r="E244" s="5">
        <v>5.3084743571011099</v>
      </c>
      <c r="F244" s="1">
        <v>30</v>
      </c>
      <c r="G244" s="1">
        <v>44</v>
      </c>
      <c r="H244" s="4">
        <v>133.49341623498299</v>
      </c>
      <c r="I244" s="1">
        <v>300</v>
      </c>
      <c r="J244" s="29">
        <v>256</v>
      </c>
      <c r="K244" s="22">
        <v>168</v>
      </c>
      <c r="L244" s="29">
        <v>154</v>
      </c>
      <c r="M244" s="5">
        <v>0.25</v>
      </c>
      <c r="N244" s="21">
        <v>8.0101861653241901E-2</v>
      </c>
      <c r="O244" s="22">
        <v>201.70659994135201</v>
      </c>
      <c r="P244" s="22">
        <v>55.276666442213198</v>
      </c>
      <c r="Q244" s="23">
        <v>0.22188311816029299</v>
      </c>
      <c r="R244" s="21">
        <v>0.32040744661296799</v>
      </c>
      <c r="S244" s="5">
        <v>0.10459254586081899</v>
      </c>
      <c r="T244" s="22">
        <v>201.70659994135201</v>
      </c>
      <c r="U244" s="22">
        <v>98</v>
      </c>
      <c r="V244" s="23">
        <v>7.9967532467532507E-2</v>
      </c>
      <c r="W244" s="21">
        <f t="shared" si="6"/>
        <v>1.359164370172933</v>
      </c>
      <c r="X244" s="21">
        <f t="shared" si="7"/>
        <v>0.41666666666666669</v>
      </c>
      <c r="Y244" s="21">
        <v>0.41837018344327498</v>
      </c>
      <c r="Z244" s="21">
        <v>0.10403399119659799</v>
      </c>
      <c r="AA244" s="22">
        <v>201.70659994135201</v>
      </c>
      <c r="AB244" s="22">
        <v>55.276666442213198</v>
      </c>
      <c r="AC244" s="23">
        <v>0.22188311816029299</v>
      </c>
      <c r="AD244" s="21">
        <v>0.41613596478639298</v>
      </c>
      <c r="AE244" s="21">
        <v>0.14737162177124699</v>
      </c>
      <c r="AF244" s="21">
        <v>0.130606607583203</v>
      </c>
      <c r="AG244" s="22">
        <v>215.471113911212</v>
      </c>
      <c r="AH244" s="23">
        <v>4.3299999999999998E-2</v>
      </c>
      <c r="AI244" s="21">
        <v>0.522426430332813</v>
      </c>
    </row>
    <row r="245" spans="1:35" x14ac:dyDescent="0.25">
      <c r="B245" s="1">
        <v>28</v>
      </c>
      <c r="C245" s="1">
        <v>4</v>
      </c>
      <c r="D245" s="3">
        <v>16</v>
      </c>
      <c r="E245" s="5">
        <v>5.3084743571011099</v>
      </c>
      <c r="F245" s="1">
        <v>30</v>
      </c>
      <c r="G245" s="1">
        <v>44</v>
      </c>
      <c r="H245" s="4">
        <v>133.49341623498299</v>
      </c>
      <c r="I245" s="1">
        <v>300</v>
      </c>
      <c r="J245" s="29">
        <v>256</v>
      </c>
      <c r="K245" s="22">
        <v>168</v>
      </c>
      <c r="L245" s="29">
        <v>154</v>
      </c>
      <c r="M245" s="5">
        <v>0.28999999999999998</v>
      </c>
      <c r="N245" s="21">
        <v>9.3855452635522599E-2</v>
      </c>
      <c r="O245" s="22">
        <v>230.64523419418001</v>
      </c>
      <c r="P245" s="22">
        <v>55.276666442213198</v>
      </c>
      <c r="Q245" s="23">
        <v>0.22188311816029299</v>
      </c>
      <c r="R245" s="21">
        <v>0.32363949184662999</v>
      </c>
      <c r="S245" s="5">
        <v>0.12574902294454501</v>
      </c>
      <c r="T245" s="22">
        <v>230.64523419418001</v>
      </c>
      <c r="U245" s="22">
        <v>98</v>
      </c>
      <c r="V245" s="23">
        <v>7.9967532467532507E-2</v>
      </c>
      <c r="W245" s="21">
        <f t="shared" si="6"/>
        <v>1.359164370172933</v>
      </c>
      <c r="X245" s="21">
        <f t="shared" si="7"/>
        <v>0.41666666666666669</v>
      </c>
      <c r="Y245" s="21">
        <v>0.43361732049843099</v>
      </c>
      <c r="Z245" s="21">
        <v>0.12189675909787701</v>
      </c>
      <c r="AA245" s="22">
        <v>230.64523419418001</v>
      </c>
      <c r="AB245" s="22">
        <v>55.276666442213198</v>
      </c>
      <c r="AC245" s="23">
        <v>0.22188311816029299</v>
      </c>
      <c r="AD245" s="21">
        <v>0.42033365206164502</v>
      </c>
      <c r="AE245" s="21">
        <v>0.16851487371701501</v>
      </c>
      <c r="AF245" s="21">
        <v>0.170770913672839</v>
      </c>
      <c r="AG245" s="22">
        <v>246.384528540872</v>
      </c>
      <c r="AH245" s="23">
        <v>4.3299999999999998E-2</v>
      </c>
      <c r="AI245" s="21">
        <v>0.58108577143798101</v>
      </c>
    </row>
    <row r="246" spans="1:35" x14ac:dyDescent="0.25">
      <c r="B246" s="1">
        <v>28</v>
      </c>
      <c r="C246" s="1">
        <v>4</v>
      </c>
      <c r="D246" s="3">
        <v>16</v>
      </c>
      <c r="E246" s="5">
        <v>5.3084743571011099</v>
      </c>
      <c r="F246" s="1">
        <v>30</v>
      </c>
      <c r="G246" s="1">
        <v>44</v>
      </c>
      <c r="H246" s="4">
        <v>133.49341623498299</v>
      </c>
      <c r="I246" s="1">
        <v>300</v>
      </c>
      <c r="J246" s="29">
        <v>256</v>
      </c>
      <c r="K246" s="22">
        <v>168</v>
      </c>
      <c r="L246" s="29">
        <v>154</v>
      </c>
      <c r="M246" s="5">
        <v>0.31</v>
      </c>
      <c r="N246" s="21">
        <v>0.109661818391278</v>
      </c>
      <c r="O246" s="22">
        <v>263.903067589221</v>
      </c>
      <c r="P246" s="22">
        <v>55.276666442213198</v>
      </c>
      <c r="Q246" s="23">
        <v>0.22188311816029299</v>
      </c>
      <c r="R246" s="21">
        <v>0.35374780126218702</v>
      </c>
      <c r="S246" s="5">
        <v>0.15006318317509601</v>
      </c>
      <c r="T246" s="22">
        <v>263.903067589221</v>
      </c>
      <c r="U246" s="22">
        <v>98</v>
      </c>
      <c r="V246" s="23">
        <v>7.9967532467532507E-2</v>
      </c>
      <c r="W246" s="21">
        <f t="shared" si="6"/>
        <v>1.359164370172933</v>
      </c>
      <c r="X246" s="21">
        <f t="shared" si="7"/>
        <v>0.41666666666666669</v>
      </c>
      <c r="Y246" s="21">
        <v>0.48407478443579399</v>
      </c>
      <c r="Z246" s="21">
        <v>0.142425611760541</v>
      </c>
      <c r="AA246" s="22">
        <v>263.903067589221</v>
      </c>
      <c r="AB246" s="22">
        <v>55.276666442213198</v>
      </c>
      <c r="AC246" s="23">
        <v>0.22188311816029299</v>
      </c>
      <c r="AD246" s="21">
        <v>0.45943745729206698</v>
      </c>
      <c r="AE246" s="21">
        <v>0.192813834908419</v>
      </c>
      <c r="AF246" s="21">
        <v>0.22357014498470301</v>
      </c>
      <c r="AG246" s="22">
        <v>281.91188565257102</v>
      </c>
      <c r="AH246" s="23">
        <v>4.3299999999999998E-2</v>
      </c>
      <c r="AI246" s="21">
        <v>0.62198011260780395</v>
      </c>
    </row>
    <row r="247" spans="1:35" x14ac:dyDescent="0.25">
      <c r="B247" s="1">
        <v>28</v>
      </c>
      <c r="C247" s="1">
        <v>4</v>
      </c>
      <c r="D247" s="3">
        <v>16</v>
      </c>
      <c r="E247" s="5">
        <v>5.3084743571011099</v>
      </c>
      <c r="F247" s="1">
        <v>30</v>
      </c>
      <c r="G247" s="1">
        <v>44</v>
      </c>
      <c r="H247" s="4">
        <v>133.49341623498299</v>
      </c>
      <c r="I247" s="1">
        <v>300</v>
      </c>
      <c r="J247" s="29">
        <v>256</v>
      </c>
      <c r="K247" s="22">
        <v>168</v>
      </c>
      <c r="L247" s="29">
        <v>154</v>
      </c>
      <c r="M247" s="5">
        <v>0.33</v>
      </c>
      <c r="N247" s="21">
        <v>0.134295115672975</v>
      </c>
      <c r="O247" s="22">
        <v>315.73345729577801</v>
      </c>
      <c r="P247" s="22">
        <v>55.276666442213198</v>
      </c>
      <c r="Q247" s="23">
        <v>0.22188311816029299</v>
      </c>
      <c r="R247" s="21">
        <v>0.40695489597871098</v>
      </c>
      <c r="S247" s="5">
        <v>0.18795538093699399</v>
      </c>
      <c r="T247" s="22">
        <v>315.73345729577801</v>
      </c>
      <c r="U247" s="22">
        <v>98</v>
      </c>
      <c r="V247" s="23">
        <v>7.9967532467532507E-2</v>
      </c>
      <c r="W247" s="21">
        <f t="shared" si="6"/>
        <v>1.359164370172933</v>
      </c>
      <c r="X247" s="21">
        <f t="shared" si="7"/>
        <v>0.41666666666666669</v>
      </c>
      <c r="Y247" s="21">
        <v>0.56956176041513396</v>
      </c>
      <c r="Z247" s="21">
        <v>0.17441862889715901</v>
      </c>
      <c r="AA247" s="22">
        <v>315.73345729577801</v>
      </c>
      <c r="AB247" s="22">
        <v>55.276666442213198</v>
      </c>
      <c r="AC247" s="23">
        <v>0.22188311816029299</v>
      </c>
      <c r="AD247" s="21">
        <v>0.52854129968836205</v>
      </c>
      <c r="AE247" s="21">
        <v>0.23068234585606301</v>
      </c>
      <c r="AF247" s="21">
        <v>0.320011909976056</v>
      </c>
      <c r="AG247" s="22">
        <v>337.27919543703598</v>
      </c>
      <c r="AH247" s="23">
        <v>4.3299999999999998E-2</v>
      </c>
      <c r="AI247" s="21">
        <v>0.69903741168503897</v>
      </c>
    </row>
    <row r="248" spans="1:35" x14ac:dyDescent="0.25">
      <c r="B248" s="1">
        <v>28</v>
      </c>
      <c r="C248" s="1">
        <v>4</v>
      </c>
      <c r="D248" s="3">
        <v>16</v>
      </c>
      <c r="E248" s="5">
        <v>5.3084743571011099</v>
      </c>
      <c r="F248" s="1">
        <v>30</v>
      </c>
      <c r="G248" s="1">
        <v>44</v>
      </c>
      <c r="H248" s="4">
        <v>133.49341623498299</v>
      </c>
      <c r="I248" s="1">
        <v>300</v>
      </c>
      <c r="J248" s="29">
        <v>256</v>
      </c>
      <c r="K248" s="22">
        <v>168</v>
      </c>
      <c r="L248" s="29">
        <v>154</v>
      </c>
      <c r="M248" s="5">
        <v>0.34</v>
      </c>
      <c r="N248" s="21">
        <v>0.146817041791171</v>
      </c>
      <c r="O248" s="22">
        <v>342.080572063278</v>
      </c>
      <c r="P248" s="22">
        <v>55.276666442213198</v>
      </c>
      <c r="Q248" s="23">
        <v>0.22188311816029299</v>
      </c>
      <c r="R248" s="21">
        <v>0.43181482879756</v>
      </c>
      <c r="S248" s="5">
        <v>0.20721724813262599</v>
      </c>
      <c r="T248" s="22">
        <v>342.080572063278</v>
      </c>
      <c r="U248" s="22">
        <v>98</v>
      </c>
      <c r="V248" s="23">
        <v>7.9967532467532507E-2</v>
      </c>
      <c r="W248" s="21">
        <f t="shared" si="6"/>
        <v>1.359164370172933</v>
      </c>
      <c r="X248" s="21">
        <f t="shared" si="7"/>
        <v>0.41666666666666669</v>
      </c>
      <c r="Y248" s="21">
        <v>0.60946249450772205</v>
      </c>
      <c r="Z248" s="21">
        <v>0.190681745941607</v>
      </c>
      <c r="AA248" s="22">
        <v>342.080572063278</v>
      </c>
      <c r="AB248" s="22">
        <v>55.276666442213198</v>
      </c>
      <c r="AC248" s="23">
        <v>0.22188311816029299</v>
      </c>
      <c r="AD248" s="21">
        <v>0.56082866453413904</v>
      </c>
      <c r="AE248" s="21">
        <v>0.249932172254449</v>
      </c>
      <c r="AF248" s="21">
        <v>0.37564857970402199</v>
      </c>
      <c r="AG248" s="22">
        <v>365.42424457747302</v>
      </c>
      <c r="AH248" s="23">
        <v>4.3299999999999998E-2</v>
      </c>
      <c r="AI248" s="21">
        <v>0.73509462427779004</v>
      </c>
    </row>
    <row r="249" spans="1:35" x14ac:dyDescent="0.25">
      <c r="B249" s="1">
        <v>28</v>
      </c>
      <c r="C249" s="1">
        <v>4</v>
      </c>
      <c r="D249" s="3">
        <v>16</v>
      </c>
      <c r="E249" s="5">
        <v>5.3084743571011099</v>
      </c>
      <c r="F249" s="1">
        <v>30</v>
      </c>
      <c r="G249" s="1">
        <v>44</v>
      </c>
      <c r="H249" s="4">
        <v>133.49341623498299</v>
      </c>
      <c r="I249" s="1">
        <v>300</v>
      </c>
      <c r="J249" s="29">
        <v>256</v>
      </c>
      <c r="K249" s="22">
        <v>168</v>
      </c>
      <c r="L249" s="29">
        <v>154</v>
      </c>
      <c r="M249" s="5">
        <v>0.37</v>
      </c>
      <c r="N249" s="21">
        <v>0.16508673727509601</v>
      </c>
      <c r="O249" s="22">
        <v>380.52144442897497</v>
      </c>
      <c r="P249" s="22">
        <v>55.276666442213198</v>
      </c>
      <c r="Q249" s="23">
        <v>0.22188311816029299</v>
      </c>
      <c r="R249" s="21">
        <v>0.446180371013772</v>
      </c>
      <c r="S249" s="5">
        <v>0.23532062813936599</v>
      </c>
      <c r="T249" s="22">
        <v>380.52144442897497</v>
      </c>
      <c r="U249" s="22">
        <v>98</v>
      </c>
      <c r="V249" s="23">
        <v>7.9967532467532507E-2</v>
      </c>
      <c r="W249" s="21">
        <f t="shared" si="6"/>
        <v>1.359164370172933</v>
      </c>
      <c r="X249" s="21">
        <f t="shared" si="7"/>
        <v>0.41666666666666669</v>
      </c>
      <c r="Y249" s="21">
        <v>0.63600169767396297</v>
      </c>
      <c r="Z249" s="21">
        <v>0.214409900317933</v>
      </c>
      <c r="AA249" s="22">
        <v>380.52144442897497</v>
      </c>
      <c r="AB249" s="22">
        <v>55.276666442213198</v>
      </c>
      <c r="AC249" s="23">
        <v>0.22188311816029299</v>
      </c>
      <c r="AD249" s="21">
        <v>0.57948621707549397</v>
      </c>
      <c r="AE249" s="21">
        <v>0.27358028479302099</v>
      </c>
      <c r="AF249" s="21">
        <v>0.45009793258907599</v>
      </c>
      <c r="AG249" s="22">
        <v>400</v>
      </c>
      <c r="AH249" s="23">
        <v>4.3299999999999998E-2</v>
      </c>
      <c r="AI249" s="21">
        <v>0.73940617511627205</v>
      </c>
    </row>
    <row r="250" spans="1:35" x14ac:dyDescent="0.25">
      <c r="A250" t="s">
        <v>73</v>
      </c>
      <c r="B250" s="1">
        <v>15.9</v>
      </c>
      <c r="C250" s="1">
        <v>2</v>
      </c>
      <c r="D250" s="3">
        <v>46</v>
      </c>
      <c r="E250" s="5">
        <v>2.8258773978663201</v>
      </c>
      <c r="F250" s="1">
        <v>30</v>
      </c>
      <c r="G250" s="1">
        <v>38</v>
      </c>
      <c r="H250" s="4">
        <v>70.061381209483102</v>
      </c>
      <c r="I250" s="1">
        <v>250</v>
      </c>
      <c r="J250" s="29">
        <v>212</v>
      </c>
      <c r="K250" s="22">
        <v>130</v>
      </c>
      <c r="L250" s="29">
        <v>117.5</v>
      </c>
      <c r="M250" s="5">
        <v>0.2</v>
      </c>
      <c r="N250" s="21">
        <v>0.24981880799060699</v>
      </c>
      <c r="O250" s="22">
        <v>361.669574509028</v>
      </c>
      <c r="P250" s="22">
        <v>82.461414706622406</v>
      </c>
      <c r="Q250" s="23">
        <v>4.4148388230368402E-2</v>
      </c>
      <c r="R250" s="21">
        <v>1.2490940399530299</v>
      </c>
      <c r="S250" s="5">
        <v>0.267289298730918</v>
      </c>
      <c r="T250" s="22">
        <v>361.669574509028</v>
      </c>
      <c r="U250" s="22">
        <v>144</v>
      </c>
      <c r="V250" s="23">
        <v>2.2536170212766E-2</v>
      </c>
      <c r="W250" s="21">
        <f t="shared" si="6"/>
        <v>1.2677213595834909</v>
      </c>
      <c r="X250" s="21">
        <f t="shared" si="7"/>
        <v>0.51041666666666663</v>
      </c>
      <c r="Y250" s="21">
        <v>1.3364464936545899</v>
      </c>
      <c r="Z250" s="21">
        <v>0.25478881615385301</v>
      </c>
      <c r="AA250" s="22">
        <v>361.669574509028</v>
      </c>
      <c r="AB250" s="22">
        <v>82.461414706622406</v>
      </c>
      <c r="AC250" s="23">
        <v>4.4148388230368402E-2</v>
      </c>
      <c r="AD250" s="21">
        <v>1.2739440807692699</v>
      </c>
      <c r="AE250" s="21">
        <v>0.28199361842550302</v>
      </c>
      <c r="AF250" s="21">
        <v>0.43113366848373103</v>
      </c>
      <c r="AG250" s="22">
        <v>379.03970165110002</v>
      </c>
      <c r="AH250" s="23">
        <v>1.83E-2</v>
      </c>
      <c r="AI250" s="21">
        <v>1.4099680921275199</v>
      </c>
    </row>
    <row r="251" spans="1:35" x14ac:dyDescent="0.25">
      <c r="B251" s="1">
        <v>15.9</v>
      </c>
      <c r="C251" s="1">
        <v>2</v>
      </c>
      <c r="D251" s="3">
        <v>46</v>
      </c>
      <c r="E251" s="5">
        <v>2.8258773978663201</v>
      </c>
      <c r="F251" s="1">
        <v>30</v>
      </c>
      <c r="G251" s="1">
        <v>38</v>
      </c>
      <c r="H251" s="4">
        <v>70.061381209483102</v>
      </c>
      <c r="I251" s="1">
        <v>250</v>
      </c>
      <c r="J251" s="29">
        <v>212</v>
      </c>
      <c r="K251" s="22">
        <v>130</v>
      </c>
      <c r="L251" s="29">
        <v>117.5</v>
      </c>
      <c r="M251" s="5">
        <v>0.35</v>
      </c>
      <c r="N251" s="21">
        <v>0.27432948922960299</v>
      </c>
      <c r="O251" s="22">
        <v>392.3</v>
      </c>
      <c r="P251" s="22">
        <v>82.461414706622406</v>
      </c>
      <c r="Q251" s="23">
        <v>4.4148388230368402E-2</v>
      </c>
      <c r="R251" s="21">
        <v>0.78379854065600796</v>
      </c>
      <c r="S251" s="5">
        <v>0.29702172941567501</v>
      </c>
      <c r="T251" s="22">
        <v>392.3</v>
      </c>
      <c r="U251" s="22">
        <v>144</v>
      </c>
      <c r="V251" s="23">
        <v>2.2536170212766E-2</v>
      </c>
      <c r="W251" s="21">
        <f t="shared" si="6"/>
        <v>1.2677213595834909</v>
      </c>
      <c r="X251" s="21">
        <f t="shared" si="7"/>
        <v>0.51041666666666663</v>
      </c>
      <c r="Y251" s="21">
        <v>0.848633512616216</v>
      </c>
      <c r="Z251" s="21">
        <v>0.27978712395237199</v>
      </c>
      <c r="AA251" s="22">
        <v>392.3</v>
      </c>
      <c r="AB251" s="22">
        <v>82.461414706622406</v>
      </c>
      <c r="AC251" s="23">
        <v>4.4148388230368402E-2</v>
      </c>
      <c r="AD251" s="21">
        <v>0.79939178272106304</v>
      </c>
      <c r="AE251" s="21">
        <v>0.29185886340253198</v>
      </c>
      <c r="AF251" s="21">
        <v>0.461826822418196</v>
      </c>
      <c r="AG251" s="22">
        <v>392.3</v>
      </c>
      <c r="AH251" s="23">
        <v>1.83E-2</v>
      </c>
      <c r="AI251" s="21">
        <v>0.83388246686437695</v>
      </c>
    </row>
    <row r="252" spans="1:35" x14ac:dyDescent="0.25">
      <c r="A252" t="s">
        <v>74</v>
      </c>
      <c r="B252" s="1">
        <v>15.9</v>
      </c>
      <c r="C252" s="1">
        <v>2</v>
      </c>
      <c r="D252" s="3">
        <v>46</v>
      </c>
      <c r="E252" s="5">
        <v>2.8258773978663201</v>
      </c>
      <c r="F252" s="1">
        <v>30</v>
      </c>
      <c r="G252" s="1">
        <v>38</v>
      </c>
      <c r="H252" s="4">
        <v>70.061381209483102</v>
      </c>
      <c r="I252" s="1">
        <v>250</v>
      </c>
      <c r="J252" s="29">
        <v>212</v>
      </c>
      <c r="K252" s="22">
        <v>130</v>
      </c>
      <c r="L252" s="29">
        <v>117.5</v>
      </c>
      <c r="M252" s="5">
        <v>0.2</v>
      </c>
      <c r="N252" s="21">
        <v>0.25088674352315199</v>
      </c>
      <c r="O252" s="22">
        <v>363.00414858470702</v>
      </c>
      <c r="P252" s="22">
        <v>82.461414706622406</v>
      </c>
      <c r="Q252" s="23">
        <v>4.4148388230368402E-2</v>
      </c>
      <c r="R252" s="21">
        <v>1.2544337176157601</v>
      </c>
      <c r="S252" s="5">
        <v>0.268584746984175</v>
      </c>
      <c r="T252" s="22">
        <v>363.00414858470702</v>
      </c>
      <c r="U252" s="22">
        <v>144</v>
      </c>
      <c r="V252" s="23">
        <v>2.2536170212766E-2</v>
      </c>
      <c r="W252" s="21">
        <f t="shared" si="6"/>
        <v>1.2677213595834909</v>
      </c>
      <c r="X252" s="21">
        <f t="shared" si="7"/>
        <v>0.51041666666666663</v>
      </c>
      <c r="Y252" s="21">
        <v>1.34292373492088</v>
      </c>
      <c r="Z252" s="21">
        <v>0.25587799767807301</v>
      </c>
      <c r="AA252" s="22">
        <v>363.00414858470702</v>
      </c>
      <c r="AB252" s="22">
        <v>82.461414706622406</v>
      </c>
      <c r="AC252" s="23">
        <v>4.4148388230368402E-2</v>
      </c>
      <c r="AD252" s="21">
        <v>1.2793899883903599</v>
      </c>
      <c r="AE252" s="21">
        <v>0.28303418528316199</v>
      </c>
      <c r="AF252" s="21">
        <v>0.43432133725167599</v>
      </c>
      <c r="AG252" s="22">
        <v>380.43837213689801</v>
      </c>
      <c r="AH252" s="23">
        <v>1.83E-2</v>
      </c>
      <c r="AI252" s="21">
        <v>1.4151709264158101</v>
      </c>
    </row>
    <row r="253" spans="1:35" x14ac:dyDescent="0.25">
      <c r="B253" s="1">
        <v>15.9</v>
      </c>
      <c r="C253" s="1">
        <v>2</v>
      </c>
      <c r="D253" s="3">
        <v>46</v>
      </c>
      <c r="E253" s="5">
        <v>2.8258773978663201</v>
      </c>
      <c r="F253" s="1">
        <v>30</v>
      </c>
      <c r="G253" s="1">
        <v>38</v>
      </c>
      <c r="H253" s="4">
        <v>70.061381209483102</v>
      </c>
      <c r="I253" s="1">
        <v>250</v>
      </c>
      <c r="J253" s="29">
        <v>212</v>
      </c>
      <c r="K253" s="22">
        <v>130</v>
      </c>
      <c r="L253" s="29">
        <v>117.5</v>
      </c>
      <c r="M253" s="5">
        <v>0.25</v>
      </c>
      <c r="N253" s="21">
        <v>0.27432948922960299</v>
      </c>
      <c r="O253" s="22">
        <v>392.3</v>
      </c>
      <c r="P253" s="22">
        <v>82.461414706622406</v>
      </c>
      <c r="Q253" s="23">
        <v>4.4148388230368402E-2</v>
      </c>
      <c r="R253" s="21">
        <v>1.0973179569184099</v>
      </c>
      <c r="S253" s="5">
        <v>0.29702172941567501</v>
      </c>
      <c r="T253" s="22">
        <v>392.3</v>
      </c>
      <c r="U253" s="22">
        <v>144</v>
      </c>
      <c r="V253" s="23">
        <v>2.2536170212766E-2</v>
      </c>
      <c r="W253" s="21">
        <f t="shared" si="6"/>
        <v>1.2677213595834909</v>
      </c>
      <c r="X253" s="21">
        <f t="shared" si="7"/>
        <v>0.51041666666666663</v>
      </c>
      <c r="Y253" s="21">
        <v>1.1880869176627</v>
      </c>
      <c r="Z253" s="21">
        <v>0.27978712395237199</v>
      </c>
      <c r="AA253" s="22">
        <v>392.3</v>
      </c>
      <c r="AB253" s="22">
        <v>82.461414706622406</v>
      </c>
      <c r="AC253" s="23">
        <v>4.4148388230368402E-2</v>
      </c>
      <c r="AD253" s="21">
        <v>1.1191484958094899</v>
      </c>
      <c r="AE253" s="21">
        <v>0.29185886340253198</v>
      </c>
      <c r="AF253" s="21">
        <v>0.461826822418196</v>
      </c>
      <c r="AG253" s="22">
        <v>392.3</v>
      </c>
      <c r="AH253" s="23">
        <v>1.83E-2</v>
      </c>
      <c r="AI253" s="21">
        <v>1.1674354536101299</v>
      </c>
    </row>
    <row r="254" spans="1:35" x14ac:dyDescent="0.25">
      <c r="A254" t="s">
        <v>75</v>
      </c>
      <c r="B254" s="1">
        <v>15.9</v>
      </c>
      <c r="C254" s="1">
        <v>2</v>
      </c>
      <c r="D254" s="3">
        <v>46</v>
      </c>
      <c r="E254" s="5">
        <v>2.8258773978663201</v>
      </c>
      <c r="F254" s="1">
        <v>30</v>
      </c>
      <c r="G254" s="1">
        <v>38</v>
      </c>
      <c r="H254" s="4">
        <v>70.061381209483102</v>
      </c>
      <c r="I254" s="1">
        <v>250</v>
      </c>
      <c r="J254" s="29">
        <v>212</v>
      </c>
      <c r="K254" s="22">
        <v>130</v>
      </c>
      <c r="L254" s="29">
        <v>117.5</v>
      </c>
      <c r="M254" s="5">
        <v>0.2</v>
      </c>
      <c r="N254" s="21">
        <v>0.25088674352315199</v>
      </c>
      <c r="O254" s="22">
        <v>363.00414858470702</v>
      </c>
      <c r="P254" s="22">
        <v>82.461414706622406</v>
      </c>
      <c r="Q254" s="23">
        <v>4.4148388230368402E-2</v>
      </c>
      <c r="R254" s="21">
        <v>1.2544337176157601</v>
      </c>
      <c r="S254" s="5">
        <v>0.268584746984175</v>
      </c>
      <c r="T254" s="22">
        <v>363.00414858470702</v>
      </c>
      <c r="U254" s="22">
        <v>144</v>
      </c>
      <c r="V254" s="23">
        <v>2.2536170212766E-2</v>
      </c>
      <c r="W254" s="21">
        <f t="shared" si="6"/>
        <v>1.2677213595834909</v>
      </c>
      <c r="X254" s="21">
        <f t="shared" si="7"/>
        <v>0.51041666666666663</v>
      </c>
      <c r="Y254" s="21">
        <v>1.34292373492088</v>
      </c>
      <c r="Z254" s="21">
        <v>0.25587799767807301</v>
      </c>
      <c r="AA254" s="22">
        <v>363.00414858470702</v>
      </c>
      <c r="AB254" s="22">
        <v>82.461414706622406</v>
      </c>
      <c r="AC254" s="23">
        <v>4.4148388230368402E-2</v>
      </c>
      <c r="AD254" s="21">
        <v>1.2793899883903599</v>
      </c>
      <c r="AE254" s="21">
        <v>0.28303418528316199</v>
      </c>
      <c r="AF254" s="21">
        <v>0.43432133725167599</v>
      </c>
      <c r="AG254" s="22">
        <v>380.43837213689801</v>
      </c>
      <c r="AH254" s="23">
        <v>1.83E-2</v>
      </c>
      <c r="AI254" s="21">
        <v>1.4151709264158101</v>
      </c>
    </row>
    <row r="255" spans="1:35" x14ac:dyDescent="0.25">
      <c r="B255" s="1">
        <v>15.9</v>
      </c>
      <c r="C255" s="1">
        <v>2</v>
      </c>
      <c r="D255" s="3">
        <v>46</v>
      </c>
      <c r="E255" s="5">
        <v>2.8258773978663201</v>
      </c>
      <c r="F255" s="1">
        <v>30</v>
      </c>
      <c r="G255" s="1">
        <v>38</v>
      </c>
      <c r="H255" s="4">
        <v>70.061381209483102</v>
      </c>
      <c r="I255" s="1">
        <v>250</v>
      </c>
      <c r="J255" s="29">
        <v>212</v>
      </c>
      <c r="K255" s="22">
        <v>130</v>
      </c>
      <c r="L255" s="29">
        <v>117.5</v>
      </c>
      <c r="M255" s="5">
        <v>0.25</v>
      </c>
      <c r="N255" s="21">
        <v>0.27432948922960299</v>
      </c>
      <c r="O255" s="22">
        <v>392.3</v>
      </c>
      <c r="P255" s="22">
        <v>82.461414706622406</v>
      </c>
      <c r="Q255" s="23">
        <v>4.4148388230368402E-2</v>
      </c>
      <c r="R255" s="21">
        <v>1.0973179569184099</v>
      </c>
      <c r="S255" s="5">
        <v>0.29702172941567501</v>
      </c>
      <c r="T255" s="22">
        <v>392.3</v>
      </c>
      <c r="U255" s="22">
        <v>144</v>
      </c>
      <c r="V255" s="23">
        <v>2.2536170212766E-2</v>
      </c>
      <c r="W255" s="21">
        <f t="shared" si="6"/>
        <v>1.2677213595834909</v>
      </c>
      <c r="X255" s="21">
        <f t="shared" si="7"/>
        <v>0.51041666666666663</v>
      </c>
      <c r="Y255" s="21">
        <v>1.1880869176627</v>
      </c>
      <c r="Z255" s="21">
        <v>0.27978712395237199</v>
      </c>
      <c r="AA255" s="22">
        <v>392.3</v>
      </c>
      <c r="AB255" s="22">
        <v>82.461414706622406</v>
      </c>
      <c r="AC255" s="23">
        <v>4.4148388230368402E-2</v>
      </c>
      <c r="AD255" s="21">
        <v>1.1191484958094899</v>
      </c>
      <c r="AE255" s="21">
        <v>0.29185886340253198</v>
      </c>
      <c r="AF255" s="21">
        <v>0.461826822418196</v>
      </c>
      <c r="AG255" s="22">
        <v>392.3</v>
      </c>
      <c r="AH255" s="23">
        <v>1.83E-2</v>
      </c>
      <c r="AI255" s="21">
        <v>1.1674354536101299</v>
      </c>
    </row>
    <row r="256" spans="1:35" x14ac:dyDescent="0.25">
      <c r="A256" t="s">
        <v>76</v>
      </c>
      <c r="B256" s="1">
        <v>15.9</v>
      </c>
      <c r="C256" s="1">
        <v>2</v>
      </c>
      <c r="D256" s="3">
        <v>46</v>
      </c>
      <c r="E256" s="5">
        <v>2.8258773978663201</v>
      </c>
      <c r="F256" s="1">
        <v>30</v>
      </c>
      <c r="G256" s="1">
        <v>38</v>
      </c>
      <c r="H256" s="4">
        <v>70.061381209483102</v>
      </c>
      <c r="I256" s="1">
        <v>250</v>
      </c>
      <c r="J256" s="29">
        <v>212</v>
      </c>
      <c r="K256" s="22">
        <v>130</v>
      </c>
      <c r="L256" s="29">
        <v>117.5</v>
      </c>
      <c r="M256" s="5">
        <v>0.2</v>
      </c>
      <c r="N256" s="21">
        <v>0.25195467905569802</v>
      </c>
      <c r="O256" s="22">
        <v>364.338722660386</v>
      </c>
      <c r="P256" s="22">
        <v>82.461414706622406</v>
      </c>
      <c r="Q256" s="23">
        <v>4.4148388230368402E-2</v>
      </c>
      <c r="R256" s="21">
        <v>1.25977339527849</v>
      </c>
      <c r="S256" s="5">
        <v>0.26988019523743301</v>
      </c>
      <c r="T256" s="22">
        <v>364.338722660386</v>
      </c>
      <c r="U256" s="22">
        <v>144</v>
      </c>
      <c r="V256" s="23">
        <v>2.2536170212766E-2</v>
      </c>
      <c r="W256" s="21">
        <f t="shared" si="6"/>
        <v>1.2677213595834909</v>
      </c>
      <c r="X256" s="21">
        <f t="shared" si="7"/>
        <v>0.51041666666666663</v>
      </c>
      <c r="Y256" s="21">
        <v>1.3494009761871599</v>
      </c>
      <c r="Z256" s="21">
        <v>0.25696717920229201</v>
      </c>
      <c r="AA256" s="22">
        <v>364.338722660386</v>
      </c>
      <c r="AB256" s="22">
        <v>82.461414706622406</v>
      </c>
      <c r="AC256" s="23">
        <v>4.4148388230368402E-2</v>
      </c>
      <c r="AD256" s="21">
        <v>1.2848358960114601</v>
      </c>
      <c r="AE256" s="21">
        <v>0.28407475214082101</v>
      </c>
      <c r="AF256" s="21">
        <v>0.43752074697272603</v>
      </c>
      <c r="AG256" s="22">
        <v>381.83704262269498</v>
      </c>
      <c r="AH256" s="23">
        <v>1.83E-2</v>
      </c>
      <c r="AI256" s="21">
        <v>1.4203737607041</v>
      </c>
    </row>
    <row r="257" spans="1:35" x14ac:dyDescent="0.25">
      <c r="B257" s="1">
        <v>15.9</v>
      </c>
      <c r="C257" s="1">
        <v>2</v>
      </c>
      <c r="D257" s="3">
        <v>46</v>
      </c>
      <c r="E257" s="5">
        <v>2.8258773978663201</v>
      </c>
      <c r="F257" s="1">
        <v>30</v>
      </c>
      <c r="G257" s="1">
        <v>38</v>
      </c>
      <c r="H257" s="4">
        <v>70.061381209483102</v>
      </c>
      <c r="I257" s="1">
        <v>250</v>
      </c>
      <c r="J257" s="29">
        <v>212</v>
      </c>
      <c r="K257" s="22">
        <v>130</v>
      </c>
      <c r="L257" s="29">
        <v>117.5</v>
      </c>
      <c r="M257" s="5">
        <v>0.3</v>
      </c>
      <c r="N257" s="21">
        <v>0.27432948922960299</v>
      </c>
      <c r="O257" s="22">
        <v>392.3</v>
      </c>
      <c r="P257" s="22">
        <v>82.461414706622406</v>
      </c>
      <c r="Q257" s="23">
        <v>4.4148388230368402E-2</v>
      </c>
      <c r="R257" s="21">
        <v>0.91443163076534295</v>
      </c>
      <c r="S257" s="5">
        <v>0.29702172941567501</v>
      </c>
      <c r="T257" s="22">
        <v>392.3</v>
      </c>
      <c r="U257" s="22">
        <v>144</v>
      </c>
      <c r="V257" s="23">
        <v>2.2536170212766E-2</v>
      </c>
      <c r="W257" s="21">
        <f t="shared" si="6"/>
        <v>1.2677213595834909</v>
      </c>
      <c r="X257" s="21">
        <f t="shared" si="7"/>
        <v>0.51041666666666663</v>
      </c>
      <c r="Y257" s="21">
        <v>0.99007243138558498</v>
      </c>
      <c r="Z257" s="21">
        <v>0.27978712395237199</v>
      </c>
      <c r="AA257" s="22">
        <v>392.3</v>
      </c>
      <c r="AB257" s="22">
        <v>82.461414706622406</v>
      </c>
      <c r="AC257" s="23">
        <v>4.4148388230368402E-2</v>
      </c>
      <c r="AD257" s="21">
        <v>0.93262374650790703</v>
      </c>
      <c r="AE257" s="21">
        <v>0.29185886340253198</v>
      </c>
      <c r="AF257" s="21">
        <v>0.461826822418196</v>
      </c>
      <c r="AG257" s="22">
        <v>392.3</v>
      </c>
      <c r="AH257" s="23">
        <v>1.83E-2</v>
      </c>
      <c r="AI257" s="21">
        <v>0.97286287800843996</v>
      </c>
    </row>
    <row r="258" spans="1:35" x14ac:dyDescent="0.25">
      <c r="A258" t="s">
        <v>77</v>
      </c>
      <c r="B258" s="1">
        <v>12.7</v>
      </c>
      <c r="C258" s="1">
        <v>2</v>
      </c>
      <c r="D258" s="3">
        <v>52</v>
      </c>
      <c r="E258" s="5">
        <v>2.9208758709847902</v>
      </c>
      <c r="F258" s="1">
        <v>30</v>
      </c>
      <c r="G258" s="1">
        <v>36.5</v>
      </c>
      <c r="H258" s="4">
        <v>58.075942632487198</v>
      </c>
      <c r="I258" s="1">
        <v>250</v>
      </c>
      <c r="J258" s="29">
        <v>213.5</v>
      </c>
      <c r="K258" s="22">
        <v>128</v>
      </c>
      <c r="L258" s="29">
        <v>100</v>
      </c>
      <c r="M258" s="5">
        <v>0.15</v>
      </c>
      <c r="N258" s="21">
        <v>0.231810802807599</v>
      </c>
      <c r="O258" s="22">
        <v>317.102697940788</v>
      </c>
      <c r="P258" s="22">
        <v>129.373331716991</v>
      </c>
      <c r="Q258" s="23">
        <v>2.6406277928437898E-2</v>
      </c>
      <c r="R258" s="21">
        <v>1.5454053520506601</v>
      </c>
      <c r="S258" s="5">
        <v>0.21302068526037099</v>
      </c>
      <c r="T258" s="22">
        <v>317.102697940788</v>
      </c>
      <c r="U258" s="22">
        <v>192</v>
      </c>
      <c r="V258" s="23">
        <v>1.6893333333333298E-2</v>
      </c>
      <c r="W258" s="21">
        <f t="shared" ref="W258:W321" si="8">(I258-H258)/(J258-H258)</f>
        <v>1.2348413792447381</v>
      </c>
      <c r="X258" s="21">
        <f t="shared" ref="X258:X321" si="9">0.5*(1+(I258-K258-L258)/(I258-K258))</f>
        <v>0.5901639344262295</v>
      </c>
      <c r="Y258" s="21">
        <v>1.42013790173581</v>
      </c>
      <c r="Z258" s="21">
        <v>0.22003405864266901</v>
      </c>
      <c r="AA258" s="22">
        <v>317.102697940788</v>
      </c>
      <c r="AB258" s="22">
        <v>129.373331716991</v>
      </c>
      <c r="AC258" s="23">
        <v>2.6406277928437898E-2</v>
      </c>
      <c r="AD258" s="21">
        <v>1.46689372428446</v>
      </c>
      <c r="AE258" s="21">
        <v>0.24661873508292401</v>
      </c>
      <c r="AF258" s="21">
        <v>0.25333162419306499</v>
      </c>
      <c r="AG258" s="22">
        <v>330.52173959353098</v>
      </c>
      <c r="AH258" s="23">
        <v>1.4E-2</v>
      </c>
      <c r="AI258" s="21">
        <v>1.64412490055282</v>
      </c>
    </row>
    <row r="259" spans="1:35" x14ac:dyDescent="0.25">
      <c r="B259" s="1">
        <v>12.7</v>
      </c>
      <c r="C259" s="1">
        <v>2</v>
      </c>
      <c r="D259" s="3">
        <v>52</v>
      </c>
      <c r="E259" s="5">
        <v>2.9208758709847902</v>
      </c>
      <c r="F259" s="1">
        <v>30</v>
      </c>
      <c r="G259" s="1">
        <v>36.5</v>
      </c>
      <c r="H259" s="4">
        <v>58.075942632487198</v>
      </c>
      <c r="I259" s="1">
        <v>250</v>
      </c>
      <c r="J259" s="29">
        <v>213.5</v>
      </c>
      <c r="K259" s="22">
        <v>128</v>
      </c>
      <c r="L259" s="29">
        <v>100</v>
      </c>
      <c r="M259" s="5">
        <v>0.2</v>
      </c>
      <c r="N259" s="21">
        <v>0.304600353772294</v>
      </c>
      <c r="O259" s="22">
        <v>392.3</v>
      </c>
      <c r="P259" s="22">
        <v>129.373331716991</v>
      </c>
      <c r="Q259" s="23">
        <v>2.6406277928437898E-2</v>
      </c>
      <c r="R259" s="21">
        <v>1.5230017688614701</v>
      </c>
      <c r="S259" s="5">
        <v>0.29227907742116799</v>
      </c>
      <c r="T259" s="22">
        <v>392.3</v>
      </c>
      <c r="U259" s="22">
        <v>192</v>
      </c>
      <c r="V259" s="23">
        <v>1.6893333333333298E-2</v>
      </c>
      <c r="W259" s="21">
        <f t="shared" si="8"/>
        <v>1.2348413792447381</v>
      </c>
      <c r="X259" s="21">
        <f t="shared" si="9"/>
        <v>0.5901639344262295</v>
      </c>
      <c r="Y259" s="21">
        <v>1.46139538710584</v>
      </c>
      <c r="Z259" s="21">
        <v>0.28912566322518801</v>
      </c>
      <c r="AA259" s="22">
        <v>392.3</v>
      </c>
      <c r="AB259" s="22">
        <v>129.373331716991</v>
      </c>
      <c r="AC259" s="23">
        <v>2.6406277928437898E-2</v>
      </c>
      <c r="AD259" s="21">
        <v>1.44562831612594</v>
      </c>
      <c r="AE259" s="21">
        <v>0.29271457269954598</v>
      </c>
      <c r="AF259" s="21">
        <v>0.35688308472413</v>
      </c>
      <c r="AG259" s="22">
        <v>392.3</v>
      </c>
      <c r="AH259" s="23">
        <v>1.4E-2</v>
      </c>
      <c r="AI259" s="21">
        <v>1.4635728634977301</v>
      </c>
    </row>
    <row r="260" spans="1:35" x14ac:dyDescent="0.25">
      <c r="A260" t="s">
        <v>78</v>
      </c>
      <c r="B260" s="1">
        <v>12.7</v>
      </c>
      <c r="C260" s="1">
        <v>2</v>
      </c>
      <c r="D260" s="3">
        <v>52</v>
      </c>
      <c r="E260" s="5">
        <v>2.9208758709847902</v>
      </c>
      <c r="F260" s="1">
        <v>30</v>
      </c>
      <c r="G260" s="1">
        <v>36.5</v>
      </c>
      <c r="H260" s="4">
        <v>58.075942632487198</v>
      </c>
      <c r="I260" s="1">
        <v>250</v>
      </c>
      <c r="J260" s="29">
        <v>213.5</v>
      </c>
      <c r="K260" s="22">
        <v>128</v>
      </c>
      <c r="L260" s="29">
        <v>100</v>
      </c>
      <c r="M260" s="5">
        <v>0.15</v>
      </c>
      <c r="N260" s="21">
        <v>0.23377842684639999</v>
      </c>
      <c r="O260" s="22">
        <v>319.13540754297298</v>
      </c>
      <c r="P260" s="22">
        <v>129.373331716991</v>
      </c>
      <c r="Q260" s="23">
        <v>2.6406277928437898E-2</v>
      </c>
      <c r="R260" s="21">
        <v>1.5585228456426601</v>
      </c>
      <c r="S260" s="5">
        <v>0.21516317296122101</v>
      </c>
      <c r="T260" s="22">
        <v>319.13540754297298</v>
      </c>
      <c r="U260" s="22">
        <v>192</v>
      </c>
      <c r="V260" s="23">
        <v>1.6893333333333298E-2</v>
      </c>
      <c r="W260" s="21">
        <f t="shared" si="8"/>
        <v>1.2348413792447381</v>
      </c>
      <c r="X260" s="21">
        <f t="shared" si="9"/>
        <v>0.5901639344262295</v>
      </c>
      <c r="Y260" s="21">
        <v>1.4344211530748101</v>
      </c>
      <c r="Z260" s="21">
        <v>0.221901720968567</v>
      </c>
      <c r="AA260" s="22">
        <v>319.13540754297298</v>
      </c>
      <c r="AB260" s="22">
        <v>129.373331716991</v>
      </c>
      <c r="AC260" s="23">
        <v>2.6406277928437898E-2</v>
      </c>
      <c r="AD260" s="21">
        <v>1.47934480645712</v>
      </c>
      <c r="AE260" s="21">
        <v>0.24819962441037799</v>
      </c>
      <c r="AF260" s="21">
        <v>0.25658987527674498</v>
      </c>
      <c r="AG260" s="22">
        <v>332.64046869348903</v>
      </c>
      <c r="AH260" s="23">
        <v>1.4E-2</v>
      </c>
      <c r="AI260" s="21">
        <v>1.65466416273585</v>
      </c>
    </row>
    <row r="261" spans="1:35" x14ac:dyDescent="0.25">
      <c r="B261" s="1">
        <v>12.7</v>
      </c>
      <c r="C261" s="1">
        <v>2</v>
      </c>
      <c r="D261" s="3">
        <v>52</v>
      </c>
      <c r="E261" s="5">
        <v>2.9208758709847902</v>
      </c>
      <c r="F261" s="1">
        <v>30</v>
      </c>
      <c r="G261" s="1">
        <v>36.5</v>
      </c>
      <c r="H261" s="4">
        <v>58.075942632487198</v>
      </c>
      <c r="I261" s="1">
        <v>250</v>
      </c>
      <c r="J261" s="29">
        <v>213.5</v>
      </c>
      <c r="K261" s="22">
        <v>128</v>
      </c>
      <c r="L261" s="29">
        <v>100</v>
      </c>
      <c r="M261" s="5">
        <v>0.2</v>
      </c>
      <c r="N261" s="21">
        <v>0.304600353772294</v>
      </c>
      <c r="O261" s="22">
        <v>392.3</v>
      </c>
      <c r="P261" s="22">
        <v>129.373331716991</v>
      </c>
      <c r="Q261" s="23">
        <v>2.6406277928437898E-2</v>
      </c>
      <c r="R261" s="21">
        <v>1.5230017688614701</v>
      </c>
      <c r="S261" s="5">
        <v>0.29227907742116799</v>
      </c>
      <c r="T261" s="22">
        <v>392.3</v>
      </c>
      <c r="U261" s="22">
        <v>192</v>
      </c>
      <c r="V261" s="23">
        <v>1.6893333333333298E-2</v>
      </c>
      <c r="W261" s="21">
        <f t="shared" si="8"/>
        <v>1.2348413792447381</v>
      </c>
      <c r="X261" s="21">
        <f t="shared" si="9"/>
        <v>0.5901639344262295</v>
      </c>
      <c r="Y261" s="21">
        <v>1.46139538710584</v>
      </c>
      <c r="Z261" s="21">
        <v>0.28912566322518801</v>
      </c>
      <c r="AA261" s="22">
        <v>392.3</v>
      </c>
      <c r="AB261" s="22">
        <v>129.373331716991</v>
      </c>
      <c r="AC261" s="23">
        <v>2.6406277928437898E-2</v>
      </c>
      <c r="AD261" s="21">
        <v>1.44562831612594</v>
      </c>
      <c r="AE261" s="21">
        <v>0.29271457269954598</v>
      </c>
      <c r="AF261" s="21">
        <v>0.35688308472413</v>
      </c>
      <c r="AG261" s="22">
        <v>392.3</v>
      </c>
      <c r="AH261" s="23">
        <v>1.4E-2</v>
      </c>
      <c r="AI261" s="21">
        <v>1.4635728634977301</v>
      </c>
    </row>
    <row r="262" spans="1:35" x14ac:dyDescent="0.25">
      <c r="A262" t="s">
        <v>79</v>
      </c>
      <c r="B262" s="1">
        <v>15.9</v>
      </c>
      <c r="C262" s="1">
        <v>2</v>
      </c>
      <c r="D262" s="3">
        <v>46</v>
      </c>
      <c r="E262" s="5">
        <v>2.9208758709847902</v>
      </c>
      <c r="F262" s="1">
        <v>30</v>
      </c>
      <c r="G262" s="1">
        <v>38</v>
      </c>
      <c r="H262" s="4">
        <v>69.597967277749504</v>
      </c>
      <c r="I262" s="1">
        <v>250</v>
      </c>
      <c r="J262" s="29">
        <v>212</v>
      </c>
      <c r="K262" s="22">
        <v>130</v>
      </c>
      <c r="L262" s="29">
        <v>117.5</v>
      </c>
      <c r="M262" s="5">
        <v>0.15</v>
      </c>
      <c r="N262" s="21">
        <v>0.16749190626511001</v>
      </c>
      <c r="O262" s="22">
        <v>260.02902224680798</v>
      </c>
      <c r="P262" s="22">
        <v>85.091206688591498</v>
      </c>
      <c r="Q262" s="23">
        <v>4.40349805383329E-2</v>
      </c>
      <c r="R262" s="21">
        <v>1.11661270843407</v>
      </c>
      <c r="S262" s="5">
        <v>0.16593842049260599</v>
      </c>
      <c r="T262" s="22">
        <v>260.02902224680798</v>
      </c>
      <c r="U262" s="22">
        <v>148</v>
      </c>
      <c r="V262" s="23">
        <v>2.2536170212766E-2</v>
      </c>
      <c r="W262" s="21">
        <f t="shared" si="8"/>
        <v>1.2668501233694991</v>
      </c>
      <c r="X262" s="21">
        <f t="shared" si="9"/>
        <v>0.51041666666666663</v>
      </c>
      <c r="Y262" s="21">
        <v>1.10625613661737</v>
      </c>
      <c r="Z262" s="21">
        <v>0.170714257577712</v>
      </c>
      <c r="AA262" s="22">
        <v>260.02902224680798</v>
      </c>
      <c r="AB262" s="22">
        <v>85.091206688591498</v>
      </c>
      <c r="AC262" s="23">
        <v>4.40349805383329E-2</v>
      </c>
      <c r="AD262" s="21">
        <v>1.13809505051808</v>
      </c>
      <c r="AE262" s="21">
        <v>0.20291053724344299</v>
      </c>
      <c r="AF262" s="21">
        <v>0.215964712364801</v>
      </c>
      <c r="AG262" s="22">
        <v>272.740744730497</v>
      </c>
      <c r="AH262" s="23">
        <v>1.83E-2</v>
      </c>
      <c r="AI262" s="21">
        <v>1.35273691495629</v>
      </c>
    </row>
    <row r="263" spans="1:35" x14ac:dyDescent="0.25">
      <c r="B263" s="1">
        <v>15.9</v>
      </c>
      <c r="C263" s="1">
        <v>2</v>
      </c>
      <c r="D263" s="3">
        <v>46</v>
      </c>
      <c r="E263" s="5">
        <v>2.9208758709847902</v>
      </c>
      <c r="F263" s="1">
        <v>30</v>
      </c>
      <c r="G263" s="1">
        <v>38</v>
      </c>
      <c r="H263" s="4">
        <v>69.597967277749504</v>
      </c>
      <c r="I263" s="1">
        <v>250</v>
      </c>
      <c r="J263" s="29">
        <v>212</v>
      </c>
      <c r="K263" s="22">
        <v>130</v>
      </c>
      <c r="L263" s="29">
        <v>117.5</v>
      </c>
      <c r="M263" s="5">
        <v>0.25</v>
      </c>
      <c r="N263" s="21">
        <v>0.251925495788488</v>
      </c>
      <c r="O263" s="22">
        <v>365.37411331089999</v>
      </c>
      <c r="P263" s="22">
        <v>85.091206688591498</v>
      </c>
      <c r="Q263" s="23">
        <v>4.40349805383329E-2</v>
      </c>
      <c r="R263" s="21">
        <v>1.00770198315395</v>
      </c>
      <c r="S263" s="5">
        <v>0.26816066312683401</v>
      </c>
      <c r="T263" s="22">
        <v>365.37411331089999</v>
      </c>
      <c r="U263" s="22">
        <v>148</v>
      </c>
      <c r="V263" s="23">
        <v>2.2536170212766E-2</v>
      </c>
      <c r="W263" s="21">
        <f t="shared" si="8"/>
        <v>1.2668501233694991</v>
      </c>
      <c r="X263" s="21">
        <f t="shared" si="9"/>
        <v>0.51041666666666663</v>
      </c>
      <c r="Y263" s="21">
        <v>1.07264265250734</v>
      </c>
      <c r="Z263" s="21">
        <v>0.25677225208933901</v>
      </c>
      <c r="AA263" s="22">
        <v>365.37411331089999</v>
      </c>
      <c r="AB263" s="22">
        <v>85.091206688591498</v>
      </c>
      <c r="AC263" s="23">
        <v>4.40349805383329E-2</v>
      </c>
      <c r="AD263" s="21">
        <v>1.0270890083573501</v>
      </c>
      <c r="AE263" s="21">
        <v>0.28511531899847897</v>
      </c>
      <c r="AF263" s="21">
        <v>0.42639754754766002</v>
      </c>
      <c r="AG263" s="22">
        <v>383.23571310849297</v>
      </c>
      <c r="AH263" s="23">
        <v>1.83E-2</v>
      </c>
      <c r="AI263" s="21">
        <v>1.1404612759939201</v>
      </c>
    </row>
    <row r="264" spans="1:35" x14ac:dyDescent="0.25">
      <c r="B264" s="1">
        <v>15.9</v>
      </c>
      <c r="C264" s="1">
        <v>2</v>
      </c>
      <c r="D264" s="3">
        <v>46</v>
      </c>
      <c r="E264" s="5">
        <v>2.9208758709847902</v>
      </c>
      <c r="F264" s="1">
        <v>30</v>
      </c>
      <c r="G264" s="1">
        <v>38</v>
      </c>
      <c r="H264" s="4">
        <v>69.597967277749504</v>
      </c>
      <c r="I264" s="1">
        <v>250</v>
      </c>
      <c r="J264" s="29">
        <v>212</v>
      </c>
      <c r="K264" s="22">
        <v>130</v>
      </c>
      <c r="L264" s="29">
        <v>117.5</v>
      </c>
      <c r="M264" s="5">
        <v>0.3</v>
      </c>
      <c r="N264" s="21">
        <v>0.273506465924793</v>
      </c>
      <c r="O264" s="22">
        <v>392.3</v>
      </c>
      <c r="P264" s="22">
        <v>85.091206688591498</v>
      </c>
      <c r="Q264" s="23">
        <v>4.40349805383329E-2</v>
      </c>
      <c r="R264" s="21">
        <v>0.91168821974930903</v>
      </c>
      <c r="S264" s="5">
        <v>0.29428835920144603</v>
      </c>
      <c r="T264" s="22">
        <v>392.3</v>
      </c>
      <c r="U264" s="22">
        <v>148</v>
      </c>
      <c r="V264" s="23">
        <v>2.2536170212766E-2</v>
      </c>
      <c r="W264" s="21">
        <f t="shared" si="8"/>
        <v>1.2668501233694991</v>
      </c>
      <c r="X264" s="21">
        <f t="shared" si="9"/>
        <v>0.51041666666666663</v>
      </c>
      <c r="Y264" s="21">
        <v>0.98096119733815301</v>
      </c>
      <c r="Z264" s="21">
        <v>0.27876841522807899</v>
      </c>
      <c r="AA264" s="22">
        <v>392.3</v>
      </c>
      <c r="AB264" s="22">
        <v>85.091206688591498</v>
      </c>
      <c r="AC264" s="23">
        <v>4.40349805383329E-2</v>
      </c>
      <c r="AD264" s="21">
        <v>0.92922805076026505</v>
      </c>
      <c r="AE264" s="21">
        <v>0.29185886340253198</v>
      </c>
      <c r="AF264" s="21">
        <v>0.44680638166249398</v>
      </c>
      <c r="AG264" s="22">
        <v>392.3</v>
      </c>
      <c r="AH264" s="23">
        <v>1.83E-2</v>
      </c>
      <c r="AI264" s="21">
        <v>0.97286287800843996</v>
      </c>
    </row>
    <row r="265" spans="1:35" x14ac:dyDescent="0.25">
      <c r="A265" t="s">
        <v>80</v>
      </c>
      <c r="B265" s="1">
        <v>15.9</v>
      </c>
      <c r="C265" s="1">
        <v>2</v>
      </c>
      <c r="D265" s="3">
        <v>46</v>
      </c>
      <c r="E265" s="5">
        <v>2.9208758709847902</v>
      </c>
      <c r="F265" s="1">
        <v>30</v>
      </c>
      <c r="G265" s="1">
        <v>38</v>
      </c>
      <c r="H265" s="4">
        <v>69.597967277749504</v>
      </c>
      <c r="I265" s="1">
        <v>250</v>
      </c>
      <c r="J265" s="29">
        <v>212</v>
      </c>
      <c r="K265" s="22">
        <v>130</v>
      </c>
      <c r="L265" s="29">
        <v>117.5</v>
      </c>
      <c r="M265" s="5">
        <v>0.15</v>
      </c>
      <c r="N265" s="21">
        <v>0.16856068587933001</v>
      </c>
      <c r="O265" s="22">
        <v>261.36250441217697</v>
      </c>
      <c r="P265" s="22">
        <v>85.091206688591498</v>
      </c>
      <c r="Q265" s="23">
        <v>4.40349805383329E-2</v>
      </c>
      <c r="R265" s="21">
        <v>1.1237379058621999</v>
      </c>
      <c r="S265" s="5">
        <v>0.16723237293101401</v>
      </c>
      <c r="T265" s="22">
        <v>261.36250441217697</v>
      </c>
      <c r="U265" s="22">
        <v>148</v>
      </c>
      <c r="V265" s="23">
        <v>2.2536170212766E-2</v>
      </c>
      <c r="W265" s="21">
        <f t="shared" si="8"/>
        <v>1.2668501233694991</v>
      </c>
      <c r="X265" s="21">
        <f t="shared" si="9"/>
        <v>0.51041666666666663</v>
      </c>
      <c r="Y265" s="21">
        <v>1.1148824862067599</v>
      </c>
      <c r="Z265" s="21">
        <v>0.17180359928039099</v>
      </c>
      <c r="AA265" s="22">
        <v>261.36250441217697</v>
      </c>
      <c r="AB265" s="22">
        <v>85.091206688591498</v>
      </c>
      <c r="AC265" s="23">
        <v>4.40349805383329E-2</v>
      </c>
      <c r="AD265" s="21">
        <v>1.14535732853594</v>
      </c>
      <c r="AE265" s="21">
        <v>0.20395110410110201</v>
      </c>
      <c r="AF265" s="21">
        <v>0.21818541460108301</v>
      </c>
      <c r="AG265" s="22">
        <v>274.13941521629403</v>
      </c>
      <c r="AH265" s="23">
        <v>1.83E-2</v>
      </c>
      <c r="AI265" s="21">
        <v>1.35967402734068</v>
      </c>
    </row>
    <row r="266" spans="1:35" x14ac:dyDescent="0.25">
      <c r="B266" s="1">
        <v>15.9</v>
      </c>
      <c r="C266" s="1">
        <v>2</v>
      </c>
      <c r="D266" s="3">
        <v>46</v>
      </c>
      <c r="E266" s="5">
        <v>2.9208758709847902</v>
      </c>
      <c r="F266" s="1">
        <v>30</v>
      </c>
      <c r="G266" s="1">
        <v>38</v>
      </c>
      <c r="H266" s="4">
        <v>69.597967277749504</v>
      </c>
      <c r="I266" s="1">
        <v>250</v>
      </c>
      <c r="J266" s="29">
        <v>212</v>
      </c>
      <c r="K266" s="22">
        <v>130</v>
      </c>
      <c r="L266" s="29">
        <v>117.5</v>
      </c>
      <c r="M266" s="5">
        <v>0.25</v>
      </c>
      <c r="N266" s="21">
        <v>0.25299427540270802</v>
      </c>
      <c r="O266" s="22">
        <v>366.70759547626801</v>
      </c>
      <c r="P266" s="22">
        <v>85.091206688591498</v>
      </c>
      <c r="Q266" s="23">
        <v>4.40349805383329E-2</v>
      </c>
      <c r="R266" s="21">
        <v>1.0119771016108301</v>
      </c>
      <c r="S266" s="5">
        <v>0.26945461556524197</v>
      </c>
      <c r="T266" s="22">
        <v>366.70759547626801</v>
      </c>
      <c r="U266" s="22">
        <v>148</v>
      </c>
      <c r="V266" s="23">
        <v>2.2536170212766E-2</v>
      </c>
      <c r="W266" s="21">
        <f t="shared" si="8"/>
        <v>1.2668501233694991</v>
      </c>
      <c r="X266" s="21">
        <f t="shared" si="9"/>
        <v>0.51041666666666663</v>
      </c>
      <c r="Y266" s="21">
        <v>1.0778184622609699</v>
      </c>
      <c r="Z266" s="21">
        <v>0.25786159379201801</v>
      </c>
      <c r="AA266" s="22">
        <v>366.70759547626801</v>
      </c>
      <c r="AB266" s="22">
        <v>85.091206688591498</v>
      </c>
      <c r="AC266" s="23">
        <v>4.40349805383329E-2</v>
      </c>
      <c r="AD266" s="21">
        <v>1.03144637516807</v>
      </c>
      <c r="AE266" s="21">
        <v>0.28615588585613799</v>
      </c>
      <c r="AF266" s="21">
        <v>0.42951561795103299</v>
      </c>
      <c r="AG266" s="22">
        <v>384.63438359429</v>
      </c>
      <c r="AH266" s="23">
        <v>1.83E-2</v>
      </c>
      <c r="AI266" s="21">
        <v>1.14462354342455</v>
      </c>
    </row>
    <row r="267" spans="1:35" x14ac:dyDescent="0.25">
      <c r="A267" t="s">
        <v>81</v>
      </c>
      <c r="B267" s="1">
        <v>19.100000000000001</v>
      </c>
      <c r="C267" s="1">
        <v>2</v>
      </c>
      <c r="D267" s="3">
        <v>40</v>
      </c>
      <c r="E267" s="5">
        <v>2.9208758709847902</v>
      </c>
      <c r="F267" s="1">
        <v>30</v>
      </c>
      <c r="G267" s="1">
        <v>39.5</v>
      </c>
      <c r="H267" s="4">
        <v>80.017825486464005</v>
      </c>
      <c r="I267" s="1">
        <v>250</v>
      </c>
      <c r="J267" s="29">
        <v>210.5</v>
      </c>
      <c r="K267" s="22">
        <v>132</v>
      </c>
      <c r="L267" s="29">
        <v>135</v>
      </c>
      <c r="M267" s="5">
        <v>0.15</v>
      </c>
      <c r="N267" s="21">
        <v>0.10386548783744</v>
      </c>
      <c r="O267" s="22">
        <v>187.025739041386</v>
      </c>
      <c r="P267" s="22">
        <v>62.084728863716499</v>
      </c>
      <c r="Q267" s="23">
        <v>6.7418833961836497E-2</v>
      </c>
      <c r="R267" s="21">
        <v>0.69243658558293497</v>
      </c>
      <c r="S267" s="5">
        <v>0.102474345140568</v>
      </c>
      <c r="T267" s="22">
        <v>187.025739041386</v>
      </c>
      <c r="U267" s="22">
        <v>122</v>
      </c>
      <c r="V267" s="23">
        <v>2.8296296296296299E-2</v>
      </c>
      <c r="W267" s="21">
        <f t="shared" si="8"/>
        <v>1.3027233424585696</v>
      </c>
      <c r="X267" s="21">
        <f t="shared" si="9"/>
        <v>0.42796610169491522</v>
      </c>
      <c r="Y267" s="21">
        <v>0.68316230093711905</v>
      </c>
      <c r="Z267" s="21">
        <v>0.112452206478951</v>
      </c>
      <c r="AA267" s="22">
        <v>187.025739041386</v>
      </c>
      <c r="AB267" s="22">
        <v>62.084728863716499</v>
      </c>
      <c r="AC267" s="23">
        <v>6.7418833961836497E-2</v>
      </c>
      <c r="AD267" s="21">
        <v>0.74968137652634304</v>
      </c>
      <c r="AE267" s="21">
        <v>0.148149174230395</v>
      </c>
      <c r="AF267" s="21">
        <v>0.13550807397378101</v>
      </c>
      <c r="AG267" s="22">
        <v>197.11654992238101</v>
      </c>
      <c r="AH267" s="23">
        <v>2.2700000000000001E-2</v>
      </c>
      <c r="AI267" s="21">
        <v>0.90338715982520801</v>
      </c>
    </row>
    <row r="268" spans="1:35" x14ac:dyDescent="0.25">
      <c r="B268" s="1">
        <v>19.100000000000001</v>
      </c>
      <c r="C268" s="1">
        <v>2</v>
      </c>
      <c r="D268" s="3">
        <v>40</v>
      </c>
      <c r="E268" s="5">
        <v>2.9208758709847902</v>
      </c>
      <c r="F268" s="1">
        <v>30</v>
      </c>
      <c r="G268" s="1">
        <v>39.5</v>
      </c>
      <c r="H268" s="4">
        <v>80.017825486464005</v>
      </c>
      <c r="I268" s="1">
        <v>250</v>
      </c>
      <c r="J268" s="29">
        <v>210.5</v>
      </c>
      <c r="K268" s="22">
        <v>132</v>
      </c>
      <c r="L268" s="29">
        <v>135</v>
      </c>
      <c r="M268" s="5">
        <v>0.2</v>
      </c>
      <c r="N268" s="21">
        <v>0.155218033571807</v>
      </c>
      <c r="O268" s="22">
        <v>261.07653927096999</v>
      </c>
      <c r="P268" s="22">
        <v>62.084728863716499</v>
      </c>
      <c r="Q268" s="23">
        <v>6.7418833961836497E-2</v>
      </c>
      <c r="R268" s="21">
        <v>0.77609016785903295</v>
      </c>
      <c r="S268" s="5">
        <v>0.169135103328064</v>
      </c>
      <c r="T268" s="22">
        <v>261.07653927096999</v>
      </c>
      <c r="U268" s="22">
        <v>122</v>
      </c>
      <c r="V268" s="23">
        <v>2.8296296296296299E-2</v>
      </c>
      <c r="W268" s="21">
        <f t="shared" si="8"/>
        <v>1.3027233424585696</v>
      </c>
      <c r="X268" s="21">
        <f t="shared" si="9"/>
        <v>0.42796610169491522</v>
      </c>
      <c r="Y268" s="21">
        <v>0.84567551664031904</v>
      </c>
      <c r="Z268" s="21">
        <v>0.16805014566331999</v>
      </c>
      <c r="AA268" s="22">
        <v>261.07653927096999</v>
      </c>
      <c r="AB268" s="22">
        <v>62.084728863716499</v>
      </c>
      <c r="AC268" s="23">
        <v>6.7418833961836497E-2</v>
      </c>
      <c r="AD268" s="21">
        <v>0.84025072831659997</v>
      </c>
      <c r="AE268" s="21">
        <v>0.20680722291045001</v>
      </c>
      <c r="AF268" s="21">
        <v>0.26405725718949702</v>
      </c>
      <c r="AG268" s="22">
        <v>275.16269659215601</v>
      </c>
      <c r="AH268" s="23">
        <v>2.2700000000000001E-2</v>
      </c>
      <c r="AI268" s="21">
        <v>1.0340361145522501</v>
      </c>
    </row>
    <row r="269" spans="1:35" x14ac:dyDescent="0.25">
      <c r="B269" s="1">
        <v>19.100000000000001</v>
      </c>
      <c r="C269" s="1">
        <v>2</v>
      </c>
      <c r="D269" s="3">
        <v>40</v>
      </c>
      <c r="E269" s="5">
        <v>2.9208758709847902</v>
      </c>
      <c r="F269" s="1">
        <v>30</v>
      </c>
      <c r="G269" s="1">
        <v>39.5</v>
      </c>
      <c r="H269" s="4">
        <v>80.017825486464005</v>
      </c>
      <c r="I269" s="1">
        <v>250</v>
      </c>
      <c r="J269" s="29">
        <v>210.5</v>
      </c>
      <c r="K269" s="22">
        <v>132</v>
      </c>
      <c r="L269" s="29">
        <v>135</v>
      </c>
      <c r="M269" s="5">
        <v>0.3</v>
      </c>
      <c r="N269" s="21">
        <v>0.20722894527712599</v>
      </c>
      <c r="O269" s="22">
        <v>336.07670873426702</v>
      </c>
      <c r="P269" s="22">
        <v>62.084728863716499</v>
      </c>
      <c r="Q269" s="23">
        <v>6.7418833961836497E-2</v>
      </c>
      <c r="R269" s="21">
        <v>0.69076315092375495</v>
      </c>
      <c r="S269" s="5">
        <v>0.23665048662052801</v>
      </c>
      <c r="T269" s="22">
        <v>336.07670873426702</v>
      </c>
      <c r="U269" s="22">
        <v>122</v>
      </c>
      <c r="V269" s="23">
        <v>2.8296296296296299E-2</v>
      </c>
      <c r="W269" s="21">
        <f t="shared" si="8"/>
        <v>1.3027233424585696</v>
      </c>
      <c r="X269" s="21">
        <f t="shared" si="9"/>
        <v>0.42796610169491522</v>
      </c>
      <c r="Y269" s="21">
        <v>0.78883495540175896</v>
      </c>
      <c r="Z269" s="21">
        <v>0.224360878939796</v>
      </c>
      <c r="AA269" s="22">
        <v>336.07670873426702</v>
      </c>
      <c r="AB269" s="22">
        <v>62.084728863716499</v>
      </c>
      <c r="AC269" s="23">
        <v>6.7418833961836497E-2</v>
      </c>
      <c r="AD269" s="21">
        <v>0.74786959646598605</v>
      </c>
      <c r="AE269" s="21">
        <v>0.26621729785563403</v>
      </c>
      <c r="AF269" s="21">
        <v>0.43756164286888</v>
      </c>
      <c r="AG269" s="22">
        <v>354.209434885902</v>
      </c>
      <c r="AH269" s="23">
        <v>2.2700000000000001E-2</v>
      </c>
      <c r="AI269" s="21">
        <v>0.88739099285211298</v>
      </c>
    </row>
    <row r="270" spans="1:35" x14ac:dyDescent="0.25">
      <c r="B270" s="1">
        <v>19.100000000000001</v>
      </c>
      <c r="C270" s="1">
        <v>2</v>
      </c>
      <c r="D270" s="3">
        <v>40</v>
      </c>
      <c r="E270" s="5">
        <v>2.9208758709847902</v>
      </c>
      <c r="F270" s="1">
        <v>30</v>
      </c>
      <c r="G270" s="1">
        <v>39.5</v>
      </c>
      <c r="H270" s="4">
        <v>80.017825486464005</v>
      </c>
      <c r="I270" s="1">
        <v>250</v>
      </c>
      <c r="J270" s="29">
        <v>210.5</v>
      </c>
      <c r="K270" s="22">
        <v>132</v>
      </c>
      <c r="L270" s="29">
        <v>135</v>
      </c>
      <c r="M270" s="5">
        <v>0.33</v>
      </c>
      <c r="N270" s="21">
        <v>0.24621851901716399</v>
      </c>
      <c r="O270" s="22">
        <v>392.3</v>
      </c>
      <c r="P270" s="22">
        <v>62.084728863716499</v>
      </c>
      <c r="Q270" s="23">
        <v>6.7418833961836497E-2</v>
      </c>
      <c r="R270" s="21">
        <v>0.74611672429443698</v>
      </c>
      <c r="S270" s="5">
        <v>0.28726286639158199</v>
      </c>
      <c r="T270" s="22">
        <v>392.3</v>
      </c>
      <c r="U270" s="22">
        <v>122</v>
      </c>
      <c r="V270" s="23">
        <v>2.8296296296296299E-2</v>
      </c>
      <c r="W270" s="21">
        <f t="shared" si="8"/>
        <v>1.3027233424585696</v>
      </c>
      <c r="X270" s="21">
        <f t="shared" si="9"/>
        <v>0.42796610169491522</v>
      </c>
      <c r="Y270" s="21">
        <v>0.87049353451994604</v>
      </c>
      <c r="Z270" s="21">
        <v>0.26657378033783402</v>
      </c>
      <c r="AA270" s="22">
        <v>392.3</v>
      </c>
      <c r="AB270" s="22">
        <v>62.084728863716499</v>
      </c>
      <c r="AC270" s="23">
        <v>6.7418833961836497E-2</v>
      </c>
      <c r="AD270" s="21">
        <v>0.80779933435707296</v>
      </c>
      <c r="AE270" s="21">
        <v>0.29484546616440799</v>
      </c>
      <c r="AF270" s="21">
        <v>0.53672967860085696</v>
      </c>
      <c r="AG270" s="22">
        <v>392.3</v>
      </c>
      <c r="AH270" s="23">
        <v>2.2700000000000001E-2</v>
      </c>
      <c r="AI270" s="21">
        <v>0.89347110958911402</v>
      </c>
    </row>
    <row r="271" spans="1:35" x14ac:dyDescent="0.25">
      <c r="A271" t="s">
        <v>82</v>
      </c>
      <c r="B271" s="1">
        <v>19.100000000000001</v>
      </c>
      <c r="C271" s="1">
        <v>2</v>
      </c>
      <c r="D271" s="3">
        <v>40</v>
      </c>
      <c r="E271" s="5">
        <v>2.9208758709847902</v>
      </c>
      <c r="F271" s="1">
        <v>30</v>
      </c>
      <c r="G271" s="1">
        <v>39.5</v>
      </c>
      <c r="H271" s="4">
        <v>80.017825486464005</v>
      </c>
      <c r="I271" s="1">
        <v>250</v>
      </c>
      <c r="J271" s="29">
        <v>210.5</v>
      </c>
      <c r="K271" s="22">
        <v>132</v>
      </c>
      <c r="L271" s="29">
        <v>135</v>
      </c>
      <c r="M271" s="5">
        <v>0.15</v>
      </c>
      <c r="N271" s="21">
        <v>0.10320712186648701</v>
      </c>
      <c r="O271" s="22">
        <v>186.07636980767299</v>
      </c>
      <c r="P271" s="22">
        <v>62.084728863716499</v>
      </c>
      <c r="Q271" s="23">
        <v>6.7418833961836497E-2</v>
      </c>
      <c r="R271" s="21">
        <v>0.68804747910991204</v>
      </c>
      <c r="S271" s="5">
        <v>0.10161972003560001</v>
      </c>
      <c r="T271" s="22">
        <v>186.07636980767299</v>
      </c>
      <c r="U271" s="22">
        <v>122</v>
      </c>
      <c r="V271" s="23">
        <v>2.8296296296296299E-2</v>
      </c>
      <c r="W271" s="21">
        <f t="shared" si="8"/>
        <v>1.3027233424585696</v>
      </c>
      <c r="X271" s="21">
        <f t="shared" si="9"/>
        <v>0.42796610169491522</v>
      </c>
      <c r="Y271" s="21">
        <v>0.67746480023733302</v>
      </c>
      <c r="Z271" s="21">
        <v>0.111739412386844</v>
      </c>
      <c r="AA271" s="22">
        <v>186.07636980767299</v>
      </c>
      <c r="AB271" s="22">
        <v>62.084728863716499</v>
      </c>
      <c r="AC271" s="23">
        <v>6.7418833961836497E-2</v>
      </c>
      <c r="AD271" s="21">
        <v>0.744929415912294</v>
      </c>
      <c r="AE271" s="21">
        <v>0.14739714796526601</v>
      </c>
      <c r="AF271" s="21">
        <v>0.13413584915294899</v>
      </c>
      <c r="AG271" s="22">
        <v>196.115958298409</v>
      </c>
      <c r="AH271" s="23">
        <v>2.2700000000000001E-2</v>
      </c>
      <c r="AI271" s="21">
        <v>0.89423899435299004</v>
      </c>
    </row>
    <row r="272" spans="1:35" x14ac:dyDescent="0.25">
      <c r="B272" s="1">
        <v>19.100000000000001</v>
      </c>
      <c r="C272" s="1">
        <v>2</v>
      </c>
      <c r="D272" s="3">
        <v>40</v>
      </c>
      <c r="E272" s="5">
        <v>2.9208758709847902</v>
      </c>
      <c r="F272" s="1">
        <v>30</v>
      </c>
      <c r="G272" s="1">
        <v>39.5</v>
      </c>
      <c r="H272" s="4">
        <v>80.017825486464005</v>
      </c>
      <c r="I272" s="1">
        <v>250</v>
      </c>
      <c r="J272" s="29">
        <v>210.5</v>
      </c>
      <c r="K272" s="22">
        <v>132</v>
      </c>
      <c r="L272" s="29">
        <v>135</v>
      </c>
      <c r="M272" s="5">
        <v>0.25</v>
      </c>
      <c r="N272" s="21">
        <v>0.15390130162990001</v>
      </c>
      <c r="O272" s="22">
        <v>259.17780080354498</v>
      </c>
      <c r="P272" s="22">
        <v>62.084728863716499</v>
      </c>
      <c r="Q272" s="23">
        <v>6.7418833961836497E-2</v>
      </c>
      <c r="R272" s="21">
        <v>0.61560520651959905</v>
      </c>
      <c r="S272" s="5">
        <v>0.16742585311812799</v>
      </c>
      <c r="T272" s="22">
        <v>259.17780080354498</v>
      </c>
      <c r="U272" s="22">
        <v>122</v>
      </c>
      <c r="V272" s="23">
        <v>2.8296296296296299E-2</v>
      </c>
      <c r="W272" s="21">
        <f t="shared" si="8"/>
        <v>1.3027233424585696</v>
      </c>
      <c r="X272" s="21">
        <f t="shared" si="9"/>
        <v>0.42796610169491522</v>
      </c>
      <c r="Y272" s="21">
        <v>0.66970341247251197</v>
      </c>
      <c r="Z272" s="21">
        <v>0.16662455747910501</v>
      </c>
      <c r="AA272" s="22">
        <v>259.17780080354498</v>
      </c>
      <c r="AB272" s="22">
        <v>62.084728863716499</v>
      </c>
      <c r="AC272" s="23">
        <v>6.7418833961836497E-2</v>
      </c>
      <c r="AD272" s="21">
        <v>0.66649822991642105</v>
      </c>
      <c r="AE272" s="21">
        <v>0.205303170380192</v>
      </c>
      <c r="AF272" s="21">
        <v>0.26023039102249301</v>
      </c>
      <c r="AG272" s="22">
        <v>273.16151334421301</v>
      </c>
      <c r="AH272" s="23">
        <v>2.2700000000000001E-2</v>
      </c>
      <c r="AI272" s="21">
        <v>0.82121268152076898</v>
      </c>
    </row>
    <row r="273" spans="1:35" x14ac:dyDescent="0.25">
      <c r="B273" s="1">
        <v>19.100000000000001</v>
      </c>
      <c r="C273" s="1">
        <v>2</v>
      </c>
      <c r="D273" s="3">
        <v>40</v>
      </c>
      <c r="E273" s="5">
        <v>2.9208758709847902</v>
      </c>
      <c r="F273" s="1">
        <v>30</v>
      </c>
      <c r="G273" s="1">
        <v>39.5</v>
      </c>
      <c r="H273" s="4">
        <v>80.017825486464005</v>
      </c>
      <c r="I273" s="1">
        <v>250</v>
      </c>
      <c r="J273" s="29">
        <v>210.5</v>
      </c>
      <c r="K273" s="22">
        <v>132</v>
      </c>
      <c r="L273" s="29">
        <v>135</v>
      </c>
      <c r="M273" s="5">
        <v>0.28000000000000003</v>
      </c>
      <c r="N273" s="21">
        <v>0.205253847364266</v>
      </c>
      <c r="O273" s="22">
        <v>333.228601033129</v>
      </c>
      <c r="P273" s="22">
        <v>62.084728863716499</v>
      </c>
      <c r="Q273" s="23">
        <v>6.7418833961836497E-2</v>
      </c>
      <c r="R273" s="21">
        <v>0.73304945487237905</v>
      </c>
      <c r="S273" s="5">
        <v>0.234086611305624</v>
      </c>
      <c r="T273" s="22">
        <v>333.228601033129</v>
      </c>
      <c r="U273" s="22">
        <v>122</v>
      </c>
      <c r="V273" s="23">
        <v>2.8296296296296299E-2</v>
      </c>
      <c r="W273" s="21">
        <f t="shared" si="8"/>
        <v>1.3027233424585696</v>
      </c>
      <c r="X273" s="21">
        <f t="shared" si="9"/>
        <v>0.42796610169491522</v>
      </c>
      <c r="Y273" s="21">
        <v>0.83602361180579998</v>
      </c>
      <c r="Z273" s="21">
        <v>0.22222249666347399</v>
      </c>
      <c r="AA273" s="22">
        <v>333.228601033129</v>
      </c>
      <c r="AB273" s="22">
        <v>62.084728863716499</v>
      </c>
      <c r="AC273" s="23">
        <v>6.7418833961836497E-2</v>
      </c>
      <c r="AD273" s="21">
        <v>0.79365177379812102</v>
      </c>
      <c r="AE273" s="21">
        <v>0.263961219060247</v>
      </c>
      <c r="AF273" s="21">
        <v>0.43017676883310102</v>
      </c>
      <c r="AG273" s="22">
        <v>351.207660013988</v>
      </c>
      <c r="AH273" s="23">
        <v>2.2700000000000001E-2</v>
      </c>
      <c r="AI273" s="21">
        <v>0.94271863950088197</v>
      </c>
    </row>
    <row r="274" spans="1:35" x14ac:dyDescent="0.25">
      <c r="A274" t="s">
        <v>83</v>
      </c>
      <c r="B274" s="1">
        <v>15.9</v>
      </c>
      <c r="C274" s="1">
        <v>2</v>
      </c>
      <c r="D274" s="3">
        <v>46</v>
      </c>
      <c r="E274" s="5">
        <v>3.3538794827423901</v>
      </c>
      <c r="F274" s="1">
        <v>30</v>
      </c>
      <c r="G274" s="1">
        <v>38</v>
      </c>
      <c r="H274" s="4">
        <v>67.684138613099094</v>
      </c>
      <c r="I274" s="1">
        <v>250</v>
      </c>
      <c r="J274" s="29">
        <v>212</v>
      </c>
      <c r="K274" s="22">
        <v>129</v>
      </c>
      <c r="L274" s="29">
        <v>117.5</v>
      </c>
      <c r="M274" s="5">
        <v>0.2</v>
      </c>
      <c r="N274" s="21">
        <v>0.247876093912795</v>
      </c>
      <c r="O274" s="22">
        <v>365.47269151625102</v>
      </c>
      <c r="P274" s="22">
        <v>97.074905867079096</v>
      </c>
      <c r="Q274" s="23">
        <v>4.35727310809325E-2</v>
      </c>
      <c r="R274" s="21">
        <v>1.2393804695639701</v>
      </c>
      <c r="S274" s="5">
        <v>0.25593185375688199</v>
      </c>
      <c r="T274" s="22">
        <v>365.47269151625102</v>
      </c>
      <c r="U274" s="22">
        <v>169</v>
      </c>
      <c r="V274" s="23">
        <v>2.2536170212766E-2</v>
      </c>
      <c r="W274" s="21">
        <f t="shared" si="8"/>
        <v>1.263311320286026</v>
      </c>
      <c r="X274" s="21">
        <f t="shared" si="9"/>
        <v>0.51446280991735538</v>
      </c>
      <c r="Y274" s="21">
        <v>1.2796592687844099</v>
      </c>
      <c r="Z274" s="21">
        <v>0.25197930642052602</v>
      </c>
      <c r="AA274" s="22">
        <v>365.47269151625102</v>
      </c>
      <c r="AB274" s="22">
        <v>97.074905867079096</v>
      </c>
      <c r="AC274" s="23">
        <v>4.35727310809325E-2</v>
      </c>
      <c r="AD274" s="21">
        <v>1.2598965321026301</v>
      </c>
      <c r="AE274" s="21">
        <v>0.28615588585613799</v>
      </c>
      <c r="AF274" s="21">
        <v>0.37406287588439802</v>
      </c>
      <c r="AG274" s="22">
        <v>384.63438359429</v>
      </c>
      <c r="AH274" s="23">
        <v>1.83E-2</v>
      </c>
      <c r="AI274" s="21">
        <v>1.4307794292806899</v>
      </c>
    </row>
    <row r="275" spans="1:35" x14ac:dyDescent="0.25">
      <c r="B275" s="1">
        <v>15.9</v>
      </c>
      <c r="C275" s="1">
        <v>2</v>
      </c>
      <c r="D275" s="3">
        <v>46</v>
      </c>
      <c r="E275" s="5">
        <v>3.3538794827423901</v>
      </c>
      <c r="F275" s="1">
        <v>30</v>
      </c>
      <c r="G275" s="1">
        <v>38</v>
      </c>
      <c r="H275" s="4">
        <v>67.684138613099094</v>
      </c>
      <c r="I275" s="1">
        <v>250</v>
      </c>
      <c r="J275" s="29">
        <v>212</v>
      </c>
      <c r="K275" s="22">
        <v>129</v>
      </c>
      <c r="L275" s="29">
        <v>117.5</v>
      </c>
      <c r="M275" s="5">
        <v>0.22</v>
      </c>
      <c r="N275" s="21">
        <v>0.269520780893451</v>
      </c>
      <c r="O275" s="22">
        <v>392.3</v>
      </c>
      <c r="P275" s="22">
        <v>97.074905867079096</v>
      </c>
      <c r="Q275" s="23">
        <v>4.35727310809325E-2</v>
      </c>
      <c r="R275" s="21">
        <v>1.2250944586065899</v>
      </c>
      <c r="S275" s="5">
        <v>0.28192769917035498</v>
      </c>
      <c r="T275" s="22">
        <v>392.3</v>
      </c>
      <c r="U275" s="22">
        <v>169</v>
      </c>
      <c r="V275" s="23">
        <v>2.2536170212766E-2</v>
      </c>
      <c r="W275" s="21">
        <f t="shared" si="8"/>
        <v>1.263311320286026</v>
      </c>
      <c r="X275" s="21">
        <f t="shared" si="9"/>
        <v>0.51446280991735538</v>
      </c>
      <c r="Y275" s="21">
        <v>1.28148954168343</v>
      </c>
      <c r="Z275" s="21">
        <v>0.27398228834178301</v>
      </c>
      <c r="AA275" s="22">
        <v>392.3</v>
      </c>
      <c r="AB275" s="22">
        <v>97.074905867079096</v>
      </c>
      <c r="AC275" s="23">
        <v>4.35727310809325E-2</v>
      </c>
      <c r="AD275" s="21">
        <v>1.2453740379172</v>
      </c>
      <c r="AE275" s="21">
        <v>0.29185886340253198</v>
      </c>
      <c r="AF275" s="21">
        <v>0.38912131038557102</v>
      </c>
      <c r="AG275" s="22">
        <v>392.3</v>
      </c>
      <c r="AH275" s="23">
        <v>1.83E-2</v>
      </c>
      <c r="AI275" s="21">
        <v>1.3266311972842399</v>
      </c>
    </row>
    <row r="276" spans="1:35" x14ac:dyDescent="0.25">
      <c r="A276" t="s">
        <v>84</v>
      </c>
      <c r="B276" s="1">
        <v>15.9</v>
      </c>
      <c r="C276" s="1">
        <v>2</v>
      </c>
      <c r="D276" s="3">
        <v>46</v>
      </c>
      <c r="E276" s="5">
        <v>3.3538794827423901</v>
      </c>
      <c r="F276" s="1">
        <v>30</v>
      </c>
      <c r="G276" s="1">
        <v>38</v>
      </c>
      <c r="H276" s="4">
        <v>67.684138613099094</v>
      </c>
      <c r="I276" s="1">
        <v>250</v>
      </c>
      <c r="J276" s="29">
        <v>212</v>
      </c>
      <c r="K276" s="22">
        <v>129</v>
      </c>
      <c r="L276" s="29">
        <v>117.5</v>
      </c>
      <c r="M276" s="5">
        <v>0.17</v>
      </c>
      <c r="N276" s="21">
        <v>0.247876093912795</v>
      </c>
      <c r="O276" s="22">
        <v>365.47269151625102</v>
      </c>
      <c r="P276" s="22">
        <v>97.074905867079096</v>
      </c>
      <c r="Q276" s="23">
        <v>4.35727310809325E-2</v>
      </c>
      <c r="R276" s="21">
        <v>1.4580946700752599</v>
      </c>
      <c r="S276" s="5">
        <v>0.25593185375688199</v>
      </c>
      <c r="T276" s="22">
        <v>365.47269151625102</v>
      </c>
      <c r="U276" s="22">
        <v>169</v>
      </c>
      <c r="V276" s="23">
        <v>2.2536170212766E-2</v>
      </c>
      <c r="W276" s="21">
        <f t="shared" si="8"/>
        <v>1.263311320286026</v>
      </c>
      <c r="X276" s="21">
        <f t="shared" si="9"/>
        <v>0.51446280991735538</v>
      </c>
      <c r="Y276" s="21">
        <v>1.5054814926875399</v>
      </c>
      <c r="Z276" s="21">
        <v>0.25197930642052602</v>
      </c>
      <c r="AA276" s="22">
        <v>365.47269151625102</v>
      </c>
      <c r="AB276" s="22">
        <v>97.074905867079096</v>
      </c>
      <c r="AC276" s="23">
        <v>4.35727310809325E-2</v>
      </c>
      <c r="AD276" s="21">
        <v>1.48223121423839</v>
      </c>
      <c r="AE276" s="21">
        <v>0.28615588585613799</v>
      </c>
      <c r="AF276" s="21">
        <v>0.37406287588439802</v>
      </c>
      <c r="AG276" s="22">
        <v>384.63438359429</v>
      </c>
      <c r="AH276" s="23">
        <v>1.83E-2</v>
      </c>
      <c r="AI276" s="21">
        <v>1.6832699168008101</v>
      </c>
    </row>
    <row r="277" spans="1:35" x14ac:dyDescent="0.25">
      <c r="B277" s="1">
        <v>15.9</v>
      </c>
      <c r="C277" s="1">
        <v>2</v>
      </c>
      <c r="D277" s="3">
        <v>46</v>
      </c>
      <c r="E277" s="5">
        <v>3.3538794827423901</v>
      </c>
      <c r="F277" s="1">
        <v>30</v>
      </c>
      <c r="G277" s="1">
        <v>38</v>
      </c>
      <c r="H277" s="4">
        <v>67.684138613099094</v>
      </c>
      <c r="I277" s="1">
        <v>250</v>
      </c>
      <c r="J277" s="29">
        <v>212</v>
      </c>
      <c r="K277" s="22">
        <v>129</v>
      </c>
      <c r="L277" s="29">
        <v>117.5</v>
      </c>
      <c r="M277" s="5">
        <v>0.21</v>
      </c>
      <c r="N277" s="21">
        <v>0.269520780893451</v>
      </c>
      <c r="O277" s="22">
        <v>392.3</v>
      </c>
      <c r="P277" s="22">
        <v>97.074905867079096</v>
      </c>
      <c r="Q277" s="23">
        <v>4.35727310809325E-2</v>
      </c>
      <c r="R277" s="21">
        <v>1.28343228996881</v>
      </c>
      <c r="S277" s="5">
        <v>0.28192769917035498</v>
      </c>
      <c r="T277" s="22">
        <v>392.3</v>
      </c>
      <c r="U277" s="22">
        <v>169</v>
      </c>
      <c r="V277" s="23">
        <v>2.2536170212766E-2</v>
      </c>
      <c r="W277" s="21">
        <f t="shared" si="8"/>
        <v>1.263311320286026</v>
      </c>
      <c r="X277" s="21">
        <f t="shared" si="9"/>
        <v>0.51446280991735538</v>
      </c>
      <c r="Y277" s="21">
        <v>1.34251285319217</v>
      </c>
      <c r="Z277" s="21">
        <v>0.27398228834178301</v>
      </c>
      <c r="AA277" s="22">
        <v>392.3</v>
      </c>
      <c r="AB277" s="22">
        <v>97.074905867079096</v>
      </c>
      <c r="AC277" s="23">
        <v>4.35727310809325E-2</v>
      </c>
      <c r="AD277" s="21">
        <v>1.3046775635323</v>
      </c>
      <c r="AE277" s="21">
        <v>0.29185886340253198</v>
      </c>
      <c r="AF277" s="21">
        <v>0.38912131038557102</v>
      </c>
      <c r="AG277" s="22">
        <v>392.3</v>
      </c>
      <c r="AH277" s="23">
        <v>1.83E-2</v>
      </c>
      <c r="AI277" s="21">
        <v>1.3898041114406301</v>
      </c>
    </row>
    <row r="278" spans="1:35" x14ac:dyDescent="0.25">
      <c r="A278" t="s">
        <v>85</v>
      </c>
      <c r="B278" s="1">
        <v>19.100000000000001</v>
      </c>
      <c r="C278" s="1">
        <v>2</v>
      </c>
      <c r="D278" s="3">
        <v>40</v>
      </c>
      <c r="E278" s="5">
        <v>3.3538794827423901</v>
      </c>
      <c r="F278" s="1">
        <v>30</v>
      </c>
      <c r="G278" s="1">
        <v>39.5</v>
      </c>
      <c r="H278" s="4">
        <v>77.918977712586099</v>
      </c>
      <c r="I278" s="1">
        <v>250</v>
      </c>
      <c r="J278" s="29">
        <v>210.5</v>
      </c>
      <c r="K278" s="22">
        <v>131</v>
      </c>
      <c r="L278" s="29">
        <v>135</v>
      </c>
      <c r="M278" s="5">
        <v>0.17</v>
      </c>
      <c r="N278" s="21">
        <v>0.12502421040515399</v>
      </c>
      <c r="O278" s="22">
        <v>221.31013180149799</v>
      </c>
      <c r="P278" s="22">
        <v>70.464093789656104</v>
      </c>
      <c r="Q278" s="23">
        <v>6.6596536025101197E-2</v>
      </c>
      <c r="R278" s="21">
        <v>0.735436531795022</v>
      </c>
      <c r="S278" s="5">
        <v>0.124185684451845</v>
      </c>
      <c r="T278" s="22">
        <v>221.31013180149799</v>
      </c>
      <c r="U278" s="22">
        <v>139</v>
      </c>
      <c r="V278" s="23">
        <v>2.8296296296296299E-2</v>
      </c>
      <c r="W278" s="21">
        <f t="shared" si="8"/>
        <v>1.2979310260134402</v>
      </c>
      <c r="X278" s="21">
        <f t="shared" si="9"/>
        <v>0.4327731092436975</v>
      </c>
      <c r="Y278" s="21">
        <v>0.73050402618732602</v>
      </c>
      <c r="Z278" s="21">
        <v>0.13495075566019701</v>
      </c>
      <c r="AA278" s="22">
        <v>221.31013180149799</v>
      </c>
      <c r="AB278" s="22">
        <v>70.464093789656104</v>
      </c>
      <c r="AC278" s="23">
        <v>6.6596536025101197E-2</v>
      </c>
      <c r="AD278" s="21">
        <v>0.79382797447174602</v>
      </c>
      <c r="AE278" s="21">
        <v>0.17597414604016501</v>
      </c>
      <c r="AF278" s="21">
        <v>0.16650607497088099</v>
      </c>
      <c r="AG278" s="22">
        <v>234.138440009325</v>
      </c>
      <c r="AH278" s="23">
        <v>2.2700000000000001E-2</v>
      </c>
      <c r="AI278" s="21">
        <v>0.97944749982871104</v>
      </c>
    </row>
    <row r="279" spans="1:35" x14ac:dyDescent="0.25">
      <c r="B279" s="1">
        <v>19.100000000000001</v>
      </c>
      <c r="C279" s="1">
        <v>2</v>
      </c>
      <c r="D279" s="3">
        <v>40</v>
      </c>
      <c r="E279" s="5">
        <v>3.3538794827423901</v>
      </c>
      <c r="F279" s="1">
        <v>30</v>
      </c>
      <c r="G279" s="1">
        <v>39.5</v>
      </c>
      <c r="H279" s="4">
        <v>77.918977712586099</v>
      </c>
      <c r="I279" s="1">
        <v>250</v>
      </c>
      <c r="J279" s="29">
        <v>210.5</v>
      </c>
      <c r="K279" s="22">
        <v>131</v>
      </c>
      <c r="L279" s="29">
        <v>135</v>
      </c>
      <c r="M279" s="5">
        <v>0.18</v>
      </c>
      <c r="N279" s="21">
        <v>0.15144280284122499</v>
      </c>
      <c r="O279" s="22">
        <v>259.14092356243799</v>
      </c>
      <c r="P279" s="22">
        <v>70.464093789656104</v>
      </c>
      <c r="Q279" s="23">
        <v>6.6596536025101197E-2</v>
      </c>
      <c r="R279" s="21">
        <v>0.84134890467347001</v>
      </c>
      <c r="S279" s="5">
        <v>0.15819691921097201</v>
      </c>
      <c r="T279" s="22">
        <v>259.14092356243799</v>
      </c>
      <c r="U279" s="22">
        <v>139</v>
      </c>
      <c r="V279" s="23">
        <v>2.8296296296296299E-2</v>
      </c>
      <c r="W279" s="21">
        <f t="shared" si="8"/>
        <v>1.2979310260134402</v>
      </c>
      <c r="X279" s="21">
        <f t="shared" si="9"/>
        <v>0.4327731092436975</v>
      </c>
      <c r="Y279" s="21">
        <v>0.87887177339429001</v>
      </c>
      <c r="Z279" s="21">
        <v>0.16346690466184299</v>
      </c>
      <c r="AA279" s="22">
        <v>259.14092356243799</v>
      </c>
      <c r="AB279" s="22">
        <v>70.464093789656104</v>
      </c>
      <c r="AC279" s="23">
        <v>6.6596536025101197E-2</v>
      </c>
      <c r="AD279" s="21">
        <v>0.90814947034357196</v>
      </c>
      <c r="AE279" s="21">
        <v>0.20605519664532099</v>
      </c>
      <c r="AF279" s="21">
        <v>0.228296626570857</v>
      </c>
      <c r="AG279" s="22">
        <v>274.162104968184</v>
      </c>
      <c r="AH279" s="23">
        <v>2.2700000000000001E-2</v>
      </c>
      <c r="AI279" s="21">
        <v>1.1447510924740101</v>
      </c>
    </row>
    <row r="280" spans="1:35" x14ac:dyDescent="0.25">
      <c r="B280" s="1">
        <v>19.100000000000001</v>
      </c>
      <c r="C280" s="1">
        <v>2</v>
      </c>
      <c r="D280" s="3">
        <v>40</v>
      </c>
      <c r="E280" s="5">
        <v>3.3538794827423901</v>
      </c>
      <c r="F280" s="1">
        <v>30</v>
      </c>
      <c r="G280" s="1">
        <v>39.5</v>
      </c>
      <c r="H280" s="4">
        <v>77.918977712586099</v>
      </c>
      <c r="I280" s="1">
        <v>250</v>
      </c>
      <c r="J280" s="29">
        <v>210.5</v>
      </c>
      <c r="K280" s="22">
        <v>131</v>
      </c>
      <c r="L280" s="29">
        <v>135</v>
      </c>
      <c r="M280" s="5">
        <v>0.2</v>
      </c>
      <c r="N280" s="21">
        <v>0.17720093046639401</v>
      </c>
      <c r="O280" s="22">
        <v>296.02594552935398</v>
      </c>
      <c r="P280" s="22">
        <v>70.464093789656104</v>
      </c>
      <c r="Q280" s="23">
        <v>6.6596536025101197E-2</v>
      </c>
      <c r="R280" s="21">
        <v>0.88600465233196901</v>
      </c>
      <c r="S280" s="5">
        <v>0.19135787310112101</v>
      </c>
      <c r="T280" s="22">
        <v>296.02594552935398</v>
      </c>
      <c r="U280" s="22">
        <v>139</v>
      </c>
      <c r="V280" s="23">
        <v>2.8296296296296299E-2</v>
      </c>
      <c r="W280" s="21">
        <f t="shared" si="8"/>
        <v>1.2979310260134402</v>
      </c>
      <c r="X280" s="21">
        <f t="shared" si="9"/>
        <v>0.4327731092436975</v>
      </c>
      <c r="Y280" s="21">
        <v>0.95678936550560301</v>
      </c>
      <c r="Z280" s="21">
        <v>0.19127014993844799</v>
      </c>
      <c r="AA280" s="22">
        <v>296.02594552935398</v>
      </c>
      <c r="AB280" s="22">
        <v>70.464093789656104</v>
      </c>
      <c r="AC280" s="23">
        <v>6.6596536025101197E-2</v>
      </c>
      <c r="AD280" s="21">
        <v>0.95635074969223999</v>
      </c>
      <c r="AE280" s="21">
        <v>0.235384220985349</v>
      </c>
      <c r="AF280" s="21">
        <v>0.29791134594970797</v>
      </c>
      <c r="AG280" s="22">
        <v>313.18517830307201</v>
      </c>
      <c r="AH280" s="23">
        <v>2.2700000000000001E-2</v>
      </c>
      <c r="AI280" s="21">
        <v>1.1769211049267401</v>
      </c>
    </row>
    <row r="281" spans="1:35" x14ac:dyDescent="0.25">
      <c r="B281" s="1">
        <v>19.100000000000001</v>
      </c>
      <c r="C281" s="1">
        <v>2</v>
      </c>
      <c r="D281" s="3">
        <v>40</v>
      </c>
      <c r="E281" s="5">
        <v>3.3538794827423901</v>
      </c>
      <c r="F281" s="1">
        <v>30</v>
      </c>
      <c r="G281" s="1">
        <v>39.5</v>
      </c>
      <c r="H281" s="4">
        <v>77.918977712586099</v>
      </c>
      <c r="I281" s="1">
        <v>250</v>
      </c>
      <c r="J281" s="29">
        <v>210.5</v>
      </c>
      <c r="K281" s="22">
        <v>131</v>
      </c>
      <c r="L281" s="29">
        <v>135</v>
      </c>
      <c r="M281" s="5">
        <v>0.2</v>
      </c>
      <c r="N281" s="21">
        <v>0.20361952290246499</v>
      </c>
      <c r="O281" s="22">
        <v>333.85673729029401</v>
      </c>
      <c r="P281" s="22">
        <v>70.464093789656104</v>
      </c>
      <c r="Q281" s="23">
        <v>6.6596536025101197E-2</v>
      </c>
      <c r="R281" s="21">
        <v>1.0180976145123199</v>
      </c>
      <c r="S281" s="5">
        <v>0.225369107860247</v>
      </c>
      <c r="T281" s="22">
        <v>333.85673729029401</v>
      </c>
      <c r="U281" s="22">
        <v>139</v>
      </c>
      <c r="V281" s="23">
        <v>2.8296296296296299E-2</v>
      </c>
      <c r="W281" s="21">
        <f t="shared" si="8"/>
        <v>1.2979310260134402</v>
      </c>
      <c r="X281" s="21">
        <f t="shared" si="9"/>
        <v>0.4327731092436975</v>
      </c>
      <c r="Y281" s="21">
        <v>1.12684553930124</v>
      </c>
      <c r="Z281" s="21">
        <v>0.21978629894009399</v>
      </c>
      <c r="AA281" s="22">
        <v>333.85673729029401</v>
      </c>
      <c r="AB281" s="22">
        <v>70.464093789656104</v>
      </c>
      <c r="AC281" s="23">
        <v>6.6596536025101197E-2</v>
      </c>
      <c r="AD281" s="21">
        <v>1.09893149470047</v>
      </c>
      <c r="AE281" s="21">
        <v>0.26546527159050498</v>
      </c>
      <c r="AF281" s="21">
        <v>0.37892021871660603</v>
      </c>
      <c r="AG281" s="22">
        <v>353.20884326193101</v>
      </c>
      <c r="AH281" s="23">
        <v>2.2700000000000001E-2</v>
      </c>
      <c r="AI281" s="21">
        <v>1.3273263579525201</v>
      </c>
    </row>
    <row r="282" spans="1:35" x14ac:dyDescent="0.25">
      <c r="B282" s="1">
        <v>19.100000000000001</v>
      </c>
      <c r="C282" s="1">
        <v>2</v>
      </c>
      <c r="D282" s="3">
        <v>40</v>
      </c>
      <c r="E282" s="5">
        <v>3.3538794827423901</v>
      </c>
      <c r="F282" s="1">
        <v>30</v>
      </c>
      <c r="G282" s="1">
        <v>39.5</v>
      </c>
      <c r="H282" s="4">
        <v>77.918977712586099</v>
      </c>
      <c r="I282" s="1">
        <v>250</v>
      </c>
      <c r="J282" s="29">
        <v>210.5</v>
      </c>
      <c r="K282" s="22">
        <v>131</v>
      </c>
      <c r="L282" s="29">
        <v>135</v>
      </c>
      <c r="M282" s="5">
        <v>0.25</v>
      </c>
      <c r="N282" s="21">
        <v>0.228717185716732</v>
      </c>
      <c r="O282" s="22">
        <v>369.79598946318703</v>
      </c>
      <c r="P282" s="22">
        <v>70.464093789656104</v>
      </c>
      <c r="Q282" s="23">
        <v>6.6596536025101197E-2</v>
      </c>
      <c r="R282" s="21">
        <v>0.91486874286692799</v>
      </c>
      <c r="S282" s="5">
        <v>0.25767978088141802</v>
      </c>
      <c r="T282" s="22">
        <v>369.79598946318703</v>
      </c>
      <c r="U282" s="22">
        <v>139</v>
      </c>
      <c r="V282" s="23">
        <v>2.8296296296296299E-2</v>
      </c>
      <c r="W282" s="21">
        <f t="shared" si="8"/>
        <v>1.2979310260134402</v>
      </c>
      <c r="X282" s="21">
        <f t="shared" si="9"/>
        <v>0.4327731092436975</v>
      </c>
      <c r="Y282" s="21">
        <v>1.0307191235256701</v>
      </c>
      <c r="Z282" s="21">
        <v>0.246876640491658</v>
      </c>
      <c r="AA282" s="22">
        <v>369.79598946318703</v>
      </c>
      <c r="AB282" s="22">
        <v>70.464093789656104</v>
      </c>
      <c r="AC282" s="23">
        <v>6.6596536025101197E-2</v>
      </c>
      <c r="AD282" s="21">
        <v>0.987506561966632</v>
      </c>
      <c r="AE282" s="21">
        <v>0.29404226966540398</v>
      </c>
      <c r="AF282" s="21">
        <v>0.46489179720255702</v>
      </c>
      <c r="AG282" s="22">
        <v>391.23132497284701</v>
      </c>
      <c r="AH282" s="23">
        <v>2.2700000000000001E-2</v>
      </c>
      <c r="AI282" s="21">
        <v>1.1761690786616099</v>
      </c>
    </row>
    <row r="283" spans="1:35" x14ac:dyDescent="0.25">
      <c r="B283" s="1">
        <v>19.100000000000001</v>
      </c>
      <c r="C283" s="1">
        <v>2</v>
      </c>
      <c r="D283" s="3">
        <v>40</v>
      </c>
      <c r="E283" s="5">
        <v>3.3538794827423901</v>
      </c>
      <c r="F283" s="1">
        <v>30</v>
      </c>
      <c r="G283" s="1">
        <v>39.5</v>
      </c>
      <c r="H283" s="4">
        <v>77.918977712586099</v>
      </c>
      <c r="I283" s="1">
        <v>250</v>
      </c>
      <c r="J283" s="29">
        <v>210.5</v>
      </c>
      <c r="K283" s="22">
        <v>131</v>
      </c>
      <c r="L283" s="29">
        <v>135</v>
      </c>
      <c r="M283" s="5">
        <v>0.27</v>
      </c>
      <c r="N283" s="21">
        <v>0.24443253966190001</v>
      </c>
      <c r="O283" s="22">
        <v>392.3</v>
      </c>
      <c r="P283" s="22">
        <v>70.464093789656104</v>
      </c>
      <c r="Q283" s="23">
        <v>6.6596536025101197E-2</v>
      </c>
      <c r="R283" s="21">
        <v>0.90530570245148001</v>
      </c>
      <c r="S283" s="5">
        <v>0.27791169117888298</v>
      </c>
      <c r="T283" s="22">
        <v>392.3</v>
      </c>
      <c r="U283" s="22">
        <v>139</v>
      </c>
      <c r="V283" s="23">
        <v>2.8296296296296299E-2</v>
      </c>
      <c r="W283" s="21">
        <f t="shared" si="8"/>
        <v>1.2979310260134402</v>
      </c>
      <c r="X283" s="21">
        <f t="shared" si="9"/>
        <v>0.4327731092436975</v>
      </c>
      <c r="Y283" s="21">
        <v>1.02930255992179</v>
      </c>
      <c r="Z283" s="21">
        <v>0.26383974614531602</v>
      </c>
      <c r="AA283" s="22">
        <v>392.3</v>
      </c>
      <c r="AB283" s="22">
        <v>70.464093789656104</v>
      </c>
      <c r="AC283" s="23">
        <v>6.6596536025101197E-2</v>
      </c>
      <c r="AD283" s="21">
        <v>0.97718424498265299</v>
      </c>
      <c r="AE283" s="21">
        <v>0.29484546616440799</v>
      </c>
      <c r="AF283" s="21">
        <v>0.46743503323046598</v>
      </c>
      <c r="AG283" s="22">
        <v>392.3</v>
      </c>
      <c r="AH283" s="23">
        <v>2.2700000000000001E-2</v>
      </c>
      <c r="AI283" s="21">
        <v>1.09202024505336</v>
      </c>
    </row>
    <row r="284" spans="1:35" x14ac:dyDescent="0.25">
      <c r="A284" t="s">
        <v>86</v>
      </c>
      <c r="B284" s="1">
        <v>19.100000000000001</v>
      </c>
      <c r="C284" s="1">
        <v>2</v>
      </c>
      <c r="D284" s="3">
        <v>40</v>
      </c>
      <c r="E284" s="5">
        <v>3.3538794827423901</v>
      </c>
      <c r="F284" s="1">
        <v>30</v>
      </c>
      <c r="G284" s="1">
        <v>39.5</v>
      </c>
      <c r="H284" s="4">
        <v>77.918977712586099</v>
      </c>
      <c r="I284" s="1">
        <v>250</v>
      </c>
      <c r="J284" s="29">
        <v>210.5</v>
      </c>
      <c r="K284" s="22">
        <v>131</v>
      </c>
      <c r="L284" s="29">
        <v>135</v>
      </c>
      <c r="M284" s="5">
        <v>0.18</v>
      </c>
      <c r="N284" s="21">
        <v>0.17720093046639401</v>
      </c>
      <c r="O284" s="22">
        <v>296.02594552935398</v>
      </c>
      <c r="P284" s="22">
        <v>70.464093789656104</v>
      </c>
      <c r="Q284" s="23">
        <v>6.6596536025101197E-2</v>
      </c>
      <c r="R284" s="21">
        <v>0.98444961370218698</v>
      </c>
      <c r="S284" s="5">
        <v>0.19135787310112101</v>
      </c>
      <c r="T284" s="22">
        <v>296.02594552935398</v>
      </c>
      <c r="U284" s="22">
        <v>139</v>
      </c>
      <c r="V284" s="23">
        <v>2.8296296296296299E-2</v>
      </c>
      <c r="W284" s="21">
        <f t="shared" si="8"/>
        <v>1.2979310260134402</v>
      </c>
      <c r="X284" s="21">
        <f t="shared" si="9"/>
        <v>0.4327731092436975</v>
      </c>
      <c r="Y284" s="21">
        <v>1.0630992950062299</v>
      </c>
      <c r="Z284" s="21">
        <v>0.19127014993844799</v>
      </c>
      <c r="AA284" s="22">
        <v>296.02594552935398</v>
      </c>
      <c r="AB284" s="22">
        <v>70.464093789656104</v>
      </c>
      <c r="AC284" s="23">
        <v>6.6596536025101197E-2</v>
      </c>
      <c r="AD284" s="21">
        <v>1.0626119441024899</v>
      </c>
      <c r="AE284" s="21">
        <v>0.235384220985349</v>
      </c>
      <c r="AF284" s="21">
        <v>0.29791134594970797</v>
      </c>
      <c r="AG284" s="22">
        <v>313.18517830307201</v>
      </c>
      <c r="AH284" s="23">
        <v>2.2700000000000001E-2</v>
      </c>
      <c r="AI284" s="21">
        <v>1.3076901165852699</v>
      </c>
    </row>
    <row r="285" spans="1:35" x14ac:dyDescent="0.25">
      <c r="B285" s="1">
        <v>19.100000000000001</v>
      </c>
      <c r="C285" s="1">
        <v>2</v>
      </c>
      <c r="D285" s="3">
        <v>40</v>
      </c>
      <c r="E285" s="5">
        <v>3.3538794827423901</v>
      </c>
      <c r="F285" s="1">
        <v>30</v>
      </c>
      <c r="G285" s="1">
        <v>39.5</v>
      </c>
      <c r="H285" s="4">
        <v>77.918977712586099</v>
      </c>
      <c r="I285" s="1">
        <v>250</v>
      </c>
      <c r="J285" s="29">
        <v>210.5</v>
      </c>
      <c r="K285" s="22">
        <v>131</v>
      </c>
      <c r="L285" s="29">
        <v>135</v>
      </c>
      <c r="M285" s="5">
        <v>0.19</v>
      </c>
      <c r="N285" s="21">
        <v>0.20229859328066099</v>
      </c>
      <c r="O285" s="22">
        <v>331.965197702247</v>
      </c>
      <c r="P285" s="22">
        <v>70.464093789656104</v>
      </c>
      <c r="Q285" s="23">
        <v>6.6596536025101197E-2</v>
      </c>
      <c r="R285" s="21">
        <v>1.06472943831927</v>
      </c>
      <c r="S285" s="5">
        <v>0.22366854612229101</v>
      </c>
      <c r="T285" s="22">
        <v>331.965197702247</v>
      </c>
      <c r="U285" s="22">
        <v>139</v>
      </c>
      <c r="V285" s="23">
        <v>2.8296296296296299E-2</v>
      </c>
      <c r="W285" s="21">
        <f t="shared" si="8"/>
        <v>1.2979310260134402</v>
      </c>
      <c r="X285" s="21">
        <f t="shared" si="9"/>
        <v>0.4327731092436975</v>
      </c>
      <c r="Y285" s="21">
        <v>1.17720287432785</v>
      </c>
      <c r="Z285" s="21">
        <v>0.21836049149001199</v>
      </c>
      <c r="AA285" s="22">
        <v>331.965197702247</v>
      </c>
      <c r="AB285" s="22">
        <v>70.464093789656104</v>
      </c>
      <c r="AC285" s="23">
        <v>6.6596536025101197E-2</v>
      </c>
      <c r="AD285" s="21">
        <v>1.14926574468427</v>
      </c>
      <c r="AE285" s="21">
        <v>0.263961219060247</v>
      </c>
      <c r="AF285" s="21">
        <v>0.37463866868448198</v>
      </c>
      <c r="AG285" s="22">
        <v>351.207660013988</v>
      </c>
      <c r="AH285" s="23">
        <v>2.2700000000000001E-2</v>
      </c>
      <c r="AI285" s="21">
        <v>1.3892695740012999</v>
      </c>
    </row>
    <row r="286" spans="1:35" x14ac:dyDescent="0.25">
      <c r="B286" s="1">
        <v>19.100000000000001</v>
      </c>
      <c r="C286" s="1">
        <v>2</v>
      </c>
      <c r="D286" s="3">
        <v>40</v>
      </c>
      <c r="E286" s="5">
        <v>3.3538794827423901</v>
      </c>
      <c r="F286" s="1">
        <v>30</v>
      </c>
      <c r="G286" s="1">
        <v>39.5</v>
      </c>
      <c r="H286" s="4">
        <v>77.918977712586099</v>
      </c>
      <c r="I286" s="1">
        <v>250</v>
      </c>
      <c r="J286" s="29">
        <v>210.5</v>
      </c>
      <c r="K286" s="22">
        <v>131</v>
      </c>
      <c r="L286" s="29">
        <v>135</v>
      </c>
      <c r="M286" s="5">
        <v>0.21</v>
      </c>
      <c r="N286" s="21">
        <v>0.228717185716732</v>
      </c>
      <c r="O286" s="22">
        <v>369.79598946318703</v>
      </c>
      <c r="P286" s="22">
        <v>70.464093789656104</v>
      </c>
      <c r="Q286" s="23">
        <v>6.6596536025101197E-2</v>
      </c>
      <c r="R286" s="21">
        <v>1.0891294557939599</v>
      </c>
      <c r="S286" s="5">
        <v>0.25767978088141802</v>
      </c>
      <c r="T286" s="22">
        <v>369.79598946318703</v>
      </c>
      <c r="U286" s="22">
        <v>139</v>
      </c>
      <c r="V286" s="23">
        <v>2.8296296296296299E-2</v>
      </c>
      <c r="W286" s="21">
        <f t="shared" si="8"/>
        <v>1.2979310260134402</v>
      </c>
      <c r="X286" s="21">
        <f t="shared" si="9"/>
        <v>0.4327731092436975</v>
      </c>
      <c r="Y286" s="21">
        <v>1.2270465756258</v>
      </c>
      <c r="Z286" s="21">
        <v>0.246876640491658</v>
      </c>
      <c r="AA286" s="22">
        <v>369.79598946318703</v>
      </c>
      <c r="AB286" s="22">
        <v>70.464093789656104</v>
      </c>
      <c r="AC286" s="23">
        <v>6.6596536025101197E-2</v>
      </c>
      <c r="AD286" s="21">
        <v>1.1756030499602801</v>
      </c>
      <c r="AE286" s="21">
        <v>0.29404226966540398</v>
      </c>
      <c r="AF286" s="21">
        <v>0.46489179720255702</v>
      </c>
      <c r="AG286" s="22">
        <v>391.23132497284701</v>
      </c>
      <c r="AH286" s="23">
        <v>2.2700000000000001E-2</v>
      </c>
      <c r="AI286" s="21">
        <v>1.4002012841209699</v>
      </c>
    </row>
    <row r="287" spans="1:35" x14ac:dyDescent="0.25">
      <c r="B287" s="1">
        <v>19.100000000000001</v>
      </c>
      <c r="C287" s="1">
        <v>2</v>
      </c>
      <c r="D287" s="3">
        <v>40</v>
      </c>
      <c r="E287" s="5">
        <v>3.3538794827423901</v>
      </c>
      <c r="F287" s="1">
        <v>30</v>
      </c>
      <c r="G287" s="1">
        <v>39.5</v>
      </c>
      <c r="H287" s="4">
        <v>77.918977712586099</v>
      </c>
      <c r="I287" s="1">
        <v>250</v>
      </c>
      <c r="J287" s="29">
        <v>210.5</v>
      </c>
      <c r="K287" s="22">
        <v>131</v>
      </c>
      <c r="L287" s="29">
        <v>135</v>
      </c>
      <c r="M287" s="5">
        <v>0.26</v>
      </c>
      <c r="N287" s="21">
        <v>0.24443253966190001</v>
      </c>
      <c r="O287" s="22">
        <v>392.3</v>
      </c>
      <c r="P287" s="22">
        <v>70.464093789656104</v>
      </c>
      <c r="Q287" s="23">
        <v>6.6596536025101197E-2</v>
      </c>
      <c r="R287" s="21">
        <v>0.94012515254576801</v>
      </c>
      <c r="S287" s="5">
        <v>0.27791169117888298</v>
      </c>
      <c r="T287" s="22">
        <v>392.3</v>
      </c>
      <c r="U287" s="22">
        <v>139</v>
      </c>
      <c r="V287" s="23">
        <v>2.8296296296296299E-2</v>
      </c>
      <c r="W287" s="21">
        <f t="shared" si="8"/>
        <v>1.2979310260134402</v>
      </c>
      <c r="X287" s="21">
        <f t="shared" si="9"/>
        <v>0.4327731092436975</v>
      </c>
      <c r="Y287" s="21">
        <v>1.0688911199187801</v>
      </c>
      <c r="Z287" s="21">
        <v>0.26383974614531602</v>
      </c>
      <c r="AA287" s="22">
        <v>392.3</v>
      </c>
      <c r="AB287" s="22">
        <v>70.464093789656104</v>
      </c>
      <c r="AC287" s="23">
        <v>6.6596536025101197E-2</v>
      </c>
      <c r="AD287" s="21">
        <v>1.01476825440506</v>
      </c>
      <c r="AE287" s="21">
        <v>0.29484546616440799</v>
      </c>
      <c r="AF287" s="21">
        <v>0.46743503323046598</v>
      </c>
      <c r="AG287" s="22">
        <v>392.3</v>
      </c>
      <c r="AH287" s="23">
        <v>2.2700000000000001E-2</v>
      </c>
      <c r="AI287" s="21">
        <v>1.1340210237092601</v>
      </c>
    </row>
    <row r="288" spans="1:35" x14ac:dyDescent="0.25">
      <c r="A288" t="s">
        <v>87</v>
      </c>
      <c r="B288" s="1">
        <v>19.100000000000001</v>
      </c>
      <c r="C288" s="1">
        <v>2</v>
      </c>
      <c r="D288" s="3">
        <v>69.8</v>
      </c>
      <c r="E288" s="5">
        <v>2.9003288251790802</v>
      </c>
      <c r="F288" s="1">
        <v>31.8</v>
      </c>
      <c r="G288" s="1">
        <v>41.4</v>
      </c>
      <c r="H288" s="4">
        <v>105.951899677992</v>
      </c>
      <c r="I288" s="1">
        <v>381</v>
      </c>
      <c r="J288" s="29">
        <v>339.6</v>
      </c>
      <c r="K288" s="22">
        <v>198</v>
      </c>
      <c r="L288" s="29">
        <v>136.9</v>
      </c>
      <c r="M288" s="5">
        <v>0.17</v>
      </c>
      <c r="N288" s="21">
        <v>0.144612644411651</v>
      </c>
      <c r="O288" s="22">
        <v>203.022493137384</v>
      </c>
      <c r="P288" s="22">
        <v>90.040564758391</v>
      </c>
      <c r="Q288" s="23">
        <v>4.0651443689720498E-2</v>
      </c>
      <c r="R288" s="21">
        <v>0.85066261418618505</v>
      </c>
      <c r="S288" s="5">
        <v>0.13127422971881</v>
      </c>
      <c r="T288" s="22">
        <v>203.022493137384</v>
      </c>
      <c r="U288" s="22">
        <v>125</v>
      </c>
      <c r="V288" s="23">
        <v>2.72245005166903E-2</v>
      </c>
      <c r="W288" s="21">
        <f t="shared" si="8"/>
        <v>1.1771895424912231</v>
      </c>
      <c r="X288" s="21">
        <f t="shared" si="9"/>
        <v>0.62595628415300542</v>
      </c>
      <c r="Y288" s="21">
        <v>0.77220135128711997</v>
      </c>
      <c r="Z288" s="21">
        <v>0.140053915791155</v>
      </c>
      <c r="AA288" s="22">
        <v>203.022493137384</v>
      </c>
      <c r="AB288" s="22">
        <v>90.040564758391</v>
      </c>
      <c r="AC288" s="23">
        <v>4.0651443689720498E-2</v>
      </c>
      <c r="AD288" s="21">
        <v>0.82384656347738205</v>
      </c>
      <c r="AE288" s="21">
        <v>0.17419711219546</v>
      </c>
      <c r="AF288" s="21">
        <v>0.15865517662423101</v>
      </c>
      <c r="AG288" s="22">
        <v>212.537072996576</v>
      </c>
      <c r="AH288" s="23">
        <v>2.0400000000000001E-2</v>
      </c>
      <c r="AI288" s="21">
        <v>0.93326574484841895</v>
      </c>
    </row>
    <row r="289" spans="1:35" x14ac:dyDescent="0.25">
      <c r="B289" s="1">
        <v>19.100000000000001</v>
      </c>
      <c r="C289" s="1">
        <v>2</v>
      </c>
      <c r="D289" s="3">
        <v>69.8</v>
      </c>
      <c r="E289" s="5">
        <v>2.9003288251790802</v>
      </c>
      <c r="F289" s="1">
        <v>31.8</v>
      </c>
      <c r="G289" s="1">
        <v>41.4</v>
      </c>
      <c r="H289" s="4">
        <v>105.951899677992</v>
      </c>
      <c r="I289" s="1">
        <v>381</v>
      </c>
      <c r="J289" s="29">
        <v>339.6</v>
      </c>
      <c r="K289" s="22">
        <v>198</v>
      </c>
      <c r="L289" s="29">
        <v>136.9</v>
      </c>
      <c r="M289" s="5">
        <v>0.23</v>
      </c>
      <c r="N289" s="21">
        <v>0.184869531379248</v>
      </c>
      <c r="O289" s="22">
        <v>244.50020678910701</v>
      </c>
      <c r="P289" s="22">
        <v>90.040564758391</v>
      </c>
      <c r="Q289" s="23">
        <v>4.0651443689720498E-2</v>
      </c>
      <c r="R289" s="21">
        <v>0.80378057121412005</v>
      </c>
      <c r="S289" s="5">
        <v>0.17385097621224299</v>
      </c>
      <c r="T289" s="22">
        <v>244.50020678910701</v>
      </c>
      <c r="U289" s="22">
        <v>125</v>
      </c>
      <c r="V289" s="23">
        <v>2.72245005166903E-2</v>
      </c>
      <c r="W289" s="21">
        <f t="shared" si="8"/>
        <v>1.1771895424912231</v>
      </c>
      <c r="X289" s="21">
        <f t="shared" si="9"/>
        <v>0.62595628415300542</v>
      </c>
      <c r="Y289" s="21">
        <v>0.75587380961844797</v>
      </c>
      <c r="Z289" s="21">
        <v>0.179041755895402</v>
      </c>
      <c r="AA289" s="22">
        <v>244.50020678910701</v>
      </c>
      <c r="AB289" s="22">
        <v>90.040564758391</v>
      </c>
      <c r="AC289" s="23">
        <v>4.0651443689720498E-2</v>
      </c>
      <c r="AD289" s="21">
        <v>0.77844241693652905</v>
      </c>
      <c r="AE289" s="21">
        <v>0.20978576952571501</v>
      </c>
      <c r="AF289" s="21">
        <v>0.23010412019590201</v>
      </c>
      <c r="AG289" s="22">
        <v>255.95862554426401</v>
      </c>
      <c r="AH289" s="23">
        <v>2.0400000000000001E-2</v>
      </c>
      <c r="AI289" s="21">
        <v>0.91211204141615299</v>
      </c>
    </row>
    <row r="290" spans="1:35" x14ac:dyDescent="0.25">
      <c r="B290" s="1">
        <v>19.100000000000001</v>
      </c>
      <c r="C290" s="1">
        <v>2</v>
      </c>
      <c r="D290" s="3">
        <v>69.8</v>
      </c>
      <c r="E290" s="5">
        <v>2.9003288251790802</v>
      </c>
      <c r="F290" s="1">
        <v>31.8</v>
      </c>
      <c r="G290" s="1">
        <v>41.4</v>
      </c>
      <c r="H290" s="4">
        <v>105.951899677992</v>
      </c>
      <c r="I290" s="1">
        <v>381</v>
      </c>
      <c r="J290" s="29">
        <v>339.6</v>
      </c>
      <c r="K290" s="22">
        <v>198</v>
      </c>
      <c r="L290" s="29">
        <v>136.9</v>
      </c>
      <c r="M290" s="5">
        <v>0.27</v>
      </c>
      <c r="N290" s="21">
        <v>0.21524806786224099</v>
      </c>
      <c r="O290" s="22">
        <v>275.8</v>
      </c>
      <c r="P290" s="22">
        <v>90.040564758391</v>
      </c>
      <c r="Q290" s="23">
        <v>4.0651443689720498E-2</v>
      </c>
      <c r="R290" s="21">
        <v>0.79721506615644999</v>
      </c>
      <c r="S290" s="5">
        <v>0.205980118431288</v>
      </c>
      <c r="T290" s="22">
        <v>275.8</v>
      </c>
      <c r="U290" s="22">
        <v>125</v>
      </c>
      <c r="V290" s="23">
        <v>2.72245005166903E-2</v>
      </c>
      <c r="W290" s="21">
        <f t="shared" si="8"/>
        <v>1.1771895424912231</v>
      </c>
      <c r="X290" s="21">
        <f t="shared" si="9"/>
        <v>0.62595628415300542</v>
      </c>
      <c r="Y290" s="21">
        <v>0.76288932752328897</v>
      </c>
      <c r="Z290" s="21">
        <v>0.20846264787727101</v>
      </c>
      <c r="AA290" s="22">
        <v>275.8</v>
      </c>
      <c r="AB290" s="22">
        <v>90.040564758391</v>
      </c>
      <c r="AC290" s="23">
        <v>4.0651443689720498E-2</v>
      </c>
      <c r="AD290" s="21">
        <v>0.77208388102693104</v>
      </c>
      <c r="AE290" s="21">
        <v>0.22604792126916101</v>
      </c>
      <c r="AF290" s="21">
        <v>0.26716119659943099</v>
      </c>
      <c r="AG290" s="22">
        <v>275.8</v>
      </c>
      <c r="AH290" s="23">
        <v>2.0400000000000001E-2</v>
      </c>
      <c r="AI290" s="21">
        <v>0.83721452321911305</v>
      </c>
    </row>
    <row r="291" spans="1:35" x14ac:dyDescent="0.25">
      <c r="A291" t="s">
        <v>88</v>
      </c>
      <c r="B291" s="1">
        <v>19.100000000000001</v>
      </c>
      <c r="C291" s="1">
        <v>2</v>
      </c>
      <c r="D291" s="3">
        <v>69.8</v>
      </c>
      <c r="E291" s="5">
        <v>2.8466918957142102</v>
      </c>
      <c r="F291" s="1">
        <v>31.8</v>
      </c>
      <c r="G291" s="1">
        <v>41.4</v>
      </c>
      <c r="H291" s="4">
        <v>106.355513236104</v>
      </c>
      <c r="I291" s="1">
        <v>381</v>
      </c>
      <c r="J291" s="29">
        <v>339.6</v>
      </c>
      <c r="K291" s="22">
        <v>198</v>
      </c>
      <c r="L291" s="29">
        <v>136.9</v>
      </c>
      <c r="M291" s="5">
        <v>0.16</v>
      </c>
      <c r="N291" s="21">
        <v>0.21596411355973399</v>
      </c>
      <c r="O291" s="22">
        <v>275.8</v>
      </c>
      <c r="P291" s="22">
        <v>88.444703371293997</v>
      </c>
      <c r="Q291" s="23">
        <v>4.0711184462321998E-2</v>
      </c>
      <c r="R291" s="21">
        <v>1.34977570974834</v>
      </c>
      <c r="S291" s="5">
        <v>0.20732569988657901</v>
      </c>
      <c r="T291" s="22">
        <v>275.8</v>
      </c>
      <c r="U291" s="22">
        <v>123</v>
      </c>
      <c r="V291" s="23">
        <v>2.72245005166903E-2</v>
      </c>
      <c r="W291" s="21">
        <f t="shared" si="8"/>
        <v>1.1774961568198075</v>
      </c>
      <c r="X291" s="21">
        <f t="shared" si="9"/>
        <v>0.62595628415300542</v>
      </c>
      <c r="Y291" s="21">
        <v>1.2957856242911201</v>
      </c>
      <c r="Z291" s="21">
        <v>0.20923215334782899</v>
      </c>
      <c r="AA291" s="22">
        <v>275.8</v>
      </c>
      <c r="AB291" s="22">
        <v>88.444703371293997</v>
      </c>
      <c r="AC291" s="23">
        <v>4.0711184462321998E-2</v>
      </c>
      <c r="AD291" s="21">
        <v>1.3077009584239301</v>
      </c>
      <c r="AE291" s="21">
        <v>0.22604792126916101</v>
      </c>
      <c r="AF291" s="21">
        <v>0.27219500664376001</v>
      </c>
      <c r="AG291" s="22">
        <v>276</v>
      </c>
      <c r="AH291" s="23">
        <v>2.0400000000000001E-2</v>
      </c>
      <c r="AI291" s="21">
        <v>1.41279950793225</v>
      </c>
    </row>
    <row r="292" spans="1:35" x14ac:dyDescent="0.25">
      <c r="A292" t="s">
        <v>89</v>
      </c>
      <c r="B292" s="1">
        <v>19.100000000000001</v>
      </c>
      <c r="C292" s="1">
        <v>2</v>
      </c>
      <c r="D292" s="3">
        <v>69.8</v>
      </c>
      <c r="E292" s="5">
        <v>2.7113214734883302</v>
      </c>
      <c r="F292" s="1">
        <v>38.200000000000003</v>
      </c>
      <c r="G292" s="1">
        <v>47.7</v>
      </c>
      <c r="H292" s="4">
        <v>106.225416011626</v>
      </c>
      <c r="I292" s="1">
        <v>381</v>
      </c>
      <c r="J292" s="29">
        <v>333.3</v>
      </c>
      <c r="K292" s="22">
        <v>198</v>
      </c>
      <c r="L292" s="29">
        <v>143.19999999999999</v>
      </c>
      <c r="M292" s="5">
        <v>0.16</v>
      </c>
      <c r="N292" s="21">
        <v>0.20566966214226401</v>
      </c>
      <c r="O292" s="22">
        <v>249.74588434606099</v>
      </c>
      <c r="P292" s="22">
        <v>84.705385292096395</v>
      </c>
      <c r="Q292" s="23">
        <v>4.0691908981937697E-2</v>
      </c>
      <c r="R292" s="21">
        <v>1.2854353883891501</v>
      </c>
      <c r="S292" s="5">
        <v>0.205276239077366</v>
      </c>
      <c r="T292" s="22">
        <v>249.74588434606099</v>
      </c>
      <c r="U292" s="22">
        <v>122</v>
      </c>
      <c r="V292" s="23">
        <v>2.6026774586137599E-2</v>
      </c>
      <c r="W292" s="21">
        <f t="shared" si="8"/>
        <v>1.2100631394416304</v>
      </c>
      <c r="X292" s="21">
        <f t="shared" si="9"/>
        <v>0.60874316939890716</v>
      </c>
      <c r="Y292" s="21">
        <v>1.28297649423354</v>
      </c>
      <c r="Z292" s="21">
        <v>0.20854527065130199</v>
      </c>
      <c r="AA292" s="22">
        <v>249.74588434606099</v>
      </c>
      <c r="AB292" s="22">
        <v>84.705385292096395</v>
      </c>
      <c r="AC292" s="23">
        <v>4.0691908981937697E-2</v>
      </c>
      <c r="AD292" s="21">
        <v>1.3034079415706401</v>
      </c>
      <c r="AE292" s="21">
        <v>0.22003184339839599</v>
      </c>
      <c r="AF292" s="21">
        <v>0.25612342439380897</v>
      </c>
      <c r="AG292" s="22">
        <v>261.09533306287801</v>
      </c>
      <c r="AH292" s="23">
        <v>1.9699999999999999E-2</v>
      </c>
      <c r="AI292" s="21">
        <v>1.3751990212399701</v>
      </c>
    </row>
    <row r="293" spans="1:35" x14ac:dyDescent="0.25">
      <c r="B293" s="1">
        <v>19.100000000000001</v>
      </c>
      <c r="C293" s="1">
        <v>2</v>
      </c>
      <c r="D293" s="3">
        <v>69.8</v>
      </c>
      <c r="E293" s="5">
        <v>2.7113214734883302</v>
      </c>
      <c r="F293" s="1">
        <v>38.200000000000003</v>
      </c>
      <c r="G293" s="1">
        <v>47.7</v>
      </c>
      <c r="H293" s="4">
        <v>106.225416011626</v>
      </c>
      <c r="I293" s="1">
        <v>381</v>
      </c>
      <c r="J293" s="29">
        <v>333.3</v>
      </c>
      <c r="K293" s="22">
        <v>198</v>
      </c>
      <c r="L293" s="29">
        <v>143.19999999999999</v>
      </c>
      <c r="M293" s="5">
        <v>0.2</v>
      </c>
      <c r="N293" s="21">
        <v>0.232607474797317</v>
      </c>
      <c r="O293" s="22">
        <v>275.8</v>
      </c>
      <c r="P293" s="22">
        <v>84.705385292096395</v>
      </c>
      <c r="Q293" s="23">
        <v>4.0691908981937697E-2</v>
      </c>
      <c r="R293" s="21">
        <v>1.16303737398658</v>
      </c>
      <c r="S293" s="5">
        <v>0.23559597544973301</v>
      </c>
      <c r="T293" s="22">
        <v>275.8</v>
      </c>
      <c r="U293" s="22">
        <v>122</v>
      </c>
      <c r="V293" s="23">
        <v>2.6026774586137599E-2</v>
      </c>
      <c r="W293" s="21">
        <f t="shared" si="8"/>
        <v>1.2100631394416304</v>
      </c>
      <c r="X293" s="21">
        <f t="shared" si="9"/>
        <v>0.60874316939890716</v>
      </c>
      <c r="Y293" s="21">
        <v>1.17797987724867</v>
      </c>
      <c r="Z293" s="21">
        <v>0.23585971932782199</v>
      </c>
      <c r="AA293" s="22">
        <v>275.8</v>
      </c>
      <c r="AB293" s="22">
        <v>84.705385292096395</v>
      </c>
      <c r="AC293" s="23">
        <v>4.0691908981937697E-2</v>
      </c>
      <c r="AD293" s="21">
        <v>1.1792985966391101</v>
      </c>
      <c r="AE293" s="21">
        <v>0.23242384954718101</v>
      </c>
      <c r="AF293" s="21">
        <v>0.28578511513419103</v>
      </c>
      <c r="AG293" s="22">
        <v>275.8</v>
      </c>
      <c r="AH293" s="23">
        <v>1.9699999999999999E-2</v>
      </c>
      <c r="AI293" s="21">
        <v>1.1621192477359099</v>
      </c>
    </row>
    <row r="294" spans="1:35" x14ac:dyDescent="0.25">
      <c r="A294" t="s">
        <v>90</v>
      </c>
      <c r="B294" s="1">
        <v>22.2</v>
      </c>
      <c r="C294" s="1">
        <v>2</v>
      </c>
      <c r="D294" s="3">
        <v>63.6</v>
      </c>
      <c r="E294" s="5">
        <v>2.6879866270061701</v>
      </c>
      <c r="F294" s="1">
        <v>12.8</v>
      </c>
      <c r="G294" s="1">
        <v>23.9</v>
      </c>
      <c r="H294" s="4">
        <v>125.501027414761</v>
      </c>
      <c r="I294" s="1">
        <v>381</v>
      </c>
      <c r="J294" s="29">
        <v>357.1</v>
      </c>
      <c r="K294" s="22">
        <v>202</v>
      </c>
      <c r="L294" s="29">
        <v>83.65</v>
      </c>
      <c r="M294" s="5">
        <v>0.17</v>
      </c>
      <c r="N294" s="21">
        <v>0.118523553790798</v>
      </c>
      <c r="O294" s="22">
        <v>271.28943756037398</v>
      </c>
      <c r="P294" s="22">
        <v>49.620389096039702</v>
      </c>
      <c r="Q294" s="23">
        <v>8.4999835271637098E-2</v>
      </c>
      <c r="R294" s="21">
        <v>0.69719737523998704</v>
      </c>
      <c r="S294" s="5">
        <v>0.11891617173496501</v>
      </c>
      <c r="T294" s="22">
        <v>271.28943756037398</v>
      </c>
      <c r="U294" s="22">
        <v>62</v>
      </c>
      <c r="V294" s="23">
        <v>6.0714168051169297E-2</v>
      </c>
      <c r="W294" s="21">
        <f t="shared" si="8"/>
        <v>1.1031956218683296</v>
      </c>
      <c r="X294" s="21">
        <f t="shared" si="9"/>
        <v>0.76634078212290502</v>
      </c>
      <c r="Y294" s="21">
        <v>0.69950689255861498</v>
      </c>
      <c r="Z294" s="21">
        <v>0.106171066832134</v>
      </c>
      <c r="AA294" s="22">
        <v>271.28943756037398</v>
      </c>
      <c r="AB294" s="22">
        <v>49.620389096039702</v>
      </c>
      <c r="AC294" s="23">
        <v>8.4999835271637098E-2</v>
      </c>
      <c r="AD294" s="21">
        <v>0.62453568724784603</v>
      </c>
      <c r="AE294" s="21">
        <v>0.21217855953956499</v>
      </c>
      <c r="AF294" s="21">
        <v>0.33505270024467698</v>
      </c>
      <c r="AG294" s="22">
        <v>276</v>
      </c>
      <c r="AH294" s="23">
        <v>2.6700000000000002E-2</v>
      </c>
      <c r="AI294" s="21">
        <v>1.2481091737621499</v>
      </c>
    </row>
    <row r="295" spans="1:35" x14ac:dyDescent="0.25">
      <c r="A295" t="s">
        <v>91</v>
      </c>
      <c r="B295" s="1">
        <v>22.2</v>
      </c>
      <c r="C295" s="1">
        <v>2</v>
      </c>
      <c r="D295" s="3">
        <v>63.6</v>
      </c>
      <c r="E295" s="5">
        <v>2.3846015710371402</v>
      </c>
      <c r="F295" s="1">
        <v>38</v>
      </c>
      <c r="G295" s="1">
        <v>49.1</v>
      </c>
      <c r="H295" s="4">
        <v>122.856933294706</v>
      </c>
      <c r="I295" s="1">
        <v>381</v>
      </c>
      <c r="J295" s="29">
        <v>331.9</v>
      </c>
      <c r="K295" s="22">
        <v>201</v>
      </c>
      <c r="L295" s="29">
        <v>160.1</v>
      </c>
      <c r="M295" s="5">
        <v>0.15</v>
      </c>
      <c r="N295" s="21">
        <v>0.14501757225662501</v>
      </c>
      <c r="O295" s="22">
        <v>195.113525980031</v>
      </c>
      <c r="P295" s="22">
        <v>57.352569731032403</v>
      </c>
      <c r="Q295" s="23">
        <v>5.9022388890402303E-2</v>
      </c>
      <c r="R295" s="21">
        <v>0.96678381504416899</v>
      </c>
      <c r="S295" s="5">
        <v>0.154918924089883</v>
      </c>
      <c r="T295" s="22">
        <v>195.113525980031</v>
      </c>
      <c r="U295" s="22">
        <v>92</v>
      </c>
      <c r="V295" s="23">
        <v>3.17222995470351E-2</v>
      </c>
      <c r="W295" s="21">
        <f t="shared" si="8"/>
        <v>1.2348798301415111</v>
      </c>
      <c r="X295" s="21">
        <f t="shared" si="9"/>
        <v>0.55527777777777776</v>
      </c>
      <c r="Y295" s="21">
        <v>1.03279282726588</v>
      </c>
      <c r="Z295" s="21">
        <v>0.15519138254448001</v>
      </c>
      <c r="AA295" s="22">
        <v>195.113525980031</v>
      </c>
      <c r="AB295" s="22">
        <v>57.352569731032403</v>
      </c>
      <c r="AC295" s="23">
        <v>5.9022388890402303E-2</v>
      </c>
      <c r="AD295" s="21">
        <v>1.0346092169632</v>
      </c>
      <c r="AE295" s="21">
        <v>0.172994275409456</v>
      </c>
      <c r="AF295" s="21">
        <v>0.20681414500293499</v>
      </c>
      <c r="AG295" s="22">
        <v>204.09021403145201</v>
      </c>
      <c r="AH295" s="23">
        <v>2.3599999999999999E-2</v>
      </c>
      <c r="AI295" s="21">
        <v>1.15329516939637</v>
      </c>
    </row>
    <row r="296" spans="1:35" x14ac:dyDescent="0.25">
      <c r="B296" s="1">
        <v>22.2</v>
      </c>
      <c r="C296" s="1">
        <v>2</v>
      </c>
      <c r="D296" s="3">
        <v>63.6</v>
      </c>
      <c r="E296" s="5">
        <v>2.3846015710371402</v>
      </c>
      <c r="F296" s="1">
        <v>38</v>
      </c>
      <c r="G296" s="1">
        <v>49.1</v>
      </c>
      <c r="H296" s="4">
        <v>122.856933294706</v>
      </c>
      <c r="I296" s="1">
        <v>381</v>
      </c>
      <c r="J296" s="29">
        <v>331.9</v>
      </c>
      <c r="K296" s="22">
        <v>201</v>
      </c>
      <c r="L296" s="29">
        <v>160.1</v>
      </c>
      <c r="M296" s="5">
        <v>0.19</v>
      </c>
      <c r="N296" s="21">
        <v>0.173744152276404</v>
      </c>
      <c r="O296" s="22">
        <v>226.947036463892</v>
      </c>
      <c r="P296" s="22">
        <v>57.352569731032403</v>
      </c>
      <c r="Q296" s="23">
        <v>5.9022388890402303E-2</v>
      </c>
      <c r="R296" s="21">
        <v>0.91444290671791495</v>
      </c>
      <c r="S296" s="5">
        <v>0.19018496513522101</v>
      </c>
      <c r="T296" s="22">
        <v>226.947036463892</v>
      </c>
      <c r="U296" s="22">
        <v>92</v>
      </c>
      <c r="V296" s="23">
        <v>3.17222995470351E-2</v>
      </c>
      <c r="W296" s="21">
        <f t="shared" si="8"/>
        <v>1.2348798301415111</v>
      </c>
      <c r="X296" s="21">
        <f t="shared" si="9"/>
        <v>0.55527777777777776</v>
      </c>
      <c r="Y296" s="21">
        <v>1.00097350071169</v>
      </c>
      <c r="Z296" s="21">
        <v>0.18593329609103201</v>
      </c>
      <c r="AA296" s="22">
        <v>226.947036463892</v>
      </c>
      <c r="AB296" s="22">
        <v>57.352569731032403</v>
      </c>
      <c r="AC296" s="23">
        <v>5.9022388890402303E-2</v>
      </c>
      <c r="AD296" s="21">
        <v>0.97859629521595703</v>
      </c>
      <c r="AE296" s="21">
        <v>0.201218946416931</v>
      </c>
      <c r="AF296" s="21">
        <v>0.27980438494334497</v>
      </c>
      <c r="AG296" s="22">
        <v>237.38830515758301</v>
      </c>
      <c r="AH296" s="23">
        <v>2.3599999999999999E-2</v>
      </c>
      <c r="AI296" s="21">
        <v>1.0590470864049</v>
      </c>
    </row>
    <row r="297" spans="1:35" x14ac:dyDescent="0.25">
      <c r="B297" s="1">
        <v>22.2</v>
      </c>
      <c r="C297" s="1">
        <v>2</v>
      </c>
      <c r="D297" s="3">
        <v>63.6</v>
      </c>
      <c r="E297" s="5">
        <v>2.3846015710371402</v>
      </c>
      <c r="F297" s="1">
        <v>38</v>
      </c>
      <c r="G297" s="1">
        <v>49.1</v>
      </c>
      <c r="H297" s="4">
        <v>122.856933294706</v>
      </c>
      <c r="I297" s="1">
        <v>381</v>
      </c>
      <c r="J297" s="29">
        <v>331.9</v>
      </c>
      <c r="K297" s="22">
        <v>201</v>
      </c>
      <c r="L297" s="29">
        <v>160.1</v>
      </c>
      <c r="M297" s="5">
        <v>0.22</v>
      </c>
      <c r="N297" s="21">
        <v>0.20439500081425399</v>
      </c>
      <c r="O297" s="22">
        <v>260.91293520982998</v>
      </c>
      <c r="P297" s="22">
        <v>57.352569731032403</v>
      </c>
      <c r="Q297" s="23">
        <v>5.9022388890402303E-2</v>
      </c>
      <c r="R297" s="21">
        <v>0.92906818551933401</v>
      </c>
      <c r="S297" s="5">
        <v>0.22781332471948099</v>
      </c>
      <c r="T297" s="22">
        <v>260.91293520982998</v>
      </c>
      <c r="U297" s="22">
        <v>92</v>
      </c>
      <c r="V297" s="23">
        <v>3.17222995470351E-2</v>
      </c>
      <c r="W297" s="21">
        <f t="shared" si="8"/>
        <v>1.2348798301415111</v>
      </c>
      <c r="X297" s="21">
        <f t="shared" si="9"/>
        <v>0.55527777777777776</v>
      </c>
      <c r="Y297" s="21">
        <v>1.03551511236128</v>
      </c>
      <c r="Z297" s="21">
        <v>0.218734476573717</v>
      </c>
      <c r="AA297" s="22">
        <v>260.91293520982998</v>
      </c>
      <c r="AB297" s="22">
        <v>57.352569731032403</v>
      </c>
      <c r="AC297" s="23">
        <v>5.9022388890402303E-2</v>
      </c>
      <c r="AD297" s="21">
        <v>0.99424762078962103</v>
      </c>
      <c r="AE297" s="21">
        <v>0.23133426524309</v>
      </c>
      <c r="AF297" s="21">
        <v>0.36982537419117101</v>
      </c>
      <c r="AG297" s="22">
        <v>272.91689042613399</v>
      </c>
      <c r="AH297" s="23">
        <v>2.3599999999999999E-2</v>
      </c>
      <c r="AI297" s="21">
        <v>1.05151938746859</v>
      </c>
    </row>
    <row r="298" spans="1:35" x14ac:dyDescent="0.25">
      <c r="B298" s="1">
        <v>22.2</v>
      </c>
      <c r="C298" s="1">
        <v>2</v>
      </c>
      <c r="D298" s="3">
        <v>63.6</v>
      </c>
      <c r="E298" s="5">
        <v>2.3846015710371402</v>
      </c>
      <c r="F298" s="1">
        <v>38</v>
      </c>
      <c r="G298" s="1">
        <v>49.1</v>
      </c>
      <c r="H298" s="4">
        <v>122.856933294706</v>
      </c>
      <c r="I298" s="1">
        <v>381</v>
      </c>
      <c r="J298" s="29">
        <v>331.9</v>
      </c>
      <c r="K298" s="22">
        <v>201</v>
      </c>
      <c r="L298" s="29">
        <v>160.1</v>
      </c>
      <c r="M298" s="5">
        <v>0.27</v>
      </c>
      <c r="N298" s="21">
        <v>0.21782909750840401</v>
      </c>
      <c r="O298" s="22">
        <v>275.8</v>
      </c>
      <c r="P298" s="22">
        <v>57.352569731032403</v>
      </c>
      <c r="Q298" s="23">
        <v>5.9022388890402303E-2</v>
      </c>
      <c r="R298" s="21">
        <v>0.80677443521630998</v>
      </c>
      <c r="S298" s="5">
        <v>0.24430562575555101</v>
      </c>
      <c r="T298" s="22">
        <v>275.8</v>
      </c>
      <c r="U298" s="22">
        <v>92</v>
      </c>
      <c r="V298" s="23">
        <v>3.17222995470351E-2</v>
      </c>
      <c r="W298" s="21">
        <f t="shared" si="8"/>
        <v>1.2348798301415111</v>
      </c>
      <c r="X298" s="21">
        <f t="shared" si="9"/>
        <v>0.55527777777777776</v>
      </c>
      <c r="Y298" s="21">
        <v>0.90483565094648499</v>
      </c>
      <c r="Z298" s="21">
        <v>0.23311105181738401</v>
      </c>
      <c r="AA298" s="22">
        <v>275.8</v>
      </c>
      <c r="AB298" s="22">
        <v>57.352569731032403</v>
      </c>
      <c r="AC298" s="23">
        <v>5.9022388890402303E-2</v>
      </c>
      <c r="AD298" s="21">
        <v>0.86337426599031197</v>
      </c>
      <c r="AE298" s="21">
        <v>0.233778093596272</v>
      </c>
      <c r="AF298" s="21">
        <v>0.37768035907495101</v>
      </c>
      <c r="AG298" s="22">
        <v>275.8</v>
      </c>
      <c r="AH298" s="23">
        <v>2.3599999999999999E-2</v>
      </c>
      <c r="AI298" s="21">
        <v>0.86584479109730295</v>
      </c>
    </row>
    <row r="299" spans="1:35" x14ac:dyDescent="0.25">
      <c r="A299" t="s">
        <v>92</v>
      </c>
      <c r="B299" s="1">
        <v>22.2</v>
      </c>
      <c r="C299" s="1">
        <v>2</v>
      </c>
      <c r="D299" s="3">
        <v>63.6</v>
      </c>
      <c r="E299" s="5">
        <v>2.8648423476200802</v>
      </c>
      <c r="F299" s="1">
        <v>38</v>
      </c>
      <c r="G299" s="1">
        <v>49.1</v>
      </c>
      <c r="H299" s="4">
        <v>118.551137802315</v>
      </c>
      <c r="I299" s="1">
        <v>381</v>
      </c>
      <c r="J299" s="29">
        <v>331.9</v>
      </c>
      <c r="K299" s="22">
        <v>200</v>
      </c>
      <c r="L299" s="29">
        <v>160.1</v>
      </c>
      <c r="M299" s="5">
        <v>0.17</v>
      </c>
      <c r="N299" s="21">
        <v>0.19942076017549801</v>
      </c>
      <c r="O299" s="22">
        <v>259.63215176616501</v>
      </c>
      <c r="P299" s="22">
        <v>67.927421545383396</v>
      </c>
      <c r="Q299" s="23">
        <v>5.8054054206432497E-2</v>
      </c>
      <c r="R299" s="21">
        <v>1.17306329514999</v>
      </c>
      <c r="S299" s="5">
        <v>0.21486544798031201</v>
      </c>
      <c r="T299" s="22">
        <v>259.63215176616501</v>
      </c>
      <c r="U299" s="22">
        <v>109</v>
      </c>
      <c r="V299" s="23">
        <v>3.17222995470351E-2</v>
      </c>
      <c r="W299" s="21">
        <f t="shared" si="8"/>
        <v>1.2301394977888604</v>
      </c>
      <c r="X299" s="21">
        <f t="shared" si="9"/>
        <v>0.55773480662983421</v>
      </c>
      <c r="Y299" s="21">
        <v>1.26391439988419</v>
      </c>
      <c r="Z299" s="21">
        <v>0.212537474155374</v>
      </c>
      <c r="AA299" s="22">
        <v>259.63215176616501</v>
      </c>
      <c r="AB299" s="22">
        <v>67.927421545383396</v>
      </c>
      <c r="AC299" s="23">
        <v>5.8054054206432497E-2</v>
      </c>
      <c r="AD299" s="21">
        <v>1.25022043620808</v>
      </c>
      <c r="AE299" s="21">
        <v>0.23133426524309</v>
      </c>
      <c r="AF299" s="21">
        <v>0.30783061030854902</v>
      </c>
      <c r="AG299" s="22">
        <v>273</v>
      </c>
      <c r="AH299" s="23">
        <v>2.3599999999999999E-2</v>
      </c>
      <c r="AI299" s="21">
        <v>1.3607897955475901</v>
      </c>
    </row>
    <row r="300" spans="1:35" x14ac:dyDescent="0.25">
      <c r="B300" s="1">
        <v>22.2</v>
      </c>
      <c r="C300" s="1">
        <v>2</v>
      </c>
      <c r="D300" s="3">
        <v>63.6</v>
      </c>
      <c r="E300" s="5">
        <v>2.8648423476200802</v>
      </c>
      <c r="F300" s="1">
        <v>38</v>
      </c>
      <c r="G300" s="1">
        <v>49.1</v>
      </c>
      <c r="H300" s="4">
        <v>118.551137802315</v>
      </c>
      <c r="I300" s="1">
        <v>381</v>
      </c>
      <c r="J300" s="29">
        <v>331.9</v>
      </c>
      <c r="K300" s="22">
        <v>200</v>
      </c>
      <c r="L300" s="29">
        <v>160.1</v>
      </c>
      <c r="M300" s="5">
        <v>0.2</v>
      </c>
      <c r="N300" s="21">
        <v>0.214151516501106</v>
      </c>
      <c r="O300" s="22">
        <v>275.8</v>
      </c>
      <c r="P300" s="22">
        <v>67.927421545383396</v>
      </c>
      <c r="Q300" s="23">
        <v>5.8054054206432497E-2</v>
      </c>
      <c r="R300" s="21">
        <v>1.07075758250553</v>
      </c>
      <c r="S300" s="5">
        <v>0.23274471188871701</v>
      </c>
      <c r="T300" s="22">
        <v>275.8</v>
      </c>
      <c r="U300" s="22">
        <v>109</v>
      </c>
      <c r="V300" s="23">
        <v>3.17222995470351E-2</v>
      </c>
      <c r="W300" s="21">
        <f t="shared" si="8"/>
        <v>1.2301394977888604</v>
      </c>
      <c r="X300" s="21">
        <f t="shared" si="9"/>
        <v>0.55773480662983421</v>
      </c>
      <c r="Y300" s="21">
        <v>1.16372355944358</v>
      </c>
      <c r="Z300" s="21">
        <v>0.228237132200443</v>
      </c>
      <c r="AA300" s="22">
        <v>275.8</v>
      </c>
      <c r="AB300" s="22">
        <v>67.927421545383396</v>
      </c>
      <c r="AC300" s="23">
        <v>5.8054054206432497E-2</v>
      </c>
      <c r="AD300" s="21">
        <v>1.14118566100221</v>
      </c>
      <c r="AE300" s="21">
        <v>0.233778093596272</v>
      </c>
      <c r="AF300" s="21">
        <v>0.31436884418724598</v>
      </c>
      <c r="AG300" s="22">
        <v>276</v>
      </c>
      <c r="AH300" s="23">
        <v>2.3599999999999999E-2</v>
      </c>
      <c r="AI300" s="21">
        <v>1.1688904679813601</v>
      </c>
    </row>
    <row r="301" spans="1:35" x14ac:dyDescent="0.25">
      <c r="A301" t="s">
        <v>93</v>
      </c>
      <c r="B301" s="1">
        <v>22.2</v>
      </c>
      <c r="C301" s="1">
        <v>2</v>
      </c>
      <c r="D301" s="3">
        <v>63.6</v>
      </c>
      <c r="E301" s="5">
        <v>2.8336917902498899</v>
      </c>
      <c r="F301" s="1">
        <v>38</v>
      </c>
      <c r="G301" s="1">
        <v>49.1</v>
      </c>
      <c r="H301" s="4">
        <v>118.804893272016</v>
      </c>
      <c r="I301" s="1">
        <v>381</v>
      </c>
      <c r="J301" s="29">
        <v>331.9</v>
      </c>
      <c r="K301" s="22">
        <v>200</v>
      </c>
      <c r="L301" s="29">
        <v>160.1</v>
      </c>
      <c r="M301" s="5">
        <v>0.15</v>
      </c>
      <c r="N301" s="21">
        <v>0.140110950744427</v>
      </c>
      <c r="O301" s="22">
        <v>194.21192690601001</v>
      </c>
      <c r="P301" s="22">
        <v>67.242360991510594</v>
      </c>
      <c r="Q301" s="23">
        <v>5.8110239594394403E-2</v>
      </c>
      <c r="R301" s="21">
        <v>0.93407300496284495</v>
      </c>
      <c r="S301" s="5">
        <v>0.14325409277470799</v>
      </c>
      <c r="T301" s="22">
        <v>194.21192690601001</v>
      </c>
      <c r="U301" s="22">
        <v>108</v>
      </c>
      <c r="V301" s="23">
        <v>3.17222995470351E-2</v>
      </c>
      <c r="W301" s="21">
        <f t="shared" si="8"/>
        <v>1.2304135498647382</v>
      </c>
      <c r="X301" s="21">
        <f t="shared" si="9"/>
        <v>0.55773480662983421</v>
      </c>
      <c r="Y301" s="21">
        <v>0.95502728516472202</v>
      </c>
      <c r="Z301" s="21">
        <v>0.14936247187861201</v>
      </c>
      <c r="AA301" s="22">
        <v>194.21192690601001</v>
      </c>
      <c r="AB301" s="22">
        <v>67.242360991510594</v>
      </c>
      <c r="AC301" s="23">
        <v>5.8110239594394403E-2</v>
      </c>
      <c r="AD301" s="21">
        <v>0.99574981252407901</v>
      </c>
      <c r="AE301" s="21">
        <v>0.172994275409456</v>
      </c>
      <c r="AF301" s="21">
        <v>0.17403774707736</v>
      </c>
      <c r="AG301" s="22">
        <v>204.09021403145201</v>
      </c>
      <c r="AH301" s="23">
        <v>2.3599999999999999E-2</v>
      </c>
      <c r="AI301" s="21">
        <v>1.15329516939637</v>
      </c>
    </row>
    <row r="302" spans="1:35" x14ac:dyDescent="0.25">
      <c r="B302" s="1">
        <v>22.2</v>
      </c>
      <c r="C302" s="1">
        <v>2</v>
      </c>
      <c r="D302" s="3">
        <v>63.6</v>
      </c>
      <c r="E302" s="5">
        <v>2.8336917902498899</v>
      </c>
      <c r="F302" s="1">
        <v>38</v>
      </c>
      <c r="G302" s="1">
        <v>49.1</v>
      </c>
      <c r="H302" s="4">
        <v>118.804893272016</v>
      </c>
      <c r="I302" s="1">
        <v>381</v>
      </c>
      <c r="J302" s="29">
        <v>331.9</v>
      </c>
      <c r="K302" s="22">
        <v>200</v>
      </c>
      <c r="L302" s="29">
        <v>160.1</v>
      </c>
      <c r="M302" s="5">
        <v>0.18</v>
      </c>
      <c r="N302" s="21">
        <v>0.168964618688975</v>
      </c>
      <c r="O302" s="22">
        <v>225.89833808739701</v>
      </c>
      <c r="P302" s="22">
        <v>67.242360991510594</v>
      </c>
      <c r="Q302" s="23">
        <v>5.8110239594394403E-2</v>
      </c>
      <c r="R302" s="21">
        <v>0.93869232604985897</v>
      </c>
      <c r="S302" s="5">
        <v>0.178298285681843</v>
      </c>
      <c r="T302" s="22">
        <v>225.89833808739701</v>
      </c>
      <c r="U302" s="22">
        <v>108</v>
      </c>
      <c r="V302" s="23">
        <v>3.17222995470351E-2</v>
      </c>
      <c r="W302" s="21">
        <f t="shared" si="8"/>
        <v>1.2304135498647382</v>
      </c>
      <c r="X302" s="21">
        <f t="shared" si="9"/>
        <v>0.55773480662983421</v>
      </c>
      <c r="Y302" s="21">
        <v>0.99054603156579502</v>
      </c>
      <c r="Z302" s="21">
        <v>0.18012134649950801</v>
      </c>
      <c r="AA302" s="22">
        <v>225.89833808739701</v>
      </c>
      <c r="AB302" s="22">
        <v>67.242360991510594</v>
      </c>
      <c r="AC302" s="23">
        <v>5.8110239594394403E-2</v>
      </c>
      <c r="AD302" s="21">
        <v>1.00067414721949</v>
      </c>
      <c r="AE302" s="21">
        <v>0.201218946416931</v>
      </c>
      <c r="AF302" s="21">
        <v>0.235460320072474</v>
      </c>
      <c r="AG302" s="22">
        <v>237.38830515758301</v>
      </c>
      <c r="AH302" s="23">
        <v>2.3599999999999999E-2</v>
      </c>
      <c r="AI302" s="21">
        <v>1.1178830356496201</v>
      </c>
    </row>
    <row r="303" spans="1:35" x14ac:dyDescent="0.25">
      <c r="B303" s="1">
        <v>22.2</v>
      </c>
      <c r="C303" s="1">
        <v>2</v>
      </c>
      <c r="D303" s="3">
        <v>63.6</v>
      </c>
      <c r="E303" s="5">
        <v>2.8336917902498899</v>
      </c>
      <c r="F303" s="1">
        <v>38</v>
      </c>
      <c r="G303" s="1">
        <v>49.1</v>
      </c>
      <c r="H303" s="4">
        <v>118.804893272016</v>
      </c>
      <c r="I303" s="1">
        <v>381</v>
      </c>
      <c r="J303" s="29">
        <v>331.9</v>
      </c>
      <c r="K303" s="22">
        <v>200</v>
      </c>
      <c r="L303" s="29">
        <v>160.1</v>
      </c>
      <c r="M303" s="5">
        <v>0.22</v>
      </c>
      <c r="N303" s="21">
        <v>0.199751068218324</v>
      </c>
      <c r="O303" s="22">
        <v>259.70728398906698</v>
      </c>
      <c r="P303" s="22">
        <v>67.242360991510594</v>
      </c>
      <c r="Q303" s="23">
        <v>5.8110239594394403E-2</v>
      </c>
      <c r="R303" s="21">
        <v>0.90795940099238404</v>
      </c>
      <c r="S303" s="5">
        <v>0.215689936487064</v>
      </c>
      <c r="T303" s="22">
        <v>259.70728398906698</v>
      </c>
      <c r="U303" s="22">
        <v>108</v>
      </c>
      <c r="V303" s="23">
        <v>3.17222995470351E-2</v>
      </c>
      <c r="W303" s="21">
        <f t="shared" si="8"/>
        <v>1.2304135498647382</v>
      </c>
      <c r="X303" s="21">
        <f t="shared" si="9"/>
        <v>0.55773480662983421</v>
      </c>
      <c r="Y303" s="21">
        <v>0.98040880221392501</v>
      </c>
      <c r="Z303" s="21">
        <v>0.21294062420505599</v>
      </c>
      <c r="AA303" s="22">
        <v>259.70728398906698</v>
      </c>
      <c r="AB303" s="22">
        <v>67.242360991510594</v>
      </c>
      <c r="AC303" s="23">
        <v>5.8110239594394403E-2</v>
      </c>
      <c r="AD303" s="21">
        <v>0.96791192820480199</v>
      </c>
      <c r="AE303" s="21">
        <v>0.23133426524309</v>
      </c>
      <c r="AF303" s="21">
        <v>0.311214568690936</v>
      </c>
      <c r="AG303" s="22">
        <v>272.91689042613399</v>
      </c>
      <c r="AH303" s="23">
        <v>2.3599999999999999E-2</v>
      </c>
      <c r="AI303" s="21">
        <v>1.05151938746859</v>
      </c>
    </row>
    <row r="304" spans="1:35" x14ac:dyDescent="0.25">
      <c r="B304" s="1">
        <v>22.2</v>
      </c>
      <c r="C304" s="1">
        <v>2</v>
      </c>
      <c r="D304" s="3">
        <v>63.6</v>
      </c>
      <c r="E304" s="5">
        <v>2.8336917902498899</v>
      </c>
      <c r="F304" s="1">
        <v>38</v>
      </c>
      <c r="G304" s="1">
        <v>49.1</v>
      </c>
      <c r="H304" s="4">
        <v>118.804893272016</v>
      </c>
      <c r="I304" s="1">
        <v>381</v>
      </c>
      <c r="J304" s="29">
        <v>331.9</v>
      </c>
      <c r="K304" s="22">
        <v>200</v>
      </c>
      <c r="L304" s="29">
        <v>160.1</v>
      </c>
      <c r="M304" s="5">
        <v>0.25</v>
      </c>
      <c r="N304" s="21">
        <v>0.21440510655189601</v>
      </c>
      <c r="O304" s="22">
        <v>275.8</v>
      </c>
      <c r="P304" s="22">
        <v>67.242360991510594</v>
      </c>
      <c r="Q304" s="23">
        <v>5.8110239594394403E-2</v>
      </c>
      <c r="R304" s="21">
        <v>0.85762042620758505</v>
      </c>
      <c r="S304" s="5">
        <v>0.23348798376539201</v>
      </c>
      <c r="T304" s="22">
        <v>275.8</v>
      </c>
      <c r="U304" s="22">
        <v>108</v>
      </c>
      <c r="V304" s="23">
        <v>3.17222995470351E-2</v>
      </c>
      <c r="W304" s="21">
        <f t="shared" si="8"/>
        <v>1.2304135498647382</v>
      </c>
      <c r="X304" s="21">
        <f t="shared" si="9"/>
        <v>0.55773480662983421</v>
      </c>
      <c r="Y304" s="21">
        <v>0.93395193506156704</v>
      </c>
      <c r="Z304" s="21">
        <v>0.22856226817276201</v>
      </c>
      <c r="AA304" s="22">
        <v>275.8</v>
      </c>
      <c r="AB304" s="22">
        <v>67.242360991510594</v>
      </c>
      <c r="AC304" s="23">
        <v>5.8110239594394403E-2</v>
      </c>
      <c r="AD304" s="21">
        <v>0.91424907269105005</v>
      </c>
      <c r="AE304" s="21">
        <v>0.233778093596272</v>
      </c>
      <c r="AF304" s="21">
        <v>0.31782467687517302</v>
      </c>
      <c r="AG304" s="22">
        <v>275.8</v>
      </c>
      <c r="AH304" s="23">
        <v>2.3599999999999999E-2</v>
      </c>
      <c r="AI304" s="21">
        <v>0.93511237438508699</v>
      </c>
    </row>
    <row r="305" spans="1:35" x14ac:dyDescent="0.25">
      <c r="A305" t="s">
        <v>94</v>
      </c>
      <c r="B305" s="1">
        <v>22.2</v>
      </c>
      <c r="C305" s="1">
        <v>2</v>
      </c>
      <c r="D305" s="3">
        <v>63.6</v>
      </c>
      <c r="E305" s="5">
        <v>2.7563734268389202</v>
      </c>
      <c r="F305" s="1">
        <v>38</v>
      </c>
      <c r="G305" s="1">
        <v>49.1</v>
      </c>
      <c r="H305" s="4">
        <v>119.44859227094101</v>
      </c>
      <c r="I305" s="1">
        <v>381</v>
      </c>
      <c r="J305" s="29">
        <v>331.9</v>
      </c>
      <c r="K305" s="22">
        <v>200</v>
      </c>
      <c r="L305" s="29">
        <v>160.1</v>
      </c>
      <c r="M305" s="5">
        <v>0.2</v>
      </c>
      <c r="N305" s="21">
        <v>0.14096818536099001</v>
      </c>
      <c r="O305" s="22">
        <v>194.354596032503</v>
      </c>
      <c r="P305" s="22">
        <v>65.541526492969297</v>
      </c>
      <c r="Q305" s="23">
        <v>5.8253253556272699E-2</v>
      </c>
      <c r="R305" s="21">
        <v>0.70484092680495203</v>
      </c>
      <c r="S305" s="5">
        <v>0.14523639043966599</v>
      </c>
      <c r="T305" s="22">
        <v>194.354596032503</v>
      </c>
      <c r="U305" s="22">
        <v>105</v>
      </c>
      <c r="V305" s="23">
        <v>3.17222995470351E-2</v>
      </c>
      <c r="W305" s="21">
        <f t="shared" si="8"/>
        <v>1.2311116717222117</v>
      </c>
      <c r="X305" s="21">
        <f t="shared" si="9"/>
        <v>0.55773480662983421</v>
      </c>
      <c r="Y305" s="21">
        <v>0.72618195219833104</v>
      </c>
      <c r="Z305" s="21">
        <v>0.15036800039665199</v>
      </c>
      <c r="AA305" s="22">
        <v>194.354596032503</v>
      </c>
      <c r="AB305" s="22">
        <v>65.541526492969297</v>
      </c>
      <c r="AC305" s="23">
        <v>5.8253253556272699E-2</v>
      </c>
      <c r="AD305" s="21">
        <v>0.75184000198326095</v>
      </c>
      <c r="AE305" s="21">
        <v>0.172994275409456</v>
      </c>
      <c r="AF305" s="21">
        <v>0.17891963776921199</v>
      </c>
      <c r="AG305" s="22">
        <v>204.09021403145201</v>
      </c>
      <c r="AH305" s="23">
        <v>2.3599999999999999E-2</v>
      </c>
      <c r="AI305" s="21">
        <v>0.864971377047279</v>
      </c>
    </row>
    <row r="306" spans="1:35" x14ac:dyDescent="0.25">
      <c r="B306" s="1">
        <v>22.2</v>
      </c>
      <c r="C306" s="1">
        <v>2</v>
      </c>
      <c r="D306" s="3">
        <v>63.6</v>
      </c>
      <c r="E306" s="5">
        <v>2.7563734268389202</v>
      </c>
      <c r="F306" s="1">
        <v>38</v>
      </c>
      <c r="G306" s="1">
        <v>49.1</v>
      </c>
      <c r="H306" s="4">
        <v>119.44859227094101</v>
      </c>
      <c r="I306" s="1">
        <v>381</v>
      </c>
      <c r="J306" s="29">
        <v>331.9</v>
      </c>
      <c r="K306" s="22">
        <v>200</v>
      </c>
      <c r="L306" s="29">
        <v>160.1</v>
      </c>
      <c r="M306" s="5">
        <v>0.25</v>
      </c>
      <c r="N306" s="21">
        <v>0.16980174289977501</v>
      </c>
      <c r="O306" s="22">
        <v>226.064284222037</v>
      </c>
      <c r="P306" s="22">
        <v>65.541526492969297</v>
      </c>
      <c r="Q306" s="23">
        <v>5.8253253556272699E-2</v>
      </c>
      <c r="R306" s="21">
        <v>0.67920697159909804</v>
      </c>
      <c r="S306" s="5">
        <v>0.18031567133788301</v>
      </c>
      <c r="T306" s="22">
        <v>226.064284222037</v>
      </c>
      <c r="U306" s="22">
        <v>105</v>
      </c>
      <c r="V306" s="23">
        <v>3.17222995470351E-2</v>
      </c>
      <c r="W306" s="21">
        <f t="shared" si="8"/>
        <v>1.2311116717222117</v>
      </c>
      <c r="X306" s="21">
        <f t="shared" si="9"/>
        <v>0.55773480662983421</v>
      </c>
      <c r="Y306" s="21">
        <v>0.72126268535153204</v>
      </c>
      <c r="Z306" s="21">
        <v>0.18112419109546901</v>
      </c>
      <c r="AA306" s="22">
        <v>226.064284222037</v>
      </c>
      <c r="AB306" s="22">
        <v>65.541526492969297</v>
      </c>
      <c r="AC306" s="23">
        <v>5.8253253556272699E-2</v>
      </c>
      <c r="AD306" s="21">
        <v>0.72449676438187605</v>
      </c>
      <c r="AE306" s="21">
        <v>0.201218946416931</v>
      </c>
      <c r="AF306" s="21">
        <v>0.24206516048305099</v>
      </c>
      <c r="AG306" s="22">
        <v>237.38830515758301</v>
      </c>
      <c r="AH306" s="23">
        <v>2.3599999999999999E-2</v>
      </c>
      <c r="AI306" s="21">
        <v>0.804875785667726</v>
      </c>
    </row>
    <row r="307" spans="1:35" x14ac:dyDescent="0.25">
      <c r="B307" s="1">
        <v>22.2</v>
      </c>
      <c r="C307" s="1">
        <v>2</v>
      </c>
      <c r="D307" s="3">
        <v>63.6</v>
      </c>
      <c r="E307" s="5">
        <v>2.7563734268389202</v>
      </c>
      <c r="F307" s="1">
        <v>38</v>
      </c>
      <c r="G307" s="1">
        <v>49.1</v>
      </c>
      <c r="H307" s="4">
        <v>119.44859227094101</v>
      </c>
      <c r="I307" s="1">
        <v>381</v>
      </c>
      <c r="J307" s="29">
        <v>331.9</v>
      </c>
      <c r="K307" s="22">
        <v>200</v>
      </c>
      <c r="L307" s="29">
        <v>160.1</v>
      </c>
      <c r="M307" s="5">
        <v>0.3</v>
      </c>
      <c r="N307" s="21">
        <v>0.20056673491484101</v>
      </c>
      <c r="O307" s="22">
        <v>259.89806635728098</v>
      </c>
      <c r="P307" s="22">
        <v>65.541526492969297</v>
      </c>
      <c r="Q307" s="23">
        <v>5.8253253556272699E-2</v>
      </c>
      <c r="R307" s="21">
        <v>0.66855578304946905</v>
      </c>
      <c r="S307" s="5">
        <v>0.217744760525933</v>
      </c>
      <c r="T307" s="22">
        <v>259.89806635728098</v>
      </c>
      <c r="U307" s="22">
        <v>105</v>
      </c>
      <c r="V307" s="23">
        <v>3.17222995470351E-2</v>
      </c>
      <c r="W307" s="21">
        <f t="shared" si="8"/>
        <v>1.2311116717222117</v>
      </c>
      <c r="X307" s="21">
        <f t="shared" si="9"/>
        <v>0.55773480662983421</v>
      </c>
      <c r="Y307" s="21">
        <v>0.72581586841977497</v>
      </c>
      <c r="Z307" s="21">
        <v>0.21394060509468499</v>
      </c>
      <c r="AA307" s="22">
        <v>259.89806635728098</v>
      </c>
      <c r="AB307" s="22">
        <v>65.541526492969297</v>
      </c>
      <c r="AC307" s="23">
        <v>5.8253253556272699E-2</v>
      </c>
      <c r="AD307" s="21">
        <v>0.71313535031561703</v>
      </c>
      <c r="AE307" s="21">
        <v>0.23133426524309</v>
      </c>
      <c r="AF307" s="21">
        <v>0.31994437318205998</v>
      </c>
      <c r="AG307" s="22">
        <v>272.91689042613399</v>
      </c>
      <c r="AH307" s="23">
        <v>2.3599999999999999E-2</v>
      </c>
      <c r="AI307" s="21">
        <v>0.77111421747696496</v>
      </c>
    </row>
    <row r="308" spans="1:35" x14ac:dyDescent="0.25">
      <c r="B308" s="1">
        <v>22.2</v>
      </c>
      <c r="C308" s="1">
        <v>2</v>
      </c>
      <c r="D308" s="3">
        <v>63.6</v>
      </c>
      <c r="E308" s="5">
        <v>2.7563734268389202</v>
      </c>
      <c r="F308" s="1">
        <v>38</v>
      </c>
      <c r="G308" s="1">
        <v>49.1</v>
      </c>
      <c r="H308" s="4">
        <v>119.44859227094101</v>
      </c>
      <c r="I308" s="1">
        <v>381</v>
      </c>
      <c r="J308" s="29">
        <v>331.9</v>
      </c>
      <c r="K308" s="22">
        <v>200</v>
      </c>
      <c r="L308" s="29">
        <v>160.1</v>
      </c>
      <c r="M308" s="5">
        <v>0.35</v>
      </c>
      <c r="N308" s="21">
        <v>0.21502633211821501</v>
      </c>
      <c r="O308" s="22">
        <v>275.8</v>
      </c>
      <c r="P308" s="22">
        <v>65.541526492969297</v>
      </c>
      <c r="Q308" s="23">
        <v>5.8253253556272699E-2</v>
      </c>
      <c r="R308" s="21">
        <v>0.61436094890918702</v>
      </c>
      <c r="S308" s="5">
        <v>0.23533649443840499</v>
      </c>
      <c r="T308" s="22">
        <v>275.8</v>
      </c>
      <c r="U308" s="22">
        <v>105</v>
      </c>
      <c r="V308" s="23">
        <v>3.17222995470351E-2</v>
      </c>
      <c r="W308" s="21">
        <f t="shared" si="8"/>
        <v>1.2311116717222117</v>
      </c>
      <c r="X308" s="21">
        <f t="shared" si="9"/>
        <v>0.55773480662983421</v>
      </c>
      <c r="Y308" s="21">
        <v>0.67238998410972795</v>
      </c>
      <c r="Z308" s="21">
        <v>0.22936437402839599</v>
      </c>
      <c r="AA308" s="22">
        <v>275.8</v>
      </c>
      <c r="AB308" s="22">
        <v>65.541526492969297</v>
      </c>
      <c r="AC308" s="23">
        <v>5.8253253556272699E-2</v>
      </c>
      <c r="AD308" s="21">
        <v>0.65532678293827396</v>
      </c>
      <c r="AE308" s="21">
        <v>0.233778093596272</v>
      </c>
      <c r="AF308" s="21">
        <v>0.326739899910025</v>
      </c>
      <c r="AG308" s="22">
        <v>275.8</v>
      </c>
      <c r="AH308" s="23">
        <v>2.3599999999999999E-2</v>
      </c>
      <c r="AI308" s="21">
        <v>0.66793741027506204</v>
      </c>
    </row>
    <row r="309" spans="1:35" x14ac:dyDescent="0.25">
      <c r="A309" t="s">
        <v>95</v>
      </c>
      <c r="B309" s="1">
        <v>28.7</v>
      </c>
      <c r="C309" s="1">
        <v>2</v>
      </c>
      <c r="D309" s="3">
        <v>50.6</v>
      </c>
      <c r="E309" s="5">
        <v>2.7748174021560699</v>
      </c>
      <c r="F309" s="1">
        <v>22.2</v>
      </c>
      <c r="G309" s="1">
        <v>36.6</v>
      </c>
      <c r="H309" s="4">
        <v>148.01498573118499</v>
      </c>
      <c r="I309" s="1">
        <v>381</v>
      </c>
      <c r="J309" s="29">
        <v>344.4</v>
      </c>
      <c r="K309" s="22">
        <v>208</v>
      </c>
      <c r="L309" s="29">
        <v>128.1</v>
      </c>
      <c r="M309" s="5">
        <v>0.17</v>
      </c>
      <c r="N309" s="21">
        <v>0.122169470768246</v>
      </c>
      <c r="O309" s="22">
        <v>234.11581828988599</v>
      </c>
      <c r="P309" s="22">
        <v>43.744036041213697</v>
      </c>
      <c r="Q309" s="23">
        <v>0.108992850321706</v>
      </c>
      <c r="R309" s="21">
        <v>0.718643945695562</v>
      </c>
      <c r="S309" s="5">
        <v>0.134837869496894</v>
      </c>
      <c r="T309" s="22">
        <v>234.11581828988599</v>
      </c>
      <c r="U309" s="22">
        <v>60</v>
      </c>
      <c r="V309" s="23">
        <v>6.6077805848039503E-2</v>
      </c>
      <c r="W309" s="21">
        <f t="shared" si="8"/>
        <v>1.1863685991330344</v>
      </c>
      <c r="X309" s="21">
        <f t="shared" si="9"/>
        <v>0.62976878612716769</v>
      </c>
      <c r="Y309" s="21">
        <v>0.79316393821702202</v>
      </c>
      <c r="Z309" s="21">
        <v>0.124975658703082</v>
      </c>
      <c r="AA309" s="22">
        <v>234.11581828988599</v>
      </c>
      <c r="AB309" s="22">
        <v>43.744036041213697</v>
      </c>
      <c r="AC309" s="23">
        <v>0.108992850321706</v>
      </c>
      <c r="AD309" s="21">
        <v>0.73515093354754102</v>
      </c>
      <c r="AE309" s="21">
        <v>0.20638869069728799</v>
      </c>
      <c r="AF309" s="21">
        <v>0.33708607017123599</v>
      </c>
      <c r="AG309" s="22">
        <v>247.199333466279</v>
      </c>
      <c r="AH309" s="23">
        <v>3.3700000000000001E-2</v>
      </c>
      <c r="AI309" s="21">
        <v>1.21405112174875</v>
      </c>
    </row>
    <row r="310" spans="1:35" x14ac:dyDescent="0.25">
      <c r="B310" s="1">
        <v>28.7</v>
      </c>
      <c r="C310" s="1">
        <v>2</v>
      </c>
      <c r="D310" s="3">
        <v>50.6</v>
      </c>
      <c r="E310" s="5">
        <v>2.7748174021560699</v>
      </c>
      <c r="F310" s="1">
        <v>22.2</v>
      </c>
      <c r="G310" s="1">
        <v>36.6</v>
      </c>
      <c r="H310" s="4">
        <v>148.01498573118499</v>
      </c>
      <c r="I310" s="1">
        <v>381</v>
      </c>
      <c r="J310" s="29">
        <v>344.4</v>
      </c>
      <c r="K310" s="22">
        <v>208</v>
      </c>
      <c r="L310" s="29">
        <v>128.1</v>
      </c>
      <c r="M310" s="5">
        <v>0.2</v>
      </c>
      <c r="N310" s="21">
        <v>0.146108260128539</v>
      </c>
      <c r="O310" s="22">
        <v>274.84728475140599</v>
      </c>
      <c r="P310" s="22">
        <v>43.744036041213697</v>
      </c>
      <c r="Q310" s="23">
        <v>0.108992850321706</v>
      </c>
      <c r="R310" s="21">
        <v>0.73054130064269296</v>
      </c>
      <c r="S310" s="5">
        <v>0.162583158045426</v>
      </c>
      <c r="T310" s="22">
        <v>274.84728475140599</v>
      </c>
      <c r="U310" s="22">
        <v>60</v>
      </c>
      <c r="V310" s="23">
        <v>6.6077805848039503E-2</v>
      </c>
      <c r="W310" s="21">
        <f t="shared" si="8"/>
        <v>1.1863685991330344</v>
      </c>
      <c r="X310" s="21">
        <f t="shared" si="9"/>
        <v>0.62976878612716769</v>
      </c>
      <c r="Y310" s="21">
        <v>0.81291579022712901</v>
      </c>
      <c r="Z310" s="21">
        <v>0.14946431327483101</v>
      </c>
      <c r="AA310" s="22">
        <v>274.84728475140599</v>
      </c>
      <c r="AB310" s="22">
        <v>43.744036041213697</v>
      </c>
      <c r="AC310" s="23">
        <v>0.108992850321706</v>
      </c>
      <c r="AD310" s="21">
        <v>0.74732156637415503</v>
      </c>
      <c r="AE310" s="21">
        <v>0.230267614787388</v>
      </c>
      <c r="AF310" s="21">
        <v>0.41959928439326599</v>
      </c>
      <c r="AG310" s="22">
        <v>275.8</v>
      </c>
      <c r="AH310" s="23">
        <v>3.3700000000000001E-2</v>
      </c>
      <c r="AI310" s="21">
        <v>1.1513380739369401</v>
      </c>
    </row>
    <row r="311" spans="1:35" x14ac:dyDescent="0.25">
      <c r="A311" t="s">
        <v>96</v>
      </c>
      <c r="B311" s="1">
        <v>28.7</v>
      </c>
      <c r="C311" s="1">
        <v>2</v>
      </c>
      <c r="D311" s="3">
        <v>50.6</v>
      </c>
      <c r="E311" s="5">
        <v>2.8017146470593901</v>
      </c>
      <c r="F311" s="1">
        <v>38.200000000000003</v>
      </c>
      <c r="G311" s="1">
        <v>52.5</v>
      </c>
      <c r="H311" s="4">
        <v>143.36625380284801</v>
      </c>
      <c r="I311" s="1">
        <v>381</v>
      </c>
      <c r="J311" s="29">
        <v>328.5</v>
      </c>
      <c r="K311" s="22">
        <v>206</v>
      </c>
      <c r="L311" s="29">
        <v>183.75</v>
      </c>
      <c r="M311" s="5">
        <v>0.17</v>
      </c>
      <c r="N311" s="21">
        <v>0.11532192168156601</v>
      </c>
      <c r="O311" s="22">
        <v>179.49560032260399</v>
      </c>
      <c r="P311" s="22">
        <v>44.592124795873602</v>
      </c>
      <c r="Q311" s="23">
        <v>0.106860667703036</v>
      </c>
      <c r="R311" s="21">
        <v>0.67836424518568195</v>
      </c>
      <c r="S311" s="5">
        <v>0.13588745970060401</v>
      </c>
      <c r="T311" s="22">
        <v>179.49560032260399</v>
      </c>
      <c r="U311" s="22">
        <v>79</v>
      </c>
      <c r="V311" s="23">
        <v>4.6065670362633197E-2</v>
      </c>
      <c r="W311" s="21">
        <f t="shared" si="8"/>
        <v>1.2835787698267169</v>
      </c>
      <c r="X311" s="21">
        <f t="shared" si="9"/>
        <v>0.47499999999999998</v>
      </c>
      <c r="Y311" s="21">
        <v>0.79933799823884999</v>
      </c>
      <c r="Z311" s="21">
        <v>0.13405833916930099</v>
      </c>
      <c r="AA311" s="22">
        <v>179.49560032260399</v>
      </c>
      <c r="AB311" s="22">
        <v>44.592124795873602</v>
      </c>
      <c r="AC311" s="23">
        <v>0.106860667703036</v>
      </c>
      <c r="AD311" s="21">
        <v>0.78857846570176904</v>
      </c>
      <c r="AE311" s="21">
        <v>0.16565003896528299</v>
      </c>
      <c r="AF311" s="21">
        <v>0.19653619230075201</v>
      </c>
      <c r="AG311" s="22">
        <v>189.667494327817</v>
      </c>
      <c r="AH311" s="23">
        <v>3.1699999999999999E-2</v>
      </c>
      <c r="AI311" s="21">
        <v>0.97441199391342703</v>
      </c>
    </row>
    <row r="312" spans="1:35" x14ac:dyDescent="0.25">
      <c r="B312" s="1">
        <v>28.7</v>
      </c>
      <c r="C312" s="1">
        <v>2</v>
      </c>
      <c r="D312" s="3">
        <v>50.6</v>
      </c>
      <c r="E312" s="5">
        <v>2.8017146470593901</v>
      </c>
      <c r="F312" s="1">
        <v>38.200000000000003</v>
      </c>
      <c r="G312" s="1">
        <v>52.5</v>
      </c>
      <c r="H312" s="4">
        <v>143.36625380284801</v>
      </c>
      <c r="I312" s="1">
        <v>381</v>
      </c>
      <c r="J312" s="29">
        <v>328.5</v>
      </c>
      <c r="K312" s="22">
        <v>206</v>
      </c>
      <c r="L312" s="29">
        <v>183.75</v>
      </c>
      <c r="M312" s="5">
        <v>0.2</v>
      </c>
      <c r="N312" s="21">
        <v>0.140424010918515</v>
      </c>
      <c r="O312" s="22">
        <v>212.74254265148801</v>
      </c>
      <c r="P312" s="22">
        <v>44.592124795873602</v>
      </c>
      <c r="Q312" s="23">
        <v>0.106860667703036</v>
      </c>
      <c r="R312" s="21">
        <v>0.70212005459257498</v>
      </c>
      <c r="S312" s="5">
        <v>0.170118894178651</v>
      </c>
      <c r="T312" s="22">
        <v>212.74254265148801</v>
      </c>
      <c r="U312" s="22">
        <v>79</v>
      </c>
      <c r="V312" s="23">
        <v>4.6065670362633197E-2</v>
      </c>
      <c r="W312" s="21">
        <f t="shared" si="8"/>
        <v>1.2835787698267169</v>
      </c>
      <c r="X312" s="21">
        <f t="shared" si="9"/>
        <v>0.47499999999999998</v>
      </c>
      <c r="Y312" s="21">
        <v>0.85059447089325402</v>
      </c>
      <c r="Z312" s="21">
        <v>0.163238778965275</v>
      </c>
      <c r="AA312" s="22">
        <v>212.74254265148801</v>
      </c>
      <c r="AB312" s="22">
        <v>44.592124795873602</v>
      </c>
      <c r="AC312" s="23">
        <v>0.106860667703036</v>
      </c>
      <c r="AD312" s="21">
        <v>0.81619389482637394</v>
      </c>
      <c r="AE312" s="21">
        <v>0.196332447238008</v>
      </c>
      <c r="AF312" s="21">
        <v>0.276085509468807</v>
      </c>
      <c r="AG312" s="22">
        <v>224.798518343155</v>
      </c>
      <c r="AH312" s="23">
        <v>3.1699999999999999E-2</v>
      </c>
      <c r="AI312" s="21">
        <v>0.98166223619003901</v>
      </c>
    </row>
    <row r="313" spans="1:35" x14ac:dyDescent="0.25">
      <c r="B313" s="1">
        <v>28.7</v>
      </c>
      <c r="C313" s="1">
        <v>2</v>
      </c>
      <c r="D313" s="3">
        <v>50.6</v>
      </c>
      <c r="E313" s="5">
        <v>2.8017146470593901</v>
      </c>
      <c r="F313" s="1">
        <v>38.200000000000003</v>
      </c>
      <c r="G313" s="1">
        <v>52.5</v>
      </c>
      <c r="H313" s="4">
        <v>143.36625380284801</v>
      </c>
      <c r="I313" s="1">
        <v>381</v>
      </c>
      <c r="J313" s="29">
        <v>328.5</v>
      </c>
      <c r="K313" s="22">
        <v>206</v>
      </c>
      <c r="L313" s="29">
        <v>183.75</v>
      </c>
      <c r="M313" s="5">
        <v>0.25</v>
      </c>
      <c r="N313" s="21">
        <v>0.16495397276544799</v>
      </c>
      <c r="O313" s="22">
        <v>245.23171991304599</v>
      </c>
      <c r="P313" s="22">
        <v>44.592124795873602</v>
      </c>
      <c r="Q313" s="23">
        <v>0.106860667703036</v>
      </c>
      <c r="R313" s="21">
        <v>0.65981589106179195</v>
      </c>
      <c r="S313" s="5">
        <v>0.20357012502187</v>
      </c>
      <c r="T313" s="22">
        <v>245.23171991304599</v>
      </c>
      <c r="U313" s="22">
        <v>79</v>
      </c>
      <c r="V313" s="23">
        <v>4.6065670362633197E-2</v>
      </c>
      <c r="W313" s="21">
        <f t="shared" si="8"/>
        <v>1.2835787698267169</v>
      </c>
      <c r="X313" s="21">
        <f t="shared" si="9"/>
        <v>0.47499999999999998</v>
      </c>
      <c r="Y313" s="21">
        <v>0.81428050008747999</v>
      </c>
      <c r="Z313" s="21">
        <v>0.191754137512338</v>
      </c>
      <c r="AA313" s="22">
        <v>245.23171991304599</v>
      </c>
      <c r="AB313" s="22">
        <v>44.592124795873602</v>
      </c>
      <c r="AC313" s="23">
        <v>0.106860667703036</v>
      </c>
      <c r="AD313" s="21">
        <v>0.76701655004934999</v>
      </c>
      <c r="AE313" s="21">
        <v>0.226315541362067</v>
      </c>
      <c r="AF313" s="21">
        <v>0.366849735279691</v>
      </c>
      <c r="AG313" s="22">
        <v>259.12883525842699</v>
      </c>
      <c r="AH313" s="23">
        <v>3.1699999999999999E-2</v>
      </c>
      <c r="AI313" s="21">
        <v>0.90526216544826699</v>
      </c>
    </row>
    <row r="314" spans="1:35" x14ac:dyDescent="0.25">
      <c r="B314" s="1">
        <v>28.7</v>
      </c>
      <c r="C314" s="1">
        <v>2</v>
      </c>
      <c r="D314" s="3">
        <v>50.6</v>
      </c>
      <c r="E314" s="5">
        <v>2.8017146470593901</v>
      </c>
      <c r="F314" s="1">
        <v>38.200000000000003</v>
      </c>
      <c r="G314" s="1">
        <v>52.5</v>
      </c>
      <c r="H314" s="4">
        <v>143.36625380284801</v>
      </c>
      <c r="I314" s="1">
        <v>381</v>
      </c>
      <c r="J314" s="29">
        <v>328.5</v>
      </c>
      <c r="K314" s="22">
        <v>206</v>
      </c>
      <c r="L314" s="29">
        <v>183.75</v>
      </c>
      <c r="M314" s="5">
        <v>0.28999999999999998</v>
      </c>
      <c r="N314" s="21">
        <v>0.18803361981907099</v>
      </c>
      <c r="O314" s="22">
        <v>275.8</v>
      </c>
      <c r="P314" s="22">
        <v>44.592124795873602</v>
      </c>
      <c r="Q314" s="23">
        <v>0.106860667703036</v>
      </c>
      <c r="R314" s="21">
        <v>0.64839179247955403</v>
      </c>
      <c r="S314" s="5">
        <v>0.23504357802551901</v>
      </c>
      <c r="T314" s="22">
        <v>275.8</v>
      </c>
      <c r="U314" s="22">
        <v>79</v>
      </c>
      <c r="V314" s="23">
        <v>4.6065670362633197E-2</v>
      </c>
      <c r="W314" s="21">
        <f t="shared" si="8"/>
        <v>1.2835787698267169</v>
      </c>
      <c r="X314" s="21">
        <f t="shared" si="9"/>
        <v>0.47499999999999998</v>
      </c>
      <c r="Y314" s="21">
        <v>0.81049509663971997</v>
      </c>
      <c r="Z314" s="21">
        <v>0.21858354780577399</v>
      </c>
      <c r="AA314" s="22">
        <v>275.8</v>
      </c>
      <c r="AB314" s="22">
        <v>44.592124795873602</v>
      </c>
      <c r="AC314" s="23">
        <v>0.106860667703036</v>
      </c>
      <c r="AD314" s="21">
        <v>0.75373637174404895</v>
      </c>
      <c r="AE314" s="21">
        <v>0.24087564876911199</v>
      </c>
      <c r="AF314" s="21">
        <v>0.41557101380352901</v>
      </c>
      <c r="AG314" s="22">
        <v>275.8</v>
      </c>
      <c r="AH314" s="23">
        <v>3.1699999999999999E-2</v>
      </c>
      <c r="AI314" s="21">
        <v>0.83060568541073199</v>
      </c>
    </row>
    <row r="315" spans="1:35" x14ac:dyDescent="0.25">
      <c r="A315" t="s">
        <v>97</v>
      </c>
      <c r="B315" s="1">
        <v>28.7</v>
      </c>
      <c r="C315" s="1">
        <v>2</v>
      </c>
      <c r="D315" s="3">
        <v>50.6</v>
      </c>
      <c r="E315" s="5">
        <v>2.7153116457984501</v>
      </c>
      <c r="F315" s="1">
        <v>38.200000000000003</v>
      </c>
      <c r="G315" s="1">
        <v>52.5</v>
      </c>
      <c r="H315" s="4">
        <v>144.17675602863099</v>
      </c>
      <c r="I315" s="1">
        <v>381</v>
      </c>
      <c r="J315" s="29">
        <v>328.5</v>
      </c>
      <c r="K315" s="22">
        <v>206</v>
      </c>
      <c r="L315" s="29">
        <v>183.75</v>
      </c>
      <c r="M315" s="5">
        <v>0.17</v>
      </c>
      <c r="N315" s="21">
        <v>0.14087586174075001</v>
      </c>
      <c r="O315" s="22">
        <v>212.947491588265</v>
      </c>
      <c r="P315" s="22">
        <v>43.411365898323602</v>
      </c>
      <c r="Q315" s="23">
        <v>0.107226386910195</v>
      </c>
      <c r="R315" s="21">
        <v>0.82868153965146796</v>
      </c>
      <c r="S315" s="5">
        <v>0.17172528363860701</v>
      </c>
      <c r="T315" s="22">
        <v>212.947491588265</v>
      </c>
      <c r="U315" s="22">
        <v>77</v>
      </c>
      <c r="V315" s="23">
        <v>4.6065670362633197E-2</v>
      </c>
      <c r="W315" s="21">
        <f t="shared" si="8"/>
        <v>1.284825716327751</v>
      </c>
      <c r="X315" s="21">
        <f t="shared" si="9"/>
        <v>0.47499999999999998</v>
      </c>
      <c r="Y315" s="21">
        <v>1.01014872728592</v>
      </c>
      <c r="Z315" s="21">
        <v>0.16389493709976799</v>
      </c>
      <c r="AA315" s="22">
        <v>212.947491588265</v>
      </c>
      <c r="AB315" s="22">
        <v>43.411365898323602</v>
      </c>
      <c r="AC315" s="23">
        <v>0.107226386910195</v>
      </c>
      <c r="AD315" s="21">
        <v>0.96408786529275503</v>
      </c>
      <c r="AE315" s="21">
        <v>0.196332447238008</v>
      </c>
      <c r="AF315" s="21">
        <v>0.28487073184270001</v>
      </c>
      <c r="AG315" s="22">
        <v>225</v>
      </c>
      <c r="AH315" s="23">
        <v>3.1699999999999999E-2</v>
      </c>
      <c r="AI315" s="21">
        <v>1.1548967484588699</v>
      </c>
    </row>
    <row r="316" spans="1:35" x14ac:dyDescent="0.25">
      <c r="A316" t="s">
        <v>98</v>
      </c>
      <c r="B316" s="1">
        <v>28.7</v>
      </c>
      <c r="C316" s="1">
        <v>2</v>
      </c>
      <c r="D316" s="3">
        <v>50.6</v>
      </c>
      <c r="E316" s="5">
        <v>2.8017146470593901</v>
      </c>
      <c r="F316" s="1">
        <v>38.200000000000003</v>
      </c>
      <c r="G316" s="1">
        <v>52.5</v>
      </c>
      <c r="H316" s="4">
        <v>143.36625380284801</v>
      </c>
      <c r="I316" s="1">
        <v>381</v>
      </c>
      <c r="J316" s="29">
        <v>328.5</v>
      </c>
      <c r="K316" s="22">
        <v>206</v>
      </c>
      <c r="L316" s="29">
        <v>183.75</v>
      </c>
      <c r="M316" s="5">
        <v>0.15</v>
      </c>
      <c r="N316" s="21">
        <v>0.11532192168156601</v>
      </c>
      <c r="O316" s="22">
        <v>179.49560032260399</v>
      </c>
      <c r="P316" s="22">
        <v>44.592124795873602</v>
      </c>
      <c r="Q316" s="23">
        <v>0.106860667703036</v>
      </c>
      <c r="R316" s="21">
        <v>0.76881281121043998</v>
      </c>
      <c r="S316" s="5">
        <v>0.13588745970060401</v>
      </c>
      <c r="T316" s="22">
        <v>179.49560032260399</v>
      </c>
      <c r="U316" s="22">
        <v>79</v>
      </c>
      <c r="V316" s="23">
        <v>4.6065670362633197E-2</v>
      </c>
      <c r="W316" s="21">
        <f t="shared" si="8"/>
        <v>1.2835787698267169</v>
      </c>
      <c r="X316" s="21">
        <f t="shared" si="9"/>
        <v>0.47499999999999998</v>
      </c>
      <c r="Y316" s="21">
        <v>0.90591639800403001</v>
      </c>
      <c r="Z316" s="21">
        <v>0.13405833916930099</v>
      </c>
      <c r="AA316" s="22">
        <v>179.49560032260399</v>
      </c>
      <c r="AB316" s="22">
        <v>44.592124795873602</v>
      </c>
      <c r="AC316" s="23">
        <v>0.106860667703036</v>
      </c>
      <c r="AD316" s="21">
        <v>0.89372226112867204</v>
      </c>
      <c r="AE316" s="21">
        <v>0.16565003896528299</v>
      </c>
      <c r="AF316" s="21">
        <v>0.19653619230075201</v>
      </c>
      <c r="AG316" s="22">
        <v>189.667494327817</v>
      </c>
      <c r="AH316" s="23">
        <v>3.1699999999999999E-2</v>
      </c>
      <c r="AI316" s="21">
        <v>1.1043335931018801</v>
      </c>
    </row>
    <row r="317" spans="1:35" x14ac:dyDescent="0.25">
      <c r="B317" s="1">
        <v>28.7</v>
      </c>
      <c r="C317" s="1">
        <v>2</v>
      </c>
      <c r="D317" s="3">
        <v>50.6</v>
      </c>
      <c r="E317" s="5">
        <v>2.8017146470593901</v>
      </c>
      <c r="F317" s="1">
        <v>38.200000000000003</v>
      </c>
      <c r="G317" s="1">
        <v>52.5</v>
      </c>
      <c r="H317" s="4">
        <v>143.36625380284801</v>
      </c>
      <c r="I317" s="1">
        <v>381</v>
      </c>
      <c r="J317" s="29">
        <v>328.5</v>
      </c>
      <c r="K317" s="22">
        <v>206</v>
      </c>
      <c r="L317" s="29">
        <v>183.75</v>
      </c>
      <c r="M317" s="5">
        <v>0.16</v>
      </c>
      <c r="N317" s="21">
        <v>0.140424010918515</v>
      </c>
      <c r="O317" s="22">
        <v>212.74254265148801</v>
      </c>
      <c r="P317" s="22">
        <v>44.592124795873602</v>
      </c>
      <c r="Q317" s="23">
        <v>0.106860667703036</v>
      </c>
      <c r="R317" s="21">
        <v>0.87765006824071901</v>
      </c>
      <c r="S317" s="5">
        <v>0.170118894178651</v>
      </c>
      <c r="T317" s="22">
        <v>212.74254265148801</v>
      </c>
      <c r="U317" s="22">
        <v>79</v>
      </c>
      <c r="V317" s="23">
        <v>4.6065670362633197E-2</v>
      </c>
      <c r="W317" s="21">
        <f t="shared" si="8"/>
        <v>1.2835787698267169</v>
      </c>
      <c r="X317" s="21">
        <f t="shared" si="9"/>
        <v>0.47499999999999998</v>
      </c>
      <c r="Y317" s="21">
        <v>1.06324308861657</v>
      </c>
      <c r="Z317" s="21">
        <v>0.163238778965275</v>
      </c>
      <c r="AA317" s="22">
        <v>212.74254265148801</v>
      </c>
      <c r="AB317" s="22">
        <v>44.592124795873602</v>
      </c>
      <c r="AC317" s="23">
        <v>0.106860667703036</v>
      </c>
      <c r="AD317" s="21">
        <v>1.02024236853297</v>
      </c>
      <c r="AE317" s="21">
        <v>0.196332447238008</v>
      </c>
      <c r="AF317" s="21">
        <v>0.276085509468807</v>
      </c>
      <c r="AG317" s="22">
        <v>224.798518343155</v>
      </c>
      <c r="AH317" s="23">
        <v>3.1699999999999999E-2</v>
      </c>
      <c r="AI317" s="21">
        <v>1.22707779523755</v>
      </c>
    </row>
    <row r="318" spans="1:35" x14ac:dyDescent="0.25">
      <c r="B318" s="1">
        <v>28.7</v>
      </c>
      <c r="C318" s="1">
        <v>2</v>
      </c>
      <c r="D318" s="3">
        <v>50.6</v>
      </c>
      <c r="E318" s="5">
        <v>2.8017146470593901</v>
      </c>
      <c r="F318" s="1">
        <v>38.200000000000003</v>
      </c>
      <c r="G318" s="1">
        <v>52.5</v>
      </c>
      <c r="H318" s="4">
        <v>143.36625380284801</v>
      </c>
      <c r="I318" s="1">
        <v>381</v>
      </c>
      <c r="J318" s="29">
        <v>328.5</v>
      </c>
      <c r="K318" s="22">
        <v>206</v>
      </c>
      <c r="L318" s="29">
        <v>183.75</v>
      </c>
      <c r="M318" s="5">
        <v>0.22</v>
      </c>
      <c r="N318" s="21">
        <v>0.16495397276544799</v>
      </c>
      <c r="O318" s="22">
        <v>245.23171991304599</v>
      </c>
      <c r="P318" s="22">
        <v>44.592124795873602</v>
      </c>
      <c r="Q318" s="23">
        <v>0.106860667703036</v>
      </c>
      <c r="R318" s="21">
        <v>0.74979078529749099</v>
      </c>
      <c r="S318" s="5">
        <v>0.20357012502187</v>
      </c>
      <c r="T318" s="22">
        <v>245.23171991304599</v>
      </c>
      <c r="U318" s="22">
        <v>79</v>
      </c>
      <c r="V318" s="23">
        <v>4.6065670362633197E-2</v>
      </c>
      <c r="W318" s="21">
        <f t="shared" si="8"/>
        <v>1.2835787698267169</v>
      </c>
      <c r="X318" s="21">
        <f t="shared" si="9"/>
        <v>0.47499999999999998</v>
      </c>
      <c r="Y318" s="21">
        <v>0.925318750099409</v>
      </c>
      <c r="Z318" s="21">
        <v>0.191754137512338</v>
      </c>
      <c r="AA318" s="22">
        <v>245.23171991304599</v>
      </c>
      <c r="AB318" s="22">
        <v>44.592124795873602</v>
      </c>
      <c r="AC318" s="23">
        <v>0.106860667703036</v>
      </c>
      <c r="AD318" s="21">
        <v>0.87160971596517101</v>
      </c>
      <c r="AE318" s="21">
        <v>0.226315541362067</v>
      </c>
      <c r="AF318" s="21">
        <v>0.366849735279691</v>
      </c>
      <c r="AG318" s="22">
        <v>259.12883525842699</v>
      </c>
      <c r="AH318" s="23">
        <v>3.1699999999999999E-2</v>
      </c>
      <c r="AI318" s="21">
        <v>1.02870700619121</v>
      </c>
    </row>
    <row r="319" spans="1:35" x14ac:dyDescent="0.25">
      <c r="B319" s="1">
        <v>28.7</v>
      </c>
      <c r="C319" s="1">
        <v>2</v>
      </c>
      <c r="D319" s="3">
        <v>50.6</v>
      </c>
      <c r="E319" s="5">
        <v>2.8017146470593901</v>
      </c>
      <c r="F319" s="1">
        <v>38.200000000000003</v>
      </c>
      <c r="G319" s="1">
        <v>52.5</v>
      </c>
      <c r="H319" s="4">
        <v>143.36625380284801</v>
      </c>
      <c r="I319" s="1">
        <v>381</v>
      </c>
      <c r="J319" s="29">
        <v>328.5</v>
      </c>
      <c r="K319" s="22">
        <v>206</v>
      </c>
      <c r="L319" s="29">
        <v>183.75</v>
      </c>
      <c r="M319" s="5">
        <v>0.26</v>
      </c>
      <c r="N319" s="21">
        <v>0.18803361981907099</v>
      </c>
      <c r="O319" s="22">
        <v>275.8</v>
      </c>
      <c r="P319" s="22">
        <v>44.592124795873602</v>
      </c>
      <c r="Q319" s="23">
        <v>0.106860667703036</v>
      </c>
      <c r="R319" s="21">
        <v>0.72320623007334806</v>
      </c>
      <c r="S319" s="5">
        <v>0.23504357802551901</v>
      </c>
      <c r="T319" s="22">
        <v>275.8</v>
      </c>
      <c r="U319" s="22">
        <v>79</v>
      </c>
      <c r="V319" s="23">
        <v>4.6065670362633197E-2</v>
      </c>
      <c r="W319" s="21">
        <f t="shared" si="8"/>
        <v>1.2835787698267169</v>
      </c>
      <c r="X319" s="21">
        <f t="shared" si="9"/>
        <v>0.47499999999999998</v>
      </c>
      <c r="Y319" s="21">
        <v>0.90401376163661096</v>
      </c>
      <c r="Z319" s="21">
        <v>0.21858354780577399</v>
      </c>
      <c r="AA319" s="22">
        <v>275.8</v>
      </c>
      <c r="AB319" s="22">
        <v>44.592124795873602</v>
      </c>
      <c r="AC319" s="23">
        <v>0.106860667703036</v>
      </c>
      <c r="AD319" s="21">
        <v>0.84070595309913099</v>
      </c>
      <c r="AE319" s="21">
        <v>0.24087564876911199</v>
      </c>
      <c r="AF319" s="21">
        <v>0.41557101380352901</v>
      </c>
      <c r="AG319" s="22">
        <v>275.8</v>
      </c>
      <c r="AH319" s="23">
        <v>3.1699999999999999E-2</v>
      </c>
      <c r="AI319" s="21">
        <v>0.92644480295812404</v>
      </c>
    </row>
    <row r="320" spans="1:35" x14ac:dyDescent="0.25">
      <c r="A320" t="s">
        <v>99</v>
      </c>
      <c r="B320" s="1">
        <v>28.7</v>
      </c>
      <c r="C320" s="1">
        <v>2</v>
      </c>
      <c r="D320" s="3">
        <v>50.6</v>
      </c>
      <c r="E320" s="5">
        <v>2.5244480681033798</v>
      </c>
      <c r="F320" s="1">
        <v>38.200000000000003</v>
      </c>
      <c r="G320" s="1">
        <v>52.5</v>
      </c>
      <c r="H320" s="4">
        <v>146.0713467674</v>
      </c>
      <c r="I320" s="1">
        <v>381</v>
      </c>
      <c r="J320" s="29">
        <v>328.5</v>
      </c>
      <c r="K320" s="22">
        <v>207</v>
      </c>
      <c r="L320" s="29">
        <v>183.75</v>
      </c>
      <c r="M320" s="5">
        <v>0.17</v>
      </c>
      <c r="N320" s="21">
        <v>0.141859120010489</v>
      </c>
      <c r="O320" s="22">
        <v>213.42811414487301</v>
      </c>
      <c r="P320" s="22">
        <v>40.795707998733</v>
      </c>
      <c r="Q320" s="23">
        <v>0.108091118039397</v>
      </c>
      <c r="R320" s="21">
        <v>0.83446541182640499</v>
      </c>
      <c r="S320" s="5">
        <v>0.175324609891476</v>
      </c>
      <c r="T320" s="22">
        <v>213.42811414487301</v>
      </c>
      <c r="U320" s="22">
        <v>72</v>
      </c>
      <c r="V320" s="23">
        <v>4.6065670362633197E-2</v>
      </c>
      <c r="W320" s="21">
        <f t="shared" si="8"/>
        <v>1.2877837393946088</v>
      </c>
      <c r="X320" s="21">
        <f t="shared" si="9"/>
        <v>0.47198275862068967</v>
      </c>
      <c r="Y320" s="21">
        <v>1.0313212346557401</v>
      </c>
      <c r="Z320" s="21">
        <v>0.16534871114949401</v>
      </c>
      <c r="AA320" s="22">
        <v>213.42811414487301</v>
      </c>
      <c r="AB320" s="22">
        <v>40.795707998733</v>
      </c>
      <c r="AC320" s="23">
        <v>0.108091118039397</v>
      </c>
      <c r="AD320" s="21">
        <v>0.97263947734996503</v>
      </c>
      <c r="AE320" s="21">
        <v>0.196332447238008</v>
      </c>
      <c r="AF320" s="21">
        <v>0.30640868611757599</v>
      </c>
      <c r="AG320" s="22">
        <v>224.798518343155</v>
      </c>
      <c r="AH320" s="23">
        <v>3.1699999999999999E-2</v>
      </c>
      <c r="AI320" s="21">
        <v>1.1548967484588699</v>
      </c>
    </row>
    <row r="321" spans="1:35" x14ac:dyDescent="0.25">
      <c r="B321" s="1">
        <v>28.7</v>
      </c>
      <c r="C321" s="1">
        <v>2</v>
      </c>
      <c r="D321" s="3">
        <v>50.6</v>
      </c>
      <c r="E321" s="5">
        <v>2.5244480681033798</v>
      </c>
      <c r="F321" s="1">
        <v>38.200000000000003</v>
      </c>
      <c r="G321" s="1">
        <v>52.5</v>
      </c>
      <c r="H321" s="4">
        <v>146.0713467674</v>
      </c>
      <c r="I321" s="1">
        <v>381</v>
      </c>
      <c r="J321" s="29">
        <v>328.5</v>
      </c>
      <c r="K321" s="22">
        <v>207</v>
      </c>
      <c r="L321" s="29">
        <v>183.75</v>
      </c>
      <c r="M321" s="5">
        <v>0.2</v>
      </c>
      <c r="N321" s="21">
        <v>0.16632972890339801</v>
      </c>
      <c r="O321" s="22">
        <v>246.021989101103</v>
      </c>
      <c r="P321" s="22">
        <v>40.795707998733</v>
      </c>
      <c r="Q321" s="23">
        <v>0.108091118039397</v>
      </c>
      <c r="R321" s="21">
        <v>0.83164864451699105</v>
      </c>
      <c r="S321" s="5">
        <v>0.208922974031405</v>
      </c>
      <c r="T321" s="22">
        <v>246.021989101103</v>
      </c>
      <c r="U321" s="22">
        <v>72</v>
      </c>
      <c r="V321" s="23">
        <v>4.6065670362633197E-2</v>
      </c>
      <c r="W321" s="21">
        <f t="shared" si="8"/>
        <v>1.2877837393946088</v>
      </c>
      <c r="X321" s="21">
        <f t="shared" si="9"/>
        <v>0.47198275862068967</v>
      </c>
      <c r="Y321" s="21">
        <v>1.0446148701570299</v>
      </c>
      <c r="Z321" s="21">
        <v>0.193871259725763</v>
      </c>
      <c r="AA321" s="22">
        <v>246.021989101103</v>
      </c>
      <c r="AB321" s="22">
        <v>40.795707998733</v>
      </c>
      <c r="AC321" s="23">
        <v>0.108091118039397</v>
      </c>
      <c r="AD321" s="21">
        <v>0.96935629862881401</v>
      </c>
      <c r="AE321" s="21">
        <v>0.226315541362067</v>
      </c>
      <c r="AF321" s="21">
        <v>0.40714177866814399</v>
      </c>
      <c r="AG321" s="22">
        <v>259.12883525842699</v>
      </c>
      <c r="AH321" s="23">
        <v>3.1699999999999999E-2</v>
      </c>
      <c r="AI321" s="21">
        <v>1.1315777068103301</v>
      </c>
    </row>
    <row r="322" spans="1:35" x14ac:dyDescent="0.25">
      <c r="B322" s="1">
        <v>28.7</v>
      </c>
      <c r="C322" s="1">
        <v>2</v>
      </c>
      <c r="D322" s="3">
        <v>50.6</v>
      </c>
      <c r="E322" s="5">
        <v>2.5244480681033798</v>
      </c>
      <c r="F322" s="1">
        <v>38.200000000000003</v>
      </c>
      <c r="G322" s="1">
        <v>52.5</v>
      </c>
      <c r="H322" s="4">
        <v>146.0713467674</v>
      </c>
      <c r="I322" s="1">
        <v>381</v>
      </c>
      <c r="J322" s="29">
        <v>328.5</v>
      </c>
      <c r="K322" s="22">
        <v>207</v>
      </c>
      <c r="L322" s="29">
        <v>183.75</v>
      </c>
      <c r="M322" s="5">
        <v>0.24</v>
      </c>
      <c r="N322" s="21">
        <v>0.18868626243291201</v>
      </c>
      <c r="O322" s="22">
        <v>275.8</v>
      </c>
      <c r="P322" s="22">
        <v>40.795707998733</v>
      </c>
      <c r="Q322" s="23">
        <v>0.108091118039397</v>
      </c>
      <c r="R322" s="21">
        <v>0.78619276013713102</v>
      </c>
      <c r="S322" s="5">
        <v>0.239618693852614</v>
      </c>
      <c r="T322" s="22">
        <v>275.8</v>
      </c>
      <c r="U322" s="22">
        <v>72</v>
      </c>
      <c r="V322" s="23">
        <v>4.6065670362633197E-2</v>
      </c>
      <c r="W322" s="21">
        <f t="shared" ref="W322:W342" si="10">(I322-H322)/(J322-H322)</f>
        <v>1.2877837393946088</v>
      </c>
      <c r="X322" s="21">
        <f t="shared" ref="X322:X342" si="11">0.5*(1+(I322-K322-L322)/(I322-K322))</f>
        <v>0.47198275862068967</v>
      </c>
      <c r="Y322" s="21">
        <v>0.99841122438589103</v>
      </c>
      <c r="Z322" s="21">
        <v>0.21992967602358099</v>
      </c>
      <c r="AA322" s="22">
        <v>275.8</v>
      </c>
      <c r="AB322" s="22">
        <v>40.795707998733</v>
      </c>
      <c r="AC322" s="23">
        <v>0.108091118039397</v>
      </c>
      <c r="AD322" s="21">
        <v>0.916373650098254</v>
      </c>
      <c r="AE322" s="21">
        <v>0.24087564876911199</v>
      </c>
      <c r="AF322" s="21">
        <v>0.46121423965017999</v>
      </c>
      <c r="AG322" s="22">
        <v>275.8</v>
      </c>
      <c r="AH322" s="23">
        <v>3.1699999999999999E-2</v>
      </c>
      <c r="AI322" s="21">
        <v>1.0036485365379699</v>
      </c>
    </row>
    <row r="323" spans="1:35" x14ac:dyDescent="0.25">
      <c r="A323" t="s">
        <v>100</v>
      </c>
      <c r="B323" s="1">
        <v>32.299999999999997</v>
      </c>
      <c r="C323" s="1">
        <v>1</v>
      </c>
      <c r="D323" s="3">
        <v>60</v>
      </c>
      <c r="E323" s="5">
        <v>2.5382184533279299</v>
      </c>
      <c r="F323" s="1">
        <v>38.299999999999997</v>
      </c>
      <c r="G323" s="1">
        <v>54.4</v>
      </c>
      <c r="H323" s="4">
        <v>122.838831239211</v>
      </c>
      <c r="I323" s="1">
        <v>381</v>
      </c>
      <c r="J323" s="29">
        <v>326.60000000000002</v>
      </c>
      <c r="K323" s="22">
        <v>201</v>
      </c>
      <c r="L323" s="29">
        <v>190.4</v>
      </c>
      <c r="M323" s="5">
        <v>0.17</v>
      </c>
      <c r="N323" s="21">
        <v>0.14970058886743601</v>
      </c>
      <c r="O323" s="22">
        <v>170.80329915468201</v>
      </c>
      <c r="P323" s="22">
        <v>58.132703956962601</v>
      </c>
      <c r="Q323" s="23">
        <v>6.2449543908879301E-2</v>
      </c>
      <c r="R323" s="21">
        <v>0.88059169922020897</v>
      </c>
      <c r="S323" s="5">
        <v>0.143016253459017</v>
      </c>
      <c r="T323" s="22">
        <v>170.80329915468201</v>
      </c>
      <c r="U323" s="22">
        <v>107</v>
      </c>
      <c r="V323" s="23">
        <v>2.82248726262158E-2</v>
      </c>
      <c r="W323" s="21">
        <f t="shared" si="10"/>
        <v>1.2669792302961529</v>
      </c>
      <c r="X323" s="21">
        <f t="shared" si="11"/>
        <v>0.47111111111111109</v>
      </c>
      <c r="Y323" s="21">
        <v>0.84127207917069002</v>
      </c>
      <c r="Z323" s="21">
        <v>0.148256700196014</v>
      </c>
      <c r="AA323" s="22">
        <v>170.80329915468201</v>
      </c>
      <c r="AB323" s="22">
        <v>58.132703956962601</v>
      </c>
      <c r="AC323" s="23">
        <v>6.2449543908879301E-2</v>
      </c>
      <c r="AD323" s="21">
        <v>0.87209823644714002</v>
      </c>
      <c r="AE323" s="21">
        <v>0.22847111041694401</v>
      </c>
      <c r="AF323" s="21">
        <v>0.21773757789137599</v>
      </c>
      <c r="AG323" s="22">
        <v>179.11442665492399</v>
      </c>
      <c r="AH323" s="23">
        <v>2.2599999999999999E-2</v>
      </c>
      <c r="AI323" s="21">
        <v>1.28080928171397</v>
      </c>
    </row>
    <row r="324" spans="1:35" x14ac:dyDescent="0.25">
      <c r="B324" s="1">
        <v>32.299999999999997</v>
      </c>
      <c r="C324" s="1">
        <v>1</v>
      </c>
      <c r="D324" s="3">
        <v>60</v>
      </c>
      <c r="E324" s="5">
        <v>2.5382184533279299</v>
      </c>
      <c r="F324" s="1">
        <v>38.299999999999997</v>
      </c>
      <c r="G324" s="1">
        <v>54.4</v>
      </c>
      <c r="H324" s="4">
        <v>122.838831239211</v>
      </c>
      <c r="I324" s="1">
        <v>381</v>
      </c>
      <c r="J324" s="29">
        <v>326.60000000000002</v>
      </c>
      <c r="K324" s="22">
        <v>201</v>
      </c>
      <c r="L324" s="29">
        <v>190.4</v>
      </c>
      <c r="M324" s="5">
        <v>0.23</v>
      </c>
      <c r="N324" s="21">
        <v>0.19313670689694701</v>
      </c>
      <c r="O324" s="22">
        <v>210.242000847909</v>
      </c>
      <c r="P324" s="22">
        <v>58.132703956962601</v>
      </c>
      <c r="Q324" s="23">
        <v>6.2449543908879301E-2</v>
      </c>
      <c r="R324" s="21">
        <v>0.83972481259542298</v>
      </c>
      <c r="S324" s="5">
        <v>0.196050625318856</v>
      </c>
      <c r="T324" s="22">
        <v>210.242000847909</v>
      </c>
      <c r="U324" s="22">
        <v>107</v>
      </c>
      <c r="V324" s="23">
        <v>2.82248726262158E-2</v>
      </c>
      <c r="W324" s="21">
        <f t="shared" si="10"/>
        <v>1.2669792302961529</v>
      </c>
      <c r="X324" s="21">
        <f t="shared" si="11"/>
        <v>0.47111111111111109</v>
      </c>
      <c r="Y324" s="21">
        <v>0.85239402312546197</v>
      </c>
      <c r="Z324" s="21">
        <v>0.19127386918045</v>
      </c>
      <c r="AA324" s="22">
        <v>210.242000847909</v>
      </c>
      <c r="AB324" s="22">
        <v>58.132703956962601</v>
      </c>
      <c r="AC324" s="23">
        <v>6.2449543908879301E-2</v>
      </c>
      <c r="AD324" s="21">
        <v>0.83162551817586805</v>
      </c>
      <c r="AE324" s="21">
        <v>0.28122538398102798</v>
      </c>
      <c r="AF324" s="21">
        <v>0.32989811911981998</v>
      </c>
      <c r="AG324" s="22">
        <v>220.47217838897899</v>
      </c>
      <c r="AH324" s="23">
        <v>2.2599999999999999E-2</v>
      </c>
      <c r="AI324" s="21">
        <v>1.2227190607870799</v>
      </c>
    </row>
    <row r="325" spans="1:35" x14ac:dyDescent="0.25">
      <c r="B325" s="1">
        <v>32.299999999999997</v>
      </c>
      <c r="C325" s="1">
        <v>1</v>
      </c>
      <c r="D325" s="3">
        <v>60</v>
      </c>
      <c r="E325" s="5">
        <v>2.5382184533279299</v>
      </c>
      <c r="F325" s="1">
        <v>38.299999999999997</v>
      </c>
      <c r="G325" s="1">
        <v>54.4</v>
      </c>
      <c r="H325" s="4">
        <v>122.838831239211</v>
      </c>
      <c r="I325" s="1">
        <v>381</v>
      </c>
      <c r="J325" s="29">
        <v>326.60000000000002</v>
      </c>
      <c r="K325" s="22">
        <v>201</v>
      </c>
      <c r="L325" s="29">
        <v>190.4</v>
      </c>
      <c r="M325" s="5">
        <v>0.27</v>
      </c>
      <c r="N325" s="21">
        <v>0.23156717563681301</v>
      </c>
      <c r="O325" s="22">
        <v>245.13572204860799</v>
      </c>
      <c r="P325" s="22">
        <v>58.132703956962601</v>
      </c>
      <c r="Q325" s="23">
        <v>6.2449543908879301E-2</v>
      </c>
      <c r="R325" s="21">
        <v>0.85765620606227</v>
      </c>
      <c r="S325" s="5">
        <v>0.24297322941789601</v>
      </c>
      <c r="T325" s="22">
        <v>245.13572204860799</v>
      </c>
      <c r="U325" s="22">
        <v>107</v>
      </c>
      <c r="V325" s="23">
        <v>2.82248726262158E-2</v>
      </c>
      <c r="W325" s="21">
        <f t="shared" si="10"/>
        <v>1.2669792302961529</v>
      </c>
      <c r="X325" s="21">
        <f t="shared" si="11"/>
        <v>0.47111111111111109</v>
      </c>
      <c r="Y325" s="21">
        <v>0.899900849695911</v>
      </c>
      <c r="Z325" s="21">
        <v>0.22933366924846299</v>
      </c>
      <c r="AA325" s="22">
        <v>245.13572204860799</v>
      </c>
      <c r="AB325" s="22">
        <v>58.132703956962601</v>
      </c>
      <c r="AC325" s="23">
        <v>6.2449543908879301E-2</v>
      </c>
      <c r="AD325" s="21">
        <v>0.84938396017949402</v>
      </c>
      <c r="AE325" s="21">
        <v>0.327900168770069</v>
      </c>
      <c r="AF325" s="21">
        <v>0.44849136211894303</v>
      </c>
      <c r="AG325" s="22">
        <v>257.063795164834</v>
      </c>
      <c r="AH325" s="23">
        <v>2.2599999999999999E-2</v>
      </c>
      <c r="AI325" s="21">
        <v>1.2144450695187701</v>
      </c>
    </row>
    <row r="326" spans="1:35" x14ac:dyDescent="0.25">
      <c r="B326" s="1">
        <v>32.299999999999997</v>
      </c>
      <c r="C326" s="1">
        <v>1</v>
      </c>
      <c r="D326" s="3">
        <v>60</v>
      </c>
      <c r="E326" s="5">
        <v>2.5382184533279299</v>
      </c>
      <c r="F326" s="1">
        <v>38.299999999999997</v>
      </c>
      <c r="G326" s="1">
        <v>54.4</v>
      </c>
      <c r="H326" s="4">
        <v>122.838831239211</v>
      </c>
      <c r="I326" s="1">
        <v>381</v>
      </c>
      <c r="J326" s="29">
        <v>326.60000000000002</v>
      </c>
      <c r="K326" s="22">
        <v>201</v>
      </c>
      <c r="L326" s="29">
        <v>190.4</v>
      </c>
      <c r="M326" s="5">
        <v>0.31</v>
      </c>
      <c r="N326" s="21">
        <v>0.25901751045100202</v>
      </c>
      <c r="O326" s="22">
        <v>270.05980862053599</v>
      </c>
      <c r="P326" s="22">
        <v>58.132703956962601</v>
      </c>
      <c r="Q326" s="23">
        <v>6.2449543908879301E-2</v>
      </c>
      <c r="R326" s="21">
        <v>0.83554035629355605</v>
      </c>
      <c r="S326" s="5">
        <v>0.27648937520292399</v>
      </c>
      <c r="T326" s="22">
        <v>270.05980862053599</v>
      </c>
      <c r="U326" s="22">
        <v>107</v>
      </c>
      <c r="V326" s="23">
        <v>2.82248726262158E-2</v>
      </c>
      <c r="W326" s="21">
        <f t="shared" si="10"/>
        <v>1.2669792302961529</v>
      </c>
      <c r="X326" s="21">
        <f t="shared" si="11"/>
        <v>0.47111111111111109</v>
      </c>
      <c r="Y326" s="21">
        <v>0.89190121033201397</v>
      </c>
      <c r="Z326" s="21">
        <v>0.25651924072561599</v>
      </c>
      <c r="AA326" s="22">
        <v>270.05980862053599</v>
      </c>
      <c r="AB326" s="22">
        <v>58.132703956962601</v>
      </c>
      <c r="AC326" s="23">
        <v>6.2449543908879301E-2</v>
      </c>
      <c r="AD326" s="21">
        <v>0.82748142169553496</v>
      </c>
      <c r="AE326" s="21">
        <v>0.351799313041326</v>
      </c>
      <c r="AF326" s="21">
        <v>0.51625084647407804</v>
      </c>
      <c r="AG326" s="22">
        <v>275.8</v>
      </c>
      <c r="AH326" s="23">
        <v>2.2599999999999999E-2</v>
      </c>
      <c r="AI326" s="21">
        <v>1.1348364936816999</v>
      </c>
    </row>
    <row r="327" spans="1:35" x14ac:dyDescent="0.25">
      <c r="B327" s="1">
        <v>32.299999999999997</v>
      </c>
      <c r="C327" s="1">
        <v>1</v>
      </c>
      <c r="D327" s="3">
        <v>60</v>
      </c>
      <c r="E327" s="5">
        <v>2.5382184533279299</v>
      </c>
      <c r="F327" s="1">
        <v>38.299999999999997</v>
      </c>
      <c r="G327" s="1">
        <v>54.4</v>
      </c>
      <c r="H327" s="4">
        <v>122.838831239211</v>
      </c>
      <c r="I327" s="1">
        <v>381</v>
      </c>
      <c r="J327" s="29">
        <v>326.60000000000002</v>
      </c>
      <c r="K327" s="22">
        <v>201</v>
      </c>
      <c r="L327" s="29">
        <v>190.4</v>
      </c>
      <c r="M327" s="5">
        <v>0.35</v>
      </c>
      <c r="N327" s="21">
        <v>0.26533951446142401</v>
      </c>
      <c r="O327" s="22">
        <v>275.8</v>
      </c>
      <c r="P327" s="22">
        <v>58.132703956962601</v>
      </c>
      <c r="Q327" s="23">
        <v>6.2449543908879301E-2</v>
      </c>
      <c r="R327" s="21">
        <v>0.75811289846121099</v>
      </c>
      <c r="S327" s="5">
        <v>0.28420837788544501</v>
      </c>
      <c r="T327" s="22">
        <v>275.8</v>
      </c>
      <c r="U327" s="22">
        <v>107</v>
      </c>
      <c r="V327" s="23">
        <v>2.82248726262158E-2</v>
      </c>
      <c r="W327" s="21">
        <f t="shared" si="10"/>
        <v>1.2669792302961529</v>
      </c>
      <c r="X327" s="21">
        <f t="shared" si="11"/>
        <v>0.47111111111111109</v>
      </c>
      <c r="Y327" s="21">
        <v>0.81202393681555696</v>
      </c>
      <c r="Z327" s="21">
        <v>0.262780267888582</v>
      </c>
      <c r="AA327" s="22">
        <v>275.8</v>
      </c>
      <c r="AB327" s="22">
        <v>58.132703956962601</v>
      </c>
      <c r="AC327" s="23">
        <v>6.2449543908879301E-2</v>
      </c>
      <c r="AD327" s="21">
        <v>0.75080076539594898</v>
      </c>
      <c r="AE327" s="21">
        <v>0.351799313041326</v>
      </c>
      <c r="AF327" s="21">
        <v>0.51625084647407804</v>
      </c>
      <c r="AG327" s="22">
        <v>275.8</v>
      </c>
      <c r="AH327" s="23">
        <v>2.2599999999999999E-2</v>
      </c>
      <c r="AI327" s="21">
        <v>1.0051408944037901</v>
      </c>
    </row>
    <row r="328" spans="1:35" x14ac:dyDescent="0.25">
      <c r="A328" t="s">
        <v>101</v>
      </c>
      <c r="B328" s="1">
        <v>32.299999999999997</v>
      </c>
      <c r="C328" s="1">
        <v>1</v>
      </c>
      <c r="D328" s="3">
        <v>60</v>
      </c>
      <c r="E328" s="5">
        <v>2.8108695189494299</v>
      </c>
      <c r="F328" s="1">
        <v>38.299999999999997</v>
      </c>
      <c r="G328" s="1">
        <v>54.4</v>
      </c>
      <c r="H328" s="4">
        <v>120.446116576203</v>
      </c>
      <c r="I328" s="1">
        <v>381</v>
      </c>
      <c r="J328" s="29">
        <v>326.60000000000002</v>
      </c>
      <c r="K328" s="22">
        <v>200</v>
      </c>
      <c r="L328" s="29">
        <v>190.4</v>
      </c>
      <c r="M328" s="5">
        <v>0.19</v>
      </c>
      <c r="N328" s="21">
        <v>0.14629024420917799</v>
      </c>
      <c r="O328" s="22">
        <v>170.327728419202</v>
      </c>
      <c r="P328" s="22">
        <v>63.831146787425297</v>
      </c>
      <c r="Q328" s="23">
        <v>6.1876058158271997E-2</v>
      </c>
      <c r="R328" s="21">
        <v>0.76994865373251697</v>
      </c>
      <c r="S328" s="5">
        <v>0.133769063769031</v>
      </c>
      <c r="T328" s="22">
        <v>170.327728419202</v>
      </c>
      <c r="U328" s="22">
        <v>118</v>
      </c>
      <c r="V328" s="23">
        <v>2.82248726262158E-2</v>
      </c>
      <c r="W328" s="21">
        <f t="shared" si="10"/>
        <v>1.2638805493087326</v>
      </c>
      <c r="X328" s="21">
        <f t="shared" si="11"/>
        <v>0.47403314917127071</v>
      </c>
      <c r="Y328" s="21">
        <v>0.70404770404753303</v>
      </c>
      <c r="Z328" s="21">
        <v>0.14454665868466801</v>
      </c>
      <c r="AA328" s="22">
        <v>170.327728419202</v>
      </c>
      <c r="AB328" s="22">
        <v>63.831146787425297</v>
      </c>
      <c r="AC328" s="23">
        <v>6.1876058158271997E-2</v>
      </c>
      <c r="AD328" s="21">
        <v>0.76077188781404104</v>
      </c>
      <c r="AE328" s="21">
        <v>0.22847111041694401</v>
      </c>
      <c r="AF328" s="21">
        <v>0.19661728673673101</v>
      </c>
      <c r="AG328" s="22">
        <v>179.11442665492399</v>
      </c>
      <c r="AH328" s="23">
        <v>2.2599999999999999E-2</v>
      </c>
      <c r="AI328" s="21">
        <v>1.0348278249301599</v>
      </c>
    </row>
    <row r="329" spans="1:35" x14ac:dyDescent="0.25">
      <c r="B329" s="1">
        <v>32.299999999999997</v>
      </c>
      <c r="C329" s="1">
        <v>1</v>
      </c>
      <c r="D329" s="3">
        <v>60</v>
      </c>
      <c r="E329" s="5">
        <v>2.8108695189494299</v>
      </c>
      <c r="F329" s="1">
        <v>38.299999999999997</v>
      </c>
      <c r="G329" s="1">
        <v>54.4</v>
      </c>
      <c r="H329" s="4">
        <v>120.446116576203</v>
      </c>
      <c r="I329" s="1">
        <v>381</v>
      </c>
      <c r="J329" s="29">
        <v>326.60000000000002</v>
      </c>
      <c r="K329" s="22">
        <v>200</v>
      </c>
      <c r="L329" s="29">
        <v>190.4</v>
      </c>
      <c r="M329" s="5">
        <v>0.24</v>
      </c>
      <c r="N329" s="21">
        <v>0.18986727219110999</v>
      </c>
      <c r="O329" s="22">
        <v>209.656620217284</v>
      </c>
      <c r="P329" s="22">
        <v>63.831146787425297</v>
      </c>
      <c r="Q329" s="23">
        <v>6.1876058158271997E-2</v>
      </c>
      <c r="R329" s="21">
        <v>0.79111363412962399</v>
      </c>
      <c r="S329" s="5">
        <v>0.186626082364968</v>
      </c>
      <c r="T329" s="22">
        <v>209.656620217284</v>
      </c>
      <c r="U329" s="22">
        <v>118</v>
      </c>
      <c r="V329" s="23">
        <v>2.82248726262158E-2</v>
      </c>
      <c r="W329" s="21">
        <f t="shared" si="10"/>
        <v>1.2638805493087326</v>
      </c>
      <c r="X329" s="21">
        <f t="shared" si="11"/>
        <v>0.47403314917127071</v>
      </c>
      <c r="Y329" s="21">
        <v>0.77760867652069998</v>
      </c>
      <c r="Z329" s="21">
        <v>0.18760430633743799</v>
      </c>
      <c r="AA329" s="22">
        <v>209.656620217284</v>
      </c>
      <c r="AB329" s="22">
        <v>63.831146787425297</v>
      </c>
      <c r="AC329" s="23">
        <v>6.1876058158271997E-2</v>
      </c>
      <c r="AD329" s="21">
        <v>0.78168460973932397</v>
      </c>
      <c r="AE329" s="21">
        <v>0.28122538398102798</v>
      </c>
      <c r="AF329" s="21">
        <v>0.29789838625489301</v>
      </c>
      <c r="AG329" s="22">
        <v>220.47217838897899</v>
      </c>
      <c r="AH329" s="23">
        <v>2.2599999999999999E-2</v>
      </c>
      <c r="AI329" s="21">
        <v>1.17177243325428</v>
      </c>
    </row>
    <row r="330" spans="1:35" x14ac:dyDescent="0.25">
      <c r="B330" s="1">
        <v>32.299999999999997</v>
      </c>
      <c r="C330" s="1">
        <v>1</v>
      </c>
      <c r="D330" s="3">
        <v>60</v>
      </c>
      <c r="E330" s="5">
        <v>2.8108695189494299</v>
      </c>
      <c r="F330" s="1">
        <v>38.299999999999997</v>
      </c>
      <c r="G330" s="1">
        <v>54.4</v>
      </c>
      <c r="H330" s="4">
        <v>120.446116576203</v>
      </c>
      <c r="I330" s="1">
        <v>381</v>
      </c>
      <c r="J330" s="29">
        <v>326.60000000000002</v>
      </c>
      <c r="K330" s="22">
        <v>200</v>
      </c>
      <c r="L330" s="29">
        <v>190.4</v>
      </c>
      <c r="M330" s="5">
        <v>0.28999999999999998</v>
      </c>
      <c r="N330" s="21">
        <v>0.22842241218999301</v>
      </c>
      <c r="O330" s="22">
        <v>244.45318619476899</v>
      </c>
      <c r="P330" s="22">
        <v>63.831146787425297</v>
      </c>
      <c r="Q330" s="23">
        <v>6.1876058158271997E-2</v>
      </c>
      <c r="R330" s="21">
        <v>0.78766349031032201</v>
      </c>
      <c r="S330" s="5">
        <v>0.23339177168033201</v>
      </c>
      <c r="T330" s="22">
        <v>244.45318619476899</v>
      </c>
      <c r="U330" s="22">
        <v>118</v>
      </c>
      <c r="V330" s="23">
        <v>2.82248726262158E-2</v>
      </c>
      <c r="W330" s="21">
        <f t="shared" si="10"/>
        <v>1.2638805493087326</v>
      </c>
      <c r="X330" s="21">
        <f t="shared" si="11"/>
        <v>0.47403314917127071</v>
      </c>
      <c r="Y330" s="21">
        <v>0.80479921269080001</v>
      </c>
      <c r="Z330" s="21">
        <v>0.22569992024583599</v>
      </c>
      <c r="AA330" s="22">
        <v>244.45318619476899</v>
      </c>
      <c r="AB330" s="22">
        <v>63.831146787425297</v>
      </c>
      <c r="AC330" s="23">
        <v>6.1876058158271997E-2</v>
      </c>
      <c r="AD330" s="21">
        <v>0.77827558705460798</v>
      </c>
      <c r="AE330" s="21">
        <v>0.327900168770069</v>
      </c>
      <c r="AF330" s="21">
        <v>0.40498822297306403</v>
      </c>
      <c r="AG330" s="22">
        <v>257.063795164834</v>
      </c>
      <c r="AH330" s="23">
        <v>2.2599999999999999E-2</v>
      </c>
      <c r="AI330" s="21">
        <v>1.13069023713817</v>
      </c>
    </row>
    <row r="331" spans="1:35" x14ac:dyDescent="0.25">
      <c r="B331" s="1">
        <v>32.299999999999997</v>
      </c>
      <c r="C331" s="1">
        <v>1</v>
      </c>
      <c r="D331" s="3">
        <v>60</v>
      </c>
      <c r="E331" s="5">
        <v>2.8108695189494299</v>
      </c>
      <c r="F331" s="1">
        <v>38.299999999999997</v>
      </c>
      <c r="G331" s="1">
        <v>54.4</v>
      </c>
      <c r="H331" s="4">
        <v>120.446116576203</v>
      </c>
      <c r="I331" s="1">
        <v>381</v>
      </c>
      <c r="J331" s="29">
        <v>326.60000000000002</v>
      </c>
      <c r="K331" s="22">
        <v>200</v>
      </c>
      <c r="L331" s="29">
        <v>190.4</v>
      </c>
      <c r="M331" s="5">
        <v>0.36</v>
      </c>
      <c r="N331" s="21">
        <v>0.255961797903482</v>
      </c>
      <c r="O331" s="22">
        <v>269.307876178686</v>
      </c>
      <c r="P331" s="22">
        <v>63.831146787425297</v>
      </c>
      <c r="Q331" s="23">
        <v>6.1876058158271997E-2</v>
      </c>
      <c r="R331" s="21">
        <v>0.711004994176338</v>
      </c>
      <c r="S331" s="5">
        <v>0.26679583547702101</v>
      </c>
      <c r="T331" s="22">
        <v>269.307876178686</v>
      </c>
      <c r="U331" s="22">
        <v>118</v>
      </c>
      <c r="V331" s="23">
        <v>2.82248726262158E-2</v>
      </c>
      <c r="W331" s="21">
        <f t="shared" si="10"/>
        <v>1.2638805493087326</v>
      </c>
      <c r="X331" s="21">
        <f t="shared" si="11"/>
        <v>0.47403314917127071</v>
      </c>
      <c r="Y331" s="21">
        <v>0.74109954299172398</v>
      </c>
      <c r="Z331" s="21">
        <v>0.25291107303755</v>
      </c>
      <c r="AA331" s="22">
        <v>269.307876178686</v>
      </c>
      <c r="AB331" s="22">
        <v>63.831146787425297</v>
      </c>
      <c r="AC331" s="23">
        <v>6.1876058158271997E-2</v>
      </c>
      <c r="AD331" s="21">
        <v>0.70253075843763801</v>
      </c>
      <c r="AE331" s="21">
        <v>0.351799313041326</v>
      </c>
      <c r="AF331" s="21">
        <v>0.46617511635915998</v>
      </c>
      <c r="AG331" s="22">
        <v>275.8</v>
      </c>
      <c r="AH331" s="23">
        <v>2.2599999999999999E-2</v>
      </c>
      <c r="AI331" s="21">
        <v>0.97722031400368403</v>
      </c>
    </row>
    <row r="332" spans="1:35" x14ac:dyDescent="0.25">
      <c r="B332" s="1">
        <v>32.299999999999997</v>
      </c>
      <c r="C332" s="1">
        <v>1</v>
      </c>
      <c r="D332" s="3">
        <v>60</v>
      </c>
      <c r="E332" s="5">
        <v>2.8108695189494299</v>
      </c>
      <c r="F332" s="1">
        <v>38.299999999999997</v>
      </c>
      <c r="G332" s="1">
        <v>54.4</v>
      </c>
      <c r="H332" s="4">
        <v>120.446116576203</v>
      </c>
      <c r="I332" s="1">
        <v>381</v>
      </c>
      <c r="J332" s="29">
        <v>326.60000000000002</v>
      </c>
      <c r="K332" s="22">
        <v>200</v>
      </c>
      <c r="L332" s="29">
        <v>190.4</v>
      </c>
      <c r="M332" s="5">
        <v>0.42</v>
      </c>
      <c r="N332" s="21">
        <v>0.26315517276072398</v>
      </c>
      <c r="O332" s="22">
        <v>275.8</v>
      </c>
      <c r="P332" s="22">
        <v>63.831146787425297</v>
      </c>
      <c r="Q332" s="23">
        <v>6.1876058158271997E-2</v>
      </c>
      <c r="R332" s="21">
        <v>0.62655993514458197</v>
      </c>
      <c r="S332" s="5">
        <v>0.275521082842547</v>
      </c>
      <c r="T332" s="22">
        <v>275.8</v>
      </c>
      <c r="U332" s="22">
        <v>118</v>
      </c>
      <c r="V332" s="23">
        <v>2.82248726262158E-2</v>
      </c>
      <c r="W332" s="21">
        <f t="shared" si="10"/>
        <v>1.2638805493087326</v>
      </c>
      <c r="X332" s="21">
        <f t="shared" si="11"/>
        <v>0.47403314917127071</v>
      </c>
      <c r="Y332" s="21">
        <v>0.65600257819654095</v>
      </c>
      <c r="Z332" s="21">
        <v>0.260018712415019</v>
      </c>
      <c r="AA332" s="22">
        <v>275.8</v>
      </c>
      <c r="AB332" s="22">
        <v>63.831146787425297</v>
      </c>
      <c r="AC332" s="23">
        <v>6.1876058158271997E-2</v>
      </c>
      <c r="AD332" s="21">
        <v>0.61909217241671199</v>
      </c>
      <c r="AE332" s="21">
        <v>0.351799313041326</v>
      </c>
      <c r="AF332" s="21">
        <v>0.46617511635915998</v>
      </c>
      <c r="AG332" s="22">
        <v>275.8</v>
      </c>
      <c r="AH332" s="23">
        <v>2.2599999999999999E-2</v>
      </c>
      <c r="AI332" s="21">
        <v>0.83761741200315698</v>
      </c>
    </row>
    <row r="333" spans="1:35" x14ac:dyDescent="0.25">
      <c r="A333" t="s">
        <v>102</v>
      </c>
      <c r="B333" s="1">
        <v>28.7</v>
      </c>
      <c r="C333" s="1">
        <v>2</v>
      </c>
      <c r="D333" s="3">
        <v>50.6</v>
      </c>
      <c r="E333" s="5">
        <v>2.5765786179080399</v>
      </c>
      <c r="F333" s="1">
        <v>38</v>
      </c>
      <c r="G333" s="1">
        <v>52.3</v>
      </c>
      <c r="H333" s="4">
        <v>196.92661613933601</v>
      </c>
      <c r="I333" s="1">
        <v>584.20000000000005</v>
      </c>
      <c r="J333" s="29">
        <v>531.9</v>
      </c>
      <c r="K333" s="22">
        <v>311</v>
      </c>
      <c r="L333" s="29">
        <v>183.05</v>
      </c>
      <c r="M333" s="5">
        <v>0.18</v>
      </c>
      <c r="N333" s="21">
        <v>0.147279370026866</v>
      </c>
      <c r="O333" s="22">
        <v>183.23030547751301</v>
      </c>
      <c r="P333" s="22">
        <v>56.914849504467099</v>
      </c>
      <c r="Q333" s="23">
        <v>6.5570477718494405E-2</v>
      </c>
      <c r="R333" s="21">
        <v>0.81821872237147997</v>
      </c>
      <c r="S333" s="5">
        <v>0.14859881244269199</v>
      </c>
      <c r="T333" s="22">
        <v>183.23030547751301</v>
      </c>
      <c r="U333" s="22">
        <v>73</v>
      </c>
      <c r="V333" s="23">
        <v>4.6241829713924397E-2</v>
      </c>
      <c r="W333" s="21">
        <f t="shared" si="10"/>
        <v>1.1561318078386635</v>
      </c>
      <c r="X333" s="21">
        <f t="shared" si="11"/>
        <v>0.66498901903367502</v>
      </c>
      <c r="Y333" s="21">
        <v>0.82554895801495498</v>
      </c>
      <c r="Z333" s="21">
        <v>0.15177118672558901</v>
      </c>
      <c r="AA333" s="22">
        <v>183.23030547751301</v>
      </c>
      <c r="AB333" s="22">
        <v>56.914849504467099</v>
      </c>
      <c r="AC333" s="23">
        <v>6.5570477718494405E-2</v>
      </c>
      <c r="AD333" s="21">
        <v>0.84317325958660705</v>
      </c>
      <c r="AE333" s="21">
        <v>0.16772641499721699</v>
      </c>
      <c r="AF333" s="21">
        <v>0.21934168126914799</v>
      </c>
      <c r="AG333" s="22">
        <v>192.15069998643199</v>
      </c>
      <c r="AH333" s="23">
        <v>3.1699999999999999E-2</v>
      </c>
      <c r="AI333" s="21">
        <v>0.93181341665120598</v>
      </c>
    </row>
    <row r="334" spans="1:35" x14ac:dyDescent="0.25">
      <c r="B334" s="1">
        <v>28.7</v>
      </c>
      <c r="C334" s="1">
        <v>2</v>
      </c>
      <c r="D334" s="3">
        <v>50.6</v>
      </c>
      <c r="E334" s="5">
        <v>2.5765786179080399</v>
      </c>
      <c r="F334" s="1">
        <v>38</v>
      </c>
      <c r="G334" s="1">
        <v>52.3</v>
      </c>
      <c r="H334" s="4">
        <v>196.92661613933601</v>
      </c>
      <c r="I334" s="1">
        <v>584.20000000000005</v>
      </c>
      <c r="J334" s="29">
        <v>531.9</v>
      </c>
      <c r="K334" s="22">
        <v>311</v>
      </c>
      <c r="L334" s="29">
        <v>183.05</v>
      </c>
      <c r="M334" s="5">
        <v>0.22</v>
      </c>
      <c r="N334" s="21">
        <v>0.18349626769646801</v>
      </c>
      <c r="O334" s="22">
        <v>219.890332297519</v>
      </c>
      <c r="P334" s="22">
        <v>56.914849504467099</v>
      </c>
      <c r="Q334" s="23">
        <v>6.5570477718494405E-2</v>
      </c>
      <c r="R334" s="21">
        <v>0.83407394407485302</v>
      </c>
      <c r="S334" s="5">
        <v>0.18772668752404401</v>
      </c>
      <c r="T334" s="22">
        <v>219.890332297519</v>
      </c>
      <c r="U334" s="22">
        <v>73</v>
      </c>
      <c r="V334" s="23">
        <v>4.6241829713924397E-2</v>
      </c>
      <c r="W334" s="21">
        <f t="shared" si="10"/>
        <v>1.1561318078386635</v>
      </c>
      <c r="X334" s="21">
        <f t="shared" si="11"/>
        <v>0.66498901903367502</v>
      </c>
      <c r="Y334" s="21">
        <v>0.85330312510929096</v>
      </c>
      <c r="Z334" s="21">
        <v>0.18909264958784799</v>
      </c>
      <c r="AA334" s="22">
        <v>219.890332297519</v>
      </c>
      <c r="AB334" s="22">
        <v>56.914849504467099</v>
      </c>
      <c r="AC334" s="23">
        <v>6.5570477718494405E-2</v>
      </c>
      <c r="AD334" s="21">
        <v>0.85951204358112898</v>
      </c>
      <c r="AE334" s="21">
        <v>0.20128448202219401</v>
      </c>
      <c r="AF334" s="21">
        <v>0.315892145780101</v>
      </c>
      <c r="AG334" s="22">
        <v>230.595485616339</v>
      </c>
      <c r="AH334" s="23">
        <v>3.1699999999999999E-2</v>
      </c>
      <c r="AI334" s="21">
        <v>0.91492946373724504</v>
      </c>
    </row>
    <row r="335" spans="1:35" x14ac:dyDescent="0.25">
      <c r="B335" s="1">
        <v>28.7</v>
      </c>
      <c r="C335" s="1">
        <v>2</v>
      </c>
      <c r="D335" s="3">
        <v>50.6</v>
      </c>
      <c r="E335" s="5">
        <v>2.5765786179080399</v>
      </c>
      <c r="F335" s="1">
        <v>38</v>
      </c>
      <c r="G335" s="1">
        <v>52.3</v>
      </c>
      <c r="H335" s="4">
        <v>196.92661613933601</v>
      </c>
      <c r="I335" s="1">
        <v>584.20000000000005</v>
      </c>
      <c r="J335" s="29">
        <v>531.9</v>
      </c>
      <c r="K335" s="22">
        <v>311</v>
      </c>
      <c r="L335" s="29">
        <v>183.05</v>
      </c>
      <c r="M335" s="5">
        <v>0.27</v>
      </c>
      <c r="N335" s="21">
        <v>0.21143501732730299</v>
      </c>
      <c r="O335" s="22">
        <v>248.170924415809</v>
      </c>
      <c r="P335" s="22">
        <v>56.914849504467099</v>
      </c>
      <c r="Q335" s="23">
        <v>6.5570477718494405E-2</v>
      </c>
      <c r="R335" s="21">
        <v>0.78309265676778805</v>
      </c>
      <c r="S335" s="5">
        <v>0.21791104830108701</v>
      </c>
      <c r="T335" s="22">
        <v>248.170924415809</v>
      </c>
      <c r="U335" s="22">
        <v>73</v>
      </c>
      <c r="V335" s="23">
        <v>4.6241829713924397E-2</v>
      </c>
      <c r="W335" s="21">
        <f t="shared" si="10"/>
        <v>1.1561318078386635</v>
      </c>
      <c r="X335" s="21">
        <f t="shared" si="11"/>
        <v>0.66498901903367502</v>
      </c>
      <c r="Y335" s="21">
        <v>0.80707795667069304</v>
      </c>
      <c r="Z335" s="21">
        <v>0.217883492367305</v>
      </c>
      <c r="AA335" s="22">
        <v>248.170924415809</v>
      </c>
      <c r="AB335" s="22">
        <v>56.914849504467099</v>
      </c>
      <c r="AC335" s="23">
        <v>6.5570477718494405E-2</v>
      </c>
      <c r="AD335" s="21">
        <v>0.80697589765668598</v>
      </c>
      <c r="AE335" s="21">
        <v>0.22717213372717601</v>
      </c>
      <c r="AF335" s="21">
        <v>0.40237255763655999</v>
      </c>
      <c r="AG335" s="22">
        <v>260.25289167369601</v>
      </c>
      <c r="AH335" s="23">
        <v>3.1699999999999999E-2</v>
      </c>
      <c r="AI335" s="21">
        <v>0.84137827306361501</v>
      </c>
    </row>
    <row r="336" spans="1:35" x14ac:dyDescent="0.25">
      <c r="B336" s="1">
        <v>28.7</v>
      </c>
      <c r="C336" s="1">
        <v>2</v>
      </c>
      <c r="D336" s="3">
        <v>50.6</v>
      </c>
      <c r="E336" s="5">
        <v>2.5765786179080399</v>
      </c>
      <c r="F336" s="1">
        <v>38</v>
      </c>
      <c r="G336" s="1">
        <v>52.3</v>
      </c>
      <c r="H336" s="4">
        <v>196.92661613933601</v>
      </c>
      <c r="I336" s="1">
        <v>584.20000000000005</v>
      </c>
      <c r="J336" s="29">
        <v>531.9</v>
      </c>
      <c r="K336" s="22">
        <v>311</v>
      </c>
      <c r="L336" s="29">
        <v>183.05</v>
      </c>
      <c r="M336" s="5">
        <v>0.32</v>
      </c>
      <c r="N336" s="21">
        <v>0.23873012564927101</v>
      </c>
      <c r="O336" s="22">
        <v>275.8</v>
      </c>
      <c r="P336" s="22">
        <v>56.914849504467099</v>
      </c>
      <c r="Q336" s="23">
        <v>6.5570477718494405E-2</v>
      </c>
      <c r="R336" s="21">
        <v>0.74603164265397304</v>
      </c>
      <c r="S336" s="5">
        <v>0.247400034312454</v>
      </c>
      <c r="T336" s="22">
        <v>275.8</v>
      </c>
      <c r="U336" s="22">
        <v>73</v>
      </c>
      <c r="V336" s="23">
        <v>4.6241829713924397E-2</v>
      </c>
      <c r="W336" s="21">
        <f t="shared" si="10"/>
        <v>1.1561318078386635</v>
      </c>
      <c r="X336" s="21">
        <f t="shared" si="11"/>
        <v>0.66498901903367502</v>
      </c>
      <c r="Y336" s="21">
        <v>0.77312510722641803</v>
      </c>
      <c r="Z336" s="21">
        <v>0.24601106366987799</v>
      </c>
      <c r="AA336" s="22">
        <v>275.8</v>
      </c>
      <c r="AB336" s="22">
        <v>56.914849504467099</v>
      </c>
      <c r="AC336" s="23">
        <v>6.5570477718494405E-2</v>
      </c>
      <c r="AD336" s="21">
        <v>0.76878457396836797</v>
      </c>
      <c r="AE336" s="21">
        <v>0.24074304834434099</v>
      </c>
      <c r="AF336" s="21">
        <v>0.45188273634436499</v>
      </c>
      <c r="AG336" s="22">
        <v>275.8</v>
      </c>
      <c r="AH336" s="23">
        <v>3.1699999999999999E-2</v>
      </c>
      <c r="AI336" s="21">
        <v>0.75232202607606502</v>
      </c>
    </row>
    <row r="337" spans="1:35" x14ac:dyDescent="0.25">
      <c r="A337" t="s">
        <v>103</v>
      </c>
      <c r="B337" s="1">
        <v>28.7</v>
      </c>
      <c r="C337" s="1">
        <v>2</v>
      </c>
      <c r="D337" s="3">
        <v>50.6</v>
      </c>
      <c r="E337" s="5">
        <v>2.5765786179080399</v>
      </c>
      <c r="F337" s="1">
        <v>38</v>
      </c>
      <c r="G337" s="1">
        <v>52.3</v>
      </c>
      <c r="H337" s="4">
        <v>196.92661613933601</v>
      </c>
      <c r="I337" s="1">
        <v>584.20000000000005</v>
      </c>
      <c r="J337" s="29">
        <v>531.9</v>
      </c>
      <c r="K337" s="22">
        <v>311</v>
      </c>
      <c r="L337" s="29">
        <v>183.05</v>
      </c>
      <c r="M337" s="5">
        <v>0.16</v>
      </c>
      <c r="N337" s="21">
        <v>0.18349626769646801</v>
      </c>
      <c r="O337" s="22">
        <v>219.890332297519</v>
      </c>
      <c r="P337" s="22">
        <v>56.914849504467099</v>
      </c>
      <c r="Q337" s="23">
        <v>6.5570477718494405E-2</v>
      </c>
      <c r="R337" s="21">
        <v>1.1468516731029199</v>
      </c>
      <c r="S337" s="5">
        <v>0.18772668752404401</v>
      </c>
      <c r="T337" s="22">
        <v>219.890332297519</v>
      </c>
      <c r="U337" s="22">
        <v>73</v>
      </c>
      <c r="V337" s="23">
        <v>4.6241829713924397E-2</v>
      </c>
      <c r="W337" s="21">
        <f t="shared" si="10"/>
        <v>1.1561318078386635</v>
      </c>
      <c r="X337" s="21">
        <f t="shared" si="11"/>
        <v>0.66498901903367502</v>
      </c>
      <c r="Y337" s="21">
        <v>1.1732917970252801</v>
      </c>
      <c r="Z337" s="21">
        <v>0.18909264958784799</v>
      </c>
      <c r="AA337" s="22">
        <v>219.890332297519</v>
      </c>
      <c r="AB337" s="22">
        <v>56.914849504467099</v>
      </c>
      <c r="AC337" s="23">
        <v>6.5570477718494405E-2</v>
      </c>
      <c r="AD337" s="21">
        <v>1.18182905992405</v>
      </c>
      <c r="AE337" s="21">
        <v>0.20128448202219401</v>
      </c>
      <c r="AF337" s="21">
        <v>0.315892145780101</v>
      </c>
      <c r="AG337" s="22">
        <v>230.595485616339</v>
      </c>
      <c r="AH337" s="23">
        <v>3.1699999999999999E-2</v>
      </c>
      <c r="AI337" s="21">
        <v>1.25802801263871</v>
      </c>
    </row>
    <row r="338" spans="1:35" x14ac:dyDescent="0.25">
      <c r="B338" s="1">
        <v>28.7</v>
      </c>
      <c r="C338" s="1">
        <v>2</v>
      </c>
      <c r="D338" s="3">
        <v>50.6</v>
      </c>
      <c r="E338" s="5">
        <v>2.5765786179080399</v>
      </c>
      <c r="F338" s="1">
        <v>38</v>
      </c>
      <c r="G338" s="1">
        <v>52.3</v>
      </c>
      <c r="H338" s="4">
        <v>196.92661613933601</v>
      </c>
      <c r="I338" s="1">
        <v>584.20000000000005</v>
      </c>
      <c r="J338" s="29">
        <v>531.9</v>
      </c>
      <c r="K338" s="22">
        <v>311</v>
      </c>
      <c r="L338" s="29">
        <v>183.05</v>
      </c>
      <c r="M338" s="5">
        <v>0.19</v>
      </c>
      <c r="N338" s="21">
        <v>0.21143501732730299</v>
      </c>
      <c r="O338" s="22">
        <v>248.170924415809</v>
      </c>
      <c r="P338" s="22">
        <v>56.914849504467099</v>
      </c>
      <c r="Q338" s="23">
        <v>6.5570477718494405E-2</v>
      </c>
      <c r="R338" s="21">
        <v>1.1128158806700099</v>
      </c>
      <c r="S338" s="5">
        <v>0.21791104830108701</v>
      </c>
      <c r="T338" s="22">
        <v>248.170924415809</v>
      </c>
      <c r="U338" s="22">
        <v>73</v>
      </c>
      <c r="V338" s="23">
        <v>4.6241829713924397E-2</v>
      </c>
      <c r="W338" s="21">
        <f t="shared" si="10"/>
        <v>1.1561318078386635</v>
      </c>
      <c r="X338" s="21">
        <f t="shared" si="11"/>
        <v>0.66498901903367502</v>
      </c>
      <c r="Y338" s="21">
        <v>1.1469002542162501</v>
      </c>
      <c r="Z338" s="21">
        <v>0.217883492367305</v>
      </c>
      <c r="AA338" s="22">
        <v>248.170924415809</v>
      </c>
      <c r="AB338" s="22">
        <v>56.914849504467099</v>
      </c>
      <c r="AC338" s="23">
        <v>6.5570477718494405E-2</v>
      </c>
      <c r="AD338" s="21">
        <v>1.14675522298582</v>
      </c>
      <c r="AE338" s="21">
        <v>0.22717213372717601</v>
      </c>
      <c r="AF338" s="21">
        <v>0.40237255763655999</v>
      </c>
      <c r="AG338" s="22">
        <v>260.25289167369601</v>
      </c>
      <c r="AH338" s="23">
        <v>3.1699999999999999E-2</v>
      </c>
      <c r="AI338" s="21">
        <v>1.1956428090904001</v>
      </c>
    </row>
    <row r="339" spans="1:35" x14ac:dyDescent="0.25">
      <c r="B339" s="1">
        <v>28.7</v>
      </c>
      <c r="C339" s="1">
        <v>2</v>
      </c>
      <c r="D339" s="3">
        <v>50.6</v>
      </c>
      <c r="E339" s="5">
        <v>2.5765786179080399</v>
      </c>
      <c r="F339" s="1">
        <v>38</v>
      </c>
      <c r="G339" s="1">
        <v>52.3</v>
      </c>
      <c r="H339" s="4">
        <v>196.92661613933601</v>
      </c>
      <c r="I339" s="1">
        <v>584.20000000000005</v>
      </c>
      <c r="J339" s="29">
        <v>531.9</v>
      </c>
      <c r="K339" s="22">
        <v>311</v>
      </c>
      <c r="L339" s="29">
        <v>183.05</v>
      </c>
      <c r="M339" s="5">
        <v>0.22</v>
      </c>
      <c r="N339" s="21">
        <v>0.23873012564927101</v>
      </c>
      <c r="O339" s="22">
        <v>275.8</v>
      </c>
      <c r="P339" s="22">
        <v>56.914849504467099</v>
      </c>
      <c r="Q339" s="23">
        <v>6.5570477718494405E-2</v>
      </c>
      <c r="R339" s="21">
        <v>1.08513693476942</v>
      </c>
      <c r="S339" s="5">
        <v>0.247400034312454</v>
      </c>
      <c r="T339" s="22">
        <v>275.8</v>
      </c>
      <c r="U339" s="22">
        <v>73</v>
      </c>
      <c r="V339" s="23">
        <v>4.6241829713924397E-2</v>
      </c>
      <c r="W339" s="21">
        <f t="shared" si="10"/>
        <v>1.1561318078386635</v>
      </c>
      <c r="X339" s="21">
        <f t="shared" si="11"/>
        <v>0.66498901903367502</v>
      </c>
      <c r="Y339" s="21">
        <v>1.12454561051115</v>
      </c>
      <c r="Z339" s="21">
        <v>0.24601106366987799</v>
      </c>
      <c r="AA339" s="22">
        <v>275.8</v>
      </c>
      <c r="AB339" s="22">
        <v>56.914849504467099</v>
      </c>
      <c r="AC339" s="23">
        <v>6.5570477718494405E-2</v>
      </c>
      <c r="AD339" s="21">
        <v>1.1182321075903501</v>
      </c>
      <c r="AE339" s="21">
        <v>0.24074304834434099</v>
      </c>
      <c r="AF339" s="21">
        <v>0.45188273634436499</v>
      </c>
      <c r="AG339" s="22">
        <v>275.8</v>
      </c>
      <c r="AH339" s="23">
        <v>3.1699999999999999E-2</v>
      </c>
      <c r="AI339" s="21">
        <v>1.0942865833833699</v>
      </c>
    </row>
    <row r="340" spans="1:35" x14ac:dyDescent="0.25">
      <c r="A340" t="s">
        <v>104</v>
      </c>
      <c r="B340" s="1">
        <v>35.799999999999997</v>
      </c>
      <c r="C340" s="1">
        <v>2</v>
      </c>
      <c r="D340" s="3">
        <v>36.4</v>
      </c>
      <c r="E340" s="5">
        <v>2.5478355335404399</v>
      </c>
      <c r="F340" s="1">
        <v>38</v>
      </c>
      <c r="G340" s="1">
        <v>55.9</v>
      </c>
      <c r="H340" s="4">
        <v>231.96707915484501</v>
      </c>
      <c r="I340" s="1">
        <v>584.20000000000005</v>
      </c>
      <c r="J340" s="29">
        <v>528.29999999999995</v>
      </c>
      <c r="K340" s="22">
        <v>320</v>
      </c>
      <c r="L340" s="29">
        <v>195.65</v>
      </c>
      <c r="M340" s="5">
        <v>0.17</v>
      </c>
      <c r="N340" s="21">
        <v>0.13153374465321899</v>
      </c>
      <c r="O340" s="22">
        <v>184.08648071345601</v>
      </c>
      <c r="P340" s="22">
        <v>40.180304875947698</v>
      </c>
      <c r="Q340" s="23">
        <v>0.11244349085135601</v>
      </c>
      <c r="R340" s="21">
        <v>0.77372790972481598</v>
      </c>
      <c r="S340" s="5">
        <v>0.15062208841314201</v>
      </c>
      <c r="T340" s="22">
        <v>184.08648071345601</v>
      </c>
      <c r="U340" s="22">
        <v>55</v>
      </c>
      <c r="V340" s="23">
        <v>6.7478148415705597E-2</v>
      </c>
      <c r="W340" s="21">
        <f t="shared" si="10"/>
        <v>1.1886391827157468</v>
      </c>
      <c r="X340" s="21">
        <f t="shared" si="11"/>
        <v>0.62973126419379266</v>
      </c>
      <c r="Y340" s="21">
        <v>0.88601228478318605</v>
      </c>
      <c r="Z340" s="21">
        <v>0.146640079165194</v>
      </c>
      <c r="AA340" s="22">
        <v>184.08648071345601</v>
      </c>
      <c r="AB340" s="22">
        <v>40.180304875947698</v>
      </c>
      <c r="AC340" s="23">
        <v>0.11244349085135601</v>
      </c>
      <c r="AD340" s="21">
        <v>0.86258870097173002</v>
      </c>
      <c r="AE340" s="21">
        <v>0.17675156906293299</v>
      </c>
      <c r="AF340" s="21">
        <v>0.28174342772628103</v>
      </c>
      <c r="AG340" s="22">
        <v>194</v>
      </c>
      <c r="AH340" s="23">
        <v>4.07E-2</v>
      </c>
      <c r="AI340" s="21">
        <v>1.0397151121349</v>
      </c>
    </row>
    <row r="341" spans="1:35" x14ac:dyDescent="0.25">
      <c r="A341" t="s">
        <v>105</v>
      </c>
      <c r="B341" s="1">
        <v>35.799999999999997</v>
      </c>
      <c r="C341" s="1">
        <v>2</v>
      </c>
      <c r="D341" s="3">
        <v>36.4</v>
      </c>
      <c r="E341" s="5">
        <v>2.7563734268389202</v>
      </c>
      <c r="F341" s="1">
        <v>38</v>
      </c>
      <c r="G341" s="1">
        <v>55.9</v>
      </c>
      <c r="H341" s="4">
        <v>228.69980068753699</v>
      </c>
      <c r="I341" s="1">
        <v>584.20000000000005</v>
      </c>
      <c r="J341" s="29">
        <v>528.29999999999995</v>
      </c>
      <c r="K341" s="22">
        <v>319</v>
      </c>
      <c r="L341" s="29">
        <v>195.65</v>
      </c>
      <c r="M341" s="5">
        <v>0.19</v>
      </c>
      <c r="N341" s="21">
        <v>9.7514649841521805E-2</v>
      </c>
      <c r="O341" s="22">
        <v>143.792876986957</v>
      </c>
      <c r="P341" s="22">
        <v>42.965248228539302</v>
      </c>
      <c r="Q341" s="23">
        <v>0.111410061904879</v>
      </c>
      <c r="R341" s="21">
        <v>0.51323499916590398</v>
      </c>
      <c r="S341" s="5">
        <v>0.10806100229525099</v>
      </c>
      <c r="T341" s="22">
        <v>143.792876986957</v>
      </c>
      <c r="U341" s="22">
        <v>59</v>
      </c>
      <c r="V341" s="23">
        <v>6.7478148415705597E-2</v>
      </c>
      <c r="W341" s="21">
        <f t="shared" si="10"/>
        <v>1.1865819853534214</v>
      </c>
      <c r="X341" s="21">
        <f t="shared" si="11"/>
        <v>0.63112745098039225</v>
      </c>
      <c r="Y341" s="21">
        <v>0.56874211734342695</v>
      </c>
      <c r="Z341" s="21">
        <v>0.108470561427934</v>
      </c>
      <c r="AA341" s="22">
        <v>143.792876986957</v>
      </c>
      <c r="AB341" s="22">
        <v>42.965248228539302</v>
      </c>
      <c r="AC341" s="23">
        <v>0.111410061904879</v>
      </c>
      <c r="AD341" s="21">
        <v>0.57089769172597105</v>
      </c>
      <c r="AE341" s="21">
        <v>0.13839687856725499</v>
      </c>
      <c r="AF341" s="21">
        <v>0.159666264321595</v>
      </c>
      <c r="AG341" s="22">
        <v>151.82200833201799</v>
      </c>
      <c r="AH341" s="23">
        <v>4.07E-2</v>
      </c>
      <c r="AI341" s="21">
        <v>0.72840462403818296</v>
      </c>
    </row>
    <row r="342" spans="1:35" x14ac:dyDescent="0.25">
      <c r="B342" s="1">
        <v>35.799999999999997</v>
      </c>
      <c r="C342" s="1">
        <v>2</v>
      </c>
      <c r="D342" s="3">
        <v>36.4</v>
      </c>
      <c r="E342" s="5">
        <v>2.7563734268389202</v>
      </c>
      <c r="F342" s="1">
        <v>38</v>
      </c>
      <c r="G342" s="1">
        <v>55.9</v>
      </c>
      <c r="H342" s="4">
        <v>228.69980068753699</v>
      </c>
      <c r="I342" s="1">
        <v>584.20000000000005</v>
      </c>
      <c r="J342" s="29">
        <v>528.29999999999995</v>
      </c>
      <c r="K342" s="4">
        <v>319</v>
      </c>
      <c r="L342" s="3">
        <v>195.65</v>
      </c>
      <c r="M342" s="5">
        <v>0.25</v>
      </c>
      <c r="N342" s="21">
        <v>0.130442766845764</v>
      </c>
      <c r="O342" s="22">
        <v>183.642990294518</v>
      </c>
      <c r="P342" s="22">
        <v>42.965248228539302</v>
      </c>
      <c r="Q342" s="23">
        <v>0.111410061904879</v>
      </c>
      <c r="R342" s="21">
        <v>0.52177106738305601</v>
      </c>
      <c r="S342" s="5">
        <v>0.14780512821168501</v>
      </c>
      <c r="T342" s="22">
        <v>183.642990294518</v>
      </c>
      <c r="U342" s="22">
        <v>59</v>
      </c>
      <c r="V342" s="10">
        <v>6.7478148415705597E-2</v>
      </c>
      <c r="W342" s="21">
        <f t="shared" si="10"/>
        <v>1.1865819853534214</v>
      </c>
      <c r="X342" s="21">
        <f t="shared" si="11"/>
        <v>0.63112745098039225</v>
      </c>
      <c r="Y342" s="21">
        <v>0.59122051284673804</v>
      </c>
      <c r="Z342" s="21">
        <v>0.14509819988040901</v>
      </c>
      <c r="AA342" s="22">
        <v>183.642990294518</v>
      </c>
      <c r="AB342" s="22">
        <v>42.965248228539302</v>
      </c>
      <c r="AC342" s="23">
        <v>0.111410061904879</v>
      </c>
      <c r="AD342" s="21">
        <v>0.58039279952163503</v>
      </c>
      <c r="AE342" s="21">
        <v>0.17675156906293299</v>
      </c>
      <c r="AF342" s="21">
        <v>0.260427672648744</v>
      </c>
      <c r="AG342" s="22">
        <v>193.89727910611299</v>
      </c>
      <c r="AH342" s="23">
        <v>4.07E-2</v>
      </c>
      <c r="AI342" s="21">
        <v>0.70700627625173096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345"/>
  <sheetViews>
    <sheetView tabSelected="1" zoomScale="60" zoomScaleNormal="60" workbookViewId="0">
      <selection activeCell="N10" sqref="N10"/>
    </sheetView>
  </sheetViews>
  <sheetFormatPr defaultColWidth="8.5703125" defaultRowHeight="12.75" x14ac:dyDescent="0.2"/>
  <cols>
    <col min="1" max="1" width="32.85546875" style="40" customWidth="1"/>
    <col min="2" max="2" width="30.42578125" style="41" customWidth="1"/>
    <col min="3" max="4" width="30.42578125" style="42" customWidth="1"/>
    <col min="5" max="5" width="30.42578125" style="41" customWidth="1"/>
    <col min="6" max="6" width="30.42578125" style="43" customWidth="1"/>
    <col min="7" max="10" width="30.42578125" style="41" customWidth="1"/>
    <col min="11" max="11" width="41.85546875" style="42" customWidth="1"/>
    <col min="12" max="12" width="30.42578125" style="44" customWidth="1"/>
    <col min="13" max="13" width="30.42578125" style="40" customWidth="1"/>
    <col min="14" max="14" width="31.42578125" style="40" customWidth="1"/>
    <col min="15" max="25" width="30.42578125" style="40" customWidth="1"/>
    <col min="26" max="28" width="21.85546875" style="43" customWidth="1"/>
    <col min="29" max="30" width="21.85546875" style="45" customWidth="1"/>
    <col min="31" max="16384" width="8.5703125" style="39"/>
  </cols>
  <sheetData>
    <row r="1" spans="1:30" ht="16.5" x14ac:dyDescent="0.2">
      <c r="A1" s="34" t="s">
        <v>8</v>
      </c>
      <c r="B1" s="35" t="s">
        <v>11</v>
      </c>
      <c r="C1" s="36" t="s">
        <v>165</v>
      </c>
      <c r="D1" s="36" t="s">
        <v>13</v>
      </c>
      <c r="E1" s="35" t="s">
        <v>14</v>
      </c>
      <c r="F1" s="37" t="s">
        <v>15</v>
      </c>
      <c r="G1" s="35" t="s">
        <v>16</v>
      </c>
      <c r="H1" s="35" t="s">
        <v>17</v>
      </c>
      <c r="I1" s="34" t="s">
        <v>119</v>
      </c>
      <c r="J1" s="32" t="s">
        <v>120</v>
      </c>
      <c r="K1" s="33" t="s">
        <v>164</v>
      </c>
      <c r="L1" s="38" t="s">
        <v>166</v>
      </c>
      <c r="M1" s="34" t="s">
        <v>153</v>
      </c>
      <c r="N1" s="34" t="s">
        <v>154</v>
      </c>
      <c r="O1" s="34" t="s">
        <v>143</v>
      </c>
      <c r="P1" s="34" t="s">
        <v>144</v>
      </c>
      <c r="Q1" s="34" t="s">
        <v>155</v>
      </c>
      <c r="R1" s="34" t="s">
        <v>156</v>
      </c>
      <c r="S1" s="34" t="s">
        <v>157</v>
      </c>
      <c r="T1" s="34" t="s">
        <v>158</v>
      </c>
      <c r="U1" s="34" t="s">
        <v>159</v>
      </c>
      <c r="V1" s="34" t="s">
        <v>160</v>
      </c>
      <c r="W1" s="34" t="s">
        <v>161</v>
      </c>
      <c r="X1" s="34" t="s">
        <v>162</v>
      </c>
      <c r="Y1" s="34" t="s">
        <v>163</v>
      </c>
      <c r="Z1" s="37" t="s">
        <v>147</v>
      </c>
      <c r="AA1" s="37" t="s">
        <v>148</v>
      </c>
      <c r="AB1" s="37" t="s">
        <v>151</v>
      </c>
      <c r="AC1" s="37" t="s">
        <v>149</v>
      </c>
      <c r="AD1" s="37" t="s">
        <v>152</v>
      </c>
    </row>
    <row r="2" spans="1:30" ht="15" x14ac:dyDescent="0.2">
      <c r="A2" s="40" t="s">
        <v>22</v>
      </c>
      <c r="B2" s="41">
        <v>20</v>
      </c>
      <c r="C2" s="42">
        <v>500</v>
      </c>
      <c r="D2" s="42">
        <v>2</v>
      </c>
      <c r="E2" s="41">
        <v>126</v>
      </c>
      <c r="F2" s="43">
        <v>4.1203405239014401</v>
      </c>
      <c r="G2" s="41">
        <v>25</v>
      </c>
      <c r="H2" s="41">
        <v>39</v>
      </c>
      <c r="I2" s="40">
        <v>216</v>
      </c>
      <c r="J2" s="41">
        <v>201</v>
      </c>
      <c r="K2" s="42">
        <v>628</v>
      </c>
      <c r="L2" s="43">
        <v>20.8</v>
      </c>
      <c r="M2" s="40">
        <v>0.12573406896410499</v>
      </c>
      <c r="N2" s="40">
        <v>0.12529165250414601</v>
      </c>
      <c r="O2" s="40">
        <v>0.26246778690532802</v>
      </c>
      <c r="P2" s="40">
        <v>0.157379678407401</v>
      </c>
      <c r="Q2" s="40">
        <v>0.181006163923848</v>
      </c>
      <c r="R2" s="40">
        <v>0.31268420853835599</v>
      </c>
      <c r="S2" s="48">
        <v>0.24601260205495376</v>
      </c>
      <c r="T2" s="40">
        <v>0.12999764117006199</v>
      </c>
      <c r="U2" s="40">
        <v>0.24152794750458401</v>
      </c>
      <c r="V2" s="40">
        <v>0.149956191699532</v>
      </c>
      <c r="W2" s="40">
        <v>0.116566113972405</v>
      </c>
      <c r="X2" s="40">
        <v>0.109685613842397</v>
      </c>
      <c r="Y2" s="40">
        <v>8.2006564618842898E-2</v>
      </c>
      <c r="Z2" s="43">
        <v>0.16</v>
      </c>
      <c r="AA2" s="43">
        <v>8.6159382513197699E-2</v>
      </c>
      <c r="AB2" s="43">
        <f>Z2-AA2</f>
        <v>7.3840617486802304E-2</v>
      </c>
      <c r="AC2" s="45">
        <v>0.102129723973678</v>
      </c>
      <c r="AD2" s="45">
        <f>Z2-AC2</f>
        <v>5.7870276026321998E-2</v>
      </c>
    </row>
    <row r="3" spans="1:30" ht="15" x14ac:dyDescent="0.2">
      <c r="B3" s="41">
        <v>20</v>
      </c>
      <c r="C3" s="42">
        <v>500</v>
      </c>
      <c r="D3" s="42">
        <v>2</v>
      </c>
      <c r="E3" s="41">
        <v>126</v>
      </c>
      <c r="F3" s="43">
        <v>4.1203405239014401</v>
      </c>
      <c r="G3" s="41">
        <v>25</v>
      </c>
      <c r="H3" s="41">
        <v>39</v>
      </c>
      <c r="I3" s="40">
        <v>216</v>
      </c>
      <c r="J3" s="41">
        <v>201</v>
      </c>
      <c r="K3" s="42">
        <v>628</v>
      </c>
      <c r="L3" s="43">
        <v>27.3</v>
      </c>
      <c r="M3" s="40">
        <v>0.176982162918118</v>
      </c>
      <c r="N3" s="40">
        <v>0.17635942142379499</v>
      </c>
      <c r="O3" s="40">
        <v>0.34448897031324299</v>
      </c>
      <c r="P3" s="40">
        <v>0.27111108663150002</v>
      </c>
      <c r="Q3" s="40">
        <v>0.24436254780391001</v>
      </c>
      <c r="R3" s="40">
        <v>0.41039802370659201</v>
      </c>
      <c r="S3" s="48">
        <v>0.3389237669542367</v>
      </c>
      <c r="T3" s="40">
        <v>0.174745555735067</v>
      </c>
      <c r="U3" s="40">
        <v>0.31700543109976598</v>
      </c>
      <c r="V3" s="40">
        <v>0.20434804118111699</v>
      </c>
      <c r="W3" s="40">
        <v>0.19728794885442699</v>
      </c>
      <c r="X3" s="40">
        <v>0.193326264807891</v>
      </c>
      <c r="Y3" s="40">
        <v>0.15626605743881</v>
      </c>
      <c r="Z3" s="43">
        <v>0.23</v>
      </c>
      <c r="AA3" s="43">
        <v>0.14712654185263499</v>
      </c>
      <c r="AB3" s="43">
        <f t="shared" ref="AB3:AB66" si="0">Z3-AA3</f>
        <v>8.287345814736502E-2</v>
      </c>
      <c r="AC3" s="45">
        <v>0.190782516555556</v>
      </c>
      <c r="AD3" s="45">
        <f t="shared" ref="AD3:AD66" si="1">Z3-AC3</f>
        <v>3.9217483444444007E-2</v>
      </c>
    </row>
    <row r="4" spans="1:30" ht="15" x14ac:dyDescent="0.2">
      <c r="B4" s="41">
        <v>20</v>
      </c>
      <c r="C4" s="42">
        <v>500</v>
      </c>
      <c r="D4" s="42">
        <v>2</v>
      </c>
      <c r="E4" s="41">
        <v>126</v>
      </c>
      <c r="F4" s="43">
        <v>4.1203405239014401</v>
      </c>
      <c r="G4" s="41">
        <v>25</v>
      </c>
      <c r="H4" s="41">
        <v>39</v>
      </c>
      <c r="I4" s="40">
        <v>216</v>
      </c>
      <c r="J4" s="41">
        <v>201</v>
      </c>
      <c r="K4" s="42">
        <v>628</v>
      </c>
      <c r="L4" s="43">
        <v>28.2</v>
      </c>
      <c r="M4" s="40">
        <v>0.184078052850212</v>
      </c>
      <c r="N4" s="40">
        <v>0.18343034327420801</v>
      </c>
      <c r="O4" s="40">
        <v>0.35584574955433901</v>
      </c>
      <c r="P4" s="40">
        <v>0.289281193270853</v>
      </c>
      <c r="Q4" s="40">
        <v>0.25313497018730302</v>
      </c>
      <c r="R4" s="40">
        <v>0.42392762888373298</v>
      </c>
      <c r="S4" s="48">
        <v>0.35178838978644511</v>
      </c>
      <c r="T4" s="40">
        <v>0.180941420828683</v>
      </c>
      <c r="U4" s="40">
        <v>0.32745615959756103</v>
      </c>
      <c r="V4" s="40">
        <v>0.21205204503175601</v>
      </c>
      <c r="W4" s="40">
        <v>0.20804096180697601</v>
      </c>
      <c r="X4" s="40">
        <v>0.20530090968479101</v>
      </c>
      <c r="Y4" s="40">
        <v>0.16709573189251201</v>
      </c>
      <c r="Z4" s="43">
        <v>0.24</v>
      </c>
      <c r="AA4" s="43">
        <v>0.15556814853040299</v>
      </c>
      <c r="AB4" s="43">
        <f t="shared" si="0"/>
        <v>8.4431851469597002E-2</v>
      </c>
      <c r="AC4" s="45">
        <v>0.20305751860535501</v>
      </c>
      <c r="AD4" s="45">
        <f t="shared" si="1"/>
        <v>3.6942481394644983E-2</v>
      </c>
    </row>
    <row r="5" spans="1:30" ht="15" x14ac:dyDescent="0.2">
      <c r="B5" s="41">
        <v>20</v>
      </c>
      <c r="C5" s="42">
        <v>500</v>
      </c>
      <c r="D5" s="42">
        <v>2</v>
      </c>
      <c r="E5" s="41">
        <v>126</v>
      </c>
      <c r="F5" s="43">
        <v>4.1203405239014401</v>
      </c>
      <c r="G5" s="41">
        <v>25</v>
      </c>
      <c r="H5" s="41">
        <v>39</v>
      </c>
      <c r="I5" s="40">
        <v>216</v>
      </c>
      <c r="J5" s="41">
        <v>201</v>
      </c>
      <c r="K5" s="42">
        <v>628</v>
      </c>
      <c r="L5" s="43">
        <v>32.6</v>
      </c>
      <c r="M5" s="40">
        <v>0.21876907029600601</v>
      </c>
      <c r="N5" s="40">
        <v>0.21799929454289299</v>
      </c>
      <c r="O5" s="40">
        <v>0.41136778139969699</v>
      </c>
      <c r="P5" s="40">
        <v>0.38659584648726403</v>
      </c>
      <c r="Q5" s="40">
        <v>0.29602236850611502</v>
      </c>
      <c r="R5" s="40">
        <v>0.49007236530530801</v>
      </c>
      <c r="S5" s="48">
        <v>0.41468210141057527</v>
      </c>
      <c r="T5" s="40">
        <v>0.21123231684191701</v>
      </c>
      <c r="U5" s="40">
        <v>0.37854861003122298</v>
      </c>
      <c r="V5" s="40">
        <v>0.25013945817228</v>
      </c>
      <c r="W5" s="40">
        <v>0.25936756931101901</v>
      </c>
      <c r="X5" s="40">
        <v>0.26522191984242299</v>
      </c>
      <c r="Y5" s="40">
        <v>0.22195819712162901</v>
      </c>
      <c r="Z5" s="43">
        <v>0.27</v>
      </c>
      <c r="AA5" s="43">
        <v>0.19683822562171399</v>
      </c>
      <c r="AB5" s="43">
        <f t="shared" si="0"/>
        <v>7.3161774378286026E-2</v>
      </c>
      <c r="AC5" s="45">
        <v>0.263068639737704</v>
      </c>
      <c r="AD5" s="45">
        <f t="shared" si="1"/>
        <v>6.9313602622960158E-3</v>
      </c>
    </row>
    <row r="6" spans="1:30" ht="15" x14ac:dyDescent="0.2">
      <c r="B6" s="41">
        <v>20</v>
      </c>
      <c r="C6" s="42">
        <v>500</v>
      </c>
      <c r="D6" s="42">
        <v>2</v>
      </c>
      <c r="E6" s="41">
        <v>126</v>
      </c>
      <c r="F6" s="43">
        <v>4.1203405239014401</v>
      </c>
      <c r="G6" s="41">
        <v>25</v>
      </c>
      <c r="H6" s="41">
        <v>39</v>
      </c>
      <c r="I6" s="40">
        <v>216</v>
      </c>
      <c r="J6" s="41">
        <v>201</v>
      </c>
      <c r="K6" s="42">
        <v>628</v>
      </c>
      <c r="L6" s="43">
        <v>41.2</v>
      </c>
      <c r="M6" s="40">
        <v>0.28657424075823801</v>
      </c>
      <c r="N6" s="40">
        <v>0.28556588111350401</v>
      </c>
      <c r="O6" s="40">
        <v>0.51988811637016896</v>
      </c>
      <c r="P6" s="40">
        <v>0.61747078706513403</v>
      </c>
      <c r="Q6" s="40">
        <v>0.37984773794742899</v>
      </c>
      <c r="R6" s="40">
        <v>0.61935525922020496</v>
      </c>
      <c r="S6" s="48">
        <v>0.53761071958501128</v>
      </c>
      <c r="T6" s="40">
        <v>0.270437249958693</v>
      </c>
      <c r="U6" s="40">
        <v>0.47841112678792602</v>
      </c>
      <c r="V6" s="40">
        <v>0.311870443287798</v>
      </c>
      <c r="W6" s="40">
        <v>0.35480967272614</v>
      </c>
      <c r="X6" s="40">
        <v>0.38894806873238702</v>
      </c>
      <c r="Y6" s="40">
        <v>0.33838166971153699</v>
      </c>
      <c r="Z6" s="43">
        <v>0.35</v>
      </c>
      <c r="AA6" s="43">
        <v>0.27750246720927602</v>
      </c>
      <c r="AB6" s="43">
        <f t="shared" si="0"/>
        <v>7.2497532790723962E-2</v>
      </c>
      <c r="AC6" s="45">
        <v>0.38036310376911198</v>
      </c>
      <c r="AD6" s="45">
        <f t="shared" si="1"/>
        <v>-3.0363103769111999E-2</v>
      </c>
    </row>
    <row r="7" spans="1:30" ht="15" x14ac:dyDescent="0.2">
      <c r="B7" s="41">
        <v>20</v>
      </c>
      <c r="C7" s="42">
        <v>500</v>
      </c>
      <c r="D7" s="42">
        <v>2</v>
      </c>
      <c r="E7" s="41">
        <v>126</v>
      </c>
      <c r="F7" s="43">
        <v>4.1203405239014401</v>
      </c>
      <c r="G7" s="41">
        <v>25</v>
      </c>
      <c r="H7" s="41">
        <v>39</v>
      </c>
      <c r="I7" s="40">
        <v>216</v>
      </c>
      <c r="J7" s="41">
        <v>201</v>
      </c>
      <c r="K7" s="42">
        <v>628</v>
      </c>
      <c r="L7" s="43">
        <v>44.9</v>
      </c>
      <c r="M7" s="40">
        <v>0.315463454002951</v>
      </c>
      <c r="N7" s="40">
        <v>0.31435344280458499</v>
      </c>
      <c r="O7" s="40">
        <v>0.53225468628993</v>
      </c>
      <c r="P7" s="40">
        <v>0.64719569928692999</v>
      </c>
      <c r="Q7" s="40">
        <v>0.41556255079427201</v>
      </c>
      <c r="R7" s="40">
        <v>0.67443780035593404</v>
      </c>
      <c r="S7" s="48">
        <v>0.58998594466164789</v>
      </c>
      <c r="T7" s="40">
        <v>0.29566222802879699</v>
      </c>
      <c r="U7" s="40">
        <v>0.52095876028064003</v>
      </c>
      <c r="V7" s="40">
        <v>0.311870443287798</v>
      </c>
      <c r="W7" s="40">
        <v>0.39394405780852898</v>
      </c>
      <c r="X7" s="40">
        <v>0.444319066782003</v>
      </c>
      <c r="Y7" s="40">
        <v>0.39713262699758101</v>
      </c>
      <c r="Z7" s="43">
        <v>0.4</v>
      </c>
      <c r="AA7" s="43">
        <v>0.311870443287798</v>
      </c>
      <c r="AB7" s="43">
        <f t="shared" si="0"/>
        <v>8.8129556712202017E-2</v>
      </c>
      <c r="AC7" s="45">
        <v>0.420805970660799</v>
      </c>
      <c r="AD7" s="45">
        <f t="shared" si="1"/>
        <v>-2.0805970660798978E-2</v>
      </c>
    </row>
    <row r="8" spans="1:30" ht="15" x14ac:dyDescent="0.2">
      <c r="A8" s="40" t="s">
        <v>23</v>
      </c>
      <c r="B8" s="41">
        <v>10</v>
      </c>
      <c r="C8" s="42">
        <v>500</v>
      </c>
      <c r="D8" s="42">
        <v>8</v>
      </c>
      <c r="E8" s="41">
        <v>87.7</v>
      </c>
      <c r="F8" s="43">
        <v>4.1311267633290099</v>
      </c>
      <c r="G8" s="41">
        <v>25</v>
      </c>
      <c r="H8" s="41">
        <v>53</v>
      </c>
      <c r="I8" s="40">
        <v>308</v>
      </c>
      <c r="J8" s="41">
        <v>604</v>
      </c>
      <c r="K8" s="42">
        <v>628</v>
      </c>
      <c r="L8" s="43">
        <v>105</v>
      </c>
      <c r="M8" s="40">
        <v>0.17110696370813</v>
      </c>
      <c r="N8" s="40">
        <v>0.189366188849765</v>
      </c>
      <c r="O8" s="40">
        <v>0.24321379818370001</v>
      </c>
      <c r="P8" s="40">
        <v>0.144849533368963</v>
      </c>
      <c r="Q8" s="40">
        <v>0.181687535010044</v>
      </c>
      <c r="R8" s="40">
        <v>0.26529737942563397</v>
      </c>
      <c r="S8" s="48">
        <v>0.20975786240240399</v>
      </c>
      <c r="T8" s="40">
        <v>0.25496881340038502</v>
      </c>
      <c r="U8" s="40">
        <v>0.18984252639749399</v>
      </c>
      <c r="V8" s="40">
        <v>0.23225536052908399</v>
      </c>
      <c r="W8" s="40">
        <v>0.22651284178026701</v>
      </c>
      <c r="X8" s="40">
        <v>0.148120891103246</v>
      </c>
      <c r="Y8" s="40">
        <v>0.130592528876043</v>
      </c>
      <c r="Z8" s="43">
        <v>0.16</v>
      </c>
      <c r="AA8" s="43">
        <v>0.135806726806593</v>
      </c>
      <c r="AB8" s="43">
        <f t="shared" si="0"/>
        <v>2.4193273193407E-2</v>
      </c>
      <c r="AC8" s="45">
        <v>0.22051936594500701</v>
      </c>
      <c r="AD8" s="45">
        <f t="shared" si="1"/>
        <v>-6.0519365945007009E-2</v>
      </c>
    </row>
    <row r="9" spans="1:30" ht="15" x14ac:dyDescent="0.2">
      <c r="B9" s="41">
        <v>10</v>
      </c>
      <c r="C9" s="42">
        <v>500</v>
      </c>
      <c r="D9" s="42">
        <v>8</v>
      </c>
      <c r="E9" s="41">
        <v>87.7</v>
      </c>
      <c r="F9" s="43">
        <v>4.1311267633290099</v>
      </c>
      <c r="G9" s="41">
        <v>25</v>
      </c>
      <c r="H9" s="41">
        <v>53</v>
      </c>
      <c r="I9" s="40">
        <v>308</v>
      </c>
      <c r="J9" s="41">
        <v>604</v>
      </c>
      <c r="K9" s="42">
        <v>628</v>
      </c>
      <c r="L9" s="43">
        <v>119.6</v>
      </c>
      <c r="M9" s="40">
        <v>0.22285815917348001</v>
      </c>
      <c r="N9" s="40">
        <v>0.215697106537447</v>
      </c>
      <c r="O9" s="40">
        <v>0.277032097740672</v>
      </c>
      <c r="P9" s="40">
        <v>0.187932054533786</v>
      </c>
      <c r="Q9" s="40">
        <v>0.219736483612782</v>
      </c>
      <c r="R9" s="40">
        <v>0.302186348374341</v>
      </c>
      <c r="S9" s="48">
        <v>0.24304781323680189</v>
      </c>
      <c r="T9" s="40">
        <v>0.29679813828389801</v>
      </c>
      <c r="U9" s="40">
        <v>0.21623967768704999</v>
      </c>
      <c r="V9" s="40">
        <v>0.271508577910959</v>
      </c>
      <c r="W9" s="40">
        <v>0.28561830519105902</v>
      </c>
      <c r="X9" s="40">
        <v>0.19719617246717799</v>
      </c>
      <c r="Y9" s="40">
        <v>0.179729227252511</v>
      </c>
      <c r="Z9" s="43">
        <v>0.18</v>
      </c>
      <c r="AA9" s="43">
        <v>0.179954155396124</v>
      </c>
      <c r="AB9" s="43">
        <f t="shared" si="0"/>
        <v>4.5844603875994094E-5</v>
      </c>
      <c r="AC9" s="45">
        <v>0.293288436360923</v>
      </c>
      <c r="AD9" s="45">
        <f t="shared" si="1"/>
        <v>-0.11328843636092301</v>
      </c>
    </row>
    <row r="10" spans="1:30" ht="15" x14ac:dyDescent="0.2">
      <c r="B10" s="41">
        <v>10</v>
      </c>
      <c r="C10" s="42">
        <v>500</v>
      </c>
      <c r="D10" s="42">
        <v>8</v>
      </c>
      <c r="E10" s="41">
        <v>87.7</v>
      </c>
      <c r="F10" s="43">
        <v>4.1311267633290099</v>
      </c>
      <c r="G10" s="41">
        <v>25</v>
      </c>
      <c r="H10" s="41">
        <v>53</v>
      </c>
      <c r="I10" s="40">
        <v>308</v>
      </c>
      <c r="J10" s="41">
        <v>604</v>
      </c>
      <c r="K10" s="42">
        <v>628</v>
      </c>
      <c r="L10" s="43">
        <v>174.3</v>
      </c>
      <c r="M10" s="40">
        <v>0.37520201721244401</v>
      </c>
      <c r="N10" s="40">
        <v>0.318170216250936</v>
      </c>
      <c r="O10" s="40">
        <v>0.363048600827174</v>
      </c>
      <c r="P10" s="40">
        <v>0.32275294604101801</v>
      </c>
      <c r="Q10" s="40">
        <v>0.33174401449868102</v>
      </c>
      <c r="R10" s="40">
        <v>0.41077916054402902</v>
      </c>
      <c r="S10" s="48">
        <v>0.34104592706656295</v>
      </c>
      <c r="T10" s="40">
        <v>0.43772597472228197</v>
      </c>
      <c r="U10" s="40">
        <v>0.30517473532265998</v>
      </c>
      <c r="V10" s="40">
        <v>0.309914237155623</v>
      </c>
      <c r="W10" s="40">
        <v>0.44679834263301199</v>
      </c>
      <c r="X10" s="40">
        <v>0.344296754142696</v>
      </c>
      <c r="Y10" s="40">
        <v>0.332475023090406</v>
      </c>
      <c r="Z10" s="43">
        <v>0.26</v>
      </c>
      <c r="AA10" s="43">
        <v>0.309914237155623</v>
      </c>
      <c r="AB10" s="43">
        <f t="shared" si="0"/>
        <v>-4.9914237155622987E-2</v>
      </c>
      <c r="AC10" s="45">
        <v>0.491606140616201</v>
      </c>
      <c r="AD10" s="45">
        <f t="shared" si="1"/>
        <v>-0.231606140616201</v>
      </c>
    </row>
    <row r="11" spans="1:30" ht="15" x14ac:dyDescent="0.2">
      <c r="A11" s="40" t="s">
        <v>24</v>
      </c>
      <c r="B11" s="41">
        <v>10</v>
      </c>
      <c r="C11" s="42">
        <v>628</v>
      </c>
      <c r="D11" s="42">
        <v>4</v>
      </c>
      <c r="E11" s="41">
        <v>32.466666666666697</v>
      </c>
      <c r="F11" s="43">
        <v>3.262</v>
      </c>
      <c r="G11" s="41">
        <v>25</v>
      </c>
      <c r="H11" s="41">
        <v>36</v>
      </c>
      <c r="I11" s="40">
        <v>200</v>
      </c>
      <c r="J11" s="41">
        <v>600</v>
      </c>
      <c r="K11" s="42">
        <v>314</v>
      </c>
      <c r="L11" s="43">
        <v>47.625</v>
      </c>
      <c r="M11" s="40">
        <v>0.16007091811290799</v>
      </c>
      <c r="N11" s="40">
        <v>0.14859328265570901</v>
      </c>
      <c r="O11" s="40">
        <v>0.18440399789461201</v>
      </c>
      <c r="P11" s="40">
        <v>0.13403771715747001</v>
      </c>
      <c r="Q11" s="40">
        <v>0.106017284091855</v>
      </c>
      <c r="R11" s="40">
        <v>0.16892962653245999</v>
      </c>
      <c r="S11" s="48">
        <v>0.17597596443391947</v>
      </c>
      <c r="T11" s="40">
        <v>0.21176098535956001</v>
      </c>
      <c r="U11" s="40">
        <v>0.17087505273609899</v>
      </c>
      <c r="V11" s="40">
        <v>0.190702496058795</v>
      </c>
      <c r="W11" s="40">
        <v>0.17787186850636399</v>
      </c>
      <c r="X11" s="40">
        <v>0.15522032860195301</v>
      </c>
      <c r="Y11" s="40">
        <v>0.14312778760291101</v>
      </c>
      <c r="Z11" s="43">
        <v>0.16</v>
      </c>
      <c r="AA11" s="43">
        <v>0.13868029025440801</v>
      </c>
      <c r="AB11" s="43">
        <f t="shared" si="0"/>
        <v>2.1319709745591997E-2</v>
      </c>
      <c r="AC11" s="45">
        <v>0.16724728494892799</v>
      </c>
      <c r="AD11" s="45">
        <f t="shared" si="1"/>
        <v>-7.2472849489279845E-3</v>
      </c>
    </row>
    <row r="12" spans="1:30" ht="15" x14ac:dyDescent="0.2">
      <c r="B12" s="41">
        <v>10</v>
      </c>
      <c r="C12" s="42">
        <v>628</v>
      </c>
      <c r="D12" s="42">
        <v>4</v>
      </c>
      <c r="E12" s="41">
        <v>32.466666666666697</v>
      </c>
      <c r="F12" s="43">
        <v>3.262</v>
      </c>
      <c r="G12" s="41">
        <v>25</v>
      </c>
      <c r="H12" s="41">
        <v>36</v>
      </c>
      <c r="I12" s="40">
        <v>200</v>
      </c>
      <c r="J12" s="41">
        <v>600</v>
      </c>
      <c r="K12" s="42">
        <v>314</v>
      </c>
      <c r="L12" s="43">
        <v>54.3</v>
      </c>
      <c r="M12" s="40">
        <v>0.199877121284813</v>
      </c>
      <c r="N12" s="40">
        <v>0.17429163285246499</v>
      </c>
      <c r="O12" s="40">
        <v>0.21024959759952699</v>
      </c>
      <c r="P12" s="40">
        <v>0.174243547470355</v>
      </c>
      <c r="Q12" s="40">
        <v>0.13588175169896299</v>
      </c>
      <c r="R12" s="40">
        <v>0.19260637733779701</v>
      </c>
      <c r="S12" s="48">
        <v>0.20490244342682506</v>
      </c>
      <c r="T12" s="40">
        <v>0.24668620966237301</v>
      </c>
      <c r="U12" s="40">
        <v>0.194824469576277</v>
      </c>
      <c r="V12" s="40">
        <v>0.221492056589981</v>
      </c>
      <c r="W12" s="40">
        <v>0.21990122075795801</v>
      </c>
      <c r="X12" s="40">
        <v>0.19386067036905399</v>
      </c>
      <c r="Y12" s="40">
        <v>0.18158135223222199</v>
      </c>
      <c r="Z12" s="43">
        <v>0.2</v>
      </c>
      <c r="AA12" s="43">
        <v>0.17212891101716901</v>
      </c>
      <c r="AB12" s="43">
        <f t="shared" si="0"/>
        <v>2.7871088982830999E-2</v>
      </c>
      <c r="AC12" s="45">
        <v>0.214040810849146</v>
      </c>
      <c r="AD12" s="45">
        <f t="shared" si="1"/>
        <v>-1.404081084914599E-2</v>
      </c>
    </row>
    <row r="13" spans="1:30" ht="15" x14ac:dyDescent="0.2">
      <c r="B13" s="41">
        <v>10</v>
      </c>
      <c r="C13" s="42">
        <v>628</v>
      </c>
      <c r="D13" s="42">
        <v>4</v>
      </c>
      <c r="E13" s="41">
        <v>32.466666666666697</v>
      </c>
      <c r="F13" s="43">
        <v>3.262</v>
      </c>
      <c r="G13" s="41">
        <v>25</v>
      </c>
      <c r="H13" s="41">
        <v>36</v>
      </c>
      <c r="I13" s="40">
        <v>200</v>
      </c>
      <c r="J13" s="41">
        <v>600</v>
      </c>
      <c r="K13" s="42">
        <v>314</v>
      </c>
      <c r="L13" s="43">
        <v>61.424999999999997</v>
      </c>
      <c r="M13" s="40">
        <v>0.242366888715498</v>
      </c>
      <c r="N13" s="40">
        <v>0.211342451362418</v>
      </c>
      <c r="O13" s="40">
        <v>0.23783759728454701</v>
      </c>
      <c r="P13" s="40">
        <v>0.22297048347265599</v>
      </c>
      <c r="Q13" s="40">
        <v>0.167759554200933</v>
      </c>
      <c r="R13" s="40">
        <v>0.21787931359068499</v>
      </c>
      <c r="S13" s="48">
        <v>0.23577902212711754</v>
      </c>
      <c r="T13" s="40">
        <v>0.28396594346874698</v>
      </c>
      <c r="U13" s="40">
        <v>0.220388453843882</v>
      </c>
      <c r="V13" s="40">
        <v>0.254820249615275</v>
      </c>
      <c r="W13" s="40">
        <v>0.26343171086443701</v>
      </c>
      <c r="X13" s="40">
        <v>0.235621601015159</v>
      </c>
      <c r="Y13" s="40">
        <v>0.22381591731393799</v>
      </c>
      <c r="Z13" s="43">
        <v>0.2</v>
      </c>
      <c r="AA13" s="43">
        <v>0.20783249497741799</v>
      </c>
      <c r="AB13" s="43">
        <f t="shared" si="0"/>
        <v>-7.8324949774179753E-3</v>
      </c>
      <c r="AC13" s="45">
        <v>0.26398895647297399</v>
      </c>
      <c r="AD13" s="45">
        <f t="shared" si="1"/>
        <v>-6.3988956472973979E-2</v>
      </c>
    </row>
    <row r="14" spans="1:30" ht="15" x14ac:dyDescent="0.2">
      <c r="B14" s="41">
        <v>10</v>
      </c>
      <c r="C14" s="42">
        <v>628</v>
      </c>
      <c r="D14" s="42">
        <v>4</v>
      </c>
      <c r="E14" s="41">
        <v>32.466666666666697</v>
      </c>
      <c r="F14" s="43">
        <v>3.262</v>
      </c>
      <c r="G14" s="41">
        <v>25</v>
      </c>
      <c r="H14" s="41">
        <v>36</v>
      </c>
      <c r="I14" s="40">
        <v>200</v>
      </c>
      <c r="J14" s="41">
        <v>600</v>
      </c>
      <c r="K14" s="42">
        <v>314</v>
      </c>
      <c r="L14" s="43">
        <v>68.625</v>
      </c>
      <c r="M14" s="40">
        <v>0.28530391685598</v>
      </c>
      <c r="N14" s="40">
        <v>0.24878327848826601</v>
      </c>
      <c r="O14" s="40">
        <v>0.26571599696625298</v>
      </c>
      <c r="P14" s="40">
        <v>0.27830548142392703</v>
      </c>
      <c r="Q14" s="40">
        <v>0.19997291251871199</v>
      </c>
      <c r="R14" s="40">
        <v>0.24341828075149699</v>
      </c>
      <c r="S14" s="48">
        <v>0.26698061744530777</v>
      </c>
      <c r="T14" s="40">
        <v>0.32163809552571299</v>
      </c>
      <c r="U14" s="40">
        <v>0.24622153268272501</v>
      </c>
      <c r="V14" s="40">
        <v>0.28886191848308501</v>
      </c>
      <c r="W14" s="40">
        <v>0.30622884838300801</v>
      </c>
      <c r="X14" s="40">
        <v>0.27836299256323399</v>
      </c>
      <c r="Y14" s="40">
        <v>0.26774188935436299</v>
      </c>
      <c r="Z14" s="43">
        <v>0.24</v>
      </c>
      <c r="AA14" s="43">
        <v>0.243911906137249</v>
      </c>
      <c r="AB14" s="43">
        <f t="shared" si="0"/>
        <v>-3.9119061372490105E-3</v>
      </c>
      <c r="AC14" s="45">
        <v>0.31446287205073697</v>
      </c>
      <c r="AD14" s="45">
        <f t="shared" si="1"/>
        <v>-7.4462872050736983E-2</v>
      </c>
    </row>
    <row r="15" spans="1:30" ht="15" x14ac:dyDescent="0.2">
      <c r="B15" s="41">
        <v>10</v>
      </c>
      <c r="C15" s="42">
        <v>628</v>
      </c>
      <c r="D15" s="42">
        <v>4</v>
      </c>
      <c r="E15" s="41">
        <v>32.466666666666697</v>
      </c>
      <c r="F15" s="43">
        <v>3.262</v>
      </c>
      <c r="G15" s="41">
        <v>25</v>
      </c>
      <c r="H15" s="41">
        <v>36</v>
      </c>
      <c r="I15" s="40">
        <v>200</v>
      </c>
      <c r="J15" s="41">
        <v>600</v>
      </c>
      <c r="K15" s="42">
        <v>314</v>
      </c>
      <c r="L15" s="43">
        <v>73.275000000000006</v>
      </c>
      <c r="M15" s="40">
        <v>0.31303408086337497</v>
      </c>
      <c r="N15" s="40">
        <v>0.27296381267371</v>
      </c>
      <c r="O15" s="40">
        <v>0.28372079676068701</v>
      </c>
      <c r="P15" s="40">
        <v>0.31729899713708898</v>
      </c>
      <c r="Q15" s="40">
        <v>0.22077737309894499</v>
      </c>
      <c r="R15" s="40">
        <v>0.25991219704285601</v>
      </c>
      <c r="S15" s="48">
        <v>0.28713164775497241</v>
      </c>
      <c r="T15" s="40">
        <v>0.34596802706250501</v>
      </c>
      <c r="U15" s="40">
        <v>0.26290539609947899</v>
      </c>
      <c r="V15" s="40">
        <v>0.31099971222279998</v>
      </c>
      <c r="W15" s="40">
        <v>0.33331793602861398</v>
      </c>
      <c r="X15" s="40">
        <v>0.30625576865263598</v>
      </c>
      <c r="Y15" s="40">
        <v>0.29677686606404502</v>
      </c>
      <c r="Z15" s="43">
        <v>0.3</v>
      </c>
      <c r="AA15" s="43">
        <v>0.26721319251130699</v>
      </c>
      <c r="AB15" s="43">
        <f t="shared" si="0"/>
        <v>3.2786807488693004E-2</v>
      </c>
      <c r="AC15" s="45">
        <v>0.34706060919470899</v>
      </c>
      <c r="AD15" s="45">
        <f t="shared" si="1"/>
        <v>-4.7060609194709002E-2</v>
      </c>
    </row>
    <row r="16" spans="1:30" ht="15" x14ac:dyDescent="0.2">
      <c r="B16" s="41">
        <v>10</v>
      </c>
      <c r="C16" s="42">
        <v>628</v>
      </c>
      <c r="D16" s="42">
        <v>4</v>
      </c>
      <c r="E16" s="41">
        <v>32.466666666666697</v>
      </c>
      <c r="F16" s="43">
        <v>3.262</v>
      </c>
      <c r="G16" s="41">
        <v>25</v>
      </c>
      <c r="H16" s="41">
        <v>36</v>
      </c>
      <c r="I16" s="40">
        <v>200</v>
      </c>
      <c r="J16" s="41">
        <v>600</v>
      </c>
      <c r="K16" s="42">
        <v>314</v>
      </c>
      <c r="L16" s="43">
        <v>83.25</v>
      </c>
      <c r="M16" s="40">
        <v>0.37251975526633402</v>
      </c>
      <c r="N16" s="40">
        <v>0.324834958587645</v>
      </c>
      <c r="O16" s="40">
        <v>0.322343996319716</v>
      </c>
      <c r="P16" s="40">
        <v>0.40956753998318202</v>
      </c>
      <c r="Q16" s="40">
        <v>0.26540629660170201</v>
      </c>
      <c r="R16" s="40">
        <v>0.29529430779689803</v>
      </c>
      <c r="S16" s="48">
        <v>0.33035885793538172</v>
      </c>
      <c r="T16" s="40">
        <v>0.39815965439142798</v>
      </c>
      <c r="U16" s="40">
        <v>0.29869497407412599</v>
      </c>
      <c r="V16" s="40">
        <v>0.35880546475868003</v>
      </c>
      <c r="W16" s="40">
        <v>0.390192148969359</v>
      </c>
      <c r="X16" s="40">
        <v>0.36685529834597502</v>
      </c>
      <c r="Y16" s="40">
        <v>0.360825132369888</v>
      </c>
      <c r="Z16" s="43">
        <v>0.32</v>
      </c>
      <c r="AA16" s="43">
        <v>0.31719821005565602</v>
      </c>
      <c r="AB16" s="43">
        <f t="shared" si="0"/>
        <v>2.8017899443439909E-3</v>
      </c>
      <c r="AC16" s="45">
        <v>0.41698801306806899</v>
      </c>
      <c r="AD16" s="45">
        <f t="shared" si="1"/>
        <v>-9.6988013068068979E-2</v>
      </c>
    </row>
    <row r="17" spans="1:30" ht="15" x14ac:dyDescent="0.2">
      <c r="B17" s="41">
        <v>10</v>
      </c>
      <c r="C17" s="42">
        <v>628</v>
      </c>
      <c r="D17" s="42">
        <v>4</v>
      </c>
      <c r="E17" s="41">
        <v>32.466666666666697</v>
      </c>
      <c r="F17" s="43">
        <v>3.262</v>
      </c>
      <c r="G17" s="41">
        <v>25</v>
      </c>
      <c r="H17" s="41">
        <v>36</v>
      </c>
      <c r="I17" s="40">
        <v>200</v>
      </c>
      <c r="J17" s="41">
        <v>600</v>
      </c>
      <c r="K17" s="42">
        <v>314</v>
      </c>
      <c r="L17" s="43">
        <v>84</v>
      </c>
      <c r="M17" s="40">
        <v>0.376992362364301</v>
      </c>
      <c r="N17" s="40">
        <v>0.32873504474658699</v>
      </c>
      <c r="O17" s="40">
        <v>0.32524799628656098</v>
      </c>
      <c r="P17" s="40">
        <v>0.416980376718533</v>
      </c>
      <c r="Q17" s="40">
        <v>0.26876185475980402</v>
      </c>
      <c r="R17" s="40">
        <v>0.29795461687614999</v>
      </c>
      <c r="S17" s="48">
        <v>0.33360902411436</v>
      </c>
      <c r="T17" s="40">
        <v>0.40208383689736199</v>
      </c>
      <c r="U17" s="40">
        <v>0.30138591978650597</v>
      </c>
      <c r="V17" s="40">
        <v>0.36241473948124098</v>
      </c>
      <c r="W17" s="40">
        <v>0.39440780938480902</v>
      </c>
      <c r="X17" s="40">
        <v>0.371453835854817</v>
      </c>
      <c r="Y17" s="40">
        <v>0.36573803028877799</v>
      </c>
      <c r="Z17" s="43">
        <v>0.38</v>
      </c>
      <c r="AA17" s="43">
        <v>0.32095648205147198</v>
      </c>
      <c r="AB17" s="43">
        <f t="shared" si="0"/>
        <v>5.9043517948528024E-2</v>
      </c>
      <c r="AC17" s="45">
        <v>0.42092646353136298</v>
      </c>
      <c r="AD17" s="45">
        <f t="shared" si="1"/>
        <v>-4.0926463531362978E-2</v>
      </c>
    </row>
    <row r="18" spans="1:30" ht="15" x14ac:dyDescent="0.2">
      <c r="B18" s="41">
        <v>10</v>
      </c>
      <c r="C18" s="42">
        <v>628</v>
      </c>
      <c r="D18" s="42">
        <v>4</v>
      </c>
      <c r="E18" s="41">
        <v>32.466666666666697</v>
      </c>
      <c r="F18" s="43">
        <v>3.262</v>
      </c>
      <c r="G18" s="41">
        <v>25</v>
      </c>
      <c r="H18" s="41">
        <v>36</v>
      </c>
      <c r="I18" s="40">
        <v>200</v>
      </c>
      <c r="J18" s="41">
        <v>600</v>
      </c>
      <c r="K18" s="42">
        <v>314</v>
      </c>
      <c r="L18" s="43">
        <v>90</v>
      </c>
      <c r="M18" s="40">
        <v>0.412773219148035</v>
      </c>
      <c r="N18" s="40">
        <v>0.35993573401812701</v>
      </c>
      <c r="O18" s="40">
        <v>0.34847999602131502</v>
      </c>
      <c r="P18" s="40">
        <v>0.47867645286566302</v>
      </c>
      <c r="Q18" s="40">
        <v>0.29560632002462101</v>
      </c>
      <c r="R18" s="40">
        <v>0.319237089510161</v>
      </c>
      <c r="S18" s="48">
        <v>0.35961035354618515</v>
      </c>
      <c r="T18" s="40">
        <v>0.433477296944834</v>
      </c>
      <c r="U18" s="40">
        <v>0.322913485485542</v>
      </c>
      <c r="V18" s="40">
        <v>0.39135242888331701</v>
      </c>
      <c r="W18" s="40">
        <v>0.42786467520772697</v>
      </c>
      <c r="X18" s="40">
        <v>0.408454520280917</v>
      </c>
      <c r="Y18" s="40">
        <v>0.40553080758862697</v>
      </c>
      <c r="Z18" s="43">
        <v>0.42</v>
      </c>
      <c r="AA18" s="43">
        <v>0.35102265801799798</v>
      </c>
      <c r="AB18" s="43">
        <f t="shared" si="0"/>
        <v>6.8977341982002005E-2</v>
      </c>
      <c r="AC18" s="45">
        <v>0.45099263949788898</v>
      </c>
      <c r="AD18" s="45">
        <f t="shared" si="1"/>
        <v>-3.0992639497888996E-2</v>
      </c>
    </row>
    <row r="19" spans="1:30" ht="15" x14ac:dyDescent="0.2">
      <c r="B19" s="41">
        <v>10</v>
      </c>
      <c r="C19" s="42">
        <v>628</v>
      </c>
      <c r="D19" s="42">
        <v>4</v>
      </c>
      <c r="E19" s="41">
        <v>32.466666666666697</v>
      </c>
      <c r="F19" s="43">
        <v>3.262</v>
      </c>
      <c r="G19" s="41">
        <v>25</v>
      </c>
      <c r="H19" s="41">
        <v>36</v>
      </c>
      <c r="I19" s="40">
        <v>200</v>
      </c>
      <c r="J19" s="41">
        <v>600</v>
      </c>
      <c r="K19" s="42">
        <v>314</v>
      </c>
      <c r="L19" s="43">
        <v>108</v>
      </c>
      <c r="M19" s="40">
        <v>0.50177465310629799</v>
      </c>
      <c r="N19" s="40">
        <v>0.43754444256407599</v>
      </c>
      <c r="O19" s="40">
        <v>0.39471097380685</v>
      </c>
      <c r="P19" s="40">
        <v>0.61410800657888298</v>
      </c>
      <c r="Q19" s="40">
        <v>0.36237934105237501</v>
      </c>
      <c r="R19" s="40">
        <v>0.37217518973657698</v>
      </c>
      <c r="S19" s="48">
        <v>0.42428615542093412</v>
      </c>
      <c r="T19" s="40">
        <v>0.511565504223497</v>
      </c>
      <c r="U19" s="40">
        <v>0.37646123109782298</v>
      </c>
      <c r="V19" s="40">
        <v>0.42580937402192098</v>
      </c>
      <c r="W19" s="40">
        <v>0.50932235697842299</v>
      </c>
      <c r="X19" s="40">
        <v>0.50212779816146702</v>
      </c>
      <c r="Y19" s="40">
        <v>0.50828663812151598</v>
      </c>
      <c r="Z19" s="43">
        <v>0.44</v>
      </c>
      <c r="AA19" s="43">
        <v>0.42580937402192098</v>
      </c>
      <c r="AB19" s="43">
        <f t="shared" si="0"/>
        <v>1.4190625978079019E-2</v>
      </c>
      <c r="AC19" s="45">
        <v>0.52577935550181198</v>
      </c>
      <c r="AD19" s="45">
        <f t="shared" si="1"/>
        <v>-8.5779355501811982E-2</v>
      </c>
    </row>
    <row r="20" spans="1:30" ht="15" x14ac:dyDescent="0.2">
      <c r="B20" s="41">
        <v>10</v>
      </c>
      <c r="C20" s="42">
        <v>628</v>
      </c>
      <c r="D20" s="42">
        <v>4</v>
      </c>
      <c r="E20" s="41">
        <v>32.466666666666697</v>
      </c>
      <c r="F20" s="43">
        <v>3.262</v>
      </c>
      <c r="G20" s="41">
        <v>25</v>
      </c>
      <c r="H20" s="41">
        <v>36</v>
      </c>
      <c r="I20" s="40">
        <v>200</v>
      </c>
      <c r="J20" s="41">
        <v>600</v>
      </c>
      <c r="K20" s="42">
        <v>314</v>
      </c>
      <c r="L20" s="43">
        <v>120</v>
      </c>
      <c r="M20" s="40">
        <v>0.50177465310629799</v>
      </c>
      <c r="N20" s="40">
        <v>0.43754444256407599</v>
      </c>
      <c r="O20" s="40">
        <v>0.39471097380685</v>
      </c>
      <c r="P20" s="40">
        <v>0.61410800657888298</v>
      </c>
      <c r="Q20" s="40">
        <v>0.36237934105237501</v>
      </c>
      <c r="R20" s="40">
        <v>0.37217518973657698</v>
      </c>
      <c r="S20" s="48">
        <v>0.42428615542093412</v>
      </c>
      <c r="T20" s="40">
        <v>0.511565504223497</v>
      </c>
      <c r="U20" s="40">
        <v>0.37646123109782298</v>
      </c>
      <c r="V20" s="40">
        <v>0.42580937402192098</v>
      </c>
      <c r="W20" s="40">
        <v>0.50932235697842299</v>
      </c>
      <c r="X20" s="40">
        <v>0.50212779816146702</v>
      </c>
      <c r="Y20" s="40">
        <v>0.50828663812151598</v>
      </c>
      <c r="Z20" s="43">
        <v>0.5</v>
      </c>
      <c r="AA20" s="43">
        <v>0.42580937402192098</v>
      </c>
      <c r="AB20" s="43">
        <f t="shared" si="0"/>
        <v>7.4190625978079017E-2</v>
      </c>
      <c r="AC20" s="45">
        <v>0.52577935550181198</v>
      </c>
      <c r="AD20" s="45">
        <f t="shared" si="1"/>
        <v>-2.5779355501811985E-2</v>
      </c>
    </row>
    <row r="21" spans="1:30" ht="15" x14ac:dyDescent="0.2">
      <c r="A21" s="40" t="s">
        <v>25</v>
      </c>
      <c r="B21" s="41">
        <v>10</v>
      </c>
      <c r="C21" s="42">
        <v>628</v>
      </c>
      <c r="D21" s="42">
        <v>4</v>
      </c>
      <c r="E21" s="41">
        <v>32.466666666666697</v>
      </c>
      <c r="F21" s="43">
        <v>3.5139999999999998</v>
      </c>
      <c r="G21" s="41">
        <v>25</v>
      </c>
      <c r="H21" s="41">
        <v>36</v>
      </c>
      <c r="I21" s="40">
        <v>200</v>
      </c>
      <c r="J21" s="41">
        <v>600</v>
      </c>
      <c r="K21" s="42">
        <v>314</v>
      </c>
      <c r="L21" s="43">
        <v>54</v>
      </c>
      <c r="M21" s="40">
        <v>0.189229893046237</v>
      </c>
      <c r="N21" s="40">
        <v>0.16758074432571601</v>
      </c>
      <c r="O21" s="40">
        <v>0.20908799761278901</v>
      </c>
      <c r="P21" s="40">
        <v>0.15996566082219801</v>
      </c>
      <c r="Q21" s="40">
        <v>0.13324468767213801</v>
      </c>
      <c r="R21" s="40">
        <v>0.19995733054196599</v>
      </c>
      <c r="S21" s="48">
        <v>0.20305443552249855</v>
      </c>
      <c r="T21" s="40">
        <v>0.24360227547511701</v>
      </c>
      <c r="U21" s="40">
        <v>0.19246157522098101</v>
      </c>
      <c r="V21" s="40">
        <v>0.21394781753831399</v>
      </c>
      <c r="W21" s="40">
        <v>0.21355665077181099</v>
      </c>
      <c r="X21" s="40">
        <v>0.18257373577591601</v>
      </c>
      <c r="Y21" s="40">
        <v>0.17134979849018001</v>
      </c>
      <c r="Z21" s="43">
        <v>0.24</v>
      </c>
      <c r="AA21" s="43">
        <v>0.16333872081928399</v>
      </c>
      <c r="AB21" s="43">
        <f t="shared" si="0"/>
        <v>7.6661279180715997E-2</v>
      </c>
      <c r="AC21" s="45">
        <v>0.206339105936133</v>
      </c>
      <c r="AD21" s="45">
        <f t="shared" si="1"/>
        <v>3.3660894063866992E-2</v>
      </c>
    </row>
    <row r="22" spans="1:30" ht="15" x14ac:dyDescent="0.2">
      <c r="B22" s="41">
        <v>10</v>
      </c>
      <c r="C22" s="42">
        <v>628</v>
      </c>
      <c r="D22" s="42">
        <v>4</v>
      </c>
      <c r="E22" s="41">
        <v>32.466666666666697</v>
      </c>
      <c r="F22" s="43">
        <v>3.5139999999999998</v>
      </c>
      <c r="G22" s="41">
        <v>25</v>
      </c>
      <c r="H22" s="41">
        <v>36</v>
      </c>
      <c r="I22" s="40">
        <v>200</v>
      </c>
      <c r="J22" s="41">
        <v>600</v>
      </c>
      <c r="K22" s="42">
        <v>314</v>
      </c>
      <c r="L22" s="43">
        <v>60</v>
      </c>
      <c r="M22" s="40">
        <v>0.22481898461479799</v>
      </c>
      <c r="N22" s="40">
        <v>0.19604078582316301</v>
      </c>
      <c r="O22" s="40">
        <v>0.23231999734754299</v>
      </c>
      <c r="P22" s="40">
        <v>0.19748847015086199</v>
      </c>
      <c r="Q22" s="40">
        <v>0.15994528174100101</v>
      </c>
      <c r="R22" s="40">
        <v>0.22217481171329601</v>
      </c>
      <c r="S22" s="48">
        <v>0.22900667532816874</v>
      </c>
      <c r="T22" s="40">
        <v>0.27482748427982501</v>
      </c>
      <c r="U22" s="40">
        <v>0.21384619468997901</v>
      </c>
      <c r="V22" s="40">
        <v>0.24173393615327901</v>
      </c>
      <c r="W22" s="40">
        <v>0.250468611260248</v>
      </c>
      <c r="X22" s="40">
        <v>0.21704771317582899</v>
      </c>
      <c r="Y22" s="40">
        <v>0.20671487282845299</v>
      </c>
      <c r="Z22" s="43">
        <v>0.3</v>
      </c>
      <c r="AA22" s="43">
        <v>0.193213400157039</v>
      </c>
      <c r="AB22" s="43">
        <f t="shared" si="0"/>
        <v>0.10678659984296099</v>
      </c>
      <c r="AC22" s="45">
        <v>0.24880889422913299</v>
      </c>
      <c r="AD22" s="45">
        <f t="shared" si="1"/>
        <v>5.1191105770866996E-2</v>
      </c>
    </row>
    <row r="23" spans="1:30" ht="15" x14ac:dyDescent="0.2">
      <c r="B23" s="41">
        <v>10</v>
      </c>
      <c r="C23" s="42">
        <v>628</v>
      </c>
      <c r="D23" s="42">
        <v>4</v>
      </c>
      <c r="E23" s="41">
        <v>32.466666666666697</v>
      </c>
      <c r="F23" s="43">
        <v>3.5139999999999998</v>
      </c>
      <c r="G23" s="41">
        <v>25</v>
      </c>
      <c r="H23" s="41">
        <v>36</v>
      </c>
      <c r="I23" s="40">
        <v>200</v>
      </c>
      <c r="J23" s="41">
        <v>600</v>
      </c>
      <c r="K23" s="42">
        <v>314</v>
      </c>
      <c r="L23" s="43">
        <v>62.25</v>
      </c>
      <c r="M23" s="40">
        <v>0.23816489395300899</v>
      </c>
      <c r="N23" s="40">
        <v>0.20767833751244899</v>
      </c>
      <c r="O23" s="40">
        <v>0.241031997248076</v>
      </c>
      <c r="P23" s="40">
        <v>0.212577823573326</v>
      </c>
      <c r="Q23" s="40">
        <v>0.169958004516824</v>
      </c>
      <c r="R23" s="40">
        <v>0.230506367152544</v>
      </c>
      <c r="S23" s="48">
        <v>0.23873876525529497</v>
      </c>
      <c r="T23" s="40">
        <v>0.28653693758159099</v>
      </c>
      <c r="U23" s="40">
        <v>0.22186542699085299</v>
      </c>
      <c r="V23" s="40">
        <v>0.25222768236312199</v>
      </c>
      <c r="W23" s="40">
        <v>0.26407332302897701</v>
      </c>
      <c r="X23" s="40">
        <v>0.230061655297984</v>
      </c>
      <c r="Y23" s="40">
        <v>0.22021397739836299</v>
      </c>
      <c r="Z23" s="43">
        <v>0.3</v>
      </c>
      <c r="AA23" s="43">
        <v>0.204416404908698</v>
      </c>
      <c r="AB23" s="43">
        <f t="shared" si="0"/>
        <v>9.5583595091301987E-2</v>
      </c>
      <c r="AC23" s="45">
        <v>0.26473506483900699</v>
      </c>
      <c r="AD23" s="45">
        <f t="shared" si="1"/>
        <v>3.5264935160992994E-2</v>
      </c>
    </row>
    <row r="24" spans="1:30" ht="15" x14ac:dyDescent="0.2">
      <c r="B24" s="41">
        <v>10</v>
      </c>
      <c r="C24" s="42">
        <v>628</v>
      </c>
      <c r="D24" s="42">
        <v>4</v>
      </c>
      <c r="E24" s="41">
        <v>32.466666666666697</v>
      </c>
      <c r="F24" s="43">
        <v>3.5139999999999998</v>
      </c>
      <c r="G24" s="41">
        <v>25</v>
      </c>
      <c r="H24" s="41">
        <v>36</v>
      </c>
      <c r="I24" s="40">
        <v>200</v>
      </c>
      <c r="J24" s="41">
        <v>600</v>
      </c>
      <c r="K24" s="42">
        <v>314</v>
      </c>
      <c r="L24" s="43">
        <v>66</v>
      </c>
      <c r="M24" s="40">
        <v>0.26040807618335998</v>
      </c>
      <c r="N24" s="40">
        <v>0.22707425699459199</v>
      </c>
      <c r="O24" s="40">
        <v>0.25555199708229798</v>
      </c>
      <c r="P24" s="40">
        <v>0.23896104888254299</v>
      </c>
      <c r="Q24" s="40">
        <v>0.186645875809863</v>
      </c>
      <c r="R24" s="40">
        <v>0.244392292884625</v>
      </c>
      <c r="S24" s="48">
        <v>0.25495891513383884</v>
      </c>
      <c r="T24" s="40">
        <v>0.30605269308453298</v>
      </c>
      <c r="U24" s="40">
        <v>0.23523081415897601</v>
      </c>
      <c r="V24" s="40">
        <v>0.26979363219017</v>
      </c>
      <c r="W24" s="40">
        <v>0.28648528274506802</v>
      </c>
      <c r="X24" s="40">
        <v>0.25185604440725901</v>
      </c>
      <c r="Y24" s="40">
        <v>0.243000002218587</v>
      </c>
      <c r="Z24" s="43">
        <v>0.3</v>
      </c>
      <c r="AA24" s="43">
        <v>0.22308807949479501</v>
      </c>
      <c r="AB24" s="43">
        <f t="shared" si="0"/>
        <v>7.6911920505204984E-2</v>
      </c>
      <c r="AC24" s="45">
        <v>0.29127868252213202</v>
      </c>
      <c r="AD24" s="45">
        <f t="shared" si="1"/>
        <v>8.7213174778679736E-3</v>
      </c>
    </row>
    <row r="25" spans="1:30" ht="15" x14ac:dyDescent="0.2">
      <c r="B25" s="41">
        <v>10</v>
      </c>
      <c r="C25" s="42">
        <v>628</v>
      </c>
      <c r="D25" s="42">
        <v>4</v>
      </c>
      <c r="E25" s="41">
        <v>32.466666666666697</v>
      </c>
      <c r="F25" s="43">
        <v>3.5139999999999998</v>
      </c>
      <c r="G25" s="41">
        <v>25</v>
      </c>
      <c r="H25" s="41">
        <v>36</v>
      </c>
      <c r="I25" s="40">
        <v>200</v>
      </c>
      <c r="J25" s="41">
        <v>600</v>
      </c>
      <c r="K25" s="42">
        <v>314</v>
      </c>
      <c r="L25" s="43">
        <v>71.25</v>
      </c>
      <c r="M25" s="40">
        <v>0.29154853130585101</v>
      </c>
      <c r="N25" s="40">
        <v>0.25422854426959202</v>
      </c>
      <c r="O25" s="40">
        <v>0.27587999685020798</v>
      </c>
      <c r="P25" s="40">
        <v>0.27848960048617699</v>
      </c>
      <c r="Q25" s="40">
        <v>0.21000889562011801</v>
      </c>
      <c r="R25" s="40">
        <v>0.26383258890953898</v>
      </c>
      <c r="S25" s="48">
        <v>0.27766712496380014</v>
      </c>
      <c r="T25" s="40">
        <v>0.33337475078865197</v>
      </c>
      <c r="U25" s="40">
        <v>0.25394235619435002</v>
      </c>
      <c r="V25" s="40">
        <v>0.29452570580067</v>
      </c>
      <c r="W25" s="40">
        <v>0.317355360279721</v>
      </c>
      <c r="X25" s="40">
        <v>0.28258760886217599</v>
      </c>
      <c r="Y25" s="40">
        <v>0.27550422309468497</v>
      </c>
      <c r="Z25" s="43">
        <v>0.38</v>
      </c>
      <c r="AA25" s="43">
        <v>0.24922842391533101</v>
      </c>
      <c r="AB25" s="43">
        <f t="shared" si="0"/>
        <v>0.13077157608466899</v>
      </c>
      <c r="AC25" s="45">
        <v>0.328439747278506</v>
      </c>
      <c r="AD25" s="45">
        <f t="shared" si="1"/>
        <v>5.1560252721494004E-2</v>
      </c>
    </row>
    <row r="26" spans="1:30" ht="15" x14ac:dyDescent="0.2">
      <c r="B26" s="41">
        <v>10</v>
      </c>
      <c r="C26" s="42">
        <v>628</v>
      </c>
      <c r="D26" s="42">
        <v>4</v>
      </c>
      <c r="E26" s="41">
        <v>32.466666666666697</v>
      </c>
      <c r="F26" s="43">
        <v>3.5139999999999998</v>
      </c>
      <c r="G26" s="41">
        <v>25</v>
      </c>
      <c r="H26" s="41">
        <v>36</v>
      </c>
      <c r="I26" s="40">
        <v>200</v>
      </c>
      <c r="J26" s="41">
        <v>600</v>
      </c>
      <c r="K26" s="42">
        <v>314</v>
      </c>
      <c r="L26" s="43">
        <v>82.5</v>
      </c>
      <c r="M26" s="40">
        <v>0.35827807799690298</v>
      </c>
      <c r="N26" s="40">
        <v>0.312416302716021</v>
      </c>
      <c r="O26" s="40">
        <v>0.31943999635287201</v>
      </c>
      <c r="P26" s="40">
        <v>0.37337663887897399</v>
      </c>
      <c r="Q26" s="40">
        <v>0.26007250949923499</v>
      </c>
      <c r="R26" s="40">
        <v>0.30549036610578201</v>
      </c>
      <c r="S26" s="48">
        <v>0.32632757459943168</v>
      </c>
      <c r="T26" s="40">
        <v>0.39192201729748</v>
      </c>
      <c r="U26" s="40">
        <v>0.29403851769872102</v>
      </c>
      <c r="V26" s="40">
        <v>0.34796081807492901</v>
      </c>
      <c r="W26" s="40">
        <v>0.38179391417313502</v>
      </c>
      <c r="X26" s="40">
        <v>0.34930296723745002</v>
      </c>
      <c r="Y26" s="40">
        <v>0.34752814190261799</v>
      </c>
      <c r="Z26" s="43">
        <v>0.44</v>
      </c>
      <c r="AA26" s="43">
        <v>0.30524344767362299</v>
      </c>
      <c r="AB26" s="43">
        <f t="shared" si="0"/>
        <v>0.13475655232637701</v>
      </c>
      <c r="AC26" s="45">
        <v>0.40807060032788001</v>
      </c>
      <c r="AD26" s="45">
        <f t="shared" si="1"/>
        <v>3.1929399672119996E-2</v>
      </c>
    </row>
    <row r="27" spans="1:30" ht="15" x14ac:dyDescent="0.2">
      <c r="A27" s="40" t="s">
        <v>26</v>
      </c>
      <c r="B27" s="41">
        <v>16</v>
      </c>
      <c r="C27" s="42">
        <v>571</v>
      </c>
      <c r="D27" s="42">
        <v>4</v>
      </c>
      <c r="E27" s="41">
        <v>37</v>
      </c>
      <c r="F27" s="43">
        <v>4.2587999999999999</v>
      </c>
      <c r="G27" s="41">
        <v>33</v>
      </c>
      <c r="H27" s="41">
        <v>59</v>
      </c>
      <c r="I27" s="40">
        <v>125</v>
      </c>
      <c r="J27" s="41">
        <v>250</v>
      </c>
      <c r="K27" s="42">
        <v>800</v>
      </c>
      <c r="L27" s="43">
        <v>18.2</v>
      </c>
      <c r="M27" s="40">
        <v>5.34417672094403E-2</v>
      </c>
      <c r="N27" s="40">
        <v>6.9589927034866203E-2</v>
      </c>
      <c r="O27" s="40">
        <v>4.9777664148208702E-2</v>
      </c>
      <c r="P27" s="40">
        <v>4.4458844902455802E-2</v>
      </c>
      <c r="Q27" s="40">
        <v>6.02422839544767E-2</v>
      </c>
      <c r="R27" s="40">
        <v>0.116644488774822</v>
      </c>
      <c r="S27" s="48">
        <v>0.11455523089128249</v>
      </c>
      <c r="T27" s="40">
        <v>5.86411770784563E-2</v>
      </c>
      <c r="U27" s="40">
        <v>0.113657525273181</v>
      </c>
      <c r="V27" s="40">
        <v>0.101570248247997</v>
      </c>
      <c r="W27" s="40">
        <v>6.1406820589577103E-2</v>
      </c>
      <c r="X27" s="40">
        <v>7.0934735712337799E-2</v>
      </c>
      <c r="Y27" s="40">
        <v>6.1382612698444999E-2</v>
      </c>
      <c r="Z27" s="43">
        <v>0.18</v>
      </c>
      <c r="AA27" s="43">
        <v>5.4713257349968597E-2</v>
      </c>
      <c r="AB27" s="43">
        <f t="shared" si="0"/>
        <v>0.1252867426500314</v>
      </c>
      <c r="AC27" s="45">
        <v>6.1406820589577103E-2</v>
      </c>
      <c r="AD27" s="45">
        <f t="shared" si="1"/>
        <v>0.11859317941042288</v>
      </c>
    </row>
    <row r="28" spans="1:30" ht="15" x14ac:dyDescent="0.2">
      <c r="B28" s="41">
        <v>16</v>
      </c>
      <c r="C28" s="42">
        <v>571</v>
      </c>
      <c r="D28" s="42">
        <v>4</v>
      </c>
      <c r="E28" s="41">
        <v>37</v>
      </c>
      <c r="F28" s="43">
        <v>4.2587999999999999</v>
      </c>
      <c r="G28" s="41">
        <v>33</v>
      </c>
      <c r="H28" s="41">
        <v>59</v>
      </c>
      <c r="I28" s="40">
        <v>125</v>
      </c>
      <c r="J28" s="41">
        <v>250</v>
      </c>
      <c r="K28" s="42">
        <v>800</v>
      </c>
      <c r="L28" s="43">
        <v>26.2</v>
      </c>
      <c r="M28" s="40">
        <v>8.4991922663127106E-2</v>
      </c>
      <c r="N28" s="40">
        <v>0.110673392844599</v>
      </c>
      <c r="O28" s="40">
        <v>7.1657956081487298E-2</v>
      </c>
      <c r="P28" s="40">
        <v>9.2133587413482002E-2</v>
      </c>
      <c r="Q28" s="40">
        <v>8.9841923144631297E-2</v>
      </c>
      <c r="R28" s="40">
        <v>0.167916791532985</v>
      </c>
      <c r="S28" s="48">
        <v>0.18546760436821591</v>
      </c>
      <c r="T28" s="40">
        <v>8.9108063400974394E-2</v>
      </c>
      <c r="U28" s="40">
        <v>0.16361687704161201</v>
      </c>
      <c r="V28" s="40">
        <v>0.150242305935923</v>
      </c>
      <c r="W28" s="40">
        <v>0.12632481134392201</v>
      </c>
      <c r="X28" s="40">
        <v>0.13515912529002899</v>
      </c>
      <c r="Y28" s="40">
        <v>0.121643412474959</v>
      </c>
      <c r="Z28" s="43">
        <v>0.2</v>
      </c>
      <c r="AA28" s="43">
        <v>0.10778702027692399</v>
      </c>
      <c r="AB28" s="43">
        <f t="shared" si="0"/>
        <v>9.2212979723076016E-2</v>
      </c>
      <c r="AC28" s="45">
        <v>0.117386667274441</v>
      </c>
      <c r="AD28" s="45">
        <f t="shared" si="1"/>
        <v>8.2613332725559013E-2</v>
      </c>
    </row>
    <row r="29" spans="1:30" ht="15" x14ac:dyDescent="0.2">
      <c r="B29" s="41">
        <v>16</v>
      </c>
      <c r="C29" s="42">
        <v>571</v>
      </c>
      <c r="D29" s="42">
        <v>4</v>
      </c>
      <c r="E29" s="41">
        <v>37</v>
      </c>
      <c r="F29" s="43">
        <v>4.2587999999999999</v>
      </c>
      <c r="G29" s="41">
        <v>33</v>
      </c>
      <c r="H29" s="41">
        <v>59</v>
      </c>
      <c r="I29" s="40">
        <v>125</v>
      </c>
      <c r="J29" s="41">
        <v>250</v>
      </c>
      <c r="K29" s="42">
        <v>800</v>
      </c>
      <c r="L29" s="43">
        <v>31.7</v>
      </c>
      <c r="M29" s="40">
        <v>0.106682654537537</v>
      </c>
      <c r="N29" s="40">
        <v>0.138918275588791</v>
      </c>
      <c r="O29" s="40">
        <v>8.6700656785616295E-2</v>
      </c>
      <c r="P29" s="40">
        <v>0.134875765771129</v>
      </c>
      <c r="Q29" s="40">
        <v>0.110191675087863</v>
      </c>
      <c r="R29" s="40">
        <v>0.20316649967922301</v>
      </c>
      <c r="S29" s="48">
        <v>0.23421986113360763</v>
      </c>
      <c r="T29" s="40">
        <v>0.110054047747706</v>
      </c>
      <c r="U29" s="40">
        <v>0.197963931382408</v>
      </c>
      <c r="V29" s="40">
        <v>0.18490107695969901</v>
      </c>
      <c r="W29" s="40">
        <v>0.171352578224402</v>
      </c>
      <c r="X29" s="40">
        <v>0.180241955343307</v>
      </c>
      <c r="Y29" s="40">
        <v>0.165252277490784</v>
      </c>
      <c r="Z29" s="43">
        <v>0.26</v>
      </c>
      <c r="AA29" s="43">
        <v>0.144275232289206</v>
      </c>
      <c r="AB29" s="43">
        <f t="shared" si="0"/>
        <v>0.11572476771079401</v>
      </c>
      <c r="AC29" s="45">
        <v>0.16362072698160901</v>
      </c>
      <c r="AD29" s="45">
        <f t="shared" si="1"/>
        <v>9.6379273018390998E-2</v>
      </c>
    </row>
    <row r="30" spans="1:30" ht="15" x14ac:dyDescent="0.2">
      <c r="B30" s="41">
        <v>16</v>
      </c>
      <c r="C30" s="42">
        <v>571</v>
      </c>
      <c r="D30" s="42">
        <v>4</v>
      </c>
      <c r="E30" s="41">
        <v>37</v>
      </c>
      <c r="F30" s="43">
        <v>4.2587999999999999</v>
      </c>
      <c r="G30" s="41">
        <v>33</v>
      </c>
      <c r="H30" s="41">
        <v>59</v>
      </c>
      <c r="I30" s="40">
        <v>125</v>
      </c>
      <c r="J30" s="41">
        <v>250</v>
      </c>
      <c r="K30" s="42">
        <v>800</v>
      </c>
      <c r="L30" s="43">
        <v>40.799999999999997</v>
      </c>
      <c r="M30" s="40">
        <v>0.14257095636610501</v>
      </c>
      <c r="N30" s="40">
        <v>0.18565071794736199</v>
      </c>
      <c r="O30" s="40">
        <v>0.111589488859721</v>
      </c>
      <c r="P30" s="40">
        <v>0.22342703652464699</v>
      </c>
      <c r="Q30" s="40">
        <v>0.14386126466666299</v>
      </c>
      <c r="R30" s="40">
        <v>0.26148874406663403</v>
      </c>
      <c r="S30" s="48">
        <v>0.31488268596361935</v>
      </c>
      <c r="T30" s="40">
        <v>0.14471013093957</v>
      </c>
      <c r="U30" s="40">
        <v>0.25479269401899801</v>
      </c>
      <c r="V30" s="40">
        <v>0.24337236265728401</v>
      </c>
      <c r="W30" s="40">
        <v>0.243304328572096</v>
      </c>
      <c r="X30" s="40">
        <v>0.25649507922762099</v>
      </c>
      <c r="Y30" s="40">
        <v>0.24130515419933601</v>
      </c>
      <c r="Z30" s="43">
        <v>0.44</v>
      </c>
      <c r="AA30" s="43">
        <v>0.20464663761861801</v>
      </c>
      <c r="AB30" s="43">
        <f t="shared" si="0"/>
        <v>0.23535336238138199</v>
      </c>
      <c r="AC30" s="45">
        <v>0.240117080315287</v>
      </c>
      <c r="AD30" s="45">
        <f t="shared" si="1"/>
        <v>0.199882919684713</v>
      </c>
    </row>
    <row r="31" spans="1:30" ht="15" x14ac:dyDescent="0.2">
      <c r="B31" s="41">
        <v>16</v>
      </c>
      <c r="C31" s="42">
        <v>571</v>
      </c>
      <c r="D31" s="42">
        <v>4</v>
      </c>
      <c r="E31" s="41">
        <v>37</v>
      </c>
      <c r="F31" s="43">
        <v>4.2587999999999999</v>
      </c>
      <c r="G31" s="41">
        <v>33</v>
      </c>
      <c r="H31" s="41">
        <v>59</v>
      </c>
      <c r="I31" s="40">
        <v>125</v>
      </c>
      <c r="J31" s="41">
        <v>250</v>
      </c>
      <c r="K31" s="42">
        <v>800</v>
      </c>
      <c r="L31" s="43">
        <v>54.1</v>
      </c>
      <c r="M31" s="40">
        <v>0.19502308980786001</v>
      </c>
      <c r="N31" s="40">
        <v>0.25395197985604301</v>
      </c>
      <c r="O31" s="40">
        <v>0.14796547419879599</v>
      </c>
      <c r="P31" s="40">
        <v>0.39283477795241101</v>
      </c>
      <c r="Q31" s="40">
        <v>0.193070664820295</v>
      </c>
      <c r="R31" s="40">
        <v>0.34672894740208099</v>
      </c>
      <c r="S31" s="48">
        <v>0.43277450686902125</v>
      </c>
      <c r="T31" s="40">
        <v>0.19536132945075599</v>
      </c>
      <c r="U31" s="40">
        <v>0.33785011633401502</v>
      </c>
      <c r="V31" s="40">
        <v>0.33024122354616298</v>
      </c>
      <c r="W31" s="40">
        <v>0.34413003388404101</v>
      </c>
      <c r="X31" s="40">
        <v>0.37166770688885298</v>
      </c>
      <c r="Y31" s="40">
        <v>0.36120462535742598</v>
      </c>
      <c r="Z31" s="43">
        <v>0.6</v>
      </c>
      <c r="AA31" s="43">
        <v>0.292881768484681</v>
      </c>
      <c r="AB31" s="43">
        <f t="shared" si="0"/>
        <v>0.30711823151531897</v>
      </c>
      <c r="AC31" s="45">
        <v>0.35191944287989402</v>
      </c>
      <c r="AD31" s="45">
        <f t="shared" si="1"/>
        <v>0.24808055712010596</v>
      </c>
    </row>
    <row r="32" spans="1:30" ht="15" x14ac:dyDescent="0.2">
      <c r="A32" s="40" t="s">
        <v>27</v>
      </c>
      <c r="B32" s="41">
        <v>12</v>
      </c>
      <c r="C32" s="42">
        <v>500</v>
      </c>
      <c r="D32" s="42">
        <v>4</v>
      </c>
      <c r="E32" s="41">
        <v>79.3</v>
      </c>
      <c r="F32" s="43">
        <v>2.6933292113182898</v>
      </c>
      <c r="G32" s="41">
        <v>20</v>
      </c>
      <c r="H32" s="41">
        <v>38</v>
      </c>
      <c r="I32" s="40">
        <v>350</v>
      </c>
      <c r="J32" s="41">
        <v>450</v>
      </c>
      <c r="K32" s="42">
        <v>452</v>
      </c>
      <c r="L32" s="43">
        <v>52.5</v>
      </c>
      <c r="M32" s="40">
        <v>0.243492377830339</v>
      </c>
      <c r="N32" s="40">
        <v>0.19654297410838101</v>
      </c>
      <c r="O32" s="40">
        <v>0.22346339002485899</v>
      </c>
      <c r="P32" s="40">
        <v>0.22693428965131099</v>
      </c>
      <c r="Q32" s="40">
        <v>0.19901621546256601</v>
      </c>
      <c r="R32" s="40">
        <v>0.240089378798229</v>
      </c>
      <c r="S32" s="48">
        <v>0.2425981916558643</v>
      </c>
      <c r="T32" s="40">
        <v>0.25002482779531099</v>
      </c>
      <c r="U32" s="40">
        <v>0.23257512149335899</v>
      </c>
      <c r="V32" s="40">
        <v>0.327307817172589</v>
      </c>
      <c r="W32" s="40">
        <v>0.32065859512371497</v>
      </c>
      <c r="X32" s="40">
        <v>0.26288151835045498</v>
      </c>
      <c r="Y32" s="40">
        <v>0.23997255102544801</v>
      </c>
      <c r="Z32" s="43">
        <v>0.36</v>
      </c>
      <c r="AA32" s="43">
        <v>0.234277041464278</v>
      </c>
      <c r="AB32" s="43">
        <f t="shared" si="0"/>
        <v>0.12572295853572199</v>
      </c>
      <c r="AC32" s="45">
        <v>0.30679018134795699</v>
      </c>
      <c r="AD32" s="45">
        <f t="shared" si="1"/>
        <v>5.3209818652042995E-2</v>
      </c>
    </row>
    <row r="33" spans="1:30" ht="15" x14ac:dyDescent="0.2">
      <c r="B33" s="41">
        <v>12</v>
      </c>
      <c r="C33" s="42">
        <v>500</v>
      </c>
      <c r="D33" s="42">
        <v>4</v>
      </c>
      <c r="E33" s="41">
        <v>79.3</v>
      </c>
      <c r="F33" s="43">
        <v>2.6933292113182898</v>
      </c>
      <c r="G33" s="41">
        <v>20</v>
      </c>
      <c r="H33" s="41">
        <v>38</v>
      </c>
      <c r="I33" s="40">
        <v>350</v>
      </c>
      <c r="J33" s="41">
        <v>450</v>
      </c>
      <c r="K33" s="42">
        <v>452</v>
      </c>
      <c r="L33" s="43">
        <v>67.5</v>
      </c>
      <c r="M33" s="40">
        <v>0.36590013330846</v>
      </c>
      <c r="N33" s="40">
        <v>0.27976402135554901</v>
      </c>
      <c r="O33" s="40">
        <v>0.28731007288910398</v>
      </c>
      <c r="P33" s="40">
        <v>0.375136274729718</v>
      </c>
      <c r="Q33" s="40">
        <v>0.29782409498510398</v>
      </c>
      <c r="R33" s="40">
        <v>0.30868634416915203</v>
      </c>
      <c r="S33" s="48">
        <v>0.32255788970151728</v>
      </c>
      <c r="T33" s="40">
        <v>0.33594505364732102</v>
      </c>
      <c r="U33" s="40">
        <v>0.29902515620574799</v>
      </c>
      <c r="V33" s="40">
        <v>0.43883311744450598</v>
      </c>
      <c r="W33" s="40">
        <v>0.47038078475339201</v>
      </c>
      <c r="X33" s="40">
        <v>0.40583383496534198</v>
      </c>
      <c r="Y33" s="40">
        <v>0.38075489147888297</v>
      </c>
      <c r="Z33" s="43">
        <v>0.43</v>
      </c>
      <c r="AA33" s="43">
        <v>0.35469963715583802</v>
      </c>
      <c r="AB33" s="43">
        <f t="shared" si="0"/>
        <v>7.5300362844161972E-2</v>
      </c>
      <c r="AC33" s="45">
        <v>0.483588349093174</v>
      </c>
      <c r="AD33" s="45">
        <f t="shared" si="1"/>
        <v>-5.3588349093174004E-2</v>
      </c>
    </row>
    <row r="34" spans="1:30" ht="15" x14ac:dyDescent="0.2">
      <c r="B34" s="41">
        <v>12</v>
      </c>
      <c r="C34" s="42">
        <v>500</v>
      </c>
      <c r="D34" s="42">
        <v>4</v>
      </c>
      <c r="E34" s="41">
        <v>79.3</v>
      </c>
      <c r="F34" s="43">
        <v>2.6933292113182898</v>
      </c>
      <c r="G34" s="41">
        <v>20</v>
      </c>
      <c r="H34" s="41">
        <v>38</v>
      </c>
      <c r="I34" s="40">
        <v>350</v>
      </c>
      <c r="J34" s="41">
        <v>450</v>
      </c>
      <c r="K34" s="42">
        <v>452</v>
      </c>
      <c r="L34" s="43">
        <v>90</v>
      </c>
      <c r="M34" s="40">
        <v>0.52808145784571003</v>
      </c>
      <c r="N34" s="40">
        <v>0.40376643461255801</v>
      </c>
      <c r="O34" s="40">
        <v>0.36155268598849899</v>
      </c>
      <c r="P34" s="40">
        <v>0.59406031512087498</v>
      </c>
      <c r="Q34" s="40">
        <v>0.42873730970005502</v>
      </c>
      <c r="R34" s="40">
        <v>0.399572306906053</v>
      </c>
      <c r="S34" s="48">
        <v>0.42849864229509449</v>
      </c>
      <c r="T34" s="40">
        <v>0.44978306970104498</v>
      </c>
      <c r="U34" s="40">
        <v>0.38706659282148398</v>
      </c>
      <c r="V34" s="40">
        <v>0.51425077014725995</v>
      </c>
      <c r="W34" s="40">
        <v>0.65607272500259295</v>
      </c>
      <c r="X34" s="40">
        <v>0.60342015848059005</v>
      </c>
      <c r="Y34" s="40">
        <v>0.58010401369572495</v>
      </c>
      <c r="Z34" s="43">
        <v>0.56000000000000005</v>
      </c>
      <c r="AA34" s="43">
        <v>0.51425077014725995</v>
      </c>
      <c r="AB34" s="43">
        <f t="shared" si="0"/>
        <v>4.5749229852740103E-2</v>
      </c>
      <c r="AC34" s="45">
        <v>0.70145281360344103</v>
      </c>
      <c r="AD34" s="45">
        <f t="shared" si="1"/>
        <v>-0.14145281360344097</v>
      </c>
    </row>
    <row r="35" spans="1:30" ht="15" x14ac:dyDescent="0.2">
      <c r="B35" s="41">
        <v>12</v>
      </c>
      <c r="C35" s="42">
        <v>500</v>
      </c>
      <c r="D35" s="42">
        <v>4</v>
      </c>
      <c r="E35" s="41">
        <v>79.3</v>
      </c>
      <c r="F35" s="43">
        <v>2.6933292113182898</v>
      </c>
      <c r="G35" s="41">
        <v>20</v>
      </c>
      <c r="H35" s="41">
        <v>38</v>
      </c>
      <c r="I35" s="40">
        <v>350</v>
      </c>
      <c r="J35" s="41">
        <v>450</v>
      </c>
      <c r="K35" s="42">
        <v>452</v>
      </c>
      <c r="L35" s="43">
        <v>112.5</v>
      </c>
      <c r="M35" s="40">
        <v>0.52808145784571003</v>
      </c>
      <c r="N35" s="40">
        <v>0.40376643461255801</v>
      </c>
      <c r="O35" s="40">
        <v>0.36155268598849899</v>
      </c>
      <c r="P35" s="40">
        <v>0.59406031512087498</v>
      </c>
      <c r="Q35" s="40">
        <v>0.42873730970005502</v>
      </c>
      <c r="R35" s="40">
        <v>0.399572306906053</v>
      </c>
      <c r="S35" s="48">
        <v>0.42849864229509449</v>
      </c>
      <c r="T35" s="40">
        <v>0.44978306970104498</v>
      </c>
      <c r="U35" s="40">
        <v>0.38706659282148398</v>
      </c>
      <c r="V35" s="40">
        <v>0.51425077014725995</v>
      </c>
      <c r="W35" s="40">
        <v>0.65607272500259295</v>
      </c>
      <c r="X35" s="40">
        <v>0.60342015848059005</v>
      </c>
      <c r="Y35" s="40">
        <v>0.58010401369572495</v>
      </c>
      <c r="Z35" s="43">
        <v>0.71</v>
      </c>
      <c r="AA35" s="43">
        <v>0.51425077014725995</v>
      </c>
      <c r="AB35" s="43">
        <f t="shared" si="0"/>
        <v>0.19574922985274001</v>
      </c>
      <c r="AC35" s="45">
        <v>0.70145281360344103</v>
      </c>
      <c r="AD35" s="45">
        <f t="shared" si="1"/>
        <v>8.5471863965589367E-3</v>
      </c>
    </row>
    <row r="36" spans="1:30" ht="15" x14ac:dyDescent="0.2">
      <c r="B36" s="41">
        <v>12</v>
      </c>
      <c r="C36" s="42">
        <v>500</v>
      </c>
      <c r="D36" s="42">
        <v>4</v>
      </c>
      <c r="E36" s="41">
        <v>79.3</v>
      </c>
      <c r="F36" s="43">
        <v>2.6933292113182898</v>
      </c>
      <c r="G36" s="41">
        <v>20</v>
      </c>
      <c r="H36" s="41">
        <v>38</v>
      </c>
      <c r="I36" s="40">
        <v>350</v>
      </c>
      <c r="J36" s="41">
        <v>450</v>
      </c>
      <c r="K36" s="42">
        <v>452</v>
      </c>
      <c r="L36" s="43">
        <v>120</v>
      </c>
      <c r="M36" s="40">
        <v>0.52808145784571003</v>
      </c>
      <c r="N36" s="40">
        <v>0.40376643461255801</v>
      </c>
      <c r="O36" s="40">
        <v>0.36155268598849899</v>
      </c>
      <c r="P36" s="40">
        <v>0.59406031512087498</v>
      </c>
      <c r="Q36" s="40">
        <v>0.42873730970005502</v>
      </c>
      <c r="R36" s="40">
        <v>0.399572306906053</v>
      </c>
      <c r="S36" s="48">
        <v>0.42849864229509449</v>
      </c>
      <c r="T36" s="40">
        <v>0.44978306970104498</v>
      </c>
      <c r="U36" s="40">
        <v>0.38706659282148398</v>
      </c>
      <c r="V36" s="40">
        <v>0.51425077014725995</v>
      </c>
      <c r="W36" s="40">
        <v>0.65607272500259295</v>
      </c>
      <c r="X36" s="40">
        <v>0.60342015848059005</v>
      </c>
      <c r="Y36" s="40">
        <v>0.58010401369572495</v>
      </c>
      <c r="Z36" s="43">
        <v>0.79</v>
      </c>
      <c r="AA36" s="43">
        <v>0.51425077014725995</v>
      </c>
      <c r="AB36" s="43">
        <f t="shared" si="0"/>
        <v>0.27574922985274009</v>
      </c>
      <c r="AC36" s="45">
        <v>0.70145281360344103</v>
      </c>
      <c r="AD36" s="45">
        <f t="shared" si="1"/>
        <v>8.8547186396559008E-2</v>
      </c>
    </row>
    <row r="37" spans="1:30" ht="15" x14ac:dyDescent="0.2">
      <c r="A37" s="40" t="s">
        <v>28</v>
      </c>
      <c r="B37" s="41">
        <v>25</v>
      </c>
      <c r="C37" s="42">
        <v>500</v>
      </c>
      <c r="D37" s="42">
        <v>4</v>
      </c>
      <c r="E37" s="41">
        <v>62</v>
      </c>
      <c r="F37" s="43">
        <v>2.6933292113182898</v>
      </c>
      <c r="G37" s="41">
        <v>20</v>
      </c>
      <c r="H37" s="41">
        <v>44.5</v>
      </c>
      <c r="I37" s="40">
        <v>350</v>
      </c>
      <c r="J37" s="41">
        <v>450</v>
      </c>
      <c r="K37" s="42">
        <v>1964</v>
      </c>
      <c r="L37" s="43">
        <v>75</v>
      </c>
      <c r="M37" s="40">
        <v>5.53032499253404E-2</v>
      </c>
      <c r="N37" s="40">
        <v>4.821469359438E-2</v>
      </c>
      <c r="O37" s="40">
        <v>8.9930527918053199E-2</v>
      </c>
      <c r="P37" s="40">
        <v>6.1700380095881399E-2</v>
      </c>
      <c r="Q37" s="40">
        <v>4.8609340041895398E-2</v>
      </c>
      <c r="R37" s="40">
        <v>7.9566101885106197E-2</v>
      </c>
      <c r="S37" s="48">
        <v>8.0681320108798638E-2</v>
      </c>
      <c r="T37" s="40">
        <v>9.0550252029073602E-2</v>
      </c>
      <c r="U37" s="40">
        <v>9.6138093546599704E-2</v>
      </c>
      <c r="V37" s="40">
        <v>8.9892441364921596E-2</v>
      </c>
      <c r="W37" s="40">
        <v>5.2197084757393902E-2</v>
      </c>
      <c r="X37" s="40">
        <v>7.1800422621446494E-2</v>
      </c>
      <c r="Y37" s="40">
        <v>5.1614247318551999E-2</v>
      </c>
      <c r="Z37" s="43">
        <v>0.2</v>
      </c>
      <c r="AA37" s="43">
        <v>5.2197084757393902E-2</v>
      </c>
      <c r="AB37" s="43">
        <f t="shared" si="0"/>
        <v>0.14780291524260611</v>
      </c>
      <c r="AC37" s="45">
        <v>5.2197084757393902E-2</v>
      </c>
      <c r="AD37" s="45">
        <f t="shared" si="1"/>
        <v>0.14780291524260611</v>
      </c>
    </row>
    <row r="38" spans="1:30" ht="15" x14ac:dyDescent="0.2">
      <c r="B38" s="41">
        <v>25</v>
      </c>
      <c r="C38" s="42">
        <v>500</v>
      </c>
      <c r="D38" s="42">
        <v>4</v>
      </c>
      <c r="E38" s="41">
        <v>62</v>
      </c>
      <c r="F38" s="43">
        <v>2.6933292113182898</v>
      </c>
      <c r="G38" s="41">
        <v>20</v>
      </c>
      <c r="H38" s="41">
        <v>44.5</v>
      </c>
      <c r="I38" s="40">
        <v>350</v>
      </c>
      <c r="J38" s="41">
        <v>450</v>
      </c>
      <c r="K38" s="42">
        <v>1964</v>
      </c>
      <c r="L38" s="43">
        <v>135</v>
      </c>
      <c r="M38" s="40">
        <v>0.126665910856779</v>
      </c>
      <c r="N38" s="40">
        <v>0.110430365106161</v>
      </c>
      <c r="O38" s="40">
        <v>0.16187495025249601</v>
      </c>
      <c r="P38" s="40">
        <v>0.19990923151065601</v>
      </c>
      <c r="Q38" s="40">
        <v>0.10368191451004501</v>
      </c>
      <c r="R38" s="40">
        <v>0.143218983393191</v>
      </c>
      <c r="S38" s="48">
        <v>0.18404308310235309</v>
      </c>
      <c r="T38" s="40">
        <v>0.182425740208567</v>
      </c>
      <c r="U38" s="40">
        <v>0.17304856838388</v>
      </c>
      <c r="V38" s="40">
        <v>0.169461349415442</v>
      </c>
      <c r="W38" s="40">
        <v>0.14926680166140999</v>
      </c>
      <c r="X38" s="40">
        <v>0.211083922293619</v>
      </c>
      <c r="Y38" s="40">
        <v>0.15719250234058699</v>
      </c>
      <c r="Z38" s="43">
        <v>0.25</v>
      </c>
      <c r="AA38" s="43">
        <v>0.13966391626237401</v>
      </c>
      <c r="AB38" s="43">
        <f t="shared" si="0"/>
        <v>0.11033608373762599</v>
      </c>
      <c r="AC38" s="45">
        <v>0.14000449244629401</v>
      </c>
      <c r="AD38" s="45">
        <f t="shared" si="1"/>
        <v>0.10999550755370599</v>
      </c>
    </row>
    <row r="39" spans="1:30" ht="15" x14ac:dyDescent="0.2">
      <c r="B39" s="41">
        <v>25</v>
      </c>
      <c r="C39" s="42">
        <v>500</v>
      </c>
      <c r="D39" s="42">
        <v>4</v>
      </c>
      <c r="E39" s="41">
        <v>62</v>
      </c>
      <c r="F39" s="43">
        <v>2.6933292113182898</v>
      </c>
      <c r="G39" s="41">
        <v>20</v>
      </c>
      <c r="H39" s="41">
        <v>44.5</v>
      </c>
      <c r="I39" s="40">
        <v>350</v>
      </c>
      <c r="J39" s="41">
        <v>450</v>
      </c>
      <c r="K39" s="42">
        <v>1964</v>
      </c>
      <c r="L39" s="43">
        <v>195</v>
      </c>
      <c r="M39" s="40">
        <v>0.19802857178821701</v>
      </c>
      <c r="N39" s="40">
        <v>0.17264603661794301</v>
      </c>
      <c r="O39" s="40">
        <v>0.233819372586938</v>
      </c>
      <c r="P39" s="40">
        <v>0.41709456944815898</v>
      </c>
      <c r="Q39" s="40">
        <v>0.158754488978194</v>
      </c>
      <c r="R39" s="40">
        <v>0.20687186490127599</v>
      </c>
      <c r="S39" s="48">
        <v>0.28740484609590755</v>
      </c>
      <c r="T39" s="40">
        <v>0.27430122838805998</v>
      </c>
      <c r="U39" s="40">
        <v>0.249959043221159</v>
      </c>
      <c r="V39" s="40">
        <v>0.25285237956224299</v>
      </c>
      <c r="W39" s="40">
        <v>0.25046264304705401</v>
      </c>
      <c r="X39" s="40">
        <v>0.37412457671013</v>
      </c>
      <c r="Y39" s="40">
        <v>0.27928426266762602</v>
      </c>
      <c r="Z39" s="43">
        <v>0.36</v>
      </c>
      <c r="AA39" s="43">
        <v>0.22713074776735301</v>
      </c>
      <c r="AB39" s="43">
        <f t="shared" si="0"/>
        <v>0.13286925223264698</v>
      </c>
      <c r="AC39" s="45">
        <v>0.24455201103266899</v>
      </c>
      <c r="AD39" s="45">
        <f t="shared" si="1"/>
        <v>0.11544798896733099</v>
      </c>
    </row>
    <row r="40" spans="1:30" ht="15" x14ac:dyDescent="0.2">
      <c r="B40" s="41">
        <v>25</v>
      </c>
      <c r="C40" s="42">
        <v>500</v>
      </c>
      <c r="D40" s="42">
        <v>4</v>
      </c>
      <c r="E40" s="41">
        <v>62</v>
      </c>
      <c r="F40" s="43">
        <v>2.6933292113182898</v>
      </c>
      <c r="G40" s="41">
        <v>20</v>
      </c>
      <c r="H40" s="41">
        <v>44.5</v>
      </c>
      <c r="I40" s="40">
        <v>350</v>
      </c>
      <c r="J40" s="41">
        <v>450</v>
      </c>
      <c r="K40" s="42">
        <v>1964</v>
      </c>
      <c r="L40" s="43">
        <v>255</v>
      </c>
      <c r="M40" s="40">
        <v>0.26939123271965498</v>
      </c>
      <c r="N40" s="40">
        <v>0.23486170812972401</v>
      </c>
      <c r="O40" s="40">
        <v>0.305763794921381</v>
      </c>
      <c r="P40" s="40">
        <v>0.71325639390839002</v>
      </c>
      <c r="Q40" s="40">
        <v>0.213827063446343</v>
      </c>
      <c r="R40" s="40">
        <v>0.27052474640936103</v>
      </c>
      <c r="S40" s="48">
        <v>0.39076660908946209</v>
      </c>
      <c r="T40" s="40">
        <v>0.36617671656755302</v>
      </c>
      <c r="U40" s="40">
        <v>0.326869518058439</v>
      </c>
      <c r="V40" s="40">
        <v>0.33770206410561698</v>
      </c>
      <c r="W40" s="40">
        <v>0.34769316654520699</v>
      </c>
      <c r="X40" s="40">
        <v>0.56092238587097998</v>
      </c>
      <c r="Y40" s="40">
        <v>0.41788952829966902</v>
      </c>
      <c r="Z40" s="43">
        <v>0.47</v>
      </c>
      <c r="AA40" s="43">
        <v>0.31459757927233301</v>
      </c>
      <c r="AB40" s="43">
        <f t="shared" si="0"/>
        <v>0.15540242072766697</v>
      </c>
      <c r="AC40" s="45">
        <v>0.349099529619044</v>
      </c>
      <c r="AD40" s="45">
        <f t="shared" si="1"/>
        <v>0.12090047038095597</v>
      </c>
    </row>
    <row r="41" spans="1:30" ht="15" x14ac:dyDescent="0.2">
      <c r="B41" s="41">
        <v>25</v>
      </c>
      <c r="C41" s="42">
        <v>500</v>
      </c>
      <c r="D41" s="42">
        <v>4</v>
      </c>
      <c r="E41" s="41">
        <v>62</v>
      </c>
      <c r="F41" s="43">
        <v>2.6933292113182898</v>
      </c>
      <c r="G41" s="41">
        <v>20</v>
      </c>
      <c r="H41" s="41">
        <v>44.5</v>
      </c>
      <c r="I41" s="40">
        <v>350</v>
      </c>
      <c r="J41" s="41">
        <v>450</v>
      </c>
      <c r="K41" s="42">
        <v>1964</v>
      </c>
      <c r="L41" s="43">
        <v>300</v>
      </c>
      <c r="M41" s="40">
        <v>0.322913228418233</v>
      </c>
      <c r="N41" s="40">
        <v>0.28152346176356002</v>
      </c>
      <c r="O41" s="40">
        <v>0.35972211167221302</v>
      </c>
      <c r="P41" s="40">
        <v>0.98720608153410305</v>
      </c>
      <c r="Q41" s="40">
        <v>0.25513149429745502</v>
      </c>
      <c r="R41" s="40">
        <v>0.31826440754042501</v>
      </c>
      <c r="S41" s="48">
        <v>0.46828793133462798</v>
      </c>
      <c r="T41" s="40">
        <v>0.43508333270217298</v>
      </c>
      <c r="U41" s="40">
        <v>0.38455237418639898</v>
      </c>
      <c r="V41" s="40">
        <v>0.40184799996411502</v>
      </c>
      <c r="W41" s="40">
        <v>0.41871623271781799</v>
      </c>
      <c r="X41" s="40">
        <v>0.71661137554259002</v>
      </c>
      <c r="Y41" s="40">
        <v>0.53591046017867605</v>
      </c>
      <c r="Z41" s="43">
        <v>0.56999999999999995</v>
      </c>
      <c r="AA41" s="43">
        <v>0.38019770290106802</v>
      </c>
      <c r="AB41" s="43">
        <f t="shared" si="0"/>
        <v>0.18980229709893193</v>
      </c>
      <c r="AC41" s="45">
        <v>0.42751016855882601</v>
      </c>
      <c r="AD41" s="45">
        <f t="shared" si="1"/>
        <v>0.14248983144117394</v>
      </c>
    </row>
    <row r="42" spans="1:30" ht="15" x14ac:dyDescent="0.2">
      <c r="B42" s="41">
        <v>25</v>
      </c>
      <c r="C42" s="42">
        <v>500</v>
      </c>
      <c r="D42" s="42">
        <v>4</v>
      </c>
      <c r="E42" s="41">
        <v>62</v>
      </c>
      <c r="F42" s="43">
        <v>2.6933292113182898</v>
      </c>
      <c r="G42" s="41">
        <v>20</v>
      </c>
      <c r="H42" s="41">
        <v>44.5</v>
      </c>
      <c r="I42" s="40">
        <v>350</v>
      </c>
      <c r="J42" s="41">
        <v>450</v>
      </c>
      <c r="K42" s="42">
        <v>1964</v>
      </c>
      <c r="L42" s="43">
        <v>360</v>
      </c>
      <c r="M42" s="40">
        <v>0.38484512345130201</v>
      </c>
      <c r="N42" s="40">
        <v>0.33551716641509199</v>
      </c>
      <c r="O42" s="40">
        <v>0.40277070489560102</v>
      </c>
      <c r="P42" s="40">
        <v>1.23762565650182</v>
      </c>
      <c r="Q42" s="40">
        <v>0.302926081223511</v>
      </c>
      <c r="R42" s="40">
        <v>0.37350539105557901</v>
      </c>
      <c r="S42" s="48">
        <v>0.55799016178116179</v>
      </c>
      <c r="T42" s="40">
        <v>0.51481723017428405</v>
      </c>
      <c r="U42" s="40">
        <v>0.45129892472691402</v>
      </c>
      <c r="V42" s="40">
        <v>0.45610555943189202</v>
      </c>
      <c r="W42" s="40">
        <v>0.49939143141625197</v>
      </c>
      <c r="X42" s="40">
        <v>0.91344179286607297</v>
      </c>
      <c r="Y42" s="40">
        <v>0.676813733906936</v>
      </c>
      <c r="Z42" s="43">
        <v>0.78</v>
      </c>
      <c r="AA42" s="43">
        <v>0.45610555943189202</v>
      </c>
      <c r="AB42" s="43">
        <f t="shared" si="0"/>
        <v>0.32389444056810801</v>
      </c>
      <c r="AC42" s="45">
        <v>0.51324201405572301</v>
      </c>
      <c r="AD42" s="45">
        <f t="shared" si="1"/>
        <v>0.26675798594427702</v>
      </c>
    </row>
    <row r="43" spans="1:30" ht="15" x14ac:dyDescent="0.2">
      <c r="A43" s="40" t="s">
        <v>29</v>
      </c>
      <c r="B43" s="41">
        <v>12</v>
      </c>
      <c r="C43" s="42">
        <v>500</v>
      </c>
      <c r="D43" s="42">
        <v>4</v>
      </c>
      <c r="E43" s="41">
        <v>79.3</v>
      </c>
      <c r="F43" s="43">
        <v>2.6933292113182898</v>
      </c>
      <c r="G43" s="41">
        <v>20</v>
      </c>
      <c r="H43" s="41">
        <v>34</v>
      </c>
      <c r="I43" s="40">
        <v>350</v>
      </c>
      <c r="J43" s="41">
        <v>450</v>
      </c>
      <c r="K43" s="42">
        <v>452</v>
      </c>
      <c r="L43" s="43">
        <v>37.5</v>
      </c>
      <c r="M43" s="40">
        <v>0.123601278848589</v>
      </c>
      <c r="N43" s="40">
        <v>0.128929548243119</v>
      </c>
      <c r="O43" s="40">
        <v>0.158019738781601</v>
      </c>
      <c r="P43" s="40">
        <v>0.113477572228636</v>
      </c>
      <c r="Q43" s="40">
        <v>8.62285655197986E-2</v>
      </c>
      <c r="R43" s="40">
        <v>0.15243660190670699</v>
      </c>
      <c r="S43" s="48">
        <v>0.15746860483059691</v>
      </c>
      <c r="T43" s="40">
        <v>0.154734444957662</v>
      </c>
      <c r="U43" s="40">
        <v>0.15094459465291199</v>
      </c>
      <c r="V43" s="40">
        <v>0.212644348091411</v>
      </c>
      <c r="W43" s="40">
        <v>0.15547380427579399</v>
      </c>
      <c r="X43" s="40">
        <v>0.12691956329147</v>
      </c>
      <c r="Y43" s="40">
        <v>0.10971446668410501</v>
      </c>
      <c r="Z43" s="43">
        <v>0.21</v>
      </c>
      <c r="AA43" s="43">
        <v>0.115038822092364</v>
      </c>
      <c r="AB43" s="43">
        <f t="shared" si="0"/>
        <v>9.4961177907635988E-2</v>
      </c>
      <c r="AC43" s="45">
        <v>0.12862827836683199</v>
      </c>
      <c r="AD43" s="45">
        <f t="shared" si="1"/>
        <v>8.1371721633167998E-2</v>
      </c>
    </row>
    <row r="44" spans="1:30" ht="15" x14ac:dyDescent="0.2">
      <c r="B44" s="41">
        <v>12</v>
      </c>
      <c r="C44" s="42">
        <v>500</v>
      </c>
      <c r="D44" s="42">
        <v>4</v>
      </c>
      <c r="E44" s="41">
        <v>79.3</v>
      </c>
      <c r="F44" s="43">
        <v>2.6933292113182898</v>
      </c>
      <c r="G44" s="41">
        <v>20</v>
      </c>
      <c r="H44" s="41">
        <v>34</v>
      </c>
      <c r="I44" s="40">
        <v>350</v>
      </c>
      <c r="J44" s="41">
        <v>450</v>
      </c>
      <c r="K44" s="42">
        <v>452</v>
      </c>
      <c r="L44" s="43">
        <v>45</v>
      </c>
      <c r="M44" s="40">
        <v>0.17871528641151799</v>
      </c>
      <c r="N44" s="40">
        <v>0.15471545789174199</v>
      </c>
      <c r="O44" s="40">
        <v>0.189623686537921</v>
      </c>
      <c r="P44" s="40">
        <v>0.16340770400923599</v>
      </c>
      <c r="Q44" s="40">
        <v>0.12999460926703499</v>
      </c>
      <c r="R44" s="40">
        <v>0.18292392228804799</v>
      </c>
      <c r="S44" s="48">
        <v>0.19626644017015454</v>
      </c>
      <c r="T44" s="40">
        <v>0.19536706474090401</v>
      </c>
      <c r="U44" s="40">
        <v>0.181133513583495</v>
      </c>
      <c r="V44" s="40">
        <v>0.26320836832803501</v>
      </c>
      <c r="W44" s="40">
        <v>0.23281475878676799</v>
      </c>
      <c r="X44" s="40">
        <v>0.19109857723155399</v>
      </c>
      <c r="Y44" s="40">
        <v>0.170997543398027</v>
      </c>
      <c r="Z44" s="43">
        <v>0.31</v>
      </c>
      <c r="AA44" s="43">
        <v>0.17127121819076399</v>
      </c>
      <c r="AB44" s="43">
        <f t="shared" si="0"/>
        <v>0.13872878180923601</v>
      </c>
      <c r="AC44" s="45">
        <v>0.21087955947822701</v>
      </c>
      <c r="AD44" s="45">
        <f t="shared" si="1"/>
        <v>9.912044052177299E-2</v>
      </c>
    </row>
    <row r="45" spans="1:30" ht="15" x14ac:dyDescent="0.2">
      <c r="B45" s="41">
        <v>12</v>
      </c>
      <c r="C45" s="42">
        <v>500</v>
      </c>
      <c r="D45" s="42">
        <v>4</v>
      </c>
      <c r="E45" s="41">
        <v>79.3</v>
      </c>
      <c r="F45" s="43">
        <v>2.6933292113182898</v>
      </c>
      <c r="G45" s="41">
        <v>20</v>
      </c>
      <c r="H45" s="41">
        <v>34</v>
      </c>
      <c r="I45" s="40">
        <v>350</v>
      </c>
      <c r="J45" s="41">
        <v>450</v>
      </c>
      <c r="K45" s="42">
        <v>452</v>
      </c>
      <c r="L45" s="43">
        <v>52.5</v>
      </c>
      <c r="M45" s="40">
        <v>0.23382929397444599</v>
      </c>
      <c r="N45" s="40">
        <v>0.182334198819364</v>
      </c>
      <c r="O45" s="40">
        <v>0.221227634294241</v>
      </c>
      <c r="P45" s="40">
        <v>0.222416041568126</v>
      </c>
      <c r="Q45" s="40">
        <v>0.17376065301427099</v>
      </c>
      <c r="R45" s="40">
        <v>0.21341124266938899</v>
      </c>
      <c r="S45" s="48">
        <v>0.23506427550971221</v>
      </c>
      <c r="T45" s="40">
        <v>0.23599968452414599</v>
      </c>
      <c r="U45" s="40">
        <v>0.21132243251407701</v>
      </c>
      <c r="V45" s="40">
        <v>0.31523014425319001</v>
      </c>
      <c r="W45" s="40">
        <v>0.30788868939637598</v>
      </c>
      <c r="X45" s="40">
        <v>0.25786701101210002</v>
      </c>
      <c r="Y45" s="40">
        <v>0.235606152292124</v>
      </c>
      <c r="Z45" s="43">
        <v>0.38</v>
      </c>
      <c r="AA45" s="43">
        <v>0.22879062923694601</v>
      </c>
      <c r="AB45" s="43">
        <f t="shared" si="0"/>
        <v>0.15120937076305399</v>
      </c>
      <c r="AC45" s="45">
        <v>0.29431649941524501</v>
      </c>
      <c r="AD45" s="45">
        <f t="shared" si="1"/>
        <v>8.568350058475499E-2</v>
      </c>
    </row>
    <row r="46" spans="1:30" ht="15" x14ac:dyDescent="0.2">
      <c r="B46" s="41">
        <v>12</v>
      </c>
      <c r="C46" s="42">
        <v>500</v>
      </c>
      <c r="D46" s="42">
        <v>4</v>
      </c>
      <c r="E46" s="41">
        <v>79.3</v>
      </c>
      <c r="F46" s="43">
        <v>2.6933292113182898</v>
      </c>
      <c r="G46" s="41">
        <v>20</v>
      </c>
      <c r="H46" s="41">
        <v>34</v>
      </c>
      <c r="I46" s="40">
        <v>350</v>
      </c>
      <c r="J46" s="41">
        <v>450</v>
      </c>
      <c r="K46" s="42">
        <v>452</v>
      </c>
      <c r="L46" s="43">
        <v>67.5</v>
      </c>
      <c r="M46" s="40">
        <v>0.34405730910030302</v>
      </c>
      <c r="N46" s="40">
        <v>0.26828723098144303</v>
      </c>
      <c r="O46" s="40">
        <v>0.28443552980688103</v>
      </c>
      <c r="P46" s="40">
        <v>0.36766733402078</v>
      </c>
      <c r="Q46" s="40">
        <v>0.26129274050874401</v>
      </c>
      <c r="R46" s="40">
        <v>0.27438588343207199</v>
      </c>
      <c r="S46" s="48">
        <v>0.31265994618882764</v>
      </c>
      <c r="T46" s="40">
        <v>0.31726492409063001</v>
      </c>
      <c r="U46" s="40">
        <v>0.27170027037524203</v>
      </c>
      <c r="V46" s="40">
        <v>0.42200204719783502</v>
      </c>
      <c r="W46" s="40">
        <v>0.450233347394978</v>
      </c>
      <c r="X46" s="40">
        <v>0.39531109325123498</v>
      </c>
      <c r="Y46" s="40">
        <v>0.37093892177749099</v>
      </c>
      <c r="Z46" s="43">
        <v>0.52</v>
      </c>
      <c r="AA46" s="43">
        <v>0.34382945132930998</v>
      </c>
      <c r="AB46" s="43">
        <f t="shared" si="0"/>
        <v>0.17617054867069004</v>
      </c>
      <c r="AC46" s="45">
        <v>0.46119037928928103</v>
      </c>
      <c r="AD46" s="45">
        <f t="shared" si="1"/>
        <v>5.8809620710718991E-2</v>
      </c>
    </row>
    <row r="47" spans="1:30" ht="15" x14ac:dyDescent="0.2">
      <c r="B47" s="41">
        <v>12</v>
      </c>
      <c r="C47" s="42">
        <v>500</v>
      </c>
      <c r="D47" s="42">
        <v>4</v>
      </c>
      <c r="E47" s="41">
        <v>79.3</v>
      </c>
      <c r="F47" s="43">
        <v>2.6933292113182898</v>
      </c>
      <c r="G47" s="41">
        <v>20</v>
      </c>
      <c r="H47" s="41">
        <v>34</v>
      </c>
      <c r="I47" s="40">
        <v>350</v>
      </c>
      <c r="J47" s="41">
        <v>450</v>
      </c>
      <c r="K47" s="42">
        <v>452</v>
      </c>
      <c r="L47" s="43">
        <v>90</v>
      </c>
      <c r="M47" s="40">
        <v>0.49651944162391898</v>
      </c>
      <c r="N47" s="40">
        <v>0.38717336501314897</v>
      </c>
      <c r="O47" s="40">
        <v>0.36155268598849899</v>
      </c>
      <c r="P47" s="40">
        <v>0.59406031512087498</v>
      </c>
      <c r="Q47" s="40">
        <v>0.38236294855352798</v>
      </c>
      <c r="R47" s="40">
        <v>0.35872309797708202</v>
      </c>
      <c r="S47" s="48">
        <v>0.4199865764727021</v>
      </c>
      <c r="T47" s="40">
        <v>0.42966712701700999</v>
      </c>
      <c r="U47" s="40">
        <v>0.35521201561503302</v>
      </c>
      <c r="V47" s="40">
        <v>0.50294566256817597</v>
      </c>
      <c r="W47" s="40">
        <v>0.63464867430204397</v>
      </c>
      <c r="X47" s="40">
        <v>0.59400332859502203</v>
      </c>
      <c r="Y47" s="40">
        <v>0.57156372915356402</v>
      </c>
      <c r="Z47" s="43">
        <v>0.74</v>
      </c>
      <c r="AA47" s="43">
        <v>0.50294566256817597</v>
      </c>
      <c r="AB47" s="43">
        <f t="shared" si="0"/>
        <v>0.23705433743182402</v>
      </c>
      <c r="AC47" s="45">
        <v>0.67679091065450503</v>
      </c>
      <c r="AD47" s="45">
        <f t="shared" si="1"/>
        <v>6.3209089345494962E-2</v>
      </c>
    </row>
    <row r="48" spans="1:30" ht="15" x14ac:dyDescent="0.2">
      <c r="A48" s="40" t="s">
        <v>30</v>
      </c>
      <c r="B48" s="41">
        <v>12</v>
      </c>
      <c r="C48" s="42">
        <v>500</v>
      </c>
      <c r="D48" s="42">
        <v>4</v>
      </c>
      <c r="E48" s="41">
        <v>79.3</v>
      </c>
      <c r="F48" s="43">
        <v>2.6933292113182898</v>
      </c>
      <c r="G48" s="41">
        <v>20</v>
      </c>
      <c r="H48" s="41">
        <v>34</v>
      </c>
      <c r="I48" s="40">
        <v>350</v>
      </c>
      <c r="J48" s="41">
        <v>450</v>
      </c>
      <c r="K48" s="42">
        <v>452</v>
      </c>
      <c r="L48" s="43">
        <v>37.5</v>
      </c>
      <c r="M48" s="40">
        <v>0.123601278848589</v>
      </c>
      <c r="N48" s="40">
        <v>0.128929548243119</v>
      </c>
      <c r="O48" s="40">
        <v>0.158019738781601</v>
      </c>
      <c r="P48" s="40">
        <v>0.113477572228636</v>
      </c>
      <c r="Q48" s="40">
        <v>8.62285655197986E-2</v>
      </c>
      <c r="R48" s="40">
        <v>0.15243660190670699</v>
      </c>
      <c r="S48" s="48">
        <v>0.15746860483059691</v>
      </c>
      <c r="T48" s="40">
        <v>0.154734444957662</v>
      </c>
      <c r="U48" s="40">
        <v>0.15094459465291199</v>
      </c>
      <c r="V48" s="40">
        <v>0.212644348091411</v>
      </c>
      <c r="W48" s="40">
        <v>0.15547380427579399</v>
      </c>
      <c r="X48" s="40">
        <v>0.12691956329147</v>
      </c>
      <c r="Y48" s="40">
        <v>0.10971446668410501</v>
      </c>
      <c r="Z48" s="43">
        <v>0.17</v>
      </c>
      <c r="AA48" s="43">
        <v>0.115038822092364</v>
      </c>
      <c r="AB48" s="43">
        <f t="shared" si="0"/>
        <v>5.4961177907636008E-2</v>
      </c>
      <c r="AC48" s="45">
        <v>0.12862827836683199</v>
      </c>
      <c r="AD48" s="45">
        <f t="shared" si="1"/>
        <v>4.1371721633168018E-2</v>
      </c>
    </row>
    <row r="49" spans="1:30" ht="15" x14ac:dyDescent="0.2">
      <c r="B49" s="41">
        <v>12</v>
      </c>
      <c r="C49" s="42">
        <v>500</v>
      </c>
      <c r="D49" s="42">
        <v>4</v>
      </c>
      <c r="E49" s="41">
        <v>79.3</v>
      </c>
      <c r="F49" s="43">
        <v>2.6933292113182898</v>
      </c>
      <c r="G49" s="41">
        <v>20</v>
      </c>
      <c r="H49" s="41">
        <v>34</v>
      </c>
      <c r="I49" s="40">
        <v>350</v>
      </c>
      <c r="J49" s="41">
        <v>450</v>
      </c>
      <c r="K49" s="42">
        <v>452</v>
      </c>
      <c r="L49" s="43">
        <v>52.5</v>
      </c>
      <c r="M49" s="40">
        <v>0.23382929397444599</v>
      </c>
      <c r="N49" s="40">
        <v>0.182334198819364</v>
      </c>
      <c r="O49" s="40">
        <v>0.221227634294241</v>
      </c>
      <c r="P49" s="40">
        <v>0.222416041568126</v>
      </c>
      <c r="Q49" s="40">
        <v>0.17376065301427099</v>
      </c>
      <c r="R49" s="40">
        <v>0.21341124266938899</v>
      </c>
      <c r="S49" s="48">
        <v>0.23506427550971221</v>
      </c>
      <c r="T49" s="40">
        <v>0.23599968452414599</v>
      </c>
      <c r="U49" s="40">
        <v>0.21132243251407701</v>
      </c>
      <c r="V49" s="40">
        <v>0.31523014425319001</v>
      </c>
      <c r="W49" s="40">
        <v>0.30788868939637598</v>
      </c>
      <c r="X49" s="40">
        <v>0.25786701101210002</v>
      </c>
      <c r="Y49" s="40">
        <v>0.235606152292124</v>
      </c>
      <c r="Z49" s="43">
        <v>0.36</v>
      </c>
      <c r="AA49" s="43">
        <v>0.22879062923694601</v>
      </c>
      <c r="AB49" s="43">
        <f t="shared" si="0"/>
        <v>0.13120937076305397</v>
      </c>
      <c r="AC49" s="45">
        <v>0.29431649941524501</v>
      </c>
      <c r="AD49" s="45">
        <f t="shared" si="1"/>
        <v>6.5683500584754972E-2</v>
      </c>
    </row>
    <row r="50" spans="1:30" ht="15" x14ac:dyDescent="0.2">
      <c r="B50" s="41">
        <v>12</v>
      </c>
      <c r="C50" s="42">
        <v>500</v>
      </c>
      <c r="D50" s="42">
        <v>4</v>
      </c>
      <c r="E50" s="41">
        <v>79.3</v>
      </c>
      <c r="F50" s="43">
        <v>2.6933292113182898</v>
      </c>
      <c r="G50" s="41">
        <v>20</v>
      </c>
      <c r="H50" s="41">
        <v>34</v>
      </c>
      <c r="I50" s="40">
        <v>350</v>
      </c>
      <c r="J50" s="41">
        <v>450</v>
      </c>
      <c r="K50" s="42">
        <v>452</v>
      </c>
      <c r="L50" s="43">
        <v>67.5</v>
      </c>
      <c r="M50" s="40">
        <v>0.34405730910030302</v>
      </c>
      <c r="N50" s="40">
        <v>0.26828723098144303</v>
      </c>
      <c r="O50" s="40">
        <v>0.28443552980688103</v>
      </c>
      <c r="P50" s="40">
        <v>0.36766733402078</v>
      </c>
      <c r="Q50" s="40">
        <v>0.26129274050874401</v>
      </c>
      <c r="R50" s="40">
        <v>0.27438588343207199</v>
      </c>
      <c r="S50" s="48">
        <v>0.31265994618882764</v>
      </c>
      <c r="T50" s="40">
        <v>0.31726492409063001</v>
      </c>
      <c r="U50" s="40">
        <v>0.27170027037524203</v>
      </c>
      <c r="V50" s="40">
        <v>0.42200204719783502</v>
      </c>
      <c r="W50" s="40">
        <v>0.450233347394978</v>
      </c>
      <c r="X50" s="40">
        <v>0.39531109325123498</v>
      </c>
      <c r="Y50" s="40">
        <v>0.37093892177749099</v>
      </c>
      <c r="Z50" s="43">
        <v>0.56000000000000005</v>
      </c>
      <c r="AA50" s="43">
        <v>0.34382945132930998</v>
      </c>
      <c r="AB50" s="43">
        <f t="shared" si="0"/>
        <v>0.21617054867069008</v>
      </c>
      <c r="AC50" s="45">
        <v>0.46119037928928103</v>
      </c>
      <c r="AD50" s="45">
        <f t="shared" si="1"/>
        <v>9.8809620710719026E-2</v>
      </c>
    </row>
    <row r="51" spans="1:30" ht="15" x14ac:dyDescent="0.2">
      <c r="B51" s="41">
        <v>12</v>
      </c>
      <c r="C51" s="42">
        <v>500</v>
      </c>
      <c r="D51" s="42">
        <v>4</v>
      </c>
      <c r="E51" s="41">
        <v>79.3</v>
      </c>
      <c r="F51" s="43">
        <v>2.6933292113182898</v>
      </c>
      <c r="G51" s="41">
        <v>20</v>
      </c>
      <c r="H51" s="41">
        <v>34</v>
      </c>
      <c r="I51" s="40">
        <v>350</v>
      </c>
      <c r="J51" s="41">
        <v>450</v>
      </c>
      <c r="K51" s="42">
        <v>452</v>
      </c>
      <c r="L51" s="43">
        <v>90</v>
      </c>
      <c r="M51" s="40">
        <v>0.49651944162391898</v>
      </c>
      <c r="N51" s="40">
        <v>0.38717336501314897</v>
      </c>
      <c r="O51" s="40">
        <v>0.36155268598849899</v>
      </c>
      <c r="P51" s="40">
        <v>0.59406031512087498</v>
      </c>
      <c r="Q51" s="40">
        <v>0.38236294855352798</v>
      </c>
      <c r="R51" s="40">
        <v>0.35872309797708202</v>
      </c>
      <c r="S51" s="48">
        <v>0.4199865764727021</v>
      </c>
      <c r="T51" s="40">
        <v>0.42966712701700999</v>
      </c>
      <c r="U51" s="40">
        <v>0.35521201561503302</v>
      </c>
      <c r="V51" s="40">
        <v>0.50294566256817597</v>
      </c>
      <c r="W51" s="40">
        <v>0.63464867430204397</v>
      </c>
      <c r="X51" s="40">
        <v>0.59400332859502203</v>
      </c>
      <c r="Y51" s="40">
        <v>0.57156372915356402</v>
      </c>
      <c r="Z51" s="43">
        <v>0.78</v>
      </c>
      <c r="AA51" s="43">
        <v>0.50294566256817597</v>
      </c>
      <c r="AB51" s="43">
        <f t="shared" si="0"/>
        <v>0.27705433743182406</v>
      </c>
      <c r="AC51" s="45">
        <v>0.67679091065450503</v>
      </c>
      <c r="AD51" s="45">
        <f t="shared" si="1"/>
        <v>0.103209089345495</v>
      </c>
    </row>
    <row r="52" spans="1:30" ht="15" x14ac:dyDescent="0.2">
      <c r="A52" s="40" t="s">
        <v>31</v>
      </c>
      <c r="B52" s="41">
        <v>12</v>
      </c>
      <c r="C52" s="42">
        <v>500</v>
      </c>
      <c r="D52" s="42">
        <v>4</v>
      </c>
      <c r="E52" s="41">
        <v>46</v>
      </c>
      <c r="F52" s="43">
        <v>2.6933292113182898</v>
      </c>
      <c r="G52" s="41">
        <v>70</v>
      </c>
      <c r="H52" s="41">
        <v>88</v>
      </c>
      <c r="I52" s="40">
        <v>350</v>
      </c>
      <c r="J52" s="41">
        <v>450</v>
      </c>
      <c r="K52" s="42">
        <v>452</v>
      </c>
      <c r="L52" s="43">
        <v>37.5</v>
      </c>
      <c r="M52" s="40">
        <v>0.17775875829437099</v>
      </c>
      <c r="N52" s="40">
        <v>0.32189705492002602</v>
      </c>
      <c r="O52" s="40">
        <v>0.35643211676504999</v>
      </c>
      <c r="P52" s="40">
        <v>0.1516070469554</v>
      </c>
      <c r="Q52" s="40">
        <v>0.35388215107782101</v>
      </c>
      <c r="R52" s="40">
        <v>0.43368023499729702</v>
      </c>
      <c r="S52" s="48">
        <v>0.25291912491556745</v>
      </c>
      <c r="T52" s="40">
        <v>0.27873857274862501</v>
      </c>
      <c r="U52" s="40">
        <v>0.38870614788651497</v>
      </c>
      <c r="V52" s="40">
        <v>0.45926972621923001</v>
      </c>
      <c r="W52" s="40">
        <v>0.39015477691263201</v>
      </c>
      <c r="X52" s="40">
        <v>0.26856327509053202</v>
      </c>
      <c r="Y52" s="40">
        <v>0.25075475797443098</v>
      </c>
      <c r="Z52" s="43">
        <v>0.31</v>
      </c>
      <c r="AA52" s="43">
        <v>0.26142770114999903</v>
      </c>
      <c r="AB52" s="43">
        <f t="shared" si="0"/>
        <v>4.8572298850000972E-2</v>
      </c>
      <c r="AC52" s="45">
        <v>0.337329961020365</v>
      </c>
      <c r="AD52" s="45">
        <f t="shared" si="1"/>
        <v>-2.7329961020365001E-2</v>
      </c>
    </row>
    <row r="53" spans="1:30" ht="15" x14ac:dyDescent="0.2">
      <c r="B53" s="41">
        <v>12</v>
      </c>
      <c r="C53" s="42">
        <v>500</v>
      </c>
      <c r="D53" s="42">
        <v>4</v>
      </c>
      <c r="E53" s="41">
        <v>46</v>
      </c>
      <c r="F53" s="43">
        <v>2.6933292113182898</v>
      </c>
      <c r="G53" s="41">
        <v>70</v>
      </c>
      <c r="H53" s="41">
        <v>88</v>
      </c>
      <c r="I53" s="40">
        <v>350</v>
      </c>
      <c r="J53" s="41">
        <v>450</v>
      </c>
      <c r="K53" s="42">
        <v>452</v>
      </c>
      <c r="L53" s="43">
        <v>45</v>
      </c>
      <c r="M53" s="40">
        <v>0.29205769761843797</v>
      </c>
      <c r="N53" s="40">
        <v>0.38627646590403097</v>
      </c>
      <c r="O53" s="40">
        <v>0.42771854011805999</v>
      </c>
      <c r="P53" s="40">
        <v>0.218314147615776</v>
      </c>
      <c r="Q53" s="40">
        <v>0.48460524761713802</v>
      </c>
      <c r="R53" s="40">
        <v>0.52041628199675705</v>
      </c>
      <c r="S53" s="48">
        <v>0.31336359593043667</v>
      </c>
      <c r="T53" s="40">
        <v>0.34899935700575702</v>
      </c>
      <c r="U53" s="40">
        <v>0.46644737746381798</v>
      </c>
      <c r="V53" s="40">
        <v>0.57347208499430402</v>
      </c>
      <c r="W53" s="40">
        <v>0.54740373328463199</v>
      </c>
      <c r="X53" s="40">
        <v>0.36707375632649403</v>
      </c>
      <c r="Y53" s="40">
        <v>0.35059800811605601</v>
      </c>
      <c r="Z53" s="43">
        <v>0.44</v>
      </c>
      <c r="AA53" s="43">
        <v>0.35522130050725198</v>
      </c>
      <c r="AB53" s="43">
        <f t="shared" si="0"/>
        <v>8.4778699492748022E-2</v>
      </c>
      <c r="AC53" s="45">
        <v>0.512087718894221</v>
      </c>
      <c r="AD53" s="45">
        <f t="shared" si="1"/>
        <v>-7.2087718894220998E-2</v>
      </c>
    </row>
    <row r="54" spans="1:30" ht="15" x14ac:dyDescent="0.2">
      <c r="A54" s="40" t="s">
        <v>32</v>
      </c>
      <c r="B54" s="41">
        <v>12</v>
      </c>
      <c r="C54" s="42">
        <v>500</v>
      </c>
      <c r="D54" s="42">
        <v>4</v>
      </c>
      <c r="E54" s="41">
        <v>46</v>
      </c>
      <c r="F54" s="43">
        <v>2.6933292113182898</v>
      </c>
      <c r="G54" s="41">
        <v>70</v>
      </c>
      <c r="H54" s="41">
        <v>84</v>
      </c>
      <c r="I54" s="40">
        <v>350</v>
      </c>
      <c r="J54" s="41">
        <v>450</v>
      </c>
      <c r="K54" s="42">
        <v>452</v>
      </c>
      <c r="L54" s="43">
        <v>30</v>
      </c>
      <c r="M54" s="40">
        <v>5.8682947698771998E-2</v>
      </c>
      <c r="N54" s="40">
        <v>0.25448360281216198</v>
      </c>
      <c r="O54" s="40">
        <v>0.28189693997758702</v>
      </c>
      <c r="P54" s="40">
        <v>9.4830153189527797E-2</v>
      </c>
      <c r="Q54" s="40">
        <v>0.204318340594315</v>
      </c>
      <c r="R54" s="40">
        <v>0.32870463872725197</v>
      </c>
      <c r="S54" s="48">
        <v>0.18504978779943596</v>
      </c>
      <c r="T54" s="40">
        <v>0.201162258911391</v>
      </c>
      <c r="U54" s="40">
        <v>0.29412765044564299</v>
      </c>
      <c r="V54" s="40">
        <v>0.34115284171600002</v>
      </c>
      <c r="W54" s="40">
        <v>0.25772959683539298</v>
      </c>
      <c r="X54" s="40">
        <v>0.206685401726936</v>
      </c>
      <c r="Y54" s="40">
        <v>0.189957038952</v>
      </c>
      <c r="Z54" s="43">
        <v>0.14000000000000001</v>
      </c>
      <c r="AA54" s="43">
        <v>0.204037001359618</v>
      </c>
      <c r="AB54" s="43">
        <f t="shared" si="0"/>
        <v>-6.4037001359617984E-2</v>
      </c>
      <c r="AC54" s="45">
        <v>0.208248294659241</v>
      </c>
      <c r="AD54" s="45">
        <f t="shared" si="1"/>
        <v>-6.8248294659240982E-2</v>
      </c>
    </row>
    <row r="55" spans="1:30" ht="15" x14ac:dyDescent="0.2">
      <c r="B55" s="41">
        <v>12</v>
      </c>
      <c r="C55" s="42">
        <v>500</v>
      </c>
      <c r="D55" s="42">
        <v>4</v>
      </c>
      <c r="E55" s="41">
        <v>46</v>
      </c>
      <c r="F55" s="43">
        <v>2.6933292113182898</v>
      </c>
      <c r="G55" s="41">
        <v>70</v>
      </c>
      <c r="H55" s="41">
        <v>84</v>
      </c>
      <c r="I55" s="40">
        <v>350</v>
      </c>
      <c r="J55" s="41">
        <v>450</v>
      </c>
      <c r="K55" s="42">
        <v>452</v>
      </c>
      <c r="L55" s="43">
        <v>37.5</v>
      </c>
      <c r="M55" s="40">
        <v>0.17160378323165601</v>
      </c>
      <c r="N55" s="40">
        <v>0.31810450351520297</v>
      </c>
      <c r="O55" s="40">
        <v>0.352371174971984</v>
      </c>
      <c r="P55" s="40">
        <v>0.148172114358637</v>
      </c>
      <c r="Q55" s="40">
        <v>0.32769362389701601</v>
      </c>
      <c r="R55" s="40">
        <v>0.410880798409065</v>
      </c>
      <c r="S55" s="48">
        <v>0.24333268414618967</v>
      </c>
      <c r="T55" s="40">
        <v>0.26922754232665702</v>
      </c>
      <c r="U55" s="40">
        <v>0.367659563057054</v>
      </c>
      <c r="V55" s="40">
        <v>0.44695119530032301</v>
      </c>
      <c r="W55" s="40">
        <v>0.37777567175969301</v>
      </c>
      <c r="X55" s="40">
        <v>0.26192842472274003</v>
      </c>
      <c r="Y55" s="40">
        <v>0.24411368354271801</v>
      </c>
      <c r="Z55" s="43">
        <v>0.31</v>
      </c>
      <c r="AA55" s="43">
        <v>0.255046251699522</v>
      </c>
      <c r="AB55" s="43">
        <f t="shared" si="0"/>
        <v>5.4953748300478E-2</v>
      </c>
      <c r="AC55" s="45">
        <v>0.32538796040506401</v>
      </c>
      <c r="AD55" s="45">
        <f t="shared" si="1"/>
        <v>-1.5387960405064016E-2</v>
      </c>
    </row>
    <row r="56" spans="1:30" ht="15" x14ac:dyDescent="0.2">
      <c r="B56" s="41">
        <v>12</v>
      </c>
      <c r="C56" s="42">
        <v>500</v>
      </c>
      <c r="D56" s="42">
        <v>4</v>
      </c>
      <c r="E56" s="41">
        <v>46</v>
      </c>
      <c r="F56" s="43">
        <v>2.6933292113182898</v>
      </c>
      <c r="G56" s="41">
        <v>70</v>
      </c>
      <c r="H56" s="41">
        <v>84</v>
      </c>
      <c r="I56" s="40">
        <v>350</v>
      </c>
      <c r="J56" s="41">
        <v>450</v>
      </c>
      <c r="K56" s="42">
        <v>452</v>
      </c>
      <c r="L56" s="43">
        <v>45</v>
      </c>
      <c r="M56" s="40">
        <v>0.28452461876453899</v>
      </c>
      <c r="N56" s="40">
        <v>0.38172540421824303</v>
      </c>
      <c r="O56" s="40">
        <v>0.42284540996638098</v>
      </c>
      <c r="P56" s="40">
        <v>0.21336784467643799</v>
      </c>
      <c r="Q56" s="40">
        <v>0.45106890719971798</v>
      </c>
      <c r="R56" s="40">
        <v>0.49305695809087802</v>
      </c>
      <c r="S56" s="48">
        <v>0.30161558049294335</v>
      </c>
      <c r="T56" s="40">
        <v>0.33729282574192299</v>
      </c>
      <c r="U56" s="40">
        <v>0.44119147566846401</v>
      </c>
      <c r="V56" s="40">
        <v>0.55810831374453196</v>
      </c>
      <c r="W56" s="40">
        <v>0.52828836334725704</v>
      </c>
      <c r="X56" s="40">
        <v>0.35330111276505599</v>
      </c>
      <c r="Y56" s="40">
        <v>0.33666233863404699</v>
      </c>
      <c r="Z56" s="43">
        <v>0.4</v>
      </c>
      <c r="AA56" s="43">
        <v>0.34178055859895101</v>
      </c>
      <c r="AB56" s="43">
        <f t="shared" si="0"/>
        <v>5.821944140104901E-2</v>
      </c>
      <c r="AC56" s="45">
        <v>0.491638007513166</v>
      </c>
      <c r="AD56" s="45">
        <f t="shared" si="1"/>
        <v>-9.1638007513165975E-2</v>
      </c>
    </row>
    <row r="57" spans="1:30" ht="15" x14ac:dyDescent="0.2">
      <c r="A57" s="40" t="s">
        <v>33</v>
      </c>
      <c r="B57" s="41">
        <v>12</v>
      </c>
      <c r="C57" s="42">
        <v>500</v>
      </c>
      <c r="D57" s="42">
        <v>4</v>
      </c>
      <c r="E57" s="41">
        <v>46</v>
      </c>
      <c r="F57" s="43">
        <v>2.6933292113182898</v>
      </c>
      <c r="G57" s="41">
        <v>70</v>
      </c>
      <c r="H57" s="41">
        <v>84</v>
      </c>
      <c r="I57" s="40">
        <v>350</v>
      </c>
      <c r="J57" s="41">
        <v>450</v>
      </c>
      <c r="K57" s="42">
        <v>452</v>
      </c>
      <c r="L57" s="43">
        <v>30</v>
      </c>
      <c r="M57" s="40">
        <v>5.8682947698771998E-2</v>
      </c>
      <c r="N57" s="40">
        <v>0.25448360281216198</v>
      </c>
      <c r="O57" s="40">
        <v>0.28189693997758702</v>
      </c>
      <c r="P57" s="40">
        <v>9.4830153189527797E-2</v>
      </c>
      <c r="Q57" s="40">
        <v>0.204318340594315</v>
      </c>
      <c r="R57" s="40">
        <v>0.32870463872725197</v>
      </c>
      <c r="S57" s="48">
        <v>0.18504978779943596</v>
      </c>
      <c r="T57" s="40">
        <v>0.201162258911391</v>
      </c>
      <c r="U57" s="40">
        <v>0.29412765044564299</v>
      </c>
      <c r="V57" s="40">
        <v>0.34115284171600002</v>
      </c>
      <c r="W57" s="40">
        <v>0.25772959683539298</v>
      </c>
      <c r="X57" s="40">
        <v>0.206685401726936</v>
      </c>
      <c r="Y57" s="40">
        <v>0.189957038952</v>
      </c>
      <c r="Z57" s="43">
        <v>0.25</v>
      </c>
      <c r="AA57" s="43">
        <v>0.204037001359618</v>
      </c>
      <c r="AB57" s="43">
        <f t="shared" si="0"/>
        <v>4.5962998640382002E-2</v>
      </c>
      <c r="AC57" s="45">
        <v>0.208248294659241</v>
      </c>
      <c r="AD57" s="45">
        <f t="shared" si="1"/>
        <v>4.1751705340759004E-2</v>
      </c>
    </row>
    <row r="58" spans="1:30" ht="15" x14ac:dyDescent="0.2">
      <c r="B58" s="41">
        <v>12</v>
      </c>
      <c r="C58" s="42">
        <v>500</v>
      </c>
      <c r="D58" s="42">
        <v>4</v>
      </c>
      <c r="E58" s="41">
        <v>46</v>
      </c>
      <c r="F58" s="43">
        <v>2.6933292113182898</v>
      </c>
      <c r="G58" s="41">
        <v>70</v>
      </c>
      <c r="H58" s="41">
        <v>84</v>
      </c>
      <c r="I58" s="40">
        <v>350</v>
      </c>
      <c r="J58" s="41">
        <v>450</v>
      </c>
      <c r="K58" s="42">
        <v>452</v>
      </c>
      <c r="L58" s="43">
        <v>37.5</v>
      </c>
      <c r="M58" s="40">
        <v>0.17160378323165601</v>
      </c>
      <c r="N58" s="40">
        <v>0.31810450351520297</v>
      </c>
      <c r="O58" s="40">
        <v>0.352371174971984</v>
      </c>
      <c r="P58" s="40">
        <v>0.148172114358637</v>
      </c>
      <c r="Q58" s="40">
        <v>0.32769362389701601</v>
      </c>
      <c r="R58" s="40">
        <v>0.410880798409065</v>
      </c>
      <c r="S58" s="48">
        <v>0.24333268414618967</v>
      </c>
      <c r="T58" s="40">
        <v>0.26922754232665702</v>
      </c>
      <c r="U58" s="40">
        <v>0.367659563057054</v>
      </c>
      <c r="V58" s="40">
        <v>0.44695119530032301</v>
      </c>
      <c r="W58" s="40">
        <v>0.37777567175969301</v>
      </c>
      <c r="X58" s="40">
        <v>0.26192842472274003</v>
      </c>
      <c r="Y58" s="40">
        <v>0.24411368354271801</v>
      </c>
      <c r="Z58" s="43">
        <v>0.44</v>
      </c>
      <c r="AA58" s="43">
        <v>0.255046251699522</v>
      </c>
      <c r="AB58" s="43">
        <f t="shared" si="0"/>
        <v>0.184953748300478</v>
      </c>
      <c r="AC58" s="45">
        <v>0.32538796040506401</v>
      </c>
      <c r="AD58" s="45">
        <f t="shared" si="1"/>
        <v>0.11461203959493599</v>
      </c>
    </row>
    <row r="59" spans="1:30" ht="15" x14ac:dyDescent="0.2">
      <c r="B59" s="41">
        <v>12</v>
      </c>
      <c r="C59" s="42">
        <v>500</v>
      </c>
      <c r="D59" s="42">
        <v>4</v>
      </c>
      <c r="E59" s="41">
        <v>46</v>
      </c>
      <c r="F59" s="43">
        <v>2.6933292113182898</v>
      </c>
      <c r="G59" s="41">
        <v>70</v>
      </c>
      <c r="H59" s="41">
        <v>84</v>
      </c>
      <c r="I59" s="40">
        <v>350</v>
      </c>
      <c r="J59" s="41">
        <v>450</v>
      </c>
      <c r="K59" s="42">
        <v>452</v>
      </c>
      <c r="L59" s="43">
        <v>45</v>
      </c>
      <c r="M59" s="40">
        <v>0.28452461876453899</v>
      </c>
      <c r="N59" s="40">
        <v>0.38172540421824303</v>
      </c>
      <c r="O59" s="40">
        <v>0.42284540996638098</v>
      </c>
      <c r="P59" s="40">
        <v>0.21336784467643799</v>
      </c>
      <c r="Q59" s="40">
        <v>0.45106890719971798</v>
      </c>
      <c r="R59" s="40">
        <v>0.49305695809087802</v>
      </c>
      <c r="S59" s="48">
        <v>0.30161558049294335</v>
      </c>
      <c r="T59" s="40">
        <v>0.33729282574192299</v>
      </c>
      <c r="U59" s="40">
        <v>0.44119147566846401</v>
      </c>
      <c r="V59" s="40">
        <v>0.55810831374453196</v>
      </c>
      <c r="W59" s="40">
        <v>0.52828836334725704</v>
      </c>
      <c r="X59" s="40">
        <v>0.35330111276505599</v>
      </c>
      <c r="Y59" s="40">
        <v>0.33666233863404699</v>
      </c>
      <c r="Z59" s="43">
        <v>0.56000000000000005</v>
      </c>
      <c r="AA59" s="43">
        <v>0.34178055859895101</v>
      </c>
      <c r="AB59" s="43">
        <f t="shared" si="0"/>
        <v>0.21821944140104904</v>
      </c>
      <c r="AC59" s="45">
        <v>0.491638007513166</v>
      </c>
      <c r="AD59" s="45">
        <f t="shared" si="1"/>
        <v>6.8361992486834056E-2</v>
      </c>
    </row>
    <row r="60" spans="1:30" ht="15" x14ac:dyDescent="0.2">
      <c r="A60" s="40" t="s">
        <v>34</v>
      </c>
      <c r="B60" s="41">
        <v>25</v>
      </c>
      <c r="C60" s="42">
        <v>500</v>
      </c>
      <c r="D60" s="42">
        <v>4</v>
      </c>
      <c r="E60" s="41">
        <v>62</v>
      </c>
      <c r="F60" s="43">
        <v>2.6933292113182898</v>
      </c>
      <c r="G60" s="41">
        <v>20</v>
      </c>
      <c r="H60" s="41">
        <v>40.5</v>
      </c>
      <c r="I60" s="40">
        <v>350</v>
      </c>
      <c r="J60" s="41">
        <v>450</v>
      </c>
      <c r="K60" s="42">
        <v>1964</v>
      </c>
      <c r="L60" s="43">
        <v>150</v>
      </c>
      <c r="M60" s="40">
        <v>0.14122631889913001</v>
      </c>
      <c r="N60" s="40">
        <v>0.123611894101224</v>
      </c>
      <c r="O60" s="40">
        <v>0.17799191159417399</v>
      </c>
      <c r="P60" s="40">
        <v>0.24169857413436399</v>
      </c>
      <c r="Q60" s="40">
        <v>0.10544233907574201</v>
      </c>
      <c r="R60" s="40">
        <v>0.14383411603156701</v>
      </c>
      <c r="S60" s="48">
        <v>0.20185815523052475</v>
      </c>
      <c r="T60" s="40">
        <v>0.19519775377137499</v>
      </c>
      <c r="U60" s="40">
        <v>0.176130184527126</v>
      </c>
      <c r="V60" s="40">
        <v>0.18103752318944699</v>
      </c>
      <c r="W60" s="40">
        <v>0.16770822936657301</v>
      </c>
      <c r="X60" s="40">
        <v>0.24569876241229999</v>
      </c>
      <c r="Y60" s="40">
        <v>0.18174855379482599</v>
      </c>
      <c r="Z60" s="43">
        <v>0.23</v>
      </c>
      <c r="AA60" s="43">
        <v>0.15610003267778999</v>
      </c>
      <c r="AB60" s="43">
        <f t="shared" si="0"/>
        <v>7.389996732221002E-2</v>
      </c>
      <c r="AC60" s="45">
        <v>0.15979660735343701</v>
      </c>
      <c r="AD60" s="45">
        <f t="shared" si="1"/>
        <v>7.0203392646563001E-2</v>
      </c>
    </row>
    <row r="61" spans="1:30" ht="15" x14ac:dyDescent="0.2">
      <c r="B61" s="41">
        <v>25</v>
      </c>
      <c r="C61" s="42">
        <v>500</v>
      </c>
      <c r="D61" s="42">
        <v>4</v>
      </c>
      <c r="E61" s="41">
        <v>62</v>
      </c>
      <c r="F61" s="43">
        <v>2.6933292113182898</v>
      </c>
      <c r="G61" s="41">
        <v>20</v>
      </c>
      <c r="H61" s="41">
        <v>40.5</v>
      </c>
      <c r="I61" s="40">
        <v>350</v>
      </c>
      <c r="J61" s="41">
        <v>450</v>
      </c>
      <c r="K61" s="42">
        <v>1964</v>
      </c>
      <c r="L61" s="43">
        <v>225</v>
      </c>
      <c r="M61" s="40">
        <v>0.22835615725307201</v>
      </c>
      <c r="N61" s="40">
        <v>0.19987448053425899</v>
      </c>
      <c r="O61" s="40">
        <v>0.26698786739126101</v>
      </c>
      <c r="P61" s="40">
        <v>0.54382179180231804</v>
      </c>
      <c r="Q61" s="40">
        <v>0.167451685883762</v>
      </c>
      <c r="R61" s="40">
        <v>0.21575117404735</v>
      </c>
      <c r="S61" s="48">
        <v>0.32641882392102139</v>
      </c>
      <c r="T61" s="40">
        <v>0.30447476144073798</v>
      </c>
      <c r="U61" s="40">
        <v>0.26419527679068899</v>
      </c>
      <c r="V61" s="40">
        <v>0.28066544154832701</v>
      </c>
      <c r="W61" s="40">
        <v>0.28449284747940901</v>
      </c>
      <c r="X61" s="40">
        <v>0.45402654428008299</v>
      </c>
      <c r="Y61" s="40">
        <v>0.33563541112836798</v>
      </c>
      <c r="Z61" s="43">
        <v>0.35</v>
      </c>
      <c r="AA61" s="43">
        <v>0.25946151729319999</v>
      </c>
      <c r="AB61" s="43">
        <f t="shared" si="0"/>
        <v>9.0538482706799983E-2</v>
      </c>
      <c r="AC61" s="45">
        <v>0.28188069149101402</v>
      </c>
      <c r="AD61" s="45">
        <f t="shared" si="1"/>
        <v>6.8119308508985954E-2</v>
      </c>
    </row>
    <row r="62" spans="1:30" ht="15" x14ac:dyDescent="0.2">
      <c r="B62" s="41">
        <v>25</v>
      </c>
      <c r="C62" s="42">
        <v>500</v>
      </c>
      <c r="D62" s="42">
        <v>4</v>
      </c>
      <c r="E62" s="41">
        <v>62</v>
      </c>
      <c r="F62" s="43">
        <v>2.6933292113182898</v>
      </c>
      <c r="G62" s="41">
        <v>20</v>
      </c>
      <c r="H62" s="41">
        <v>40.5</v>
      </c>
      <c r="I62" s="40">
        <v>350</v>
      </c>
      <c r="J62" s="41">
        <v>450</v>
      </c>
      <c r="K62" s="42">
        <v>1964</v>
      </c>
      <c r="L62" s="43">
        <v>300</v>
      </c>
      <c r="M62" s="40">
        <v>0.31548599560701501</v>
      </c>
      <c r="N62" s="40">
        <v>0.27613706696729501</v>
      </c>
      <c r="O62" s="40">
        <v>0.35598382318834798</v>
      </c>
      <c r="P62" s="40">
        <v>0.96679429653745397</v>
      </c>
      <c r="Q62" s="40">
        <v>0.229461032691783</v>
      </c>
      <c r="R62" s="40">
        <v>0.28766823206313302</v>
      </c>
      <c r="S62" s="48">
        <v>0.4509794926115181</v>
      </c>
      <c r="T62" s="40">
        <v>0.41375176911010098</v>
      </c>
      <c r="U62" s="40">
        <v>0.35226036905425201</v>
      </c>
      <c r="V62" s="40">
        <v>0.38172208565646698</v>
      </c>
      <c r="W62" s="40">
        <v>0.39665919789350701</v>
      </c>
      <c r="X62" s="40">
        <v>0.69871634248316605</v>
      </c>
      <c r="Y62" s="40">
        <v>0.51762133359117801</v>
      </c>
      <c r="Z62" s="43">
        <v>0.49</v>
      </c>
      <c r="AA62" s="43">
        <v>0.36282300190861</v>
      </c>
      <c r="AB62" s="43">
        <f t="shared" si="0"/>
        <v>0.12717699809138999</v>
      </c>
      <c r="AC62" s="45">
        <v>0.40396477562859101</v>
      </c>
      <c r="AD62" s="45">
        <f t="shared" si="1"/>
        <v>8.603522437140898E-2</v>
      </c>
    </row>
    <row r="63" spans="1:30" ht="15" x14ac:dyDescent="0.2">
      <c r="B63" s="41">
        <v>25</v>
      </c>
      <c r="C63" s="42">
        <v>500</v>
      </c>
      <c r="D63" s="42">
        <v>4</v>
      </c>
      <c r="E63" s="41">
        <v>62</v>
      </c>
      <c r="F63" s="43">
        <v>2.6933292113182898</v>
      </c>
      <c r="G63" s="41">
        <v>20</v>
      </c>
      <c r="H63" s="41">
        <v>40.5</v>
      </c>
      <c r="I63" s="40">
        <v>350</v>
      </c>
      <c r="J63" s="41">
        <v>450</v>
      </c>
      <c r="K63" s="42">
        <v>1964</v>
      </c>
      <c r="L63" s="43">
        <v>375</v>
      </c>
      <c r="M63" s="40">
        <v>0.380222433942772</v>
      </c>
      <c r="N63" s="40">
        <v>0.33279926578708802</v>
      </c>
      <c r="O63" s="40">
        <v>0.40277070489560102</v>
      </c>
      <c r="P63" s="40">
        <v>1.23762565650182</v>
      </c>
      <c r="Q63" s="40">
        <v>0.275533243219376</v>
      </c>
      <c r="R63" s="40">
        <v>0.34110175471716903</v>
      </c>
      <c r="S63" s="48">
        <v>0.543526594730389</v>
      </c>
      <c r="T63" s="40">
        <v>0.49494329203898202</v>
      </c>
      <c r="U63" s="40">
        <v>0.41769168997205303</v>
      </c>
      <c r="V63" s="40">
        <v>0.43961936124438999</v>
      </c>
      <c r="W63" s="40">
        <v>0.47797067242625102</v>
      </c>
      <c r="X63" s="40">
        <v>0.90406272691227096</v>
      </c>
      <c r="Y63" s="40">
        <v>0.66114062330281198</v>
      </c>
      <c r="Z63" s="43">
        <v>0.67</v>
      </c>
      <c r="AA63" s="43">
        <v>0.43961936124438999</v>
      </c>
      <c r="AB63" s="43">
        <f t="shared" si="0"/>
        <v>0.23038063875561005</v>
      </c>
      <c r="AC63" s="45">
        <v>0.49024229779742001</v>
      </c>
      <c r="AD63" s="45">
        <f t="shared" si="1"/>
        <v>0.17975770220258003</v>
      </c>
    </row>
    <row r="64" spans="1:30" ht="15" x14ac:dyDescent="0.2">
      <c r="A64" s="40" t="s">
        <v>35</v>
      </c>
      <c r="B64" s="41">
        <v>25</v>
      </c>
      <c r="C64" s="42">
        <v>500</v>
      </c>
      <c r="D64" s="42">
        <v>4</v>
      </c>
      <c r="E64" s="41">
        <v>62</v>
      </c>
      <c r="F64" s="43">
        <v>2.6933292113182898</v>
      </c>
      <c r="G64" s="41">
        <v>20</v>
      </c>
      <c r="H64" s="41">
        <v>40.5</v>
      </c>
      <c r="I64" s="40">
        <v>350</v>
      </c>
      <c r="J64" s="41">
        <v>450</v>
      </c>
      <c r="K64" s="42">
        <v>1964</v>
      </c>
      <c r="L64" s="43">
        <v>150</v>
      </c>
      <c r="M64" s="40">
        <v>0.14122631889913001</v>
      </c>
      <c r="N64" s="40">
        <v>0.123611894101224</v>
      </c>
      <c r="O64" s="40">
        <v>0.17799191159417399</v>
      </c>
      <c r="P64" s="40">
        <v>0.24169857413436399</v>
      </c>
      <c r="Q64" s="40">
        <v>0.10544233907574201</v>
      </c>
      <c r="R64" s="40">
        <v>0.14383411603156701</v>
      </c>
      <c r="S64" s="48">
        <v>0.20185815523052475</v>
      </c>
      <c r="T64" s="40">
        <v>0.19519775377137499</v>
      </c>
      <c r="U64" s="40">
        <v>0.176130184527126</v>
      </c>
      <c r="V64" s="40">
        <v>0.18103752318944699</v>
      </c>
      <c r="W64" s="40">
        <v>0.16770822936657301</v>
      </c>
      <c r="X64" s="40">
        <v>0.24569876241229999</v>
      </c>
      <c r="Y64" s="40">
        <v>0.18174855379482599</v>
      </c>
      <c r="Z64" s="43">
        <v>0.27</v>
      </c>
      <c r="AA64" s="43">
        <v>0.15610003267778999</v>
      </c>
      <c r="AB64" s="43">
        <f t="shared" si="0"/>
        <v>0.11389996732221003</v>
      </c>
      <c r="AC64" s="45">
        <v>0.15979660735343701</v>
      </c>
      <c r="AD64" s="45">
        <f t="shared" si="1"/>
        <v>0.11020339264656301</v>
      </c>
    </row>
    <row r="65" spans="1:30" ht="15" x14ac:dyDescent="0.2">
      <c r="B65" s="41">
        <v>25</v>
      </c>
      <c r="C65" s="42">
        <v>500</v>
      </c>
      <c r="D65" s="42">
        <v>4</v>
      </c>
      <c r="E65" s="41">
        <v>62</v>
      </c>
      <c r="F65" s="43">
        <v>2.6933292113182898</v>
      </c>
      <c r="G65" s="41">
        <v>20</v>
      </c>
      <c r="H65" s="41">
        <v>40.5</v>
      </c>
      <c r="I65" s="40">
        <v>350</v>
      </c>
      <c r="J65" s="41">
        <v>450</v>
      </c>
      <c r="K65" s="42">
        <v>1964</v>
      </c>
      <c r="L65" s="43">
        <v>225</v>
      </c>
      <c r="M65" s="40">
        <v>0.22835615725307201</v>
      </c>
      <c r="N65" s="40">
        <v>0.19987448053425899</v>
      </c>
      <c r="O65" s="40">
        <v>0.26698786739126101</v>
      </c>
      <c r="P65" s="40">
        <v>0.54382179180231804</v>
      </c>
      <c r="Q65" s="40">
        <v>0.167451685883762</v>
      </c>
      <c r="R65" s="40">
        <v>0.21575117404735</v>
      </c>
      <c r="S65" s="48">
        <v>0.32641882392102139</v>
      </c>
      <c r="T65" s="40">
        <v>0.30447476144073798</v>
      </c>
      <c r="U65" s="40">
        <v>0.26419527679068899</v>
      </c>
      <c r="V65" s="40">
        <v>0.28066544154832701</v>
      </c>
      <c r="W65" s="40">
        <v>0.28449284747940901</v>
      </c>
      <c r="X65" s="40">
        <v>0.45402654428008299</v>
      </c>
      <c r="Y65" s="40">
        <v>0.33563541112836798</v>
      </c>
      <c r="Z65" s="43">
        <v>0.4</v>
      </c>
      <c r="AA65" s="43">
        <v>0.25946151729319999</v>
      </c>
      <c r="AB65" s="43">
        <f t="shared" si="0"/>
        <v>0.14053848270680003</v>
      </c>
      <c r="AC65" s="45">
        <v>0.28188069149101402</v>
      </c>
      <c r="AD65" s="45">
        <f t="shared" si="1"/>
        <v>0.118119308508986</v>
      </c>
    </row>
    <row r="66" spans="1:30" ht="15" x14ac:dyDescent="0.2">
      <c r="B66" s="41">
        <v>25</v>
      </c>
      <c r="C66" s="42">
        <v>500</v>
      </c>
      <c r="D66" s="42">
        <v>4</v>
      </c>
      <c r="E66" s="41">
        <v>62</v>
      </c>
      <c r="F66" s="43">
        <v>2.6933292113182898</v>
      </c>
      <c r="G66" s="41">
        <v>20</v>
      </c>
      <c r="H66" s="41">
        <v>40.5</v>
      </c>
      <c r="I66" s="40">
        <v>350</v>
      </c>
      <c r="J66" s="41">
        <v>450</v>
      </c>
      <c r="K66" s="42">
        <v>1964</v>
      </c>
      <c r="L66" s="43">
        <v>300</v>
      </c>
      <c r="M66" s="40">
        <v>0.31548599560701501</v>
      </c>
      <c r="N66" s="40">
        <v>0.27613706696729501</v>
      </c>
      <c r="O66" s="40">
        <v>0.35598382318834798</v>
      </c>
      <c r="P66" s="40">
        <v>0.96679429653745397</v>
      </c>
      <c r="Q66" s="40">
        <v>0.229461032691783</v>
      </c>
      <c r="R66" s="40">
        <v>0.28766823206313302</v>
      </c>
      <c r="S66" s="48">
        <v>0.4509794926115181</v>
      </c>
      <c r="T66" s="40">
        <v>0.41375176911010098</v>
      </c>
      <c r="U66" s="40">
        <v>0.35226036905425201</v>
      </c>
      <c r="V66" s="40">
        <v>0.38172208565646698</v>
      </c>
      <c r="W66" s="40">
        <v>0.39665919789350701</v>
      </c>
      <c r="X66" s="40">
        <v>0.69871634248316605</v>
      </c>
      <c r="Y66" s="40">
        <v>0.51762133359117801</v>
      </c>
      <c r="Z66" s="43">
        <v>0.53</v>
      </c>
      <c r="AA66" s="43">
        <v>0.36282300190861</v>
      </c>
      <c r="AB66" s="43">
        <f t="shared" si="0"/>
        <v>0.16717699809139003</v>
      </c>
      <c r="AC66" s="45">
        <v>0.40396477562859101</v>
      </c>
      <c r="AD66" s="45">
        <f t="shared" si="1"/>
        <v>0.12603522437140902</v>
      </c>
    </row>
    <row r="67" spans="1:30" ht="15" x14ac:dyDescent="0.2">
      <c r="B67" s="41">
        <v>25</v>
      </c>
      <c r="C67" s="42">
        <v>500</v>
      </c>
      <c r="D67" s="42">
        <v>4</v>
      </c>
      <c r="E67" s="41">
        <v>62</v>
      </c>
      <c r="F67" s="43">
        <v>2.6933292113182898</v>
      </c>
      <c r="G67" s="41">
        <v>20</v>
      </c>
      <c r="H67" s="41">
        <v>40.5</v>
      </c>
      <c r="I67" s="40">
        <v>350</v>
      </c>
      <c r="J67" s="41">
        <v>450</v>
      </c>
      <c r="K67" s="42">
        <v>1964</v>
      </c>
      <c r="L67" s="43">
        <v>375</v>
      </c>
      <c r="M67" s="40">
        <v>0.380222433942772</v>
      </c>
      <c r="N67" s="40">
        <v>0.33279926578708802</v>
      </c>
      <c r="O67" s="40">
        <v>0.40277070489560102</v>
      </c>
      <c r="P67" s="40">
        <v>1.23762565650182</v>
      </c>
      <c r="Q67" s="40">
        <v>0.275533243219376</v>
      </c>
      <c r="R67" s="40">
        <v>0.34110175471716903</v>
      </c>
      <c r="S67" s="48">
        <v>0.543526594730389</v>
      </c>
      <c r="T67" s="40">
        <v>0.49494329203898202</v>
      </c>
      <c r="U67" s="40">
        <v>0.41769168997205303</v>
      </c>
      <c r="V67" s="40">
        <v>0.43961936124438999</v>
      </c>
      <c r="W67" s="40">
        <v>0.47797067242625102</v>
      </c>
      <c r="X67" s="40">
        <v>0.90406272691227096</v>
      </c>
      <c r="Y67" s="40">
        <v>0.66114062330281198</v>
      </c>
      <c r="Z67" s="43">
        <v>0.72</v>
      </c>
      <c r="AA67" s="43">
        <v>0.43961936124438999</v>
      </c>
      <c r="AB67" s="43">
        <f t="shared" ref="AB67:AB130" si="2">Z67-AA67</f>
        <v>0.28038063875560998</v>
      </c>
      <c r="AC67" s="45">
        <v>0.49024229779742001</v>
      </c>
      <c r="AD67" s="45">
        <f t="shared" ref="AD67:AD130" si="3">Z67-AC67</f>
        <v>0.22975770220257996</v>
      </c>
    </row>
    <row r="68" spans="1:30" ht="15" x14ac:dyDescent="0.2">
      <c r="A68" s="40" t="s">
        <v>36</v>
      </c>
      <c r="B68" s="41">
        <v>25</v>
      </c>
      <c r="C68" s="42">
        <v>500</v>
      </c>
      <c r="D68" s="42">
        <v>4</v>
      </c>
      <c r="E68" s="41">
        <v>28.7</v>
      </c>
      <c r="F68" s="43">
        <v>2.6933292113182898</v>
      </c>
      <c r="G68" s="41">
        <v>70</v>
      </c>
      <c r="H68" s="41">
        <v>94.5</v>
      </c>
      <c r="I68" s="40">
        <v>350</v>
      </c>
      <c r="J68" s="41">
        <v>450</v>
      </c>
      <c r="K68" s="42">
        <v>1964</v>
      </c>
      <c r="L68" s="43">
        <v>75</v>
      </c>
      <c r="M68" s="40">
        <v>0.109905925341171</v>
      </c>
      <c r="N68" s="40">
        <v>0.12881608464782099</v>
      </c>
      <c r="O68" s="40">
        <v>0.16556711308129901</v>
      </c>
      <c r="P68" s="40">
        <v>8.1665558272208894E-2</v>
      </c>
      <c r="Q68" s="40">
        <v>0.12972038637164099</v>
      </c>
      <c r="R68" s="40">
        <v>0.185339046285834</v>
      </c>
      <c r="S68" s="48">
        <v>0.14892905998536843</v>
      </c>
      <c r="T68" s="40">
        <v>0.14891108881475201</v>
      </c>
      <c r="U68" s="40">
        <v>0.221639798156612</v>
      </c>
      <c r="V68" s="40">
        <v>0.21747161875638699</v>
      </c>
      <c r="W68" s="40">
        <v>0.10939457736918699</v>
      </c>
      <c r="X68" s="40">
        <v>0.119779624274062</v>
      </c>
      <c r="Y68" s="40">
        <v>0.105758903426018</v>
      </c>
      <c r="Z68" s="43">
        <v>0.3</v>
      </c>
      <c r="AA68" s="43">
        <v>0.10939457736918699</v>
      </c>
      <c r="AB68" s="43">
        <f t="shared" si="2"/>
        <v>0.19060542263081298</v>
      </c>
      <c r="AC68" s="45">
        <v>0.221639798156612</v>
      </c>
      <c r="AD68" s="45">
        <f t="shared" si="3"/>
        <v>7.8360201843387989E-2</v>
      </c>
    </row>
    <row r="69" spans="1:30" ht="15" x14ac:dyDescent="0.2">
      <c r="B69" s="41">
        <v>25</v>
      </c>
      <c r="C69" s="42">
        <v>500</v>
      </c>
      <c r="D69" s="42">
        <v>4</v>
      </c>
      <c r="E69" s="41">
        <v>28.7</v>
      </c>
      <c r="F69" s="43">
        <v>2.6933292113182898</v>
      </c>
      <c r="G69" s="41">
        <v>70</v>
      </c>
      <c r="H69" s="41">
        <v>94.5</v>
      </c>
      <c r="I69" s="40">
        <v>350</v>
      </c>
      <c r="J69" s="41">
        <v>450</v>
      </c>
      <c r="K69" s="42">
        <v>1964</v>
      </c>
      <c r="L69" s="43">
        <v>150</v>
      </c>
      <c r="M69" s="40">
        <v>0.27627222904761201</v>
      </c>
      <c r="N69" s="40">
        <v>0.32380698977208</v>
      </c>
      <c r="O69" s="40">
        <v>0.33113422616259902</v>
      </c>
      <c r="P69" s="40">
        <v>0.32666223308883502</v>
      </c>
      <c r="Q69" s="40">
        <v>0.297634489034663</v>
      </c>
      <c r="R69" s="40">
        <v>0.37067809257166801</v>
      </c>
      <c r="S69" s="48">
        <v>0.37020578809582916</v>
      </c>
      <c r="T69" s="40">
        <v>0.33143842403959001</v>
      </c>
      <c r="U69" s="40">
        <v>0.443279596313223</v>
      </c>
      <c r="V69" s="40">
        <v>0.46445424899750298</v>
      </c>
      <c r="W69" s="40">
        <v>0.43559236577183102</v>
      </c>
      <c r="X69" s="40">
        <v>0.42685407389062202</v>
      </c>
      <c r="Y69" s="40">
        <v>0.408842748050739</v>
      </c>
      <c r="Z69" s="43">
        <v>0.56999999999999995</v>
      </c>
      <c r="AA69" s="43">
        <v>0.38150227100816497</v>
      </c>
      <c r="AB69" s="43">
        <f t="shared" si="2"/>
        <v>0.18849772899183498</v>
      </c>
      <c r="AC69" s="45">
        <v>0.443279596313223</v>
      </c>
      <c r="AD69" s="45">
        <f t="shared" si="3"/>
        <v>0.12672040368677695</v>
      </c>
    </row>
    <row r="70" spans="1:30" ht="15" x14ac:dyDescent="0.2">
      <c r="A70" s="40" t="s">
        <v>37</v>
      </c>
      <c r="B70" s="41">
        <v>25</v>
      </c>
      <c r="C70" s="42">
        <v>500</v>
      </c>
      <c r="D70" s="42">
        <v>4</v>
      </c>
      <c r="E70" s="41">
        <v>28.7</v>
      </c>
      <c r="F70" s="43">
        <v>2.6933292113182898</v>
      </c>
      <c r="G70" s="41">
        <v>70</v>
      </c>
      <c r="H70" s="41">
        <v>90.5</v>
      </c>
      <c r="I70" s="40">
        <v>350</v>
      </c>
      <c r="J70" s="41">
        <v>450</v>
      </c>
      <c r="K70" s="42">
        <v>1964</v>
      </c>
      <c r="L70" s="43">
        <v>75</v>
      </c>
      <c r="M70" s="40">
        <v>0.107925994945012</v>
      </c>
      <c r="N70" s="40">
        <v>0.12657750301551299</v>
      </c>
      <c r="O70" s="40">
        <v>0.16360417247081699</v>
      </c>
      <c r="P70" s="40">
        <v>7.9740606352613902E-2</v>
      </c>
      <c r="Q70" s="40">
        <v>0.121979222774129</v>
      </c>
      <c r="R70" s="40">
        <v>0.176101748580824</v>
      </c>
      <c r="S70" s="48">
        <v>0.14080120987492947</v>
      </c>
      <c r="T70" s="40">
        <v>0.14399660571473699</v>
      </c>
      <c r="U70" s="40">
        <v>0.20933695758146401</v>
      </c>
      <c r="V70" s="40">
        <v>0.21173980120691199</v>
      </c>
      <c r="W70" s="40">
        <v>0.106297702576725</v>
      </c>
      <c r="X70" s="40">
        <v>0.11661648578447301</v>
      </c>
      <c r="Y70" s="40">
        <v>0.102828882848348</v>
      </c>
      <c r="Z70" s="43">
        <v>0.26</v>
      </c>
      <c r="AA70" s="43">
        <v>0.106297702576725</v>
      </c>
      <c r="AB70" s="43">
        <f t="shared" si="2"/>
        <v>0.15370229742327501</v>
      </c>
      <c r="AC70" s="45">
        <v>0.106297702576725</v>
      </c>
      <c r="AD70" s="45">
        <f t="shared" si="3"/>
        <v>0.15370229742327501</v>
      </c>
    </row>
    <row r="71" spans="1:30" ht="15" x14ac:dyDescent="0.2">
      <c r="B71" s="41">
        <v>25</v>
      </c>
      <c r="C71" s="42">
        <v>500</v>
      </c>
      <c r="D71" s="42">
        <v>4</v>
      </c>
      <c r="E71" s="41">
        <v>28.7</v>
      </c>
      <c r="F71" s="43">
        <v>2.6933292113182898</v>
      </c>
      <c r="G71" s="41">
        <v>70</v>
      </c>
      <c r="H71" s="41">
        <v>90.5</v>
      </c>
      <c r="I71" s="40">
        <v>350</v>
      </c>
      <c r="J71" s="41">
        <v>450</v>
      </c>
      <c r="K71" s="42">
        <v>1964</v>
      </c>
      <c r="L71" s="43">
        <v>150</v>
      </c>
      <c r="M71" s="40">
        <v>0.27211941231575099</v>
      </c>
      <c r="N71" s="40">
        <v>0.31914642761019602</v>
      </c>
      <c r="O71" s="40">
        <v>0.32720834494163298</v>
      </c>
      <c r="P71" s="40">
        <v>0.318962425410456</v>
      </c>
      <c r="Q71" s="40">
        <v>0.28090090952765701</v>
      </c>
      <c r="R71" s="40">
        <v>0.35220349716164701</v>
      </c>
      <c r="S71" s="48">
        <v>0.35121405191895805</v>
      </c>
      <c r="T71" s="40">
        <v>0.32097389209282901</v>
      </c>
      <c r="U71" s="40">
        <v>0.41867391516292801</v>
      </c>
      <c r="V71" s="40">
        <v>0.45177901766307299</v>
      </c>
      <c r="W71" s="40">
        <v>0.42243772809082802</v>
      </c>
      <c r="X71" s="40">
        <v>0.416102356520265</v>
      </c>
      <c r="Y71" s="40">
        <v>0.398168868846905</v>
      </c>
      <c r="Z71" s="43">
        <v>0.6</v>
      </c>
      <c r="AA71" s="43">
        <v>0.37132705037540797</v>
      </c>
      <c r="AB71" s="43">
        <f t="shared" si="2"/>
        <v>0.228672949624592</v>
      </c>
      <c r="AC71" s="45">
        <v>0.40042765797216201</v>
      </c>
      <c r="AD71" s="45">
        <f t="shared" si="3"/>
        <v>0.19957234202783797</v>
      </c>
    </row>
    <row r="72" spans="1:30" ht="15" x14ac:dyDescent="0.2">
      <c r="A72" s="40" t="s">
        <v>38</v>
      </c>
      <c r="B72" s="41">
        <v>25</v>
      </c>
      <c r="C72" s="42">
        <v>500</v>
      </c>
      <c r="D72" s="42">
        <v>4</v>
      </c>
      <c r="E72" s="41">
        <v>28.7</v>
      </c>
      <c r="F72" s="43">
        <v>2.6933292113182898</v>
      </c>
      <c r="G72" s="41">
        <v>70</v>
      </c>
      <c r="H72" s="41">
        <v>90.5</v>
      </c>
      <c r="I72" s="40">
        <v>350</v>
      </c>
      <c r="J72" s="41">
        <v>450</v>
      </c>
      <c r="K72" s="42">
        <v>1964</v>
      </c>
      <c r="L72" s="43">
        <v>75</v>
      </c>
      <c r="M72" s="40">
        <v>0.107925994945012</v>
      </c>
      <c r="N72" s="40">
        <v>0.12657750301551299</v>
      </c>
      <c r="O72" s="40">
        <v>0.16360417247081699</v>
      </c>
      <c r="P72" s="40">
        <v>7.9740606352613902E-2</v>
      </c>
      <c r="Q72" s="40">
        <v>0.121979222774129</v>
      </c>
      <c r="R72" s="40">
        <v>0.176101748580824</v>
      </c>
      <c r="S72" s="48">
        <v>0.14080120987492947</v>
      </c>
      <c r="T72" s="40">
        <v>0.14399660571473699</v>
      </c>
      <c r="U72" s="40">
        <v>0.20933695758146401</v>
      </c>
      <c r="V72" s="40">
        <v>0.21173980120691199</v>
      </c>
      <c r="W72" s="40">
        <v>0.106297702576725</v>
      </c>
      <c r="X72" s="40">
        <v>0.11661648578447301</v>
      </c>
      <c r="Y72" s="40">
        <v>0.102828882848348</v>
      </c>
      <c r="Z72" s="43">
        <v>0.27</v>
      </c>
      <c r="AA72" s="43">
        <v>0.106297702576725</v>
      </c>
      <c r="AB72" s="43">
        <f t="shared" si="2"/>
        <v>0.16370229742327502</v>
      </c>
      <c r="AC72" s="45">
        <v>0.106297702576725</v>
      </c>
      <c r="AD72" s="45">
        <f t="shared" si="3"/>
        <v>0.16370229742327502</v>
      </c>
    </row>
    <row r="73" spans="1:30" ht="15" x14ac:dyDescent="0.2">
      <c r="B73" s="41">
        <v>25</v>
      </c>
      <c r="C73" s="42">
        <v>500</v>
      </c>
      <c r="D73" s="42">
        <v>4</v>
      </c>
      <c r="E73" s="41">
        <v>28.7</v>
      </c>
      <c r="F73" s="43">
        <v>2.6933292113182898</v>
      </c>
      <c r="G73" s="41">
        <v>70</v>
      </c>
      <c r="H73" s="41">
        <v>90.5</v>
      </c>
      <c r="I73" s="40">
        <v>350</v>
      </c>
      <c r="J73" s="41">
        <v>450</v>
      </c>
      <c r="K73" s="42">
        <v>1964</v>
      </c>
      <c r="L73" s="43">
        <v>150</v>
      </c>
      <c r="M73" s="40">
        <v>0.27211941231575099</v>
      </c>
      <c r="N73" s="40">
        <v>0.31914642761019602</v>
      </c>
      <c r="O73" s="40">
        <v>0.32720834494163298</v>
      </c>
      <c r="P73" s="40">
        <v>0.318962425410456</v>
      </c>
      <c r="Q73" s="40">
        <v>0.28090090952765701</v>
      </c>
      <c r="R73" s="40">
        <v>0.35220349716164701</v>
      </c>
      <c r="S73" s="48">
        <v>0.35121405191895805</v>
      </c>
      <c r="T73" s="40">
        <v>0.32097389209282901</v>
      </c>
      <c r="U73" s="40">
        <v>0.41867391516292801</v>
      </c>
      <c r="V73" s="40">
        <v>0.45177901766307299</v>
      </c>
      <c r="W73" s="40">
        <v>0.42243772809082802</v>
      </c>
      <c r="X73" s="40">
        <v>0.416102356520265</v>
      </c>
      <c r="Y73" s="40">
        <v>0.398168868846905</v>
      </c>
      <c r="Z73" s="43">
        <v>0.59</v>
      </c>
      <c r="AA73" s="43">
        <v>0.37132705037540797</v>
      </c>
      <c r="AB73" s="43">
        <f t="shared" si="2"/>
        <v>0.21867294962459199</v>
      </c>
      <c r="AC73" s="45">
        <v>0.40042765797216201</v>
      </c>
      <c r="AD73" s="45">
        <f t="shared" si="3"/>
        <v>0.18957234202783796</v>
      </c>
    </row>
    <row r="74" spans="1:30" ht="15" x14ac:dyDescent="0.2">
      <c r="A74" s="40" t="s">
        <v>39</v>
      </c>
      <c r="B74" s="41">
        <v>9.52</v>
      </c>
      <c r="C74" s="42">
        <v>434</v>
      </c>
      <c r="D74" s="42">
        <v>3</v>
      </c>
      <c r="E74" s="41">
        <v>22.2</v>
      </c>
      <c r="F74" s="43">
        <v>3.5641600019995101</v>
      </c>
      <c r="G74" s="41">
        <v>20.64</v>
      </c>
      <c r="H74" s="41">
        <v>25.4</v>
      </c>
      <c r="I74" s="40">
        <v>114.3</v>
      </c>
      <c r="J74" s="41">
        <v>228.6</v>
      </c>
      <c r="K74" s="42">
        <v>212.9</v>
      </c>
      <c r="L74" s="43">
        <v>11.6</v>
      </c>
      <c r="M74" s="40">
        <v>0.13329381492770401</v>
      </c>
      <c r="N74" s="40">
        <v>0.13033571952634701</v>
      </c>
      <c r="O74" s="40">
        <v>0.14133750002718701</v>
      </c>
      <c r="P74" s="40">
        <v>0.13684830482913199</v>
      </c>
      <c r="Q74" s="40">
        <v>0.10572052130097</v>
      </c>
      <c r="R74" s="40">
        <v>0.141040005310795</v>
      </c>
      <c r="S74" s="48">
        <v>0.14118156513604477</v>
      </c>
      <c r="T74" s="40">
        <v>0.12185310734004801</v>
      </c>
      <c r="U74" s="40">
        <v>0.13966394049571901</v>
      </c>
      <c r="V74" s="40">
        <v>0.153613930137248</v>
      </c>
      <c r="W74" s="40">
        <v>0.150226129345544</v>
      </c>
      <c r="X74" s="40">
        <v>0.14468014850432001</v>
      </c>
      <c r="Y74" s="40">
        <v>0.13437916066971001</v>
      </c>
      <c r="Z74" s="43">
        <v>0.15</v>
      </c>
      <c r="AA74" s="43">
        <v>0.123662143998871</v>
      </c>
      <c r="AB74" s="43">
        <f t="shared" si="2"/>
        <v>2.6337856001128993E-2</v>
      </c>
      <c r="AC74" s="45">
        <v>0.145762856227899</v>
      </c>
      <c r="AD74" s="45">
        <f t="shared" si="3"/>
        <v>4.237143772100993E-3</v>
      </c>
    </row>
    <row r="75" spans="1:30" ht="15" x14ac:dyDescent="0.2">
      <c r="B75" s="41">
        <v>9.52</v>
      </c>
      <c r="C75" s="42">
        <v>434</v>
      </c>
      <c r="D75" s="42">
        <v>3</v>
      </c>
      <c r="E75" s="41">
        <v>22.2</v>
      </c>
      <c r="F75" s="43">
        <v>3.5641600019995101</v>
      </c>
      <c r="G75" s="41">
        <v>20.64</v>
      </c>
      <c r="H75" s="41">
        <v>25.4</v>
      </c>
      <c r="I75" s="40">
        <v>114.3</v>
      </c>
      <c r="J75" s="41">
        <v>228.6</v>
      </c>
      <c r="K75" s="42">
        <v>212.9</v>
      </c>
      <c r="L75" s="43">
        <v>13.5</v>
      </c>
      <c r="M75" s="40">
        <v>0.163003337276488</v>
      </c>
      <c r="N75" s="40">
        <v>0.15938591944907299</v>
      </c>
      <c r="O75" s="40">
        <v>0.16448760779026</v>
      </c>
      <c r="P75" s="40">
        <v>0.185349312983868</v>
      </c>
      <c r="Q75" s="40">
        <v>0.12620235173470401</v>
      </c>
      <c r="R75" s="40">
        <v>0.16414138549101101</v>
      </c>
      <c r="S75" s="48">
        <v>0.16792683243475678</v>
      </c>
      <c r="T75" s="40">
        <v>0.14354614769334401</v>
      </c>
      <c r="U75" s="40">
        <v>0.16253993074932799</v>
      </c>
      <c r="V75" s="40">
        <v>0.18189082526950401</v>
      </c>
      <c r="W75" s="40">
        <v>0.18610540199744199</v>
      </c>
      <c r="X75" s="40">
        <v>0.181629277480543</v>
      </c>
      <c r="Y75" s="40">
        <v>0.172036156056423</v>
      </c>
      <c r="Z75" s="43">
        <v>0.17</v>
      </c>
      <c r="AA75" s="43">
        <v>0.153702296183471</v>
      </c>
      <c r="AB75" s="43">
        <f t="shared" si="2"/>
        <v>1.6297703816529008E-2</v>
      </c>
      <c r="AC75" s="45">
        <v>0.18594638321687901</v>
      </c>
      <c r="AD75" s="45">
        <f t="shared" si="3"/>
        <v>-1.5946383216878995E-2</v>
      </c>
    </row>
    <row r="76" spans="1:30" ht="15" x14ac:dyDescent="0.2">
      <c r="A76" s="40" t="s">
        <v>40</v>
      </c>
      <c r="B76" s="41">
        <v>12.7</v>
      </c>
      <c r="C76" s="42">
        <v>434</v>
      </c>
      <c r="D76" s="42">
        <v>3</v>
      </c>
      <c r="E76" s="41">
        <v>19.05</v>
      </c>
      <c r="F76" s="43">
        <v>3.9766081638229398</v>
      </c>
      <c r="G76" s="41">
        <v>19.05</v>
      </c>
      <c r="H76" s="41">
        <v>25.4</v>
      </c>
      <c r="I76" s="40">
        <v>114.3</v>
      </c>
      <c r="J76" s="41">
        <v>228.6</v>
      </c>
      <c r="K76" s="42">
        <v>387.1</v>
      </c>
      <c r="L76" s="43">
        <v>21.1</v>
      </c>
      <c r="M76" s="40">
        <v>0.117678130194578</v>
      </c>
      <c r="N76" s="40">
        <v>0.124449511945649</v>
      </c>
      <c r="O76" s="40">
        <v>0.146986108925762</v>
      </c>
      <c r="P76" s="40">
        <v>0.17649154312757001</v>
      </c>
      <c r="Q76" s="40">
        <v>8.5929874012790203E-2</v>
      </c>
      <c r="R76" s="40">
        <v>0.143634389988364</v>
      </c>
      <c r="S76" s="48">
        <v>0.15898774895224452</v>
      </c>
      <c r="T76" s="40">
        <v>0.12691535141382199</v>
      </c>
      <c r="U76" s="40">
        <v>0.145569648576095</v>
      </c>
      <c r="V76" s="40">
        <v>0.14222424166995201</v>
      </c>
      <c r="W76" s="40">
        <v>0.14131486041685201</v>
      </c>
      <c r="X76" s="40">
        <v>0.16104591288533501</v>
      </c>
      <c r="Y76" s="40">
        <v>0.14298862215441299</v>
      </c>
      <c r="Z76" s="43">
        <v>0.15</v>
      </c>
      <c r="AA76" s="43">
        <v>0.122571018889015</v>
      </c>
      <c r="AB76" s="43">
        <f t="shared" si="2"/>
        <v>2.742898111098499E-2</v>
      </c>
      <c r="AC76" s="45">
        <v>0.13878769380193201</v>
      </c>
      <c r="AD76" s="45">
        <f t="shared" si="3"/>
        <v>1.1212306198067984E-2</v>
      </c>
    </row>
    <row r="77" spans="1:30" ht="15" x14ac:dyDescent="0.2">
      <c r="B77" s="41">
        <v>12.7</v>
      </c>
      <c r="C77" s="42">
        <v>434</v>
      </c>
      <c r="D77" s="42">
        <v>3</v>
      </c>
      <c r="E77" s="41">
        <v>19.05</v>
      </c>
      <c r="F77" s="43">
        <v>3.9766081638229398</v>
      </c>
      <c r="G77" s="41">
        <v>19.05</v>
      </c>
      <c r="H77" s="41">
        <v>25.4</v>
      </c>
      <c r="I77" s="40">
        <v>114.3</v>
      </c>
      <c r="J77" s="41">
        <v>228.6</v>
      </c>
      <c r="K77" s="42">
        <v>387.1</v>
      </c>
      <c r="L77" s="43">
        <v>24.2</v>
      </c>
      <c r="M77" s="40">
        <v>0.13840455251525</v>
      </c>
      <c r="N77" s="40">
        <v>0.14636856468656201</v>
      </c>
      <c r="O77" s="40">
        <v>0.16858122445513901</v>
      </c>
      <c r="P77" s="40">
        <v>0.23216124372145699</v>
      </c>
      <c r="Q77" s="40">
        <v>9.9764479324658095E-2</v>
      </c>
      <c r="R77" s="40">
        <v>0.16473707287764899</v>
      </c>
      <c r="S77" s="48">
        <v>0.18589529037245558</v>
      </c>
      <c r="T77" s="40">
        <v>0.146943963317993</v>
      </c>
      <c r="U77" s="40">
        <v>0.16695665855646899</v>
      </c>
      <c r="V77" s="40">
        <v>0.16518119122789501</v>
      </c>
      <c r="W77" s="40">
        <v>0.168924383471486</v>
      </c>
      <c r="X77" s="40">
        <v>0.19575398369670499</v>
      </c>
      <c r="Y77" s="40">
        <v>0.176870389845427</v>
      </c>
      <c r="Z77" s="43">
        <v>0.17</v>
      </c>
      <c r="AA77" s="43">
        <v>0.14657657941336699</v>
      </c>
      <c r="AB77" s="43">
        <f t="shared" si="2"/>
        <v>2.342342058663302E-2</v>
      </c>
      <c r="AC77" s="45">
        <v>0.16917412974027901</v>
      </c>
      <c r="AD77" s="45">
        <f t="shared" si="3"/>
        <v>8.2587025972100103E-4</v>
      </c>
    </row>
    <row r="78" spans="1:30" ht="15" x14ac:dyDescent="0.2">
      <c r="B78" s="41">
        <v>12.7</v>
      </c>
      <c r="C78" s="42">
        <v>434</v>
      </c>
      <c r="D78" s="42">
        <v>3</v>
      </c>
      <c r="E78" s="41">
        <v>19.05</v>
      </c>
      <c r="F78" s="43">
        <v>3.9766081638229398</v>
      </c>
      <c r="G78" s="41">
        <v>19.05</v>
      </c>
      <c r="H78" s="41">
        <v>25.4</v>
      </c>
      <c r="I78" s="40">
        <v>114.3</v>
      </c>
      <c r="J78" s="41">
        <v>228.6</v>
      </c>
      <c r="K78" s="42">
        <v>387.1</v>
      </c>
      <c r="L78" s="43">
        <v>28.6</v>
      </c>
      <c r="M78" s="40">
        <v>0.167822700325236</v>
      </c>
      <c r="N78" s="40">
        <v>0.17747947825431001</v>
      </c>
      <c r="O78" s="40">
        <v>0.19817501382220501</v>
      </c>
      <c r="P78" s="40">
        <v>0.32082566870426499</v>
      </c>
      <c r="Q78" s="40">
        <v>0.119400693315697</v>
      </c>
      <c r="R78" s="40">
        <v>0.194689267946313</v>
      </c>
      <c r="S78" s="48">
        <v>0.22408663948501337</v>
      </c>
      <c r="T78" s="40">
        <v>0.17537167053681799</v>
      </c>
      <c r="U78" s="40">
        <v>0.19731241465764501</v>
      </c>
      <c r="V78" s="40">
        <v>0.19301515670637001</v>
      </c>
      <c r="W78" s="40">
        <v>0.207125617995668</v>
      </c>
      <c r="X78" s="40">
        <v>0.24679825111897999</v>
      </c>
      <c r="Y78" s="40">
        <v>0.22798547852130299</v>
      </c>
      <c r="Z78" s="43">
        <v>0.2</v>
      </c>
      <c r="AA78" s="43">
        <v>0.18064898789954401</v>
      </c>
      <c r="AB78" s="43">
        <f t="shared" si="2"/>
        <v>1.9351012100456005E-2</v>
      </c>
      <c r="AC78" s="45">
        <v>0.21230326462051399</v>
      </c>
      <c r="AD78" s="45">
        <f t="shared" si="3"/>
        <v>-1.2303264620513982E-2</v>
      </c>
    </row>
    <row r="79" spans="1:30" ht="15" x14ac:dyDescent="0.2">
      <c r="A79" s="40" t="s">
        <v>41</v>
      </c>
      <c r="B79" s="41">
        <v>15.9</v>
      </c>
      <c r="C79" s="42">
        <v>540</v>
      </c>
      <c r="D79" s="42">
        <v>3</v>
      </c>
      <c r="E79" s="41">
        <v>15.9</v>
      </c>
      <c r="F79" s="43">
        <v>3.9766081638229398</v>
      </c>
      <c r="G79" s="41">
        <v>17.46</v>
      </c>
      <c r="H79" s="41">
        <v>25.4</v>
      </c>
      <c r="I79" s="40">
        <v>114.3</v>
      </c>
      <c r="J79" s="41">
        <v>228.6</v>
      </c>
      <c r="K79" s="42">
        <v>600</v>
      </c>
      <c r="L79" s="43">
        <v>30.5</v>
      </c>
      <c r="M79" s="40">
        <v>9.6336619183132896E-2</v>
      </c>
      <c r="N79" s="40">
        <v>0.10731930169564</v>
      </c>
      <c r="O79" s="40">
        <v>0.14464187891341099</v>
      </c>
      <c r="P79" s="40">
        <v>0.20413587615404699</v>
      </c>
      <c r="Q79" s="40">
        <v>6.80992506685522E-2</v>
      </c>
      <c r="R79" s="40">
        <v>0.13793919159603699</v>
      </c>
      <c r="S79" s="48">
        <v>0.16381732106291136</v>
      </c>
      <c r="T79" s="40">
        <v>0.12149822076563099</v>
      </c>
      <c r="U79" s="40">
        <v>0.141477301049211</v>
      </c>
      <c r="V79" s="40">
        <v>0.122540817776016</v>
      </c>
      <c r="W79" s="40">
        <v>0.122073754892787</v>
      </c>
      <c r="X79" s="40">
        <v>0.12007419362751801</v>
      </c>
      <c r="Y79" s="40">
        <v>0.13899119070157101</v>
      </c>
      <c r="Z79" s="43">
        <v>0.16</v>
      </c>
      <c r="AA79" s="43">
        <v>0.111252068275181</v>
      </c>
      <c r="AB79" s="43">
        <f t="shared" si="2"/>
        <v>4.8747931724819005E-2</v>
      </c>
      <c r="AC79" s="45">
        <v>0.12007419362751801</v>
      </c>
      <c r="AD79" s="45">
        <f t="shared" si="3"/>
        <v>3.9925806372481998E-2</v>
      </c>
    </row>
    <row r="80" spans="1:30" ht="15" x14ac:dyDescent="0.2">
      <c r="B80" s="41">
        <v>15.9</v>
      </c>
      <c r="C80" s="42">
        <v>540</v>
      </c>
      <c r="D80" s="42">
        <v>3</v>
      </c>
      <c r="E80" s="41">
        <v>15.9</v>
      </c>
      <c r="F80" s="43">
        <v>3.9766081638229398</v>
      </c>
      <c r="G80" s="41">
        <v>17.46</v>
      </c>
      <c r="H80" s="41">
        <v>25.4</v>
      </c>
      <c r="I80" s="40">
        <v>114.3</v>
      </c>
      <c r="J80" s="41">
        <v>228.6</v>
      </c>
      <c r="K80" s="42">
        <v>600</v>
      </c>
      <c r="L80" s="43">
        <v>40</v>
      </c>
      <c r="M80" s="40">
        <v>0.130486662894268</v>
      </c>
      <c r="N80" s="40">
        <v>0.14536255954536401</v>
      </c>
      <c r="O80" s="40">
        <v>0.18969426742742501</v>
      </c>
      <c r="P80" s="40">
        <v>0.35110712372639102</v>
      </c>
      <c r="Q80" s="40">
        <v>9.0733600949242002E-2</v>
      </c>
      <c r="R80" s="40">
        <v>0.18090385783086799</v>
      </c>
      <c r="S80" s="48">
        <v>0.22301506459067044</v>
      </c>
      <c r="T80" s="40">
        <v>0.16214997104322201</v>
      </c>
      <c r="U80" s="40">
        <v>0.18554400137601401</v>
      </c>
      <c r="V80" s="40">
        <v>0.16388788457928499</v>
      </c>
      <c r="W80" s="40">
        <v>0.168943661645472</v>
      </c>
      <c r="X80" s="40">
        <v>0.17056620402683201</v>
      </c>
      <c r="Y80" s="40">
        <v>0.20845553183839399</v>
      </c>
      <c r="Z80" s="43">
        <v>0.21</v>
      </c>
      <c r="AA80" s="43">
        <v>0.153759462873372</v>
      </c>
      <c r="AB80" s="43">
        <f t="shared" si="2"/>
        <v>5.6240537126627993E-2</v>
      </c>
      <c r="AC80" s="45">
        <v>0.17056620402683201</v>
      </c>
      <c r="AD80" s="45">
        <f t="shared" si="3"/>
        <v>3.9433795973167984E-2</v>
      </c>
    </row>
    <row r="81" spans="1:30" ht="15" x14ac:dyDescent="0.2">
      <c r="A81" s="40" t="s">
        <v>42</v>
      </c>
      <c r="B81" s="41">
        <v>16</v>
      </c>
      <c r="C81" s="42">
        <v>500</v>
      </c>
      <c r="D81" s="42">
        <v>2</v>
      </c>
      <c r="E81" s="41">
        <v>138</v>
      </c>
      <c r="F81" s="43">
        <v>3.2690000000000001</v>
      </c>
      <c r="G81" s="41">
        <v>40</v>
      </c>
      <c r="H81" s="41">
        <v>48</v>
      </c>
      <c r="I81" s="40">
        <v>250</v>
      </c>
      <c r="J81" s="41">
        <v>348</v>
      </c>
      <c r="K81" s="42">
        <v>400</v>
      </c>
      <c r="L81" s="43">
        <v>20.420000000000002</v>
      </c>
      <c r="M81" s="40">
        <v>9.7763317902372596E-2</v>
      </c>
      <c r="N81" s="40">
        <v>0.16208568924502401</v>
      </c>
      <c r="O81" s="40">
        <v>0.251489698791037</v>
      </c>
      <c r="P81" s="40">
        <v>9.5278931346240298E-2</v>
      </c>
      <c r="Q81" s="40">
        <v>0.17060852360291501</v>
      </c>
      <c r="R81" s="40">
        <v>0.26244074176287702</v>
      </c>
      <c r="S81" s="48">
        <v>0.17543649314795359</v>
      </c>
      <c r="T81" s="40">
        <v>0.135327275261548</v>
      </c>
      <c r="U81" s="40">
        <v>0.205486805457641</v>
      </c>
      <c r="V81" s="40">
        <v>0.21378025833653599</v>
      </c>
      <c r="W81" s="40">
        <v>0.14488845434354999</v>
      </c>
      <c r="X81" s="40">
        <v>0.123820150465785</v>
      </c>
      <c r="Y81" s="40">
        <v>0.103725733401339</v>
      </c>
      <c r="Z81" s="43">
        <v>0.15</v>
      </c>
      <c r="AA81" s="43">
        <v>0.122061551131185</v>
      </c>
      <c r="AB81" s="43">
        <f t="shared" si="2"/>
        <v>2.7938448868814997E-2</v>
      </c>
      <c r="AC81" s="45">
        <v>0.122061551131185</v>
      </c>
      <c r="AD81" s="45">
        <f t="shared" si="3"/>
        <v>2.7938448868814997E-2</v>
      </c>
    </row>
    <row r="82" spans="1:30" ht="15" x14ac:dyDescent="0.2">
      <c r="B82" s="41">
        <v>16</v>
      </c>
      <c r="C82" s="42">
        <v>500</v>
      </c>
      <c r="D82" s="42">
        <v>2</v>
      </c>
      <c r="E82" s="41">
        <v>138</v>
      </c>
      <c r="F82" s="43">
        <v>3.2690000000000001</v>
      </c>
      <c r="G82" s="41">
        <v>40</v>
      </c>
      <c r="H82" s="41">
        <v>48</v>
      </c>
      <c r="I82" s="40">
        <v>250</v>
      </c>
      <c r="J82" s="41">
        <v>348</v>
      </c>
      <c r="K82" s="42">
        <v>400</v>
      </c>
      <c r="L82" s="43">
        <v>23.34</v>
      </c>
      <c r="M82" s="40">
        <v>0.14204371000539801</v>
      </c>
      <c r="N82" s="40">
        <v>0.185263466551364</v>
      </c>
      <c r="O82" s="40">
        <v>0.28745198676703199</v>
      </c>
      <c r="P82" s="40">
        <v>0.12447642459592401</v>
      </c>
      <c r="Q82" s="40">
        <v>0.21206575978511499</v>
      </c>
      <c r="R82" s="40">
        <v>0.299968996706442</v>
      </c>
      <c r="S82" s="48">
        <v>0.20743087010794067</v>
      </c>
      <c r="T82" s="40">
        <v>0.15835952502381501</v>
      </c>
      <c r="U82" s="40">
        <v>0.23487081485706901</v>
      </c>
      <c r="V82" s="40">
        <v>0.24747030525880701</v>
      </c>
      <c r="W82" s="40">
        <v>0.18402656659035699</v>
      </c>
      <c r="X82" s="40">
        <v>0.14490801641031101</v>
      </c>
      <c r="Y82" s="40">
        <v>0.12207949274600501</v>
      </c>
      <c r="Z82" s="43">
        <v>0.2</v>
      </c>
      <c r="AA82" s="43">
        <v>0.139515994290002</v>
      </c>
      <c r="AB82" s="43">
        <f t="shared" si="2"/>
        <v>6.0484005709998012E-2</v>
      </c>
      <c r="AC82" s="45">
        <v>0.15548038806820799</v>
      </c>
      <c r="AD82" s="45">
        <f t="shared" si="3"/>
        <v>4.4519611931792019E-2</v>
      </c>
    </row>
    <row r="83" spans="1:30" ht="15" x14ac:dyDescent="0.2">
      <c r="B83" s="41">
        <v>16</v>
      </c>
      <c r="C83" s="42">
        <v>500</v>
      </c>
      <c r="D83" s="42">
        <v>2</v>
      </c>
      <c r="E83" s="41">
        <v>138</v>
      </c>
      <c r="F83" s="43">
        <v>3.2690000000000001</v>
      </c>
      <c r="G83" s="41">
        <v>40</v>
      </c>
      <c r="H83" s="41">
        <v>48</v>
      </c>
      <c r="I83" s="40">
        <v>250</v>
      </c>
      <c r="J83" s="41">
        <v>348</v>
      </c>
      <c r="K83" s="42">
        <v>400</v>
      </c>
      <c r="L83" s="43">
        <v>26.26</v>
      </c>
      <c r="M83" s="40">
        <v>0.18632410210842401</v>
      </c>
      <c r="N83" s="40">
        <v>0.20844124385770499</v>
      </c>
      <c r="O83" s="40">
        <v>0.32341427474302797</v>
      </c>
      <c r="P83" s="40">
        <v>0.157570475445657</v>
      </c>
      <c r="Q83" s="40">
        <v>0.25352299596731398</v>
      </c>
      <c r="R83" s="40">
        <v>0.33749725165000699</v>
      </c>
      <c r="S83" s="48">
        <v>0.23942524706792792</v>
      </c>
      <c r="T83" s="40">
        <v>0.18139177478608301</v>
      </c>
      <c r="U83" s="40">
        <v>0.26425482425649699</v>
      </c>
      <c r="V83" s="40">
        <v>0.28276491369972701</v>
      </c>
      <c r="W83" s="40">
        <v>0.22568965840486799</v>
      </c>
      <c r="X83" s="40">
        <v>0.16633265556782501</v>
      </c>
      <c r="Y83" s="40">
        <v>0.14131432749734399</v>
      </c>
      <c r="Z83" s="43">
        <v>0.25</v>
      </c>
      <c r="AA83" s="43">
        <v>0.15697043744882</v>
      </c>
      <c r="AB83" s="43">
        <f t="shared" si="2"/>
        <v>9.3029562551180001E-2</v>
      </c>
      <c r="AC83" s="45">
        <v>0.19681733910587501</v>
      </c>
      <c r="AD83" s="45">
        <f t="shared" si="3"/>
        <v>5.3182660894124989E-2</v>
      </c>
    </row>
    <row r="84" spans="1:30" ht="15" x14ac:dyDescent="0.2">
      <c r="B84" s="41">
        <v>16</v>
      </c>
      <c r="C84" s="42">
        <v>500</v>
      </c>
      <c r="D84" s="42">
        <v>2</v>
      </c>
      <c r="E84" s="41">
        <v>138</v>
      </c>
      <c r="F84" s="43">
        <v>3.2690000000000001</v>
      </c>
      <c r="G84" s="41">
        <v>40</v>
      </c>
      <c r="H84" s="41">
        <v>48</v>
      </c>
      <c r="I84" s="40">
        <v>250</v>
      </c>
      <c r="J84" s="41">
        <v>348</v>
      </c>
      <c r="K84" s="42">
        <v>400</v>
      </c>
      <c r="L84" s="43">
        <v>29.175000000000001</v>
      </c>
      <c r="M84" s="40">
        <v>0.23052867162223201</v>
      </c>
      <c r="N84" s="40">
        <v>0.23157933318920601</v>
      </c>
      <c r="O84" s="40">
        <v>0.35931498345878998</v>
      </c>
      <c r="P84" s="40">
        <v>0.194494413431132</v>
      </c>
      <c r="Q84" s="40">
        <v>0.29490924373139399</v>
      </c>
      <c r="R84" s="40">
        <v>0.37496124588305202</v>
      </c>
      <c r="S84" s="48">
        <v>0.27136483913586029</v>
      </c>
      <c r="T84" s="40">
        <v>0.20438458576451099</v>
      </c>
      <c r="U84" s="40">
        <v>0.293588518571336</v>
      </c>
      <c r="V84" s="40">
        <v>0.31920260266931499</v>
      </c>
      <c r="W84" s="40">
        <v>0.26933902014092298</v>
      </c>
      <c r="X84" s="40">
        <v>0.188056517406403</v>
      </c>
      <c r="Y84" s="40">
        <v>0.16139503955001999</v>
      </c>
      <c r="Z84" s="43">
        <v>0.28000000000000003</v>
      </c>
      <c r="AA84" s="43">
        <v>0.17439499286250301</v>
      </c>
      <c r="AB84" s="43">
        <f t="shared" si="2"/>
        <v>0.10560500713749701</v>
      </c>
      <c r="AC84" s="45">
        <v>0.24293810635657501</v>
      </c>
      <c r="AD84" s="45">
        <f t="shared" si="3"/>
        <v>3.706189364342502E-2</v>
      </c>
    </row>
    <row r="85" spans="1:30" ht="15" x14ac:dyDescent="0.2">
      <c r="B85" s="41">
        <v>16</v>
      </c>
      <c r="C85" s="42">
        <v>500</v>
      </c>
      <c r="D85" s="42">
        <v>2</v>
      </c>
      <c r="E85" s="41">
        <v>138</v>
      </c>
      <c r="F85" s="43">
        <v>3.2690000000000001</v>
      </c>
      <c r="G85" s="41">
        <v>40</v>
      </c>
      <c r="H85" s="41">
        <v>48</v>
      </c>
      <c r="I85" s="40">
        <v>250</v>
      </c>
      <c r="J85" s="41">
        <v>348</v>
      </c>
      <c r="K85" s="42">
        <v>400</v>
      </c>
      <c r="L85" s="43">
        <v>32.090000000000003</v>
      </c>
      <c r="M85" s="40">
        <v>0.27473324113603997</v>
      </c>
      <c r="N85" s="40">
        <v>0.254717422520706</v>
      </c>
      <c r="O85" s="40">
        <v>0.39521569217455299</v>
      </c>
      <c r="P85" s="40">
        <v>0.23530157606629101</v>
      </c>
      <c r="Q85" s="40">
        <v>0.336295491495473</v>
      </c>
      <c r="R85" s="40">
        <v>0.41242524011609799</v>
      </c>
      <c r="S85" s="48">
        <v>0.3033044312037928</v>
      </c>
      <c r="T85" s="40">
        <v>0.227377396742939</v>
      </c>
      <c r="U85" s="40">
        <v>0.32292221288617601</v>
      </c>
      <c r="V85" s="40">
        <v>0.356572665241354</v>
      </c>
      <c r="W85" s="40">
        <v>0.31768673757826998</v>
      </c>
      <c r="X85" s="40">
        <v>0.21541289079994999</v>
      </c>
      <c r="Y85" s="40">
        <v>0.187650702898673</v>
      </c>
      <c r="Z85" s="43">
        <v>0.28000000000000003</v>
      </c>
      <c r="AA85" s="43">
        <v>0.197116438963645</v>
      </c>
      <c r="AB85" s="43">
        <f t="shared" si="2"/>
        <v>8.2883561036355025E-2</v>
      </c>
      <c r="AC85" s="45">
        <v>0.29732680364536002</v>
      </c>
      <c r="AD85" s="45">
        <f t="shared" si="3"/>
        <v>-1.7326803645359989E-2</v>
      </c>
    </row>
    <row r="86" spans="1:30" ht="15" x14ac:dyDescent="0.2">
      <c r="B86" s="41">
        <v>16</v>
      </c>
      <c r="C86" s="42">
        <v>500</v>
      </c>
      <c r="D86" s="42">
        <v>2</v>
      </c>
      <c r="E86" s="41">
        <v>138</v>
      </c>
      <c r="F86" s="43">
        <v>3.2690000000000001</v>
      </c>
      <c r="G86" s="41">
        <v>40</v>
      </c>
      <c r="H86" s="41">
        <v>48</v>
      </c>
      <c r="I86" s="40">
        <v>250</v>
      </c>
      <c r="J86" s="41">
        <v>348</v>
      </c>
      <c r="K86" s="42">
        <v>400</v>
      </c>
      <c r="L86" s="43">
        <v>35.01</v>
      </c>
      <c r="M86" s="40">
        <v>0.31901363323906601</v>
      </c>
      <c r="N86" s="40">
        <v>0.278303277430267</v>
      </c>
      <c r="O86" s="40">
        <v>0.43117798015054798</v>
      </c>
      <c r="P86" s="40">
        <v>0.28007195534083001</v>
      </c>
      <c r="Q86" s="40">
        <v>0.37775272767767198</v>
      </c>
      <c r="R86" s="40">
        <v>0.44995349505966298</v>
      </c>
      <c r="S86" s="48">
        <v>0.33529880816377994</v>
      </c>
      <c r="T86" s="40">
        <v>0.25040964650520597</v>
      </c>
      <c r="U86" s="40">
        <v>0.35230622228560399</v>
      </c>
      <c r="V86" s="40">
        <v>0.394749640416382</v>
      </c>
      <c r="W86" s="40">
        <v>0.37759847845251099</v>
      </c>
      <c r="X86" s="40">
        <v>0.26402836100173499</v>
      </c>
      <c r="Y86" s="40">
        <v>0.235707411226726</v>
      </c>
      <c r="Z86" s="43">
        <v>0.3</v>
      </c>
      <c r="AA86" s="43">
        <v>0.240752546860689</v>
      </c>
      <c r="AB86" s="43">
        <f t="shared" si="2"/>
        <v>5.9247453139310985E-2</v>
      </c>
      <c r="AC86" s="45">
        <v>0.36721458076330898</v>
      </c>
      <c r="AD86" s="45">
        <f t="shared" si="3"/>
        <v>-6.7214580763308995E-2</v>
      </c>
    </row>
    <row r="87" spans="1:30" ht="15" x14ac:dyDescent="0.2">
      <c r="B87" s="41">
        <v>16</v>
      </c>
      <c r="C87" s="42">
        <v>500</v>
      </c>
      <c r="D87" s="42">
        <v>2</v>
      </c>
      <c r="E87" s="41">
        <v>138</v>
      </c>
      <c r="F87" s="43">
        <v>3.2690000000000001</v>
      </c>
      <c r="G87" s="41">
        <v>40</v>
      </c>
      <c r="H87" s="41">
        <v>48</v>
      </c>
      <c r="I87" s="40">
        <v>250</v>
      </c>
      <c r="J87" s="41">
        <v>348</v>
      </c>
      <c r="K87" s="42">
        <v>400</v>
      </c>
      <c r="L87" s="43">
        <v>37.93</v>
      </c>
      <c r="M87" s="40">
        <v>0.36329402534209099</v>
      </c>
      <c r="N87" s="40">
        <v>0.31693290627416798</v>
      </c>
      <c r="O87" s="40">
        <v>0.46714026812654302</v>
      </c>
      <c r="P87" s="40">
        <v>0.32873889221541702</v>
      </c>
      <c r="Q87" s="40">
        <v>0.41920996385987203</v>
      </c>
      <c r="R87" s="40">
        <v>0.48748175000322802</v>
      </c>
      <c r="S87" s="48">
        <v>0.36729318512376713</v>
      </c>
      <c r="T87" s="40">
        <v>0.27344189626747301</v>
      </c>
      <c r="U87" s="40">
        <v>0.38169023168503102</v>
      </c>
      <c r="V87" s="40">
        <v>0.43352937343696901</v>
      </c>
      <c r="W87" s="40">
        <v>0.43587366466313199</v>
      </c>
      <c r="X87" s="40">
        <v>0.31298060441650799</v>
      </c>
      <c r="Y87" s="40">
        <v>0.28464519496145302</v>
      </c>
      <c r="Z87" s="43">
        <v>0.33</v>
      </c>
      <c r="AA87" s="43">
        <v>0.28438865475773301</v>
      </c>
      <c r="AB87" s="43">
        <f t="shared" si="2"/>
        <v>4.561134524226701E-2</v>
      </c>
      <c r="AC87" s="45">
        <v>0.43710235788125801</v>
      </c>
      <c r="AD87" s="45">
        <f t="shared" si="3"/>
        <v>-0.10710235788125799</v>
      </c>
    </row>
    <row r="88" spans="1:30" ht="15" x14ac:dyDescent="0.2">
      <c r="B88" s="41">
        <v>16</v>
      </c>
      <c r="C88" s="42">
        <v>500</v>
      </c>
      <c r="D88" s="42">
        <v>2</v>
      </c>
      <c r="E88" s="41">
        <v>138</v>
      </c>
      <c r="F88" s="43">
        <v>3.2690000000000001</v>
      </c>
      <c r="G88" s="41">
        <v>40</v>
      </c>
      <c r="H88" s="41">
        <v>48</v>
      </c>
      <c r="I88" s="40">
        <v>250</v>
      </c>
      <c r="J88" s="41">
        <v>348</v>
      </c>
      <c r="K88" s="42">
        <v>400</v>
      </c>
      <c r="L88" s="43">
        <v>40.840000000000003</v>
      </c>
      <c r="M88" s="40">
        <v>0.407422772266682</v>
      </c>
      <c r="N88" s="40">
        <v>0.355430241868603</v>
      </c>
      <c r="O88" s="40">
        <v>0.502979397582073</v>
      </c>
      <c r="P88" s="40">
        <v>0.38111572538496102</v>
      </c>
      <c r="Q88" s="40">
        <v>0.460525223205831</v>
      </c>
      <c r="R88" s="40">
        <v>0.52488148352575403</v>
      </c>
      <c r="S88" s="48">
        <v>0.3991779922996449</v>
      </c>
      <c r="T88" s="40">
        <v>0.29639526846206199</v>
      </c>
      <c r="U88" s="40">
        <v>0.41097361091528301</v>
      </c>
      <c r="V88" s="40">
        <v>0.47267082737059701</v>
      </c>
      <c r="W88" s="40">
        <v>0.49248466369405702</v>
      </c>
      <c r="X88" s="40">
        <v>0.362100248350545</v>
      </c>
      <c r="Y88" s="40">
        <v>0.33429193804752999</v>
      </c>
      <c r="Z88" s="43">
        <v>0.33</v>
      </c>
      <c r="AA88" s="43">
        <v>0.32787532392910301</v>
      </c>
      <c r="AB88" s="43">
        <f t="shared" si="2"/>
        <v>2.1246760708970025E-3</v>
      </c>
      <c r="AC88" s="45">
        <v>0.50675079329674799</v>
      </c>
      <c r="AD88" s="45">
        <f t="shared" si="3"/>
        <v>-0.17675079329674798</v>
      </c>
    </row>
    <row r="89" spans="1:30" ht="15" x14ac:dyDescent="0.2">
      <c r="A89" s="40" t="s">
        <v>43</v>
      </c>
      <c r="B89" s="41">
        <v>16</v>
      </c>
      <c r="C89" s="42">
        <v>500</v>
      </c>
      <c r="D89" s="42">
        <v>2</v>
      </c>
      <c r="E89" s="41">
        <v>138</v>
      </c>
      <c r="F89" s="43">
        <v>3.2690000000000001</v>
      </c>
      <c r="G89" s="41">
        <v>40</v>
      </c>
      <c r="H89" s="41">
        <v>48</v>
      </c>
      <c r="I89" s="40">
        <v>250</v>
      </c>
      <c r="J89" s="41">
        <v>348</v>
      </c>
      <c r="K89" s="42">
        <v>400</v>
      </c>
      <c r="L89" s="43">
        <v>23.34</v>
      </c>
      <c r="M89" s="40">
        <v>0.14204371000539801</v>
      </c>
      <c r="N89" s="40">
        <v>0.185263466551364</v>
      </c>
      <c r="O89" s="40">
        <v>0.28745198676703199</v>
      </c>
      <c r="P89" s="40">
        <v>0.12447642459592401</v>
      </c>
      <c r="Q89" s="40">
        <v>0.21206575978511499</v>
      </c>
      <c r="R89" s="40">
        <v>0.299968996706442</v>
      </c>
      <c r="S89" s="48">
        <v>0.20743087010794067</v>
      </c>
      <c r="T89" s="40">
        <v>0.15835952502381501</v>
      </c>
      <c r="U89" s="40">
        <v>0.23487081485706901</v>
      </c>
      <c r="V89" s="40">
        <v>0.24747030525880701</v>
      </c>
      <c r="W89" s="40">
        <v>0.18402656659035699</v>
      </c>
      <c r="X89" s="40">
        <v>0.14490801641031101</v>
      </c>
      <c r="Y89" s="40">
        <v>0.12207949274600501</v>
      </c>
      <c r="Z89" s="43">
        <v>0.15</v>
      </c>
      <c r="AA89" s="43">
        <v>0.139515994290002</v>
      </c>
      <c r="AB89" s="43">
        <f t="shared" si="2"/>
        <v>1.0484005709997996E-2</v>
      </c>
      <c r="AC89" s="45">
        <v>0.15548038806820799</v>
      </c>
      <c r="AD89" s="45">
        <f t="shared" si="3"/>
        <v>-5.4803880682079975E-3</v>
      </c>
    </row>
    <row r="90" spans="1:30" ht="15" x14ac:dyDescent="0.2">
      <c r="B90" s="41">
        <v>16</v>
      </c>
      <c r="C90" s="42">
        <v>500</v>
      </c>
      <c r="D90" s="42">
        <v>2</v>
      </c>
      <c r="E90" s="41">
        <v>138</v>
      </c>
      <c r="F90" s="43">
        <v>3.2690000000000001</v>
      </c>
      <c r="G90" s="41">
        <v>40</v>
      </c>
      <c r="H90" s="41">
        <v>48</v>
      </c>
      <c r="I90" s="40">
        <v>250</v>
      </c>
      <c r="J90" s="41">
        <v>348</v>
      </c>
      <c r="K90" s="42">
        <v>400</v>
      </c>
      <c r="L90" s="43">
        <v>26.26</v>
      </c>
      <c r="M90" s="40">
        <v>0.18632410210842401</v>
      </c>
      <c r="N90" s="40">
        <v>0.20844124385770499</v>
      </c>
      <c r="O90" s="40">
        <v>0.32341427474302797</v>
      </c>
      <c r="P90" s="40">
        <v>0.157570475445657</v>
      </c>
      <c r="Q90" s="40">
        <v>0.25352299596731398</v>
      </c>
      <c r="R90" s="40">
        <v>0.33749725165000699</v>
      </c>
      <c r="S90" s="48">
        <v>0.23942524706792792</v>
      </c>
      <c r="T90" s="40">
        <v>0.18139177478608301</v>
      </c>
      <c r="U90" s="40">
        <v>0.26425482425649699</v>
      </c>
      <c r="V90" s="40">
        <v>0.28276491369972701</v>
      </c>
      <c r="W90" s="40">
        <v>0.22568965840486799</v>
      </c>
      <c r="X90" s="40">
        <v>0.16633265556782501</v>
      </c>
      <c r="Y90" s="40">
        <v>0.14131432749734399</v>
      </c>
      <c r="Z90" s="43">
        <v>0.18</v>
      </c>
      <c r="AA90" s="43">
        <v>0.15697043744882</v>
      </c>
      <c r="AB90" s="43">
        <f t="shared" si="2"/>
        <v>2.3029562551179994E-2</v>
      </c>
      <c r="AC90" s="45">
        <v>0.19681733910587501</v>
      </c>
      <c r="AD90" s="45">
        <f t="shared" si="3"/>
        <v>-1.6817339105875018E-2</v>
      </c>
    </row>
    <row r="91" spans="1:30" ht="15" x14ac:dyDescent="0.2">
      <c r="B91" s="41">
        <v>16</v>
      </c>
      <c r="C91" s="42">
        <v>500</v>
      </c>
      <c r="D91" s="42">
        <v>2</v>
      </c>
      <c r="E91" s="41">
        <v>138</v>
      </c>
      <c r="F91" s="43">
        <v>3.2690000000000001</v>
      </c>
      <c r="G91" s="41">
        <v>40</v>
      </c>
      <c r="H91" s="41">
        <v>48</v>
      </c>
      <c r="I91" s="40">
        <v>250</v>
      </c>
      <c r="J91" s="41">
        <v>348</v>
      </c>
      <c r="K91" s="42">
        <v>400</v>
      </c>
      <c r="L91" s="43">
        <v>29.175000000000001</v>
      </c>
      <c r="M91" s="40">
        <v>0.23052867162223201</v>
      </c>
      <c r="N91" s="40">
        <v>0.23157933318920601</v>
      </c>
      <c r="O91" s="40">
        <v>0.35931498345878998</v>
      </c>
      <c r="P91" s="40">
        <v>0.194494413431132</v>
      </c>
      <c r="Q91" s="40">
        <v>0.29490924373139399</v>
      </c>
      <c r="R91" s="40">
        <v>0.37496124588305202</v>
      </c>
      <c r="S91" s="48">
        <v>0.27136483913586029</v>
      </c>
      <c r="T91" s="40">
        <v>0.20438458576451099</v>
      </c>
      <c r="U91" s="40">
        <v>0.293588518571336</v>
      </c>
      <c r="V91" s="40">
        <v>0.31920260266931499</v>
      </c>
      <c r="W91" s="40">
        <v>0.26933902014092298</v>
      </c>
      <c r="X91" s="40">
        <v>0.188056517406403</v>
      </c>
      <c r="Y91" s="40">
        <v>0.16139503955001999</v>
      </c>
      <c r="Z91" s="43">
        <v>0.2</v>
      </c>
      <c r="AA91" s="43">
        <v>0.17439499286250301</v>
      </c>
      <c r="AB91" s="43">
        <f t="shared" si="2"/>
        <v>2.5605007137496999E-2</v>
      </c>
      <c r="AC91" s="45">
        <v>0.24293810635657501</v>
      </c>
      <c r="AD91" s="45">
        <f t="shared" si="3"/>
        <v>-4.2938106356574995E-2</v>
      </c>
    </row>
    <row r="92" spans="1:30" ht="15" x14ac:dyDescent="0.2">
      <c r="B92" s="41">
        <v>16</v>
      </c>
      <c r="C92" s="42">
        <v>500</v>
      </c>
      <c r="D92" s="42">
        <v>2</v>
      </c>
      <c r="E92" s="41">
        <v>138</v>
      </c>
      <c r="F92" s="43">
        <v>3.2690000000000001</v>
      </c>
      <c r="G92" s="41">
        <v>40</v>
      </c>
      <c r="H92" s="41">
        <v>48</v>
      </c>
      <c r="I92" s="40">
        <v>250</v>
      </c>
      <c r="J92" s="41">
        <v>348</v>
      </c>
      <c r="K92" s="42">
        <v>400</v>
      </c>
      <c r="L92" s="43">
        <v>32.090000000000003</v>
      </c>
      <c r="M92" s="40">
        <v>0.27473324113603997</v>
      </c>
      <c r="N92" s="40">
        <v>0.254717422520706</v>
      </c>
      <c r="O92" s="40">
        <v>0.39521569217455299</v>
      </c>
      <c r="P92" s="40">
        <v>0.23530157606629101</v>
      </c>
      <c r="Q92" s="40">
        <v>0.336295491495473</v>
      </c>
      <c r="R92" s="40">
        <v>0.41242524011609799</v>
      </c>
      <c r="S92" s="48">
        <v>0.3033044312037928</v>
      </c>
      <c r="T92" s="40">
        <v>0.227377396742939</v>
      </c>
      <c r="U92" s="40">
        <v>0.32292221288617601</v>
      </c>
      <c r="V92" s="40">
        <v>0.356572665241354</v>
      </c>
      <c r="W92" s="40">
        <v>0.31768673757826998</v>
      </c>
      <c r="X92" s="40">
        <v>0.21541289079994999</v>
      </c>
      <c r="Y92" s="40">
        <v>0.187650702898673</v>
      </c>
      <c r="Z92" s="43">
        <v>0.25</v>
      </c>
      <c r="AA92" s="43">
        <v>0.197116438963645</v>
      </c>
      <c r="AB92" s="43">
        <f t="shared" si="2"/>
        <v>5.2883561036354998E-2</v>
      </c>
      <c r="AC92" s="45">
        <v>0.29732680364536002</v>
      </c>
      <c r="AD92" s="45">
        <f t="shared" si="3"/>
        <v>-4.7326803645360016E-2</v>
      </c>
    </row>
    <row r="93" spans="1:30" ht="15" x14ac:dyDescent="0.2">
      <c r="B93" s="41">
        <v>16</v>
      </c>
      <c r="C93" s="42">
        <v>500</v>
      </c>
      <c r="D93" s="42">
        <v>2</v>
      </c>
      <c r="E93" s="41">
        <v>138</v>
      </c>
      <c r="F93" s="43">
        <v>3.2690000000000001</v>
      </c>
      <c r="G93" s="41">
        <v>40</v>
      </c>
      <c r="H93" s="41">
        <v>48</v>
      </c>
      <c r="I93" s="40">
        <v>250</v>
      </c>
      <c r="J93" s="41">
        <v>348</v>
      </c>
      <c r="K93" s="42">
        <v>400</v>
      </c>
      <c r="L93" s="43">
        <v>35.01</v>
      </c>
      <c r="M93" s="40">
        <v>0.31901363323906601</v>
      </c>
      <c r="N93" s="40">
        <v>0.278303277430267</v>
      </c>
      <c r="O93" s="40">
        <v>0.43117798015054798</v>
      </c>
      <c r="P93" s="40">
        <v>0.28007195534083001</v>
      </c>
      <c r="Q93" s="40">
        <v>0.336295491495473</v>
      </c>
      <c r="R93" s="40">
        <v>0.44995349505966298</v>
      </c>
      <c r="S93" s="48">
        <v>0.33529880816377994</v>
      </c>
      <c r="T93" s="40">
        <v>0.25040964650520597</v>
      </c>
      <c r="U93" s="40">
        <v>0.35230622228560399</v>
      </c>
      <c r="V93" s="40">
        <v>0.394749640416382</v>
      </c>
      <c r="W93" s="40">
        <v>0.37759847845251099</v>
      </c>
      <c r="X93" s="40">
        <v>0.26402836100173499</v>
      </c>
      <c r="Y93" s="40">
        <v>0.235707411226726</v>
      </c>
      <c r="Z93" s="43">
        <v>0.3</v>
      </c>
      <c r="AA93" s="43">
        <v>0.240752546860689</v>
      </c>
      <c r="AB93" s="43">
        <f t="shared" si="2"/>
        <v>5.9247453139310985E-2</v>
      </c>
      <c r="AC93" s="45">
        <v>0.36721458076330898</v>
      </c>
      <c r="AD93" s="45">
        <f t="shared" si="3"/>
        <v>-6.7214580763308995E-2</v>
      </c>
    </row>
    <row r="94" spans="1:30" ht="15" x14ac:dyDescent="0.2">
      <c r="B94" s="41">
        <v>16</v>
      </c>
      <c r="C94" s="42">
        <v>500</v>
      </c>
      <c r="D94" s="42">
        <v>2</v>
      </c>
      <c r="E94" s="41">
        <v>138</v>
      </c>
      <c r="F94" s="43">
        <v>3.2690000000000001</v>
      </c>
      <c r="G94" s="41">
        <v>40</v>
      </c>
      <c r="H94" s="41">
        <v>48</v>
      </c>
      <c r="I94" s="40">
        <v>250</v>
      </c>
      <c r="J94" s="41">
        <v>348</v>
      </c>
      <c r="K94" s="42">
        <v>400</v>
      </c>
      <c r="L94" s="43">
        <v>37.93</v>
      </c>
      <c r="M94" s="40">
        <v>0.36329402534209099</v>
      </c>
      <c r="N94" s="40">
        <v>0.31693290627416798</v>
      </c>
      <c r="O94" s="40">
        <v>0.46714026812654302</v>
      </c>
      <c r="P94" s="40">
        <v>0.32873889221541702</v>
      </c>
      <c r="Q94" s="40">
        <v>0.41920996385987203</v>
      </c>
      <c r="R94" s="40">
        <v>0.48748175000322802</v>
      </c>
      <c r="S94" s="48">
        <v>0.36729318512376713</v>
      </c>
      <c r="T94" s="40">
        <v>0.27344189626747301</v>
      </c>
      <c r="U94" s="40">
        <v>0.38169023168503102</v>
      </c>
      <c r="V94" s="40">
        <v>0.43352937343696901</v>
      </c>
      <c r="W94" s="40">
        <v>0.43587366466313199</v>
      </c>
      <c r="X94" s="40">
        <v>0.31298060441650799</v>
      </c>
      <c r="Y94" s="40">
        <v>0.28464519496145302</v>
      </c>
      <c r="Z94" s="43">
        <v>0.33</v>
      </c>
      <c r="AA94" s="43">
        <v>0.28438865475773301</v>
      </c>
      <c r="AB94" s="43">
        <f t="shared" si="2"/>
        <v>4.561134524226701E-2</v>
      </c>
      <c r="AC94" s="45">
        <v>0.43710235788125801</v>
      </c>
      <c r="AD94" s="45">
        <f t="shared" si="3"/>
        <v>-0.10710235788125799</v>
      </c>
    </row>
    <row r="95" spans="1:30" ht="15" x14ac:dyDescent="0.2">
      <c r="B95" s="41">
        <v>16</v>
      </c>
      <c r="C95" s="42">
        <v>500</v>
      </c>
      <c r="D95" s="42">
        <v>2</v>
      </c>
      <c r="E95" s="41">
        <v>138</v>
      </c>
      <c r="F95" s="43">
        <v>3.2690000000000001</v>
      </c>
      <c r="G95" s="41">
        <v>40</v>
      </c>
      <c r="H95" s="41">
        <v>48</v>
      </c>
      <c r="I95" s="40">
        <v>250</v>
      </c>
      <c r="J95" s="41">
        <v>348</v>
      </c>
      <c r="K95" s="42">
        <v>400</v>
      </c>
      <c r="L95" s="43">
        <v>40.840000000000003</v>
      </c>
      <c r="M95" s="40">
        <v>0.407422772266682</v>
      </c>
      <c r="N95" s="40">
        <v>0.355430241868603</v>
      </c>
      <c r="O95" s="40">
        <v>0.502979397582073</v>
      </c>
      <c r="P95" s="40">
        <v>0.38111572538496102</v>
      </c>
      <c r="Q95" s="40">
        <v>0.460525223205831</v>
      </c>
      <c r="R95" s="40">
        <v>0.52488148352575403</v>
      </c>
      <c r="S95" s="48">
        <v>0.3991779922996449</v>
      </c>
      <c r="T95" s="40">
        <v>0.29639526846206199</v>
      </c>
      <c r="U95" s="40">
        <v>0.41097361091528301</v>
      </c>
      <c r="V95" s="40">
        <v>0.47267082737059701</v>
      </c>
      <c r="W95" s="40">
        <v>0.49248466369405702</v>
      </c>
      <c r="X95" s="40">
        <v>0.362100248350545</v>
      </c>
      <c r="Y95" s="40">
        <v>0.33429193804752999</v>
      </c>
      <c r="Z95" s="43">
        <v>0.38</v>
      </c>
      <c r="AA95" s="43">
        <v>0.32787532392910301</v>
      </c>
      <c r="AB95" s="43">
        <f t="shared" si="2"/>
        <v>5.2124676070896991E-2</v>
      </c>
      <c r="AC95" s="45">
        <v>0.50675079329674799</v>
      </c>
      <c r="AD95" s="45">
        <f t="shared" si="3"/>
        <v>-0.12675079329674799</v>
      </c>
    </row>
    <row r="96" spans="1:30" ht="15" x14ac:dyDescent="0.2">
      <c r="A96" s="40" t="s">
        <v>44</v>
      </c>
      <c r="B96" s="41">
        <v>16</v>
      </c>
      <c r="C96" s="42">
        <v>500</v>
      </c>
      <c r="D96" s="42">
        <v>2</v>
      </c>
      <c r="E96" s="41">
        <v>168</v>
      </c>
      <c r="F96" s="43">
        <v>3.2690000000000001</v>
      </c>
      <c r="G96" s="41">
        <v>25</v>
      </c>
      <c r="H96" s="41">
        <v>33</v>
      </c>
      <c r="I96" s="40">
        <v>250</v>
      </c>
      <c r="J96" s="41">
        <v>333</v>
      </c>
      <c r="K96" s="42">
        <v>400</v>
      </c>
      <c r="L96" s="43">
        <v>23.34</v>
      </c>
      <c r="M96" s="40">
        <v>0.13409248123173201</v>
      </c>
      <c r="N96" s="40">
        <v>0.14310195367254</v>
      </c>
      <c r="O96" s="40">
        <v>0.26428228038373303</v>
      </c>
      <c r="P96" s="40">
        <v>0.12447642459592401</v>
      </c>
      <c r="Q96" s="40">
        <v>0.14579520985226599</v>
      </c>
      <c r="R96" s="40">
        <v>0.21268829038166101</v>
      </c>
      <c r="S96" s="48">
        <v>0.1846986341868315</v>
      </c>
      <c r="T96" s="40">
        <v>0.134746895529849</v>
      </c>
      <c r="U96" s="40">
        <v>0.17296156171576599</v>
      </c>
      <c r="V96" s="40">
        <v>0.187434596405334</v>
      </c>
      <c r="W96" s="40">
        <v>0.13094693451446199</v>
      </c>
      <c r="X96" s="40">
        <v>0.111890980158436</v>
      </c>
      <c r="Y96" s="40">
        <v>9.0993054957387298E-2</v>
      </c>
      <c r="Z96" s="43">
        <v>0.15</v>
      </c>
      <c r="AA96" s="43">
        <v>9.9274752045340003E-2</v>
      </c>
      <c r="AB96" s="43">
        <f t="shared" si="2"/>
        <v>5.0725247954659991E-2</v>
      </c>
      <c r="AC96" s="45">
        <v>0.110634462033796</v>
      </c>
      <c r="AD96" s="45">
        <f t="shared" si="3"/>
        <v>3.9365537966203998E-2</v>
      </c>
    </row>
    <row r="97" spans="1:30" ht="15" x14ac:dyDescent="0.2">
      <c r="B97" s="41">
        <v>16</v>
      </c>
      <c r="C97" s="42">
        <v>500</v>
      </c>
      <c r="D97" s="42">
        <v>2</v>
      </c>
      <c r="E97" s="41">
        <v>168</v>
      </c>
      <c r="F97" s="43">
        <v>3.2690000000000001</v>
      </c>
      <c r="G97" s="41">
        <v>25</v>
      </c>
      <c r="H97" s="41">
        <v>33</v>
      </c>
      <c r="I97" s="40">
        <v>250</v>
      </c>
      <c r="J97" s="41">
        <v>333</v>
      </c>
      <c r="K97" s="42">
        <v>400</v>
      </c>
      <c r="L97" s="43">
        <v>26.26</v>
      </c>
      <c r="M97" s="40">
        <v>0.171073176637526</v>
      </c>
      <c r="N97" s="40">
        <v>0.16100502585436599</v>
      </c>
      <c r="O97" s="40">
        <v>0.29734587330235002</v>
      </c>
      <c r="P97" s="40">
        <v>0.157570475445657</v>
      </c>
      <c r="Q97" s="40">
        <v>0.17429705972752901</v>
      </c>
      <c r="R97" s="40">
        <v>0.23929710820147401</v>
      </c>
      <c r="S97" s="48">
        <v>0.21318676482569551</v>
      </c>
      <c r="T97" s="40">
        <v>0.154295967831621</v>
      </c>
      <c r="U97" s="40">
        <v>0.19460028323290501</v>
      </c>
      <c r="V97" s="40">
        <v>0.21377264107091101</v>
      </c>
      <c r="W97" s="40">
        <v>0.163768165851579</v>
      </c>
      <c r="X97" s="40">
        <v>0.134461087396925</v>
      </c>
      <c r="Y97" s="40">
        <v>0.110573338061573</v>
      </c>
      <c r="Z97" s="43">
        <v>0.18</v>
      </c>
      <c r="AA97" s="43">
        <v>0.116178589995917</v>
      </c>
      <c r="AB97" s="43">
        <f t="shared" si="2"/>
        <v>6.3821410004082993E-2</v>
      </c>
      <c r="AC97" s="45">
        <v>0.14377344806676701</v>
      </c>
      <c r="AD97" s="45">
        <f t="shared" si="3"/>
        <v>3.6226551933232987E-2</v>
      </c>
    </row>
    <row r="98" spans="1:30" ht="15" x14ac:dyDescent="0.2">
      <c r="B98" s="41">
        <v>16</v>
      </c>
      <c r="C98" s="42">
        <v>500</v>
      </c>
      <c r="D98" s="42">
        <v>2</v>
      </c>
      <c r="E98" s="41">
        <v>168</v>
      </c>
      <c r="F98" s="43">
        <v>3.2690000000000001</v>
      </c>
      <c r="G98" s="41">
        <v>25</v>
      </c>
      <c r="H98" s="41">
        <v>33</v>
      </c>
      <c r="I98" s="40">
        <v>250</v>
      </c>
      <c r="J98" s="41">
        <v>333</v>
      </c>
      <c r="K98" s="42">
        <v>400</v>
      </c>
      <c r="L98" s="43">
        <v>29.175000000000001</v>
      </c>
      <c r="M98" s="40">
        <v>0.207990548934748</v>
      </c>
      <c r="N98" s="40">
        <v>0.17887744209067599</v>
      </c>
      <c r="O98" s="40">
        <v>0.330352850479667</v>
      </c>
      <c r="P98" s="40">
        <v>0.194494413431132</v>
      </c>
      <c r="Q98" s="40">
        <v>0.202750105065333</v>
      </c>
      <c r="R98" s="40">
        <v>0.26586036297707599</v>
      </c>
      <c r="S98" s="48">
        <v>0.2416261144189451</v>
      </c>
      <c r="T98" s="40">
        <v>0.17381156569452</v>
      </c>
      <c r="U98" s="40">
        <v>0.216201952144707</v>
      </c>
      <c r="V98" s="40">
        <v>0.24074542196424201</v>
      </c>
      <c r="W98" s="40">
        <v>0.20635674960082601</v>
      </c>
      <c r="X98" s="40">
        <v>0.17168202493194701</v>
      </c>
      <c r="Y98" s="40">
        <v>0.14506549518116399</v>
      </c>
      <c r="Z98" s="43">
        <v>0.2</v>
      </c>
      <c r="AA98" s="43">
        <v>0.14717536615403201</v>
      </c>
      <c r="AB98" s="43">
        <f t="shared" si="2"/>
        <v>5.2824633845968E-2</v>
      </c>
      <c r="AC98" s="45">
        <v>0.18990028944419701</v>
      </c>
      <c r="AD98" s="45">
        <f t="shared" si="3"/>
        <v>1.0099710555802999E-2</v>
      </c>
    </row>
    <row r="99" spans="1:30" ht="15" x14ac:dyDescent="0.2">
      <c r="B99" s="41">
        <v>16</v>
      </c>
      <c r="C99" s="42">
        <v>500</v>
      </c>
      <c r="D99" s="42">
        <v>2</v>
      </c>
      <c r="E99" s="41">
        <v>168</v>
      </c>
      <c r="F99" s="43">
        <v>3.2690000000000001</v>
      </c>
      <c r="G99" s="41">
        <v>25</v>
      </c>
      <c r="H99" s="41">
        <v>33</v>
      </c>
      <c r="I99" s="40">
        <v>250</v>
      </c>
      <c r="J99" s="41">
        <v>333</v>
      </c>
      <c r="K99" s="42">
        <v>400</v>
      </c>
      <c r="L99" s="43">
        <v>32.090000000000003</v>
      </c>
      <c r="M99" s="40">
        <v>0.244907921231971</v>
      </c>
      <c r="N99" s="40">
        <v>0.19760779435522899</v>
      </c>
      <c r="O99" s="40">
        <v>0.36335982765698399</v>
      </c>
      <c r="P99" s="40">
        <v>0.23530157606629101</v>
      </c>
      <c r="Q99" s="40">
        <v>0.23120315040313799</v>
      </c>
      <c r="R99" s="40">
        <v>0.292423617752677</v>
      </c>
      <c r="S99" s="48">
        <v>0.27006546401219472</v>
      </c>
      <c r="T99" s="40">
        <v>0.193327163557419</v>
      </c>
      <c r="U99" s="40">
        <v>0.23780362105650901</v>
      </c>
      <c r="V99" s="40">
        <v>0.26824487680377601</v>
      </c>
      <c r="W99" s="40">
        <v>0.24778164092129101</v>
      </c>
      <c r="X99" s="40">
        <v>0.20947007070116999</v>
      </c>
      <c r="Y99" s="40">
        <v>0.18038046539104599</v>
      </c>
      <c r="Z99" s="43">
        <v>0.23</v>
      </c>
      <c r="AA99" s="43">
        <v>0.17817214231214801</v>
      </c>
      <c r="AB99" s="43">
        <f t="shared" si="2"/>
        <v>5.1827857687852003E-2</v>
      </c>
      <c r="AC99" s="45">
        <v>0.23602713082162699</v>
      </c>
      <c r="AD99" s="45">
        <f t="shared" si="3"/>
        <v>-6.0271308216269803E-3</v>
      </c>
    </row>
    <row r="100" spans="1:30" ht="15" x14ac:dyDescent="0.2">
      <c r="B100" s="41">
        <v>16</v>
      </c>
      <c r="C100" s="42">
        <v>500</v>
      </c>
      <c r="D100" s="42">
        <v>2</v>
      </c>
      <c r="E100" s="41">
        <v>168</v>
      </c>
      <c r="F100" s="43">
        <v>3.2690000000000001</v>
      </c>
      <c r="G100" s="41">
        <v>25</v>
      </c>
      <c r="H100" s="41">
        <v>33</v>
      </c>
      <c r="I100" s="40">
        <v>250</v>
      </c>
      <c r="J100" s="41">
        <v>333</v>
      </c>
      <c r="K100" s="42">
        <v>400</v>
      </c>
      <c r="L100" s="43">
        <v>35.01</v>
      </c>
      <c r="M100" s="40">
        <v>0.28188861663776499</v>
      </c>
      <c r="N100" s="40">
        <v>0.22744624799160601</v>
      </c>
      <c r="O100" s="40">
        <v>0.39642342057559998</v>
      </c>
      <c r="P100" s="40">
        <v>0.28007195534083001</v>
      </c>
      <c r="Q100" s="40">
        <v>0.25970500027839999</v>
      </c>
      <c r="R100" s="40">
        <v>0.319032435572491</v>
      </c>
      <c r="S100" s="48">
        <v>0.2985535946510588</v>
      </c>
      <c r="T100" s="40">
        <v>0.21287623585918999</v>
      </c>
      <c r="U100" s="40">
        <v>0.25944234257364901</v>
      </c>
      <c r="V100" s="40">
        <v>0.29621109654667399</v>
      </c>
      <c r="W100" s="40">
        <v>0.28822808346578699</v>
      </c>
      <c r="X100" s="40">
        <v>0.24789150119600201</v>
      </c>
      <c r="Y100" s="40">
        <v>0.21658094147941401</v>
      </c>
      <c r="Z100" s="43">
        <v>0.25</v>
      </c>
      <c r="AA100" s="43">
        <v>0.20922208618237001</v>
      </c>
      <c r="AB100" s="43">
        <f t="shared" si="2"/>
        <v>4.077791381762999E-2</v>
      </c>
      <c r="AC100" s="45">
        <v>0.28223309199558799</v>
      </c>
      <c r="AD100" s="45">
        <f t="shared" si="3"/>
        <v>-3.2233091995587992E-2</v>
      </c>
    </row>
    <row r="101" spans="1:30" ht="15" x14ac:dyDescent="0.2">
      <c r="B101" s="41">
        <v>16</v>
      </c>
      <c r="C101" s="42">
        <v>500</v>
      </c>
      <c r="D101" s="42">
        <v>2</v>
      </c>
      <c r="E101" s="41">
        <v>168</v>
      </c>
      <c r="F101" s="43">
        <v>3.2690000000000001</v>
      </c>
      <c r="G101" s="41">
        <v>25</v>
      </c>
      <c r="H101" s="41">
        <v>33</v>
      </c>
      <c r="I101" s="40">
        <v>250</v>
      </c>
      <c r="J101" s="41">
        <v>333</v>
      </c>
      <c r="K101" s="42">
        <v>400</v>
      </c>
      <c r="L101" s="43">
        <v>37.93</v>
      </c>
      <c r="M101" s="40">
        <v>0.31886931204355901</v>
      </c>
      <c r="N101" s="40">
        <v>0.257284701627982</v>
      </c>
      <c r="O101" s="40">
        <v>0.42948701349421597</v>
      </c>
      <c r="P101" s="40">
        <v>0.32873889221541702</v>
      </c>
      <c r="Q101" s="40">
        <v>0.28820685015366199</v>
      </c>
      <c r="R101" s="40">
        <v>0.345641253392304</v>
      </c>
      <c r="S101" s="48">
        <v>0.32704172528992292</v>
      </c>
      <c r="T101" s="40">
        <v>0.23242530816096199</v>
      </c>
      <c r="U101" s="40">
        <v>0.28108106409078798</v>
      </c>
      <c r="V101" s="40">
        <v>0.324517798744556</v>
      </c>
      <c r="W101" s="40">
        <v>0.32772968510924699</v>
      </c>
      <c r="X101" s="40">
        <v>0.286881987076337</v>
      </c>
      <c r="Y101" s="40">
        <v>0.253607055765319</v>
      </c>
      <c r="Z101" s="43">
        <v>0.3</v>
      </c>
      <c r="AA101" s="43">
        <v>0.24027203005259201</v>
      </c>
      <c r="AB101" s="43">
        <f t="shared" si="2"/>
        <v>5.9727969947407977E-2</v>
      </c>
      <c r="AC101" s="45">
        <v>0.32843905316954902</v>
      </c>
      <c r="AD101" s="45">
        <f t="shared" si="3"/>
        <v>-2.8439053169549033E-2</v>
      </c>
    </row>
    <row r="102" spans="1:30" ht="15" x14ac:dyDescent="0.2">
      <c r="B102" s="41">
        <v>16</v>
      </c>
      <c r="C102" s="42">
        <v>500</v>
      </c>
      <c r="D102" s="42">
        <v>2</v>
      </c>
      <c r="E102" s="41">
        <v>168</v>
      </c>
      <c r="F102" s="43">
        <v>3.2690000000000001</v>
      </c>
      <c r="G102" s="41">
        <v>25</v>
      </c>
      <c r="H102" s="41">
        <v>33</v>
      </c>
      <c r="I102" s="40">
        <v>250</v>
      </c>
      <c r="J102" s="41">
        <v>333</v>
      </c>
      <c r="K102" s="42">
        <v>400</v>
      </c>
      <c r="L102" s="43">
        <v>40.840000000000003</v>
      </c>
      <c r="M102" s="40">
        <v>0.35572336123220999</v>
      </c>
      <c r="N102" s="40">
        <v>0.287020968779303</v>
      </c>
      <c r="O102" s="40">
        <v>0.46243737493023401</v>
      </c>
      <c r="P102" s="40">
        <v>0.38111572538496102</v>
      </c>
      <c r="Q102" s="40">
        <v>0.31661109095400902</v>
      </c>
      <c r="R102" s="40">
        <v>0.37215894512369402</v>
      </c>
      <c r="S102" s="48">
        <v>0.35543229383755803</v>
      </c>
      <c r="T102" s="40">
        <v>0.25190743158498802</v>
      </c>
      <c r="U102" s="40">
        <v>0.30264568039725298</v>
      </c>
      <c r="V102" s="40">
        <v>0.35300690649432698</v>
      </c>
      <c r="W102" s="40">
        <v>0.36625043346120201</v>
      </c>
      <c r="X102" s="40">
        <v>0.32630507938824299</v>
      </c>
      <c r="Y102" s="40">
        <v>0.29132777003705501</v>
      </c>
      <c r="Z102" s="43">
        <v>0.3</v>
      </c>
      <c r="AA102" s="43">
        <v>0.27121563849860097</v>
      </c>
      <c r="AB102" s="43">
        <f t="shared" si="2"/>
        <v>2.8784361501399014E-2</v>
      </c>
      <c r="AC102" s="45">
        <v>0.374486774750448</v>
      </c>
      <c r="AD102" s="45">
        <f t="shared" si="3"/>
        <v>-7.4486774750448015E-2</v>
      </c>
    </row>
    <row r="103" spans="1:30" ht="15" x14ac:dyDescent="0.2">
      <c r="A103" s="40" t="s">
        <v>45</v>
      </c>
      <c r="B103" s="41">
        <v>16</v>
      </c>
      <c r="C103" s="42">
        <v>500</v>
      </c>
      <c r="D103" s="42">
        <v>2</v>
      </c>
      <c r="E103" s="41">
        <v>168</v>
      </c>
      <c r="F103" s="43">
        <v>3.2690000000000001</v>
      </c>
      <c r="G103" s="41">
        <v>25</v>
      </c>
      <c r="H103" s="41">
        <v>33</v>
      </c>
      <c r="I103" s="40">
        <v>250</v>
      </c>
      <c r="J103" s="41">
        <v>333</v>
      </c>
      <c r="K103" s="42">
        <v>400</v>
      </c>
      <c r="L103" s="43">
        <v>20.420000000000002</v>
      </c>
      <c r="M103" s="40">
        <v>9.7111785825937505E-2</v>
      </c>
      <c r="N103" s="40">
        <v>0.12519888149071501</v>
      </c>
      <c r="O103" s="40">
        <v>0.23121868746511701</v>
      </c>
      <c r="P103" s="40">
        <v>9.5278931346240298E-2</v>
      </c>
      <c r="Q103" s="40">
        <v>0.11729335997700401</v>
      </c>
      <c r="R103" s="40">
        <v>0.18607947256184701</v>
      </c>
      <c r="S103" s="48">
        <v>0.15621050354796739</v>
      </c>
      <c r="T103" s="40">
        <v>0.11519782322807701</v>
      </c>
      <c r="U103" s="40">
        <v>0.15132284019862599</v>
      </c>
      <c r="V103" s="40">
        <v>0.162002927407979</v>
      </c>
      <c r="W103" s="40">
        <v>0.10309760864614501</v>
      </c>
      <c r="X103" s="40">
        <v>9.4373788707939193E-2</v>
      </c>
      <c r="Y103" s="40">
        <v>7.6722270453226202E-2</v>
      </c>
      <c r="Z103" s="43">
        <v>0.15</v>
      </c>
      <c r="AA103" s="43">
        <v>8.6854774497251194E-2</v>
      </c>
      <c r="AB103" s="43">
        <f t="shared" si="2"/>
        <v>6.31452255027488E-2</v>
      </c>
      <c r="AC103" s="45">
        <v>8.6854774497251194E-2</v>
      </c>
      <c r="AD103" s="45">
        <f t="shared" si="3"/>
        <v>6.31452255027488E-2</v>
      </c>
    </row>
    <row r="104" spans="1:30" ht="15" x14ac:dyDescent="0.2">
      <c r="B104" s="41">
        <v>16</v>
      </c>
      <c r="C104" s="42">
        <v>500</v>
      </c>
      <c r="D104" s="42">
        <v>2</v>
      </c>
      <c r="E104" s="41">
        <v>168</v>
      </c>
      <c r="F104" s="43">
        <v>3.2690000000000001</v>
      </c>
      <c r="G104" s="41">
        <v>25</v>
      </c>
      <c r="H104" s="41">
        <v>33</v>
      </c>
      <c r="I104" s="40">
        <v>250</v>
      </c>
      <c r="J104" s="41">
        <v>333</v>
      </c>
      <c r="K104" s="42">
        <v>400</v>
      </c>
      <c r="L104" s="43">
        <v>23.34</v>
      </c>
      <c r="M104" s="40">
        <v>0.13409248123173201</v>
      </c>
      <c r="N104" s="40">
        <v>0.14310195367254</v>
      </c>
      <c r="O104" s="40">
        <v>0.26428228038373303</v>
      </c>
      <c r="P104" s="40">
        <v>0.12447642459592401</v>
      </c>
      <c r="Q104" s="40">
        <v>0.14579520985226599</v>
      </c>
      <c r="R104" s="40">
        <v>0.21268829038166101</v>
      </c>
      <c r="S104" s="48">
        <v>0.1846986341868315</v>
      </c>
      <c r="T104" s="40">
        <v>0.134746895529849</v>
      </c>
      <c r="U104" s="40">
        <v>0.17296156171576599</v>
      </c>
      <c r="V104" s="40">
        <v>0.187434596405334</v>
      </c>
      <c r="W104" s="40">
        <v>0.13094693451446199</v>
      </c>
      <c r="X104" s="40">
        <v>0.111890980158436</v>
      </c>
      <c r="Y104" s="40">
        <v>9.0993054957387298E-2</v>
      </c>
      <c r="Z104" s="43">
        <v>0.18</v>
      </c>
      <c r="AA104" s="43">
        <v>9.9274752045340003E-2</v>
      </c>
      <c r="AB104" s="43">
        <f t="shared" si="2"/>
        <v>8.072524795465999E-2</v>
      </c>
      <c r="AC104" s="45">
        <v>0.110634462033796</v>
      </c>
      <c r="AD104" s="45">
        <f t="shared" si="3"/>
        <v>6.9365537966203997E-2</v>
      </c>
    </row>
    <row r="105" spans="1:30" ht="15" x14ac:dyDescent="0.2">
      <c r="B105" s="41">
        <v>16</v>
      </c>
      <c r="C105" s="42">
        <v>500</v>
      </c>
      <c r="D105" s="42">
        <v>2</v>
      </c>
      <c r="E105" s="41">
        <v>168</v>
      </c>
      <c r="F105" s="43">
        <v>3.2690000000000001</v>
      </c>
      <c r="G105" s="41">
        <v>25</v>
      </c>
      <c r="H105" s="41">
        <v>33</v>
      </c>
      <c r="I105" s="40">
        <v>250</v>
      </c>
      <c r="J105" s="41">
        <v>333</v>
      </c>
      <c r="K105" s="42">
        <v>400</v>
      </c>
      <c r="L105" s="43">
        <v>26.26</v>
      </c>
      <c r="M105" s="40">
        <v>0.171073176637526</v>
      </c>
      <c r="N105" s="40">
        <v>0.16100502585436599</v>
      </c>
      <c r="O105" s="40">
        <v>0.29734587330235002</v>
      </c>
      <c r="P105" s="40">
        <v>0.157570475445657</v>
      </c>
      <c r="Q105" s="40">
        <v>0.17429705972752901</v>
      </c>
      <c r="R105" s="40">
        <v>0.23929710820147401</v>
      </c>
      <c r="S105" s="48">
        <v>0.21318676482569551</v>
      </c>
      <c r="T105" s="40">
        <v>0.154295967831621</v>
      </c>
      <c r="U105" s="40">
        <v>0.19460028323290501</v>
      </c>
      <c r="V105" s="40">
        <v>0.21377264107091101</v>
      </c>
      <c r="W105" s="40">
        <v>0.163768165851579</v>
      </c>
      <c r="X105" s="40">
        <v>0.134461087396925</v>
      </c>
      <c r="Y105" s="40">
        <v>0.110573338061573</v>
      </c>
      <c r="Z105" s="43">
        <v>0.18</v>
      </c>
      <c r="AA105" s="43">
        <v>0.116178589995917</v>
      </c>
      <c r="AB105" s="43">
        <f t="shared" si="2"/>
        <v>6.3821410004082993E-2</v>
      </c>
      <c r="AC105" s="45">
        <v>0.14377344806676701</v>
      </c>
      <c r="AD105" s="45">
        <f t="shared" si="3"/>
        <v>3.6226551933232987E-2</v>
      </c>
    </row>
    <row r="106" spans="1:30" ht="15" x14ac:dyDescent="0.2">
      <c r="B106" s="41">
        <v>16</v>
      </c>
      <c r="C106" s="42">
        <v>500</v>
      </c>
      <c r="D106" s="42">
        <v>2</v>
      </c>
      <c r="E106" s="41">
        <v>168</v>
      </c>
      <c r="F106" s="43">
        <v>3.2690000000000001</v>
      </c>
      <c r="G106" s="41">
        <v>25</v>
      </c>
      <c r="H106" s="41">
        <v>33</v>
      </c>
      <c r="I106" s="40">
        <v>250</v>
      </c>
      <c r="J106" s="41">
        <v>333</v>
      </c>
      <c r="K106" s="42">
        <v>400</v>
      </c>
      <c r="L106" s="43">
        <v>29.175000000000001</v>
      </c>
      <c r="M106" s="40">
        <v>0.207990548934748</v>
      </c>
      <c r="N106" s="40">
        <v>0.17887744209067599</v>
      </c>
      <c r="O106" s="40">
        <v>0.330352850479667</v>
      </c>
      <c r="P106" s="40">
        <v>0.194494413431132</v>
      </c>
      <c r="Q106" s="40">
        <v>0.202750105065333</v>
      </c>
      <c r="R106" s="40">
        <v>0.26586036297707599</v>
      </c>
      <c r="S106" s="48">
        <v>0.2416261144189451</v>
      </c>
      <c r="T106" s="40">
        <v>0.17381156569452</v>
      </c>
      <c r="U106" s="40">
        <v>0.216201952144707</v>
      </c>
      <c r="V106" s="40">
        <v>0.24074542196424201</v>
      </c>
      <c r="W106" s="40">
        <v>0.20635674960082601</v>
      </c>
      <c r="X106" s="40">
        <v>0.17168202493194701</v>
      </c>
      <c r="Y106" s="40">
        <v>0.14506549518116399</v>
      </c>
      <c r="Z106" s="43">
        <v>0.25</v>
      </c>
      <c r="AA106" s="43">
        <v>0.14717536615403201</v>
      </c>
      <c r="AB106" s="43">
        <f t="shared" si="2"/>
        <v>0.10282463384596799</v>
      </c>
      <c r="AC106" s="45">
        <v>0.18990028944419701</v>
      </c>
      <c r="AD106" s="45">
        <f t="shared" si="3"/>
        <v>6.0099710555802988E-2</v>
      </c>
    </row>
    <row r="107" spans="1:30" ht="15" x14ac:dyDescent="0.2">
      <c r="B107" s="41">
        <v>16</v>
      </c>
      <c r="C107" s="42">
        <v>500</v>
      </c>
      <c r="D107" s="42">
        <v>2</v>
      </c>
      <c r="E107" s="41">
        <v>168</v>
      </c>
      <c r="F107" s="43">
        <v>3.2690000000000001</v>
      </c>
      <c r="G107" s="41">
        <v>25</v>
      </c>
      <c r="H107" s="41">
        <v>33</v>
      </c>
      <c r="I107" s="40">
        <v>250</v>
      </c>
      <c r="J107" s="41">
        <v>333</v>
      </c>
      <c r="K107" s="42">
        <v>400</v>
      </c>
      <c r="L107" s="43">
        <v>32.090000000000003</v>
      </c>
      <c r="M107" s="40">
        <v>0.244907921231971</v>
      </c>
      <c r="N107" s="40">
        <v>0.19760779435522899</v>
      </c>
      <c r="O107" s="40">
        <v>0.36335982765698399</v>
      </c>
      <c r="P107" s="40">
        <v>0.23530157606629101</v>
      </c>
      <c r="Q107" s="40">
        <v>0.23120315040313799</v>
      </c>
      <c r="R107" s="40">
        <v>0.292423617752677</v>
      </c>
      <c r="S107" s="48">
        <v>0.27006546401219472</v>
      </c>
      <c r="T107" s="40">
        <v>0.193327163557419</v>
      </c>
      <c r="U107" s="40">
        <v>0.23780362105650901</v>
      </c>
      <c r="V107" s="40">
        <v>0.26824487680377601</v>
      </c>
      <c r="W107" s="40">
        <v>0.24778164092129101</v>
      </c>
      <c r="X107" s="40">
        <v>0.20947007070116999</v>
      </c>
      <c r="Y107" s="40">
        <v>0.18038046539104599</v>
      </c>
      <c r="Z107" s="43">
        <v>0.28000000000000003</v>
      </c>
      <c r="AA107" s="43">
        <v>0.17817214231214801</v>
      </c>
      <c r="AB107" s="43">
        <f t="shared" si="2"/>
        <v>0.10182785768785202</v>
      </c>
      <c r="AC107" s="45">
        <v>0.23602713082162699</v>
      </c>
      <c r="AD107" s="45">
        <f t="shared" si="3"/>
        <v>4.3972869178373036E-2</v>
      </c>
    </row>
    <row r="108" spans="1:30" ht="15" x14ac:dyDescent="0.2">
      <c r="B108" s="41">
        <v>16</v>
      </c>
      <c r="C108" s="42">
        <v>500</v>
      </c>
      <c r="D108" s="42">
        <v>2</v>
      </c>
      <c r="E108" s="41">
        <v>168</v>
      </c>
      <c r="F108" s="43">
        <v>3.2690000000000001</v>
      </c>
      <c r="G108" s="41">
        <v>25</v>
      </c>
      <c r="H108" s="41">
        <v>33</v>
      </c>
      <c r="I108" s="40">
        <v>250</v>
      </c>
      <c r="J108" s="41">
        <v>333</v>
      </c>
      <c r="K108" s="42">
        <v>400</v>
      </c>
      <c r="L108" s="43">
        <v>35.01</v>
      </c>
      <c r="M108" s="40">
        <v>0.28188861663776499</v>
      </c>
      <c r="N108" s="40">
        <v>0.22744624799160601</v>
      </c>
      <c r="O108" s="40">
        <v>0.39642342057559998</v>
      </c>
      <c r="P108" s="40">
        <v>0.28007195534083001</v>
      </c>
      <c r="Q108" s="40">
        <v>0.25970500027839999</v>
      </c>
      <c r="R108" s="40">
        <v>0.319032435572491</v>
      </c>
      <c r="S108" s="48">
        <v>0.2985535946510588</v>
      </c>
      <c r="T108" s="40">
        <v>0.21287623585918999</v>
      </c>
      <c r="U108" s="40">
        <v>0.25944234257364901</v>
      </c>
      <c r="V108" s="40">
        <v>0.29621109654667399</v>
      </c>
      <c r="W108" s="40">
        <v>0.28822808346578699</v>
      </c>
      <c r="X108" s="40">
        <v>0.24789150119600201</v>
      </c>
      <c r="Y108" s="40">
        <v>0.21658094147941401</v>
      </c>
      <c r="Z108" s="43">
        <v>0.33</v>
      </c>
      <c r="AA108" s="43">
        <v>0.20922208618237001</v>
      </c>
      <c r="AB108" s="43">
        <f t="shared" si="2"/>
        <v>0.12077791381763001</v>
      </c>
      <c r="AC108" s="45">
        <v>0.28223309199558799</v>
      </c>
      <c r="AD108" s="45">
        <f t="shared" si="3"/>
        <v>4.7766908004412023E-2</v>
      </c>
    </row>
    <row r="109" spans="1:30" ht="15" x14ac:dyDescent="0.2">
      <c r="B109" s="41">
        <v>16</v>
      </c>
      <c r="C109" s="42">
        <v>500</v>
      </c>
      <c r="D109" s="42">
        <v>2</v>
      </c>
      <c r="E109" s="41">
        <v>168</v>
      </c>
      <c r="F109" s="43">
        <v>3.2690000000000001</v>
      </c>
      <c r="G109" s="41">
        <v>25</v>
      </c>
      <c r="H109" s="41">
        <v>33</v>
      </c>
      <c r="I109" s="40">
        <v>250</v>
      </c>
      <c r="J109" s="41">
        <v>333</v>
      </c>
      <c r="K109" s="42">
        <v>400</v>
      </c>
      <c r="L109" s="43">
        <v>37.93</v>
      </c>
      <c r="M109" s="40">
        <v>0.31886931204355901</v>
      </c>
      <c r="N109" s="40">
        <v>0.257284701627982</v>
      </c>
      <c r="O109" s="40">
        <v>0.42948701349421597</v>
      </c>
      <c r="P109" s="40">
        <v>0.32873889221541702</v>
      </c>
      <c r="Q109" s="40">
        <v>0.28820685015366199</v>
      </c>
      <c r="R109" s="40">
        <v>0.345641253392304</v>
      </c>
      <c r="S109" s="48">
        <v>0.32704172528992292</v>
      </c>
      <c r="T109" s="40">
        <v>0.23242530816096199</v>
      </c>
      <c r="U109" s="40">
        <v>0.28108106409078798</v>
      </c>
      <c r="V109" s="40">
        <v>0.324517798744556</v>
      </c>
      <c r="W109" s="40">
        <v>0.32772968510924699</v>
      </c>
      <c r="X109" s="40">
        <v>0.286881987076337</v>
      </c>
      <c r="Y109" s="40">
        <v>0.253607055765319</v>
      </c>
      <c r="Z109" s="43">
        <v>0.38</v>
      </c>
      <c r="AA109" s="43">
        <v>0.24027203005259201</v>
      </c>
      <c r="AB109" s="43">
        <f t="shared" si="2"/>
        <v>0.13972796994740799</v>
      </c>
      <c r="AC109" s="45">
        <v>0.32843905316954902</v>
      </c>
      <c r="AD109" s="45">
        <f t="shared" si="3"/>
        <v>5.1560946830450982E-2</v>
      </c>
    </row>
    <row r="110" spans="1:30" ht="15" x14ac:dyDescent="0.2">
      <c r="B110" s="41">
        <v>16</v>
      </c>
      <c r="C110" s="42">
        <v>500</v>
      </c>
      <c r="D110" s="42">
        <v>2</v>
      </c>
      <c r="E110" s="41">
        <v>168</v>
      </c>
      <c r="F110" s="43">
        <v>3.2690000000000001</v>
      </c>
      <c r="G110" s="41">
        <v>25</v>
      </c>
      <c r="H110" s="41">
        <v>33</v>
      </c>
      <c r="I110" s="40">
        <v>250</v>
      </c>
      <c r="J110" s="41">
        <v>333</v>
      </c>
      <c r="K110" s="42">
        <v>400</v>
      </c>
      <c r="L110" s="43">
        <v>40.840000000000003</v>
      </c>
      <c r="M110" s="40">
        <v>0.35572336123220999</v>
      </c>
      <c r="N110" s="40">
        <v>0.287020968779303</v>
      </c>
      <c r="O110" s="40">
        <v>0.46243737493023401</v>
      </c>
      <c r="P110" s="40">
        <v>0.38111572538496102</v>
      </c>
      <c r="Q110" s="40">
        <v>0.31661109095400902</v>
      </c>
      <c r="R110" s="40">
        <v>0.37215894512369402</v>
      </c>
      <c r="S110" s="48">
        <v>0.35543229383755803</v>
      </c>
      <c r="T110" s="40">
        <v>0.25190743158498802</v>
      </c>
      <c r="U110" s="40">
        <v>0.30264568039725298</v>
      </c>
      <c r="V110" s="40">
        <v>0.35300690649432698</v>
      </c>
      <c r="W110" s="40">
        <v>0.36625043346120201</v>
      </c>
      <c r="X110" s="40">
        <v>0.32630507938824299</v>
      </c>
      <c r="Y110" s="40">
        <v>0.29132777003705501</v>
      </c>
      <c r="Z110" s="43">
        <v>0.43</v>
      </c>
      <c r="AA110" s="43">
        <v>0.27121563849860097</v>
      </c>
      <c r="AB110" s="43">
        <f t="shared" si="2"/>
        <v>0.15878436150139902</v>
      </c>
      <c r="AC110" s="45">
        <v>0.374486774750448</v>
      </c>
      <c r="AD110" s="45">
        <f t="shared" si="3"/>
        <v>5.551322524955199E-2</v>
      </c>
    </row>
    <row r="111" spans="1:30" ht="15" x14ac:dyDescent="0.2">
      <c r="A111" s="40" t="s">
        <v>46</v>
      </c>
      <c r="B111" s="41">
        <v>16</v>
      </c>
      <c r="C111" s="42">
        <v>500</v>
      </c>
      <c r="D111" s="42">
        <v>3</v>
      </c>
      <c r="E111" s="41">
        <v>76</v>
      </c>
      <c r="F111" s="43">
        <v>3.2690000000000001</v>
      </c>
      <c r="G111" s="41">
        <v>25</v>
      </c>
      <c r="H111" s="41">
        <v>33</v>
      </c>
      <c r="I111" s="40">
        <v>250</v>
      </c>
      <c r="J111" s="41">
        <v>333</v>
      </c>
      <c r="K111" s="42">
        <v>600</v>
      </c>
      <c r="L111" s="43">
        <v>37.93</v>
      </c>
      <c r="M111" s="40">
        <v>0.15310623544979499</v>
      </c>
      <c r="N111" s="40">
        <v>0.13497830291539201</v>
      </c>
      <c r="O111" s="40">
        <v>0.19624775636841499</v>
      </c>
      <c r="P111" s="40">
        <v>0.15248177687827699</v>
      </c>
      <c r="Q111" s="40">
        <v>0.130124961148568</v>
      </c>
      <c r="R111" s="40">
        <v>0.18003138663794299</v>
      </c>
      <c r="S111" s="48">
        <v>0.18087349076612638</v>
      </c>
      <c r="T111" s="40">
        <v>0.15297784176427001</v>
      </c>
      <c r="U111" s="40">
        <v>0.16782701616822199</v>
      </c>
      <c r="V111" s="40">
        <v>0.182495294299266</v>
      </c>
      <c r="W111" s="40">
        <v>0.15098726824286801</v>
      </c>
      <c r="X111" s="40">
        <v>0.146973606180786</v>
      </c>
      <c r="Y111" s="40">
        <v>0.125101939762885</v>
      </c>
      <c r="Z111" s="43">
        <v>0.15</v>
      </c>
      <c r="AA111" s="43">
        <v>0.12226734357024099</v>
      </c>
      <c r="AB111" s="43">
        <f t="shared" si="2"/>
        <v>2.7732656429759001E-2</v>
      </c>
      <c r="AC111" s="45">
        <v>0.137972481933548</v>
      </c>
      <c r="AD111" s="45">
        <f t="shared" si="3"/>
        <v>1.2027518066451998E-2</v>
      </c>
    </row>
    <row r="112" spans="1:30" ht="15" x14ac:dyDescent="0.2">
      <c r="B112" s="41">
        <v>16</v>
      </c>
      <c r="C112" s="42">
        <v>500</v>
      </c>
      <c r="D112" s="42">
        <v>3</v>
      </c>
      <c r="E112" s="41">
        <v>76</v>
      </c>
      <c r="F112" s="43">
        <v>3.2690000000000001</v>
      </c>
      <c r="G112" s="41">
        <v>25</v>
      </c>
      <c r="H112" s="41">
        <v>33</v>
      </c>
      <c r="I112" s="40">
        <v>250</v>
      </c>
      <c r="J112" s="41">
        <v>333</v>
      </c>
      <c r="K112" s="42">
        <v>600</v>
      </c>
      <c r="L112" s="43">
        <v>40.840000000000003</v>
      </c>
      <c r="M112" s="40">
        <v>0.17116484293996001</v>
      </c>
      <c r="N112" s="40">
        <v>0.15089875308436701</v>
      </c>
      <c r="O112" s="40">
        <v>0.21130393804603401</v>
      </c>
      <c r="P112" s="40">
        <v>0.17677617215085001</v>
      </c>
      <c r="Q112" s="40">
        <v>0.142962267348999</v>
      </c>
      <c r="R112" s="40">
        <v>0.19384344398348499</v>
      </c>
      <c r="S112" s="48">
        <v>0.19762161385288404</v>
      </c>
      <c r="T112" s="40">
        <v>0.16617247605076299</v>
      </c>
      <c r="U112" s="40">
        <v>0.180702750865019</v>
      </c>
      <c r="V112" s="40">
        <v>0.198056073163803</v>
      </c>
      <c r="W112" s="40">
        <v>0.17346475690952301</v>
      </c>
      <c r="X112" s="40">
        <v>0.16883493162996199</v>
      </c>
      <c r="Y112" s="40">
        <v>0.145440348258667</v>
      </c>
      <c r="Z112" s="43">
        <v>0.18</v>
      </c>
      <c r="AA112" s="43">
        <v>0.139582863940406</v>
      </c>
      <c r="AB112" s="43">
        <f t="shared" si="2"/>
        <v>4.0417136059593989E-2</v>
      </c>
      <c r="AC112" s="45">
        <v>0.16178299565650001</v>
      </c>
      <c r="AD112" s="45">
        <f t="shared" si="3"/>
        <v>1.8217004343499987E-2</v>
      </c>
    </row>
    <row r="113" spans="1:30" ht="15" x14ac:dyDescent="0.2">
      <c r="B113" s="41">
        <v>16</v>
      </c>
      <c r="C113" s="42">
        <v>500</v>
      </c>
      <c r="D113" s="42">
        <v>3</v>
      </c>
      <c r="E113" s="41">
        <v>76</v>
      </c>
      <c r="F113" s="43">
        <v>3.2690000000000001</v>
      </c>
      <c r="G113" s="41">
        <v>25</v>
      </c>
      <c r="H113" s="41">
        <v>33</v>
      </c>
      <c r="I113" s="40">
        <v>250</v>
      </c>
      <c r="J113" s="41">
        <v>333</v>
      </c>
      <c r="K113" s="42">
        <v>600</v>
      </c>
      <c r="L113" s="43">
        <v>43.76</v>
      </c>
      <c r="M113" s="40">
        <v>0.18928550750053899</v>
      </c>
      <c r="N113" s="40">
        <v>0.16687391270409399</v>
      </c>
      <c r="O113" s="40">
        <v>0.22641185917959</v>
      </c>
      <c r="P113" s="40">
        <v>0.20295833219562001</v>
      </c>
      <c r="Q113" s="40">
        <v>0.155843688003726</v>
      </c>
      <c r="R113" s="40">
        <v>0.20770296544361699</v>
      </c>
      <c r="S113" s="48">
        <v>0.21442729062722496</v>
      </c>
      <c r="T113" s="40">
        <v>0.17941245272312001</v>
      </c>
      <c r="U113" s="40">
        <v>0.19362273207280201</v>
      </c>
      <c r="V113" s="40">
        <v>0.21383798086854899</v>
      </c>
      <c r="W113" s="40">
        <v>0.195661015918076</v>
      </c>
      <c r="X113" s="40">
        <v>0.19103246226269699</v>
      </c>
      <c r="Y113" s="40">
        <v>0.16625050388816601</v>
      </c>
      <c r="Z113" s="43">
        <v>0.18</v>
      </c>
      <c r="AA113" s="43">
        <v>0.15695788781699799</v>
      </c>
      <c r="AB113" s="43">
        <f t="shared" si="2"/>
        <v>2.3042112183002006E-2</v>
      </c>
      <c r="AC113" s="45">
        <v>0.185675332450664</v>
      </c>
      <c r="AD113" s="45">
        <f t="shared" si="3"/>
        <v>-5.6753324506640113E-3</v>
      </c>
    </row>
    <row r="114" spans="1:30" ht="15" x14ac:dyDescent="0.2">
      <c r="B114" s="41">
        <v>16</v>
      </c>
      <c r="C114" s="42">
        <v>500</v>
      </c>
      <c r="D114" s="42">
        <v>3</v>
      </c>
      <c r="E114" s="41">
        <v>76</v>
      </c>
      <c r="F114" s="43">
        <v>3.2690000000000001</v>
      </c>
      <c r="G114" s="41">
        <v>25</v>
      </c>
      <c r="H114" s="41">
        <v>33</v>
      </c>
      <c r="I114" s="40">
        <v>250</v>
      </c>
      <c r="J114" s="41">
        <v>333</v>
      </c>
      <c r="K114" s="42">
        <v>600</v>
      </c>
      <c r="L114" s="43">
        <v>46.68</v>
      </c>
      <c r="M114" s="40">
        <v>0.207406172061117</v>
      </c>
      <c r="N114" s="40">
        <v>0.182849072323821</v>
      </c>
      <c r="O114" s="40">
        <v>0.241519780313146</v>
      </c>
      <c r="P114" s="40">
        <v>0.23094786593615199</v>
      </c>
      <c r="Q114" s="40">
        <v>0.168725108658454</v>
      </c>
      <c r="R114" s="40">
        <v>0.221562486903748</v>
      </c>
      <c r="S114" s="48">
        <v>0.23123296740156588</v>
      </c>
      <c r="T114" s="40">
        <v>0.192652429395477</v>
      </c>
      <c r="U114" s="40">
        <v>0.20654271328058499</v>
      </c>
      <c r="V114" s="40">
        <v>0.22976214666883599</v>
      </c>
      <c r="W114" s="40">
        <v>0.217523053178486</v>
      </c>
      <c r="X114" s="40">
        <v>0.21349152107149</v>
      </c>
      <c r="Y114" s="40">
        <v>0.187463204502612</v>
      </c>
      <c r="Z114" s="43">
        <v>0.2</v>
      </c>
      <c r="AA114" s="43">
        <v>0.17433291169359</v>
      </c>
      <c r="AB114" s="43">
        <f t="shared" si="2"/>
        <v>2.5667088306410013E-2</v>
      </c>
      <c r="AC114" s="45">
        <v>0.209567669244829</v>
      </c>
      <c r="AD114" s="45">
        <f t="shared" si="3"/>
        <v>-9.5676692448289913E-3</v>
      </c>
    </row>
    <row r="115" spans="1:30" ht="15" x14ac:dyDescent="0.2">
      <c r="B115" s="41">
        <v>16</v>
      </c>
      <c r="C115" s="42">
        <v>500</v>
      </c>
      <c r="D115" s="42">
        <v>3</v>
      </c>
      <c r="E115" s="41">
        <v>76</v>
      </c>
      <c r="F115" s="43">
        <v>3.2690000000000001</v>
      </c>
      <c r="G115" s="41">
        <v>25</v>
      </c>
      <c r="H115" s="41">
        <v>33</v>
      </c>
      <c r="I115" s="40">
        <v>250</v>
      </c>
      <c r="J115" s="41">
        <v>333</v>
      </c>
      <c r="K115" s="42">
        <v>600</v>
      </c>
      <c r="L115" s="43">
        <v>49.6</v>
      </c>
      <c r="M115" s="40">
        <v>0.22552683662169501</v>
      </c>
      <c r="N115" s="40">
        <v>0.19882423194354801</v>
      </c>
      <c r="O115" s="40">
        <v>0.25662770144670199</v>
      </c>
      <c r="P115" s="40">
        <v>0.260744773372447</v>
      </c>
      <c r="Q115" s="40">
        <v>0.181606529313181</v>
      </c>
      <c r="R115" s="40">
        <v>0.23542200836388</v>
      </c>
      <c r="S115" s="48">
        <v>0.24803864417590696</v>
      </c>
      <c r="T115" s="40">
        <v>0.20589240606783399</v>
      </c>
      <c r="U115" s="40">
        <v>0.219462694488368</v>
      </c>
      <c r="V115" s="40">
        <v>0.24580809599432701</v>
      </c>
      <c r="W115" s="40">
        <v>0.23907403789405199</v>
      </c>
      <c r="X115" s="40">
        <v>0.23621210805633899</v>
      </c>
      <c r="Y115" s="40">
        <v>0.20907845010200299</v>
      </c>
      <c r="Z115" s="43">
        <v>0.2</v>
      </c>
      <c r="AA115" s="43">
        <v>0.19170793557018101</v>
      </c>
      <c r="AB115" s="43">
        <f t="shared" si="2"/>
        <v>8.2920644298190016E-3</v>
      </c>
      <c r="AC115" s="45">
        <v>0.233460006038994</v>
      </c>
      <c r="AD115" s="45">
        <f t="shared" si="3"/>
        <v>-3.3460006038993989E-2</v>
      </c>
    </row>
    <row r="116" spans="1:30" ht="15" x14ac:dyDescent="0.2">
      <c r="A116" s="40" t="s">
        <v>47</v>
      </c>
      <c r="B116" s="41">
        <v>16</v>
      </c>
      <c r="C116" s="42">
        <v>500</v>
      </c>
      <c r="D116" s="42">
        <v>3</v>
      </c>
      <c r="E116" s="41">
        <v>76</v>
      </c>
      <c r="F116" s="43">
        <v>3.2690000000000001</v>
      </c>
      <c r="G116" s="41">
        <v>25</v>
      </c>
      <c r="H116" s="41">
        <v>33</v>
      </c>
      <c r="I116" s="40">
        <v>250</v>
      </c>
      <c r="J116" s="41">
        <v>333</v>
      </c>
      <c r="K116" s="42">
        <v>600</v>
      </c>
      <c r="L116" s="43">
        <v>40.840000000000003</v>
      </c>
      <c r="M116" s="40">
        <v>0.17116484293996001</v>
      </c>
      <c r="N116" s="40">
        <v>0.15089875308436701</v>
      </c>
      <c r="O116" s="40">
        <v>0.21130393804603401</v>
      </c>
      <c r="P116" s="40">
        <v>0.17677617215085001</v>
      </c>
      <c r="Q116" s="40">
        <v>0.142962267348999</v>
      </c>
      <c r="R116" s="40">
        <v>0.19384344398348499</v>
      </c>
      <c r="S116" s="48">
        <v>0.19762161385288404</v>
      </c>
      <c r="T116" s="40">
        <v>0.16617247605076299</v>
      </c>
      <c r="U116" s="40">
        <v>0.180702750865019</v>
      </c>
      <c r="V116" s="40">
        <v>0.198056073163803</v>
      </c>
      <c r="W116" s="40">
        <v>0.17346475690952301</v>
      </c>
      <c r="X116" s="40">
        <v>0.16883493162996199</v>
      </c>
      <c r="Y116" s="40">
        <v>0.145440348258667</v>
      </c>
      <c r="Z116" s="43">
        <v>0.15</v>
      </c>
      <c r="AA116" s="43">
        <v>0.139582863940406</v>
      </c>
      <c r="AB116" s="43">
        <f t="shared" si="2"/>
        <v>1.041713605959399E-2</v>
      </c>
      <c r="AC116" s="45">
        <v>0.16178299565650001</v>
      </c>
      <c r="AD116" s="45">
        <f t="shared" si="3"/>
        <v>-1.1782995656500012E-2</v>
      </c>
    </row>
    <row r="117" spans="1:30" ht="15" x14ac:dyDescent="0.2">
      <c r="B117" s="41">
        <v>16</v>
      </c>
      <c r="C117" s="42">
        <v>500</v>
      </c>
      <c r="D117" s="42">
        <v>3</v>
      </c>
      <c r="E117" s="41">
        <v>76</v>
      </c>
      <c r="F117" s="43">
        <v>3.2690000000000001</v>
      </c>
      <c r="G117" s="41">
        <v>25</v>
      </c>
      <c r="H117" s="41">
        <v>33</v>
      </c>
      <c r="I117" s="40">
        <v>250</v>
      </c>
      <c r="J117" s="41">
        <v>333</v>
      </c>
      <c r="K117" s="42">
        <v>600</v>
      </c>
      <c r="L117" s="43">
        <v>43.76</v>
      </c>
      <c r="M117" s="40">
        <v>0.18928550750053899</v>
      </c>
      <c r="N117" s="40">
        <v>0.16687391270409399</v>
      </c>
      <c r="O117" s="40">
        <v>0.22641185917959</v>
      </c>
      <c r="P117" s="40">
        <v>0.20295833219562001</v>
      </c>
      <c r="Q117" s="40">
        <v>0.155843688003726</v>
      </c>
      <c r="R117" s="40">
        <v>0.20770296544361699</v>
      </c>
      <c r="S117" s="48">
        <v>0.21442729062722496</v>
      </c>
      <c r="T117" s="40">
        <v>0.17941245272312001</v>
      </c>
      <c r="U117" s="40">
        <v>0.19362273207280201</v>
      </c>
      <c r="V117" s="40">
        <v>0.21383798086854899</v>
      </c>
      <c r="W117" s="40">
        <v>0.195661015918076</v>
      </c>
      <c r="X117" s="40">
        <v>0.19103246226269699</v>
      </c>
      <c r="Y117" s="40">
        <v>0.16625050388816601</v>
      </c>
      <c r="Z117" s="43">
        <v>0.18</v>
      </c>
      <c r="AA117" s="43">
        <v>0.15695788781699799</v>
      </c>
      <c r="AB117" s="43">
        <f t="shared" si="2"/>
        <v>2.3042112183002006E-2</v>
      </c>
      <c r="AC117" s="45">
        <v>0.185675332450664</v>
      </c>
      <c r="AD117" s="45">
        <f t="shared" si="3"/>
        <v>-5.6753324506640113E-3</v>
      </c>
    </row>
    <row r="118" spans="1:30" ht="15" x14ac:dyDescent="0.2">
      <c r="B118" s="41">
        <v>16</v>
      </c>
      <c r="C118" s="42">
        <v>500</v>
      </c>
      <c r="D118" s="42">
        <v>3</v>
      </c>
      <c r="E118" s="41">
        <v>76</v>
      </c>
      <c r="F118" s="43">
        <v>3.2690000000000001</v>
      </c>
      <c r="G118" s="41">
        <v>25</v>
      </c>
      <c r="H118" s="41">
        <v>33</v>
      </c>
      <c r="I118" s="40">
        <v>250</v>
      </c>
      <c r="J118" s="41">
        <v>333</v>
      </c>
      <c r="K118" s="42">
        <v>600</v>
      </c>
      <c r="L118" s="43">
        <v>46.68</v>
      </c>
      <c r="M118" s="40">
        <v>0.207406172061117</v>
      </c>
      <c r="N118" s="40">
        <v>0.182849072323821</v>
      </c>
      <c r="O118" s="40">
        <v>0.241519780313146</v>
      </c>
      <c r="P118" s="40">
        <v>0.23094786593615199</v>
      </c>
      <c r="Q118" s="40">
        <v>0.168725108658454</v>
      </c>
      <c r="R118" s="40">
        <v>0.221562486903748</v>
      </c>
      <c r="S118" s="48">
        <v>0.23123296740156588</v>
      </c>
      <c r="T118" s="40">
        <v>0.192652429395477</v>
      </c>
      <c r="U118" s="40">
        <v>0.20654271328058499</v>
      </c>
      <c r="V118" s="40">
        <v>0.22976214666883599</v>
      </c>
      <c r="W118" s="40">
        <v>0.217523053178486</v>
      </c>
      <c r="X118" s="40">
        <v>0.21349152107149</v>
      </c>
      <c r="Y118" s="40">
        <v>0.187463204502612</v>
      </c>
      <c r="Z118" s="43">
        <v>0.2</v>
      </c>
      <c r="AA118" s="43">
        <v>0.17433291169359</v>
      </c>
      <c r="AB118" s="43">
        <f t="shared" si="2"/>
        <v>2.5667088306410013E-2</v>
      </c>
      <c r="AC118" s="45">
        <v>0.209567669244829</v>
      </c>
      <c r="AD118" s="45">
        <f t="shared" si="3"/>
        <v>-9.5676692448289913E-3</v>
      </c>
    </row>
    <row r="119" spans="1:30" ht="15" x14ac:dyDescent="0.2">
      <c r="B119" s="41">
        <v>16</v>
      </c>
      <c r="C119" s="42">
        <v>500</v>
      </c>
      <c r="D119" s="42">
        <v>3</v>
      </c>
      <c r="E119" s="41">
        <v>76</v>
      </c>
      <c r="F119" s="43">
        <v>3.2690000000000001</v>
      </c>
      <c r="G119" s="41">
        <v>25</v>
      </c>
      <c r="H119" s="41">
        <v>33</v>
      </c>
      <c r="I119" s="40">
        <v>250</v>
      </c>
      <c r="J119" s="41">
        <v>333</v>
      </c>
      <c r="K119" s="42">
        <v>600</v>
      </c>
      <c r="L119" s="43">
        <v>49.6</v>
      </c>
      <c r="M119" s="40">
        <v>0.22552683662169501</v>
      </c>
      <c r="N119" s="40">
        <v>0.19882423194354801</v>
      </c>
      <c r="O119" s="40">
        <v>0.25662770144670199</v>
      </c>
      <c r="P119" s="40">
        <v>0.260744773372447</v>
      </c>
      <c r="Q119" s="40">
        <v>0.181606529313181</v>
      </c>
      <c r="R119" s="40">
        <v>0.23542200836388</v>
      </c>
      <c r="S119" s="48">
        <v>0.24803864417590696</v>
      </c>
      <c r="T119" s="40">
        <v>0.20589240606783399</v>
      </c>
      <c r="U119" s="40">
        <v>0.219462694488368</v>
      </c>
      <c r="V119" s="40">
        <v>0.24580809599432701</v>
      </c>
      <c r="W119" s="40">
        <v>0.23907403789405199</v>
      </c>
      <c r="X119" s="40">
        <v>0.23621210805633899</v>
      </c>
      <c r="Y119" s="40">
        <v>0.20907845010200299</v>
      </c>
      <c r="Z119" s="43">
        <v>0.2</v>
      </c>
      <c r="AA119" s="43">
        <v>0.19170793557018101</v>
      </c>
      <c r="AB119" s="43">
        <f t="shared" si="2"/>
        <v>8.2920644298190016E-3</v>
      </c>
      <c r="AC119" s="45">
        <v>0.233460006038994</v>
      </c>
      <c r="AD119" s="45">
        <f t="shared" si="3"/>
        <v>-3.3460006038993989E-2</v>
      </c>
    </row>
    <row r="120" spans="1:30" ht="15" x14ac:dyDescent="0.2">
      <c r="A120" s="40" t="s">
        <v>48</v>
      </c>
      <c r="B120" s="41">
        <v>12</v>
      </c>
      <c r="C120" s="42">
        <v>500</v>
      </c>
      <c r="D120" s="42">
        <v>2</v>
      </c>
      <c r="E120" s="41">
        <v>296</v>
      </c>
      <c r="F120" s="43">
        <v>3.2690000000000001</v>
      </c>
      <c r="G120" s="41">
        <v>25</v>
      </c>
      <c r="H120" s="41">
        <v>31</v>
      </c>
      <c r="I120" s="40">
        <v>400</v>
      </c>
      <c r="J120" s="41">
        <v>161</v>
      </c>
      <c r="K120" s="42">
        <v>220</v>
      </c>
      <c r="L120" s="43">
        <v>4.67</v>
      </c>
      <c r="M120" s="40">
        <v>7.1690562907372997E-3</v>
      </c>
      <c r="N120" s="40">
        <v>9.0917909338139397E-2</v>
      </c>
      <c r="O120" s="40">
        <v>0.242542063772406</v>
      </c>
      <c r="P120" s="40">
        <v>6.4368016399245206E-2</v>
      </c>
      <c r="Q120" s="40">
        <v>0.178566086192809</v>
      </c>
      <c r="R120" s="40">
        <v>0.30305002755794103</v>
      </c>
      <c r="S120" s="48">
        <v>0.15821091519461075</v>
      </c>
      <c r="T120" s="40">
        <v>8.2839711691510207E-2</v>
      </c>
      <c r="U120" s="40">
        <v>0.18416833175589301</v>
      </c>
      <c r="V120" s="40">
        <v>0.12378021696302</v>
      </c>
      <c r="W120" s="40">
        <v>8.2173599503790898E-2</v>
      </c>
      <c r="X120" s="40">
        <v>7.1607273223569898E-2</v>
      </c>
      <c r="Y120" s="40">
        <v>5.7832552682630198E-2</v>
      </c>
      <c r="Z120" s="43">
        <v>0.2</v>
      </c>
      <c r="AA120" s="43">
        <v>7.2148609668635899E-2</v>
      </c>
      <c r="AB120" s="43">
        <f t="shared" si="2"/>
        <v>0.12785139033136411</v>
      </c>
      <c r="AC120" s="45">
        <v>7.2148609668635899E-2</v>
      </c>
      <c r="AD120" s="45">
        <f t="shared" si="3"/>
        <v>0.12785139033136411</v>
      </c>
    </row>
    <row r="121" spans="1:30" ht="15" x14ac:dyDescent="0.2">
      <c r="B121" s="41">
        <v>12</v>
      </c>
      <c r="C121" s="42">
        <v>500</v>
      </c>
      <c r="D121" s="42">
        <v>2</v>
      </c>
      <c r="E121" s="41">
        <v>296</v>
      </c>
      <c r="F121" s="43">
        <v>3.2690000000000001</v>
      </c>
      <c r="G121" s="41">
        <v>25</v>
      </c>
      <c r="H121" s="41">
        <v>31</v>
      </c>
      <c r="I121" s="40">
        <v>400</v>
      </c>
      <c r="J121" s="41">
        <v>161</v>
      </c>
      <c r="K121" s="42">
        <v>220</v>
      </c>
      <c r="L121" s="43">
        <v>6.42</v>
      </c>
      <c r="M121" s="40">
        <v>0.11192516701366401</v>
      </c>
      <c r="N121" s="40">
        <v>0.124987789711104</v>
      </c>
      <c r="O121" s="40">
        <v>0.33343041743444302</v>
      </c>
      <c r="P121" s="40">
        <v>0.121648405518749</v>
      </c>
      <c r="Q121" s="40">
        <v>0.32422506793901301</v>
      </c>
      <c r="R121" s="40">
        <v>0.416612671717769</v>
      </c>
      <c r="S121" s="48">
        <v>0.23489832403946861</v>
      </c>
      <c r="T121" s="40">
        <v>0.12596340903755299</v>
      </c>
      <c r="U121" s="40">
        <v>0.253182160572342</v>
      </c>
      <c r="V121" s="40">
        <v>0.17554471252304901</v>
      </c>
      <c r="W121" s="40">
        <v>0.14431424849111399</v>
      </c>
      <c r="X121" s="40">
        <v>0.105950221104868</v>
      </c>
      <c r="Y121" s="40">
        <v>8.6441164459186495E-2</v>
      </c>
      <c r="Z121" s="43">
        <v>0.25</v>
      </c>
      <c r="AA121" s="43">
        <v>9.9185026568017601E-2</v>
      </c>
      <c r="AB121" s="43">
        <f t="shared" si="2"/>
        <v>0.15081497343198241</v>
      </c>
      <c r="AC121" s="45">
        <v>0.12649536757740701</v>
      </c>
      <c r="AD121" s="45">
        <f t="shared" si="3"/>
        <v>0.12350463242259299</v>
      </c>
    </row>
    <row r="122" spans="1:30" ht="15" x14ac:dyDescent="0.2">
      <c r="B122" s="41">
        <v>12</v>
      </c>
      <c r="C122" s="42">
        <v>500</v>
      </c>
      <c r="D122" s="42">
        <v>2</v>
      </c>
      <c r="E122" s="41">
        <v>296</v>
      </c>
      <c r="F122" s="43">
        <v>3.2690000000000001</v>
      </c>
      <c r="G122" s="41">
        <v>25</v>
      </c>
      <c r="H122" s="41">
        <v>31</v>
      </c>
      <c r="I122" s="40">
        <v>400</v>
      </c>
      <c r="J122" s="41">
        <v>161</v>
      </c>
      <c r="K122" s="42">
        <v>220</v>
      </c>
      <c r="L122" s="43">
        <v>8.17</v>
      </c>
      <c r="M122" s="40">
        <v>0.21668127773659199</v>
      </c>
      <c r="N122" s="40">
        <v>0.15905767008406799</v>
      </c>
      <c r="O122" s="40">
        <v>0.42431877109647997</v>
      </c>
      <c r="P122" s="40">
        <v>0.197006464784174</v>
      </c>
      <c r="Q122" s="40">
        <v>0.46988404968521702</v>
      </c>
      <c r="R122" s="40">
        <v>0.53017531587759803</v>
      </c>
      <c r="S122" s="48">
        <v>0.31158573288432662</v>
      </c>
      <c r="T122" s="40">
        <v>0.169087106383595</v>
      </c>
      <c r="U122" s="40">
        <v>0.32219598938879002</v>
      </c>
      <c r="V122" s="40">
        <v>0.232689328078165</v>
      </c>
      <c r="W122" s="40">
        <v>0.21602741456763899</v>
      </c>
      <c r="X122" s="40">
        <v>0.145486005898154</v>
      </c>
      <c r="Y122" s="40">
        <v>0.122096151661929</v>
      </c>
      <c r="Z122" s="43">
        <v>0.33</v>
      </c>
      <c r="AA122" s="43">
        <v>0.12948602837324</v>
      </c>
      <c r="AB122" s="43">
        <f t="shared" si="2"/>
        <v>0.20051397162676002</v>
      </c>
      <c r="AC122" s="45">
        <v>0.20676471345255301</v>
      </c>
      <c r="AD122" s="45">
        <f t="shared" si="3"/>
        <v>0.123235286547447</v>
      </c>
    </row>
    <row r="123" spans="1:30" ht="15" x14ac:dyDescent="0.2">
      <c r="A123" s="40" t="s">
        <v>49</v>
      </c>
      <c r="B123" s="41">
        <v>12</v>
      </c>
      <c r="C123" s="42">
        <v>500</v>
      </c>
      <c r="D123" s="42">
        <v>2</v>
      </c>
      <c r="E123" s="41">
        <v>296</v>
      </c>
      <c r="F123" s="43">
        <v>3.2690000000000001</v>
      </c>
      <c r="G123" s="41">
        <v>25</v>
      </c>
      <c r="H123" s="41">
        <v>31</v>
      </c>
      <c r="I123" s="40">
        <v>400</v>
      </c>
      <c r="J123" s="41">
        <v>161</v>
      </c>
      <c r="K123" s="42">
        <v>220</v>
      </c>
      <c r="L123" s="43">
        <v>6.42</v>
      </c>
      <c r="M123" s="40">
        <v>0.11192516701366401</v>
      </c>
      <c r="N123" s="40">
        <v>0.124987789711104</v>
      </c>
      <c r="O123" s="40">
        <v>0.33343041743444302</v>
      </c>
      <c r="P123" s="40">
        <v>0.121648405518749</v>
      </c>
      <c r="Q123" s="40">
        <v>0.32422506793901301</v>
      </c>
      <c r="R123" s="40">
        <v>0.416612671717769</v>
      </c>
      <c r="S123" s="48">
        <v>0.23489832403946861</v>
      </c>
      <c r="T123" s="40">
        <v>0.12596340903755299</v>
      </c>
      <c r="U123" s="40">
        <v>0.253182160572342</v>
      </c>
      <c r="V123" s="40">
        <v>0.17554471252304901</v>
      </c>
      <c r="W123" s="40">
        <v>0.14431424849111399</v>
      </c>
      <c r="X123" s="40">
        <v>0.105950221104868</v>
      </c>
      <c r="Y123" s="40">
        <v>8.6441164459186495E-2</v>
      </c>
      <c r="Z123" s="43">
        <v>0.23</v>
      </c>
      <c r="AA123" s="43">
        <v>9.9185026568017601E-2</v>
      </c>
      <c r="AB123" s="43">
        <f t="shared" si="2"/>
        <v>0.1308149734319824</v>
      </c>
      <c r="AC123" s="45">
        <v>0.12649536757740701</v>
      </c>
      <c r="AD123" s="45">
        <f t="shared" si="3"/>
        <v>0.103504632422593</v>
      </c>
    </row>
    <row r="124" spans="1:30" ht="15" x14ac:dyDescent="0.2">
      <c r="B124" s="41">
        <v>12</v>
      </c>
      <c r="C124" s="42">
        <v>500</v>
      </c>
      <c r="D124" s="42">
        <v>2</v>
      </c>
      <c r="E124" s="41">
        <v>296</v>
      </c>
      <c r="F124" s="43">
        <v>3.2690000000000001</v>
      </c>
      <c r="G124" s="41">
        <v>25</v>
      </c>
      <c r="H124" s="41">
        <v>31</v>
      </c>
      <c r="I124" s="40">
        <v>400</v>
      </c>
      <c r="J124" s="41">
        <v>161</v>
      </c>
      <c r="K124" s="42">
        <v>220</v>
      </c>
      <c r="L124" s="43">
        <v>8.17</v>
      </c>
      <c r="M124" s="40">
        <v>0.21668127773659199</v>
      </c>
      <c r="N124" s="40">
        <v>0.15905767008406799</v>
      </c>
      <c r="O124" s="40">
        <v>0.42431877109647997</v>
      </c>
      <c r="P124" s="40">
        <v>0.197006464784174</v>
      </c>
      <c r="Q124" s="40">
        <v>0.46988404968521702</v>
      </c>
      <c r="R124" s="40">
        <v>0.53017531587759803</v>
      </c>
      <c r="S124" s="48">
        <v>0.31158573288432662</v>
      </c>
      <c r="T124" s="40">
        <v>0.169087106383595</v>
      </c>
      <c r="U124" s="40">
        <v>0.32219598938879002</v>
      </c>
      <c r="V124" s="40">
        <v>0.232689328078165</v>
      </c>
      <c r="W124" s="40">
        <v>0.21602741456763899</v>
      </c>
      <c r="X124" s="40">
        <v>0.145486005898154</v>
      </c>
      <c r="Y124" s="40">
        <v>0.122096151661929</v>
      </c>
      <c r="Z124" s="43">
        <v>0.28000000000000003</v>
      </c>
      <c r="AA124" s="43">
        <v>0.12948602837324</v>
      </c>
      <c r="AB124" s="43">
        <f t="shared" si="2"/>
        <v>0.15051397162676003</v>
      </c>
      <c r="AC124" s="45">
        <v>0.20676471345255301</v>
      </c>
      <c r="AD124" s="45">
        <f t="shared" si="3"/>
        <v>7.3235286547447015E-2</v>
      </c>
    </row>
    <row r="125" spans="1:30" ht="15" x14ac:dyDescent="0.2">
      <c r="A125" s="40" t="s">
        <v>50</v>
      </c>
      <c r="B125" s="41">
        <v>12</v>
      </c>
      <c r="C125" s="42">
        <v>500</v>
      </c>
      <c r="D125" s="42">
        <v>3</v>
      </c>
      <c r="E125" s="41">
        <v>142</v>
      </c>
      <c r="F125" s="43">
        <v>3.2690000000000001</v>
      </c>
      <c r="G125" s="41">
        <v>25</v>
      </c>
      <c r="H125" s="41">
        <v>31</v>
      </c>
      <c r="I125" s="40">
        <v>400</v>
      </c>
      <c r="J125" s="41">
        <v>161</v>
      </c>
      <c r="K125" s="42">
        <v>330</v>
      </c>
      <c r="L125" s="43">
        <v>8.17</v>
      </c>
      <c r="M125" s="40">
        <v>0.103474462444596</v>
      </c>
      <c r="N125" s="40">
        <v>0.118672555494497</v>
      </c>
      <c r="O125" s="40">
        <v>0.262937479003861</v>
      </c>
      <c r="P125" s="40">
        <v>9.1097171658443707E-2</v>
      </c>
      <c r="Q125" s="40">
        <v>0.211976391111864</v>
      </c>
      <c r="R125" s="40">
        <v>0.27575608799549101</v>
      </c>
      <c r="S125" s="48">
        <v>0.17362254187749063</v>
      </c>
      <c r="T125" s="40">
        <v>0.11051741448501699</v>
      </c>
      <c r="U125" s="40">
        <v>0.1931039369558</v>
      </c>
      <c r="V125" s="40">
        <v>0.14939845211862701</v>
      </c>
      <c r="W125" s="40">
        <v>0.112408507985114</v>
      </c>
      <c r="X125" s="40">
        <v>8.8959187799522901E-2</v>
      </c>
      <c r="Y125" s="40">
        <v>7.2132238693379605E-2</v>
      </c>
      <c r="Z125" s="43">
        <v>0.18</v>
      </c>
      <c r="AA125" s="43">
        <v>8.6147565717616198E-2</v>
      </c>
      <c r="AB125" s="43">
        <f t="shared" si="2"/>
        <v>9.3852434282383795E-2</v>
      </c>
      <c r="AC125" s="45">
        <v>9.4650621461280005E-2</v>
      </c>
      <c r="AD125" s="45">
        <f t="shared" si="3"/>
        <v>8.5349378538719989E-2</v>
      </c>
    </row>
    <row r="126" spans="1:30" ht="15" x14ac:dyDescent="0.2">
      <c r="B126" s="41">
        <v>12</v>
      </c>
      <c r="C126" s="42">
        <v>500</v>
      </c>
      <c r="D126" s="42">
        <v>3</v>
      </c>
      <c r="E126" s="41">
        <v>142</v>
      </c>
      <c r="F126" s="43">
        <v>3.2690000000000001</v>
      </c>
      <c r="G126" s="41">
        <v>25</v>
      </c>
      <c r="H126" s="41">
        <v>31</v>
      </c>
      <c r="I126" s="40">
        <v>400</v>
      </c>
      <c r="J126" s="41">
        <v>161</v>
      </c>
      <c r="K126" s="42">
        <v>330</v>
      </c>
      <c r="L126" s="43">
        <v>9.92</v>
      </c>
      <c r="M126" s="40">
        <v>0.152823893840593</v>
      </c>
      <c r="N126" s="40">
        <v>0.14409201352575399</v>
      </c>
      <c r="O126" s="40">
        <v>0.319258236440428</v>
      </c>
      <c r="P126" s="40">
        <v>0.13430250855204301</v>
      </c>
      <c r="Q126" s="40">
        <v>0.277713550639199</v>
      </c>
      <c r="R126" s="40">
        <v>0.33482256951227302</v>
      </c>
      <c r="S126" s="48">
        <v>0.21962596422493444</v>
      </c>
      <c r="T126" s="40">
        <v>0.13967437273173899</v>
      </c>
      <c r="U126" s="40">
        <v>0.234466469351474</v>
      </c>
      <c r="V126" s="40">
        <v>0.18644534481755501</v>
      </c>
      <c r="W126" s="40">
        <v>0.156962897990093</v>
      </c>
      <c r="X126" s="40">
        <v>0.112789337104005</v>
      </c>
      <c r="Y126" s="40">
        <v>9.2494982974628201E-2</v>
      </c>
      <c r="Z126" s="43">
        <v>0.23</v>
      </c>
      <c r="AA126" s="43">
        <v>0.104600226673042</v>
      </c>
      <c r="AB126" s="43">
        <f t="shared" si="2"/>
        <v>0.12539977332695801</v>
      </c>
      <c r="AC126" s="45">
        <v>0.13954127956816201</v>
      </c>
      <c r="AD126" s="45">
        <f t="shared" si="3"/>
        <v>9.0458720431838002E-2</v>
      </c>
    </row>
    <row r="127" spans="1:30" ht="15" x14ac:dyDescent="0.2">
      <c r="B127" s="41">
        <v>12</v>
      </c>
      <c r="C127" s="42">
        <v>500</v>
      </c>
      <c r="D127" s="42">
        <v>3</v>
      </c>
      <c r="E127" s="41">
        <v>142</v>
      </c>
      <c r="F127" s="43">
        <v>3.2690000000000001</v>
      </c>
      <c r="G127" s="41">
        <v>25</v>
      </c>
      <c r="H127" s="41">
        <v>31</v>
      </c>
      <c r="I127" s="40">
        <v>400</v>
      </c>
      <c r="J127" s="41">
        <v>161</v>
      </c>
      <c r="K127" s="42">
        <v>330</v>
      </c>
      <c r="L127" s="43">
        <v>11.67</v>
      </c>
      <c r="M127" s="40">
        <v>0.20217332523659001</v>
      </c>
      <c r="N127" s="40">
        <v>0.17356283583266199</v>
      </c>
      <c r="O127" s="40">
        <v>0.375578993876996</v>
      </c>
      <c r="P127" s="40">
        <v>0.185867086967345</v>
      </c>
      <c r="Q127" s="40">
        <v>0.343450710166534</v>
      </c>
      <c r="R127" s="40">
        <v>0.39388905102905503</v>
      </c>
      <c r="S127" s="48">
        <v>0.26562938657237817</v>
      </c>
      <c r="T127" s="40">
        <v>0.16883133097846201</v>
      </c>
      <c r="U127" s="40">
        <v>0.27582900174714697</v>
      </c>
      <c r="V127" s="40">
        <v>0.22549606355808699</v>
      </c>
      <c r="W127" s="40">
        <v>0.20479627444146201</v>
      </c>
      <c r="X127" s="40">
        <v>0.137503163587996</v>
      </c>
      <c r="Y127" s="40">
        <v>0.11459084199910199</v>
      </c>
      <c r="Z127" s="43">
        <v>0.25</v>
      </c>
      <c r="AA127" s="43">
        <v>0.123052887628468</v>
      </c>
      <c r="AB127" s="43">
        <f t="shared" si="2"/>
        <v>0.126947112371532</v>
      </c>
      <c r="AC127" s="45">
        <v>0.19311725018881401</v>
      </c>
      <c r="AD127" s="45">
        <f t="shared" si="3"/>
        <v>5.688274981118599E-2</v>
      </c>
    </row>
    <row r="128" spans="1:30" ht="15" x14ac:dyDescent="0.2">
      <c r="A128" s="40" t="s">
        <v>51</v>
      </c>
      <c r="B128" s="41">
        <v>12</v>
      </c>
      <c r="C128" s="42">
        <v>500</v>
      </c>
      <c r="D128" s="42">
        <v>3</v>
      </c>
      <c r="E128" s="41">
        <v>142</v>
      </c>
      <c r="F128" s="43">
        <v>3.2690000000000001</v>
      </c>
      <c r="G128" s="41">
        <v>25</v>
      </c>
      <c r="H128" s="41">
        <v>31</v>
      </c>
      <c r="I128" s="40">
        <v>400</v>
      </c>
      <c r="J128" s="41">
        <v>161</v>
      </c>
      <c r="K128" s="42">
        <v>330</v>
      </c>
      <c r="L128" s="43">
        <v>8.17</v>
      </c>
      <c r="M128" s="40">
        <v>0.103474462444596</v>
      </c>
      <c r="N128" s="40">
        <v>0.118672555494497</v>
      </c>
      <c r="O128" s="40">
        <v>0.262937479003861</v>
      </c>
      <c r="P128" s="40">
        <v>9.1097171658443707E-2</v>
      </c>
      <c r="Q128" s="40">
        <v>0.211976391111864</v>
      </c>
      <c r="R128" s="40">
        <v>0.27575608799549101</v>
      </c>
      <c r="S128" s="48">
        <v>0.17362254187749063</v>
      </c>
      <c r="T128" s="40">
        <v>0.11051741448501699</v>
      </c>
      <c r="U128" s="40">
        <v>0.1931039369558</v>
      </c>
      <c r="V128" s="40">
        <v>0.14939845211862701</v>
      </c>
      <c r="W128" s="40">
        <v>0.112408507985114</v>
      </c>
      <c r="X128" s="40">
        <v>8.8959187799522901E-2</v>
      </c>
      <c r="Y128" s="40">
        <v>7.2132238693379605E-2</v>
      </c>
      <c r="Z128" s="43">
        <v>0.18</v>
      </c>
      <c r="AA128" s="43">
        <v>8.6147565717616198E-2</v>
      </c>
      <c r="AB128" s="43">
        <f t="shared" si="2"/>
        <v>9.3852434282383795E-2</v>
      </c>
      <c r="AC128" s="45">
        <v>9.4650621461280005E-2</v>
      </c>
      <c r="AD128" s="45">
        <f t="shared" si="3"/>
        <v>8.5349378538719989E-2</v>
      </c>
    </row>
    <row r="129" spans="1:30" ht="15" x14ac:dyDescent="0.2">
      <c r="B129" s="41">
        <v>12</v>
      </c>
      <c r="C129" s="42">
        <v>500</v>
      </c>
      <c r="D129" s="42">
        <v>3</v>
      </c>
      <c r="E129" s="41">
        <v>142</v>
      </c>
      <c r="F129" s="43">
        <v>3.2690000000000001</v>
      </c>
      <c r="G129" s="41">
        <v>25</v>
      </c>
      <c r="H129" s="41">
        <v>31</v>
      </c>
      <c r="I129" s="40">
        <v>400</v>
      </c>
      <c r="J129" s="41">
        <v>161</v>
      </c>
      <c r="K129" s="42">
        <v>330</v>
      </c>
      <c r="L129" s="43">
        <v>9.92</v>
      </c>
      <c r="M129" s="40">
        <v>0.152823893840593</v>
      </c>
      <c r="N129" s="40">
        <v>0.14409201352575399</v>
      </c>
      <c r="O129" s="40">
        <v>0.319258236440428</v>
      </c>
      <c r="P129" s="40">
        <v>0.13430250855204301</v>
      </c>
      <c r="Q129" s="40">
        <v>0.277713550639199</v>
      </c>
      <c r="R129" s="40">
        <v>0.33482256951227302</v>
      </c>
      <c r="S129" s="48">
        <v>0.21962596422493444</v>
      </c>
      <c r="T129" s="40">
        <v>0.13967437273173899</v>
      </c>
      <c r="U129" s="40">
        <v>0.234466469351474</v>
      </c>
      <c r="V129" s="40">
        <v>0.18644534481755501</v>
      </c>
      <c r="W129" s="40">
        <v>0.156962897990093</v>
      </c>
      <c r="X129" s="40">
        <v>0.112789337104005</v>
      </c>
      <c r="Y129" s="40">
        <v>9.2494982974628201E-2</v>
      </c>
      <c r="Z129" s="43">
        <v>0.23</v>
      </c>
      <c r="AA129" s="43">
        <v>0.104600226673042</v>
      </c>
      <c r="AB129" s="43">
        <f t="shared" si="2"/>
        <v>0.12539977332695801</v>
      </c>
      <c r="AC129" s="45">
        <v>0.13954127956816201</v>
      </c>
      <c r="AD129" s="45">
        <f t="shared" si="3"/>
        <v>9.0458720431838002E-2</v>
      </c>
    </row>
    <row r="130" spans="1:30" ht="15" x14ac:dyDescent="0.2">
      <c r="B130" s="41">
        <v>12</v>
      </c>
      <c r="C130" s="42">
        <v>500</v>
      </c>
      <c r="D130" s="42">
        <v>3</v>
      </c>
      <c r="E130" s="41">
        <v>142</v>
      </c>
      <c r="F130" s="43">
        <v>3.2690000000000001</v>
      </c>
      <c r="G130" s="41">
        <v>25</v>
      </c>
      <c r="H130" s="41">
        <v>31</v>
      </c>
      <c r="I130" s="40">
        <v>400</v>
      </c>
      <c r="J130" s="41">
        <v>161</v>
      </c>
      <c r="K130" s="42">
        <v>330</v>
      </c>
      <c r="L130" s="43">
        <v>11.67</v>
      </c>
      <c r="M130" s="40">
        <v>0.20217332523659001</v>
      </c>
      <c r="N130" s="40">
        <v>0.17356283583266199</v>
      </c>
      <c r="O130" s="40">
        <v>0.375578993876996</v>
      </c>
      <c r="P130" s="40">
        <v>0.185867086967345</v>
      </c>
      <c r="Q130" s="40">
        <v>0.343450710166534</v>
      </c>
      <c r="R130" s="40">
        <v>0.39388905102905503</v>
      </c>
      <c r="S130" s="48">
        <v>0.26562938657237817</v>
      </c>
      <c r="T130" s="40">
        <v>0.16883133097846201</v>
      </c>
      <c r="U130" s="40">
        <v>0.27582900174714697</v>
      </c>
      <c r="V130" s="40">
        <v>0.22549606355808699</v>
      </c>
      <c r="W130" s="40">
        <v>0.20479627444146201</v>
      </c>
      <c r="X130" s="40">
        <v>0.137503163587996</v>
      </c>
      <c r="Y130" s="40">
        <v>0.11459084199910199</v>
      </c>
      <c r="Z130" s="43">
        <v>0.25</v>
      </c>
      <c r="AA130" s="43">
        <v>0.123052887628468</v>
      </c>
      <c r="AB130" s="43">
        <f t="shared" si="2"/>
        <v>0.126947112371532</v>
      </c>
      <c r="AC130" s="45">
        <v>0.19311725018881401</v>
      </c>
      <c r="AD130" s="45">
        <f t="shared" si="3"/>
        <v>5.688274981118599E-2</v>
      </c>
    </row>
    <row r="131" spans="1:30" ht="15" x14ac:dyDescent="0.2">
      <c r="A131" s="40" t="s">
        <v>52</v>
      </c>
      <c r="B131" s="41">
        <v>12</v>
      </c>
      <c r="C131" s="42">
        <v>500</v>
      </c>
      <c r="D131" s="42">
        <v>4</v>
      </c>
      <c r="E131" s="41">
        <v>90.67</v>
      </c>
      <c r="F131" s="43">
        <v>3.2690000000000001</v>
      </c>
      <c r="G131" s="41">
        <v>25</v>
      </c>
      <c r="H131" s="41">
        <v>31</v>
      </c>
      <c r="I131" s="40">
        <v>400</v>
      </c>
      <c r="J131" s="41">
        <v>161</v>
      </c>
      <c r="K131" s="42">
        <v>440</v>
      </c>
      <c r="L131" s="43">
        <v>11.67</v>
      </c>
      <c r="M131" s="40">
        <v>0.120790775953349</v>
      </c>
      <c r="N131" s="40">
        <v>0.11177549980360001</v>
      </c>
      <c r="O131" s="40">
        <v>0.23113702289701099</v>
      </c>
      <c r="P131" s="40">
        <v>0.107884330678079</v>
      </c>
      <c r="Q131" s="40">
        <v>0.19540710997826599</v>
      </c>
      <c r="R131" s="40">
        <v>0.24808989435623699</v>
      </c>
      <c r="S131" s="48">
        <v>0.17673973343237412</v>
      </c>
      <c r="T131" s="40">
        <v>0.12522893792964501</v>
      </c>
      <c r="U131" s="40">
        <v>0.19253300190771699</v>
      </c>
      <c r="V131" s="40">
        <v>0.16352007344361599</v>
      </c>
      <c r="W131" s="40">
        <v>0.12808435147077299</v>
      </c>
      <c r="X131" s="40">
        <v>9.7815896634644697E-2</v>
      </c>
      <c r="Y131" s="40">
        <v>7.9122886955510993E-2</v>
      </c>
      <c r="Z131" s="43">
        <v>0.15</v>
      </c>
      <c r="AA131" s="43">
        <v>9.2384993595776899E-2</v>
      </c>
      <c r="AB131" s="43">
        <f t="shared" ref="AB131:AB194" si="4">Z131-AA131</f>
        <v>5.7615006404223096E-2</v>
      </c>
      <c r="AC131" s="45">
        <v>0.11009713975023699</v>
      </c>
      <c r="AD131" s="45">
        <f t="shared" ref="AD131:AD194" si="5">Z131-AC131</f>
        <v>3.9902860249763E-2</v>
      </c>
    </row>
    <row r="132" spans="1:30" ht="15" x14ac:dyDescent="0.2">
      <c r="B132" s="41">
        <v>12</v>
      </c>
      <c r="C132" s="42">
        <v>500</v>
      </c>
      <c r="D132" s="42">
        <v>4</v>
      </c>
      <c r="E132" s="41">
        <v>90.67</v>
      </c>
      <c r="F132" s="43">
        <v>3.2690000000000001</v>
      </c>
      <c r="G132" s="41">
        <v>25</v>
      </c>
      <c r="H132" s="41">
        <v>31</v>
      </c>
      <c r="I132" s="40">
        <v>400</v>
      </c>
      <c r="J132" s="41">
        <v>161</v>
      </c>
      <c r="K132" s="42">
        <v>440</v>
      </c>
      <c r="L132" s="43">
        <v>13.42</v>
      </c>
      <c r="M132" s="40">
        <v>0.15026678983333899</v>
      </c>
      <c r="N132" s="40">
        <v>0.13905155757912199</v>
      </c>
      <c r="O132" s="40">
        <v>0.26579767328859399</v>
      </c>
      <c r="P132" s="40">
        <v>0.142666396244713</v>
      </c>
      <c r="Q132" s="40">
        <v>0.23284553255639401</v>
      </c>
      <c r="R132" s="40">
        <v>0.285292749122597</v>
      </c>
      <c r="S132" s="48">
        <v>0.20892885639633829</v>
      </c>
      <c r="T132" s="40">
        <v>0.14734997549223899</v>
      </c>
      <c r="U132" s="40">
        <v>0.22140470313638</v>
      </c>
      <c r="V132" s="40">
        <v>0.192017406316629</v>
      </c>
      <c r="W132" s="40">
        <v>0.16231782080294099</v>
      </c>
      <c r="X132" s="40">
        <v>0.11601300074561301</v>
      </c>
      <c r="Y132" s="40">
        <v>9.5059434015686797E-2</v>
      </c>
      <c r="Z132" s="43">
        <v>0.15</v>
      </c>
      <c r="AA132" s="43">
        <v>0.106238784409197</v>
      </c>
      <c r="AB132" s="43">
        <f t="shared" si="4"/>
        <v>4.3761215590802996E-2</v>
      </c>
      <c r="AC132" s="45">
        <v>0.14559261818925501</v>
      </c>
      <c r="AD132" s="45">
        <f t="shared" si="5"/>
        <v>4.4073818107449869E-3</v>
      </c>
    </row>
    <row r="133" spans="1:30" ht="15" x14ac:dyDescent="0.2">
      <c r="B133" s="41">
        <v>12</v>
      </c>
      <c r="C133" s="42">
        <v>500</v>
      </c>
      <c r="D133" s="42">
        <v>4</v>
      </c>
      <c r="E133" s="41">
        <v>90.67</v>
      </c>
      <c r="F133" s="43">
        <v>3.2690000000000001</v>
      </c>
      <c r="G133" s="41">
        <v>25</v>
      </c>
      <c r="H133" s="41">
        <v>31</v>
      </c>
      <c r="I133" s="40">
        <v>400</v>
      </c>
      <c r="J133" s="41">
        <v>161</v>
      </c>
      <c r="K133" s="42">
        <v>440</v>
      </c>
      <c r="L133" s="43">
        <v>15.17</v>
      </c>
      <c r="M133" s="40">
        <v>0.17974280371332799</v>
      </c>
      <c r="N133" s="40">
        <v>0.16632761535464399</v>
      </c>
      <c r="O133" s="40">
        <v>0.300458323680177</v>
      </c>
      <c r="P133" s="40">
        <v>0.18230048371183399</v>
      </c>
      <c r="Q133" s="40">
        <v>0.27028395513452302</v>
      </c>
      <c r="R133" s="40">
        <v>0.32249560388895598</v>
      </c>
      <c r="S133" s="48">
        <v>0.24111797936030255</v>
      </c>
      <c r="T133" s="40">
        <v>0.169471013054834</v>
      </c>
      <c r="U133" s="40">
        <v>0.250276404365044</v>
      </c>
      <c r="V133" s="40">
        <v>0.221543371840981</v>
      </c>
      <c r="W133" s="40">
        <v>0.19831281193193101</v>
      </c>
      <c r="X133" s="40">
        <v>0.13471965194921101</v>
      </c>
      <c r="Y133" s="40">
        <v>0.112057848743672</v>
      </c>
      <c r="Z133" s="43">
        <v>0.18</v>
      </c>
      <c r="AA133" s="43">
        <v>0.120092575222617</v>
      </c>
      <c r="AB133" s="43">
        <f t="shared" si="4"/>
        <v>5.9907424777382992E-2</v>
      </c>
      <c r="AC133" s="45">
        <v>0.18603963806057899</v>
      </c>
      <c r="AD133" s="45">
        <f t="shared" si="5"/>
        <v>-6.0396380605790001E-3</v>
      </c>
    </row>
    <row r="134" spans="1:30" ht="15" x14ac:dyDescent="0.2">
      <c r="A134" s="40" t="s">
        <v>53</v>
      </c>
      <c r="B134" s="41">
        <v>12</v>
      </c>
      <c r="C134" s="42">
        <v>500</v>
      </c>
      <c r="D134" s="42">
        <v>4</v>
      </c>
      <c r="E134" s="41">
        <v>90.67</v>
      </c>
      <c r="F134" s="43">
        <v>3.2690000000000001</v>
      </c>
      <c r="G134" s="41">
        <v>25</v>
      </c>
      <c r="H134" s="41">
        <v>31</v>
      </c>
      <c r="I134" s="40">
        <v>400</v>
      </c>
      <c r="J134" s="41">
        <v>161</v>
      </c>
      <c r="K134" s="42">
        <v>440</v>
      </c>
      <c r="L134" s="43">
        <v>11.67</v>
      </c>
      <c r="M134" s="40">
        <v>0.120790775953349</v>
      </c>
      <c r="N134" s="40">
        <v>0.11177549980360001</v>
      </c>
      <c r="O134" s="40">
        <v>0.23113702289701099</v>
      </c>
      <c r="P134" s="40">
        <v>0.107884330678079</v>
      </c>
      <c r="Q134" s="40">
        <v>0.19540710997826599</v>
      </c>
      <c r="R134" s="40">
        <v>0.24808989435623699</v>
      </c>
      <c r="S134" s="48">
        <v>0.17673973343237412</v>
      </c>
      <c r="T134" s="40">
        <v>0.12522893792964501</v>
      </c>
      <c r="U134" s="40">
        <v>0.19253300190771699</v>
      </c>
      <c r="V134" s="40">
        <v>0.16352007344361599</v>
      </c>
      <c r="W134" s="40">
        <v>0.12808435147077299</v>
      </c>
      <c r="X134" s="40">
        <v>9.7815896634644697E-2</v>
      </c>
      <c r="Y134" s="40">
        <v>7.9122886955510993E-2</v>
      </c>
      <c r="Z134" s="43">
        <v>0.18</v>
      </c>
      <c r="AA134" s="43">
        <v>9.2384993595776899E-2</v>
      </c>
      <c r="AB134" s="43">
        <f t="shared" si="4"/>
        <v>8.7615006404223095E-2</v>
      </c>
      <c r="AC134" s="45">
        <v>0.11009713975023699</v>
      </c>
      <c r="AD134" s="45">
        <f t="shared" si="5"/>
        <v>6.9902860249762999E-2</v>
      </c>
    </row>
    <row r="135" spans="1:30" ht="15" x14ac:dyDescent="0.2">
      <c r="B135" s="41">
        <v>12</v>
      </c>
      <c r="C135" s="42">
        <v>500</v>
      </c>
      <c r="D135" s="42">
        <v>4</v>
      </c>
      <c r="E135" s="41">
        <v>90.67</v>
      </c>
      <c r="F135" s="43">
        <v>3.2690000000000001</v>
      </c>
      <c r="G135" s="41">
        <v>25</v>
      </c>
      <c r="H135" s="41">
        <v>31</v>
      </c>
      <c r="I135" s="40">
        <v>400</v>
      </c>
      <c r="J135" s="41">
        <v>161</v>
      </c>
      <c r="K135" s="42">
        <v>440</v>
      </c>
      <c r="L135" s="43">
        <v>13.42</v>
      </c>
      <c r="M135" s="40">
        <v>0.15026678983333899</v>
      </c>
      <c r="N135" s="40">
        <v>0.13905155757912199</v>
      </c>
      <c r="O135" s="40">
        <v>0.26579767328859399</v>
      </c>
      <c r="P135" s="40">
        <v>0.142666396244713</v>
      </c>
      <c r="Q135" s="40">
        <v>0.23284553255639401</v>
      </c>
      <c r="R135" s="40">
        <v>0.285292749122597</v>
      </c>
      <c r="S135" s="48">
        <v>0.20892885639633829</v>
      </c>
      <c r="T135" s="40">
        <v>0.14734997549223899</v>
      </c>
      <c r="U135" s="40">
        <v>0.22140470313638</v>
      </c>
      <c r="V135" s="40">
        <v>0.192017406316629</v>
      </c>
      <c r="W135" s="40">
        <v>0.16231782080294099</v>
      </c>
      <c r="X135" s="40">
        <v>0.11601300074561301</v>
      </c>
      <c r="Y135" s="40">
        <v>9.5059434015686797E-2</v>
      </c>
      <c r="Z135" s="43">
        <v>0.2</v>
      </c>
      <c r="AA135" s="43">
        <v>0.106238784409197</v>
      </c>
      <c r="AB135" s="43">
        <f t="shared" si="4"/>
        <v>9.3761215590803013E-2</v>
      </c>
      <c r="AC135" s="45">
        <v>0.14559261818925501</v>
      </c>
      <c r="AD135" s="45">
        <f t="shared" si="5"/>
        <v>5.4407381810745004E-2</v>
      </c>
    </row>
    <row r="136" spans="1:30" ht="15" x14ac:dyDescent="0.2">
      <c r="B136" s="41">
        <v>12</v>
      </c>
      <c r="C136" s="42">
        <v>500</v>
      </c>
      <c r="D136" s="42">
        <v>4</v>
      </c>
      <c r="E136" s="41">
        <v>90.67</v>
      </c>
      <c r="F136" s="43">
        <v>3.2690000000000001</v>
      </c>
      <c r="G136" s="41">
        <v>25</v>
      </c>
      <c r="H136" s="41">
        <v>31</v>
      </c>
      <c r="I136" s="40">
        <v>400</v>
      </c>
      <c r="J136" s="41">
        <v>161</v>
      </c>
      <c r="K136" s="42">
        <v>440</v>
      </c>
      <c r="L136" s="43">
        <v>15.17</v>
      </c>
      <c r="M136" s="40">
        <v>0.17974280371332799</v>
      </c>
      <c r="N136" s="40">
        <v>0.16632761535464399</v>
      </c>
      <c r="O136" s="40">
        <v>0.300458323680177</v>
      </c>
      <c r="P136" s="40">
        <v>0.18230048371183399</v>
      </c>
      <c r="Q136" s="40">
        <v>0.27028395513452302</v>
      </c>
      <c r="R136" s="40">
        <v>0.32249560388895598</v>
      </c>
      <c r="S136" s="48">
        <v>0.24111797936030255</v>
      </c>
      <c r="T136" s="40">
        <v>0.169471013054834</v>
      </c>
      <c r="U136" s="40">
        <v>0.250276404365044</v>
      </c>
      <c r="V136" s="40">
        <v>0.221543371840981</v>
      </c>
      <c r="W136" s="40">
        <v>0.19831281193193101</v>
      </c>
      <c r="X136" s="40">
        <v>0.13471965194921101</v>
      </c>
      <c r="Y136" s="40">
        <v>0.112057848743672</v>
      </c>
      <c r="Z136" s="43">
        <v>0.23</v>
      </c>
      <c r="AA136" s="43">
        <v>0.120092575222617</v>
      </c>
      <c r="AB136" s="43">
        <f t="shared" si="4"/>
        <v>0.10990742477738301</v>
      </c>
      <c r="AC136" s="45">
        <v>0.18603963806057899</v>
      </c>
      <c r="AD136" s="45">
        <f t="shared" si="5"/>
        <v>4.3960361939421017E-2</v>
      </c>
    </row>
    <row r="137" spans="1:30" ht="15" x14ac:dyDescent="0.2">
      <c r="A137" s="40" t="s">
        <v>54</v>
      </c>
      <c r="B137" s="41">
        <v>10</v>
      </c>
      <c r="C137" s="42">
        <v>528</v>
      </c>
      <c r="D137" s="42">
        <v>1</v>
      </c>
      <c r="E137" s="41">
        <v>45</v>
      </c>
      <c r="F137" s="43">
        <v>2.8</v>
      </c>
      <c r="G137" s="41">
        <v>40</v>
      </c>
      <c r="H137" s="41">
        <v>45</v>
      </c>
      <c r="I137" s="40">
        <v>100</v>
      </c>
      <c r="J137" s="41">
        <v>250</v>
      </c>
      <c r="K137" s="42">
        <v>78.5</v>
      </c>
      <c r="L137" s="43">
        <v>4.0999999999999996</v>
      </c>
      <c r="M137" s="40">
        <v>0.16512721124267701</v>
      </c>
      <c r="N137" s="40">
        <v>0.209356261929807</v>
      </c>
      <c r="O137" s="40">
        <v>0.231875216932936</v>
      </c>
      <c r="P137" s="40">
        <v>0.134918611549185</v>
      </c>
      <c r="Q137" s="40">
        <v>0.31615531622056903</v>
      </c>
      <c r="R137" s="40">
        <v>0.329727298329208</v>
      </c>
      <c r="S137" s="48">
        <v>0.19608319631557314</v>
      </c>
      <c r="T137" s="40">
        <v>0.13081543976903501</v>
      </c>
      <c r="U137" s="40">
        <v>0.285258371268647</v>
      </c>
      <c r="V137" s="40">
        <v>0.26614281150680602</v>
      </c>
      <c r="W137" s="40">
        <v>0.24237273712832</v>
      </c>
      <c r="X137" s="40">
        <v>0.16689907169898499</v>
      </c>
      <c r="Y137" s="40">
        <v>0.14775687790169201</v>
      </c>
      <c r="Z137" s="43">
        <v>0.16</v>
      </c>
      <c r="AA137" s="43">
        <v>0.16285127956433501</v>
      </c>
      <c r="AB137" s="43">
        <f t="shared" si="4"/>
        <v>-2.8512795643350075E-3</v>
      </c>
      <c r="AC137" s="45">
        <v>0.20977002213391199</v>
      </c>
      <c r="AD137" s="45">
        <f t="shared" si="5"/>
        <v>-4.977002213391199E-2</v>
      </c>
    </row>
    <row r="138" spans="1:30" ht="15" x14ac:dyDescent="0.2">
      <c r="B138" s="41">
        <v>10</v>
      </c>
      <c r="C138" s="42">
        <v>528</v>
      </c>
      <c r="D138" s="42">
        <v>1</v>
      </c>
      <c r="E138" s="41">
        <v>45</v>
      </c>
      <c r="F138" s="43">
        <v>2.8</v>
      </c>
      <c r="G138" s="41">
        <v>40</v>
      </c>
      <c r="H138" s="41">
        <v>45</v>
      </c>
      <c r="I138" s="40">
        <v>100</v>
      </c>
      <c r="J138" s="41">
        <v>250</v>
      </c>
      <c r="K138" s="42">
        <v>78.5</v>
      </c>
      <c r="L138" s="43">
        <v>4.4000000000000004</v>
      </c>
      <c r="M138" s="40">
        <v>0.19410888513240501</v>
      </c>
      <c r="N138" s="40">
        <v>0.22467501280271901</v>
      </c>
      <c r="O138" s="40">
        <v>0.24884169622071201</v>
      </c>
      <c r="P138" s="40">
        <v>0.15538514691208999</v>
      </c>
      <c r="Q138" s="40">
        <v>0.35364191324925498</v>
      </c>
      <c r="R138" s="40">
        <v>0.35385368601183298</v>
      </c>
      <c r="S138" s="48">
        <v>0.21323339879915429</v>
      </c>
      <c r="T138" s="40">
        <v>0.14151720856094599</v>
      </c>
      <c r="U138" s="40">
        <v>0.30613093502001099</v>
      </c>
      <c r="V138" s="40">
        <v>0.29093276064167001</v>
      </c>
      <c r="W138" s="40">
        <v>0.27233102363950401</v>
      </c>
      <c r="X138" s="40">
        <v>0.18035790264186499</v>
      </c>
      <c r="Y138" s="40">
        <v>0.16063164772423399</v>
      </c>
      <c r="Z138" s="43">
        <v>0.18</v>
      </c>
      <c r="AA138" s="43">
        <v>0.17476722684953</v>
      </c>
      <c r="AB138" s="43">
        <f t="shared" si="4"/>
        <v>5.2327731504699937E-3</v>
      </c>
      <c r="AC138" s="45">
        <v>0.24159117361763999</v>
      </c>
      <c r="AD138" s="45">
        <f t="shared" si="5"/>
        <v>-6.1591173617639994E-2</v>
      </c>
    </row>
    <row r="139" spans="1:30" ht="15" x14ac:dyDescent="0.2">
      <c r="B139" s="41">
        <v>10</v>
      </c>
      <c r="C139" s="42">
        <v>528</v>
      </c>
      <c r="D139" s="42">
        <v>1</v>
      </c>
      <c r="E139" s="41">
        <v>45</v>
      </c>
      <c r="F139" s="43">
        <v>2.8</v>
      </c>
      <c r="G139" s="41">
        <v>40</v>
      </c>
      <c r="H139" s="41">
        <v>45</v>
      </c>
      <c r="I139" s="40">
        <v>100</v>
      </c>
      <c r="J139" s="41">
        <v>250</v>
      </c>
      <c r="K139" s="42">
        <v>78.5</v>
      </c>
      <c r="L139" s="43">
        <v>4.74</v>
      </c>
      <c r="M139" s="40">
        <v>0.22695478220743001</v>
      </c>
      <c r="N139" s="40">
        <v>0.24203626379202101</v>
      </c>
      <c r="O139" s="40">
        <v>0.26807037274685802</v>
      </c>
      <c r="P139" s="40">
        <v>0.18032703134101599</v>
      </c>
      <c r="Q139" s="40">
        <v>0.39612672321509801</v>
      </c>
      <c r="R139" s="40">
        <v>0.38119692538547501</v>
      </c>
      <c r="S139" s="48">
        <v>0.23267029494721281</v>
      </c>
      <c r="T139" s="40">
        <v>0.153645879858444</v>
      </c>
      <c r="U139" s="40">
        <v>0.32978650727155701</v>
      </c>
      <c r="V139" s="40">
        <v>0.319575246367168</v>
      </c>
      <c r="W139" s="40">
        <v>0.30720169296391497</v>
      </c>
      <c r="X139" s="40">
        <v>0.195704579187509</v>
      </c>
      <c r="Y139" s="40">
        <v>0.17556318391030201</v>
      </c>
      <c r="Z139" s="43">
        <v>0.2</v>
      </c>
      <c r="AA139" s="43">
        <v>0.18827196710608499</v>
      </c>
      <c r="AB139" s="43">
        <f t="shared" si="4"/>
        <v>1.1728032893915025E-2</v>
      </c>
      <c r="AC139" s="45">
        <v>0.28037055022581098</v>
      </c>
      <c r="AD139" s="45">
        <f t="shared" si="5"/>
        <v>-8.0370550225810966E-2</v>
      </c>
    </row>
    <row r="140" spans="1:30" ht="15" x14ac:dyDescent="0.2">
      <c r="B140" s="41">
        <v>10</v>
      </c>
      <c r="C140" s="42">
        <v>528</v>
      </c>
      <c r="D140" s="42">
        <v>1</v>
      </c>
      <c r="E140" s="41">
        <v>45</v>
      </c>
      <c r="F140" s="43">
        <v>2.8</v>
      </c>
      <c r="G140" s="41">
        <v>40</v>
      </c>
      <c r="H140" s="41">
        <v>45</v>
      </c>
      <c r="I140" s="40">
        <v>100</v>
      </c>
      <c r="J140" s="41">
        <v>250</v>
      </c>
      <c r="K140" s="42">
        <v>78.5</v>
      </c>
      <c r="L140" s="43">
        <v>5.04</v>
      </c>
      <c r="M140" s="40">
        <v>0.25593645609715798</v>
      </c>
      <c r="N140" s="40">
        <v>0.25735501466493299</v>
      </c>
      <c r="O140" s="40">
        <v>0.28503685203463403</v>
      </c>
      <c r="P140" s="40">
        <v>0.20387558614680501</v>
      </c>
      <c r="Q140" s="40">
        <v>0.43361332024378302</v>
      </c>
      <c r="R140" s="40">
        <v>0.40532331306809999</v>
      </c>
      <c r="S140" s="48">
        <v>0.24982049743079385</v>
      </c>
      <c r="T140" s="40">
        <v>0.164347648650355</v>
      </c>
      <c r="U140" s="40">
        <v>0.35065907102292199</v>
      </c>
      <c r="V140" s="40">
        <v>0.34525739406130102</v>
      </c>
      <c r="W140" s="40">
        <v>0.338662113309941</v>
      </c>
      <c r="X140" s="40">
        <v>0.20932811861929301</v>
      </c>
      <c r="Y140" s="40">
        <v>0.18903818382788001</v>
      </c>
      <c r="Z140" s="43">
        <v>0.22</v>
      </c>
      <c r="AA140" s="43">
        <v>0.20018791439128</v>
      </c>
      <c r="AB140" s="43">
        <f t="shared" si="4"/>
        <v>1.9812085608719998E-2</v>
      </c>
      <c r="AC140" s="45">
        <v>0.31698359275650101</v>
      </c>
      <c r="AD140" s="45">
        <f t="shared" si="5"/>
        <v>-9.6983592756501008E-2</v>
      </c>
    </row>
    <row r="141" spans="1:30" ht="15" x14ac:dyDescent="0.2">
      <c r="B141" s="41">
        <v>10</v>
      </c>
      <c r="C141" s="42">
        <v>528</v>
      </c>
      <c r="D141" s="42">
        <v>1</v>
      </c>
      <c r="E141" s="41">
        <v>45</v>
      </c>
      <c r="F141" s="43">
        <v>2.8</v>
      </c>
      <c r="G141" s="41">
        <v>40</v>
      </c>
      <c r="H141" s="41">
        <v>45</v>
      </c>
      <c r="I141" s="40">
        <v>100</v>
      </c>
      <c r="J141" s="41">
        <v>250</v>
      </c>
      <c r="K141" s="42">
        <v>78.5</v>
      </c>
      <c r="L141" s="43">
        <v>5.38</v>
      </c>
      <c r="M141" s="40">
        <v>0.28878235317218298</v>
      </c>
      <c r="N141" s="40">
        <v>0.27471626565423402</v>
      </c>
      <c r="O141" s="40">
        <v>0.30426552856077999</v>
      </c>
      <c r="P141" s="40">
        <v>0.23231042594433299</v>
      </c>
      <c r="Q141" s="40">
        <v>0.47609813020962599</v>
      </c>
      <c r="R141" s="40">
        <v>0.43266655244174101</v>
      </c>
      <c r="S141" s="48">
        <v>0.26925739357885237</v>
      </c>
      <c r="T141" s="40">
        <v>0.17647631994785301</v>
      </c>
      <c r="U141" s="40">
        <v>0.37431464327446801</v>
      </c>
      <c r="V141" s="40">
        <v>0.37475886543331399</v>
      </c>
      <c r="W141" s="40">
        <v>0.37499532955053599</v>
      </c>
      <c r="X141" s="40">
        <v>0.22489641587883999</v>
      </c>
      <c r="Y141" s="40">
        <v>0.204684931881469</v>
      </c>
      <c r="Z141" s="43">
        <v>0.24</v>
      </c>
      <c r="AA141" s="43">
        <v>0.21372760574098101</v>
      </c>
      <c r="AB141" s="43">
        <f t="shared" si="4"/>
        <v>2.6272394259018977E-2</v>
      </c>
      <c r="AC141" s="45">
        <v>0.361212647008122</v>
      </c>
      <c r="AD141" s="45">
        <f t="shared" si="5"/>
        <v>-0.12121264700812201</v>
      </c>
    </row>
    <row r="142" spans="1:30" ht="15" x14ac:dyDescent="0.2">
      <c r="B142" s="41">
        <v>10</v>
      </c>
      <c r="C142" s="42">
        <v>528</v>
      </c>
      <c r="D142" s="42">
        <v>1</v>
      </c>
      <c r="E142" s="41">
        <v>45</v>
      </c>
      <c r="F142" s="43">
        <v>2.8</v>
      </c>
      <c r="G142" s="41">
        <v>40</v>
      </c>
      <c r="H142" s="41">
        <v>45</v>
      </c>
      <c r="I142" s="40">
        <v>100</v>
      </c>
      <c r="J142" s="41">
        <v>250</v>
      </c>
      <c r="K142" s="42">
        <v>78.5</v>
      </c>
      <c r="L142" s="43">
        <v>5.68</v>
      </c>
      <c r="M142" s="40">
        <v>0.31776402706190998</v>
      </c>
      <c r="N142" s="40">
        <v>0.29003501652714703</v>
      </c>
      <c r="O142" s="40">
        <v>0.32123200784855599</v>
      </c>
      <c r="P142" s="40">
        <v>0.25894100019300598</v>
      </c>
      <c r="Q142" s="40">
        <v>0.51358472723831095</v>
      </c>
      <c r="R142" s="40">
        <v>0.456792940124366</v>
      </c>
      <c r="S142" s="48">
        <v>0.28640759606243349</v>
      </c>
      <c r="T142" s="40">
        <v>0.18717808873976299</v>
      </c>
      <c r="U142" s="40">
        <v>0.39518720702583199</v>
      </c>
      <c r="V142" s="40">
        <v>0.40109118608216698</v>
      </c>
      <c r="W142" s="40">
        <v>0.41579389674815698</v>
      </c>
      <c r="X142" s="40">
        <v>0.25655858472732102</v>
      </c>
      <c r="Y142" s="40">
        <v>0.23663408282187601</v>
      </c>
      <c r="Z142" s="43">
        <v>0.26</v>
      </c>
      <c r="AA142" s="43">
        <v>0.243517473953969</v>
      </c>
      <c r="AB142" s="43">
        <f t="shared" si="4"/>
        <v>1.648252604603101E-2</v>
      </c>
      <c r="AC142" s="45">
        <v>0.41114123614227499</v>
      </c>
      <c r="AD142" s="45">
        <f t="shared" si="5"/>
        <v>-0.15114123614227498</v>
      </c>
    </row>
    <row r="143" spans="1:30" ht="15" x14ac:dyDescent="0.2">
      <c r="B143" s="41">
        <v>10</v>
      </c>
      <c r="C143" s="42">
        <v>528</v>
      </c>
      <c r="D143" s="42">
        <v>1</v>
      </c>
      <c r="E143" s="41">
        <v>45</v>
      </c>
      <c r="F143" s="43">
        <v>2.8</v>
      </c>
      <c r="G143" s="41">
        <v>40</v>
      </c>
      <c r="H143" s="41">
        <v>45</v>
      </c>
      <c r="I143" s="40">
        <v>100</v>
      </c>
      <c r="J143" s="41">
        <v>250</v>
      </c>
      <c r="K143" s="42">
        <v>78.5</v>
      </c>
      <c r="L143" s="43">
        <v>6.04</v>
      </c>
      <c r="M143" s="40">
        <v>0.35254203572958398</v>
      </c>
      <c r="N143" s="40">
        <v>0.31057003114677001</v>
      </c>
      <c r="O143" s="40">
        <v>0.34159178299388698</v>
      </c>
      <c r="P143" s="40">
        <v>0.29280468882169902</v>
      </c>
      <c r="Q143" s="40">
        <v>0.55856864367273296</v>
      </c>
      <c r="R143" s="40">
        <v>0.48574460534351699</v>
      </c>
      <c r="S143" s="48">
        <v>0.3069878390427308</v>
      </c>
      <c r="T143" s="40">
        <v>0.20002021129005601</v>
      </c>
      <c r="U143" s="40">
        <v>0.42023428352747</v>
      </c>
      <c r="V143" s="40">
        <v>0.43301290870637399</v>
      </c>
      <c r="W143" s="40">
        <v>0.463752248681288</v>
      </c>
      <c r="X143" s="40">
        <v>0.29465510072300799</v>
      </c>
      <c r="Y143" s="40">
        <v>0.27534445632166898</v>
      </c>
      <c r="Z143" s="43">
        <v>0.28000000000000003</v>
      </c>
      <c r="AA143" s="43">
        <v>0.27926531580955499</v>
      </c>
      <c r="AB143" s="43">
        <f t="shared" si="4"/>
        <v>7.3468419044503408E-4</v>
      </c>
      <c r="AC143" s="45">
        <v>0.47105554310325798</v>
      </c>
      <c r="AD143" s="45">
        <f t="shared" si="5"/>
        <v>-0.19105554310325795</v>
      </c>
    </row>
    <row r="144" spans="1:30" ht="15" x14ac:dyDescent="0.2">
      <c r="A144" s="40" t="s">
        <v>55</v>
      </c>
      <c r="B144" s="41">
        <v>10</v>
      </c>
      <c r="C144" s="42">
        <v>528</v>
      </c>
      <c r="D144" s="42">
        <v>1</v>
      </c>
      <c r="E144" s="41">
        <v>45</v>
      </c>
      <c r="F144" s="43">
        <v>2.8</v>
      </c>
      <c r="G144" s="41">
        <v>40</v>
      </c>
      <c r="H144" s="41">
        <v>45</v>
      </c>
      <c r="I144" s="40">
        <v>100</v>
      </c>
      <c r="J144" s="41">
        <v>250</v>
      </c>
      <c r="K144" s="42">
        <v>78.5</v>
      </c>
      <c r="L144" s="43">
        <v>3.76</v>
      </c>
      <c r="M144" s="40">
        <v>0.13228131416765199</v>
      </c>
      <c r="N144" s="40">
        <v>0.191995010940506</v>
      </c>
      <c r="O144" s="40">
        <v>0.21264654040679001</v>
      </c>
      <c r="P144" s="40">
        <v>0.11346968248886199</v>
      </c>
      <c r="Q144" s="40">
        <v>0.273670506254726</v>
      </c>
      <c r="R144" s="40">
        <v>0.30238405895556703</v>
      </c>
      <c r="S144" s="48">
        <v>0.17664630016751462</v>
      </c>
      <c r="T144" s="40">
        <v>0.118686768471537</v>
      </c>
      <c r="U144" s="40">
        <v>0.26160279901709999</v>
      </c>
      <c r="V144" s="40">
        <v>0.23870606841661501</v>
      </c>
      <c r="W144" s="40">
        <v>0.209494178149251</v>
      </c>
      <c r="X144" s="40">
        <v>0.15173906477409899</v>
      </c>
      <c r="Y144" s="40">
        <v>0.13350560248999799</v>
      </c>
      <c r="Z144" s="43">
        <v>0.15</v>
      </c>
      <c r="AA144" s="43">
        <v>0.14934653930778</v>
      </c>
      <c r="AB144" s="43">
        <f t="shared" si="4"/>
        <v>6.5346069221999814E-4</v>
      </c>
      <c r="AC144" s="45">
        <v>0.176421455378964</v>
      </c>
      <c r="AD144" s="45">
        <f t="shared" si="5"/>
        <v>-2.6421455378964009E-2</v>
      </c>
    </row>
    <row r="145" spans="1:30" ht="15" x14ac:dyDescent="0.2">
      <c r="B145" s="41">
        <v>10</v>
      </c>
      <c r="C145" s="42">
        <v>528</v>
      </c>
      <c r="D145" s="42">
        <v>1</v>
      </c>
      <c r="E145" s="41">
        <v>45</v>
      </c>
      <c r="F145" s="43">
        <v>2.8</v>
      </c>
      <c r="G145" s="41">
        <v>40</v>
      </c>
      <c r="H145" s="41">
        <v>45</v>
      </c>
      <c r="I145" s="40">
        <v>100</v>
      </c>
      <c r="J145" s="41">
        <v>250</v>
      </c>
      <c r="K145" s="42">
        <v>78.5</v>
      </c>
      <c r="L145" s="43">
        <v>4.0999999999999996</v>
      </c>
      <c r="M145" s="40">
        <v>0.16512721124267701</v>
      </c>
      <c r="N145" s="40">
        <v>0.209356261929807</v>
      </c>
      <c r="O145" s="40">
        <v>0.231875216932936</v>
      </c>
      <c r="P145" s="40">
        <v>0.134918611549185</v>
      </c>
      <c r="Q145" s="40">
        <v>0.31615531622056903</v>
      </c>
      <c r="R145" s="40">
        <v>0.329727298329208</v>
      </c>
      <c r="S145" s="48">
        <v>0.19608319631557314</v>
      </c>
      <c r="T145" s="40">
        <v>0.13081543976903501</v>
      </c>
      <c r="U145" s="40">
        <v>0.285258371268647</v>
      </c>
      <c r="V145" s="40">
        <v>0.26614281150680602</v>
      </c>
      <c r="W145" s="40">
        <v>0.24237273712832</v>
      </c>
      <c r="X145" s="40">
        <v>0.16689907169898499</v>
      </c>
      <c r="Y145" s="40">
        <v>0.14775687790169201</v>
      </c>
      <c r="Z145" s="43">
        <v>0.17</v>
      </c>
      <c r="AA145" s="43">
        <v>0.16285127956433501</v>
      </c>
      <c r="AB145" s="43">
        <f t="shared" si="4"/>
        <v>7.1487204356650014E-3</v>
      </c>
      <c r="AC145" s="45">
        <v>0.20977002213391199</v>
      </c>
      <c r="AD145" s="45">
        <f t="shared" si="5"/>
        <v>-3.9770022133911981E-2</v>
      </c>
    </row>
    <row r="146" spans="1:30" ht="15" x14ac:dyDescent="0.2">
      <c r="B146" s="41">
        <v>10</v>
      </c>
      <c r="C146" s="42">
        <v>528</v>
      </c>
      <c r="D146" s="42">
        <v>1</v>
      </c>
      <c r="E146" s="41">
        <v>45</v>
      </c>
      <c r="F146" s="43">
        <v>2.8</v>
      </c>
      <c r="G146" s="41">
        <v>40</v>
      </c>
      <c r="H146" s="41">
        <v>45</v>
      </c>
      <c r="I146" s="40">
        <v>100</v>
      </c>
      <c r="J146" s="41">
        <v>250</v>
      </c>
      <c r="K146" s="42">
        <v>78.5</v>
      </c>
      <c r="L146" s="43">
        <v>4.42</v>
      </c>
      <c r="M146" s="40">
        <v>0.19604099672505401</v>
      </c>
      <c r="N146" s="40">
        <v>0.22569626286091399</v>
      </c>
      <c r="O146" s="40">
        <v>0.24997279483989701</v>
      </c>
      <c r="P146" s="40">
        <v>0.156800949593665</v>
      </c>
      <c r="Q146" s="40">
        <v>0.35614101971783302</v>
      </c>
      <c r="R146" s="40">
        <v>0.355462111857342</v>
      </c>
      <c r="S146" s="48">
        <v>0.21437674563139295</v>
      </c>
      <c r="T146" s="40">
        <v>0.14223065981374</v>
      </c>
      <c r="U146" s="40">
        <v>0.30752243927010198</v>
      </c>
      <c r="V146" s="40">
        <v>0.292602451039504</v>
      </c>
      <c r="W146" s="40">
        <v>0.27435665355217498</v>
      </c>
      <c r="X146" s="40">
        <v>0.18125790317953899</v>
      </c>
      <c r="Y146" s="40">
        <v>0.16149996954731999</v>
      </c>
      <c r="Z146" s="43">
        <v>0.19</v>
      </c>
      <c r="AA146" s="43">
        <v>0.17556162333521</v>
      </c>
      <c r="AB146" s="43">
        <f t="shared" si="4"/>
        <v>1.4438376664790004E-2</v>
      </c>
      <c r="AC146" s="45">
        <v>0.243792448567338</v>
      </c>
      <c r="AD146" s="45">
        <f t="shared" si="5"/>
        <v>-5.3792448567338003E-2</v>
      </c>
    </row>
    <row r="147" spans="1:30" ht="15" x14ac:dyDescent="0.2">
      <c r="B147" s="41">
        <v>10</v>
      </c>
      <c r="C147" s="42">
        <v>528</v>
      </c>
      <c r="D147" s="42">
        <v>1</v>
      </c>
      <c r="E147" s="41">
        <v>45</v>
      </c>
      <c r="F147" s="43">
        <v>2.8</v>
      </c>
      <c r="G147" s="41">
        <v>40</v>
      </c>
      <c r="H147" s="41">
        <v>45</v>
      </c>
      <c r="I147" s="40">
        <v>100</v>
      </c>
      <c r="J147" s="41">
        <v>250</v>
      </c>
      <c r="K147" s="42">
        <v>78.5</v>
      </c>
      <c r="L147" s="43">
        <v>4.71</v>
      </c>
      <c r="M147" s="40">
        <v>0.22405661481845701</v>
      </c>
      <c r="N147" s="40">
        <v>0.24050438870472901</v>
      </c>
      <c r="O147" s="40">
        <v>0.26637372481808003</v>
      </c>
      <c r="P147" s="40">
        <v>0.178051634174199</v>
      </c>
      <c r="Q147" s="40">
        <v>0.39237806351222898</v>
      </c>
      <c r="R147" s="40">
        <v>0.37878428661721197</v>
      </c>
      <c r="S147" s="48">
        <v>0.23095527469885477</v>
      </c>
      <c r="T147" s="40">
        <v>0.15257570297925299</v>
      </c>
      <c r="U147" s="40">
        <v>0.32769925089642099</v>
      </c>
      <c r="V147" s="40">
        <v>0.31702702836497598</v>
      </c>
      <c r="W147" s="40">
        <v>0.30408944906393298</v>
      </c>
      <c r="X147" s="40">
        <v>0.19434647163506</v>
      </c>
      <c r="Y147" s="40">
        <v>0.174231158600682</v>
      </c>
      <c r="Z147" s="43">
        <v>0.2</v>
      </c>
      <c r="AA147" s="43">
        <v>0.187080372377565</v>
      </c>
      <c r="AB147" s="43">
        <f t="shared" si="4"/>
        <v>1.2919627622435009E-2</v>
      </c>
      <c r="AC147" s="45">
        <v>0.27683278691379598</v>
      </c>
      <c r="AD147" s="45">
        <f t="shared" si="5"/>
        <v>-7.683278691379597E-2</v>
      </c>
    </row>
    <row r="148" spans="1:30" ht="15" x14ac:dyDescent="0.2">
      <c r="B148" s="41">
        <v>10</v>
      </c>
      <c r="C148" s="42">
        <v>528</v>
      </c>
      <c r="D148" s="42">
        <v>1</v>
      </c>
      <c r="E148" s="41">
        <v>45</v>
      </c>
      <c r="F148" s="43">
        <v>2.8</v>
      </c>
      <c r="G148" s="41">
        <v>40</v>
      </c>
      <c r="H148" s="41">
        <v>45</v>
      </c>
      <c r="I148" s="40">
        <v>100</v>
      </c>
      <c r="J148" s="41">
        <v>250</v>
      </c>
      <c r="K148" s="42">
        <v>78.5</v>
      </c>
      <c r="L148" s="43">
        <v>5.04</v>
      </c>
      <c r="M148" s="40">
        <v>0.25593645609715798</v>
      </c>
      <c r="N148" s="40">
        <v>0.25735501466493299</v>
      </c>
      <c r="O148" s="40">
        <v>0.28503685203463403</v>
      </c>
      <c r="P148" s="40">
        <v>0.20387558614680501</v>
      </c>
      <c r="Q148" s="40">
        <v>0.43361332024378302</v>
      </c>
      <c r="R148" s="40">
        <v>0.40532331306809999</v>
      </c>
      <c r="S148" s="48">
        <v>0.24982049743079385</v>
      </c>
      <c r="T148" s="40">
        <v>0.164347648650355</v>
      </c>
      <c r="U148" s="40">
        <v>0.35065907102292199</v>
      </c>
      <c r="V148" s="40">
        <v>0.34525739406130102</v>
      </c>
      <c r="W148" s="40">
        <v>0.338662113309941</v>
      </c>
      <c r="X148" s="40">
        <v>0.20932811861929301</v>
      </c>
      <c r="Y148" s="40">
        <v>0.18903818382788001</v>
      </c>
      <c r="Z148" s="43">
        <v>0.22</v>
      </c>
      <c r="AA148" s="43">
        <v>0.20018791439128</v>
      </c>
      <c r="AB148" s="43">
        <f t="shared" si="4"/>
        <v>1.9812085608719998E-2</v>
      </c>
      <c r="AC148" s="45">
        <v>0.31698359275650101</v>
      </c>
      <c r="AD148" s="45">
        <f t="shared" si="5"/>
        <v>-9.6983592756501008E-2</v>
      </c>
    </row>
    <row r="149" spans="1:30" ht="15" x14ac:dyDescent="0.2">
      <c r="B149" s="41">
        <v>10</v>
      </c>
      <c r="C149" s="42">
        <v>528</v>
      </c>
      <c r="D149" s="42">
        <v>1</v>
      </c>
      <c r="E149" s="41">
        <v>45</v>
      </c>
      <c r="F149" s="43">
        <v>2.8</v>
      </c>
      <c r="G149" s="41">
        <v>40</v>
      </c>
      <c r="H149" s="41">
        <v>45</v>
      </c>
      <c r="I149" s="40">
        <v>100</v>
      </c>
      <c r="J149" s="41">
        <v>250</v>
      </c>
      <c r="K149" s="42">
        <v>78.5</v>
      </c>
      <c r="L149" s="43">
        <v>5.37</v>
      </c>
      <c r="M149" s="40">
        <v>0.28781629737585801</v>
      </c>
      <c r="N149" s="40">
        <v>0.27420564062513703</v>
      </c>
      <c r="O149" s="40">
        <v>0.30369997925118702</v>
      </c>
      <c r="P149" s="40">
        <v>0.23144762102217101</v>
      </c>
      <c r="Q149" s="40">
        <v>0.474848576975336</v>
      </c>
      <c r="R149" s="40">
        <v>0.431862339518987</v>
      </c>
      <c r="S149" s="48">
        <v>0.26868572016273307</v>
      </c>
      <c r="T149" s="40">
        <v>0.17611959432145599</v>
      </c>
      <c r="U149" s="40">
        <v>0.37361889114942198</v>
      </c>
      <c r="V149" s="40">
        <v>0.37388575167897697</v>
      </c>
      <c r="W149" s="40">
        <v>0.37390093350476</v>
      </c>
      <c r="X149" s="40">
        <v>0.224403186199577</v>
      </c>
      <c r="Y149" s="40">
        <v>0.20418565206210701</v>
      </c>
      <c r="Z149" s="43">
        <v>0.24</v>
      </c>
      <c r="AA149" s="43">
        <v>0.213295456404995</v>
      </c>
      <c r="AB149" s="43">
        <f t="shared" si="4"/>
        <v>2.6704543595004987E-2</v>
      </c>
      <c r="AC149" s="45">
        <v>0.35985229930240398</v>
      </c>
      <c r="AD149" s="45">
        <f t="shared" si="5"/>
        <v>-0.11985229930240399</v>
      </c>
    </row>
    <row r="150" spans="1:30" ht="15" x14ac:dyDescent="0.2">
      <c r="B150" s="41">
        <v>10</v>
      </c>
      <c r="C150" s="42">
        <v>528</v>
      </c>
      <c r="D150" s="42">
        <v>1</v>
      </c>
      <c r="E150" s="41">
        <v>45</v>
      </c>
      <c r="F150" s="43">
        <v>2.8</v>
      </c>
      <c r="G150" s="41">
        <v>40</v>
      </c>
      <c r="H150" s="41">
        <v>45</v>
      </c>
      <c r="I150" s="40">
        <v>100</v>
      </c>
      <c r="J150" s="41">
        <v>250</v>
      </c>
      <c r="K150" s="42">
        <v>78.5</v>
      </c>
      <c r="L150" s="43">
        <v>5.65</v>
      </c>
      <c r="M150" s="40">
        <v>0.31486585967293801</v>
      </c>
      <c r="N150" s="40">
        <v>0.288503141439856</v>
      </c>
      <c r="O150" s="40">
        <v>0.31953535991977799</v>
      </c>
      <c r="P150" s="40">
        <v>0.25621293142051599</v>
      </c>
      <c r="Q150" s="40">
        <v>0.50983606753544297</v>
      </c>
      <c r="R150" s="40">
        <v>0.45438030135610402</v>
      </c>
      <c r="S150" s="48">
        <v>0.28469257581407542</v>
      </c>
      <c r="T150" s="40">
        <v>0.18610791186057199</v>
      </c>
      <c r="U150" s="40">
        <v>0.39309995065069597</v>
      </c>
      <c r="V150" s="40">
        <v>0.39844633749403102</v>
      </c>
      <c r="W150" s="40">
        <v>0.41174918970052599</v>
      </c>
      <c r="X150" s="40">
        <v>0.25338889352278599</v>
      </c>
      <c r="Y150" s="40">
        <v>0.233426506624268</v>
      </c>
      <c r="Z150" s="43">
        <v>0.26</v>
      </c>
      <c r="AA150" s="43">
        <v>0.24053848713267001</v>
      </c>
      <c r="AB150" s="43">
        <f t="shared" si="4"/>
        <v>1.946151286733E-2</v>
      </c>
      <c r="AC150" s="45">
        <v>0.40614837722885999</v>
      </c>
      <c r="AD150" s="45">
        <f t="shared" si="5"/>
        <v>-0.14614837722885998</v>
      </c>
    </row>
    <row r="151" spans="1:30" ht="15" x14ac:dyDescent="0.2">
      <c r="B151" s="41">
        <v>10</v>
      </c>
      <c r="C151" s="42">
        <v>528</v>
      </c>
      <c r="D151" s="42">
        <v>1</v>
      </c>
      <c r="E151" s="41">
        <v>45</v>
      </c>
      <c r="F151" s="43">
        <v>2.8</v>
      </c>
      <c r="G151" s="41">
        <v>40</v>
      </c>
      <c r="H151" s="41">
        <v>45</v>
      </c>
      <c r="I151" s="40">
        <v>100</v>
      </c>
      <c r="J151" s="41">
        <v>250</v>
      </c>
      <c r="K151" s="42">
        <v>78.5</v>
      </c>
      <c r="L151" s="43">
        <v>5.92</v>
      </c>
      <c r="M151" s="40">
        <v>0.34094936617369298</v>
      </c>
      <c r="N151" s="40">
        <v>0.30229001722547699</v>
      </c>
      <c r="O151" s="40">
        <v>0.334805191278776</v>
      </c>
      <c r="P151" s="40">
        <v>0.28128564115391802</v>
      </c>
      <c r="Q151" s="40">
        <v>0.54357400486125895</v>
      </c>
      <c r="R151" s="40">
        <v>0.47609405027046697</v>
      </c>
      <c r="S151" s="48">
        <v>0.30012775804929837</v>
      </c>
      <c r="T151" s="40">
        <v>0.195739503773292</v>
      </c>
      <c r="U151" s="40">
        <v>0.41188525802692399</v>
      </c>
      <c r="V151" s="40">
        <v>0.42233606372638999</v>
      </c>
      <c r="W151" s="40">
        <v>0.44788219378817901</v>
      </c>
      <c r="X151" s="40">
        <v>0.28194390892111099</v>
      </c>
      <c r="Y151" s="40">
        <v>0.262395981231277</v>
      </c>
      <c r="Z151" s="43">
        <v>0.28999999999999998</v>
      </c>
      <c r="AA151" s="43">
        <v>0.26734936852435898</v>
      </c>
      <c r="AB151" s="43">
        <f t="shared" si="4"/>
        <v>2.2650631475641003E-2</v>
      </c>
      <c r="AC151" s="45">
        <v>0.45108410744959698</v>
      </c>
      <c r="AD151" s="45">
        <f t="shared" si="5"/>
        <v>-0.161084107449597</v>
      </c>
    </row>
    <row r="152" spans="1:30" ht="15" x14ac:dyDescent="0.2">
      <c r="A152" s="40" t="s">
        <v>56</v>
      </c>
      <c r="B152" s="41">
        <v>20</v>
      </c>
      <c r="C152" s="42">
        <v>598</v>
      </c>
      <c r="D152" s="42">
        <v>1</v>
      </c>
      <c r="E152" s="41">
        <v>40</v>
      </c>
      <c r="F152" s="43">
        <v>2.8</v>
      </c>
      <c r="G152" s="41">
        <v>40</v>
      </c>
      <c r="H152" s="41">
        <v>50</v>
      </c>
      <c r="I152" s="40">
        <v>100</v>
      </c>
      <c r="J152" s="41">
        <v>250</v>
      </c>
      <c r="K152" s="42">
        <v>315</v>
      </c>
      <c r="L152" s="43">
        <v>11.09</v>
      </c>
      <c r="M152" s="40">
        <v>0.13248092114240001</v>
      </c>
      <c r="N152" s="40">
        <v>0.144212393826816</v>
      </c>
      <c r="O152" s="40">
        <v>0.17073851136246301</v>
      </c>
      <c r="P152" s="40">
        <v>0.15478528012645701</v>
      </c>
      <c r="Q152" s="40">
        <v>0.17950779201610101</v>
      </c>
      <c r="R152" s="40">
        <v>0.23280084374718699</v>
      </c>
      <c r="S152" s="48">
        <v>0.20157849860937077</v>
      </c>
      <c r="T152" s="40">
        <v>0.10063566624985</v>
      </c>
      <c r="U152" s="40">
        <v>0.24631464196932101</v>
      </c>
      <c r="V152" s="40">
        <v>0.185182642216358</v>
      </c>
      <c r="W152" s="40">
        <v>0.13944355439065201</v>
      </c>
      <c r="X152" s="40">
        <v>0.14747598455261901</v>
      </c>
      <c r="Y152" s="40">
        <v>0.12676079812586599</v>
      </c>
      <c r="Z152" s="43">
        <v>0.17</v>
      </c>
      <c r="AA152" s="43">
        <v>0.124480015931012</v>
      </c>
      <c r="AB152" s="43">
        <f t="shared" si="4"/>
        <v>4.5519984068988009E-2</v>
      </c>
      <c r="AC152" s="45">
        <v>0.124480015931012</v>
      </c>
      <c r="AD152" s="45">
        <f t="shared" si="5"/>
        <v>4.5519984068988009E-2</v>
      </c>
    </row>
    <row r="153" spans="1:30" ht="15" x14ac:dyDescent="0.2">
      <c r="B153" s="41">
        <v>20</v>
      </c>
      <c r="C153" s="42">
        <v>598</v>
      </c>
      <c r="D153" s="42">
        <v>1</v>
      </c>
      <c r="E153" s="41">
        <v>40</v>
      </c>
      <c r="F153" s="43">
        <v>2.8</v>
      </c>
      <c r="G153" s="41">
        <v>40</v>
      </c>
      <c r="H153" s="41">
        <v>50</v>
      </c>
      <c r="I153" s="40">
        <v>100</v>
      </c>
      <c r="J153" s="41">
        <v>250</v>
      </c>
      <c r="K153" s="42">
        <v>315</v>
      </c>
      <c r="L153" s="43">
        <v>12.96</v>
      </c>
      <c r="M153" s="40">
        <v>0.16092397911136799</v>
      </c>
      <c r="N153" s="40">
        <v>0.17517414622172001</v>
      </c>
      <c r="O153" s="40">
        <v>0.19952850381041701</v>
      </c>
      <c r="P153" s="40">
        <v>0.211386169121142</v>
      </c>
      <c r="Q153" s="40">
        <v>0.21464209910472301</v>
      </c>
      <c r="R153" s="40">
        <v>0.272055810186073</v>
      </c>
      <c r="S153" s="48">
        <v>0.2449642232514708</v>
      </c>
      <c r="T153" s="40">
        <v>0.119505028175292</v>
      </c>
      <c r="U153" s="40">
        <v>0.28784831018236201</v>
      </c>
      <c r="V153" s="40">
        <v>0.220226040212679</v>
      </c>
      <c r="W153" s="40">
        <v>0.188712851201184</v>
      </c>
      <c r="X153" s="40">
        <v>0.195477275263339</v>
      </c>
      <c r="Y153" s="40">
        <v>0.17118024534008899</v>
      </c>
      <c r="Z153" s="43">
        <v>0.2</v>
      </c>
      <c r="AA153" s="43">
        <v>0.16319147975293599</v>
      </c>
      <c r="AB153" s="43">
        <f t="shared" si="4"/>
        <v>3.6808520247064019E-2</v>
      </c>
      <c r="AC153" s="45">
        <v>0.17271575064382899</v>
      </c>
      <c r="AD153" s="45">
        <f t="shared" si="5"/>
        <v>2.728424935617102E-2</v>
      </c>
    </row>
    <row r="154" spans="1:30" ht="15" x14ac:dyDescent="0.2">
      <c r="B154" s="41">
        <v>20</v>
      </c>
      <c r="C154" s="42">
        <v>598</v>
      </c>
      <c r="D154" s="42">
        <v>1</v>
      </c>
      <c r="E154" s="41">
        <v>40</v>
      </c>
      <c r="F154" s="43">
        <v>2.8</v>
      </c>
      <c r="G154" s="41">
        <v>40</v>
      </c>
      <c r="H154" s="41">
        <v>50</v>
      </c>
      <c r="I154" s="40">
        <v>100</v>
      </c>
      <c r="J154" s="41">
        <v>250</v>
      </c>
      <c r="K154" s="42">
        <v>315</v>
      </c>
      <c r="L154" s="43">
        <v>14.77</v>
      </c>
      <c r="M154" s="40">
        <v>0.18845442559470099</v>
      </c>
      <c r="N154" s="40">
        <v>0.20514247340609201</v>
      </c>
      <c r="O154" s="40">
        <v>0.22739475318517399</v>
      </c>
      <c r="P154" s="40">
        <v>0.27455386120200997</v>
      </c>
      <c r="Q154" s="40">
        <v>0.24864910222258699</v>
      </c>
      <c r="R154" s="40">
        <v>0.31005125898520802</v>
      </c>
      <c r="S154" s="48">
        <v>0.28695789255746057</v>
      </c>
      <c r="T154" s="40">
        <v>0.137768956028261</v>
      </c>
      <c r="U154" s="40">
        <v>0.328049347329745</v>
      </c>
      <c r="V154" s="40">
        <v>0.25478960248972499</v>
      </c>
      <c r="W154" s="40">
        <v>0.23522198636617001</v>
      </c>
      <c r="X154" s="40">
        <v>0.24290464135782</v>
      </c>
      <c r="Y154" s="40">
        <v>0.21563755156994999</v>
      </c>
      <c r="Z154" s="43">
        <v>0.24</v>
      </c>
      <c r="AA154" s="43">
        <v>0.200660864521749</v>
      </c>
      <c r="AB154" s="43">
        <f t="shared" si="4"/>
        <v>3.9339135478250992E-2</v>
      </c>
      <c r="AC154" s="45">
        <v>0.22130062120069799</v>
      </c>
      <c r="AD154" s="45">
        <f t="shared" si="5"/>
        <v>1.8699378799302002E-2</v>
      </c>
    </row>
    <row r="155" spans="1:30" ht="15" x14ac:dyDescent="0.2">
      <c r="B155" s="41">
        <v>20</v>
      </c>
      <c r="C155" s="42">
        <v>598</v>
      </c>
      <c r="D155" s="42">
        <v>1</v>
      </c>
      <c r="E155" s="41">
        <v>40</v>
      </c>
      <c r="F155" s="43">
        <v>2.8</v>
      </c>
      <c r="G155" s="41">
        <v>40</v>
      </c>
      <c r="H155" s="41">
        <v>50</v>
      </c>
      <c r="I155" s="40">
        <v>100</v>
      </c>
      <c r="J155" s="41">
        <v>250</v>
      </c>
      <c r="K155" s="42">
        <v>315</v>
      </c>
      <c r="L155" s="43">
        <v>16.57</v>
      </c>
      <c r="M155" s="40">
        <v>0.21583277016376101</v>
      </c>
      <c r="N155" s="40">
        <v>0.23494522972204299</v>
      </c>
      <c r="O155" s="40">
        <v>0.25510704538106599</v>
      </c>
      <c r="P155" s="40">
        <v>0.34555054480386899</v>
      </c>
      <c r="Q155" s="40">
        <v>0.28246822134532401</v>
      </c>
      <c r="R155" s="40">
        <v>0.34783678817771801</v>
      </c>
      <c r="S155" s="48">
        <v>0.3287195526407653</v>
      </c>
      <c r="T155" s="40">
        <v>0.155931978202483</v>
      </c>
      <c r="U155" s="40">
        <v>0.36802827929951698</v>
      </c>
      <c r="V155" s="40">
        <v>0.28961854042916901</v>
      </c>
      <c r="W155" s="40">
        <v>0.28045553682490199</v>
      </c>
      <c r="X155" s="40">
        <v>0.29101258558818499</v>
      </c>
      <c r="Y155" s="40">
        <v>0.26127655931506399</v>
      </c>
      <c r="Z155" s="43">
        <v>0.27</v>
      </c>
      <c r="AA155" s="43">
        <v>0.23792323611504501</v>
      </c>
      <c r="AB155" s="43">
        <f t="shared" si="4"/>
        <v>3.2076763884955006E-2</v>
      </c>
      <c r="AC155" s="45">
        <v>0.26961706705835697</v>
      </c>
      <c r="AD155" s="45">
        <f t="shared" si="5"/>
        <v>3.8293294164304381E-4</v>
      </c>
    </row>
    <row r="156" spans="1:30" ht="15" x14ac:dyDescent="0.2">
      <c r="B156" s="41">
        <v>20</v>
      </c>
      <c r="C156" s="42">
        <v>598</v>
      </c>
      <c r="D156" s="42">
        <v>1</v>
      </c>
      <c r="E156" s="41">
        <v>40</v>
      </c>
      <c r="F156" s="43">
        <v>2.8</v>
      </c>
      <c r="G156" s="41">
        <v>40</v>
      </c>
      <c r="H156" s="41">
        <v>50</v>
      </c>
      <c r="I156" s="40">
        <v>100</v>
      </c>
      <c r="J156" s="41">
        <v>250</v>
      </c>
      <c r="K156" s="42">
        <v>315</v>
      </c>
      <c r="L156" s="43">
        <v>18.350000000000001</v>
      </c>
      <c r="M156" s="40">
        <v>0.24290691090427599</v>
      </c>
      <c r="N156" s="40">
        <v>0.26441684430114898</v>
      </c>
      <c r="O156" s="40">
        <v>0.28251142321922501</v>
      </c>
      <c r="P156" s="40">
        <v>0.42377828820333802</v>
      </c>
      <c r="Q156" s="40">
        <v>0.31591157247780899</v>
      </c>
      <c r="R156" s="40">
        <v>0.385202478156978</v>
      </c>
      <c r="S156" s="48">
        <v>0.37001719427870017</v>
      </c>
      <c r="T156" s="40">
        <v>0.17389318901921499</v>
      </c>
      <c r="U156" s="40">
        <v>0.40756300091406999</v>
      </c>
      <c r="V156" s="40">
        <v>0.32439945549780003</v>
      </c>
      <c r="W156" s="40">
        <v>0.32430026204481099</v>
      </c>
      <c r="X156" s="40">
        <v>0.33951038519894</v>
      </c>
      <c r="Y156" s="40">
        <v>0.3078082002243</v>
      </c>
      <c r="Z156" s="43">
        <v>0.32</v>
      </c>
      <c r="AA156" s="43">
        <v>0.27477158135730401</v>
      </c>
      <c r="AB156" s="43">
        <f t="shared" si="4"/>
        <v>4.5228418642696E-2</v>
      </c>
      <c r="AC156" s="45">
        <v>0.31739666351759799</v>
      </c>
      <c r="AD156" s="45">
        <f t="shared" si="5"/>
        <v>2.6033364824020189E-3</v>
      </c>
    </row>
    <row r="157" spans="1:30" ht="15" x14ac:dyDescent="0.2">
      <c r="B157" s="41">
        <v>20</v>
      </c>
      <c r="C157" s="42">
        <v>598</v>
      </c>
      <c r="D157" s="42">
        <v>1</v>
      </c>
      <c r="E157" s="41">
        <v>40</v>
      </c>
      <c r="F157" s="43">
        <v>2.8</v>
      </c>
      <c r="G157" s="41">
        <v>40</v>
      </c>
      <c r="H157" s="41">
        <v>50</v>
      </c>
      <c r="I157" s="40">
        <v>100</v>
      </c>
      <c r="J157" s="41">
        <v>250</v>
      </c>
      <c r="K157" s="42">
        <v>315</v>
      </c>
      <c r="L157" s="43">
        <v>20.18</v>
      </c>
      <c r="M157" s="40">
        <v>0.270741561216154</v>
      </c>
      <c r="N157" s="40">
        <v>0.29471631322236502</v>
      </c>
      <c r="O157" s="40">
        <v>0.310685586951714</v>
      </c>
      <c r="P157" s="40">
        <v>0.51251772415843</v>
      </c>
      <c r="Q157" s="40">
        <v>0.35029434358592598</v>
      </c>
      <c r="R157" s="40">
        <v>0.42361776616936397</v>
      </c>
      <c r="S157" s="48">
        <v>0.41247488203005989</v>
      </c>
      <c r="T157" s="40">
        <v>0.19235892822967501</v>
      </c>
      <c r="U157" s="40">
        <v>0.44820824841667201</v>
      </c>
      <c r="V157" s="40">
        <v>0.360431195859653</v>
      </c>
      <c r="W157" s="40">
        <v>0.36856181324478998</v>
      </c>
      <c r="X157" s="40">
        <v>0.39032880046409801</v>
      </c>
      <c r="Y157" s="40">
        <v>0.357098020389924</v>
      </c>
      <c r="Z157" s="43">
        <v>0.34</v>
      </c>
      <c r="AA157" s="43">
        <v>0.312654992477154</v>
      </c>
      <c r="AB157" s="43">
        <f t="shared" si="4"/>
        <v>2.7345007522846021E-2</v>
      </c>
      <c r="AC157" s="45">
        <v>0.36651838347288501</v>
      </c>
      <c r="AD157" s="45">
        <f t="shared" si="5"/>
        <v>-2.6518383472884988E-2</v>
      </c>
    </row>
    <row r="158" spans="1:30" ht="15" x14ac:dyDescent="0.2">
      <c r="A158" s="40" t="s">
        <v>57</v>
      </c>
      <c r="B158" s="41">
        <v>20</v>
      </c>
      <c r="C158" s="42">
        <v>598</v>
      </c>
      <c r="D158" s="42">
        <v>1</v>
      </c>
      <c r="E158" s="41">
        <v>40</v>
      </c>
      <c r="F158" s="43">
        <v>2.8</v>
      </c>
      <c r="G158" s="41">
        <v>40</v>
      </c>
      <c r="H158" s="41">
        <v>50</v>
      </c>
      <c r="I158" s="40">
        <v>100</v>
      </c>
      <c r="J158" s="41">
        <v>250</v>
      </c>
      <c r="K158" s="42">
        <v>315</v>
      </c>
      <c r="L158" s="43">
        <v>9.35</v>
      </c>
      <c r="M158" s="40">
        <v>0.106015188058975</v>
      </c>
      <c r="N158" s="40">
        <v>0.115403062721397</v>
      </c>
      <c r="O158" s="40">
        <v>0.143949962239768</v>
      </c>
      <c r="P158" s="40">
        <v>0.11002459711025001</v>
      </c>
      <c r="Q158" s="40">
        <v>0.14681597686412201</v>
      </c>
      <c r="R158" s="40">
        <v>0.19627483219442801</v>
      </c>
      <c r="S158" s="48">
        <v>0.16120889386217613</v>
      </c>
      <c r="T158" s="40">
        <v>8.3078078148101003E-2</v>
      </c>
      <c r="U158" s="40">
        <v>0.20766834106520701</v>
      </c>
      <c r="V158" s="40">
        <v>0.153451057980211</v>
      </c>
      <c r="W158" s="40">
        <v>9.2345050099274004E-2</v>
      </c>
      <c r="X158" s="40">
        <v>0.103722869489561</v>
      </c>
      <c r="Y158" s="40">
        <v>8.6809078464998302E-2</v>
      </c>
      <c r="Z158" s="43">
        <v>0.16</v>
      </c>
      <c r="AA158" s="43">
        <v>8.84597233908265E-2</v>
      </c>
      <c r="AB158" s="43">
        <f t="shared" si="4"/>
        <v>7.1540276609173503E-2</v>
      </c>
      <c r="AC158" s="45">
        <v>8.84597233908265E-2</v>
      </c>
      <c r="AD158" s="45">
        <f t="shared" si="5"/>
        <v>7.1540276609173503E-2</v>
      </c>
    </row>
    <row r="159" spans="1:30" ht="15" x14ac:dyDescent="0.2">
      <c r="B159" s="41">
        <v>20</v>
      </c>
      <c r="C159" s="42">
        <v>598</v>
      </c>
      <c r="D159" s="42">
        <v>1</v>
      </c>
      <c r="E159" s="41">
        <v>40</v>
      </c>
      <c r="F159" s="43">
        <v>2.8</v>
      </c>
      <c r="G159" s="41">
        <v>40</v>
      </c>
      <c r="H159" s="41">
        <v>50</v>
      </c>
      <c r="I159" s="40">
        <v>100</v>
      </c>
      <c r="J159" s="41">
        <v>250</v>
      </c>
      <c r="K159" s="42">
        <v>315</v>
      </c>
      <c r="L159" s="43">
        <v>11.12</v>
      </c>
      <c r="M159" s="40">
        <v>0.132937226885218</v>
      </c>
      <c r="N159" s="40">
        <v>0.14470910643208201</v>
      </c>
      <c r="O159" s="40">
        <v>0.171200382899061</v>
      </c>
      <c r="P159" s="40">
        <v>0.155623844444048</v>
      </c>
      <c r="Q159" s="40">
        <v>0.18007144400148001</v>
      </c>
      <c r="R159" s="40">
        <v>0.23343060256706299</v>
      </c>
      <c r="S159" s="48">
        <v>0.20227452627742584</v>
      </c>
      <c r="T159" s="40">
        <v>0.10093838328608699</v>
      </c>
      <c r="U159" s="40">
        <v>0.24698095750214999</v>
      </c>
      <c r="V159" s="40">
        <v>0.185738122217456</v>
      </c>
      <c r="W159" s="40">
        <v>0.14024456075224601</v>
      </c>
      <c r="X159" s="40">
        <v>0.14823805135601001</v>
      </c>
      <c r="Y159" s="40">
        <v>0.127461284590206</v>
      </c>
      <c r="Z159" s="43">
        <v>0.2</v>
      </c>
      <c r="AA159" s="43">
        <v>0.125101055457567</v>
      </c>
      <c r="AB159" s="43">
        <f t="shared" si="4"/>
        <v>7.489894454243301E-2</v>
      </c>
      <c r="AC159" s="45">
        <v>0.125101055457567</v>
      </c>
      <c r="AD159" s="45">
        <f t="shared" si="5"/>
        <v>7.489894454243301E-2</v>
      </c>
    </row>
    <row r="160" spans="1:30" ht="15" x14ac:dyDescent="0.2">
      <c r="B160" s="41">
        <v>20</v>
      </c>
      <c r="C160" s="42">
        <v>598</v>
      </c>
      <c r="D160" s="42">
        <v>1</v>
      </c>
      <c r="E160" s="41">
        <v>40</v>
      </c>
      <c r="F160" s="43">
        <v>2.8</v>
      </c>
      <c r="G160" s="41">
        <v>40</v>
      </c>
      <c r="H160" s="41">
        <v>50</v>
      </c>
      <c r="I160" s="40">
        <v>100</v>
      </c>
      <c r="J160" s="41">
        <v>250</v>
      </c>
      <c r="K160" s="42">
        <v>315</v>
      </c>
      <c r="L160" s="43">
        <v>12.93</v>
      </c>
      <c r="M160" s="40">
        <v>0.16046767336855</v>
      </c>
      <c r="N160" s="40">
        <v>0.17467743361645399</v>
      </c>
      <c r="O160" s="40">
        <v>0.19906663227381899</v>
      </c>
      <c r="P160" s="40">
        <v>0.21040866213409001</v>
      </c>
      <c r="Q160" s="40">
        <v>0.21407844711934401</v>
      </c>
      <c r="R160" s="40">
        <v>0.27142605136619802</v>
      </c>
      <c r="S160" s="48">
        <v>0.24426819558341561</v>
      </c>
      <c r="T160" s="40">
        <v>0.11920231113905499</v>
      </c>
      <c r="U160" s="40">
        <v>0.28718199464953298</v>
      </c>
      <c r="V160" s="40">
        <v>0.21965789619450499</v>
      </c>
      <c r="W160" s="40">
        <v>0.18793260733874201</v>
      </c>
      <c r="X160" s="40">
        <v>0.19469919370168001</v>
      </c>
      <c r="Y160" s="40">
        <v>0.17045550889916</v>
      </c>
      <c r="Z160" s="43">
        <v>0.24</v>
      </c>
      <c r="AA160" s="43">
        <v>0.16257044022638101</v>
      </c>
      <c r="AB160" s="43">
        <f t="shared" si="4"/>
        <v>7.7429559773618983E-2</v>
      </c>
      <c r="AC160" s="45">
        <v>0.17191047654620101</v>
      </c>
      <c r="AD160" s="45">
        <f t="shared" si="5"/>
        <v>6.8089523453798984E-2</v>
      </c>
    </row>
    <row r="161" spans="1:30" ht="15" x14ac:dyDescent="0.2">
      <c r="B161" s="41">
        <v>20</v>
      </c>
      <c r="C161" s="42">
        <v>598</v>
      </c>
      <c r="D161" s="42">
        <v>1</v>
      </c>
      <c r="E161" s="41">
        <v>40</v>
      </c>
      <c r="F161" s="43">
        <v>2.8</v>
      </c>
      <c r="G161" s="41">
        <v>40</v>
      </c>
      <c r="H161" s="41">
        <v>50</v>
      </c>
      <c r="I161" s="40">
        <v>100</v>
      </c>
      <c r="J161" s="41">
        <v>250</v>
      </c>
      <c r="K161" s="42">
        <v>315</v>
      </c>
      <c r="L161" s="43">
        <v>14.72</v>
      </c>
      <c r="M161" s="40">
        <v>0.18769391602333799</v>
      </c>
      <c r="N161" s="40">
        <v>0.20431461906398299</v>
      </c>
      <c r="O161" s="40">
        <v>0.226624967290844</v>
      </c>
      <c r="P161" s="40">
        <v>0.27269814592917901</v>
      </c>
      <c r="Q161" s="40">
        <v>0.247709682246955</v>
      </c>
      <c r="R161" s="40">
        <v>0.30900166095208298</v>
      </c>
      <c r="S161" s="48">
        <v>0.28579784644403539</v>
      </c>
      <c r="T161" s="40">
        <v>0.137264427634532</v>
      </c>
      <c r="U161" s="40">
        <v>0.326938821441695</v>
      </c>
      <c r="V161" s="40">
        <v>0.25382800628511099</v>
      </c>
      <c r="W161" s="40">
        <v>0.23395156543887399</v>
      </c>
      <c r="X161" s="40">
        <v>0.24158172773614101</v>
      </c>
      <c r="Y161" s="40">
        <v>0.214390119496425</v>
      </c>
      <c r="Z161" s="43">
        <v>0.27</v>
      </c>
      <c r="AA161" s="43">
        <v>0.199625798644158</v>
      </c>
      <c r="AB161" s="43">
        <f t="shared" si="4"/>
        <v>7.037420135584202E-2</v>
      </c>
      <c r="AC161" s="45">
        <v>0.21995849770465101</v>
      </c>
      <c r="AD161" s="45">
        <f t="shared" si="5"/>
        <v>5.0041502295349011E-2</v>
      </c>
    </row>
    <row r="162" spans="1:30" ht="15" x14ac:dyDescent="0.2">
      <c r="B162" s="41">
        <v>20</v>
      </c>
      <c r="C162" s="42">
        <v>598</v>
      </c>
      <c r="D162" s="42">
        <v>1</v>
      </c>
      <c r="E162" s="41">
        <v>40</v>
      </c>
      <c r="F162" s="43">
        <v>2.8</v>
      </c>
      <c r="G162" s="41">
        <v>40</v>
      </c>
      <c r="H162" s="41">
        <v>50</v>
      </c>
      <c r="I162" s="40">
        <v>100</v>
      </c>
      <c r="J162" s="41">
        <v>250</v>
      </c>
      <c r="K162" s="42">
        <v>315</v>
      </c>
      <c r="L162" s="43">
        <v>16.579999999999998</v>
      </c>
      <c r="M162" s="40">
        <v>0.21598487207803399</v>
      </c>
      <c r="N162" s="40">
        <v>0.23511080059046499</v>
      </c>
      <c r="O162" s="40">
        <v>0.255261002559932</v>
      </c>
      <c r="P162" s="40">
        <v>0.34596775037385402</v>
      </c>
      <c r="Q162" s="40">
        <v>0.28265610534045099</v>
      </c>
      <c r="R162" s="40">
        <v>0.34804670778434299</v>
      </c>
      <c r="S162" s="48">
        <v>0.32895156186345037</v>
      </c>
      <c r="T162" s="40">
        <v>0.15603288388122899</v>
      </c>
      <c r="U162" s="40">
        <v>0.36825038447712699</v>
      </c>
      <c r="V162" s="40">
        <v>0.28981307962130498</v>
      </c>
      <c r="W162" s="40">
        <v>0.28070421823216002</v>
      </c>
      <c r="X162" s="40">
        <v>0.29128247755303299</v>
      </c>
      <c r="Y162" s="40">
        <v>0.26153408512418203</v>
      </c>
      <c r="Z162" s="43">
        <v>0.28999999999999998</v>
      </c>
      <c r="AA162" s="43">
        <v>0.23813024929056301</v>
      </c>
      <c r="AB162" s="43">
        <f t="shared" si="4"/>
        <v>5.1869750709436974E-2</v>
      </c>
      <c r="AC162" s="45">
        <v>0.26988549175756599</v>
      </c>
      <c r="AD162" s="45">
        <f t="shared" si="5"/>
        <v>2.0114508242433993E-2</v>
      </c>
    </row>
    <row r="163" spans="1:30" ht="15" x14ac:dyDescent="0.2">
      <c r="B163" s="41">
        <v>20</v>
      </c>
      <c r="C163" s="42">
        <v>598</v>
      </c>
      <c r="D163" s="42">
        <v>1</v>
      </c>
      <c r="E163" s="41">
        <v>40</v>
      </c>
      <c r="F163" s="43">
        <v>2.8</v>
      </c>
      <c r="G163" s="41">
        <v>40</v>
      </c>
      <c r="H163" s="41">
        <v>50</v>
      </c>
      <c r="I163" s="40">
        <v>100</v>
      </c>
      <c r="J163" s="41">
        <v>250</v>
      </c>
      <c r="K163" s="42">
        <v>315</v>
      </c>
      <c r="L163" s="43">
        <v>18.350000000000001</v>
      </c>
      <c r="M163" s="40">
        <v>0.24290691090427599</v>
      </c>
      <c r="N163" s="40">
        <v>0.26441684430114898</v>
      </c>
      <c r="O163" s="40">
        <v>0.28251142321922501</v>
      </c>
      <c r="P163" s="40">
        <v>0.42377828820333802</v>
      </c>
      <c r="Q163" s="40">
        <v>0.31591157247780899</v>
      </c>
      <c r="R163" s="40">
        <v>0.385202478156978</v>
      </c>
      <c r="S163" s="48">
        <v>0.37001719427870017</v>
      </c>
      <c r="T163" s="40">
        <v>0.17389318901921499</v>
      </c>
      <c r="U163" s="40">
        <v>0.40756300091406999</v>
      </c>
      <c r="V163" s="40">
        <v>0.32439945549780003</v>
      </c>
      <c r="W163" s="40">
        <v>0.32430026204481099</v>
      </c>
      <c r="X163" s="40">
        <v>0.33951038519894</v>
      </c>
      <c r="Y163" s="40">
        <v>0.3078082002243</v>
      </c>
      <c r="Z163" s="43">
        <v>0.32</v>
      </c>
      <c r="AA163" s="43">
        <v>0.27477158135730401</v>
      </c>
      <c r="AB163" s="43">
        <f t="shared" si="4"/>
        <v>4.5228418642696E-2</v>
      </c>
      <c r="AC163" s="45">
        <v>0.31739666351759799</v>
      </c>
      <c r="AD163" s="45">
        <f t="shared" si="5"/>
        <v>2.6033364824020189E-3</v>
      </c>
    </row>
    <row r="164" spans="1:30" ht="15" x14ac:dyDescent="0.2">
      <c r="B164" s="41">
        <v>20</v>
      </c>
      <c r="C164" s="42">
        <v>598</v>
      </c>
      <c r="D164" s="42">
        <v>1</v>
      </c>
      <c r="E164" s="41">
        <v>40</v>
      </c>
      <c r="F164" s="43">
        <v>2.8</v>
      </c>
      <c r="G164" s="41">
        <v>40</v>
      </c>
      <c r="H164" s="41">
        <v>50</v>
      </c>
      <c r="I164" s="40">
        <v>100</v>
      </c>
      <c r="J164" s="41">
        <v>250</v>
      </c>
      <c r="K164" s="42">
        <v>315</v>
      </c>
      <c r="L164" s="43">
        <v>19.21</v>
      </c>
      <c r="M164" s="40">
        <v>0.25598767553171597</v>
      </c>
      <c r="N164" s="40">
        <v>0.278655938985436</v>
      </c>
      <c r="O164" s="40">
        <v>0.295751740601706</v>
      </c>
      <c r="P164" s="40">
        <v>0.46443110099199603</v>
      </c>
      <c r="Q164" s="40">
        <v>0.33206959605867298</v>
      </c>
      <c r="R164" s="40">
        <v>0.40325556432673298</v>
      </c>
      <c r="S164" s="48">
        <v>0.38996998742961225</v>
      </c>
      <c r="T164" s="40">
        <v>0.18257107739134301</v>
      </c>
      <c r="U164" s="40">
        <v>0.426664046188517</v>
      </c>
      <c r="V164" s="40">
        <v>0.34130165609476498</v>
      </c>
      <c r="W164" s="40">
        <v>0.34519771076126399</v>
      </c>
      <c r="X164" s="40">
        <v>0.363271253344434</v>
      </c>
      <c r="Y164" s="40">
        <v>0.330788485580298</v>
      </c>
      <c r="Z164" s="43">
        <v>0.33</v>
      </c>
      <c r="AA164" s="43">
        <v>0.29257471445187799</v>
      </c>
      <c r="AB164" s="43">
        <f t="shared" si="4"/>
        <v>3.7425285548122023E-2</v>
      </c>
      <c r="AC164" s="45">
        <v>0.34048118764959101</v>
      </c>
      <c r="AD164" s="45">
        <f t="shared" si="5"/>
        <v>-1.0481187649590995E-2</v>
      </c>
    </row>
    <row r="165" spans="1:30" ht="15" x14ac:dyDescent="0.2">
      <c r="A165" s="40" t="s">
        <v>58</v>
      </c>
      <c r="B165" s="41">
        <v>10</v>
      </c>
      <c r="C165" s="42">
        <v>528</v>
      </c>
      <c r="D165" s="42">
        <v>1</v>
      </c>
      <c r="E165" s="41">
        <v>45</v>
      </c>
      <c r="F165" s="43">
        <v>2.8</v>
      </c>
      <c r="G165" s="41">
        <v>40</v>
      </c>
      <c r="H165" s="41">
        <v>45</v>
      </c>
      <c r="I165" s="40">
        <v>100</v>
      </c>
      <c r="J165" s="41">
        <v>350</v>
      </c>
      <c r="K165" s="42">
        <v>78.5</v>
      </c>
      <c r="L165" s="43">
        <v>6.99</v>
      </c>
      <c r="M165" s="40">
        <v>0.16612686256381701</v>
      </c>
      <c r="N165" s="40">
        <v>0.29056052556803103</v>
      </c>
      <c r="O165" s="40">
        <v>0.26142925199470501</v>
      </c>
      <c r="P165" s="40">
        <v>0.171502935220785</v>
      </c>
      <c r="Q165" s="40">
        <v>0.29089804767317201</v>
      </c>
      <c r="R165" s="40">
        <v>0.33890172186871798</v>
      </c>
      <c r="S165" s="48">
        <v>0.22164211078456339</v>
      </c>
      <c r="T165" s="40">
        <v>0.16629907547758799</v>
      </c>
      <c r="U165" s="40">
        <v>0.29784780694114699</v>
      </c>
      <c r="V165" s="40">
        <v>0.31840171066058998</v>
      </c>
      <c r="W165" s="40">
        <v>0.30384449137941399</v>
      </c>
      <c r="X165" s="40">
        <v>0.195503858937085</v>
      </c>
      <c r="Y165" s="40">
        <v>0.17545639935142399</v>
      </c>
      <c r="Z165" s="43">
        <v>0.15</v>
      </c>
      <c r="AA165" s="43">
        <v>0.18861841261242801</v>
      </c>
      <c r="AB165" s="43">
        <f t="shared" si="4"/>
        <v>-3.8618412612428016E-2</v>
      </c>
      <c r="AC165" s="45">
        <v>0.27501332580010401</v>
      </c>
      <c r="AD165" s="45">
        <f t="shared" si="5"/>
        <v>-0.12501332580010402</v>
      </c>
    </row>
    <row r="166" spans="1:30" ht="15" x14ac:dyDescent="0.2">
      <c r="B166" s="41">
        <v>10</v>
      </c>
      <c r="C166" s="42">
        <v>528</v>
      </c>
      <c r="D166" s="42">
        <v>1</v>
      </c>
      <c r="E166" s="41">
        <v>45</v>
      </c>
      <c r="F166" s="43">
        <v>2.8</v>
      </c>
      <c r="G166" s="41">
        <v>40</v>
      </c>
      <c r="H166" s="41">
        <v>45</v>
      </c>
      <c r="I166" s="40">
        <v>100</v>
      </c>
      <c r="J166" s="41">
        <v>350</v>
      </c>
      <c r="K166" s="42">
        <v>78.5</v>
      </c>
      <c r="L166" s="43">
        <v>7.44</v>
      </c>
      <c r="M166" s="40">
        <v>0.20438424701114299</v>
      </c>
      <c r="N166" s="40">
        <v>0.30926613880202503</v>
      </c>
      <c r="O166" s="40">
        <v>0.27825946135058699</v>
      </c>
      <c r="P166" s="40">
        <v>0.19429564972313301</v>
      </c>
      <c r="Q166" s="40">
        <v>0.32823091625474299</v>
      </c>
      <c r="R166" s="40">
        <v>0.36071942928515999</v>
      </c>
      <c r="S166" s="48">
        <v>0.23831851981232305</v>
      </c>
      <c r="T166" s="40">
        <v>0.17827498836625799</v>
      </c>
      <c r="U166" s="40">
        <v>0.317022558460963</v>
      </c>
      <c r="V166" s="40">
        <v>0.344450240033985</v>
      </c>
      <c r="W166" s="40">
        <v>0.33569680133051499</v>
      </c>
      <c r="X166" s="40">
        <v>0.209321704944742</v>
      </c>
      <c r="Y166" s="40">
        <v>0.189058729982165</v>
      </c>
      <c r="Z166" s="43">
        <v>0.19</v>
      </c>
      <c r="AA166" s="43">
        <v>0.20076122887503001</v>
      </c>
      <c r="AB166" s="43">
        <f t="shared" si="4"/>
        <v>-1.0761228875030004E-2</v>
      </c>
      <c r="AC166" s="45">
        <v>0.31156255576653802</v>
      </c>
      <c r="AD166" s="45">
        <f t="shared" si="5"/>
        <v>-0.12156255576653802</v>
      </c>
    </row>
    <row r="167" spans="1:30" ht="15" x14ac:dyDescent="0.2">
      <c r="B167" s="41">
        <v>10</v>
      </c>
      <c r="C167" s="42">
        <v>528</v>
      </c>
      <c r="D167" s="42">
        <v>1</v>
      </c>
      <c r="E167" s="41">
        <v>45</v>
      </c>
      <c r="F167" s="43">
        <v>2.8</v>
      </c>
      <c r="G167" s="41">
        <v>40</v>
      </c>
      <c r="H167" s="41">
        <v>45</v>
      </c>
      <c r="I167" s="40">
        <v>100</v>
      </c>
      <c r="J167" s="41">
        <v>350</v>
      </c>
      <c r="K167" s="42">
        <v>78.5</v>
      </c>
      <c r="L167" s="43">
        <v>7.53</v>
      </c>
      <c r="M167" s="40">
        <v>0.21203572390060799</v>
      </c>
      <c r="N167" s="40">
        <v>0.31300726144882302</v>
      </c>
      <c r="O167" s="40">
        <v>0.281625503221764</v>
      </c>
      <c r="P167" s="40">
        <v>0.19902478258661399</v>
      </c>
      <c r="Q167" s="40">
        <v>0.33569748997105697</v>
      </c>
      <c r="R167" s="40">
        <v>0.36508297076844798</v>
      </c>
      <c r="S167" s="48">
        <v>0.24165380161787503</v>
      </c>
      <c r="T167" s="40">
        <v>0.18067017094399099</v>
      </c>
      <c r="U167" s="40">
        <v>0.32085750876492602</v>
      </c>
      <c r="V167" s="40">
        <v>0.349703575770485</v>
      </c>
      <c r="W167" s="40">
        <v>0.34214094285073698</v>
      </c>
      <c r="X167" s="40">
        <v>0.212094463166285</v>
      </c>
      <c r="Y167" s="40">
        <v>0.19181268270266599</v>
      </c>
      <c r="Z167" s="43">
        <v>0.2</v>
      </c>
      <c r="AA167" s="43">
        <v>0.20318979212755101</v>
      </c>
      <c r="AB167" s="43">
        <f t="shared" si="4"/>
        <v>-3.1897921275509944E-3</v>
      </c>
      <c r="AC167" s="45">
        <v>0.31914595109013499</v>
      </c>
      <c r="AD167" s="45">
        <f t="shared" si="5"/>
        <v>-0.11914595109013498</v>
      </c>
    </row>
    <row r="168" spans="1:30" ht="15" x14ac:dyDescent="0.2">
      <c r="B168" s="41">
        <v>10</v>
      </c>
      <c r="C168" s="42">
        <v>528</v>
      </c>
      <c r="D168" s="42">
        <v>1</v>
      </c>
      <c r="E168" s="41">
        <v>45</v>
      </c>
      <c r="F168" s="43">
        <v>2.8</v>
      </c>
      <c r="G168" s="41">
        <v>40</v>
      </c>
      <c r="H168" s="41">
        <v>45</v>
      </c>
      <c r="I168" s="40">
        <v>100</v>
      </c>
      <c r="J168" s="41">
        <v>350</v>
      </c>
      <c r="K168" s="42">
        <v>78.5</v>
      </c>
      <c r="L168" s="43">
        <v>7.91</v>
      </c>
      <c r="M168" s="40">
        <v>0.24434195965612701</v>
      </c>
      <c r="N168" s="40">
        <v>0.32880311262419598</v>
      </c>
      <c r="O168" s="40">
        <v>0.295837680011176</v>
      </c>
      <c r="P168" s="40">
        <v>0.21961913301830299</v>
      </c>
      <c r="Q168" s="40">
        <v>0.36722302343993801</v>
      </c>
      <c r="R168" s="40">
        <v>0.38350681258677599</v>
      </c>
      <c r="S168" s="48">
        <v>0.25573610257464974</v>
      </c>
      <c r="T168" s="40">
        <v>0.190783164049979</v>
      </c>
      <c r="U168" s="40">
        <v>0.33704952115943798</v>
      </c>
      <c r="V168" s="40">
        <v>0.37202957064007403</v>
      </c>
      <c r="W168" s="40">
        <v>0.36959248283878499</v>
      </c>
      <c r="X168" s="40">
        <v>0.223835433249297</v>
      </c>
      <c r="Y168" s="40">
        <v>0.20356354286723999</v>
      </c>
      <c r="Z168" s="43">
        <v>0.23</v>
      </c>
      <c r="AA168" s="43">
        <v>0.21344372586041499</v>
      </c>
      <c r="AB168" s="43">
        <f t="shared" si="4"/>
        <v>1.655627413958502E-2</v>
      </c>
      <c r="AC168" s="45">
        <v>0.35216999699127699</v>
      </c>
      <c r="AD168" s="45">
        <f t="shared" si="5"/>
        <v>-0.12216999699127698</v>
      </c>
    </row>
    <row r="169" spans="1:30" ht="15" x14ac:dyDescent="0.2">
      <c r="B169" s="41">
        <v>10</v>
      </c>
      <c r="C169" s="42">
        <v>528</v>
      </c>
      <c r="D169" s="42">
        <v>1</v>
      </c>
      <c r="E169" s="41">
        <v>45</v>
      </c>
      <c r="F169" s="43">
        <v>2.8</v>
      </c>
      <c r="G169" s="41">
        <v>40</v>
      </c>
      <c r="H169" s="41">
        <v>45</v>
      </c>
      <c r="I169" s="40">
        <v>100</v>
      </c>
      <c r="J169" s="41">
        <v>350</v>
      </c>
      <c r="K169" s="42">
        <v>78.5</v>
      </c>
      <c r="L169" s="43">
        <v>8.17</v>
      </c>
      <c r="M169" s="40">
        <v>0.26644622622569403</v>
      </c>
      <c r="N169" s="40">
        <v>0.339610800270503</v>
      </c>
      <c r="O169" s="40">
        <v>0.30556180097235203</v>
      </c>
      <c r="P169" s="40">
        <v>0.23429408193512999</v>
      </c>
      <c r="Q169" s="40">
        <v>0.388793125287068</v>
      </c>
      <c r="R169" s="40">
        <v>0.396112599094053</v>
      </c>
      <c r="S169" s="48">
        <v>0.26537136112402199</v>
      </c>
      <c r="T169" s="40">
        <v>0.197702580385655</v>
      </c>
      <c r="U169" s="40">
        <v>0.34812826648199802</v>
      </c>
      <c r="V169" s="40">
        <v>0.38743080156514598</v>
      </c>
      <c r="W169" s="40">
        <v>0.38992850264964901</v>
      </c>
      <c r="X169" s="40">
        <v>0.23463852108924299</v>
      </c>
      <c r="Y169" s="40">
        <v>0.214456589299963</v>
      </c>
      <c r="Z169" s="43">
        <v>0.25</v>
      </c>
      <c r="AA169" s="43">
        <v>0.223197905782135</v>
      </c>
      <c r="AB169" s="43">
        <f t="shared" si="4"/>
        <v>2.6802094217865002E-2</v>
      </c>
      <c r="AC169" s="45">
        <v>0.377154812503042</v>
      </c>
      <c r="AD169" s="45">
        <f t="shared" si="5"/>
        <v>-0.127154812503042</v>
      </c>
    </row>
    <row r="170" spans="1:30" ht="15" x14ac:dyDescent="0.2">
      <c r="B170" s="41">
        <v>10</v>
      </c>
      <c r="C170" s="42">
        <v>528</v>
      </c>
      <c r="D170" s="42">
        <v>1</v>
      </c>
      <c r="E170" s="41">
        <v>45</v>
      </c>
      <c r="F170" s="43">
        <v>2.8</v>
      </c>
      <c r="G170" s="41">
        <v>40</v>
      </c>
      <c r="H170" s="41">
        <v>45</v>
      </c>
      <c r="I170" s="40">
        <v>100</v>
      </c>
      <c r="J170" s="41">
        <v>350</v>
      </c>
      <c r="K170" s="42">
        <v>78.5</v>
      </c>
      <c r="L170" s="43">
        <v>8.4600000000000009</v>
      </c>
      <c r="M170" s="40">
        <v>0.29110098509174798</v>
      </c>
      <c r="N170" s="40">
        <v>0.35166552879907598</v>
      </c>
      <c r="O170" s="40">
        <v>0.31640793589058702</v>
      </c>
      <c r="P170" s="40">
        <v>0.25122215219469302</v>
      </c>
      <c r="Q170" s="40">
        <v>0.412852085039636</v>
      </c>
      <c r="R170" s="40">
        <v>0.41017289942909302</v>
      </c>
      <c r="S170" s="48">
        <v>0.27611838027524493</v>
      </c>
      <c r="T170" s="40">
        <v>0.20542039091390901</v>
      </c>
      <c r="U170" s="40">
        <v>0.360485328572547</v>
      </c>
      <c r="V170" s="40">
        <v>0.404718743820774</v>
      </c>
      <c r="W170" s="40">
        <v>0.41673683085261998</v>
      </c>
      <c r="X170" s="40">
        <v>0.25540204042553599</v>
      </c>
      <c r="Y170" s="40">
        <v>0.23540018910591101</v>
      </c>
      <c r="Z170" s="43">
        <v>0.28000000000000003</v>
      </c>
      <c r="AA170" s="43">
        <v>0.24276133198299499</v>
      </c>
      <c r="AB170" s="43">
        <f t="shared" si="4"/>
        <v>3.7238668017005039E-2</v>
      </c>
      <c r="AC170" s="45">
        <v>0.40994362049156402</v>
      </c>
      <c r="AD170" s="45">
        <f t="shared" si="5"/>
        <v>-0.12994362049156399</v>
      </c>
    </row>
    <row r="171" spans="1:30" ht="15" x14ac:dyDescent="0.2">
      <c r="B171" s="41">
        <v>10</v>
      </c>
      <c r="C171" s="42">
        <v>528</v>
      </c>
      <c r="D171" s="42">
        <v>1</v>
      </c>
      <c r="E171" s="41">
        <v>45</v>
      </c>
      <c r="F171" s="43">
        <v>2.8</v>
      </c>
      <c r="G171" s="41">
        <v>40</v>
      </c>
      <c r="H171" s="41">
        <v>45</v>
      </c>
      <c r="I171" s="40">
        <v>100</v>
      </c>
      <c r="J171" s="41">
        <v>350</v>
      </c>
      <c r="K171" s="42">
        <v>78.5</v>
      </c>
      <c r="L171" s="43">
        <v>8.7200000000000006</v>
      </c>
      <c r="M171" s="40">
        <v>0.31320525166131402</v>
      </c>
      <c r="N171" s="40">
        <v>0.36247321644538399</v>
      </c>
      <c r="O171" s="40">
        <v>0.326132056851764</v>
      </c>
      <c r="P171" s="40">
        <v>0.26690098443294502</v>
      </c>
      <c r="Q171" s="40">
        <v>0.43442218688676498</v>
      </c>
      <c r="R171" s="40">
        <v>0.42277868593637002</v>
      </c>
      <c r="S171" s="48">
        <v>0.28575363882461713</v>
      </c>
      <c r="T171" s="40">
        <v>0.21233980724958501</v>
      </c>
      <c r="U171" s="40">
        <v>0.37156407389510698</v>
      </c>
      <c r="V171" s="40">
        <v>0.420309206858276</v>
      </c>
      <c r="W171" s="40">
        <v>0.44049465646493702</v>
      </c>
      <c r="X171" s="40">
        <v>0.274044647137132</v>
      </c>
      <c r="Y171" s="40">
        <v>0.25427574013583598</v>
      </c>
      <c r="Z171" s="43">
        <v>0.31</v>
      </c>
      <c r="AA171" s="43">
        <v>0.26030095547342103</v>
      </c>
      <c r="AB171" s="43">
        <f t="shared" si="4"/>
        <v>4.9699044526578973E-2</v>
      </c>
      <c r="AC171" s="45">
        <v>0.4393404828261</v>
      </c>
      <c r="AD171" s="45">
        <f t="shared" si="5"/>
        <v>-0.1293404828261</v>
      </c>
    </row>
    <row r="172" spans="1:30" ht="15" x14ac:dyDescent="0.2">
      <c r="B172" s="41">
        <v>10</v>
      </c>
      <c r="C172" s="42">
        <v>528</v>
      </c>
      <c r="D172" s="42">
        <v>1</v>
      </c>
      <c r="E172" s="41">
        <v>45</v>
      </c>
      <c r="F172" s="43">
        <v>2.8</v>
      </c>
      <c r="G172" s="41">
        <v>40</v>
      </c>
      <c r="H172" s="41">
        <v>45</v>
      </c>
      <c r="I172" s="40">
        <v>100</v>
      </c>
      <c r="J172" s="41">
        <v>350</v>
      </c>
      <c r="K172" s="42">
        <v>78.5</v>
      </c>
      <c r="L172" s="43">
        <v>9.0299999999999994</v>
      </c>
      <c r="M172" s="40">
        <v>0.339560338725027</v>
      </c>
      <c r="N172" s="40">
        <v>0.37535930556213498</v>
      </c>
      <c r="O172" s="40">
        <v>0.33772620107470502</v>
      </c>
      <c r="P172" s="40">
        <v>0.28621520812574103</v>
      </c>
      <c r="Q172" s="40">
        <v>0.46014038524295803</v>
      </c>
      <c r="R172" s="40">
        <v>0.43780866215658498</v>
      </c>
      <c r="S172" s="48">
        <v>0.29724183171040697</v>
      </c>
      <c r="T172" s="40">
        <v>0.220589880572891</v>
      </c>
      <c r="U172" s="40">
        <v>0.38477334716431399</v>
      </c>
      <c r="V172" s="40">
        <v>0.43900154772071098</v>
      </c>
      <c r="W172" s="40">
        <v>0.46849395192920501</v>
      </c>
      <c r="X172" s="40">
        <v>0.29630577998567997</v>
      </c>
      <c r="Y172" s="40">
        <v>0.27690295546779398</v>
      </c>
      <c r="Z172" s="43">
        <v>0.36</v>
      </c>
      <c r="AA172" s="43">
        <v>0.28121358348123698</v>
      </c>
      <c r="AB172" s="43">
        <f t="shared" si="4"/>
        <v>7.8786416518763003E-2</v>
      </c>
      <c r="AC172" s="45">
        <v>0.47439058791727901</v>
      </c>
      <c r="AD172" s="45">
        <f t="shared" si="5"/>
        <v>-0.11439058791727902</v>
      </c>
    </row>
    <row r="173" spans="1:30" ht="15" x14ac:dyDescent="0.2">
      <c r="A173" s="40" t="s">
        <v>59</v>
      </c>
      <c r="B173" s="41">
        <v>10</v>
      </c>
      <c r="C173" s="42">
        <v>528</v>
      </c>
      <c r="D173" s="42">
        <v>1</v>
      </c>
      <c r="E173" s="41">
        <v>45</v>
      </c>
      <c r="F173" s="43">
        <v>2.8</v>
      </c>
      <c r="G173" s="41">
        <v>40</v>
      </c>
      <c r="H173" s="41">
        <v>45</v>
      </c>
      <c r="I173" s="40">
        <v>100</v>
      </c>
      <c r="J173" s="41">
        <v>350</v>
      </c>
      <c r="K173" s="42">
        <v>78.5</v>
      </c>
      <c r="L173" s="43">
        <v>6.96</v>
      </c>
      <c r="M173" s="40">
        <v>0.16357637026732899</v>
      </c>
      <c r="N173" s="40">
        <v>0.28931348468576501</v>
      </c>
      <c r="O173" s="40">
        <v>0.26030723803764599</v>
      </c>
      <c r="P173" s="40">
        <v>0.17003396609485399</v>
      </c>
      <c r="Q173" s="40">
        <v>0.288409189767734</v>
      </c>
      <c r="R173" s="40">
        <v>0.33744720804095601</v>
      </c>
      <c r="S173" s="48">
        <v>0.22053035018271278</v>
      </c>
      <c r="T173" s="40">
        <v>0.16550068128501</v>
      </c>
      <c r="U173" s="40">
        <v>0.29656949017315898</v>
      </c>
      <c r="V173" s="40">
        <v>0.316678909995873</v>
      </c>
      <c r="W173" s="40">
        <v>0.30174430777600902</v>
      </c>
      <c r="X173" s="40">
        <v>0.19458539187583701</v>
      </c>
      <c r="Y173" s="40">
        <v>0.17455949926325701</v>
      </c>
      <c r="Z173" s="43">
        <v>0.16</v>
      </c>
      <c r="AA173" s="43">
        <v>0.187808891528254</v>
      </c>
      <c r="AB173" s="43">
        <f t="shared" si="4"/>
        <v>-2.7808891528253998E-2</v>
      </c>
      <c r="AC173" s="45">
        <v>0.27265776212243298</v>
      </c>
      <c r="AD173" s="45">
        <f t="shared" si="5"/>
        <v>-0.11265776212243298</v>
      </c>
    </row>
    <row r="174" spans="1:30" ht="15" x14ac:dyDescent="0.2">
      <c r="B174" s="41">
        <v>10</v>
      </c>
      <c r="C174" s="42">
        <v>528</v>
      </c>
      <c r="D174" s="42">
        <v>1</v>
      </c>
      <c r="E174" s="41">
        <v>45</v>
      </c>
      <c r="F174" s="43">
        <v>2.8</v>
      </c>
      <c r="G174" s="41">
        <v>40</v>
      </c>
      <c r="H174" s="41">
        <v>45</v>
      </c>
      <c r="I174" s="40">
        <v>100</v>
      </c>
      <c r="J174" s="41">
        <v>350</v>
      </c>
      <c r="K174" s="42">
        <v>78.5</v>
      </c>
      <c r="L174" s="43">
        <v>7.26</v>
      </c>
      <c r="M174" s="40">
        <v>0.18908129323221201</v>
      </c>
      <c r="N174" s="40">
        <v>0.30178389350842699</v>
      </c>
      <c r="O174" s="40">
        <v>0.27152737760823398</v>
      </c>
      <c r="P174" s="40">
        <v>0.185007973959182</v>
      </c>
      <c r="Q174" s="40">
        <v>0.31329776882211502</v>
      </c>
      <c r="R174" s="40">
        <v>0.351992346318583</v>
      </c>
      <c r="S174" s="48">
        <v>0.2316479562012192</v>
      </c>
      <c r="T174" s="40">
        <v>0.17348462321079</v>
      </c>
      <c r="U174" s="40">
        <v>0.30935265785303601</v>
      </c>
      <c r="V174" s="40">
        <v>0.33398590180871601</v>
      </c>
      <c r="W174" s="40">
        <v>0.32287988638877002</v>
      </c>
      <c r="X174" s="40">
        <v>0.203785377521669</v>
      </c>
      <c r="Y174" s="40">
        <v>0.18358431113551599</v>
      </c>
      <c r="Z174" s="43">
        <v>0.18</v>
      </c>
      <c r="AA174" s="43">
        <v>0.19590410236998901</v>
      </c>
      <c r="AB174" s="43">
        <f t="shared" si="4"/>
        <v>-1.5904102369989015E-2</v>
      </c>
      <c r="AC174" s="45">
        <v>0.296669314449654</v>
      </c>
      <c r="AD174" s="45">
        <f t="shared" si="5"/>
        <v>-0.116669314449654</v>
      </c>
    </row>
    <row r="175" spans="1:30" ht="15" x14ac:dyDescent="0.2">
      <c r="B175" s="41">
        <v>10</v>
      </c>
      <c r="C175" s="42">
        <v>528</v>
      </c>
      <c r="D175" s="42">
        <v>1</v>
      </c>
      <c r="E175" s="41">
        <v>45</v>
      </c>
      <c r="F175" s="43">
        <v>2.8</v>
      </c>
      <c r="G175" s="41">
        <v>40</v>
      </c>
      <c r="H175" s="41">
        <v>45</v>
      </c>
      <c r="I175" s="40">
        <v>100</v>
      </c>
      <c r="J175" s="41">
        <v>350</v>
      </c>
      <c r="K175" s="42">
        <v>78.5</v>
      </c>
      <c r="L175" s="43">
        <v>7.54</v>
      </c>
      <c r="M175" s="40">
        <v>0.212885887999437</v>
      </c>
      <c r="N175" s="40">
        <v>0.31342294174291202</v>
      </c>
      <c r="O175" s="40">
        <v>0.28199950787411698</v>
      </c>
      <c r="P175" s="40">
        <v>0.19955375187521099</v>
      </c>
      <c r="Q175" s="40">
        <v>0.33652710927287</v>
      </c>
      <c r="R175" s="40">
        <v>0.365567808711035</v>
      </c>
      <c r="S175" s="48">
        <v>0.24202438848515856</v>
      </c>
      <c r="T175" s="40">
        <v>0.180936302341517</v>
      </c>
      <c r="U175" s="40">
        <v>0.32128361435425501</v>
      </c>
      <c r="V175" s="40">
        <v>0.35028812485030603</v>
      </c>
      <c r="W175" s="40">
        <v>0.34285837937506902</v>
      </c>
      <c r="X175" s="40">
        <v>0.21240273648760899</v>
      </c>
      <c r="Y175" s="40">
        <v>0.19211936647396399</v>
      </c>
      <c r="Z175" s="43">
        <v>0.2</v>
      </c>
      <c r="AA175" s="43">
        <v>0.203459632488942</v>
      </c>
      <c r="AB175" s="43">
        <f t="shared" si="4"/>
        <v>-3.4596324889419883E-3</v>
      </c>
      <c r="AC175" s="45">
        <v>0.319994179157578</v>
      </c>
      <c r="AD175" s="45">
        <f t="shared" si="5"/>
        <v>-0.11999417915757798</v>
      </c>
    </row>
    <row r="176" spans="1:30" ht="15" x14ac:dyDescent="0.2">
      <c r="B176" s="41">
        <v>10</v>
      </c>
      <c r="C176" s="42">
        <v>528</v>
      </c>
      <c r="D176" s="42">
        <v>1</v>
      </c>
      <c r="E176" s="41">
        <v>45</v>
      </c>
      <c r="F176" s="43">
        <v>2.8</v>
      </c>
      <c r="G176" s="41">
        <v>40</v>
      </c>
      <c r="H176" s="41">
        <v>45</v>
      </c>
      <c r="I176" s="40">
        <v>100</v>
      </c>
      <c r="J176" s="41">
        <v>350</v>
      </c>
      <c r="K176" s="42">
        <v>78.5</v>
      </c>
      <c r="L176" s="43">
        <v>7.83</v>
      </c>
      <c r="M176" s="40">
        <v>0.23754064686549201</v>
      </c>
      <c r="N176" s="40">
        <v>0.325477670271486</v>
      </c>
      <c r="O176" s="40">
        <v>0.29284564279235198</v>
      </c>
      <c r="P176" s="40">
        <v>0.2151992383388</v>
      </c>
      <c r="Q176" s="40">
        <v>0.36058606902543699</v>
      </c>
      <c r="R176" s="40">
        <v>0.37962810904607502</v>
      </c>
      <c r="S176" s="48">
        <v>0.2527714076363814</v>
      </c>
      <c r="T176" s="40">
        <v>0.18865411286977099</v>
      </c>
      <c r="U176" s="40">
        <v>0.333640676444804</v>
      </c>
      <c r="V176" s="40">
        <v>0.36731062435122003</v>
      </c>
      <c r="W176" s="40">
        <v>0.36378206936139601</v>
      </c>
      <c r="X176" s="40">
        <v>0.22135911228626601</v>
      </c>
      <c r="Y176" s="40">
        <v>0.201073140979631</v>
      </c>
      <c r="Z176" s="43">
        <v>0.23</v>
      </c>
      <c r="AA176" s="43">
        <v>0.21128500296928601</v>
      </c>
      <c r="AB176" s="43">
        <f t="shared" si="4"/>
        <v>1.8714997030713998E-2</v>
      </c>
      <c r="AC176" s="45">
        <v>0.34508248018620502</v>
      </c>
      <c r="AD176" s="45">
        <f t="shared" si="5"/>
        <v>-0.11508248018620501</v>
      </c>
    </row>
    <row r="177" spans="1:30" ht="15" x14ac:dyDescent="0.2">
      <c r="B177" s="41">
        <v>10</v>
      </c>
      <c r="C177" s="42">
        <v>528</v>
      </c>
      <c r="D177" s="42">
        <v>1</v>
      </c>
      <c r="E177" s="41">
        <v>45</v>
      </c>
      <c r="F177" s="43">
        <v>2.8</v>
      </c>
      <c r="G177" s="41">
        <v>40</v>
      </c>
      <c r="H177" s="41">
        <v>45</v>
      </c>
      <c r="I177" s="40">
        <v>100</v>
      </c>
      <c r="J177" s="41">
        <v>350</v>
      </c>
      <c r="K177" s="42">
        <v>78.5</v>
      </c>
      <c r="L177" s="43">
        <v>8.14</v>
      </c>
      <c r="M177" s="40">
        <v>0.26389573392920501</v>
      </c>
      <c r="N177" s="40">
        <v>0.33836375938823698</v>
      </c>
      <c r="O177" s="40">
        <v>0.30443978701529301</v>
      </c>
      <c r="P177" s="40">
        <v>0.23257659903592301</v>
      </c>
      <c r="Q177" s="40">
        <v>0.38630426738162998</v>
      </c>
      <c r="R177" s="40">
        <v>0.39465808526628998</v>
      </c>
      <c r="S177" s="48">
        <v>0.2642596005221714</v>
      </c>
      <c r="T177" s="40">
        <v>0.19690418619307701</v>
      </c>
      <c r="U177" s="40">
        <v>0.34684994971401101</v>
      </c>
      <c r="V177" s="40">
        <v>0.38564884406488897</v>
      </c>
      <c r="W177" s="40">
        <v>0.38713603873811497</v>
      </c>
      <c r="X177" s="40">
        <v>0.23249238592813901</v>
      </c>
      <c r="Y177" s="40">
        <v>0.212296624645614</v>
      </c>
      <c r="Z177" s="43">
        <v>0.24</v>
      </c>
      <c r="AA177" s="43">
        <v>0.22117410307170199</v>
      </c>
      <c r="AB177" s="43">
        <f t="shared" si="4"/>
        <v>1.8825896928298003E-2</v>
      </c>
      <c r="AC177" s="45">
        <v>0.37376286684905702</v>
      </c>
      <c r="AD177" s="45">
        <f t="shared" si="5"/>
        <v>-0.13376286684905703</v>
      </c>
    </row>
    <row r="178" spans="1:30" ht="15" x14ac:dyDescent="0.2">
      <c r="B178" s="41">
        <v>10</v>
      </c>
      <c r="C178" s="42">
        <v>528</v>
      </c>
      <c r="D178" s="42">
        <v>1</v>
      </c>
      <c r="E178" s="41">
        <v>45</v>
      </c>
      <c r="F178" s="43">
        <v>2.8</v>
      </c>
      <c r="G178" s="41">
        <v>40</v>
      </c>
      <c r="H178" s="41">
        <v>45</v>
      </c>
      <c r="I178" s="40">
        <v>100</v>
      </c>
      <c r="J178" s="41">
        <v>350</v>
      </c>
      <c r="K178" s="42">
        <v>78.5</v>
      </c>
      <c r="L178" s="43">
        <v>8.4600000000000009</v>
      </c>
      <c r="M178" s="40">
        <v>0.29110098509174798</v>
      </c>
      <c r="N178" s="40">
        <v>0.35166552879907598</v>
      </c>
      <c r="O178" s="40">
        <v>0.31640793589058702</v>
      </c>
      <c r="P178" s="40">
        <v>0.25122215219469302</v>
      </c>
      <c r="Q178" s="40">
        <v>0.412852085039636</v>
      </c>
      <c r="R178" s="40">
        <v>0.41017289942909302</v>
      </c>
      <c r="S178" s="48">
        <v>0.27611838027524493</v>
      </c>
      <c r="T178" s="40">
        <v>0.20542039091390901</v>
      </c>
      <c r="U178" s="40">
        <v>0.360485328572547</v>
      </c>
      <c r="V178" s="40">
        <v>0.404718743820774</v>
      </c>
      <c r="W178" s="40">
        <v>0.41673683085261998</v>
      </c>
      <c r="X178" s="40">
        <v>0.25540204042553599</v>
      </c>
      <c r="Y178" s="40">
        <v>0.23540018910591101</v>
      </c>
      <c r="Z178" s="43">
        <v>0.25</v>
      </c>
      <c r="AA178" s="43">
        <v>0.24276133198299499</v>
      </c>
      <c r="AB178" s="43">
        <f t="shared" si="4"/>
        <v>7.2386680170050122E-3</v>
      </c>
      <c r="AC178" s="45">
        <v>0.40994362049156402</v>
      </c>
      <c r="AD178" s="45">
        <f t="shared" si="5"/>
        <v>-0.15994362049156402</v>
      </c>
    </row>
    <row r="179" spans="1:30" ht="15" x14ac:dyDescent="0.2">
      <c r="B179" s="41">
        <v>10</v>
      </c>
      <c r="C179" s="42">
        <v>528</v>
      </c>
      <c r="D179" s="42">
        <v>1</v>
      </c>
      <c r="E179" s="41">
        <v>45</v>
      </c>
      <c r="F179" s="43">
        <v>2.8</v>
      </c>
      <c r="G179" s="41">
        <v>40</v>
      </c>
      <c r="H179" s="41">
        <v>45</v>
      </c>
      <c r="I179" s="40">
        <v>100</v>
      </c>
      <c r="J179" s="41">
        <v>350</v>
      </c>
      <c r="K179" s="42">
        <v>78.5</v>
      </c>
      <c r="L179" s="43">
        <v>8.75</v>
      </c>
      <c r="M179" s="40">
        <v>0.31575574395780198</v>
      </c>
      <c r="N179" s="40">
        <v>0.36372025732765001</v>
      </c>
      <c r="O179" s="40">
        <v>0.32725407080882202</v>
      </c>
      <c r="P179" s="40">
        <v>0.268740618169863</v>
      </c>
      <c r="Q179" s="40">
        <v>0.436911044792203</v>
      </c>
      <c r="R179" s="40">
        <v>0.42423319976413298</v>
      </c>
      <c r="S179" s="48">
        <v>0.28686539942646772</v>
      </c>
      <c r="T179" s="40">
        <v>0.213138201442163</v>
      </c>
      <c r="U179" s="40">
        <v>0.37284239066309499</v>
      </c>
      <c r="V179" s="40">
        <v>0.42211334355785002</v>
      </c>
      <c r="W179" s="40">
        <v>0.44321958863481797</v>
      </c>
      <c r="X179" s="40">
        <v>0.27619736209034301</v>
      </c>
      <c r="Y179" s="40">
        <v>0.25645968284540099</v>
      </c>
      <c r="Z179" s="43">
        <v>0.27</v>
      </c>
      <c r="AA179" s="43">
        <v>0.26232475818385498</v>
      </c>
      <c r="AB179" s="43">
        <f t="shared" si="4"/>
        <v>7.6752418161450398E-3</v>
      </c>
      <c r="AC179" s="45">
        <v>0.44273242848008498</v>
      </c>
      <c r="AD179" s="45">
        <f t="shared" si="5"/>
        <v>-0.17273242848008497</v>
      </c>
    </row>
    <row r="180" spans="1:30" ht="15" x14ac:dyDescent="0.2">
      <c r="B180" s="41">
        <v>10</v>
      </c>
      <c r="C180" s="42">
        <v>528</v>
      </c>
      <c r="D180" s="42">
        <v>1</v>
      </c>
      <c r="E180" s="41">
        <v>45</v>
      </c>
      <c r="F180" s="43">
        <v>2.8</v>
      </c>
      <c r="G180" s="41">
        <v>40</v>
      </c>
      <c r="H180" s="41">
        <v>45</v>
      </c>
      <c r="I180" s="40">
        <v>100</v>
      </c>
      <c r="J180" s="41">
        <v>350</v>
      </c>
      <c r="K180" s="42">
        <v>78.5</v>
      </c>
      <c r="L180" s="43">
        <v>9.01</v>
      </c>
      <c r="M180" s="40">
        <v>0.33786001052736803</v>
      </c>
      <c r="N180" s="40">
        <v>0.37452794497395703</v>
      </c>
      <c r="O180" s="40">
        <v>0.33697819176999899</v>
      </c>
      <c r="P180" s="40">
        <v>0.28494877070486602</v>
      </c>
      <c r="Q180" s="40">
        <v>0.45848114663933198</v>
      </c>
      <c r="R180" s="40">
        <v>0.43683898627140999</v>
      </c>
      <c r="S180" s="48">
        <v>0.29650065797583997</v>
      </c>
      <c r="T180" s="40">
        <v>0.220057617777839</v>
      </c>
      <c r="U180" s="40">
        <v>0.38392113598565503</v>
      </c>
      <c r="V180" s="40">
        <v>0.43779235302872099</v>
      </c>
      <c r="W180" s="40">
        <v>0.466697981525936</v>
      </c>
      <c r="X180" s="40">
        <v>0.29486848123440101</v>
      </c>
      <c r="Y180" s="40">
        <v>0.27543913878126097</v>
      </c>
      <c r="Z180" s="43">
        <v>0.28999999999999998</v>
      </c>
      <c r="AA180" s="43">
        <v>0.27986438167428102</v>
      </c>
      <c r="AB180" s="43">
        <f t="shared" si="4"/>
        <v>1.0135618325718965E-2</v>
      </c>
      <c r="AC180" s="45">
        <v>0.47212929081462202</v>
      </c>
      <c r="AD180" s="45">
        <f t="shared" si="5"/>
        <v>-0.18212929081462204</v>
      </c>
    </row>
    <row r="181" spans="1:30" ht="15" x14ac:dyDescent="0.2">
      <c r="A181" s="40" t="s">
        <v>60</v>
      </c>
      <c r="B181" s="41">
        <v>10</v>
      </c>
      <c r="C181" s="42">
        <v>528</v>
      </c>
      <c r="D181" s="42">
        <v>1</v>
      </c>
      <c r="E181" s="41">
        <v>45</v>
      </c>
      <c r="F181" s="43">
        <v>2.8</v>
      </c>
      <c r="G181" s="41">
        <v>40</v>
      </c>
      <c r="H181" s="41">
        <v>45</v>
      </c>
      <c r="I181" s="40">
        <v>100</v>
      </c>
      <c r="J181" s="41">
        <v>350</v>
      </c>
      <c r="K181" s="42">
        <v>78.5</v>
      </c>
      <c r="L181" s="43">
        <v>7.29</v>
      </c>
      <c r="M181" s="40">
        <v>0.191631785528701</v>
      </c>
      <c r="N181" s="40">
        <v>0.30303093439069301</v>
      </c>
      <c r="O181" s="40">
        <v>0.272649391565293</v>
      </c>
      <c r="P181" s="40">
        <v>0.18654012455289501</v>
      </c>
      <c r="Q181" s="40">
        <v>0.31578662672755298</v>
      </c>
      <c r="R181" s="40">
        <v>0.35344686014634602</v>
      </c>
      <c r="S181" s="48">
        <v>0.23275971680306987</v>
      </c>
      <c r="T181" s="40">
        <v>0.17428301740336799</v>
      </c>
      <c r="U181" s="40">
        <v>0.31063097462102401</v>
      </c>
      <c r="V181" s="40">
        <v>0.33572593544947499</v>
      </c>
      <c r="W181" s="40">
        <v>0.325009243972816</v>
      </c>
      <c r="X181" s="40">
        <v>0.20470724792366199</v>
      </c>
      <c r="Y181" s="40">
        <v>0.184493613666036</v>
      </c>
      <c r="Z181" s="43">
        <v>0.15</v>
      </c>
      <c r="AA181" s="43">
        <v>0.19671362345416299</v>
      </c>
      <c r="AB181" s="43">
        <f t="shared" si="4"/>
        <v>-4.6713623454162995E-2</v>
      </c>
      <c r="AC181" s="45">
        <v>0.29912619269410601</v>
      </c>
      <c r="AD181" s="45">
        <f t="shared" si="5"/>
        <v>-0.14912619269410601</v>
      </c>
    </row>
    <row r="182" spans="1:30" ht="15" x14ac:dyDescent="0.2">
      <c r="B182" s="41">
        <v>10</v>
      </c>
      <c r="C182" s="42">
        <v>528</v>
      </c>
      <c r="D182" s="42">
        <v>1</v>
      </c>
      <c r="E182" s="41">
        <v>45</v>
      </c>
      <c r="F182" s="43">
        <v>2.8</v>
      </c>
      <c r="G182" s="41">
        <v>40</v>
      </c>
      <c r="H182" s="41">
        <v>45</v>
      </c>
      <c r="I182" s="40">
        <v>100</v>
      </c>
      <c r="J182" s="41">
        <v>350</v>
      </c>
      <c r="K182" s="42">
        <v>78.5</v>
      </c>
      <c r="L182" s="43">
        <v>7.58</v>
      </c>
      <c r="M182" s="40">
        <v>0.216286544394755</v>
      </c>
      <c r="N182" s="40">
        <v>0.31508566291926698</v>
      </c>
      <c r="O182" s="40">
        <v>0.28349552648352799</v>
      </c>
      <c r="P182" s="40">
        <v>0.20167664919268499</v>
      </c>
      <c r="Q182" s="40">
        <v>0.33984558648011998</v>
      </c>
      <c r="R182" s="40">
        <v>0.36750716048138599</v>
      </c>
      <c r="S182" s="48">
        <v>0.24350673595429273</v>
      </c>
      <c r="T182" s="40">
        <v>0.18200082793162101</v>
      </c>
      <c r="U182" s="40">
        <v>0.322988036711572</v>
      </c>
      <c r="V182" s="40">
        <v>0.35262798637548398</v>
      </c>
      <c r="W182" s="40">
        <v>0.34573092032409197</v>
      </c>
      <c r="X182" s="40">
        <v>0.21363620792187599</v>
      </c>
      <c r="Y182" s="40">
        <v>0.19334747960830401</v>
      </c>
      <c r="Z182" s="43">
        <v>0.16</v>
      </c>
      <c r="AA182" s="43">
        <v>0.204538993934507</v>
      </c>
      <c r="AB182" s="43">
        <f t="shared" si="4"/>
        <v>-4.4538993934506999E-2</v>
      </c>
      <c r="AC182" s="45">
        <v>0.32339834860143701</v>
      </c>
      <c r="AD182" s="45">
        <f t="shared" si="5"/>
        <v>-0.16339834860143701</v>
      </c>
    </row>
    <row r="183" spans="1:30" ht="15" x14ac:dyDescent="0.2">
      <c r="B183" s="41">
        <v>10</v>
      </c>
      <c r="C183" s="42">
        <v>528</v>
      </c>
      <c r="D183" s="42">
        <v>1</v>
      </c>
      <c r="E183" s="41">
        <v>45</v>
      </c>
      <c r="F183" s="43">
        <v>2.8</v>
      </c>
      <c r="G183" s="41">
        <v>40</v>
      </c>
      <c r="H183" s="41">
        <v>45</v>
      </c>
      <c r="I183" s="40">
        <v>100</v>
      </c>
      <c r="J183" s="41">
        <v>350</v>
      </c>
      <c r="K183" s="42">
        <v>78.5</v>
      </c>
      <c r="L183" s="43">
        <v>7.99</v>
      </c>
      <c r="M183" s="40">
        <v>0.25114327244676299</v>
      </c>
      <c r="N183" s="40">
        <v>0.33212855497690502</v>
      </c>
      <c r="O183" s="40">
        <v>0.29882971722999901</v>
      </c>
      <c r="P183" s="40">
        <v>0.22408395674156301</v>
      </c>
      <c r="Q183" s="40">
        <v>0.37385997785443997</v>
      </c>
      <c r="R183" s="40">
        <v>0.38738551612747602</v>
      </c>
      <c r="S183" s="48">
        <v>0.25870079751291819</v>
      </c>
      <c r="T183" s="40">
        <v>0.19291221523018701</v>
      </c>
      <c r="U183" s="40">
        <v>0.34045836587407202</v>
      </c>
      <c r="V183" s="40">
        <v>0.37675804760311299</v>
      </c>
      <c r="W183" s="40">
        <v>0.37541859077877898</v>
      </c>
      <c r="X183" s="40">
        <v>0.226314174365746</v>
      </c>
      <c r="Y183" s="40">
        <v>0.206062764269411</v>
      </c>
      <c r="Z183" s="43">
        <v>0.18</v>
      </c>
      <c r="AA183" s="43">
        <v>0.21560244875154499</v>
      </c>
      <c r="AB183" s="43">
        <f t="shared" si="4"/>
        <v>-3.5602448751545002E-2</v>
      </c>
      <c r="AC183" s="45">
        <v>0.35932955971050401</v>
      </c>
      <c r="AD183" s="45">
        <f t="shared" si="5"/>
        <v>-0.17932955971050402</v>
      </c>
    </row>
    <row r="184" spans="1:30" ht="15" x14ac:dyDescent="0.2">
      <c r="B184" s="41">
        <v>10</v>
      </c>
      <c r="C184" s="42">
        <v>528</v>
      </c>
      <c r="D184" s="42">
        <v>1</v>
      </c>
      <c r="E184" s="41">
        <v>45</v>
      </c>
      <c r="F184" s="43">
        <v>2.8</v>
      </c>
      <c r="G184" s="41">
        <v>40</v>
      </c>
      <c r="H184" s="41">
        <v>45</v>
      </c>
      <c r="I184" s="40">
        <v>100</v>
      </c>
      <c r="J184" s="41">
        <v>350</v>
      </c>
      <c r="K184" s="42">
        <v>78.5</v>
      </c>
      <c r="L184" s="43">
        <v>8.23</v>
      </c>
      <c r="M184" s="40">
        <v>0.27154721081867</v>
      </c>
      <c r="N184" s="40">
        <v>0.34210488203503497</v>
      </c>
      <c r="O184" s="40">
        <v>0.30780582888647001</v>
      </c>
      <c r="P184" s="40">
        <v>0.23774800217387801</v>
      </c>
      <c r="Q184" s="40">
        <v>0.39377084109794402</v>
      </c>
      <c r="R184" s="40">
        <v>0.39902162674957797</v>
      </c>
      <c r="S184" s="48">
        <v>0.26759488232772327</v>
      </c>
      <c r="T184" s="40">
        <v>0.199299368770811</v>
      </c>
      <c r="U184" s="40">
        <v>0.35068490001797398</v>
      </c>
      <c r="V184" s="40">
        <v>0.390998425952224</v>
      </c>
      <c r="W184" s="40">
        <v>0.395502505561457</v>
      </c>
      <c r="X184" s="40">
        <v>0.238931812413675</v>
      </c>
      <c r="Y184" s="40">
        <v>0.21878023934136701</v>
      </c>
      <c r="Z184" s="43">
        <v>0.18</v>
      </c>
      <c r="AA184" s="43">
        <v>0.22724551120300299</v>
      </c>
      <c r="AB184" s="43">
        <f t="shared" si="4"/>
        <v>-4.7245511203002993E-2</v>
      </c>
      <c r="AC184" s="45">
        <v>0.38393870381101203</v>
      </c>
      <c r="AD184" s="45">
        <f t="shared" si="5"/>
        <v>-0.20393870381101203</v>
      </c>
    </row>
    <row r="185" spans="1:30" ht="15" x14ac:dyDescent="0.2">
      <c r="B185" s="41">
        <v>10</v>
      </c>
      <c r="C185" s="42">
        <v>528</v>
      </c>
      <c r="D185" s="42">
        <v>1</v>
      </c>
      <c r="E185" s="41">
        <v>45</v>
      </c>
      <c r="F185" s="43">
        <v>2.8</v>
      </c>
      <c r="G185" s="41">
        <v>40</v>
      </c>
      <c r="H185" s="41">
        <v>45</v>
      </c>
      <c r="I185" s="40">
        <v>100</v>
      </c>
      <c r="J185" s="41">
        <v>350</v>
      </c>
      <c r="K185" s="42">
        <v>78.5</v>
      </c>
      <c r="L185" s="43">
        <v>8.4600000000000009</v>
      </c>
      <c r="M185" s="40">
        <v>0.29110098509174798</v>
      </c>
      <c r="N185" s="40">
        <v>0.35166552879907598</v>
      </c>
      <c r="O185" s="40">
        <v>0.31640793589058702</v>
      </c>
      <c r="P185" s="40">
        <v>0.25122215219469302</v>
      </c>
      <c r="Q185" s="40">
        <v>0.412852085039636</v>
      </c>
      <c r="R185" s="40">
        <v>0.41017289942909302</v>
      </c>
      <c r="S185" s="48">
        <v>0.27611838027524493</v>
      </c>
      <c r="T185" s="40">
        <v>0.20542039091390901</v>
      </c>
      <c r="U185" s="40">
        <v>0.360485328572547</v>
      </c>
      <c r="V185" s="40">
        <v>0.404718743820774</v>
      </c>
      <c r="W185" s="40">
        <v>0.41673683085261998</v>
      </c>
      <c r="X185" s="40">
        <v>0.25540204042553599</v>
      </c>
      <c r="Y185" s="40">
        <v>0.23540018910591101</v>
      </c>
      <c r="Z185" s="43">
        <v>0.19</v>
      </c>
      <c r="AA185" s="43">
        <v>0.24276133198299499</v>
      </c>
      <c r="AB185" s="43">
        <f t="shared" si="4"/>
        <v>-5.2761331982994986E-2</v>
      </c>
      <c r="AC185" s="45">
        <v>0.40994362049156402</v>
      </c>
      <c r="AD185" s="45">
        <f t="shared" si="5"/>
        <v>-0.21994362049156402</v>
      </c>
    </row>
    <row r="186" spans="1:30" ht="15" x14ac:dyDescent="0.2">
      <c r="B186" s="41">
        <v>10</v>
      </c>
      <c r="C186" s="42">
        <v>528</v>
      </c>
      <c r="D186" s="42">
        <v>1</v>
      </c>
      <c r="E186" s="41">
        <v>45</v>
      </c>
      <c r="F186" s="43">
        <v>2.8</v>
      </c>
      <c r="G186" s="41">
        <v>40</v>
      </c>
      <c r="H186" s="41">
        <v>45</v>
      </c>
      <c r="I186" s="40">
        <v>100</v>
      </c>
      <c r="J186" s="41">
        <v>350</v>
      </c>
      <c r="K186" s="42">
        <v>78.5</v>
      </c>
      <c r="L186" s="43">
        <v>8.7100000000000009</v>
      </c>
      <c r="M186" s="40">
        <v>0.31235508756248498</v>
      </c>
      <c r="N186" s="40">
        <v>0.36205753615129499</v>
      </c>
      <c r="O186" s="40">
        <v>0.32575805219941101</v>
      </c>
      <c r="P186" s="40">
        <v>0.26628917721992301</v>
      </c>
      <c r="Q186" s="40">
        <v>0.43359256758495202</v>
      </c>
      <c r="R186" s="40">
        <v>0.422293847993782</v>
      </c>
      <c r="S186" s="48">
        <v>0.28538305195733366</v>
      </c>
      <c r="T186" s="40">
        <v>0.212073675852059</v>
      </c>
      <c r="U186" s="40">
        <v>0.371137968305778</v>
      </c>
      <c r="V186" s="40">
        <v>0.41970806320999698</v>
      </c>
      <c r="W186" s="40">
        <v>0.43958560367808602</v>
      </c>
      <c r="X186" s="40">
        <v>0.27332715111585698</v>
      </c>
      <c r="Y186" s="40">
        <v>0.25354803484247801</v>
      </c>
      <c r="Z186" s="43">
        <v>0.2</v>
      </c>
      <c r="AA186" s="43">
        <v>0.25962635456994299</v>
      </c>
      <c r="AB186" s="43">
        <f t="shared" si="4"/>
        <v>-5.9626354569942974E-2</v>
      </c>
      <c r="AC186" s="45">
        <v>0.438209834274772</v>
      </c>
      <c r="AD186" s="45">
        <f t="shared" si="5"/>
        <v>-0.23820983427477199</v>
      </c>
    </row>
    <row r="187" spans="1:30" ht="15" x14ac:dyDescent="0.2">
      <c r="B187" s="41">
        <v>10</v>
      </c>
      <c r="C187" s="42">
        <v>528</v>
      </c>
      <c r="D187" s="42">
        <v>1</v>
      </c>
      <c r="E187" s="41">
        <v>45</v>
      </c>
      <c r="F187" s="43">
        <v>2.8</v>
      </c>
      <c r="G187" s="41">
        <v>40</v>
      </c>
      <c r="H187" s="41">
        <v>45</v>
      </c>
      <c r="I187" s="40">
        <v>100</v>
      </c>
      <c r="J187" s="41">
        <v>350</v>
      </c>
      <c r="K187" s="42">
        <v>78.5</v>
      </c>
      <c r="L187" s="43">
        <v>9.0399999999999991</v>
      </c>
      <c r="M187" s="40">
        <v>0.34041050282385699</v>
      </c>
      <c r="N187" s="40">
        <v>0.37577498585622399</v>
      </c>
      <c r="O187" s="40">
        <v>0.33810020572705801</v>
      </c>
      <c r="P187" s="40">
        <v>0.28684947986064102</v>
      </c>
      <c r="Q187" s="40">
        <v>0.46097000454477099</v>
      </c>
      <c r="R187" s="40">
        <v>0.43829350009917201</v>
      </c>
      <c r="S187" s="48">
        <v>0.29761241857769066</v>
      </c>
      <c r="T187" s="40">
        <v>0.22085601197041699</v>
      </c>
      <c r="U187" s="40">
        <v>0.38519945275364298</v>
      </c>
      <c r="V187" s="40">
        <v>0.43960630775763299</v>
      </c>
      <c r="W187" s="40">
        <v>0.46939140643553101</v>
      </c>
      <c r="X187" s="40">
        <v>0.297024486083666</v>
      </c>
      <c r="Y187" s="40">
        <v>0.277635070518433</v>
      </c>
      <c r="Z187" s="43">
        <v>0.22</v>
      </c>
      <c r="AA187" s="43">
        <v>0.28188818438471502</v>
      </c>
      <c r="AB187" s="43">
        <f t="shared" si="4"/>
        <v>-6.1888184384715023E-2</v>
      </c>
      <c r="AC187" s="45">
        <v>0.475521236468607</v>
      </c>
      <c r="AD187" s="45">
        <f t="shared" si="5"/>
        <v>-0.25552123646860703</v>
      </c>
    </row>
    <row r="188" spans="1:30" ht="15" x14ac:dyDescent="0.2">
      <c r="A188" s="40" t="s">
        <v>61</v>
      </c>
      <c r="B188" s="41">
        <v>20</v>
      </c>
      <c r="C188" s="42">
        <v>598</v>
      </c>
      <c r="D188" s="42">
        <v>1</v>
      </c>
      <c r="E188" s="41">
        <v>40</v>
      </c>
      <c r="F188" s="43">
        <v>2.8</v>
      </c>
      <c r="G188" s="41">
        <v>40</v>
      </c>
      <c r="H188" s="41">
        <v>50</v>
      </c>
      <c r="I188" s="40">
        <v>100</v>
      </c>
      <c r="J188" s="41">
        <v>350</v>
      </c>
      <c r="K188" s="42">
        <v>315</v>
      </c>
      <c r="L188" s="43">
        <v>18.98</v>
      </c>
      <c r="M188" s="40">
        <v>0.176217506045446</v>
      </c>
      <c r="N188" s="40">
        <v>0.17479495534935299</v>
      </c>
      <c r="O188" s="40">
        <v>0.189875768539394</v>
      </c>
      <c r="P188" s="40">
        <v>0.19142813392713301</v>
      </c>
      <c r="Q188" s="40">
        <v>0.19112255277280901</v>
      </c>
      <c r="R188" s="40">
        <v>0.236849510941297</v>
      </c>
      <c r="S188" s="48">
        <v>0.20546221501774403</v>
      </c>
      <c r="T188" s="40">
        <v>0.127785822655367</v>
      </c>
      <c r="U188" s="40">
        <v>0.24461058238608499</v>
      </c>
      <c r="V188" s="40">
        <v>0.22483633288707</v>
      </c>
      <c r="W188" s="40">
        <v>0.186594506410794</v>
      </c>
      <c r="X188" s="40">
        <v>0.191852759584552</v>
      </c>
      <c r="Y188" s="40">
        <v>0.168591935645754</v>
      </c>
      <c r="Z188" s="43">
        <v>0.16</v>
      </c>
      <c r="AA188" s="43">
        <v>0.16250526374056301</v>
      </c>
      <c r="AB188" s="43">
        <f t="shared" si="4"/>
        <v>-2.5052637405630074E-3</v>
      </c>
      <c r="AC188" s="45">
        <v>0.168972235980417</v>
      </c>
      <c r="AD188" s="45">
        <f t="shared" si="5"/>
        <v>-8.9722359804169927E-3</v>
      </c>
    </row>
    <row r="189" spans="1:30" ht="15" x14ac:dyDescent="0.2">
      <c r="B189" s="41">
        <v>20</v>
      </c>
      <c r="C189" s="42">
        <v>598</v>
      </c>
      <c r="D189" s="42">
        <v>1</v>
      </c>
      <c r="E189" s="41">
        <v>40</v>
      </c>
      <c r="F189" s="43">
        <v>2.8</v>
      </c>
      <c r="G189" s="41">
        <v>40</v>
      </c>
      <c r="H189" s="41">
        <v>50</v>
      </c>
      <c r="I189" s="40">
        <v>100</v>
      </c>
      <c r="J189" s="41">
        <v>350</v>
      </c>
      <c r="K189" s="42">
        <v>315</v>
      </c>
      <c r="L189" s="43">
        <v>21.93</v>
      </c>
      <c r="M189" s="40">
        <v>0.21295822122347299</v>
      </c>
      <c r="N189" s="40">
        <v>0.21123907383205501</v>
      </c>
      <c r="O189" s="40">
        <v>0.21938754499836199</v>
      </c>
      <c r="P189" s="40">
        <v>0.25555866628532897</v>
      </c>
      <c r="Q189" s="40">
        <v>0.22730456924435199</v>
      </c>
      <c r="R189" s="40">
        <v>0.27366226422247902</v>
      </c>
      <c r="S189" s="48">
        <v>0.24507473604570415</v>
      </c>
      <c r="T189" s="40">
        <v>0.14966742924837001</v>
      </c>
      <c r="U189" s="40">
        <v>0.28262961389498698</v>
      </c>
      <c r="V189" s="40">
        <v>0.26412783228245501</v>
      </c>
      <c r="W189" s="40">
        <v>0.24006864749370699</v>
      </c>
      <c r="X189" s="40">
        <v>0.244952983036345</v>
      </c>
      <c r="Y189" s="40">
        <v>0.21838505609595399</v>
      </c>
      <c r="Z189" s="43">
        <v>0.2</v>
      </c>
      <c r="AA189" s="43">
        <v>0.20529664584009599</v>
      </c>
      <c r="AB189" s="43">
        <f t="shared" si="4"/>
        <v>-5.2966458400959815E-3</v>
      </c>
      <c r="AC189" s="45">
        <v>0.224457901760169</v>
      </c>
      <c r="AD189" s="45">
        <f t="shared" si="5"/>
        <v>-2.4457901760168987E-2</v>
      </c>
    </row>
    <row r="190" spans="1:30" ht="15" x14ac:dyDescent="0.2">
      <c r="B190" s="41">
        <v>20</v>
      </c>
      <c r="C190" s="42">
        <v>598</v>
      </c>
      <c r="D190" s="42">
        <v>1</v>
      </c>
      <c r="E190" s="41">
        <v>40</v>
      </c>
      <c r="F190" s="43">
        <v>2.8</v>
      </c>
      <c r="G190" s="41">
        <v>40</v>
      </c>
      <c r="H190" s="41">
        <v>50</v>
      </c>
      <c r="I190" s="40">
        <v>100</v>
      </c>
      <c r="J190" s="41">
        <v>350</v>
      </c>
      <c r="K190" s="42">
        <v>315</v>
      </c>
      <c r="L190" s="43">
        <v>24.87</v>
      </c>
      <c r="M190" s="40">
        <v>0.24957439160428599</v>
      </c>
      <c r="N190" s="40">
        <v>0.24755965293007001</v>
      </c>
      <c r="O190" s="40">
        <v>0.24879928153712999</v>
      </c>
      <c r="P190" s="40">
        <v>0.32867367449457502</v>
      </c>
      <c r="Q190" s="40">
        <v>0.26336393481260301</v>
      </c>
      <c r="R190" s="40">
        <v>0.31035022850948701</v>
      </c>
      <c r="S190" s="48">
        <v>0.28455297734136625</v>
      </c>
      <c r="T190" s="40">
        <v>0.17147486090377101</v>
      </c>
      <c r="U190" s="40">
        <v>0.32051976733097698</v>
      </c>
      <c r="V190" s="40">
        <v>0.303886873241901</v>
      </c>
      <c r="W190" s="40">
        <v>0.29208157766276899</v>
      </c>
      <c r="X190" s="40">
        <v>0.29894367910291297</v>
      </c>
      <c r="Y190" s="40">
        <v>0.26963032580470098</v>
      </c>
      <c r="Z190" s="43">
        <v>0.23</v>
      </c>
      <c r="AA190" s="43">
        <v>0.24794297240708699</v>
      </c>
      <c r="AB190" s="43">
        <f t="shared" si="4"/>
        <v>-1.7942972407086977E-2</v>
      </c>
      <c r="AC190" s="45">
        <v>0.279755480537276</v>
      </c>
      <c r="AD190" s="45">
        <f t="shared" si="5"/>
        <v>-4.9755480537275992E-2</v>
      </c>
    </row>
    <row r="191" spans="1:30" ht="15" x14ac:dyDescent="0.2">
      <c r="A191" s="40" t="s">
        <v>62</v>
      </c>
      <c r="B191" s="41">
        <v>20</v>
      </c>
      <c r="C191" s="42">
        <v>598</v>
      </c>
      <c r="D191" s="42">
        <v>1</v>
      </c>
      <c r="E191" s="41">
        <v>40</v>
      </c>
      <c r="F191" s="43">
        <v>2.8</v>
      </c>
      <c r="G191" s="41">
        <v>40</v>
      </c>
      <c r="H191" s="41">
        <v>50</v>
      </c>
      <c r="I191" s="40">
        <v>100</v>
      </c>
      <c r="J191" s="41">
        <v>350</v>
      </c>
      <c r="K191" s="42">
        <v>315</v>
      </c>
      <c r="L191" s="43">
        <v>18.98</v>
      </c>
      <c r="M191" s="40">
        <v>0.176217506045446</v>
      </c>
      <c r="N191" s="40">
        <v>0.17479495534935299</v>
      </c>
      <c r="O191" s="40">
        <v>0.189875768539394</v>
      </c>
      <c r="P191" s="40">
        <v>0.19142813392713301</v>
      </c>
      <c r="Q191" s="40">
        <v>0.19112255277280901</v>
      </c>
      <c r="R191" s="40">
        <v>0.236849510941297</v>
      </c>
      <c r="S191" s="48">
        <v>0.20546221501774403</v>
      </c>
      <c r="T191" s="40">
        <v>0.127785822655367</v>
      </c>
      <c r="U191" s="40">
        <v>0.24461058238608499</v>
      </c>
      <c r="V191" s="40">
        <v>0.22483633288707</v>
      </c>
      <c r="W191" s="40">
        <v>0.186594506410794</v>
      </c>
      <c r="X191" s="40">
        <v>0.191852759584552</v>
      </c>
      <c r="Y191" s="40">
        <v>0.168591935645754</v>
      </c>
      <c r="Z191" s="43">
        <v>0.14000000000000001</v>
      </c>
      <c r="AA191" s="43">
        <v>0.16250526374056301</v>
      </c>
      <c r="AB191" s="43">
        <f t="shared" si="4"/>
        <v>-2.2505263740562997E-2</v>
      </c>
      <c r="AC191" s="45">
        <v>0.168972235980417</v>
      </c>
      <c r="AD191" s="45">
        <f t="shared" si="5"/>
        <v>-2.8972235980416983E-2</v>
      </c>
    </row>
    <row r="192" spans="1:30" ht="15" x14ac:dyDescent="0.2">
      <c r="B192" s="41">
        <v>20</v>
      </c>
      <c r="C192" s="42">
        <v>598</v>
      </c>
      <c r="D192" s="42">
        <v>1</v>
      </c>
      <c r="E192" s="41">
        <v>40</v>
      </c>
      <c r="F192" s="43">
        <v>2.8</v>
      </c>
      <c r="G192" s="41">
        <v>40</v>
      </c>
      <c r="H192" s="41">
        <v>50</v>
      </c>
      <c r="I192" s="40">
        <v>100</v>
      </c>
      <c r="J192" s="41">
        <v>350</v>
      </c>
      <c r="K192" s="42">
        <v>315</v>
      </c>
      <c r="L192" s="43">
        <v>21.89</v>
      </c>
      <c r="M192" s="40">
        <v>0.21246004203461799</v>
      </c>
      <c r="N192" s="40">
        <v>0.21074491629330599</v>
      </c>
      <c r="O192" s="40">
        <v>0.21898738531756201</v>
      </c>
      <c r="P192" s="40">
        <v>0.25462724595282998</v>
      </c>
      <c r="Q192" s="40">
        <v>0.226813965631179</v>
      </c>
      <c r="R192" s="40">
        <v>0.27316310824578499</v>
      </c>
      <c r="S192" s="48">
        <v>0.24453761711651154</v>
      </c>
      <c r="T192" s="40">
        <v>0.14937072949795699</v>
      </c>
      <c r="U192" s="40">
        <v>0.28211410160334099</v>
      </c>
      <c r="V192" s="40">
        <v>0.26359058792613799</v>
      </c>
      <c r="W192" s="40">
        <v>0.23935254963546901</v>
      </c>
      <c r="X192" s="40">
        <v>0.24422578441956699</v>
      </c>
      <c r="Y192" s="40">
        <v>0.217698999389944</v>
      </c>
      <c r="Z192" s="43">
        <v>0.17</v>
      </c>
      <c r="AA192" s="43">
        <v>0.20471642370993301</v>
      </c>
      <c r="AB192" s="43">
        <f t="shared" si="4"/>
        <v>-3.4716423709932998E-2</v>
      </c>
      <c r="AC192" s="45">
        <v>0.223705553749596</v>
      </c>
      <c r="AD192" s="45">
        <f t="shared" si="5"/>
        <v>-5.3705553749595986E-2</v>
      </c>
    </row>
    <row r="193" spans="1:30" ht="15" x14ac:dyDescent="0.2">
      <c r="B193" s="41">
        <v>20</v>
      </c>
      <c r="C193" s="42">
        <v>598</v>
      </c>
      <c r="D193" s="42">
        <v>1</v>
      </c>
      <c r="E193" s="41">
        <v>40</v>
      </c>
      <c r="F193" s="43">
        <v>2.8</v>
      </c>
      <c r="G193" s="41">
        <v>40</v>
      </c>
      <c r="H193" s="41">
        <v>50</v>
      </c>
      <c r="I193" s="40">
        <v>100</v>
      </c>
      <c r="J193" s="41">
        <v>350</v>
      </c>
      <c r="K193" s="42">
        <v>315</v>
      </c>
      <c r="L193" s="43">
        <v>24.82</v>
      </c>
      <c r="M193" s="40">
        <v>0.24895166761821799</v>
      </c>
      <c r="N193" s="40">
        <v>0.24694195600663399</v>
      </c>
      <c r="O193" s="40">
        <v>0.24829908193613001</v>
      </c>
      <c r="P193" s="40">
        <v>0.32735343612391499</v>
      </c>
      <c r="Q193" s="40">
        <v>0.26275068029613602</v>
      </c>
      <c r="R193" s="40">
        <v>0.30972628353861897</v>
      </c>
      <c r="S193" s="48">
        <v>0.2838815786798754</v>
      </c>
      <c r="T193" s="40">
        <v>0.17110398621575401</v>
      </c>
      <c r="U193" s="40">
        <v>0.31987537696641899</v>
      </c>
      <c r="V193" s="40">
        <v>0.303206648058924</v>
      </c>
      <c r="W193" s="40">
        <v>0.29120680859703202</v>
      </c>
      <c r="X193" s="40">
        <v>0.29801653732023697</v>
      </c>
      <c r="Y193" s="40">
        <v>0.26874528153003902</v>
      </c>
      <c r="Z193" s="43">
        <v>0.21</v>
      </c>
      <c r="AA193" s="43">
        <v>0.24721769474438299</v>
      </c>
      <c r="AB193" s="43">
        <f t="shared" si="4"/>
        <v>-3.7217694744382995E-2</v>
      </c>
      <c r="AC193" s="45">
        <v>0.27881504552406</v>
      </c>
      <c r="AD193" s="45">
        <f t="shared" si="5"/>
        <v>-6.8815045524060009E-2</v>
      </c>
    </row>
    <row r="194" spans="1:30" ht="15" x14ac:dyDescent="0.2">
      <c r="A194" s="40" t="s">
        <v>63</v>
      </c>
      <c r="B194" s="41">
        <v>20</v>
      </c>
      <c r="C194" s="42">
        <v>598</v>
      </c>
      <c r="D194" s="42">
        <v>1</v>
      </c>
      <c r="E194" s="41">
        <v>40</v>
      </c>
      <c r="F194" s="43">
        <v>2.8</v>
      </c>
      <c r="G194" s="41">
        <v>40</v>
      </c>
      <c r="H194" s="41">
        <v>50</v>
      </c>
      <c r="I194" s="40">
        <v>100</v>
      </c>
      <c r="J194" s="41">
        <v>350</v>
      </c>
      <c r="K194" s="42">
        <v>315</v>
      </c>
      <c r="L194" s="43">
        <v>13.02</v>
      </c>
      <c r="M194" s="40">
        <v>0.10198880690610999</v>
      </c>
      <c r="N194" s="40">
        <v>0.101165482075826</v>
      </c>
      <c r="O194" s="40">
        <v>0.13025197610025799</v>
      </c>
      <c r="P194" s="40">
        <v>9.0081439601391797E-2</v>
      </c>
      <c r="Q194" s="40">
        <v>0.11802261440996099</v>
      </c>
      <c r="R194" s="40">
        <v>0.16247527041389301</v>
      </c>
      <c r="S194" s="48">
        <v>0.12543149456803462</v>
      </c>
      <c r="T194" s="40">
        <v>8.3577559843738894E-2</v>
      </c>
      <c r="U194" s="40">
        <v>0.16779925093081299</v>
      </c>
      <c r="V194" s="40">
        <v>0.14852557129246</v>
      </c>
      <c r="W194" s="40">
        <v>7.6052166346253294E-2</v>
      </c>
      <c r="X194" s="40">
        <v>8.7855053581016002E-2</v>
      </c>
      <c r="Y194" s="40">
        <v>7.2963774529797104E-2</v>
      </c>
      <c r="Z194" s="43">
        <v>0.21</v>
      </c>
      <c r="AA194" s="43">
        <v>7.6052166346253294E-2</v>
      </c>
      <c r="AB194" s="43">
        <f t="shared" si="4"/>
        <v>0.13394783365374668</v>
      </c>
      <c r="AC194" s="45">
        <v>7.6052166346253294E-2</v>
      </c>
      <c r="AD194" s="45">
        <f t="shared" si="5"/>
        <v>0.13394783365374668</v>
      </c>
    </row>
    <row r="195" spans="1:30" ht="15" x14ac:dyDescent="0.2">
      <c r="B195" s="41">
        <v>20</v>
      </c>
      <c r="C195" s="42">
        <v>598</v>
      </c>
      <c r="D195" s="42">
        <v>1</v>
      </c>
      <c r="E195" s="41">
        <v>40</v>
      </c>
      <c r="F195" s="43">
        <v>2.8</v>
      </c>
      <c r="G195" s="41">
        <v>40</v>
      </c>
      <c r="H195" s="41">
        <v>50</v>
      </c>
      <c r="I195" s="40">
        <v>100</v>
      </c>
      <c r="J195" s="41">
        <v>350</v>
      </c>
      <c r="K195" s="42">
        <v>315</v>
      </c>
      <c r="L195" s="43">
        <v>16.059999999999999</v>
      </c>
      <c r="M195" s="40">
        <v>0.13985042525906</v>
      </c>
      <c r="N195" s="40">
        <v>0.13872145502071201</v>
      </c>
      <c r="O195" s="40">
        <v>0.160664111841025</v>
      </c>
      <c r="P195" s="40">
        <v>0.137058013048421</v>
      </c>
      <c r="Q195" s="40">
        <v>0.155308489011145</v>
      </c>
      <c r="R195" s="40">
        <v>0.200411124642636</v>
      </c>
      <c r="S195" s="48">
        <v>0.1662525331866784</v>
      </c>
      <c r="T195" s="40">
        <v>0.106126740875173</v>
      </c>
      <c r="U195" s="40">
        <v>0.206978185095918</v>
      </c>
      <c r="V195" s="40">
        <v>0.18678749152515101</v>
      </c>
      <c r="W195" s="40">
        <v>0.132224669266714</v>
      </c>
      <c r="X195" s="40">
        <v>0.140352119488591</v>
      </c>
      <c r="Y195" s="40">
        <v>0.120909632013457</v>
      </c>
      <c r="Z195" s="43">
        <v>0.25</v>
      </c>
      <c r="AA195" s="43">
        <v>0.12014904823865299</v>
      </c>
      <c r="AB195" s="43">
        <f t="shared" ref="AB195:AB258" si="6">Z195-AA195</f>
        <v>0.12985095176134701</v>
      </c>
      <c r="AC195" s="45">
        <v>0.12014904823865299</v>
      </c>
      <c r="AD195" s="45">
        <f t="shared" ref="AD195:AD258" si="7">Z195-AC195</f>
        <v>0.12985095176134701</v>
      </c>
    </row>
    <row r="196" spans="1:30" ht="15" x14ac:dyDescent="0.2">
      <c r="B196" s="41">
        <v>20</v>
      </c>
      <c r="C196" s="42">
        <v>598</v>
      </c>
      <c r="D196" s="42">
        <v>1</v>
      </c>
      <c r="E196" s="41">
        <v>40</v>
      </c>
      <c r="F196" s="43">
        <v>2.8</v>
      </c>
      <c r="G196" s="41">
        <v>40</v>
      </c>
      <c r="H196" s="41">
        <v>50</v>
      </c>
      <c r="I196" s="40">
        <v>100</v>
      </c>
      <c r="J196" s="41">
        <v>350</v>
      </c>
      <c r="K196" s="42">
        <v>315</v>
      </c>
      <c r="L196" s="43">
        <v>18.93</v>
      </c>
      <c r="M196" s="40">
        <v>0.17559478205937801</v>
      </c>
      <c r="N196" s="40">
        <v>0.174177258425917</v>
      </c>
      <c r="O196" s="40">
        <v>0.189375568938394</v>
      </c>
      <c r="P196" s="40">
        <v>0.19042088424647899</v>
      </c>
      <c r="Q196" s="40">
        <v>0.190509298256342</v>
      </c>
      <c r="R196" s="40">
        <v>0.23622556597043001</v>
      </c>
      <c r="S196" s="48">
        <v>0.20479081635625315</v>
      </c>
      <c r="T196" s="40">
        <v>0.12741494796735001</v>
      </c>
      <c r="U196" s="40">
        <v>0.243966192021528</v>
      </c>
      <c r="V196" s="40">
        <v>0.22417685738802101</v>
      </c>
      <c r="W196" s="40">
        <v>0.185676091786764</v>
      </c>
      <c r="X196" s="40">
        <v>0.19096202846079499</v>
      </c>
      <c r="Y196" s="40">
        <v>0.16776202536760201</v>
      </c>
      <c r="Z196" s="43">
        <v>0.28999999999999998</v>
      </c>
      <c r="AA196" s="43">
        <v>0.16177998607785901</v>
      </c>
      <c r="AB196" s="43">
        <f t="shared" si="6"/>
        <v>0.12822001392214097</v>
      </c>
      <c r="AC196" s="45">
        <v>0.16803180096720099</v>
      </c>
      <c r="AD196" s="45">
        <f t="shared" si="7"/>
        <v>0.12196819903279899</v>
      </c>
    </row>
    <row r="197" spans="1:30" ht="15" x14ac:dyDescent="0.2">
      <c r="B197" s="41">
        <v>20</v>
      </c>
      <c r="C197" s="42">
        <v>598</v>
      </c>
      <c r="D197" s="42">
        <v>1</v>
      </c>
      <c r="E197" s="41">
        <v>40</v>
      </c>
      <c r="F197" s="43">
        <v>2.8</v>
      </c>
      <c r="G197" s="41">
        <v>40</v>
      </c>
      <c r="H197" s="41">
        <v>50</v>
      </c>
      <c r="I197" s="40">
        <v>100</v>
      </c>
      <c r="J197" s="41">
        <v>350</v>
      </c>
      <c r="K197" s="42">
        <v>315</v>
      </c>
      <c r="L197" s="43">
        <v>21.81</v>
      </c>
      <c r="M197" s="40">
        <v>0.21146368365690901</v>
      </c>
      <c r="N197" s="40">
        <v>0.209756601215809</v>
      </c>
      <c r="O197" s="40">
        <v>0.21818706595596299</v>
      </c>
      <c r="P197" s="40">
        <v>0.25276950663150599</v>
      </c>
      <c r="Q197" s="40">
        <v>0.225832758404832</v>
      </c>
      <c r="R197" s="40">
        <v>0.27216479629239698</v>
      </c>
      <c r="S197" s="48">
        <v>0.24346337925812608</v>
      </c>
      <c r="T197" s="40">
        <v>0.148777329997129</v>
      </c>
      <c r="U197" s="40">
        <v>0.28108307702004798</v>
      </c>
      <c r="V197" s="40">
        <v>0.26251642996351698</v>
      </c>
      <c r="W197" s="40">
        <v>0.23791964376894101</v>
      </c>
      <c r="X197" s="40">
        <v>0.24277198063647701</v>
      </c>
      <c r="Y197" s="40">
        <v>0.216327784596543</v>
      </c>
      <c r="Z197" s="43">
        <v>0.33</v>
      </c>
      <c r="AA197" s="43">
        <v>0.20355597944960599</v>
      </c>
      <c r="AB197" s="43">
        <f t="shared" si="6"/>
        <v>0.12644402055039403</v>
      </c>
      <c r="AC197" s="45">
        <v>0.22220085772845</v>
      </c>
      <c r="AD197" s="45">
        <f t="shared" si="7"/>
        <v>0.10779914227155002</v>
      </c>
    </row>
    <row r="198" spans="1:30" ht="15" x14ac:dyDescent="0.2">
      <c r="B198" s="41">
        <v>20</v>
      </c>
      <c r="C198" s="42">
        <v>598</v>
      </c>
      <c r="D198" s="42">
        <v>1</v>
      </c>
      <c r="E198" s="41">
        <v>40</v>
      </c>
      <c r="F198" s="43">
        <v>2.8</v>
      </c>
      <c r="G198" s="41">
        <v>40</v>
      </c>
      <c r="H198" s="41">
        <v>50</v>
      </c>
      <c r="I198" s="40">
        <v>100</v>
      </c>
      <c r="J198" s="41">
        <v>350</v>
      </c>
      <c r="K198" s="42">
        <v>315</v>
      </c>
      <c r="L198" s="43">
        <v>25.88</v>
      </c>
      <c r="M198" s="40">
        <v>0.26215341612286402</v>
      </c>
      <c r="N198" s="40">
        <v>0.26003713078346902</v>
      </c>
      <c r="O198" s="40">
        <v>0.25890331347731899</v>
      </c>
      <c r="P198" s="40">
        <v>0.35591139567956698</v>
      </c>
      <c r="Q198" s="40">
        <v>0.27575167604523299</v>
      </c>
      <c r="R198" s="40">
        <v>0.32295391692101</v>
      </c>
      <c r="S198" s="48">
        <v>0.29811523030348142</v>
      </c>
      <c r="T198" s="40">
        <v>0.178966529601714</v>
      </c>
      <c r="U198" s="40">
        <v>0.33353645269504101</v>
      </c>
      <c r="V198" s="40">
        <v>0.31765372618775101</v>
      </c>
      <c r="W198" s="40">
        <v>0.30968334049108698</v>
      </c>
      <c r="X198" s="40">
        <v>0.31773812520370398</v>
      </c>
      <c r="Y198" s="40">
        <v>0.28760843485007198</v>
      </c>
      <c r="Z198" s="43">
        <v>0.37</v>
      </c>
      <c r="AA198" s="43">
        <v>0.26259358119370702</v>
      </c>
      <c r="AB198" s="43">
        <f t="shared" si="6"/>
        <v>0.10740641880629298</v>
      </c>
      <c r="AC198" s="45">
        <v>0.29875226780424202</v>
      </c>
      <c r="AD198" s="45">
        <f t="shared" si="7"/>
        <v>7.1247732195757973E-2</v>
      </c>
    </row>
    <row r="199" spans="1:30" ht="15" x14ac:dyDescent="0.2">
      <c r="A199" s="40" t="s">
        <v>64</v>
      </c>
      <c r="B199" s="41">
        <v>20</v>
      </c>
      <c r="C199" s="42">
        <v>430</v>
      </c>
      <c r="D199" s="42">
        <v>6</v>
      </c>
      <c r="E199" s="41">
        <v>84</v>
      </c>
      <c r="F199" s="43">
        <v>3.50882128585544</v>
      </c>
      <c r="G199" s="41">
        <v>50</v>
      </c>
      <c r="H199" s="41">
        <v>64</v>
      </c>
      <c r="I199" s="40">
        <v>600</v>
      </c>
      <c r="J199" s="41">
        <v>400</v>
      </c>
      <c r="K199" s="42">
        <v>1884</v>
      </c>
      <c r="L199" s="43">
        <v>103</v>
      </c>
      <c r="M199" s="40">
        <v>0.13165888294920999</v>
      </c>
      <c r="N199" s="40">
        <v>0.14372200877992899</v>
      </c>
      <c r="O199" s="40">
        <v>0.18553423573636599</v>
      </c>
      <c r="P199" s="40">
        <v>0.10264414564050101</v>
      </c>
      <c r="Q199" s="40">
        <v>0.179451072883797</v>
      </c>
      <c r="R199" s="40">
        <v>0.24579967428747099</v>
      </c>
      <c r="S199" s="48">
        <v>0.17786549892396145</v>
      </c>
      <c r="T199" s="40">
        <v>0.224629446763633</v>
      </c>
      <c r="U199" s="40">
        <v>0.23457569596147701</v>
      </c>
      <c r="V199" s="40">
        <v>0.20920701261145</v>
      </c>
      <c r="W199" s="40">
        <v>0.125813798183188</v>
      </c>
      <c r="X199" s="40">
        <v>0.120265049160711</v>
      </c>
      <c r="Y199" s="40">
        <v>0.102380106993648</v>
      </c>
      <c r="Z199" s="43">
        <v>0.15</v>
      </c>
      <c r="AA199" s="43">
        <v>0.111129674723574</v>
      </c>
      <c r="AB199" s="43">
        <f t="shared" si="6"/>
        <v>3.887032527642599E-2</v>
      </c>
      <c r="AC199" s="45">
        <v>0.111129674723574</v>
      </c>
      <c r="AD199" s="45">
        <f t="shared" si="7"/>
        <v>3.887032527642599E-2</v>
      </c>
    </row>
    <row r="200" spans="1:30" ht="15" x14ac:dyDescent="0.2">
      <c r="B200" s="41">
        <v>20</v>
      </c>
      <c r="C200" s="42">
        <v>430</v>
      </c>
      <c r="D200" s="42">
        <v>6</v>
      </c>
      <c r="E200" s="41">
        <v>84</v>
      </c>
      <c r="F200" s="43">
        <v>3.50882128585544</v>
      </c>
      <c r="G200" s="41">
        <v>50</v>
      </c>
      <c r="H200" s="41">
        <v>64</v>
      </c>
      <c r="I200" s="40">
        <v>600</v>
      </c>
      <c r="J200" s="41">
        <v>400</v>
      </c>
      <c r="K200" s="42">
        <v>1884</v>
      </c>
      <c r="L200" s="43">
        <v>129</v>
      </c>
      <c r="M200" s="40">
        <v>0.19201766444682</v>
      </c>
      <c r="N200" s="40">
        <v>0.19235738777105399</v>
      </c>
      <c r="O200" s="40">
        <v>0.23236812048535099</v>
      </c>
      <c r="P200" s="40">
        <v>0.16100492295254701</v>
      </c>
      <c r="Q200" s="40">
        <v>0.239795384227068</v>
      </c>
      <c r="R200" s="40">
        <v>0.30784619401052199</v>
      </c>
      <c r="S200" s="48">
        <v>0.2364393163909069</v>
      </c>
      <c r="T200" s="40">
        <v>0.29310374580479798</v>
      </c>
      <c r="U200" s="40">
        <v>0.29378897843718899</v>
      </c>
      <c r="V200" s="40">
        <v>0.268901148196938</v>
      </c>
      <c r="W200" s="40">
        <v>0.202345757337866</v>
      </c>
      <c r="X200" s="40">
        <v>0.17575873483822799</v>
      </c>
      <c r="Y200" s="40">
        <v>0.15471417112529001</v>
      </c>
      <c r="Z200" s="43">
        <v>0.23</v>
      </c>
      <c r="AA200" s="43">
        <v>0.158125712265201</v>
      </c>
      <c r="AB200" s="43">
        <f t="shared" si="6"/>
        <v>7.1874287734799008E-2</v>
      </c>
      <c r="AC200" s="45">
        <v>0.174471933181406</v>
      </c>
      <c r="AD200" s="45">
        <f t="shared" si="7"/>
        <v>5.5528066818594013E-2</v>
      </c>
    </row>
    <row r="201" spans="1:30" ht="15" x14ac:dyDescent="0.2">
      <c r="B201" s="41">
        <v>20</v>
      </c>
      <c r="C201" s="42">
        <v>430</v>
      </c>
      <c r="D201" s="42">
        <v>6</v>
      </c>
      <c r="E201" s="41">
        <v>84</v>
      </c>
      <c r="F201" s="43">
        <v>3.50882128585544</v>
      </c>
      <c r="G201" s="41">
        <v>50</v>
      </c>
      <c r="H201" s="41">
        <v>64</v>
      </c>
      <c r="I201" s="40">
        <v>600</v>
      </c>
      <c r="J201" s="41">
        <v>400</v>
      </c>
      <c r="K201" s="42">
        <v>1884</v>
      </c>
      <c r="L201" s="43">
        <v>155</v>
      </c>
      <c r="M201" s="40">
        <v>0.25237644594443098</v>
      </c>
      <c r="N201" s="40">
        <v>0.25282295780791703</v>
      </c>
      <c r="O201" s="40">
        <v>0.27920200523433703</v>
      </c>
      <c r="P201" s="40">
        <v>0.23244656414487999</v>
      </c>
      <c r="Q201" s="40">
        <v>0.30013969557033898</v>
      </c>
      <c r="R201" s="40">
        <v>0.36989271373357302</v>
      </c>
      <c r="S201" s="48">
        <v>0.29501313385785227</v>
      </c>
      <c r="T201" s="40">
        <v>0.36157804484596401</v>
      </c>
      <c r="U201" s="40">
        <v>0.35300226091290199</v>
      </c>
      <c r="V201" s="40">
        <v>0.33118720341248098</v>
      </c>
      <c r="W201" s="40">
        <v>0.29560609196196502</v>
      </c>
      <c r="X201" s="40">
        <v>0.255466222048711</v>
      </c>
      <c r="Y201" s="40">
        <v>0.233224637584662</v>
      </c>
      <c r="Z201" s="43">
        <v>0.28000000000000003</v>
      </c>
      <c r="AA201" s="43">
        <v>0.22825608951794199</v>
      </c>
      <c r="AB201" s="43">
        <f t="shared" si="6"/>
        <v>5.1743910482058036E-2</v>
      </c>
      <c r="AC201" s="45">
        <v>0.27340361669998903</v>
      </c>
      <c r="AD201" s="45">
        <f t="shared" si="7"/>
        <v>6.5963833000109995E-3</v>
      </c>
    </row>
    <row r="202" spans="1:30" ht="15" x14ac:dyDescent="0.2">
      <c r="A202" s="40" t="s">
        <v>65</v>
      </c>
      <c r="B202" s="41">
        <v>20</v>
      </c>
      <c r="C202" s="42">
        <v>430</v>
      </c>
      <c r="D202" s="42">
        <v>9</v>
      </c>
      <c r="E202" s="41">
        <v>45</v>
      </c>
      <c r="F202" s="43">
        <v>3.50882128585544</v>
      </c>
      <c r="G202" s="41">
        <v>50</v>
      </c>
      <c r="H202" s="41">
        <v>64</v>
      </c>
      <c r="I202" s="40">
        <v>600</v>
      </c>
      <c r="J202" s="41">
        <v>400</v>
      </c>
      <c r="K202" s="42">
        <v>2826</v>
      </c>
      <c r="L202" s="43">
        <v>149</v>
      </c>
      <c r="M202" s="40">
        <v>0.12272095972411499</v>
      </c>
      <c r="N202" s="40">
        <v>0.13790150792584999</v>
      </c>
      <c r="O202" s="40">
        <v>0.15058108016807401</v>
      </c>
      <c r="P202" s="40">
        <v>0.10035281057140499</v>
      </c>
      <c r="Q202" s="40">
        <v>0.12925750125388699</v>
      </c>
      <c r="R202" s="40">
        <v>0.18565179539027399</v>
      </c>
      <c r="S202" s="48">
        <v>0.15413191430588713</v>
      </c>
      <c r="T202" s="40">
        <v>0.225804041833643</v>
      </c>
      <c r="U202" s="40">
        <v>0.204748911485644</v>
      </c>
      <c r="V202" s="40">
        <v>0.186546425242539</v>
      </c>
      <c r="W202" s="40">
        <v>0.12664621369553999</v>
      </c>
      <c r="X202" s="40">
        <v>0.13326835397273501</v>
      </c>
      <c r="Y202" s="40">
        <v>0.118511858986488</v>
      </c>
      <c r="Z202" s="43">
        <v>0.18</v>
      </c>
      <c r="AA202" s="43">
        <v>0.117948216713536</v>
      </c>
      <c r="AB202" s="43">
        <f t="shared" si="6"/>
        <v>6.2051783286463991E-2</v>
      </c>
      <c r="AC202" s="45">
        <v>0.117948216713536</v>
      </c>
      <c r="AD202" s="45">
        <f t="shared" si="7"/>
        <v>6.2051783286463991E-2</v>
      </c>
    </row>
    <row r="203" spans="1:30" ht="15" x14ac:dyDescent="0.2">
      <c r="B203" s="41">
        <v>20</v>
      </c>
      <c r="C203" s="42">
        <v>430</v>
      </c>
      <c r="D203" s="42">
        <v>9</v>
      </c>
      <c r="E203" s="41">
        <v>45</v>
      </c>
      <c r="F203" s="43">
        <v>3.50882128585544</v>
      </c>
      <c r="G203" s="41">
        <v>50</v>
      </c>
      <c r="H203" s="41">
        <v>64</v>
      </c>
      <c r="I203" s="40">
        <v>600</v>
      </c>
      <c r="J203" s="41">
        <v>400</v>
      </c>
      <c r="K203" s="42">
        <v>2826</v>
      </c>
      <c r="L203" s="43">
        <v>186</v>
      </c>
      <c r="M203" s="40">
        <v>0.16718299484634599</v>
      </c>
      <c r="N203" s="40">
        <v>0.18786348428743899</v>
      </c>
      <c r="O203" s="40">
        <v>0.18797369739101799</v>
      </c>
      <c r="P203" s="40">
        <v>0.15638060603253501</v>
      </c>
      <c r="Q203" s="40">
        <v>0.16816215707854101</v>
      </c>
      <c r="R203" s="40">
        <v>0.23175324793685201</v>
      </c>
      <c r="S203" s="48">
        <v>0.20432803056054702</v>
      </c>
      <c r="T203" s="40">
        <v>0.29196389196838601</v>
      </c>
      <c r="U203" s="40">
        <v>0.255592600914965</v>
      </c>
      <c r="V203" s="40">
        <v>0.237903729489362</v>
      </c>
      <c r="W203" s="40">
        <v>0.199790074582708</v>
      </c>
      <c r="X203" s="40">
        <v>0.19942267457808899</v>
      </c>
      <c r="Y203" s="40">
        <v>0.18298393159302101</v>
      </c>
      <c r="Z203" s="43">
        <v>0.26</v>
      </c>
      <c r="AA203" s="43">
        <v>0.17512939694084201</v>
      </c>
      <c r="AB203" s="43">
        <f t="shared" si="6"/>
        <v>8.4870603059158001E-2</v>
      </c>
      <c r="AC203" s="45">
        <v>0.183096151984949</v>
      </c>
      <c r="AD203" s="45">
        <f t="shared" si="7"/>
        <v>7.6903848015051013E-2</v>
      </c>
    </row>
    <row r="204" spans="1:30" ht="15" x14ac:dyDescent="0.2">
      <c r="B204" s="41">
        <v>20</v>
      </c>
      <c r="C204" s="42">
        <v>430</v>
      </c>
      <c r="D204" s="42">
        <v>9</v>
      </c>
      <c r="E204" s="41">
        <v>45</v>
      </c>
      <c r="F204" s="43">
        <v>3.50882128585544</v>
      </c>
      <c r="G204" s="41">
        <v>50</v>
      </c>
      <c r="H204" s="41">
        <v>64</v>
      </c>
      <c r="I204" s="40">
        <v>600</v>
      </c>
      <c r="J204" s="41">
        <v>400</v>
      </c>
      <c r="K204" s="42">
        <v>2826</v>
      </c>
      <c r="L204" s="43">
        <v>223</v>
      </c>
      <c r="M204" s="40">
        <v>0.21164502996857701</v>
      </c>
      <c r="N204" s="40">
        <v>0.23782546064902799</v>
      </c>
      <c r="O204" s="40">
        <v>0.225366314613963</v>
      </c>
      <c r="P204" s="40">
        <v>0.22478469064030299</v>
      </c>
      <c r="Q204" s="40">
        <v>0.20706681290319501</v>
      </c>
      <c r="R204" s="40">
        <v>0.27785470048342997</v>
      </c>
      <c r="S204" s="48">
        <v>0.2545241468152068</v>
      </c>
      <c r="T204" s="40">
        <v>0.35812374210312797</v>
      </c>
      <c r="U204" s="40">
        <v>0.30643629034428599</v>
      </c>
      <c r="V204" s="40">
        <v>0.29069074460348099</v>
      </c>
      <c r="W204" s="40">
        <v>0.27047497509120899</v>
      </c>
      <c r="X204" s="40">
        <v>0.26658652764766999</v>
      </c>
      <c r="Y204" s="40">
        <v>0.25030099686860302</v>
      </c>
      <c r="Z204" s="43">
        <v>0.34</v>
      </c>
      <c r="AA204" s="43">
        <v>0.23231057716814801</v>
      </c>
      <c r="AB204" s="43">
        <f t="shared" si="6"/>
        <v>0.10768942283185201</v>
      </c>
      <c r="AC204" s="45">
        <v>0.256757858163567</v>
      </c>
      <c r="AD204" s="45">
        <f t="shared" si="7"/>
        <v>8.3242141836433026E-2</v>
      </c>
    </row>
    <row r="205" spans="1:30" ht="15" x14ac:dyDescent="0.2">
      <c r="A205" s="40" t="s">
        <v>66</v>
      </c>
      <c r="B205" s="41">
        <v>16</v>
      </c>
      <c r="C205" s="42">
        <v>528</v>
      </c>
      <c r="D205" s="42">
        <v>2</v>
      </c>
      <c r="E205" s="41">
        <v>52</v>
      </c>
      <c r="F205" s="43">
        <v>3.42</v>
      </c>
      <c r="G205" s="41">
        <v>27</v>
      </c>
      <c r="H205" s="41">
        <v>35</v>
      </c>
      <c r="I205" s="40">
        <v>150</v>
      </c>
      <c r="J205" s="41">
        <v>235</v>
      </c>
      <c r="K205" s="42">
        <v>402</v>
      </c>
      <c r="L205" s="43">
        <v>16.675000000000001</v>
      </c>
      <c r="M205" s="40">
        <v>0.12947798925127499</v>
      </c>
      <c r="N205" s="40">
        <v>0.13159532895532</v>
      </c>
      <c r="O205" s="40">
        <v>0.179901478557426</v>
      </c>
      <c r="P205" s="40">
        <v>0.150210926096571</v>
      </c>
      <c r="Q205" s="40">
        <v>0.137940338610545</v>
      </c>
      <c r="R205" s="40">
        <v>0.20888642052178399</v>
      </c>
      <c r="S205" s="48">
        <v>0.18248254585084533</v>
      </c>
      <c r="T205" s="40">
        <v>0.11757562159328901</v>
      </c>
      <c r="U205" s="40">
        <v>0.18625897406775499</v>
      </c>
      <c r="V205" s="40">
        <v>0.169804779513575</v>
      </c>
      <c r="W205" s="40">
        <v>0.143249451345174</v>
      </c>
      <c r="X205" s="40">
        <v>0.14302412460246799</v>
      </c>
      <c r="Y205" s="40">
        <v>0.120902138327171</v>
      </c>
      <c r="Z205" s="43">
        <v>0.15</v>
      </c>
      <c r="AA205" s="43">
        <v>0.11752778194930601</v>
      </c>
      <c r="AB205" s="43">
        <f t="shared" si="6"/>
        <v>3.2472218050693988E-2</v>
      </c>
      <c r="AC205" s="45">
        <v>0.131790213495005</v>
      </c>
      <c r="AD205" s="45">
        <f t="shared" si="7"/>
        <v>1.8209786504994996E-2</v>
      </c>
    </row>
    <row r="206" spans="1:30" ht="15" x14ac:dyDescent="0.2">
      <c r="B206" s="41">
        <v>16</v>
      </c>
      <c r="C206" s="42">
        <v>528</v>
      </c>
      <c r="D206" s="42">
        <v>2</v>
      </c>
      <c r="E206" s="41">
        <v>52</v>
      </c>
      <c r="F206" s="43">
        <v>3.42</v>
      </c>
      <c r="G206" s="41">
        <v>27</v>
      </c>
      <c r="H206" s="41">
        <v>35</v>
      </c>
      <c r="I206" s="40">
        <v>150</v>
      </c>
      <c r="J206" s="41">
        <v>235</v>
      </c>
      <c r="K206" s="42">
        <v>402</v>
      </c>
      <c r="L206" s="43">
        <v>22.425000000000001</v>
      </c>
      <c r="M206" s="40">
        <v>0.188279507963272</v>
      </c>
      <c r="N206" s="40">
        <v>0.191358422611036</v>
      </c>
      <c r="O206" s="40">
        <v>0.241936471163435</v>
      </c>
      <c r="P206" s="40">
        <v>0.27166565825551098</v>
      </c>
      <c r="Q206" s="40">
        <v>0.19307532494670299</v>
      </c>
      <c r="R206" s="40">
        <v>0.28091622070171002</v>
      </c>
      <c r="S206" s="48">
        <v>0.25833366229443655</v>
      </c>
      <c r="T206" s="40">
        <v>0.16222730427256299</v>
      </c>
      <c r="U206" s="40">
        <v>0.25048620650491199</v>
      </c>
      <c r="V206" s="40">
        <v>0.23585124009634201</v>
      </c>
      <c r="W206" s="40">
        <v>0.233178206680414</v>
      </c>
      <c r="X206" s="40">
        <v>0.236817207569647</v>
      </c>
      <c r="Y206" s="40">
        <v>0.20622831537365699</v>
      </c>
      <c r="Z206" s="43">
        <v>0.19</v>
      </c>
      <c r="AA206" s="43">
        <v>0.18941639586178199</v>
      </c>
      <c r="AB206" s="43">
        <f t="shared" si="6"/>
        <v>5.8360413821800794E-4</v>
      </c>
      <c r="AC206" s="45">
        <v>0.22950476895125499</v>
      </c>
      <c r="AD206" s="45">
        <f t="shared" si="7"/>
        <v>-3.9504768951254987E-2</v>
      </c>
    </row>
    <row r="207" spans="1:30" ht="15" x14ac:dyDescent="0.2">
      <c r="B207" s="41">
        <v>16</v>
      </c>
      <c r="C207" s="42">
        <v>528</v>
      </c>
      <c r="D207" s="42">
        <v>2</v>
      </c>
      <c r="E207" s="41">
        <v>52</v>
      </c>
      <c r="F207" s="43">
        <v>3.42</v>
      </c>
      <c r="G207" s="41">
        <v>27</v>
      </c>
      <c r="H207" s="41">
        <v>35</v>
      </c>
      <c r="I207" s="40">
        <v>150</v>
      </c>
      <c r="J207" s="41">
        <v>235</v>
      </c>
      <c r="K207" s="42">
        <v>402</v>
      </c>
      <c r="L207" s="43">
        <v>25.875</v>
      </c>
      <c r="M207" s="40">
        <v>0.22356041919047001</v>
      </c>
      <c r="N207" s="40">
        <v>0.22721627880446599</v>
      </c>
      <c r="O207" s="40">
        <v>0.279157466727041</v>
      </c>
      <c r="P207" s="40">
        <v>0.36168504797331402</v>
      </c>
      <c r="Q207" s="40">
        <v>0.22615631674839801</v>
      </c>
      <c r="R207" s="40">
        <v>0.32413410080966498</v>
      </c>
      <c r="S207" s="48">
        <v>0.3038443321605912</v>
      </c>
      <c r="T207" s="40">
        <v>0.18901831388012699</v>
      </c>
      <c r="U207" s="40">
        <v>0.289022545967207</v>
      </c>
      <c r="V207" s="40">
        <v>0.27640110225150499</v>
      </c>
      <c r="W207" s="40">
        <v>0.28464232881562901</v>
      </c>
      <c r="X207" s="40">
        <v>0.29539172791340601</v>
      </c>
      <c r="Y207" s="40">
        <v>0.26044531193243597</v>
      </c>
      <c r="Z207" s="43">
        <v>0.22</v>
      </c>
      <c r="AA207" s="43">
        <v>0.23254956420926701</v>
      </c>
      <c r="AB207" s="43">
        <f t="shared" si="6"/>
        <v>-1.2549564209267006E-2</v>
      </c>
      <c r="AC207" s="45">
        <v>0.288133502225005</v>
      </c>
      <c r="AD207" s="45">
        <f t="shared" si="7"/>
        <v>-6.8133502225004999E-2</v>
      </c>
    </row>
    <row r="208" spans="1:30" ht="15" x14ac:dyDescent="0.2">
      <c r="B208" s="41">
        <v>16</v>
      </c>
      <c r="C208" s="42">
        <v>528</v>
      </c>
      <c r="D208" s="42">
        <v>2</v>
      </c>
      <c r="E208" s="41">
        <v>52</v>
      </c>
      <c r="F208" s="43">
        <v>3.42</v>
      </c>
      <c r="G208" s="41">
        <v>27</v>
      </c>
      <c r="H208" s="41">
        <v>35</v>
      </c>
      <c r="I208" s="40">
        <v>150</v>
      </c>
      <c r="J208" s="41">
        <v>235</v>
      </c>
      <c r="K208" s="42">
        <v>402</v>
      </c>
      <c r="L208" s="43">
        <v>28.75</v>
      </c>
      <c r="M208" s="40">
        <v>0.25296117854646899</v>
      </c>
      <c r="N208" s="40">
        <v>0.25709782563232397</v>
      </c>
      <c r="O208" s="40">
        <v>0.31017496303004499</v>
      </c>
      <c r="P208" s="40">
        <v>0.44652475058433799</v>
      </c>
      <c r="Q208" s="40">
        <v>0.25372380991647703</v>
      </c>
      <c r="R208" s="40">
        <v>0.36014900089962798</v>
      </c>
      <c r="S208" s="48">
        <v>0.34176989038238681</v>
      </c>
      <c r="T208" s="40">
        <v>0.21134415521976299</v>
      </c>
      <c r="U208" s="40">
        <v>0.321136162185785</v>
      </c>
      <c r="V208" s="40">
        <v>0.310535722690367</v>
      </c>
      <c r="W208" s="40">
        <v>0.32639390825709202</v>
      </c>
      <c r="X208" s="40">
        <v>0.34552077487684901</v>
      </c>
      <c r="Y208" s="40">
        <v>0.30735708998348898</v>
      </c>
      <c r="Z208" s="43">
        <v>0.22</v>
      </c>
      <c r="AA208" s="43">
        <v>0.26849387116550399</v>
      </c>
      <c r="AB208" s="43">
        <f t="shared" si="6"/>
        <v>-4.8493871165503993E-2</v>
      </c>
      <c r="AC208" s="45">
        <v>0.33699077995312998</v>
      </c>
      <c r="AD208" s="45">
        <f t="shared" si="7"/>
        <v>-0.11699077995312998</v>
      </c>
    </row>
    <row r="209" spans="1:30" ht="15" x14ac:dyDescent="0.2">
      <c r="B209" s="41">
        <v>16</v>
      </c>
      <c r="C209" s="42">
        <v>528</v>
      </c>
      <c r="D209" s="42">
        <v>2</v>
      </c>
      <c r="E209" s="41">
        <v>52</v>
      </c>
      <c r="F209" s="43">
        <v>3.42</v>
      </c>
      <c r="G209" s="41">
        <v>27</v>
      </c>
      <c r="H209" s="41">
        <v>35</v>
      </c>
      <c r="I209" s="40">
        <v>150</v>
      </c>
      <c r="J209" s="41">
        <v>235</v>
      </c>
      <c r="K209" s="42">
        <v>402</v>
      </c>
      <c r="L209" s="43">
        <v>33.35</v>
      </c>
      <c r="M209" s="40">
        <v>0.300002393516067</v>
      </c>
      <c r="N209" s="40">
        <v>0.30490830055689599</v>
      </c>
      <c r="O209" s="40">
        <v>0.35980295711485299</v>
      </c>
      <c r="P209" s="40">
        <v>0.60084370438628498</v>
      </c>
      <c r="Q209" s="40">
        <v>0.29783179898540302</v>
      </c>
      <c r="R209" s="40">
        <v>0.41777284104356799</v>
      </c>
      <c r="S209" s="48">
        <v>0.40245078353725966</v>
      </c>
      <c r="T209" s="40">
        <v>0.24706550136318201</v>
      </c>
      <c r="U209" s="40">
        <v>0.37251794813551098</v>
      </c>
      <c r="V209" s="40">
        <v>0.36562331792327701</v>
      </c>
      <c r="W209" s="40">
        <v>0.39144595830437301</v>
      </c>
      <c r="X209" s="40">
        <v>0.42821747646209601</v>
      </c>
      <c r="Y209" s="40">
        <v>0.38568899939030199</v>
      </c>
      <c r="Z209" s="43">
        <v>0.25</v>
      </c>
      <c r="AA209" s="43">
        <v>0.32600476229548497</v>
      </c>
      <c r="AB209" s="43">
        <f t="shared" si="6"/>
        <v>-7.6004762295484973E-2</v>
      </c>
      <c r="AC209" s="45">
        <v>0.41516242431813</v>
      </c>
      <c r="AD209" s="45">
        <f t="shared" si="7"/>
        <v>-0.16516242431813</v>
      </c>
    </row>
    <row r="210" spans="1:30" ht="15" x14ac:dyDescent="0.2">
      <c r="B210" s="41">
        <v>16</v>
      </c>
      <c r="C210" s="42">
        <v>528</v>
      </c>
      <c r="D210" s="42">
        <v>2</v>
      </c>
      <c r="E210" s="41">
        <v>52</v>
      </c>
      <c r="F210" s="43">
        <v>3.42</v>
      </c>
      <c r="G210" s="41">
        <v>27</v>
      </c>
      <c r="H210" s="41">
        <v>35</v>
      </c>
      <c r="I210" s="40">
        <v>150</v>
      </c>
      <c r="J210" s="41">
        <v>235</v>
      </c>
      <c r="K210" s="42">
        <v>402</v>
      </c>
      <c r="L210" s="43">
        <v>37.375</v>
      </c>
      <c r="M210" s="40">
        <v>0.34116345661446501</v>
      </c>
      <c r="N210" s="40">
        <v>0.34674246611589798</v>
      </c>
      <c r="O210" s="40">
        <v>0.38713656797945201</v>
      </c>
      <c r="P210" s="40">
        <v>0.69560140350877198</v>
      </c>
      <c r="Q210" s="40">
        <v>0.33642628942071401</v>
      </c>
      <c r="R210" s="40">
        <v>0.46819370116951597</v>
      </c>
      <c r="S210" s="48">
        <v>0.45554656504777358</v>
      </c>
      <c r="T210" s="40">
        <v>0.27832167923867301</v>
      </c>
      <c r="U210" s="40">
        <v>0.417477010841521</v>
      </c>
      <c r="V210" s="40">
        <v>0.37801273798933399</v>
      </c>
      <c r="W210" s="40">
        <v>0.44694057943080601</v>
      </c>
      <c r="X210" s="40">
        <v>0.503091261277963</v>
      </c>
      <c r="Y210" s="40">
        <v>0.45753395642067202</v>
      </c>
      <c r="Z210" s="43">
        <v>0.28999999999999998</v>
      </c>
      <c r="AA210" s="43">
        <v>0.37632679203421798</v>
      </c>
      <c r="AB210" s="43">
        <f t="shared" si="6"/>
        <v>-8.6326792034218003E-2</v>
      </c>
      <c r="AC210" s="45">
        <v>0.46727599043109003</v>
      </c>
      <c r="AD210" s="45">
        <f t="shared" si="7"/>
        <v>-0.17727599043109005</v>
      </c>
    </row>
    <row r="211" spans="1:30" ht="15" x14ac:dyDescent="0.2">
      <c r="A211" s="40" t="s">
        <v>67</v>
      </c>
      <c r="B211" s="41">
        <v>20</v>
      </c>
      <c r="C211" s="42">
        <v>528</v>
      </c>
      <c r="D211" s="42">
        <v>2</v>
      </c>
      <c r="E211" s="41">
        <v>44</v>
      </c>
      <c r="F211" s="43">
        <v>3.42</v>
      </c>
      <c r="G211" s="41">
        <v>25</v>
      </c>
      <c r="H211" s="41">
        <v>35</v>
      </c>
      <c r="I211" s="40">
        <v>150</v>
      </c>
      <c r="J211" s="41">
        <v>235</v>
      </c>
      <c r="K211" s="42">
        <v>628</v>
      </c>
      <c r="L211" s="43">
        <v>29.324999999999999</v>
      </c>
      <c r="M211" s="40">
        <v>0.13588199007541199</v>
      </c>
      <c r="N211" s="40">
        <v>0.14617173010832901</v>
      </c>
      <c r="O211" s="40">
        <v>0.20519523255216399</v>
      </c>
      <c r="P211" s="40">
        <v>0.25252771133111901</v>
      </c>
      <c r="Q211" s="40">
        <v>0.13578602772186599</v>
      </c>
      <c r="R211" s="40">
        <v>0.22543099969497701</v>
      </c>
      <c r="S211" s="48">
        <v>0.23837845525839133</v>
      </c>
      <c r="T211" s="40">
        <v>0.138455306114665</v>
      </c>
      <c r="U211" s="40">
        <v>0.21999033548888799</v>
      </c>
      <c r="V211" s="40">
        <v>0.180461464919836</v>
      </c>
      <c r="W211" s="40">
        <v>0.17300896102135299</v>
      </c>
      <c r="X211" s="40">
        <v>0.16752621909578599</v>
      </c>
      <c r="Y211" s="40">
        <v>0.170458715681791</v>
      </c>
      <c r="Z211" s="43">
        <v>0.17</v>
      </c>
      <c r="AA211" s="43">
        <v>0.15128120300738601</v>
      </c>
      <c r="AB211" s="43">
        <f t="shared" si="6"/>
        <v>1.8718796992614001E-2</v>
      </c>
      <c r="AC211" s="45">
        <v>0.16752621909578599</v>
      </c>
      <c r="AD211" s="45">
        <f t="shared" si="7"/>
        <v>2.473780904214018E-3</v>
      </c>
    </row>
    <row r="212" spans="1:30" ht="15" x14ac:dyDescent="0.2">
      <c r="B212" s="41">
        <v>20</v>
      </c>
      <c r="C212" s="42">
        <v>528</v>
      </c>
      <c r="D212" s="42">
        <v>2</v>
      </c>
      <c r="E212" s="41">
        <v>44</v>
      </c>
      <c r="F212" s="43">
        <v>3.42</v>
      </c>
      <c r="G212" s="41">
        <v>25</v>
      </c>
      <c r="H212" s="41">
        <v>35</v>
      </c>
      <c r="I212" s="40">
        <v>150</v>
      </c>
      <c r="J212" s="41">
        <v>235</v>
      </c>
      <c r="K212" s="42">
        <v>628</v>
      </c>
      <c r="L212" s="43">
        <v>33.35</v>
      </c>
      <c r="M212" s="40">
        <v>0.15768903676554999</v>
      </c>
      <c r="N212" s="40">
        <v>0.16963012765962701</v>
      </c>
      <c r="O212" s="40">
        <v>0.233359284078932</v>
      </c>
      <c r="P212" s="40">
        <v>0.32660639020295401</v>
      </c>
      <c r="Q212" s="40">
        <v>0.156050543970955</v>
      </c>
      <c r="R212" s="40">
        <v>0.25637250945703299</v>
      </c>
      <c r="S212" s="48">
        <v>0.27676581413108986</v>
      </c>
      <c r="T212" s="40">
        <v>0.15900260071079</v>
      </c>
      <c r="U212" s="40">
        <v>0.25018508741873502</v>
      </c>
      <c r="V212" s="40">
        <v>0.20762343826531099</v>
      </c>
      <c r="W212" s="40">
        <v>0.206546135955055</v>
      </c>
      <c r="X212" s="40">
        <v>0.20362194551252</v>
      </c>
      <c r="Y212" s="40">
        <v>0.20835725213450301</v>
      </c>
      <c r="Z212" s="43">
        <v>0.19</v>
      </c>
      <c r="AA212" s="43">
        <v>0.17990644867800401</v>
      </c>
      <c r="AB212" s="43">
        <f t="shared" si="6"/>
        <v>1.0093551321995992E-2</v>
      </c>
      <c r="AC212" s="45">
        <v>0.20362194551252</v>
      </c>
      <c r="AD212" s="45">
        <f t="shared" si="7"/>
        <v>-1.3621945512519995E-2</v>
      </c>
    </row>
    <row r="213" spans="1:30" ht="15" x14ac:dyDescent="0.2">
      <c r="B213" s="41">
        <v>20</v>
      </c>
      <c r="C213" s="42">
        <v>528</v>
      </c>
      <c r="D213" s="42">
        <v>2</v>
      </c>
      <c r="E213" s="41">
        <v>44</v>
      </c>
      <c r="F213" s="43">
        <v>3.42</v>
      </c>
      <c r="G213" s="41">
        <v>25</v>
      </c>
      <c r="H213" s="41">
        <v>35</v>
      </c>
      <c r="I213" s="40">
        <v>150</v>
      </c>
      <c r="J213" s="41">
        <v>235</v>
      </c>
      <c r="K213" s="42">
        <v>628</v>
      </c>
      <c r="L213" s="43">
        <v>38.524999999999999</v>
      </c>
      <c r="M213" s="40">
        <v>0.18572666822429801</v>
      </c>
      <c r="N213" s="40">
        <v>0.19979092451129599</v>
      </c>
      <c r="O213" s="40">
        <v>0.26957020747049099</v>
      </c>
      <c r="P213" s="40">
        <v>0.43583117884098099</v>
      </c>
      <c r="Q213" s="40">
        <v>0.18210492200549799</v>
      </c>
      <c r="R213" s="40">
        <v>0.29615445057967599</v>
      </c>
      <c r="S213" s="48">
        <v>0.32612098982455973</v>
      </c>
      <c r="T213" s="40">
        <v>0.185420550905807</v>
      </c>
      <c r="U213" s="40">
        <v>0.28900691132853901</v>
      </c>
      <c r="V213" s="40">
        <v>0.242873323547314</v>
      </c>
      <c r="W213" s="40">
        <v>0.24868148247567201</v>
      </c>
      <c r="X213" s="40">
        <v>0.250030736619751</v>
      </c>
      <c r="Y213" s="40">
        <v>0.25943939992606102</v>
      </c>
      <c r="Z213" s="43">
        <v>0.21</v>
      </c>
      <c r="AA213" s="43">
        <v>0.21671033596879799</v>
      </c>
      <c r="AB213" s="43">
        <f t="shared" si="6"/>
        <v>-6.710335968797998E-3</v>
      </c>
      <c r="AC213" s="45">
        <v>0.250030736619751</v>
      </c>
      <c r="AD213" s="45">
        <f t="shared" si="7"/>
        <v>-4.0030736619751012E-2</v>
      </c>
    </row>
    <row r="214" spans="1:30" ht="15" x14ac:dyDescent="0.2">
      <c r="B214" s="41">
        <v>20</v>
      </c>
      <c r="C214" s="42">
        <v>528</v>
      </c>
      <c r="D214" s="42">
        <v>2</v>
      </c>
      <c r="E214" s="41">
        <v>44</v>
      </c>
      <c r="F214" s="43">
        <v>3.42</v>
      </c>
      <c r="G214" s="41">
        <v>25</v>
      </c>
      <c r="H214" s="41">
        <v>35</v>
      </c>
      <c r="I214" s="40">
        <v>150</v>
      </c>
      <c r="J214" s="41">
        <v>235</v>
      </c>
      <c r="K214" s="42">
        <v>628</v>
      </c>
      <c r="L214" s="43">
        <v>40.825000000000003</v>
      </c>
      <c r="M214" s="40">
        <v>0.19818783776151999</v>
      </c>
      <c r="N214" s="40">
        <v>0.21319572311203799</v>
      </c>
      <c r="O214" s="40">
        <v>0.28566395120007199</v>
      </c>
      <c r="P214" s="40">
        <v>0.48942414179937299</v>
      </c>
      <c r="Q214" s="40">
        <v>0.19368464557640599</v>
      </c>
      <c r="R214" s="40">
        <v>0.31383531330085002</v>
      </c>
      <c r="S214" s="48">
        <v>0.34805662346610167</v>
      </c>
      <c r="T214" s="40">
        <v>0.19716186210359299</v>
      </c>
      <c r="U214" s="40">
        <v>0.30626105528845199</v>
      </c>
      <c r="V214" s="40">
        <v>0.25863074261651398</v>
      </c>
      <c r="W214" s="40">
        <v>0.26710015914716501</v>
      </c>
      <c r="X214" s="40">
        <v>0.27065686600074201</v>
      </c>
      <c r="Y214" s="40">
        <v>0.28299315880192999</v>
      </c>
      <c r="Z214" s="43">
        <v>0.23</v>
      </c>
      <c r="AA214" s="43">
        <v>0.23306761920915001</v>
      </c>
      <c r="AB214" s="43">
        <f t="shared" si="6"/>
        <v>-3.0676192091499965E-3</v>
      </c>
      <c r="AC214" s="45">
        <v>0.27065686600074201</v>
      </c>
      <c r="AD214" s="45">
        <f t="shared" si="7"/>
        <v>-4.0656866000742004E-2</v>
      </c>
    </row>
    <row r="215" spans="1:30" ht="15" x14ac:dyDescent="0.2">
      <c r="B215" s="41">
        <v>20</v>
      </c>
      <c r="C215" s="42">
        <v>528</v>
      </c>
      <c r="D215" s="42">
        <v>2</v>
      </c>
      <c r="E215" s="41">
        <v>44</v>
      </c>
      <c r="F215" s="43">
        <v>3.42</v>
      </c>
      <c r="G215" s="41">
        <v>25</v>
      </c>
      <c r="H215" s="41">
        <v>35</v>
      </c>
      <c r="I215" s="40">
        <v>150</v>
      </c>
      <c r="J215" s="41">
        <v>235</v>
      </c>
      <c r="K215" s="42">
        <v>628</v>
      </c>
      <c r="L215" s="43">
        <v>46</v>
      </c>
      <c r="M215" s="40">
        <v>0.22622546922026901</v>
      </c>
      <c r="N215" s="40">
        <v>0.243356519963707</v>
      </c>
      <c r="O215" s="40">
        <v>0.32187487459163</v>
      </c>
      <c r="P215" s="40">
        <v>0.62136768647411</v>
      </c>
      <c r="Q215" s="40">
        <v>0.21973902361094999</v>
      </c>
      <c r="R215" s="40">
        <v>0.35361725442349401</v>
      </c>
      <c r="S215" s="48">
        <v>0.39741179915957148</v>
      </c>
      <c r="T215" s="40">
        <v>0.22357981229860999</v>
      </c>
      <c r="U215" s="40">
        <v>0.34508287919825598</v>
      </c>
      <c r="V215" s="40">
        <v>0.29424295047471699</v>
      </c>
      <c r="W215" s="40">
        <v>0.30794889319403201</v>
      </c>
      <c r="X215" s="40">
        <v>0.31706565710797302</v>
      </c>
      <c r="Y215" s="40">
        <v>0.33790292595178201</v>
      </c>
      <c r="Z215" s="43">
        <v>0.25</v>
      </c>
      <c r="AA215" s="43">
        <v>0.26987150649994401</v>
      </c>
      <c r="AB215" s="43">
        <f t="shared" si="6"/>
        <v>-1.9871506499944014E-2</v>
      </c>
      <c r="AC215" s="45">
        <v>0.31706565710797302</v>
      </c>
      <c r="AD215" s="45">
        <f t="shared" si="7"/>
        <v>-6.706565710797302E-2</v>
      </c>
    </row>
    <row r="216" spans="1:30" ht="15" x14ac:dyDescent="0.2">
      <c r="B216" s="41">
        <v>20</v>
      </c>
      <c r="C216" s="42">
        <v>528</v>
      </c>
      <c r="D216" s="42">
        <v>2</v>
      </c>
      <c r="E216" s="41">
        <v>44</v>
      </c>
      <c r="F216" s="43">
        <v>3.42</v>
      </c>
      <c r="G216" s="41">
        <v>25</v>
      </c>
      <c r="H216" s="41">
        <v>35</v>
      </c>
      <c r="I216" s="40">
        <v>150</v>
      </c>
      <c r="J216" s="41">
        <v>235</v>
      </c>
      <c r="K216" s="42">
        <v>628</v>
      </c>
      <c r="L216" s="43">
        <v>56.924999999999997</v>
      </c>
      <c r="M216" s="40">
        <v>0.28541602452207099</v>
      </c>
      <c r="N216" s="40">
        <v>0.30702931331723099</v>
      </c>
      <c r="O216" s="40">
        <v>0.380757070040603</v>
      </c>
      <c r="P216" s="40">
        <v>0.869501754385965</v>
      </c>
      <c r="Q216" s="40">
        <v>0.274742710572763</v>
      </c>
      <c r="R216" s="40">
        <v>0.43760135234907299</v>
      </c>
      <c r="S216" s="48">
        <v>0.50160605895689636</v>
      </c>
      <c r="T216" s="40">
        <v>0.27935104048809101</v>
      </c>
      <c r="U216" s="40">
        <v>0.42704006300784197</v>
      </c>
      <c r="V216" s="40">
        <v>0.34925730172556502</v>
      </c>
      <c r="W216" s="40">
        <v>0.39202165688995</v>
      </c>
      <c r="X216" s="40">
        <v>0.404842760198733</v>
      </c>
      <c r="Y216" s="40">
        <v>0.46367989947785998</v>
      </c>
      <c r="Z216" s="43">
        <v>0.25</v>
      </c>
      <c r="AA216" s="43">
        <v>0.34756860189161998</v>
      </c>
      <c r="AB216" s="43">
        <f t="shared" si="6"/>
        <v>-9.7568601891619977E-2</v>
      </c>
      <c r="AC216" s="45">
        <v>0.404842760198733</v>
      </c>
      <c r="AD216" s="45">
        <f t="shared" si="7"/>
        <v>-0.154842760198733</v>
      </c>
    </row>
    <row r="217" spans="1:30" ht="15" x14ac:dyDescent="0.2">
      <c r="A217" s="40" t="s">
        <v>68</v>
      </c>
      <c r="B217" s="41">
        <v>20</v>
      </c>
      <c r="C217" s="42">
        <v>528</v>
      </c>
      <c r="D217" s="42">
        <v>3</v>
      </c>
      <c r="E217" s="41">
        <v>12</v>
      </c>
      <c r="F217" s="43">
        <v>3.42</v>
      </c>
      <c r="G217" s="41">
        <v>25</v>
      </c>
      <c r="H217" s="41">
        <v>35</v>
      </c>
      <c r="I217" s="40">
        <v>150</v>
      </c>
      <c r="J217" s="41">
        <v>235</v>
      </c>
      <c r="K217" s="42">
        <v>942</v>
      </c>
      <c r="L217" s="43">
        <v>39.1</v>
      </c>
      <c r="M217" s="40">
        <v>9.9001541127222897E-2</v>
      </c>
      <c r="N217" s="40">
        <v>0.11972263952841</v>
      </c>
      <c r="O217" s="40">
        <v>0.15281153215677201</v>
      </c>
      <c r="P217" s="40">
        <v>0.21127454925494199</v>
      </c>
      <c r="Q217" s="40">
        <v>8.4078447968071304E-2</v>
      </c>
      <c r="R217" s="40">
        <v>0.15788934749629399</v>
      </c>
      <c r="S217" s="48">
        <v>0.19356163888368724</v>
      </c>
      <c r="T217" s="40">
        <v>0.125373813815082</v>
      </c>
      <c r="U217" s="40">
        <v>0.18016328881157201</v>
      </c>
      <c r="V217" s="40">
        <v>0.144337224109127</v>
      </c>
      <c r="W217" s="40">
        <v>0.13840964120514501</v>
      </c>
      <c r="X217" s="40">
        <v>0.189176064075434</v>
      </c>
      <c r="Y217" s="40">
        <v>0.14682269685155799</v>
      </c>
      <c r="Z217" s="43">
        <v>0.18</v>
      </c>
      <c r="AA217" s="43">
        <v>0.127038496444004</v>
      </c>
      <c r="AB217" s="43">
        <f t="shared" si="6"/>
        <v>5.2961503555995992E-2</v>
      </c>
      <c r="AC217" s="45">
        <v>0.13419966539766801</v>
      </c>
      <c r="AD217" s="45">
        <f t="shared" si="7"/>
        <v>4.5800334602331988E-2</v>
      </c>
    </row>
    <row r="218" spans="1:30" ht="15" x14ac:dyDescent="0.2">
      <c r="B218" s="41">
        <v>20</v>
      </c>
      <c r="C218" s="42">
        <v>528</v>
      </c>
      <c r="D218" s="42">
        <v>3</v>
      </c>
      <c r="E218" s="41">
        <v>12</v>
      </c>
      <c r="F218" s="43">
        <v>3.42</v>
      </c>
      <c r="G218" s="41">
        <v>25</v>
      </c>
      <c r="H218" s="41">
        <v>35</v>
      </c>
      <c r="I218" s="40">
        <v>150</v>
      </c>
      <c r="J218" s="41">
        <v>235</v>
      </c>
      <c r="K218" s="42">
        <v>942</v>
      </c>
      <c r="L218" s="43">
        <v>44.85</v>
      </c>
      <c r="M218" s="40">
        <v>0.11553739220709</v>
      </c>
      <c r="N218" s="40">
        <v>0.13971945690710399</v>
      </c>
      <c r="O218" s="40">
        <v>0.175283816297473</v>
      </c>
      <c r="P218" s="40">
        <v>0.27798320883803301</v>
      </c>
      <c r="Q218" s="40">
        <v>9.7273366601955694E-2</v>
      </c>
      <c r="R218" s="40">
        <v>0.18110836918692499</v>
      </c>
      <c r="S218" s="48">
        <v>0.22752913434644803</v>
      </c>
      <c r="T218" s="40">
        <v>0.14542842857482399</v>
      </c>
      <c r="U218" s="40">
        <v>0.206657890107391</v>
      </c>
      <c r="V218" s="40">
        <v>0.16737122413258601</v>
      </c>
      <c r="W218" s="40">
        <v>0.16568007783333599</v>
      </c>
      <c r="X218" s="40">
        <v>0.23012702412719399</v>
      </c>
      <c r="Y218" s="40">
        <v>0.17965377390144299</v>
      </c>
      <c r="Z218" s="43">
        <v>0.19</v>
      </c>
      <c r="AA218" s="43">
        <v>0.150996277788399</v>
      </c>
      <c r="AB218" s="43">
        <f t="shared" si="6"/>
        <v>3.9003722211601005E-2</v>
      </c>
      <c r="AC218" s="45">
        <v>0.16272765949974599</v>
      </c>
      <c r="AD218" s="45">
        <f t="shared" si="7"/>
        <v>2.7272340500254011E-2</v>
      </c>
    </row>
    <row r="219" spans="1:30" ht="15" x14ac:dyDescent="0.2">
      <c r="B219" s="41">
        <v>20</v>
      </c>
      <c r="C219" s="42">
        <v>528</v>
      </c>
      <c r="D219" s="42">
        <v>3</v>
      </c>
      <c r="E219" s="41">
        <v>12</v>
      </c>
      <c r="F219" s="43">
        <v>3.42</v>
      </c>
      <c r="G219" s="41">
        <v>25</v>
      </c>
      <c r="H219" s="41">
        <v>35</v>
      </c>
      <c r="I219" s="40">
        <v>150</v>
      </c>
      <c r="J219" s="41">
        <v>235</v>
      </c>
      <c r="K219" s="42">
        <v>942</v>
      </c>
      <c r="L219" s="43">
        <v>50.024999999999999</v>
      </c>
      <c r="M219" s="40">
        <v>0.130419658178971</v>
      </c>
      <c r="N219" s="40">
        <v>0.15771659254793</v>
      </c>
      <c r="O219" s="40">
        <v>0.195508872024105</v>
      </c>
      <c r="P219" s="40">
        <v>0.34583413998932799</v>
      </c>
      <c r="Q219" s="40">
        <v>0.10914879337245199</v>
      </c>
      <c r="R219" s="40">
        <v>0.202005488708493</v>
      </c>
      <c r="S219" s="48">
        <v>0.25809988026293273</v>
      </c>
      <c r="T219" s="40">
        <v>0.16347758185859201</v>
      </c>
      <c r="U219" s="40">
        <v>0.23050303127362901</v>
      </c>
      <c r="V219" s="40">
        <v>0.18823337036993701</v>
      </c>
      <c r="W219" s="40">
        <v>0.189838769110518</v>
      </c>
      <c r="X219" s="40">
        <v>0.26841404415360798</v>
      </c>
      <c r="Y219" s="40">
        <v>0.21050920364917799</v>
      </c>
      <c r="Z219" s="43">
        <v>0.21</v>
      </c>
      <c r="AA219" s="43">
        <v>0.17255828099835399</v>
      </c>
      <c r="AB219" s="43">
        <f t="shared" si="6"/>
        <v>3.7441719001646001E-2</v>
      </c>
      <c r="AC219" s="45">
        <v>0.18840285419161701</v>
      </c>
      <c r="AD219" s="45">
        <f t="shared" si="7"/>
        <v>2.1597145808382984E-2</v>
      </c>
    </row>
    <row r="220" spans="1:30" ht="15" x14ac:dyDescent="0.2">
      <c r="B220" s="41">
        <v>20</v>
      </c>
      <c r="C220" s="42">
        <v>528</v>
      </c>
      <c r="D220" s="42">
        <v>3</v>
      </c>
      <c r="E220" s="41">
        <v>12</v>
      </c>
      <c r="F220" s="43">
        <v>3.42</v>
      </c>
      <c r="G220" s="41">
        <v>25</v>
      </c>
      <c r="H220" s="41">
        <v>35</v>
      </c>
      <c r="I220" s="40">
        <v>150</v>
      </c>
      <c r="J220" s="41">
        <v>235</v>
      </c>
      <c r="K220" s="42">
        <v>942</v>
      </c>
      <c r="L220" s="43">
        <v>56.35</v>
      </c>
      <c r="M220" s="40">
        <v>0.14860909436682401</v>
      </c>
      <c r="N220" s="40">
        <v>0.17971309166449401</v>
      </c>
      <c r="O220" s="40">
        <v>0.220228384578877</v>
      </c>
      <c r="P220" s="40">
        <v>0.43881504564110302</v>
      </c>
      <c r="Q220" s="40">
        <v>0.123663203869724</v>
      </c>
      <c r="R220" s="40">
        <v>0.227546412568188</v>
      </c>
      <c r="S220" s="48">
        <v>0.29546412527196952</v>
      </c>
      <c r="T220" s="40">
        <v>0.185537658094309</v>
      </c>
      <c r="U220" s="40">
        <v>0.25964709269903002</v>
      </c>
      <c r="V220" s="40">
        <v>0.21385792026698999</v>
      </c>
      <c r="W220" s="40">
        <v>0.21893795930246199</v>
      </c>
      <c r="X220" s="40">
        <v>0.31705054415994199</v>
      </c>
      <c r="Y220" s="40">
        <v>0.249903508362049</v>
      </c>
      <c r="Z220" s="43">
        <v>0.23</v>
      </c>
      <c r="AA220" s="43">
        <v>0.19891184047718799</v>
      </c>
      <c r="AB220" s="43">
        <f t="shared" si="6"/>
        <v>3.108815952281202E-2</v>
      </c>
      <c r="AC220" s="45">
        <v>0.21978364770390299</v>
      </c>
      <c r="AD220" s="45">
        <f t="shared" si="7"/>
        <v>1.021635229609702E-2</v>
      </c>
    </row>
    <row r="221" spans="1:30" ht="15" x14ac:dyDescent="0.2">
      <c r="B221" s="41">
        <v>20</v>
      </c>
      <c r="C221" s="42">
        <v>528</v>
      </c>
      <c r="D221" s="42">
        <v>3</v>
      </c>
      <c r="E221" s="41">
        <v>12</v>
      </c>
      <c r="F221" s="43">
        <v>3.42</v>
      </c>
      <c r="G221" s="41">
        <v>25</v>
      </c>
      <c r="H221" s="41">
        <v>35</v>
      </c>
      <c r="I221" s="40">
        <v>150</v>
      </c>
      <c r="J221" s="41">
        <v>235</v>
      </c>
      <c r="K221" s="42">
        <v>942</v>
      </c>
      <c r="L221" s="43">
        <v>62.674999999999997</v>
      </c>
      <c r="M221" s="40">
        <v>0.166798530554678</v>
      </c>
      <c r="N221" s="40">
        <v>0.20170959078105799</v>
      </c>
      <c r="O221" s="40">
        <v>0.24494789713364901</v>
      </c>
      <c r="P221" s="40">
        <v>0.54285314007308905</v>
      </c>
      <c r="Q221" s="40">
        <v>0.13817761436699699</v>
      </c>
      <c r="R221" s="40">
        <v>0.253087336427883</v>
      </c>
      <c r="S221" s="48">
        <v>0.33282837028100642</v>
      </c>
      <c r="T221" s="40">
        <v>0.20759773433002501</v>
      </c>
      <c r="U221" s="40">
        <v>0.28879115412443102</v>
      </c>
      <c r="V221" s="40">
        <v>0.23958883317333299</v>
      </c>
      <c r="W221" s="40">
        <v>0.24763172210029699</v>
      </c>
      <c r="X221" s="40">
        <v>0.36771242280439698</v>
      </c>
      <c r="Y221" s="40">
        <v>0.29114813715379001</v>
      </c>
      <c r="Z221" s="43">
        <v>0.25</v>
      </c>
      <c r="AA221" s="43">
        <v>0.22526539995602299</v>
      </c>
      <c r="AB221" s="43">
        <f t="shared" si="6"/>
        <v>2.4734600043977012E-2</v>
      </c>
      <c r="AC221" s="45">
        <v>0.25116444121618903</v>
      </c>
      <c r="AD221" s="45">
        <f t="shared" si="7"/>
        <v>-1.1644412161890272E-3</v>
      </c>
    </row>
    <row r="222" spans="1:30" ht="15" x14ac:dyDescent="0.2">
      <c r="B222" s="41">
        <v>20</v>
      </c>
      <c r="C222" s="42">
        <v>528</v>
      </c>
      <c r="D222" s="42">
        <v>3</v>
      </c>
      <c r="E222" s="41">
        <v>12</v>
      </c>
      <c r="F222" s="43">
        <v>3.42</v>
      </c>
      <c r="G222" s="41">
        <v>25</v>
      </c>
      <c r="H222" s="41">
        <v>35</v>
      </c>
      <c r="I222" s="40">
        <v>150</v>
      </c>
      <c r="J222" s="41">
        <v>235</v>
      </c>
      <c r="K222" s="42">
        <v>942</v>
      </c>
      <c r="L222" s="43">
        <v>68.424999999999997</v>
      </c>
      <c r="M222" s="40">
        <v>0.18333438163454599</v>
      </c>
      <c r="N222" s="40">
        <v>0.22170640815975201</v>
      </c>
      <c r="O222" s="40">
        <v>0.26742018127435102</v>
      </c>
      <c r="P222" s="40">
        <v>0.64702830709325798</v>
      </c>
      <c r="Q222" s="40">
        <v>0.15137253300088199</v>
      </c>
      <c r="R222" s="40">
        <v>0.27630635811851401</v>
      </c>
      <c r="S222" s="48">
        <v>0.36679586574376727</v>
      </c>
      <c r="T222" s="40">
        <v>0.227652349089768</v>
      </c>
      <c r="U222" s="40">
        <v>0.315285755420251</v>
      </c>
      <c r="V222" s="40">
        <v>0.26305244131259198</v>
      </c>
      <c r="W222" s="40">
        <v>0.27341569469427401</v>
      </c>
      <c r="X222" s="40">
        <v>0.41552623609276701</v>
      </c>
      <c r="Y222" s="40">
        <v>0.33062716631042099</v>
      </c>
      <c r="Z222" s="43">
        <v>0.28999999999999998</v>
      </c>
      <c r="AA222" s="43">
        <v>0.24922318130041701</v>
      </c>
      <c r="AB222" s="43">
        <f t="shared" si="6"/>
        <v>4.0776818699582967E-2</v>
      </c>
      <c r="AC222" s="45">
        <v>0.27969243531826798</v>
      </c>
      <c r="AD222" s="45">
        <f t="shared" si="7"/>
        <v>1.0307564681731995E-2</v>
      </c>
    </row>
    <row r="223" spans="1:30" ht="15" x14ac:dyDescent="0.2">
      <c r="B223" s="41">
        <v>20</v>
      </c>
      <c r="C223" s="42">
        <v>528</v>
      </c>
      <c r="D223" s="42">
        <v>3</v>
      </c>
      <c r="E223" s="41">
        <v>12</v>
      </c>
      <c r="F223" s="43">
        <v>3.42</v>
      </c>
      <c r="G223" s="41">
        <v>25</v>
      </c>
      <c r="H223" s="41">
        <v>35</v>
      </c>
      <c r="I223" s="40">
        <v>150</v>
      </c>
      <c r="J223" s="41">
        <v>235</v>
      </c>
      <c r="K223" s="42">
        <v>942</v>
      </c>
      <c r="L223" s="43">
        <v>74.174999999999997</v>
      </c>
      <c r="M223" s="40">
        <v>0.19987023271441301</v>
      </c>
      <c r="N223" s="40">
        <v>0.241703225538447</v>
      </c>
      <c r="O223" s="40">
        <v>0.28989246541505198</v>
      </c>
      <c r="P223" s="40">
        <v>0.76034164665905801</v>
      </c>
      <c r="Q223" s="40">
        <v>0.16456745163476599</v>
      </c>
      <c r="R223" s="40">
        <v>0.29952537980914501</v>
      </c>
      <c r="S223" s="48">
        <v>0.40076336120652795</v>
      </c>
      <c r="T223" s="40">
        <v>0.24770696384950999</v>
      </c>
      <c r="U223" s="40">
        <v>0.34178035671606999</v>
      </c>
      <c r="V223" s="40">
        <v>0.28657100166404098</v>
      </c>
      <c r="W223" s="40">
        <v>0.29895278017424598</v>
      </c>
      <c r="X223" s="40">
        <v>0.46501391602421199</v>
      </c>
      <c r="Y223" s="40">
        <v>0.37251401721166499</v>
      </c>
      <c r="Z223" s="43">
        <v>0.31</v>
      </c>
      <c r="AA223" s="43">
        <v>0.27318096264481201</v>
      </c>
      <c r="AB223" s="43">
        <f t="shared" si="6"/>
        <v>3.6819037355187989E-2</v>
      </c>
      <c r="AC223" s="45">
        <v>0.308220429420346</v>
      </c>
      <c r="AD223" s="45">
        <f t="shared" si="7"/>
        <v>1.7795705796539996E-3</v>
      </c>
    </row>
    <row r="224" spans="1:30" ht="15" x14ac:dyDescent="0.2">
      <c r="B224" s="41">
        <v>20</v>
      </c>
      <c r="C224" s="42">
        <v>528</v>
      </c>
      <c r="D224" s="42">
        <v>3</v>
      </c>
      <c r="E224" s="41">
        <v>12</v>
      </c>
      <c r="F224" s="43">
        <v>3.42</v>
      </c>
      <c r="G224" s="41">
        <v>25</v>
      </c>
      <c r="H224" s="41">
        <v>35</v>
      </c>
      <c r="I224" s="40">
        <v>150</v>
      </c>
      <c r="J224" s="41">
        <v>235</v>
      </c>
      <c r="K224" s="42">
        <v>942</v>
      </c>
      <c r="L224" s="43">
        <v>79.349999999999994</v>
      </c>
      <c r="M224" s="40">
        <v>0.21475249868629301</v>
      </c>
      <c r="N224" s="40">
        <v>0.25970036117927198</v>
      </c>
      <c r="O224" s="40">
        <v>0.31000433689657803</v>
      </c>
      <c r="P224" s="40">
        <v>0.869501754385965</v>
      </c>
      <c r="Q224" s="40">
        <v>0.17644287840526199</v>
      </c>
      <c r="R224" s="40">
        <v>0.32042249933071398</v>
      </c>
      <c r="S224" s="48">
        <v>0.43133410712301268</v>
      </c>
      <c r="T224" s="40">
        <v>0.26575611713327801</v>
      </c>
      <c r="U224" s="40">
        <v>0.36562549788230703</v>
      </c>
      <c r="V224" s="40">
        <v>0.30777661698523801</v>
      </c>
      <c r="W224" s="40">
        <v>0.321752751072368</v>
      </c>
      <c r="X224" s="40">
        <v>0.51098398394234201</v>
      </c>
      <c r="Y224" s="40">
        <v>0.410212183022785</v>
      </c>
      <c r="Z224" s="43">
        <v>0.37</v>
      </c>
      <c r="AA224" s="43">
        <v>0.294742965854767</v>
      </c>
      <c r="AB224" s="43">
        <f t="shared" si="6"/>
        <v>7.5257034145232993E-2</v>
      </c>
      <c r="AC224" s="45">
        <v>0.330617382552647</v>
      </c>
      <c r="AD224" s="45">
        <f t="shared" si="7"/>
        <v>3.9382617447352997E-2</v>
      </c>
    </row>
    <row r="225" spans="1:30" ht="15" x14ac:dyDescent="0.2">
      <c r="A225" s="40" t="s">
        <v>69</v>
      </c>
      <c r="B225" s="41">
        <v>16</v>
      </c>
      <c r="C225" s="42">
        <v>528</v>
      </c>
      <c r="D225" s="42">
        <v>2</v>
      </c>
      <c r="E225" s="41">
        <v>52</v>
      </c>
      <c r="F225" s="43">
        <v>2.98</v>
      </c>
      <c r="G225" s="41">
        <v>27</v>
      </c>
      <c r="H225" s="41">
        <v>35</v>
      </c>
      <c r="I225" s="40">
        <v>150</v>
      </c>
      <c r="J225" s="41">
        <v>235</v>
      </c>
      <c r="K225" s="42">
        <v>402</v>
      </c>
      <c r="L225" s="43">
        <v>26.45</v>
      </c>
      <c r="M225" s="40">
        <v>0.23593566188489301</v>
      </c>
      <c r="N225" s="40">
        <v>0.23898546695454101</v>
      </c>
      <c r="O225" s="40">
        <v>0.28536096598764199</v>
      </c>
      <c r="P225" s="40">
        <v>0.43374155611391801</v>
      </c>
      <c r="Q225" s="40">
        <v>0.23059971471306301</v>
      </c>
      <c r="R225" s="40">
        <v>0.30168752538416299</v>
      </c>
      <c r="S225" s="48">
        <v>0.30919106657813</v>
      </c>
      <c r="T225" s="40">
        <v>0.192616849204435</v>
      </c>
      <c r="U225" s="40">
        <v>0.29314095694596398</v>
      </c>
      <c r="V225" s="40">
        <v>0.285256132730769</v>
      </c>
      <c r="W225" s="40">
        <v>0.29685938412391499</v>
      </c>
      <c r="X225" s="40">
        <v>0.33004720078331201</v>
      </c>
      <c r="Y225" s="40">
        <v>0.28447122782612999</v>
      </c>
      <c r="Z225" s="43">
        <v>0.16</v>
      </c>
      <c r="AA225" s="43">
        <v>0.25056522044372098</v>
      </c>
      <c r="AB225" s="43">
        <f t="shared" si="6"/>
        <v>-9.0565220443720978E-2</v>
      </c>
      <c r="AC225" s="45">
        <v>0.30018318832296098</v>
      </c>
      <c r="AD225" s="45">
        <f t="shared" si="7"/>
        <v>-0.14018318832296098</v>
      </c>
    </row>
    <row r="226" spans="1:30" ht="15" x14ac:dyDescent="0.2">
      <c r="B226" s="41">
        <v>16</v>
      </c>
      <c r="C226" s="42">
        <v>528</v>
      </c>
      <c r="D226" s="42">
        <v>2</v>
      </c>
      <c r="E226" s="41">
        <v>52</v>
      </c>
      <c r="F226" s="43">
        <v>2.98</v>
      </c>
      <c r="G226" s="41">
        <v>27</v>
      </c>
      <c r="H226" s="41">
        <v>35</v>
      </c>
      <c r="I226" s="40">
        <v>150</v>
      </c>
      <c r="J226" s="41">
        <v>235</v>
      </c>
      <c r="K226" s="42">
        <v>402</v>
      </c>
      <c r="L226" s="43">
        <v>31.625</v>
      </c>
      <c r="M226" s="40">
        <v>0.28908411538548201</v>
      </c>
      <c r="N226" s="40">
        <v>0.29282094005036702</v>
      </c>
      <c r="O226" s="40">
        <v>0.34119245933304998</v>
      </c>
      <c r="P226" s="40">
        <v>0.62007004123090803</v>
      </c>
      <c r="Q226" s="40">
        <v>0.28001183489341902</v>
      </c>
      <c r="R226" s="40">
        <v>0.36071334556802098</v>
      </c>
      <c r="S226" s="48">
        <v>0.3770009982501118</v>
      </c>
      <c r="T226" s="40">
        <v>0.23263380499637801</v>
      </c>
      <c r="U226" s="40">
        <v>0.35049462243539098</v>
      </c>
      <c r="V226" s="40">
        <v>0.34719787288184401</v>
      </c>
      <c r="W226" s="40">
        <v>0.36924398331434899</v>
      </c>
      <c r="X226" s="40">
        <v>0.42635405479028798</v>
      </c>
      <c r="Y226" s="40">
        <v>0.37057616402825</v>
      </c>
      <c r="Z226" s="43">
        <v>0.2</v>
      </c>
      <c r="AA226" s="43">
        <v>0.31490001064532802</v>
      </c>
      <c r="AB226" s="43">
        <f t="shared" si="6"/>
        <v>-0.11490001064532801</v>
      </c>
      <c r="AC226" s="45">
        <v>0.38443328188181702</v>
      </c>
      <c r="AD226" s="45">
        <f t="shared" si="7"/>
        <v>-0.18443328188181701</v>
      </c>
    </row>
    <row r="227" spans="1:30" ht="15" x14ac:dyDescent="0.2">
      <c r="B227" s="41">
        <v>16</v>
      </c>
      <c r="C227" s="42">
        <v>528</v>
      </c>
      <c r="D227" s="42">
        <v>2</v>
      </c>
      <c r="E227" s="41">
        <v>52</v>
      </c>
      <c r="F227" s="43">
        <v>2.98</v>
      </c>
      <c r="G227" s="41">
        <v>27</v>
      </c>
      <c r="H227" s="41">
        <v>35</v>
      </c>
      <c r="I227" s="40">
        <v>150</v>
      </c>
      <c r="J227" s="41">
        <v>235</v>
      </c>
      <c r="K227" s="42">
        <v>402</v>
      </c>
      <c r="L227" s="43">
        <v>37.375</v>
      </c>
      <c r="M227" s="40">
        <v>0.348137952608359</v>
      </c>
      <c r="N227" s="40">
        <v>0.352638132379062</v>
      </c>
      <c r="O227" s="40">
        <v>0.38713656797945201</v>
      </c>
      <c r="P227" s="40">
        <v>0.79830765100671097</v>
      </c>
      <c r="Q227" s="40">
        <v>0.33491419064937</v>
      </c>
      <c r="R227" s="40">
        <v>0.42629759021675301</v>
      </c>
      <c r="S227" s="48">
        <v>0.45234536677453613</v>
      </c>
      <c r="T227" s="40">
        <v>0.27709708920964699</v>
      </c>
      <c r="U227" s="40">
        <v>0.41422091742364398</v>
      </c>
      <c r="V227" s="40">
        <v>0.39003540899802502</v>
      </c>
      <c r="W227" s="40">
        <v>0.447317133381889</v>
      </c>
      <c r="X227" s="40">
        <v>0.53890363867607105</v>
      </c>
      <c r="Y227" s="40">
        <v>0.47205823207103498</v>
      </c>
      <c r="Z227" s="43">
        <v>0.26</v>
      </c>
      <c r="AA227" s="43">
        <v>0.38638311086933602</v>
      </c>
      <c r="AB227" s="43">
        <f t="shared" si="6"/>
        <v>-0.12638311086933601</v>
      </c>
      <c r="AC227" s="45">
        <v>0.46464015145605198</v>
      </c>
      <c r="AD227" s="45">
        <f t="shared" si="7"/>
        <v>-0.20464015145605197</v>
      </c>
    </row>
    <row r="228" spans="1:30" ht="15" x14ac:dyDescent="0.2">
      <c r="A228" s="40" t="s">
        <v>70</v>
      </c>
      <c r="B228" s="41">
        <v>20</v>
      </c>
      <c r="C228" s="42">
        <v>528</v>
      </c>
      <c r="D228" s="42">
        <v>2</v>
      </c>
      <c r="E228" s="41">
        <v>44</v>
      </c>
      <c r="F228" s="43">
        <v>2.98</v>
      </c>
      <c r="G228" s="41">
        <v>25</v>
      </c>
      <c r="H228" s="41">
        <v>35</v>
      </c>
      <c r="I228" s="40">
        <v>150</v>
      </c>
      <c r="J228" s="41">
        <v>235</v>
      </c>
      <c r="K228" s="42">
        <v>628</v>
      </c>
      <c r="L228" s="43">
        <v>28.75</v>
      </c>
      <c r="M228" s="40">
        <v>0.136624194395983</v>
      </c>
      <c r="N228" s="40">
        <v>0.14637788590728401</v>
      </c>
      <c r="O228" s="40">
        <v>0.201171796619769</v>
      </c>
      <c r="P228" s="40">
        <v>0.27855986364060598</v>
      </c>
      <c r="Q228" s="40">
        <v>0.13219403671847599</v>
      </c>
      <c r="R228" s="40">
        <v>0.20111319768091601</v>
      </c>
      <c r="S228" s="48">
        <v>0.23052175704499706</v>
      </c>
      <c r="T228" s="40">
        <v>0.134813191177103</v>
      </c>
      <c r="U228" s="40">
        <v>0.21360585337041599</v>
      </c>
      <c r="V228" s="40">
        <v>0.17762658125549</v>
      </c>
      <c r="W228" s="40">
        <v>0.172535274252896</v>
      </c>
      <c r="X228" s="40">
        <v>0.22910743561581401</v>
      </c>
      <c r="Y228" s="40">
        <v>0.17471115343122201</v>
      </c>
      <c r="Z228" s="43">
        <v>0.17</v>
      </c>
      <c r="AA228" s="43">
        <v>0.154143497430964</v>
      </c>
      <c r="AB228" s="43">
        <f t="shared" si="6"/>
        <v>1.5856502569036007E-2</v>
      </c>
      <c r="AC228" s="45">
        <v>0.16693000107002401</v>
      </c>
      <c r="AD228" s="45">
        <f t="shared" si="7"/>
        <v>3.0699989299760033E-3</v>
      </c>
    </row>
    <row r="229" spans="1:30" ht="15" x14ac:dyDescent="0.2">
      <c r="B229" s="41">
        <v>20</v>
      </c>
      <c r="C229" s="42">
        <v>528</v>
      </c>
      <c r="D229" s="42">
        <v>2</v>
      </c>
      <c r="E229" s="41">
        <v>44</v>
      </c>
      <c r="F229" s="43">
        <v>2.98</v>
      </c>
      <c r="G229" s="41">
        <v>25</v>
      </c>
      <c r="H229" s="41">
        <v>35</v>
      </c>
      <c r="I229" s="40">
        <v>150</v>
      </c>
      <c r="J229" s="41">
        <v>235</v>
      </c>
      <c r="K229" s="42">
        <v>628</v>
      </c>
      <c r="L229" s="43">
        <v>32.774999999999999</v>
      </c>
      <c r="M229" s="40">
        <v>0.15853100890336799</v>
      </c>
      <c r="N229" s="40">
        <v>0.169848642377109</v>
      </c>
      <c r="O229" s="40">
        <v>0.22933584814653701</v>
      </c>
      <c r="P229" s="40">
        <v>0.36201639878733199</v>
      </c>
      <c r="Q229" s="40">
        <v>0.15236096455207199</v>
      </c>
      <c r="R229" s="40">
        <v>0.22926904535624401</v>
      </c>
      <c r="S229" s="48">
        <v>0.26855064972570136</v>
      </c>
      <c r="T229" s="40">
        <v>0.155261535573891</v>
      </c>
      <c r="U229" s="40">
        <v>0.24351067284227401</v>
      </c>
      <c r="V229" s="40">
        <v>0.204878992415925</v>
      </c>
      <c r="W229" s="40">
        <v>0.205208628495819</v>
      </c>
      <c r="X229" s="40">
        <v>0.27830255353844702</v>
      </c>
      <c r="Y229" s="40">
        <v>0.21239175481543399</v>
      </c>
      <c r="Z229" s="43">
        <v>0.19</v>
      </c>
      <c r="AA229" s="43">
        <v>0.18259499046457001</v>
      </c>
      <c r="AB229" s="43">
        <f t="shared" si="6"/>
        <v>7.4050095354299961E-3</v>
      </c>
      <c r="AC229" s="45">
        <v>0.201752540208612</v>
      </c>
      <c r="AD229" s="45">
        <f t="shared" si="7"/>
        <v>-1.1752540208611995E-2</v>
      </c>
    </row>
    <row r="230" spans="1:30" ht="15" x14ac:dyDescent="0.2">
      <c r="B230" s="41">
        <v>20</v>
      </c>
      <c r="C230" s="42">
        <v>528</v>
      </c>
      <c r="D230" s="42">
        <v>2</v>
      </c>
      <c r="E230" s="41">
        <v>44</v>
      </c>
      <c r="F230" s="43">
        <v>2.98</v>
      </c>
      <c r="G230" s="41">
        <v>25</v>
      </c>
      <c r="H230" s="41">
        <v>35</v>
      </c>
      <c r="I230" s="40">
        <v>150</v>
      </c>
      <c r="J230" s="41">
        <v>235</v>
      </c>
      <c r="K230" s="42">
        <v>628</v>
      </c>
      <c r="L230" s="43">
        <v>37.950000000000003</v>
      </c>
      <c r="M230" s="40">
        <v>0.18669691327000701</v>
      </c>
      <c r="N230" s="40">
        <v>0.20002532926688299</v>
      </c>
      <c r="O230" s="40">
        <v>0.26554677153809497</v>
      </c>
      <c r="P230" s="40">
        <v>0.48536270640739199</v>
      </c>
      <c r="Q230" s="40">
        <v>0.178289871766696</v>
      </c>
      <c r="R230" s="40">
        <v>0.26546942093880899</v>
      </c>
      <c r="S230" s="48">
        <v>0.31744494031517845</v>
      </c>
      <c r="T230" s="40">
        <v>0.18155226408404801</v>
      </c>
      <c r="U230" s="40">
        <v>0.28195972644894901</v>
      </c>
      <c r="V230" s="40">
        <v>0.24019029576945999</v>
      </c>
      <c r="W230" s="40">
        <v>0.24637529735369401</v>
      </c>
      <c r="X230" s="40">
        <v>0.344716191586524</v>
      </c>
      <c r="Y230" s="40">
        <v>0.26312984044857302</v>
      </c>
      <c r="Z230" s="43">
        <v>0.23</v>
      </c>
      <c r="AA230" s="43">
        <v>0.21917548150777699</v>
      </c>
      <c r="AB230" s="43">
        <f t="shared" si="6"/>
        <v>1.0824518492223018E-2</v>
      </c>
      <c r="AC230" s="45">
        <v>0.246524376243939</v>
      </c>
      <c r="AD230" s="45">
        <f t="shared" si="7"/>
        <v>-1.6524376243938987E-2</v>
      </c>
    </row>
    <row r="231" spans="1:30" ht="15" x14ac:dyDescent="0.2">
      <c r="B231" s="41">
        <v>20</v>
      </c>
      <c r="C231" s="42">
        <v>528</v>
      </c>
      <c r="D231" s="42">
        <v>2</v>
      </c>
      <c r="E231" s="41">
        <v>44</v>
      </c>
      <c r="F231" s="43">
        <v>2.98</v>
      </c>
      <c r="G231" s="41">
        <v>25</v>
      </c>
      <c r="H231" s="41">
        <v>35</v>
      </c>
      <c r="I231" s="40">
        <v>150</v>
      </c>
      <c r="J231" s="41">
        <v>235</v>
      </c>
      <c r="K231" s="42">
        <v>628</v>
      </c>
      <c r="L231" s="43">
        <v>40.25</v>
      </c>
      <c r="M231" s="40">
        <v>0.199215092988513</v>
      </c>
      <c r="N231" s="40">
        <v>0.213437190106783</v>
      </c>
      <c r="O231" s="40">
        <v>0.28164051526767703</v>
      </c>
      <c r="P231" s="40">
        <v>0.54597733273558802</v>
      </c>
      <c r="Q231" s="40">
        <v>0.189813830528751</v>
      </c>
      <c r="R231" s="40">
        <v>0.28155847675328199</v>
      </c>
      <c r="S231" s="48">
        <v>0.33917573613272378</v>
      </c>
      <c r="T231" s="40">
        <v>0.19323703231078401</v>
      </c>
      <c r="U231" s="40">
        <v>0.29904819471858202</v>
      </c>
      <c r="V231" s="40">
        <v>0.255959458126156</v>
      </c>
      <c r="W231" s="40">
        <v>0.26440772631062798</v>
      </c>
      <c r="X231" s="40">
        <v>0.37537547621672801</v>
      </c>
      <c r="Y231" s="40">
        <v>0.28650762228021798</v>
      </c>
      <c r="Z231" s="43">
        <v>0.25</v>
      </c>
      <c r="AA231" s="43">
        <v>0.23543347752698099</v>
      </c>
      <c r="AB231" s="43">
        <f t="shared" si="6"/>
        <v>1.4566522473019011E-2</v>
      </c>
      <c r="AC231" s="45">
        <v>0.26642297003741799</v>
      </c>
      <c r="AD231" s="45">
        <f t="shared" si="7"/>
        <v>-1.6422970037417994E-2</v>
      </c>
    </row>
    <row r="232" spans="1:30" ht="15" x14ac:dyDescent="0.2">
      <c r="B232" s="41">
        <v>20</v>
      </c>
      <c r="C232" s="42">
        <v>528</v>
      </c>
      <c r="D232" s="42">
        <v>2</v>
      </c>
      <c r="E232" s="41">
        <v>44</v>
      </c>
      <c r="F232" s="43">
        <v>2.98</v>
      </c>
      <c r="G232" s="41">
        <v>25</v>
      </c>
      <c r="H232" s="41">
        <v>35</v>
      </c>
      <c r="I232" s="40">
        <v>150</v>
      </c>
      <c r="J232" s="41">
        <v>235</v>
      </c>
      <c r="K232" s="42">
        <v>628</v>
      </c>
      <c r="L232" s="43">
        <v>43.7</v>
      </c>
      <c r="M232" s="40">
        <v>0.217992362566271</v>
      </c>
      <c r="N232" s="40">
        <v>0.233554981366633</v>
      </c>
      <c r="O232" s="40">
        <v>0.305781130862049</v>
      </c>
      <c r="P232" s="40">
        <v>0.64358470895525599</v>
      </c>
      <c r="Q232" s="40">
        <v>0.20709976867183399</v>
      </c>
      <c r="R232" s="40">
        <v>0.30569206047499198</v>
      </c>
      <c r="S232" s="48">
        <v>0.37177192985904184</v>
      </c>
      <c r="T232" s="40">
        <v>0.210764184650889</v>
      </c>
      <c r="U232" s="40">
        <v>0.324680897123032</v>
      </c>
      <c r="V232" s="40">
        <v>0.279682229881688</v>
      </c>
      <c r="W232" s="40">
        <v>0.29119025488820299</v>
      </c>
      <c r="X232" s="40">
        <v>0.42268222489017898</v>
      </c>
      <c r="Y232" s="40">
        <v>0.32252912758566499</v>
      </c>
      <c r="Z232" s="43">
        <v>0.3</v>
      </c>
      <c r="AA232" s="43">
        <v>0.25982047155578503</v>
      </c>
      <c r="AB232" s="43">
        <f t="shared" si="6"/>
        <v>4.0179528444214963E-2</v>
      </c>
      <c r="AC232" s="45">
        <v>0.29627086072763698</v>
      </c>
      <c r="AD232" s="45">
        <f t="shared" si="7"/>
        <v>3.7291392723630135E-3</v>
      </c>
    </row>
    <row r="233" spans="1:30" ht="15" x14ac:dyDescent="0.2">
      <c r="B233" s="41">
        <v>20</v>
      </c>
      <c r="C233" s="42">
        <v>528</v>
      </c>
      <c r="D233" s="42">
        <v>2</v>
      </c>
      <c r="E233" s="41">
        <v>44</v>
      </c>
      <c r="F233" s="43">
        <v>2.98</v>
      </c>
      <c r="G233" s="41">
        <v>25</v>
      </c>
      <c r="H233" s="41">
        <v>35</v>
      </c>
      <c r="I233" s="40">
        <v>150</v>
      </c>
      <c r="J233" s="41">
        <v>235</v>
      </c>
      <c r="K233" s="42">
        <v>628</v>
      </c>
      <c r="L233" s="43">
        <v>46</v>
      </c>
      <c r="M233" s="40">
        <v>0.23051054228477699</v>
      </c>
      <c r="N233" s="40">
        <v>0.246966842206533</v>
      </c>
      <c r="O233" s="40">
        <v>0.32187487459163</v>
      </c>
      <c r="P233" s="40">
        <v>0.71311325091995204</v>
      </c>
      <c r="Q233" s="40">
        <v>0.218623727433889</v>
      </c>
      <c r="R233" s="40">
        <v>0.32178111628946598</v>
      </c>
      <c r="S233" s="48">
        <v>0.39350272567658734</v>
      </c>
      <c r="T233" s="40">
        <v>0.22244895287762501</v>
      </c>
      <c r="U233" s="40">
        <v>0.341769365392665</v>
      </c>
      <c r="V233" s="40">
        <v>0.295536867955422</v>
      </c>
      <c r="W233" s="40">
        <v>0.30888453146331302</v>
      </c>
      <c r="X233" s="40">
        <v>0.45509860515790901</v>
      </c>
      <c r="Y233" s="40">
        <v>0.34718001949461702</v>
      </c>
      <c r="Z233" s="43">
        <v>0.32</v>
      </c>
      <c r="AA233" s="43">
        <v>0.27607846757498899</v>
      </c>
      <c r="AB233" s="43">
        <f t="shared" si="6"/>
        <v>4.3921532425011012E-2</v>
      </c>
      <c r="AC233" s="45">
        <v>0.316169454521116</v>
      </c>
      <c r="AD233" s="45">
        <f t="shared" si="7"/>
        <v>3.8305454788840065E-3</v>
      </c>
    </row>
    <row r="234" spans="1:30" ht="15" x14ac:dyDescent="0.2">
      <c r="B234" s="41">
        <v>20</v>
      </c>
      <c r="C234" s="42">
        <v>528</v>
      </c>
      <c r="D234" s="42">
        <v>2</v>
      </c>
      <c r="E234" s="41">
        <v>44</v>
      </c>
      <c r="F234" s="43">
        <v>2.98</v>
      </c>
      <c r="G234" s="41">
        <v>25</v>
      </c>
      <c r="H234" s="41">
        <v>35</v>
      </c>
      <c r="I234" s="40">
        <v>150</v>
      </c>
      <c r="J234" s="41">
        <v>235</v>
      </c>
      <c r="K234" s="42">
        <v>628</v>
      </c>
      <c r="L234" s="43">
        <v>51.634999999999998</v>
      </c>
      <c r="M234" s="40">
        <v>0.26118008259511699</v>
      </c>
      <c r="N234" s="40">
        <v>0.27982590126428702</v>
      </c>
      <c r="O234" s="40">
        <v>0.361304546729105</v>
      </c>
      <c r="P234" s="40">
        <v>0.89852715311695697</v>
      </c>
      <c r="Q234" s="40">
        <v>0.24685742640092401</v>
      </c>
      <c r="R234" s="40">
        <v>0.36119930303492498</v>
      </c>
      <c r="S234" s="48">
        <v>0.44674317542957331</v>
      </c>
      <c r="T234" s="40">
        <v>0.25107663503312899</v>
      </c>
      <c r="U234" s="40">
        <v>0.38363611265326703</v>
      </c>
      <c r="V234" s="40">
        <v>0.33448999677676899</v>
      </c>
      <c r="W234" s="40">
        <v>0.35176238751452299</v>
      </c>
      <c r="X234" s="40">
        <v>0.53748910698908703</v>
      </c>
      <c r="Y234" s="40">
        <v>0.40972689725723699</v>
      </c>
      <c r="Z234" s="43">
        <v>0.36</v>
      </c>
      <c r="AA234" s="43">
        <v>0.31591055782203697</v>
      </c>
      <c r="AB234" s="43">
        <f t="shared" si="6"/>
        <v>4.4089442177963012E-2</v>
      </c>
      <c r="AC234" s="45">
        <v>0.36492100931513899</v>
      </c>
      <c r="AD234" s="45">
        <f t="shared" si="7"/>
        <v>-4.9210093151390022E-3</v>
      </c>
    </row>
    <row r="235" spans="1:30" ht="15" x14ac:dyDescent="0.2">
      <c r="B235" s="41">
        <v>20</v>
      </c>
      <c r="C235" s="42">
        <v>528</v>
      </c>
      <c r="D235" s="42">
        <v>2</v>
      </c>
      <c r="E235" s="41">
        <v>44</v>
      </c>
      <c r="F235" s="43">
        <v>2.98</v>
      </c>
      <c r="G235" s="41">
        <v>25</v>
      </c>
      <c r="H235" s="41">
        <v>35</v>
      </c>
      <c r="I235" s="40">
        <v>150</v>
      </c>
      <c r="J235" s="41">
        <v>235</v>
      </c>
      <c r="K235" s="42">
        <v>628</v>
      </c>
      <c r="L235" s="43">
        <v>57.27</v>
      </c>
      <c r="M235" s="40">
        <v>0.29184962290545602</v>
      </c>
      <c r="N235" s="40">
        <v>0.31268496032204102</v>
      </c>
      <c r="O235" s="40">
        <v>0.380757070040603</v>
      </c>
      <c r="P235" s="40">
        <v>0.99788456375838896</v>
      </c>
      <c r="Q235" s="40">
        <v>0.27509112536795899</v>
      </c>
      <c r="R235" s="40">
        <v>0.40061748978038503</v>
      </c>
      <c r="S235" s="48">
        <v>0.49998362518255957</v>
      </c>
      <c r="T235" s="40">
        <v>0.27970431718863298</v>
      </c>
      <c r="U235" s="40">
        <v>0.42550285991386799</v>
      </c>
      <c r="V235" s="40">
        <v>0.35693767627860101</v>
      </c>
      <c r="W235" s="40">
        <v>0.39407026091407599</v>
      </c>
      <c r="X235" s="40">
        <v>0.62409839544596502</v>
      </c>
      <c r="Y235" s="40">
        <v>0.475643252569382</v>
      </c>
      <c r="Z235" s="43">
        <v>0.47</v>
      </c>
      <c r="AA235" s="43">
        <v>0.35574264806908501</v>
      </c>
      <c r="AB235" s="43">
        <f t="shared" si="6"/>
        <v>0.11425735193091496</v>
      </c>
      <c r="AC235" s="45">
        <v>0.40482410087816201</v>
      </c>
      <c r="AD235" s="45">
        <f t="shared" si="7"/>
        <v>6.5175899121837966E-2</v>
      </c>
    </row>
    <row r="236" spans="1:30" ht="15" x14ac:dyDescent="0.2">
      <c r="A236" s="40" t="s">
        <v>71</v>
      </c>
      <c r="B236" s="41">
        <v>20</v>
      </c>
      <c r="C236" s="42">
        <v>528</v>
      </c>
      <c r="D236" s="42">
        <v>3</v>
      </c>
      <c r="E236" s="41">
        <v>12</v>
      </c>
      <c r="F236" s="43">
        <v>2.98</v>
      </c>
      <c r="G236" s="41">
        <v>25</v>
      </c>
      <c r="H236" s="41">
        <v>35</v>
      </c>
      <c r="I236" s="40">
        <v>150</v>
      </c>
      <c r="J236" s="41">
        <v>235</v>
      </c>
      <c r="K236" s="42">
        <v>942</v>
      </c>
      <c r="L236" s="43">
        <v>48.3</v>
      </c>
      <c r="M236" s="40">
        <v>0.12789012791537699</v>
      </c>
      <c r="N236" s="40">
        <v>0.15399797461207199</v>
      </c>
      <c r="O236" s="40">
        <v>0.188767186781895</v>
      </c>
      <c r="P236" s="40">
        <v>0.36999663347029599</v>
      </c>
      <c r="Q236" s="40">
        <v>0.104602151081381</v>
      </c>
      <c r="R236" s="40">
        <v>0.17739282607220899</v>
      </c>
      <c r="S236" s="48">
        <v>0.24442614664837317</v>
      </c>
      <c r="T236" s="40">
        <v>0.15656725810990199</v>
      </c>
      <c r="U236" s="40">
        <v>0.219974951915309</v>
      </c>
      <c r="V236" s="40">
        <v>0.18188336534192301</v>
      </c>
      <c r="W236" s="40">
        <v>0.183410283609653</v>
      </c>
      <c r="X236" s="40">
        <v>0.276745431930631</v>
      </c>
      <c r="Y236" s="40">
        <v>0.20560198493052301</v>
      </c>
      <c r="Z236" s="43">
        <v>0.16</v>
      </c>
      <c r="AA236" s="43">
        <v>0.16920059472353</v>
      </c>
      <c r="AB236" s="43">
        <f t="shared" si="6"/>
        <v>-9.2005947235299923E-3</v>
      </c>
      <c r="AC236" s="45">
        <v>0.18134808592282201</v>
      </c>
      <c r="AD236" s="45">
        <f t="shared" si="7"/>
        <v>-2.1348085922822002E-2</v>
      </c>
    </row>
    <row r="237" spans="1:30" ht="15" x14ac:dyDescent="0.2">
      <c r="B237" s="41">
        <v>20</v>
      </c>
      <c r="C237" s="42">
        <v>528</v>
      </c>
      <c r="D237" s="42">
        <v>3</v>
      </c>
      <c r="E237" s="41">
        <v>12</v>
      </c>
      <c r="F237" s="43">
        <v>2.98</v>
      </c>
      <c r="G237" s="41">
        <v>25</v>
      </c>
      <c r="H237" s="41">
        <v>35</v>
      </c>
      <c r="I237" s="40">
        <v>150</v>
      </c>
      <c r="J237" s="41">
        <v>235</v>
      </c>
      <c r="K237" s="42">
        <v>942</v>
      </c>
      <c r="L237" s="43">
        <v>50.6</v>
      </c>
      <c r="M237" s="40">
        <v>0.134526678686815</v>
      </c>
      <c r="N237" s="40">
        <v>0.16198932933092799</v>
      </c>
      <c r="O237" s="40">
        <v>0.19775610043817499</v>
      </c>
      <c r="P237" s="40">
        <v>0.40607340272023401</v>
      </c>
      <c r="Q237" s="40">
        <v>0.109852110596796</v>
      </c>
      <c r="R237" s="40">
        <v>0.18584010350421901</v>
      </c>
      <c r="S237" s="48">
        <v>0.25783302330921021</v>
      </c>
      <c r="T237" s="40">
        <v>0.16454653547471401</v>
      </c>
      <c r="U237" s="40">
        <v>0.23044994962556201</v>
      </c>
      <c r="V237" s="40">
        <v>0.19116095244436401</v>
      </c>
      <c r="W237" s="40">
        <v>0.19383862186164499</v>
      </c>
      <c r="X237" s="40">
        <v>0.29538570883430298</v>
      </c>
      <c r="Y237" s="40">
        <v>0.21946262135852901</v>
      </c>
      <c r="Z237" s="43">
        <v>0.18</v>
      </c>
      <c r="AA237" s="43">
        <v>0.17871200070263199</v>
      </c>
      <c r="AB237" s="43">
        <f t="shared" si="6"/>
        <v>1.2879992973680032E-3</v>
      </c>
      <c r="AC237" s="45">
        <v>0.192407433731655</v>
      </c>
      <c r="AD237" s="45">
        <f t="shared" si="7"/>
        <v>-1.240743373165501E-2</v>
      </c>
    </row>
    <row r="238" spans="1:30" ht="15" x14ac:dyDescent="0.2">
      <c r="B238" s="41">
        <v>20</v>
      </c>
      <c r="C238" s="42">
        <v>528</v>
      </c>
      <c r="D238" s="42">
        <v>3</v>
      </c>
      <c r="E238" s="41">
        <v>12</v>
      </c>
      <c r="F238" s="43">
        <v>2.98</v>
      </c>
      <c r="G238" s="41">
        <v>25</v>
      </c>
      <c r="H238" s="41">
        <v>35</v>
      </c>
      <c r="I238" s="40">
        <v>150</v>
      </c>
      <c r="J238" s="41">
        <v>235</v>
      </c>
      <c r="K238" s="42">
        <v>942</v>
      </c>
      <c r="L238" s="43">
        <v>56.35</v>
      </c>
      <c r="M238" s="40">
        <v>0.151118055615412</v>
      </c>
      <c r="N238" s="40">
        <v>0.18196771612807</v>
      </c>
      <c r="O238" s="40">
        <v>0.220228384578877</v>
      </c>
      <c r="P238" s="40">
        <v>0.50360652889012403</v>
      </c>
      <c r="Q238" s="40">
        <v>0.122977009385335</v>
      </c>
      <c r="R238" s="40">
        <v>0.20695829708424399</v>
      </c>
      <c r="S238" s="48">
        <v>0.29135021496130303</v>
      </c>
      <c r="T238" s="40">
        <v>0.18449472888674601</v>
      </c>
      <c r="U238" s="40">
        <v>0.25663744390119397</v>
      </c>
      <c r="V238" s="40">
        <v>0.21441488506666001</v>
      </c>
      <c r="W238" s="40">
        <v>0.21969048608792299</v>
      </c>
      <c r="X238" s="40">
        <v>0.343422302050856</v>
      </c>
      <c r="Y238" s="40">
        <v>0.25515459972437698</v>
      </c>
      <c r="Z238" s="43">
        <v>0.18</v>
      </c>
      <c r="AA238" s="43">
        <v>0.202490515650387</v>
      </c>
      <c r="AB238" s="43">
        <f t="shared" si="6"/>
        <v>-2.2490515650387011E-2</v>
      </c>
      <c r="AC238" s="45">
        <v>0.220055803253739</v>
      </c>
      <c r="AD238" s="45">
        <f t="shared" si="7"/>
        <v>-4.0055803253739003E-2</v>
      </c>
    </row>
    <row r="239" spans="1:30" ht="15" x14ac:dyDescent="0.2">
      <c r="B239" s="41">
        <v>20</v>
      </c>
      <c r="C239" s="42">
        <v>528</v>
      </c>
      <c r="D239" s="42">
        <v>3</v>
      </c>
      <c r="E239" s="41">
        <v>12</v>
      </c>
      <c r="F239" s="43">
        <v>2.98</v>
      </c>
      <c r="G239" s="41">
        <v>25</v>
      </c>
      <c r="H239" s="41">
        <v>35</v>
      </c>
      <c r="I239" s="40">
        <v>150</v>
      </c>
      <c r="J239" s="41">
        <v>235</v>
      </c>
      <c r="K239" s="42">
        <v>942</v>
      </c>
      <c r="L239" s="43">
        <v>62.674999999999997</v>
      </c>
      <c r="M239" s="40">
        <v>0.16936857023686799</v>
      </c>
      <c r="N239" s="40">
        <v>0.20394394160492499</v>
      </c>
      <c r="O239" s="40">
        <v>0.24494789713364901</v>
      </c>
      <c r="P239" s="40">
        <v>0.62300595270132997</v>
      </c>
      <c r="Q239" s="40">
        <v>0.13741439805272701</v>
      </c>
      <c r="R239" s="40">
        <v>0.230188310022272</v>
      </c>
      <c r="S239" s="48">
        <v>0.32821912577860507</v>
      </c>
      <c r="T239" s="40">
        <v>0.20643774163998099</v>
      </c>
      <c r="U239" s="40">
        <v>0.28544368760438898</v>
      </c>
      <c r="V239" s="40">
        <v>0.240074487953088</v>
      </c>
      <c r="W239" s="40">
        <v>0.24780687665029499</v>
      </c>
      <c r="X239" s="40">
        <v>0.39863179116872999</v>
      </c>
      <c r="Y239" s="40">
        <v>0.29613241496493498</v>
      </c>
      <c r="Z239" s="43">
        <v>0.2</v>
      </c>
      <c r="AA239" s="43">
        <v>0.228646882092917</v>
      </c>
      <c r="AB239" s="43">
        <f t="shared" si="6"/>
        <v>-2.8646882092916992E-2</v>
      </c>
      <c r="AC239" s="45">
        <v>0.25046900972803199</v>
      </c>
      <c r="AD239" s="45">
        <f t="shared" si="7"/>
        <v>-5.0469009728031977E-2</v>
      </c>
    </row>
    <row r="240" spans="1:30" ht="15" x14ac:dyDescent="0.2">
      <c r="B240" s="41">
        <v>20</v>
      </c>
      <c r="C240" s="42">
        <v>528</v>
      </c>
      <c r="D240" s="42">
        <v>3</v>
      </c>
      <c r="E240" s="41">
        <v>12</v>
      </c>
      <c r="F240" s="43">
        <v>2.98</v>
      </c>
      <c r="G240" s="41">
        <v>25</v>
      </c>
      <c r="H240" s="41">
        <v>35</v>
      </c>
      <c r="I240" s="40">
        <v>150</v>
      </c>
      <c r="J240" s="41">
        <v>235</v>
      </c>
      <c r="K240" s="42">
        <v>942</v>
      </c>
      <c r="L240" s="43">
        <v>68.424999999999997</v>
      </c>
      <c r="M240" s="40">
        <v>0.18595994716546399</v>
      </c>
      <c r="N240" s="40">
        <v>0.22392232840206699</v>
      </c>
      <c r="O240" s="40">
        <v>0.26742018127435102</v>
      </c>
      <c r="P240" s="40">
        <v>0.74256268800635705</v>
      </c>
      <c r="Q240" s="40">
        <v>0.15053929684126599</v>
      </c>
      <c r="R240" s="40">
        <v>0.251306503602297</v>
      </c>
      <c r="S240" s="48">
        <v>0.36173631743069773</v>
      </c>
      <c r="T240" s="40">
        <v>0.22638593505201199</v>
      </c>
      <c r="U240" s="40">
        <v>0.31163118188002098</v>
      </c>
      <c r="V240" s="40">
        <v>0.263458738723444</v>
      </c>
      <c r="W240" s="40">
        <v>0.27311614914308802</v>
      </c>
      <c r="X240" s="40">
        <v>0.45097608725740101</v>
      </c>
      <c r="Y240" s="40">
        <v>0.33494555521828301</v>
      </c>
      <c r="Z240" s="43">
        <v>0.2</v>
      </c>
      <c r="AA240" s="43">
        <v>0.25242539704067202</v>
      </c>
      <c r="AB240" s="43">
        <f t="shared" si="6"/>
        <v>-5.2425397040672006E-2</v>
      </c>
      <c r="AC240" s="45">
        <v>0.27811737925011598</v>
      </c>
      <c r="AD240" s="45">
        <f t="shared" si="7"/>
        <v>-7.811737925011597E-2</v>
      </c>
    </row>
    <row r="241" spans="1:30" ht="15" x14ac:dyDescent="0.2">
      <c r="B241" s="41">
        <v>20</v>
      </c>
      <c r="C241" s="42">
        <v>528</v>
      </c>
      <c r="D241" s="42">
        <v>3</v>
      </c>
      <c r="E241" s="41">
        <v>12</v>
      </c>
      <c r="F241" s="43">
        <v>2.98</v>
      </c>
      <c r="G241" s="41">
        <v>25</v>
      </c>
      <c r="H241" s="41">
        <v>35</v>
      </c>
      <c r="I241" s="40">
        <v>150</v>
      </c>
      <c r="J241" s="41">
        <v>235</v>
      </c>
      <c r="K241" s="42">
        <v>942</v>
      </c>
      <c r="L241" s="43">
        <v>73.599999999999994</v>
      </c>
      <c r="M241" s="40">
        <v>0.20089218640120099</v>
      </c>
      <c r="N241" s="40">
        <v>0.24190287651949399</v>
      </c>
      <c r="O241" s="40">
        <v>0.28764523700098199</v>
      </c>
      <c r="P241" s="40">
        <v>0.85913050492875898</v>
      </c>
      <c r="Q241" s="40">
        <v>0.16235170575095001</v>
      </c>
      <c r="R241" s="40">
        <v>0.27031287782431901</v>
      </c>
      <c r="S241" s="48">
        <v>0.39190178991758118</v>
      </c>
      <c r="T241" s="40">
        <v>0.24433930912284099</v>
      </c>
      <c r="U241" s="40">
        <v>0.33519992672809001</v>
      </c>
      <c r="V241" s="40">
        <v>0.28454228650135799</v>
      </c>
      <c r="W241" s="40">
        <v>0.29571760717115197</v>
      </c>
      <c r="X241" s="40">
        <v>0.49983980419228302</v>
      </c>
      <c r="Y241" s="40">
        <v>0.37216252705915798</v>
      </c>
      <c r="Z241" s="43">
        <v>0.2</v>
      </c>
      <c r="AA241" s="43">
        <v>0.27382606049365099</v>
      </c>
      <c r="AB241" s="43">
        <f t="shared" si="6"/>
        <v>-7.382606049365098E-2</v>
      </c>
      <c r="AC241" s="45">
        <v>0.303000911819991</v>
      </c>
      <c r="AD241" s="45">
        <f t="shared" si="7"/>
        <v>-0.10300091181999099</v>
      </c>
    </row>
    <row r="242" spans="1:30" ht="15" x14ac:dyDescent="0.2">
      <c r="B242" s="41">
        <v>20</v>
      </c>
      <c r="C242" s="42">
        <v>528</v>
      </c>
      <c r="D242" s="42">
        <v>3</v>
      </c>
      <c r="E242" s="41">
        <v>12</v>
      </c>
      <c r="F242" s="43">
        <v>2.98</v>
      </c>
      <c r="G242" s="41">
        <v>25</v>
      </c>
      <c r="H242" s="41">
        <v>35</v>
      </c>
      <c r="I242" s="40">
        <v>150</v>
      </c>
      <c r="J242" s="41">
        <v>235</v>
      </c>
      <c r="K242" s="42">
        <v>942</v>
      </c>
      <c r="L242" s="43">
        <v>79.924999999999997</v>
      </c>
      <c r="M242" s="40">
        <v>0.21914270102265701</v>
      </c>
      <c r="N242" s="40">
        <v>0.26387910199634901</v>
      </c>
      <c r="O242" s="40">
        <v>0.31000433689657803</v>
      </c>
      <c r="P242" s="40">
        <v>0.99788456375838896</v>
      </c>
      <c r="Q242" s="40">
        <v>0.17678909441834301</v>
      </c>
      <c r="R242" s="40">
        <v>0.29354289076234602</v>
      </c>
      <c r="S242" s="48">
        <v>0.42877070073488316</v>
      </c>
      <c r="T242" s="40">
        <v>0.26628232187607598</v>
      </c>
      <c r="U242" s="40">
        <v>0.36400617043128503</v>
      </c>
      <c r="V242" s="40">
        <v>0.31035102243774199</v>
      </c>
      <c r="W242" s="40">
        <v>0.32314461847797399</v>
      </c>
      <c r="X242" s="40">
        <v>0.56181854068062798</v>
      </c>
      <c r="Y242" s="40">
        <v>0.418017760948381</v>
      </c>
      <c r="Z242" s="43">
        <v>0.22</v>
      </c>
      <c r="AA242" s="43">
        <v>0.29998242693618099</v>
      </c>
      <c r="AB242" s="43">
        <f t="shared" si="6"/>
        <v>-7.9982426936180989E-2</v>
      </c>
      <c r="AC242" s="45">
        <v>0.33052135777379099</v>
      </c>
      <c r="AD242" s="45">
        <f t="shared" si="7"/>
        <v>-0.11052135777379099</v>
      </c>
    </row>
    <row r="243" spans="1:30" ht="15" x14ac:dyDescent="0.2">
      <c r="A243" s="40" t="s">
        <v>72</v>
      </c>
      <c r="B243" s="41">
        <v>28</v>
      </c>
      <c r="C243" s="42">
        <v>400</v>
      </c>
      <c r="D243" s="42">
        <v>4</v>
      </c>
      <c r="E243" s="41">
        <v>16</v>
      </c>
      <c r="F243" s="43">
        <v>5.3084743571011099</v>
      </c>
      <c r="G243" s="41">
        <v>30</v>
      </c>
      <c r="H243" s="41">
        <v>44</v>
      </c>
      <c r="I243" s="40">
        <v>200</v>
      </c>
      <c r="J243" s="41">
        <v>300</v>
      </c>
      <c r="K243" s="42">
        <v>2463</v>
      </c>
      <c r="L243" s="43">
        <v>78.75</v>
      </c>
      <c r="M243" s="40">
        <v>5.6084396803587601E-2</v>
      </c>
      <c r="N243" s="40">
        <v>7.28407994883951E-2</v>
      </c>
      <c r="O243" s="40">
        <v>0.11044982359729399</v>
      </c>
      <c r="P243" s="40">
        <v>7.3361377368608205E-2</v>
      </c>
      <c r="Q243" s="40">
        <v>4.5640522399196401E-2</v>
      </c>
      <c r="R243" s="40">
        <v>0.12192305235777701</v>
      </c>
      <c r="S243" s="48">
        <v>0.12976679780807773</v>
      </c>
      <c r="T243" s="40">
        <v>9.59824202295676E-2</v>
      </c>
      <c r="U243" s="40">
        <v>0.13074880349069801</v>
      </c>
      <c r="V243" s="40">
        <v>9.3514236611009299E-2</v>
      </c>
      <c r="W243" s="40">
        <v>6.76476530429682E-2</v>
      </c>
      <c r="X243" s="40">
        <v>9.4967994331934993E-2</v>
      </c>
      <c r="Y243" s="40">
        <v>7.1454274505946797E-2</v>
      </c>
      <c r="Z243" s="43">
        <v>0.22</v>
      </c>
      <c r="AA243" s="43">
        <v>6.76476530429682E-2</v>
      </c>
      <c r="AB243" s="43">
        <f t="shared" si="6"/>
        <v>0.15235234695703181</v>
      </c>
      <c r="AC243" s="45">
        <v>6.76476530429682E-2</v>
      </c>
      <c r="AD243" s="45">
        <f t="shared" si="7"/>
        <v>0.15235234695703181</v>
      </c>
    </row>
    <row r="244" spans="1:30" ht="15" x14ac:dyDescent="0.2">
      <c r="B244" s="41">
        <v>28</v>
      </c>
      <c r="C244" s="42">
        <v>400</v>
      </c>
      <c r="D244" s="42">
        <v>4</v>
      </c>
      <c r="E244" s="41">
        <v>16</v>
      </c>
      <c r="F244" s="43">
        <v>5.3084743571011099</v>
      </c>
      <c r="G244" s="41">
        <v>30</v>
      </c>
      <c r="H244" s="41">
        <v>44</v>
      </c>
      <c r="I244" s="40">
        <v>200</v>
      </c>
      <c r="J244" s="41">
        <v>300</v>
      </c>
      <c r="K244" s="42">
        <v>2463</v>
      </c>
      <c r="L244" s="43">
        <v>105.075</v>
      </c>
      <c r="M244" s="40">
        <v>8.0101861653241901E-2</v>
      </c>
      <c r="N244" s="40">
        <v>0.10403399119659799</v>
      </c>
      <c r="O244" s="40">
        <v>0.14737162177124699</v>
      </c>
      <c r="P244" s="40">
        <v>0.130606607583203</v>
      </c>
      <c r="Q244" s="40">
        <v>6.2121500476060701E-2</v>
      </c>
      <c r="R244" s="40">
        <v>0.162680187003091</v>
      </c>
      <c r="S244" s="48">
        <v>0.18875394277060942</v>
      </c>
      <c r="T244" s="40">
        <v>0.13284240909810599</v>
      </c>
      <c r="U244" s="40">
        <v>0.17445626065758901</v>
      </c>
      <c r="V244" s="40">
        <v>0.127640879756934</v>
      </c>
      <c r="W244" s="40">
        <v>0.11131626203563701</v>
      </c>
      <c r="X244" s="40">
        <v>0.15084000211537099</v>
      </c>
      <c r="Y244" s="40">
        <v>0.117245309088525</v>
      </c>
      <c r="Z244" s="43">
        <v>0.25</v>
      </c>
      <c r="AA244" s="43">
        <v>0.10459254586081899</v>
      </c>
      <c r="AB244" s="43">
        <f t="shared" si="6"/>
        <v>0.14540745413918099</v>
      </c>
      <c r="AC244" s="45">
        <v>0.10634972385684199</v>
      </c>
      <c r="AD244" s="45">
        <f t="shared" si="7"/>
        <v>0.14365027614315801</v>
      </c>
    </row>
    <row r="245" spans="1:30" ht="15" x14ac:dyDescent="0.2">
      <c r="B245" s="41">
        <v>28</v>
      </c>
      <c r="C245" s="42">
        <v>400</v>
      </c>
      <c r="D245" s="42">
        <v>4</v>
      </c>
      <c r="E245" s="41">
        <v>16</v>
      </c>
      <c r="F245" s="43">
        <v>5.3084743571011099</v>
      </c>
      <c r="G245" s="41">
        <v>30</v>
      </c>
      <c r="H245" s="41">
        <v>44</v>
      </c>
      <c r="I245" s="40">
        <v>200</v>
      </c>
      <c r="J245" s="41">
        <v>300</v>
      </c>
      <c r="K245" s="42">
        <v>2463</v>
      </c>
      <c r="L245" s="43">
        <v>120.15</v>
      </c>
      <c r="M245" s="40">
        <v>9.3855452635522599E-2</v>
      </c>
      <c r="N245" s="40">
        <v>0.12189675909787701</v>
      </c>
      <c r="O245" s="40">
        <v>0.16851487371701501</v>
      </c>
      <c r="P245" s="40">
        <v>0.170770913672839</v>
      </c>
      <c r="Q245" s="40">
        <v>7.1559325528624096E-2</v>
      </c>
      <c r="R245" s="40">
        <v>0.18601974274015101</v>
      </c>
      <c r="S245" s="48">
        <v>0.22253290612522156</v>
      </c>
      <c r="T245" s="40">
        <v>0.15395026597154299</v>
      </c>
      <c r="U245" s="40">
        <v>0.19948531732580799</v>
      </c>
      <c r="V245" s="40">
        <v>0.147593909126845</v>
      </c>
      <c r="W245" s="40">
        <v>0.136423888414447</v>
      </c>
      <c r="X245" s="40">
        <v>0.184109571423236</v>
      </c>
      <c r="Y245" s="40">
        <v>0.145176339065343</v>
      </c>
      <c r="Z245" s="43">
        <v>0.28999999999999998</v>
      </c>
      <c r="AA245" s="43">
        <v>0.12574902294454501</v>
      </c>
      <c r="AB245" s="43">
        <f t="shared" si="6"/>
        <v>0.16425097705545497</v>
      </c>
      <c r="AC245" s="45">
        <v>0.13185876427251</v>
      </c>
      <c r="AD245" s="45">
        <f t="shared" si="7"/>
        <v>0.15814123572748998</v>
      </c>
    </row>
    <row r="246" spans="1:30" ht="15" x14ac:dyDescent="0.2">
      <c r="B246" s="41">
        <v>28</v>
      </c>
      <c r="C246" s="42">
        <v>400</v>
      </c>
      <c r="D246" s="42">
        <v>4</v>
      </c>
      <c r="E246" s="41">
        <v>16</v>
      </c>
      <c r="F246" s="43">
        <v>5.3084743571011099</v>
      </c>
      <c r="G246" s="41">
        <v>30</v>
      </c>
      <c r="H246" s="41">
        <v>44</v>
      </c>
      <c r="I246" s="40">
        <v>200</v>
      </c>
      <c r="J246" s="41">
        <v>300</v>
      </c>
      <c r="K246" s="42">
        <v>2463</v>
      </c>
      <c r="L246" s="43">
        <v>137.47499999999999</v>
      </c>
      <c r="M246" s="40">
        <v>0.109661818391278</v>
      </c>
      <c r="N246" s="40">
        <v>0.142425611760541</v>
      </c>
      <c r="O246" s="40">
        <v>0.192813834908419</v>
      </c>
      <c r="P246" s="40">
        <v>0.22357014498470301</v>
      </c>
      <c r="Q246" s="40">
        <v>8.2405781186047605E-2</v>
      </c>
      <c r="R246" s="40">
        <v>0.21284281425886201</v>
      </c>
      <c r="S246" s="48">
        <v>0.26135350580141753</v>
      </c>
      <c r="T246" s="40">
        <v>0.17820854924400001</v>
      </c>
      <c r="U246" s="40">
        <v>0.22825005409376201</v>
      </c>
      <c r="V246" s="40">
        <v>0.17076220416677501</v>
      </c>
      <c r="W246" s="40">
        <v>0.164748506490624</v>
      </c>
      <c r="X246" s="40">
        <v>0.22349104287806501</v>
      </c>
      <c r="Y246" s="40">
        <v>0.17881311370995601</v>
      </c>
      <c r="Z246" s="43">
        <v>0.31</v>
      </c>
      <c r="AA246" s="43">
        <v>0.15006318317509601</v>
      </c>
      <c r="AB246" s="43">
        <f t="shared" si="6"/>
        <v>0.15993681682490399</v>
      </c>
      <c r="AC246" s="45">
        <v>0.16117512415320401</v>
      </c>
      <c r="AD246" s="45">
        <f t="shared" si="7"/>
        <v>0.14882487584679599</v>
      </c>
    </row>
    <row r="247" spans="1:30" ht="15" x14ac:dyDescent="0.2">
      <c r="B247" s="41">
        <v>28</v>
      </c>
      <c r="C247" s="42">
        <v>400</v>
      </c>
      <c r="D247" s="42">
        <v>4</v>
      </c>
      <c r="E247" s="41">
        <v>16</v>
      </c>
      <c r="F247" s="43">
        <v>5.3084743571011099</v>
      </c>
      <c r="G247" s="41">
        <v>30</v>
      </c>
      <c r="H247" s="41">
        <v>44</v>
      </c>
      <c r="I247" s="40">
        <v>200</v>
      </c>
      <c r="J247" s="41">
        <v>300</v>
      </c>
      <c r="K247" s="42">
        <v>2463</v>
      </c>
      <c r="L247" s="43">
        <v>164.47499999999999</v>
      </c>
      <c r="M247" s="40">
        <v>0.134295115672975</v>
      </c>
      <c r="N247" s="40">
        <v>0.17441862889715901</v>
      </c>
      <c r="O247" s="40">
        <v>0.23068234585606301</v>
      </c>
      <c r="P247" s="40">
        <v>0.320011909976056</v>
      </c>
      <c r="Q247" s="40">
        <v>9.9309348444370005E-2</v>
      </c>
      <c r="R247" s="40">
        <v>0.25464500363867199</v>
      </c>
      <c r="S247" s="48">
        <v>0.32185314166042434</v>
      </c>
      <c r="T247" s="40">
        <v>0.21601366603224401</v>
      </c>
      <c r="U247" s="40">
        <v>0.27307821529057302</v>
      </c>
      <c r="V247" s="40">
        <v>0.20722172617713999</v>
      </c>
      <c r="W247" s="40">
        <v>0.20791828758297501</v>
      </c>
      <c r="X247" s="40">
        <v>0.28730870481149501</v>
      </c>
      <c r="Y247" s="40">
        <v>0.23451085819970199</v>
      </c>
      <c r="Z247" s="43">
        <v>0.33</v>
      </c>
      <c r="AA247" s="43">
        <v>0.18795538093699399</v>
      </c>
      <c r="AB247" s="43">
        <f t="shared" si="6"/>
        <v>0.14204461906300603</v>
      </c>
      <c r="AC247" s="45">
        <v>0.20686295773350699</v>
      </c>
      <c r="AD247" s="45">
        <f t="shared" si="7"/>
        <v>0.12313704226649302</v>
      </c>
    </row>
    <row r="248" spans="1:30" ht="15" x14ac:dyDescent="0.2">
      <c r="B248" s="41">
        <v>28</v>
      </c>
      <c r="C248" s="42">
        <v>400</v>
      </c>
      <c r="D248" s="42">
        <v>4</v>
      </c>
      <c r="E248" s="41">
        <v>16</v>
      </c>
      <c r="F248" s="43">
        <v>5.3084743571011099</v>
      </c>
      <c r="G248" s="41">
        <v>30</v>
      </c>
      <c r="H248" s="41">
        <v>44</v>
      </c>
      <c r="I248" s="40">
        <v>200</v>
      </c>
      <c r="J248" s="41">
        <v>300</v>
      </c>
      <c r="K248" s="42">
        <v>2463</v>
      </c>
      <c r="L248" s="43">
        <v>178.2</v>
      </c>
      <c r="M248" s="40">
        <v>0.146817041791171</v>
      </c>
      <c r="N248" s="40">
        <v>0.190681745941607</v>
      </c>
      <c r="O248" s="40">
        <v>0.249932172254449</v>
      </c>
      <c r="P248" s="40">
        <v>0.37564857970402199</v>
      </c>
      <c r="Q248" s="40">
        <v>0.10790199513401701</v>
      </c>
      <c r="R248" s="40">
        <v>0.275894449906742</v>
      </c>
      <c r="S248" s="48">
        <v>0.35260712322208626</v>
      </c>
      <c r="T248" s="40">
        <v>0.23523126706626901</v>
      </c>
      <c r="U248" s="40">
        <v>0.29586586389895198</v>
      </c>
      <c r="V248" s="40">
        <v>0.22587572620277699</v>
      </c>
      <c r="W248" s="40">
        <v>0.22947156593928</v>
      </c>
      <c r="X248" s="40">
        <v>0.32089078548170402</v>
      </c>
      <c r="Y248" s="40">
        <v>0.26435429775630498</v>
      </c>
      <c r="Z248" s="43">
        <v>0.34</v>
      </c>
      <c r="AA248" s="43">
        <v>0.20721724813262599</v>
      </c>
      <c r="AB248" s="43">
        <f t="shared" si="6"/>
        <v>0.13278275186737404</v>
      </c>
      <c r="AC248" s="45">
        <v>0.23008760647015999</v>
      </c>
      <c r="AD248" s="45">
        <f t="shared" si="7"/>
        <v>0.10991239352984003</v>
      </c>
    </row>
    <row r="249" spans="1:30" ht="15" x14ac:dyDescent="0.2">
      <c r="B249" s="41">
        <v>28</v>
      </c>
      <c r="C249" s="42">
        <v>400</v>
      </c>
      <c r="D249" s="42">
        <v>4</v>
      </c>
      <c r="E249" s="41">
        <v>16</v>
      </c>
      <c r="F249" s="43">
        <v>5.3084743571011099</v>
      </c>
      <c r="G249" s="41">
        <v>30</v>
      </c>
      <c r="H249" s="41">
        <v>44</v>
      </c>
      <c r="I249" s="40">
        <v>200</v>
      </c>
      <c r="J249" s="41">
        <v>300</v>
      </c>
      <c r="K249" s="42">
        <v>2463</v>
      </c>
      <c r="L249" s="43">
        <v>198.22499999999999</v>
      </c>
      <c r="M249" s="40">
        <v>0.16508673727509601</v>
      </c>
      <c r="N249" s="40">
        <v>0.214409900317933</v>
      </c>
      <c r="O249" s="40">
        <v>0.27358028479302099</v>
      </c>
      <c r="P249" s="40">
        <v>0.45009793258907599</v>
      </c>
      <c r="Q249" s="40">
        <v>0.120438807517273</v>
      </c>
      <c r="R249" s="40">
        <v>0.30689774036343298</v>
      </c>
      <c r="S249" s="48">
        <v>0.39747768648418291</v>
      </c>
      <c r="T249" s="40">
        <v>0.26327006201754999</v>
      </c>
      <c r="U249" s="40">
        <v>0.32911341678658601</v>
      </c>
      <c r="V249" s="40">
        <v>0.24956102424659499</v>
      </c>
      <c r="W249" s="40">
        <v>0.26051337936518798</v>
      </c>
      <c r="X249" s="40">
        <v>0.37126773559201398</v>
      </c>
      <c r="Y249" s="40">
        <v>0.31110805096063598</v>
      </c>
      <c r="Z249" s="43">
        <v>0.37</v>
      </c>
      <c r="AA249" s="43">
        <v>0.23532062813936599</v>
      </c>
      <c r="AB249" s="43">
        <f t="shared" si="6"/>
        <v>0.134679371860634</v>
      </c>
      <c r="AC249" s="45">
        <v>0.26397274970888401</v>
      </c>
      <c r="AD249" s="45">
        <f t="shared" si="7"/>
        <v>0.10602725029111598</v>
      </c>
    </row>
    <row r="250" spans="1:30" ht="15" x14ac:dyDescent="0.2">
      <c r="A250" s="40" t="s">
        <v>73</v>
      </c>
      <c r="B250" s="41">
        <v>15.9</v>
      </c>
      <c r="C250" s="42">
        <v>392</v>
      </c>
      <c r="D250" s="42">
        <v>2</v>
      </c>
      <c r="E250" s="41">
        <v>46</v>
      </c>
      <c r="F250" s="43">
        <v>2.8258773978663201</v>
      </c>
      <c r="G250" s="41">
        <v>30</v>
      </c>
      <c r="H250" s="41">
        <v>38</v>
      </c>
      <c r="I250" s="40">
        <v>150</v>
      </c>
      <c r="J250" s="41">
        <v>250</v>
      </c>
      <c r="K250" s="42">
        <v>397.2</v>
      </c>
      <c r="L250" s="43">
        <v>27.1</v>
      </c>
      <c r="M250" s="40">
        <v>0.24981880799060699</v>
      </c>
      <c r="N250" s="40">
        <v>0.25478881615385301</v>
      </c>
      <c r="O250" s="40">
        <v>0.28199361842550302</v>
      </c>
      <c r="P250" s="40">
        <v>0.43113366848373103</v>
      </c>
      <c r="Q250" s="40">
        <v>0.243478633841056</v>
      </c>
      <c r="R250" s="40">
        <v>0.27246081076315698</v>
      </c>
      <c r="S250" s="48">
        <v>0.30877551535385822</v>
      </c>
      <c r="T250" s="40">
        <v>0.19708565182586599</v>
      </c>
      <c r="U250" s="40">
        <v>0.30288745462493399</v>
      </c>
      <c r="V250" s="40">
        <v>0.29702172941567501</v>
      </c>
      <c r="W250" s="40">
        <v>0.31568745144897498</v>
      </c>
      <c r="X250" s="40">
        <v>0.33535424363244698</v>
      </c>
      <c r="Y250" s="40">
        <v>0.31439514627007398</v>
      </c>
      <c r="Z250" s="43">
        <v>0.2</v>
      </c>
      <c r="AA250" s="43">
        <v>0.267289298730918</v>
      </c>
      <c r="AB250" s="43">
        <f t="shared" si="6"/>
        <v>-6.728929873091799E-2</v>
      </c>
      <c r="AC250" s="45">
        <v>0.31773914093066102</v>
      </c>
      <c r="AD250" s="45">
        <f t="shared" si="7"/>
        <v>-0.11773914093066101</v>
      </c>
    </row>
    <row r="251" spans="1:30" ht="15" x14ac:dyDescent="0.2">
      <c r="B251" s="41">
        <v>15.9</v>
      </c>
      <c r="C251" s="42">
        <v>392</v>
      </c>
      <c r="D251" s="42">
        <v>2</v>
      </c>
      <c r="E251" s="41">
        <v>46</v>
      </c>
      <c r="F251" s="43">
        <v>2.8258773978663201</v>
      </c>
      <c r="G251" s="41">
        <v>30</v>
      </c>
      <c r="H251" s="41">
        <v>38</v>
      </c>
      <c r="I251" s="40">
        <v>150</v>
      </c>
      <c r="J251" s="41">
        <v>250</v>
      </c>
      <c r="K251" s="42">
        <v>397.2</v>
      </c>
      <c r="L251" s="43">
        <v>35.6</v>
      </c>
      <c r="M251" s="40">
        <v>0.27432948922960299</v>
      </c>
      <c r="N251" s="40">
        <v>0.27978712395237199</v>
      </c>
      <c r="O251" s="40">
        <v>0.29185886340253198</v>
      </c>
      <c r="P251" s="40">
        <v>0.461826822418196</v>
      </c>
      <c r="Q251" s="40">
        <v>0.26626281210622399</v>
      </c>
      <c r="R251" s="40">
        <v>0.29553599084879201</v>
      </c>
      <c r="S251" s="48">
        <v>0.33817812649890866</v>
      </c>
      <c r="T251" s="40">
        <v>0.21484833224410799</v>
      </c>
      <c r="U251" s="40">
        <v>0.328539520114915</v>
      </c>
      <c r="V251" s="40">
        <v>0.29702172941567501</v>
      </c>
      <c r="W251" s="40">
        <v>0.34949955409107297</v>
      </c>
      <c r="X251" s="40">
        <v>0.37632763568334299</v>
      </c>
      <c r="Y251" s="40">
        <v>0.35639546092798002</v>
      </c>
      <c r="Z251" s="43">
        <v>0.35</v>
      </c>
      <c r="AA251" s="43">
        <v>0.29702172941567501</v>
      </c>
      <c r="AB251" s="43">
        <f t="shared" si="6"/>
        <v>5.2978270584324971E-2</v>
      </c>
      <c r="AC251" s="45">
        <v>0.356474413156604</v>
      </c>
      <c r="AD251" s="45">
        <f t="shared" si="7"/>
        <v>-6.4744131566040197E-3</v>
      </c>
    </row>
    <row r="252" spans="1:30" ht="15" x14ac:dyDescent="0.2">
      <c r="A252" s="40" t="s">
        <v>74</v>
      </c>
      <c r="B252" s="41">
        <v>15.9</v>
      </c>
      <c r="C252" s="42">
        <v>392</v>
      </c>
      <c r="D252" s="42">
        <v>2</v>
      </c>
      <c r="E252" s="41">
        <v>46</v>
      </c>
      <c r="F252" s="43">
        <v>2.8258773978663201</v>
      </c>
      <c r="G252" s="41">
        <v>30</v>
      </c>
      <c r="H252" s="41">
        <v>38</v>
      </c>
      <c r="I252" s="40">
        <v>150</v>
      </c>
      <c r="J252" s="41">
        <v>250</v>
      </c>
      <c r="K252" s="42">
        <v>397.2</v>
      </c>
      <c r="L252" s="43">
        <v>27.2</v>
      </c>
      <c r="M252" s="40">
        <v>0.25088674352315199</v>
      </c>
      <c r="N252" s="40">
        <v>0.25587799767807301</v>
      </c>
      <c r="O252" s="40">
        <v>0.28303418528316199</v>
      </c>
      <c r="P252" s="40">
        <v>0.43432133725167599</v>
      </c>
      <c r="Q252" s="40">
        <v>0.24447134527620501</v>
      </c>
      <c r="R252" s="40">
        <v>0.27346620120877801</v>
      </c>
      <c r="S252" s="48">
        <v>0.31005659330045815</v>
      </c>
      <c r="T252" s="40">
        <v>0.197859575544547</v>
      </c>
      <c r="U252" s="40">
        <v>0.30400512050915901</v>
      </c>
      <c r="V252" s="40">
        <v>0.29702172941567501</v>
      </c>
      <c r="W252" s="40">
        <v>0.31717126021214198</v>
      </c>
      <c r="X252" s="40">
        <v>0.337124155337029</v>
      </c>
      <c r="Y252" s="40">
        <v>0.316198173352992</v>
      </c>
      <c r="Z252" s="43">
        <v>0.2</v>
      </c>
      <c r="AA252" s="43">
        <v>0.268584746984175</v>
      </c>
      <c r="AB252" s="43">
        <f t="shared" si="6"/>
        <v>-6.8584746984174993E-2</v>
      </c>
      <c r="AC252" s="45">
        <v>0.31942684488182999</v>
      </c>
      <c r="AD252" s="45">
        <f t="shared" si="7"/>
        <v>-0.11942684488182997</v>
      </c>
    </row>
    <row r="253" spans="1:30" ht="15" x14ac:dyDescent="0.2">
      <c r="B253" s="41">
        <v>15.9</v>
      </c>
      <c r="C253" s="42">
        <v>392</v>
      </c>
      <c r="D253" s="42">
        <v>2</v>
      </c>
      <c r="E253" s="41">
        <v>46</v>
      </c>
      <c r="F253" s="43">
        <v>2.8258773978663201</v>
      </c>
      <c r="G253" s="41">
        <v>30</v>
      </c>
      <c r="H253" s="41">
        <v>38</v>
      </c>
      <c r="I253" s="40">
        <v>150</v>
      </c>
      <c r="J253" s="41">
        <v>250</v>
      </c>
      <c r="K253" s="42">
        <v>397.2</v>
      </c>
      <c r="L253" s="43">
        <v>35.6</v>
      </c>
      <c r="M253" s="40">
        <v>0.27432948922960299</v>
      </c>
      <c r="N253" s="40">
        <v>0.27978712395237199</v>
      </c>
      <c r="O253" s="40">
        <v>0.29185886340253198</v>
      </c>
      <c r="P253" s="40">
        <v>0.461826822418196</v>
      </c>
      <c r="Q253" s="40">
        <v>0.26626281210622399</v>
      </c>
      <c r="R253" s="40">
        <v>0.29553599084879201</v>
      </c>
      <c r="S253" s="48">
        <v>0.33817812649890866</v>
      </c>
      <c r="T253" s="40">
        <v>0.21484833224410799</v>
      </c>
      <c r="U253" s="40">
        <v>0.328539520114915</v>
      </c>
      <c r="V253" s="40">
        <v>0.29702172941567501</v>
      </c>
      <c r="W253" s="40">
        <v>0.34949955409107297</v>
      </c>
      <c r="X253" s="40">
        <v>0.37632763568334299</v>
      </c>
      <c r="Y253" s="40">
        <v>0.35639546092798002</v>
      </c>
      <c r="Z253" s="43">
        <v>0.25</v>
      </c>
      <c r="AA253" s="43">
        <v>0.29702172941567501</v>
      </c>
      <c r="AB253" s="43">
        <f t="shared" si="6"/>
        <v>-4.7021729415675007E-2</v>
      </c>
      <c r="AC253" s="45">
        <v>0.356474413156604</v>
      </c>
      <c r="AD253" s="45">
        <f t="shared" si="7"/>
        <v>-0.106474413156604</v>
      </c>
    </row>
    <row r="254" spans="1:30" ht="15" x14ac:dyDescent="0.2">
      <c r="A254" s="40" t="s">
        <v>75</v>
      </c>
      <c r="B254" s="41">
        <v>15.9</v>
      </c>
      <c r="C254" s="42">
        <v>392</v>
      </c>
      <c r="D254" s="42">
        <v>2</v>
      </c>
      <c r="E254" s="41">
        <v>46</v>
      </c>
      <c r="F254" s="43">
        <v>2.8258773978663201</v>
      </c>
      <c r="G254" s="41">
        <v>30</v>
      </c>
      <c r="H254" s="41">
        <v>38</v>
      </c>
      <c r="I254" s="40">
        <v>150</v>
      </c>
      <c r="J254" s="41">
        <v>250</v>
      </c>
      <c r="K254" s="42">
        <v>397.2</v>
      </c>
      <c r="L254" s="43">
        <v>27.2</v>
      </c>
      <c r="M254" s="40">
        <v>0.25088674352315199</v>
      </c>
      <c r="N254" s="40">
        <v>0.25587799767807301</v>
      </c>
      <c r="O254" s="40">
        <v>0.28303418528316199</v>
      </c>
      <c r="P254" s="40">
        <v>0.43432133725167599</v>
      </c>
      <c r="Q254" s="40">
        <v>0.24447134527620501</v>
      </c>
      <c r="R254" s="40">
        <v>0.27346620120877801</v>
      </c>
      <c r="S254" s="48">
        <v>0.31005659330045815</v>
      </c>
      <c r="T254" s="40">
        <v>0.197859575544547</v>
      </c>
      <c r="U254" s="40">
        <v>0.30400512050915901</v>
      </c>
      <c r="V254" s="40">
        <v>0.29702172941567501</v>
      </c>
      <c r="W254" s="40">
        <v>0.31717126021214198</v>
      </c>
      <c r="X254" s="40">
        <v>0.337124155337029</v>
      </c>
      <c r="Y254" s="40">
        <v>0.316198173352992</v>
      </c>
      <c r="Z254" s="43">
        <v>0.2</v>
      </c>
      <c r="AA254" s="43">
        <v>0.268584746984175</v>
      </c>
      <c r="AB254" s="43">
        <f t="shared" si="6"/>
        <v>-6.8584746984174993E-2</v>
      </c>
      <c r="AC254" s="45">
        <v>0.31942684488182999</v>
      </c>
      <c r="AD254" s="45">
        <f t="shared" si="7"/>
        <v>-0.11942684488182997</v>
      </c>
    </row>
    <row r="255" spans="1:30" ht="15" x14ac:dyDescent="0.2">
      <c r="B255" s="41">
        <v>15.9</v>
      </c>
      <c r="C255" s="42">
        <v>392</v>
      </c>
      <c r="D255" s="42">
        <v>2</v>
      </c>
      <c r="E255" s="41">
        <v>46</v>
      </c>
      <c r="F255" s="43">
        <v>2.8258773978663201</v>
      </c>
      <c r="G255" s="41">
        <v>30</v>
      </c>
      <c r="H255" s="41">
        <v>38</v>
      </c>
      <c r="I255" s="40">
        <v>150</v>
      </c>
      <c r="J255" s="41">
        <v>250</v>
      </c>
      <c r="K255" s="42">
        <v>397.2</v>
      </c>
      <c r="L255" s="43">
        <v>35.6</v>
      </c>
      <c r="M255" s="40">
        <v>0.27432948922960299</v>
      </c>
      <c r="N255" s="40">
        <v>0.27978712395237199</v>
      </c>
      <c r="O255" s="40">
        <v>0.29185886340253198</v>
      </c>
      <c r="P255" s="40">
        <v>0.461826822418196</v>
      </c>
      <c r="Q255" s="40">
        <v>0.26626281210622399</v>
      </c>
      <c r="R255" s="40">
        <v>0.29553599084879201</v>
      </c>
      <c r="S255" s="48">
        <v>0.33817812649890866</v>
      </c>
      <c r="T255" s="40">
        <v>0.21484833224410799</v>
      </c>
      <c r="U255" s="40">
        <v>0.328539520114915</v>
      </c>
      <c r="V255" s="40">
        <v>0.29702172941567501</v>
      </c>
      <c r="W255" s="40">
        <v>0.34949955409107297</v>
      </c>
      <c r="X255" s="40">
        <v>0.37632763568334299</v>
      </c>
      <c r="Y255" s="40">
        <v>0.35639546092798002</v>
      </c>
      <c r="Z255" s="43">
        <v>0.25</v>
      </c>
      <c r="AA255" s="43">
        <v>0.29702172941567501</v>
      </c>
      <c r="AB255" s="43">
        <f t="shared" si="6"/>
        <v>-4.7021729415675007E-2</v>
      </c>
      <c r="AC255" s="45">
        <v>0.356474413156604</v>
      </c>
      <c r="AD255" s="45">
        <f t="shared" si="7"/>
        <v>-0.106474413156604</v>
      </c>
    </row>
    <row r="256" spans="1:30" ht="15" x14ac:dyDescent="0.2">
      <c r="A256" s="40" t="s">
        <v>76</v>
      </c>
      <c r="B256" s="41">
        <v>15.9</v>
      </c>
      <c r="C256" s="42">
        <v>392</v>
      </c>
      <c r="D256" s="42">
        <v>2</v>
      </c>
      <c r="E256" s="41">
        <v>46</v>
      </c>
      <c r="F256" s="43">
        <v>2.8258773978663201</v>
      </c>
      <c r="G256" s="41">
        <v>30</v>
      </c>
      <c r="H256" s="41">
        <v>38</v>
      </c>
      <c r="I256" s="40">
        <v>150</v>
      </c>
      <c r="J256" s="41">
        <v>250</v>
      </c>
      <c r="K256" s="42">
        <v>397.2</v>
      </c>
      <c r="L256" s="43">
        <v>27.3</v>
      </c>
      <c r="M256" s="40">
        <v>0.25195467905569802</v>
      </c>
      <c r="N256" s="40">
        <v>0.25696717920229201</v>
      </c>
      <c r="O256" s="40">
        <v>0.28407475214082101</v>
      </c>
      <c r="P256" s="40">
        <v>0.43752074697272603</v>
      </c>
      <c r="Q256" s="40">
        <v>0.24546405671135299</v>
      </c>
      <c r="R256" s="40">
        <v>0.27447159165439799</v>
      </c>
      <c r="S256" s="48">
        <v>0.31133767124705813</v>
      </c>
      <c r="T256" s="40">
        <v>0.19863349926322801</v>
      </c>
      <c r="U256" s="40">
        <v>0.30512278639338403</v>
      </c>
      <c r="V256" s="40">
        <v>0.29702172941567501</v>
      </c>
      <c r="W256" s="40">
        <v>0.31865406613021802</v>
      </c>
      <c r="X256" s="40">
        <v>0.33889546171847201</v>
      </c>
      <c r="Y256" s="40">
        <v>0.31800365452792401</v>
      </c>
      <c r="Z256" s="43">
        <v>0.2</v>
      </c>
      <c r="AA256" s="43">
        <v>0.26988019523743301</v>
      </c>
      <c r="AB256" s="43">
        <f t="shared" si="6"/>
        <v>-6.9880195237432996E-2</v>
      </c>
      <c r="AC256" s="45">
        <v>0.321114548833</v>
      </c>
      <c r="AD256" s="45">
        <f t="shared" si="7"/>
        <v>-0.12111454883299999</v>
      </c>
    </row>
    <row r="257" spans="1:30" ht="15" x14ac:dyDescent="0.2">
      <c r="B257" s="41">
        <v>15.9</v>
      </c>
      <c r="C257" s="42">
        <v>392</v>
      </c>
      <c r="D257" s="42">
        <v>2</v>
      </c>
      <c r="E257" s="41">
        <v>46</v>
      </c>
      <c r="F257" s="43">
        <v>2.8258773978663201</v>
      </c>
      <c r="G257" s="41">
        <v>30</v>
      </c>
      <c r="H257" s="41">
        <v>38</v>
      </c>
      <c r="I257" s="40">
        <v>150</v>
      </c>
      <c r="J257" s="41">
        <v>250</v>
      </c>
      <c r="K257" s="42">
        <v>397.2</v>
      </c>
      <c r="L257" s="43">
        <v>35.700000000000003</v>
      </c>
      <c r="M257" s="40">
        <v>0.27432948922960299</v>
      </c>
      <c r="N257" s="40">
        <v>0.27978712395237199</v>
      </c>
      <c r="O257" s="40">
        <v>0.29185886340253198</v>
      </c>
      <c r="P257" s="40">
        <v>0.461826822418196</v>
      </c>
      <c r="Q257" s="40">
        <v>0.26626281210622399</v>
      </c>
      <c r="R257" s="40">
        <v>0.29553599084879201</v>
      </c>
      <c r="S257" s="48">
        <v>0.33817812649890866</v>
      </c>
      <c r="T257" s="40">
        <v>0.21484833224410799</v>
      </c>
      <c r="U257" s="40">
        <v>0.328539520114915</v>
      </c>
      <c r="V257" s="40">
        <v>0.29702172941567501</v>
      </c>
      <c r="W257" s="40">
        <v>0.34949955409107297</v>
      </c>
      <c r="X257" s="40">
        <v>0.37632763568334299</v>
      </c>
      <c r="Y257" s="40">
        <v>0.35639546092798002</v>
      </c>
      <c r="Z257" s="43">
        <v>0.3</v>
      </c>
      <c r="AA257" s="43">
        <v>0.29702172941567501</v>
      </c>
      <c r="AB257" s="43">
        <f t="shared" si="6"/>
        <v>2.9782705843249824E-3</v>
      </c>
      <c r="AC257" s="45">
        <v>0.356474413156604</v>
      </c>
      <c r="AD257" s="45">
        <f t="shared" si="7"/>
        <v>-5.6474413156604009E-2</v>
      </c>
    </row>
    <row r="258" spans="1:30" ht="15" x14ac:dyDescent="0.2">
      <c r="A258" s="40" t="s">
        <v>77</v>
      </c>
      <c r="B258" s="41">
        <v>12.7</v>
      </c>
      <c r="C258" s="42">
        <v>392</v>
      </c>
      <c r="D258" s="42">
        <v>2</v>
      </c>
      <c r="E258" s="41">
        <v>52</v>
      </c>
      <c r="F258" s="43">
        <v>2.9208758709847902</v>
      </c>
      <c r="G258" s="41">
        <v>30</v>
      </c>
      <c r="H258" s="41">
        <v>36.5</v>
      </c>
      <c r="I258" s="40">
        <v>150</v>
      </c>
      <c r="J258" s="41">
        <v>250</v>
      </c>
      <c r="K258" s="42">
        <v>253.4</v>
      </c>
      <c r="L258" s="43">
        <v>15.6</v>
      </c>
      <c r="M258" s="40">
        <v>0.231810802807599</v>
      </c>
      <c r="N258" s="40">
        <v>0.22003405864266901</v>
      </c>
      <c r="O258" s="40">
        <v>0.24661873508292401</v>
      </c>
      <c r="P258" s="40">
        <v>0.25333162419306499</v>
      </c>
      <c r="Q258" s="40">
        <v>0.23677888448534601</v>
      </c>
      <c r="R258" s="40">
        <v>0.25140813378365101</v>
      </c>
      <c r="S258" s="48">
        <v>0.23964603892529618</v>
      </c>
      <c r="T258" s="40">
        <v>0.16697779297207399</v>
      </c>
      <c r="U258" s="40">
        <v>0.25182342460354601</v>
      </c>
      <c r="V258" s="40">
        <v>0.27183155367374301</v>
      </c>
      <c r="W258" s="40">
        <v>0.27297834654866499</v>
      </c>
      <c r="X258" s="40">
        <v>0.24327202135404999</v>
      </c>
      <c r="Y258" s="40">
        <v>0.228119075064356</v>
      </c>
      <c r="Z258" s="43">
        <v>0.15</v>
      </c>
      <c r="AA258" s="43">
        <v>0.21302068526037099</v>
      </c>
      <c r="AB258" s="43">
        <f t="shared" si="6"/>
        <v>-6.3020685260370995E-2</v>
      </c>
      <c r="AC258" s="45">
        <v>0.26705922088184098</v>
      </c>
      <c r="AD258" s="45">
        <f t="shared" si="7"/>
        <v>-0.11705922088184098</v>
      </c>
    </row>
    <row r="259" spans="1:30" ht="15" x14ac:dyDescent="0.2">
      <c r="B259" s="41">
        <v>12.7</v>
      </c>
      <c r="C259" s="42">
        <v>392</v>
      </c>
      <c r="D259" s="42">
        <v>2</v>
      </c>
      <c r="E259" s="41">
        <v>52</v>
      </c>
      <c r="F259" s="43">
        <v>2.9208758709847902</v>
      </c>
      <c r="G259" s="41">
        <v>30</v>
      </c>
      <c r="H259" s="41">
        <v>36.5</v>
      </c>
      <c r="I259" s="40">
        <v>150</v>
      </c>
      <c r="J259" s="41">
        <v>250</v>
      </c>
      <c r="K259" s="42">
        <v>253.4</v>
      </c>
      <c r="L259" s="43">
        <v>19.600000000000001</v>
      </c>
      <c r="M259" s="40">
        <v>0.304600353772294</v>
      </c>
      <c r="N259" s="40">
        <v>0.28912566322518801</v>
      </c>
      <c r="O259" s="40">
        <v>0.29271457269954598</v>
      </c>
      <c r="P259" s="40">
        <v>0.35688308472413</v>
      </c>
      <c r="Q259" s="40">
        <v>0.30404573484726</v>
      </c>
      <c r="R259" s="40">
        <v>0.31102671634078199</v>
      </c>
      <c r="S259" s="48">
        <v>0.30467873514325156</v>
      </c>
      <c r="T259" s="40">
        <v>0.20988664557260001</v>
      </c>
      <c r="U259" s="40">
        <v>0.31154048866029499</v>
      </c>
      <c r="V259" s="40">
        <v>0.29227907742116799</v>
      </c>
      <c r="W259" s="40">
        <v>0.36814735008662097</v>
      </c>
      <c r="X259" s="40">
        <v>0.33863759947357802</v>
      </c>
      <c r="Y259" s="40">
        <v>0.32708247015811498</v>
      </c>
      <c r="Z259" s="43">
        <v>0.2</v>
      </c>
      <c r="AA259" s="43">
        <v>0.29227907742116799</v>
      </c>
      <c r="AB259" s="43">
        <f t="shared" ref="AB259:AB322" si="8">Z259-AA259</f>
        <v>-9.2279077421167977E-2</v>
      </c>
      <c r="AC259" s="45">
        <v>0.37829420906230998</v>
      </c>
      <c r="AD259" s="45">
        <f t="shared" ref="AD259:AD322" si="9">Z259-AC259</f>
        <v>-0.17829420906230997</v>
      </c>
    </row>
    <row r="260" spans="1:30" ht="15" x14ac:dyDescent="0.2">
      <c r="A260" s="40" t="s">
        <v>78</v>
      </c>
      <c r="B260" s="41">
        <v>12.7</v>
      </c>
      <c r="C260" s="42">
        <v>392</v>
      </c>
      <c r="D260" s="42">
        <v>2</v>
      </c>
      <c r="E260" s="41">
        <v>52</v>
      </c>
      <c r="F260" s="43">
        <v>2.9208758709847902</v>
      </c>
      <c r="G260" s="41">
        <v>30</v>
      </c>
      <c r="H260" s="41">
        <v>36.5</v>
      </c>
      <c r="I260" s="40">
        <v>150</v>
      </c>
      <c r="J260" s="41">
        <v>250</v>
      </c>
      <c r="K260" s="42">
        <v>253.4</v>
      </c>
      <c r="L260" s="43">
        <v>15.7</v>
      </c>
      <c r="M260" s="40">
        <v>0.23377842684639999</v>
      </c>
      <c r="N260" s="40">
        <v>0.221901720968567</v>
      </c>
      <c r="O260" s="40">
        <v>0.24819962441037799</v>
      </c>
      <c r="P260" s="40">
        <v>0.25658987527674498</v>
      </c>
      <c r="Q260" s="40">
        <v>0.23859722063431801</v>
      </c>
      <c r="R260" s="40">
        <v>0.253019724384828</v>
      </c>
      <c r="S260" s="48">
        <v>0.24140398212855224</v>
      </c>
      <c r="T260" s="40">
        <v>0.168137691456612</v>
      </c>
      <c r="U260" s="40">
        <v>0.25343767732536399</v>
      </c>
      <c r="V260" s="40">
        <v>0.27382391747852702</v>
      </c>
      <c r="W260" s="40">
        <v>0.275616826795475</v>
      </c>
      <c r="X260" s="40">
        <v>0.24581531113439101</v>
      </c>
      <c r="Y260" s="40">
        <v>0.230712930779712</v>
      </c>
      <c r="Z260" s="43">
        <v>0.15</v>
      </c>
      <c r="AA260" s="43">
        <v>0.21516317296122101</v>
      </c>
      <c r="AB260" s="43">
        <f t="shared" si="8"/>
        <v>-6.5163172961221011E-2</v>
      </c>
      <c r="AC260" s="45">
        <v>0.27006608977715402</v>
      </c>
      <c r="AD260" s="45">
        <f t="shared" si="9"/>
        <v>-0.12006608977715402</v>
      </c>
    </row>
    <row r="261" spans="1:30" ht="15" x14ac:dyDescent="0.2">
      <c r="B261" s="41">
        <v>12.7</v>
      </c>
      <c r="C261" s="42">
        <v>392</v>
      </c>
      <c r="D261" s="42">
        <v>2</v>
      </c>
      <c r="E261" s="41">
        <v>52</v>
      </c>
      <c r="F261" s="43">
        <v>2.9208758709847902</v>
      </c>
      <c r="G261" s="41">
        <v>30</v>
      </c>
      <c r="H261" s="41">
        <v>36.5</v>
      </c>
      <c r="I261" s="40">
        <v>150</v>
      </c>
      <c r="J261" s="41">
        <v>250</v>
      </c>
      <c r="K261" s="42">
        <v>253.4</v>
      </c>
      <c r="L261" s="43">
        <v>19.600000000000001</v>
      </c>
      <c r="M261" s="40">
        <v>0.304600353772294</v>
      </c>
      <c r="N261" s="40">
        <v>0.28912566322518801</v>
      </c>
      <c r="O261" s="40">
        <v>0.29271457269954598</v>
      </c>
      <c r="P261" s="40">
        <v>0.35688308472413</v>
      </c>
      <c r="Q261" s="40">
        <v>0.30404573484726</v>
      </c>
      <c r="R261" s="40">
        <v>0.31102671634078199</v>
      </c>
      <c r="S261" s="48">
        <v>0.30467873514325156</v>
      </c>
      <c r="T261" s="40">
        <v>0.20988664557260001</v>
      </c>
      <c r="U261" s="40">
        <v>0.31154048866029499</v>
      </c>
      <c r="V261" s="40">
        <v>0.29227907742116799</v>
      </c>
      <c r="W261" s="40">
        <v>0.36814735008662097</v>
      </c>
      <c r="X261" s="40">
        <v>0.33863759947357802</v>
      </c>
      <c r="Y261" s="40">
        <v>0.32708247015811498</v>
      </c>
      <c r="Z261" s="43">
        <v>0.2</v>
      </c>
      <c r="AA261" s="43">
        <v>0.29227907742116799</v>
      </c>
      <c r="AB261" s="43">
        <f t="shared" si="8"/>
        <v>-9.2279077421167977E-2</v>
      </c>
      <c r="AC261" s="45">
        <v>0.37829420906230998</v>
      </c>
      <c r="AD261" s="45">
        <f t="shared" si="9"/>
        <v>-0.17829420906230997</v>
      </c>
    </row>
    <row r="262" spans="1:30" ht="15" x14ac:dyDescent="0.2">
      <c r="A262" s="40" t="s">
        <v>79</v>
      </c>
      <c r="B262" s="41">
        <v>15.9</v>
      </c>
      <c r="C262" s="42">
        <v>392</v>
      </c>
      <c r="D262" s="42">
        <v>2</v>
      </c>
      <c r="E262" s="41">
        <v>46</v>
      </c>
      <c r="F262" s="43">
        <v>2.9208758709847902</v>
      </c>
      <c r="G262" s="41">
        <v>30</v>
      </c>
      <c r="H262" s="41">
        <v>38</v>
      </c>
      <c r="I262" s="40">
        <v>150</v>
      </c>
      <c r="J262" s="41">
        <v>250</v>
      </c>
      <c r="K262" s="42">
        <v>397.2</v>
      </c>
      <c r="L262" s="43">
        <v>19.5</v>
      </c>
      <c r="M262" s="40">
        <v>0.16749190626511001</v>
      </c>
      <c r="N262" s="40">
        <v>0.170714257577712</v>
      </c>
      <c r="O262" s="40">
        <v>0.20291053724344299</v>
      </c>
      <c r="P262" s="40">
        <v>0.215964712364801</v>
      </c>
      <c r="Q262" s="40">
        <v>0.16787418419359601</v>
      </c>
      <c r="R262" s="40">
        <v>0.200146386095679</v>
      </c>
      <c r="S262" s="48">
        <v>0.21110994442958303</v>
      </c>
      <c r="T262" s="40">
        <v>0.13814397477016799</v>
      </c>
      <c r="U262" s="40">
        <v>0.217616872047867</v>
      </c>
      <c r="V262" s="40">
        <v>0.209877623809549</v>
      </c>
      <c r="W262" s="40">
        <v>0.197474466598235</v>
      </c>
      <c r="X262" s="40">
        <v>0.20057815088324199</v>
      </c>
      <c r="Y262" s="40">
        <v>0.180282019879628</v>
      </c>
      <c r="Z262" s="43">
        <v>0.15</v>
      </c>
      <c r="AA262" s="43">
        <v>0.16593842049260599</v>
      </c>
      <c r="AB262" s="43">
        <f t="shared" si="8"/>
        <v>-1.5938420492605992E-2</v>
      </c>
      <c r="AC262" s="45">
        <v>0.18715407179110799</v>
      </c>
      <c r="AD262" s="45">
        <f t="shared" si="9"/>
        <v>-3.7154071791107995E-2</v>
      </c>
    </row>
    <row r="263" spans="1:30" ht="15" x14ac:dyDescent="0.2">
      <c r="B263" s="41">
        <v>15.9</v>
      </c>
      <c r="C263" s="42">
        <v>392</v>
      </c>
      <c r="D263" s="42">
        <v>2</v>
      </c>
      <c r="E263" s="41">
        <v>46</v>
      </c>
      <c r="F263" s="43">
        <v>2.9208758709847902</v>
      </c>
      <c r="G263" s="41">
        <v>30</v>
      </c>
      <c r="H263" s="41">
        <v>38</v>
      </c>
      <c r="I263" s="40">
        <v>150</v>
      </c>
      <c r="J263" s="41">
        <v>250</v>
      </c>
      <c r="K263" s="42">
        <v>397.2</v>
      </c>
      <c r="L263" s="43">
        <v>27.4</v>
      </c>
      <c r="M263" s="40">
        <v>0.251925495788488</v>
      </c>
      <c r="N263" s="40">
        <v>0.25677225208933901</v>
      </c>
      <c r="O263" s="40">
        <v>0.28511531899847897</v>
      </c>
      <c r="P263" s="40">
        <v>0.42639754754766002</v>
      </c>
      <c r="Q263" s="40">
        <v>0.24623422313174201</v>
      </c>
      <c r="R263" s="40">
        <v>0.28123133225751801</v>
      </c>
      <c r="S263" s="48">
        <v>0.31218477580125376</v>
      </c>
      <c r="T263" s="40">
        <v>0.199233925569371</v>
      </c>
      <c r="U263" s="40">
        <v>0.30577960482623401</v>
      </c>
      <c r="V263" s="40">
        <v>0.29428835920144603</v>
      </c>
      <c r="W263" s="40">
        <v>0.31855611740347201</v>
      </c>
      <c r="X263" s="40">
        <v>0.33508114429698799</v>
      </c>
      <c r="Y263" s="40">
        <v>0.31421204909575401</v>
      </c>
      <c r="Z263" s="43">
        <v>0.25</v>
      </c>
      <c r="AA263" s="43">
        <v>0.26816066312683401</v>
      </c>
      <c r="AB263" s="43">
        <f t="shared" si="8"/>
        <v>-1.8160663126834009E-2</v>
      </c>
      <c r="AC263" s="45">
        <v>0.32130197860869097</v>
      </c>
      <c r="AD263" s="45">
        <f t="shared" si="9"/>
        <v>-7.1301978608690975E-2</v>
      </c>
    </row>
    <row r="264" spans="1:30" ht="15" x14ac:dyDescent="0.2">
      <c r="B264" s="41">
        <v>15.9</v>
      </c>
      <c r="C264" s="42">
        <v>392</v>
      </c>
      <c r="D264" s="42">
        <v>2</v>
      </c>
      <c r="E264" s="41">
        <v>46</v>
      </c>
      <c r="F264" s="43">
        <v>2.9208758709847902</v>
      </c>
      <c r="G264" s="41">
        <v>30</v>
      </c>
      <c r="H264" s="41">
        <v>38</v>
      </c>
      <c r="I264" s="40">
        <v>150</v>
      </c>
      <c r="J264" s="41">
        <v>250</v>
      </c>
      <c r="K264" s="42">
        <v>397.2</v>
      </c>
      <c r="L264" s="43">
        <v>31.3</v>
      </c>
      <c r="M264" s="40">
        <v>0.273506465924793</v>
      </c>
      <c r="N264" s="40">
        <v>0.27876841522807899</v>
      </c>
      <c r="O264" s="40">
        <v>0.29185886340253198</v>
      </c>
      <c r="P264" s="40">
        <v>0.44680638166249398</v>
      </c>
      <c r="Q264" s="40">
        <v>0.26626281210622399</v>
      </c>
      <c r="R264" s="40">
        <v>0.301956399277652</v>
      </c>
      <c r="S264" s="48">
        <v>0.33801919702718186</v>
      </c>
      <c r="T264" s="40">
        <v>0.21484833224410799</v>
      </c>
      <c r="U264" s="40">
        <v>0.32831373270075898</v>
      </c>
      <c r="V264" s="40">
        <v>0.29428835920144603</v>
      </c>
      <c r="W264" s="40">
        <v>0.34835829619665598</v>
      </c>
      <c r="X264" s="40">
        <v>0.37079828558216998</v>
      </c>
      <c r="Y264" s="40">
        <v>0.35084038915868498</v>
      </c>
      <c r="Z264" s="43">
        <v>0.3</v>
      </c>
      <c r="AA264" s="43">
        <v>0.29428835920144603</v>
      </c>
      <c r="AB264" s="43">
        <f t="shared" si="8"/>
        <v>5.711640798553963E-3</v>
      </c>
      <c r="AC264" s="45">
        <v>0.35558977789828999</v>
      </c>
      <c r="AD264" s="45">
        <f t="shared" si="9"/>
        <v>-5.5589777898290005E-2</v>
      </c>
    </row>
    <row r="265" spans="1:30" ht="15" x14ac:dyDescent="0.2">
      <c r="A265" s="40" t="s">
        <v>80</v>
      </c>
      <c r="B265" s="41">
        <v>15.9</v>
      </c>
      <c r="C265" s="42">
        <v>392</v>
      </c>
      <c r="D265" s="42">
        <v>2</v>
      </c>
      <c r="E265" s="41">
        <v>46</v>
      </c>
      <c r="F265" s="43">
        <v>2.9208758709847902</v>
      </c>
      <c r="G265" s="41">
        <v>30</v>
      </c>
      <c r="H265" s="41">
        <v>38</v>
      </c>
      <c r="I265" s="40">
        <v>150</v>
      </c>
      <c r="J265" s="41">
        <v>250</v>
      </c>
      <c r="K265" s="42">
        <v>397.2</v>
      </c>
      <c r="L265" s="43">
        <v>19.600000000000001</v>
      </c>
      <c r="M265" s="40">
        <v>0.16856068587933001</v>
      </c>
      <c r="N265" s="40">
        <v>0.17180359928039099</v>
      </c>
      <c r="O265" s="40">
        <v>0.20395110410110201</v>
      </c>
      <c r="P265" s="40">
        <v>0.21818541460108301</v>
      </c>
      <c r="Q265" s="40">
        <v>0.16886608342066101</v>
      </c>
      <c r="R265" s="40">
        <v>0.201172777819246</v>
      </c>
      <c r="S265" s="48">
        <v>0.21238937267479413</v>
      </c>
      <c r="T265" s="40">
        <v>0.13891726528661399</v>
      </c>
      <c r="U265" s="40">
        <v>0.218732856007087</v>
      </c>
      <c r="V265" s="40">
        <v>0.21108176677691101</v>
      </c>
      <c r="W265" s="40">
        <v>0.199060186244431</v>
      </c>
      <c r="X265" s="40">
        <v>0.20222859137949001</v>
      </c>
      <c r="Y265" s="40">
        <v>0.18188401925098799</v>
      </c>
      <c r="Z265" s="43">
        <v>0.15</v>
      </c>
      <c r="AA265" s="43">
        <v>0.16723237293101401</v>
      </c>
      <c r="AB265" s="43">
        <f t="shared" si="8"/>
        <v>-1.7232372931014012E-2</v>
      </c>
      <c r="AC265" s="45">
        <v>0.18885214656095101</v>
      </c>
      <c r="AD265" s="45">
        <f t="shared" si="9"/>
        <v>-3.8852146560951012E-2</v>
      </c>
    </row>
    <row r="266" spans="1:30" ht="15" x14ac:dyDescent="0.2">
      <c r="B266" s="41">
        <v>15.9</v>
      </c>
      <c r="C266" s="42">
        <v>392</v>
      </c>
      <c r="D266" s="42">
        <v>2</v>
      </c>
      <c r="E266" s="41">
        <v>46</v>
      </c>
      <c r="F266" s="43">
        <v>2.9208758709847902</v>
      </c>
      <c r="G266" s="41">
        <v>30</v>
      </c>
      <c r="H266" s="41">
        <v>38</v>
      </c>
      <c r="I266" s="40">
        <v>150</v>
      </c>
      <c r="J266" s="41">
        <v>250</v>
      </c>
      <c r="K266" s="42">
        <v>397.2</v>
      </c>
      <c r="L266" s="43">
        <v>27.5</v>
      </c>
      <c r="M266" s="40">
        <v>0.25299427540270802</v>
      </c>
      <c r="N266" s="40">
        <v>0.25786159379201801</v>
      </c>
      <c r="O266" s="40">
        <v>0.28615588585613799</v>
      </c>
      <c r="P266" s="40">
        <v>0.42951561795103299</v>
      </c>
      <c r="Q266" s="40">
        <v>0.247226122358808</v>
      </c>
      <c r="R266" s="40">
        <v>0.28225772398108501</v>
      </c>
      <c r="S266" s="48">
        <v>0.31346420404646486</v>
      </c>
      <c r="T266" s="40">
        <v>0.20000721608581601</v>
      </c>
      <c r="U266" s="40">
        <v>0.30689558878545398</v>
      </c>
      <c r="V266" s="40">
        <v>0.29428835920144603</v>
      </c>
      <c r="W266" s="40">
        <v>0.320041510118099</v>
      </c>
      <c r="X266" s="40">
        <v>0.33683717951657399</v>
      </c>
      <c r="Y266" s="40">
        <v>0.31600307613067002</v>
      </c>
      <c r="Z266" s="43">
        <v>0.25</v>
      </c>
      <c r="AA266" s="43">
        <v>0.26945461556524197</v>
      </c>
      <c r="AB266" s="43">
        <f t="shared" si="8"/>
        <v>-1.9454615565241973E-2</v>
      </c>
      <c r="AC266" s="45">
        <v>0.32300005337853399</v>
      </c>
      <c r="AD266" s="45">
        <f t="shared" si="9"/>
        <v>-7.3000053378533991E-2</v>
      </c>
    </row>
    <row r="267" spans="1:30" ht="15" x14ac:dyDescent="0.2">
      <c r="A267" s="40" t="s">
        <v>81</v>
      </c>
      <c r="B267" s="41">
        <v>19.100000000000001</v>
      </c>
      <c r="C267" s="42">
        <v>392</v>
      </c>
      <c r="D267" s="42">
        <v>2</v>
      </c>
      <c r="E267" s="41">
        <v>40</v>
      </c>
      <c r="F267" s="43">
        <v>2.9208758709847902</v>
      </c>
      <c r="G267" s="41">
        <v>30</v>
      </c>
      <c r="H267" s="41">
        <v>39.5</v>
      </c>
      <c r="I267" s="40">
        <v>150</v>
      </c>
      <c r="J267" s="41">
        <v>250</v>
      </c>
      <c r="K267" s="42">
        <v>573</v>
      </c>
      <c r="L267" s="43">
        <v>19.7</v>
      </c>
      <c r="M267" s="40">
        <v>0.10386548783744</v>
      </c>
      <c r="N267" s="40">
        <v>0.112452206478951</v>
      </c>
      <c r="O267" s="40">
        <v>0.148149174230395</v>
      </c>
      <c r="P267" s="40">
        <v>0.13550807397378101</v>
      </c>
      <c r="Q267" s="40">
        <v>0.104570834231011</v>
      </c>
      <c r="R267" s="40">
        <v>0.141262254417484</v>
      </c>
      <c r="S267" s="48">
        <v>0.15579651010814627</v>
      </c>
      <c r="T267" s="40">
        <v>9.7961980084099301E-2</v>
      </c>
      <c r="U267" s="40">
        <v>0.165161217811746</v>
      </c>
      <c r="V267" s="40">
        <v>0.13951343158948501</v>
      </c>
      <c r="W267" s="40">
        <v>0.112341503321914</v>
      </c>
      <c r="X267" s="40">
        <v>0.129793354244817</v>
      </c>
      <c r="Y267" s="40">
        <v>0.108510124180053</v>
      </c>
      <c r="Z267" s="43">
        <v>0.15</v>
      </c>
      <c r="AA267" s="43">
        <v>0.102474345140568</v>
      </c>
      <c r="AB267" s="43">
        <f t="shared" si="8"/>
        <v>4.7525654859431998E-2</v>
      </c>
      <c r="AC267" s="45">
        <v>0.102474345140568</v>
      </c>
      <c r="AD267" s="45">
        <f t="shared" si="9"/>
        <v>4.7525654859431998E-2</v>
      </c>
    </row>
    <row r="268" spans="1:30" ht="15" x14ac:dyDescent="0.2">
      <c r="B268" s="41">
        <v>19.100000000000001</v>
      </c>
      <c r="C268" s="42">
        <v>392</v>
      </c>
      <c r="D268" s="42">
        <v>2</v>
      </c>
      <c r="E268" s="41">
        <v>40</v>
      </c>
      <c r="F268" s="43">
        <v>2.9208758709847902</v>
      </c>
      <c r="G268" s="41">
        <v>30</v>
      </c>
      <c r="H268" s="41">
        <v>39.5</v>
      </c>
      <c r="I268" s="40">
        <v>150</v>
      </c>
      <c r="J268" s="41">
        <v>250</v>
      </c>
      <c r="K268" s="42">
        <v>573</v>
      </c>
      <c r="L268" s="43">
        <v>27.5</v>
      </c>
      <c r="M268" s="40">
        <v>0.155218033571807</v>
      </c>
      <c r="N268" s="40">
        <v>0.16805014566331999</v>
      </c>
      <c r="O268" s="40">
        <v>0.20680722291045001</v>
      </c>
      <c r="P268" s="40">
        <v>0.26405725718949702</v>
      </c>
      <c r="Q268" s="40">
        <v>0.152248441958829</v>
      </c>
      <c r="R268" s="40">
        <v>0.197193502359432</v>
      </c>
      <c r="S268" s="48">
        <v>0.23426478594682273</v>
      </c>
      <c r="T268" s="40">
        <v>0.14156003614041501</v>
      </c>
      <c r="U268" s="40">
        <v>0.230554999483402</v>
      </c>
      <c r="V268" s="40">
        <v>0.20154768912832599</v>
      </c>
      <c r="W268" s="40">
        <v>0.193363664011726</v>
      </c>
      <c r="X268" s="40">
        <v>0.22193590105589101</v>
      </c>
      <c r="Y268" s="40">
        <v>0.19291168718523299</v>
      </c>
      <c r="Z268" s="43">
        <v>0.2</v>
      </c>
      <c r="AA268" s="43">
        <v>0.169135103328064</v>
      </c>
      <c r="AB268" s="43">
        <f t="shared" si="8"/>
        <v>3.086489667193601E-2</v>
      </c>
      <c r="AC268" s="45">
        <v>0.18555915799</v>
      </c>
      <c r="AD268" s="45">
        <f t="shared" si="9"/>
        <v>1.444084201000001E-2</v>
      </c>
    </row>
    <row r="269" spans="1:30" ht="15" x14ac:dyDescent="0.2">
      <c r="B269" s="41">
        <v>19.100000000000001</v>
      </c>
      <c r="C269" s="42">
        <v>392</v>
      </c>
      <c r="D269" s="42">
        <v>2</v>
      </c>
      <c r="E269" s="41">
        <v>40</v>
      </c>
      <c r="F269" s="43">
        <v>2.9208758709847902</v>
      </c>
      <c r="G269" s="41">
        <v>30</v>
      </c>
      <c r="H269" s="41">
        <v>39.5</v>
      </c>
      <c r="I269" s="40">
        <v>150</v>
      </c>
      <c r="J269" s="41">
        <v>250</v>
      </c>
      <c r="K269" s="42">
        <v>573</v>
      </c>
      <c r="L269" s="43">
        <v>35.4</v>
      </c>
      <c r="M269" s="40">
        <v>0.20722894527712599</v>
      </c>
      <c r="N269" s="40">
        <v>0.224360878939796</v>
      </c>
      <c r="O269" s="40">
        <v>0.26621729785563403</v>
      </c>
      <c r="P269" s="40">
        <v>0.43756164286888</v>
      </c>
      <c r="Q269" s="40">
        <v>0.20053730106777201</v>
      </c>
      <c r="R269" s="40">
        <v>0.25384181758268698</v>
      </c>
      <c r="S269" s="48">
        <v>0.31373906532189261</v>
      </c>
      <c r="T269" s="40">
        <v>0.18571704163335101</v>
      </c>
      <c r="U269" s="40">
        <v>0.29678716297136098</v>
      </c>
      <c r="V269" s="40">
        <v>0.26594899106323799</v>
      </c>
      <c r="W269" s="40">
        <v>0.271676124952277</v>
      </c>
      <c r="X269" s="40">
        <v>0.32145494350216203</v>
      </c>
      <c r="Y269" s="40">
        <v>0.28727170856742201</v>
      </c>
      <c r="Z269" s="43">
        <v>0.3</v>
      </c>
      <c r="AA269" s="43">
        <v>0.23665048662052801</v>
      </c>
      <c r="AB269" s="43">
        <f t="shared" si="8"/>
        <v>6.3349513379471978E-2</v>
      </c>
      <c r="AC269" s="45">
        <v>0.270411044845979</v>
      </c>
      <c r="AD269" s="45">
        <f t="shared" si="9"/>
        <v>2.9588955154020991E-2</v>
      </c>
    </row>
    <row r="270" spans="1:30" ht="15" x14ac:dyDescent="0.2">
      <c r="B270" s="41">
        <v>19.100000000000001</v>
      </c>
      <c r="C270" s="42">
        <v>392</v>
      </c>
      <c r="D270" s="42">
        <v>2</v>
      </c>
      <c r="E270" s="41">
        <v>40</v>
      </c>
      <c r="F270" s="43">
        <v>2.9208758709847902</v>
      </c>
      <c r="G270" s="41">
        <v>30</v>
      </c>
      <c r="H270" s="41">
        <v>39.5</v>
      </c>
      <c r="I270" s="40">
        <v>150</v>
      </c>
      <c r="J270" s="41">
        <v>250</v>
      </c>
      <c r="K270" s="42">
        <v>573</v>
      </c>
      <c r="L270" s="43">
        <v>43.3</v>
      </c>
      <c r="M270" s="40">
        <v>0.24621851901716399</v>
      </c>
      <c r="N270" s="40">
        <v>0.26657378033783402</v>
      </c>
      <c r="O270" s="40">
        <v>0.29484546616440799</v>
      </c>
      <c r="P270" s="40">
        <v>0.53672967860085696</v>
      </c>
      <c r="Q270" s="40">
        <v>0.23673666714921501</v>
      </c>
      <c r="R270" s="40">
        <v>0.29630778465051899</v>
      </c>
      <c r="S270" s="48">
        <v>0.37331633813892939</v>
      </c>
      <c r="T270" s="40">
        <v>0.21881899592249299</v>
      </c>
      <c r="U270" s="40">
        <v>0.34643758703827598</v>
      </c>
      <c r="V270" s="40">
        <v>0.28726286639158199</v>
      </c>
      <c r="W270" s="40">
        <v>0.32850389548935299</v>
      </c>
      <c r="X270" s="40">
        <v>0.40014731122486502</v>
      </c>
      <c r="Y270" s="40">
        <v>0.36386619856308799</v>
      </c>
      <c r="Z270" s="43">
        <v>0.33</v>
      </c>
      <c r="AA270" s="43">
        <v>0.28726286639158199</v>
      </c>
      <c r="AB270" s="43">
        <f t="shared" si="8"/>
        <v>4.2737133608418021E-2</v>
      </c>
      <c r="AC270" s="45">
        <v>0.33401959911045198</v>
      </c>
      <c r="AD270" s="45">
        <f t="shared" si="9"/>
        <v>-4.0195991104519657E-3</v>
      </c>
    </row>
    <row r="271" spans="1:30" ht="15" x14ac:dyDescent="0.2">
      <c r="A271" s="40" t="s">
        <v>82</v>
      </c>
      <c r="B271" s="41">
        <v>19.100000000000001</v>
      </c>
      <c r="C271" s="42">
        <v>392</v>
      </c>
      <c r="D271" s="42">
        <v>2</v>
      </c>
      <c r="E271" s="41">
        <v>40</v>
      </c>
      <c r="F271" s="43">
        <v>2.9208758709847902</v>
      </c>
      <c r="G271" s="41">
        <v>30</v>
      </c>
      <c r="H271" s="41">
        <v>39.5</v>
      </c>
      <c r="I271" s="40">
        <v>150</v>
      </c>
      <c r="J271" s="41">
        <v>250</v>
      </c>
      <c r="K271" s="42">
        <v>573</v>
      </c>
      <c r="L271" s="43">
        <v>19.600000000000001</v>
      </c>
      <c r="M271" s="40">
        <v>0.10320712186648701</v>
      </c>
      <c r="N271" s="40">
        <v>0.111739412386844</v>
      </c>
      <c r="O271" s="40">
        <v>0.14739714796526601</v>
      </c>
      <c r="P271" s="40">
        <v>0.13413584915294899</v>
      </c>
      <c r="Q271" s="40">
        <v>0.103959582849885</v>
      </c>
      <c r="R271" s="40">
        <v>0.140545187136177</v>
      </c>
      <c r="S271" s="48">
        <v>0.15479050657175297</v>
      </c>
      <c r="T271" s="40">
        <v>9.7403030647479794E-2</v>
      </c>
      <c r="U271" s="40">
        <v>0.16432283599544301</v>
      </c>
      <c r="V271" s="40">
        <v>0.13873428107171101</v>
      </c>
      <c r="W271" s="40">
        <v>0.111273740480514</v>
      </c>
      <c r="X271" s="40">
        <v>0.12865149929327299</v>
      </c>
      <c r="Y271" s="40">
        <v>0.10748459035664799</v>
      </c>
      <c r="Z271" s="43">
        <v>0.15</v>
      </c>
      <c r="AA271" s="43">
        <v>0.10161972003560001</v>
      </c>
      <c r="AB271" s="43">
        <f t="shared" si="8"/>
        <v>4.8380279964399989E-2</v>
      </c>
      <c r="AC271" s="45">
        <v>0.10161972003560001</v>
      </c>
      <c r="AD271" s="45">
        <f t="shared" si="9"/>
        <v>4.8380279964399989E-2</v>
      </c>
    </row>
    <row r="272" spans="1:30" ht="15" x14ac:dyDescent="0.2">
      <c r="B272" s="41">
        <v>19.100000000000001</v>
      </c>
      <c r="C272" s="42">
        <v>392</v>
      </c>
      <c r="D272" s="42">
        <v>2</v>
      </c>
      <c r="E272" s="41">
        <v>40</v>
      </c>
      <c r="F272" s="43">
        <v>2.9208758709847902</v>
      </c>
      <c r="G272" s="41">
        <v>30</v>
      </c>
      <c r="H272" s="41">
        <v>39.5</v>
      </c>
      <c r="I272" s="40">
        <v>150</v>
      </c>
      <c r="J272" s="41">
        <v>250</v>
      </c>
      <c r="K272" s="42">
        <v>573</v>
      </c>
      <c r="L272" s="43">
        <v>27.3</v>
      </c>
      <c r="M272" s="40">
        <v>0.15390130162990001</v>
      </c>
      <c r="N272" s="40">
        <v>0.16662455747910501</v>
      </c>
      <c r="O272" s="40">
        <v>0.205303170380192</v>
      </c>
      <c r="P272" s="40">
        <v>0.26023039102249301</v>
      </c>
      <c r="Q272" s="40">
        <v>0.151025939196577</v>
      </c>
      <c r="R272" s="40">
        <v>0.19575936779681799</v>
      </c>
      <c r="S272" s="48">
        <v>0.23225277887403617</v>
      </c>
      <c r="T272" s="40">
        <v>0.140442137267177</v>
      </c>
      <c r="U272" s="40">
        <v>0.228878235850795</v>
      </c>
      <c r="V272" s="40">
        <v>0.199933212915064</v>
      </c>
      <c r="W272" s="40">
        <v>0.19133681685137799</v>
      </c>
      <c r="X272" s="40">
        <v>0.21949734909128099</v>
      </c>
      <c r="Y272" s="40">
        <v>0.190638763536853</v>
      </c>
      <c r="Z272" s="43">
        <v>0.25</v>
      </c>
      <c r="AA272" s="43">
        <v>0.16742585311812799</v>
      </c>
      <c r="AB272" s="43">
        <f t="shared" si="8"/>
        <v>8.2574146881872007E-2</v>
      </c>
      <c r="AC272" s="45">
        <v>0.183411008955672</v>
      </c>
      <c r="AD272" s="45">
        <f t="shared" si="9"/>
        <v>6.6588991044328E-2</v>
      </c>
    </row>
    <row r="273" spans="1:30" ht="15" x14ac:dyDescent="0.2">
      <c r="B273" s="41">
        <v>19.100000000000001</v>
      </c>
      <c r="C273" s="42">
        <v>392</v>
      </c>
      <c r="D273" s="42">
        <v>2</v>
      </c>
      <c r="E273" s="41">
        <v>40</v>
      </c>
      <c r="F273" s="43">
        <v>2.9208758709847902</v>
      </c>
      <c r="G273" s="41">
        <v>30</v>
      </c>
      <c r="H273" s="41">
        <v>39.5</v>
      </c>
      <c r="I273" s="40">
        <v>150</v>
      </c>
      <c r="J273" s="41">
        <v>250</v>
      </c>
      <c r="K273" s="42">
        <v>573</v>
      </c>
      <c r="L273" s="43">
        <v>35.1</v>
      </c>
      <c r="M273" s="40">
        <v>0.205253847364266</v>
      </c>
      <c r="N273" s="40">
        <v>0.22222249666347399</v>
      </c>
      <c r="O273" s="40">
        <v>0.263961219060247</v>
      </c>
      <c r="P273" s="40">
        <v>0.43017676883310102</v>
      </c>
      <c r="Q273" s="40">
        <v>0.19870354692439501</v>
      </c>
      <c r="R273" s="40">
        <v>0.251690615738766</v>
      </c>
      <c r="S273" s="48">
        <v>0.31072105471271277</v>
      </c>
      <c r="T273" s="40">
        <v>0.184040193323493</v>
      </c>
      <c r="U273" s="40">
        <v>0.29427201752245102</v>
      </c>
      <c r="V273" s="40">
        <v>0.26348502590432998</v>
      </c>
      <c r="W273" s="40">
        <v>0.268758655659256</v>
      </c>
      <c r="X273" s="40">
        <v>0.31756185551983501</v>
      </c>
      <c r="Y273" s="40">
        <v>0.28352524510536697</v>
      </c>
      <c r="Z273" s="43">
        <v>0.28000000000000003</v>
      </c>
      <c r="AA273" s="43">
        <v>0.234086611305624</v>
      </c>
      <c r="AB273" s="43">
        <f t="shared" si="8"/>
        <v>4.5913388694376028E-2</v>
      </c>
      <c r="AC273" s="45">
        <v>0.26718882129448601</v>
      </c>
      <c r="AD273" s="45">
        <f t="shared" si="9"/>
        <v>1.2811178705514015E-2</v>
      </c>
    </row>
    <row r="274" spans="1:30" ht="15" x14ac:dyDescent="0.2">
      <c r="A274" s="40" t="s">
        <v>83</v>
      </c>
      <c r="B274" s="41">
        <v>15.9</v>
      </c>
      <c r="C274" s="42">
        <v>392</v>
      </c>
      <c r="D274" s="42">
        <v>2</v>
      </c>
      <c r="E274" s="41">
        <v>46</v>
      </c>
      <c r="F274" s="43">
        <v>3.3538794827423901</v>
      </c>
      <c r="G274" s="41">
        <v>30</v>
      </c>
      <c r="H274" s="41">
        <v>38</v>
      </c>
      <c r="I274" s="40">
        <v>150</v>
      </c>
      <c r="J274" s="41">
        <v>250</v>
      </c>
      <c r="K274" s="42">
        <v>397.2</v>
      </c>
      <c r="L274" s="43">
        <v>27.5</v>
      </c>
      <c r="M274" s="40">
        <v>0.247876093912795</v>
      </c>
      <c r="N274" s="40">
        <v>0.25197930642052602</v>
      </c>
      <c r="O274" s="40">
        <v>0.28615588585613799</v>
      </c>
      <c r="P274" s="40">
        <v>0.37406287588439802</v>
      </c>
      <c r="Q274" s="40">
        <v>0.24630754968100699</v>
      </c>
      <c r="R274" s="40">
        <v>0.30775363409033601</v>
      </c>
      <c r="S274" s="48">
        <v>0.31169658297083969</v>
      </c>
      <c r="T274" s="40">
        <v>0.19929109138178699</v>
      </c>
      <c r="U274" s="40">
        <v>0.30500771306213498</v>
      </c>
      <c r="V274" s="40">
        <v>0.28192769917035498</v>
      </c>
      <c r="W274" s="40">
        <v>0.31302564121596399</v>
      </c>
      <c r="X274" s="40">
        <v>0.31331008298028501</v>
      </c>
      <c r="Y274" s="40">
        <v>0.29217612216028599</v>
      </c>
      <c r="Z274" s="43">
        <v>0.2</v>
      </c>
      <c r="AA274" s="43">
        <v>0.25593185375688199</v>
      </c>
      <c r="AB274" s="43">
        <f t="shared" si="8"/>
        <v>-5.5931853756881977E-2</v>
      </c>
      <c r="AC274" s="45">
        <v>0.31638565265359397</v>
      </c>
      <c r="AD274" s="45">
        <f t="shared" si="9"/>
        <v>-0.11638565265359396</v>
      </c>
    </row>
    <row r="275" spans="1:30" ht="15" x14ac:dyDescent="0.2">
      <c r="B275" s="41">
        <v>15.9</v>
      </c>
      <c r="C275" s="42">
        <v>392</v>
      </c>
      <c r="D275" s="42">
        <v>2</v>
      </c>
      <c r="E275" s="41">
        <v>46</v>
      </c>
      <c r="F275" s="43">
        <v>3.3538794827423901</v>
      </c>
      <c r="G275" s="41">
        <v>30</v>
      </c>
      <c r="H275" s="41">
        <v>38</v>
      </c>
      <c r="I275" s="40">
        <v>150</v>
      </c>
      <c r="J275" s="41">
        <v>250</v>
      </c>
      <c r="K275" s="42">
        <v>397.2</v>
      </c>
      <c r="L275" s="43">
        <v>31.4</v>
      </c>
      <c r="M275" s="40">
        <v>0.269520780893451</v>
      </c>
      <c r="N275" s="40">
        <v>0.27398228834178301</v>
      </c>
      <c r="O275" s="40">
        <v>0.29185886340253198</v>
      </c>
      <c r="P275" s="40">
        <v>0.38912131038557102</v>
      </c>
      <c r="Q275" s="40">
        <v>0.26626281210622399</v>
      </c>
      <c r="R275" s="40">
        <v>0.33034410902974498</v>
      </c>
      <c r="S275" s="48">
        <v>0.33738838631610368</v>
      </c>
      <c r="T275" s="40">
        <v>0.21484833224410799</v>
      </c>
      <c r="U275" s="40">
        <v>0.327396625279608</v>
      </c>
      <c r="V275" s="40">
        <v>0.28192769917035498</v>
      </c>
      <c r="W275" s="40">
        <v>0.34320552405229998</v>
      </c>
      <c r="X275" s="40">
        <v>0.34760364977129998</v>
      </c>
      <c r="Y275" s="40">
        <v>0.327244920707776</v>
      </c>
      <c r="Z275" s="43">
        <v>0.22</v>
      </c>
      <c r="AA275" s="43">
        <v>0.28192769917035498</v>
      </c>
      <c r="AB275" s="43">
        <f t="shared" si="8"/>
        <v>-6.1927699170354983E-2</v>
      </c>
      <c r="AC275" s="45">
        <v>0.35162528560688699</v>
      </c>
      <c r="AD275" s="45">
        <f t="shared" si="9"/>
        <v>-0.13162528560688699</v>
      </c>
    </row>
    <row r="276" spans="1:30" ht="15" x14ac:dyDescent="0.2">
      <c r="A276" s="40" t="s">
        <v>84</v>
      </c>
      <c r="B276" s="41">
        <v>15.9</v>
      </c>
      <c r="C276" s="42">
        <v>392</v>
      </c>
      <c r="D276" s="42">
        <v>2</v>
      </c>
      <c r="E276" s="41">
        <v>46</v>
      </c>
      <c r="F276" s="43">
        <v>3.3538794827423901</v>
      </c>
      <c r="G276" s="41">
        <v>30</v>
      </c>
      <c r="H276" s="41">
        <v>38</v>
      </c>
      <c r="I276" s="40">
        <v>150</v>
      </c>
      <c r="J276" s="41">
        <v>250</v>
      </c>
      <c r="K276" s="42">
        <v>397.2</v>
      </c>
      <c r="L276" s="43">
        <v>27.5</v>
      </c>
      <c r="M276" s="40">
        <v>0.247876093912795</v>
      </c>
      <c r="N276" s="40">
        <v>0.25197930642052602</v>
      </c>
      <c r="O276" s="40">
        <v>0.28615588585613799</v>
      </c>
      <c r="P276" s="40">
        <v>0.37406287588439802</v>
      </c>
      <c r="Q276" s="40">
        <v>0.24630754968100699</v>
      </c>
      <c r="R276" s="40">
        <v>0.30775363409033601</v>
      </c>
      <c r="S276" s="48">
        <v>0.31169658297083969</v>
      </c>
      <c r="T276" s="40">
        <v>0.19929109138178699</v>
      </c>
      <c r="U276" s="40">
        <v>0.30500771306213498</v>
      </c>
      <c r="V276" s="40">
        <v>0.28192769917035498</v>
      </c>
      <c r="W276" s="40">
        <v>0.31302564121596399</v>
      </c>
      <c r="X276" s="40">
        <v>0.31331008298028501</v>
      </c>
      <c r="Y276" s="40">
        <v>0.29217612216028599</v>
      </c>
      <c r="Z276" s="43">
        <v>0.17</v>
      </c>
      <c r="AA276" s="43">
        <v>0.25593185375688199</v>
      </c>
      <c r="AB276" s="43">
        <f t="shared" si="8"/>
        <v>-8.5931853756881976E-2</v>
      </c>
      <c r="AC276" s="45">
        <v>0.31638565265359397</v>
      </c>
      <c r="AD276" s="45">
        <f t="shared" si="9"/>
        <v>-0.14638565265359396</v>
      </c>
    </row>
    <row r="277" spans="1:30" ht="15" x14ac:dyDescent="0.2">
      <c r="B277" s="41">
        <v>15.9</v>
      </c>
      <c r="C277" s="42">
        <v>392</v>
      </c>
      <c r="D277" s="42">
        <v>2</v>
      </c>
      <c r="E277" s="41">
        <v>46</v>
      </c>
      <c r="F277" s="43">
        <v>3.3538794827423901</v>
      </c>
      <c r="G277" s="41">
        <v>30</v>
      </c>
      <c r="H277" s="41">
        <v>38</v>
      </c>
      <c r="I277" s="40">
        <v>150</v>
      </c>
      <c r="J277" s="41">
        <v>250</v>
      </c>
      <c r="K277" s="42">
        <v>397.2</v>
      </c>
      <c r="L277" s="43">
        <v>31.4</v>
      </c>
      <c r="M277" s="40">
        <v>0.269520780893451</v>
      </c>
      <c r="N277" s="40">
        <v>0.27398228834178301</v>
      </c>
      <c r="O277" s="40">
        <v>0.29185886340253198</v>
      </c>
      <c r="P277" s="40">
        <v>0.38912131038557102</v>
      </c>
      <c r="Q277" s="40">
        <v>0.26626281210622399</v>
      </c>
      <c r="R277" s="40">
        <v>0.33034410902974498</v>
      </c>
      <c r="S277" s="48">
        <v>0.33738838631610368</v>
      </c>
      <c r="T277" s="40">
        <v>0.21484833224410799</v>
      </c>
      <c r="U277" s="40">
        <v>0.327396625279608</v>
      </c>
      <c r="V277" s="40">
        <v>0.28192769917035498</v>
      </c>
      <c r="W277" s="40">
        <v>0.34320552405229998</v>
      </c>
      <c r="X277" s="40">
        <v>0.34760364977129998</v>
      </c>
      <c r="Y277" s="40">
        <v>0.327244920707776</v>
      </c>
      <c r="Z277" s="43">
        <v>0.21</v>
      </c>
      <c r="AA277" s="43">
        <v>0.28192769917035498</v>
      </c>
      <c r="AB277" s="43">
        <f t="shared" si="8"/>
        <v>-7.1927699170354992E-2</v>
      </c>
      <c r="AC277" s="45">
        <v>0.35162528560688699</v>
      </c>
      <c r="AD277" s="45">
        <f t="shared" si="9"/>
        <v>-0.141625285606887</v>
      </c>
    </row>
    <row r="278" spans="1:30" ht="15" x14ac:dyDescent="0.2">
      <c r="A278" s="40" t="s">
        <v>85</v>
      </c>
      <c r="B278" s="41">
        <v>19.100000000000001</v>
      </c>
      <c r="C278" s="42">
        <v>392</v>
      </c>
      <c r="D278" s="42">
        <v>2</v>
      </c>
      <c r="E278" s="41">
        <v>40</v>
      </c>
      <c r="F278" s="43">
        <v>3.3538794827423901</v>
      </c>
      <c r="G278" s="41">
        <v>30</v>
      </c>
      <c r="H278" s="41">
        <v>39.5</v>
      </c>
      <c r="I278" s="40">
        <v>150</v>
      </c>
      <c r="J278" s="41">
        <v>250</v>
      </c>
      <c r="K278" s="42">
        <v>573</v>
      </c>
      <c r="L278" s="43">
        <v>23.4</v>
      </c>
      <c r="M278" s="40">
        <v>0.12502421040515399</v>
      </c>
      <c r="N278" s="40">
        <v>0.13495075566019701</v>
      </c>
      <c r="O278" s="40">
        <v>0.17597414604016501</v>
      </c>
      <c r="P278" s="40">
        <v>0.16650607497088099</v>
      </c>
      <c r="Q278" s="40">
        <v>0.126644840509609</v>
      </c>
      <c r="R278" s="40">
        <v>0.18287249019815299</v>
      </c>
      <c r="S278" s="48">
        <v>0.19145425081753056</v>
      </c>
      <c r="T278" s="40">
        <v>0.118147216067747</v>
      </c>
      <c r="U278" s="40">
        <v>0.194718588519085</v>
      </c>
      <c r="V278" s="40">
        <v>0.165008033992563</v>
      </c>
      <c r="W278" s="40">
        <v>0.14323409716608199</v>
      </c>
      <c r="X278" s="40">
        <v>0.156615851331663</v>
      </c>
      <c r="Y278" s="40">
        <v>0.132940303744433</v>
      </c>
      <c r="Z278" s="43">
        <v>0.17</v>
      </c>
      <c r="AA278" s="43">
        <v>0.124185684451845</v>
      </c>
      <c r="AB278" s="43">
        <f t="shared" si="8"/>
        <v>4.5814315548155016E-2</v>
      </c>
      <c r="AC278" s="45">
        <v>0.13239376928063301</v>
      </c>
      <c r="AD278" s="45">
        <f t="shared" si="9"/>
        <v>3.7606230719367001E-2</v>
      </c>
    </row>
    <row r="279" spans="1:30" ht="15" x14ac:dyDescent="0.2">
      <c r="B279" s="41">
        <v>19.100000000000001</v>
      </c>
      <c r="C279" s="42">
        <v>392</v>
      </c>
      <c r="D279" s="42">
        <v>2</v>
      </c>
      <c r="E279" s="41">
        <v>40</v>
      </c>
      <c r="F279" s="43">
        <v>3.3538794827423901</v>
      </c>
      <c r="G279" s="41">
        <v>30</v>
      </c>
      <c r="H279" s="41">
        <v>39.5</v>
      </c>
      <c r="I279" s="40">
        <v>150</v>
      </c>
      <c r="J279" s="41">
        <v>250</v>
      </c>
      <c r="K279" s="42">
        <v>573</v>
      </c>
      <c r="L279" s="43">
        <v>27.4</v>
      </c>
      <c r="M279" s="40">
        <v>0.15144280284122499</v>
      </c>
      <c r="N279" s="40">
        <v>0.16346690466184299</v>
      </c>
      <c r="O279" s="40">
        <v>0.20605519664532099</v>
      </c>
      <c r="P279" s="40">
        <v>0.228296626570857</v>
      </c>
      <c r="Q279" s="40">
        <v>0.15100219578488999</v>
      </c>
      <c r="R279" s="40">
        <v>0.21413274493288001</v>
      </c>
      <c r="S279" s="48">
        <v>0.23140163722368232</v>
      </c>
      <c r="T279" s="40">
        <v>0.14042042546906</v>
      </c>
      <c r="U279" s="40">
        <v>0.228003817325766</v>
      </c>
      <c r="V279" s="40">
        <v>0.19652209141027999</v>
      </c>
      <c r="W279" s="40">
        <v>0.18507173148334599</v>
      </c>
      <c r="X279" s="40">
        <v>0.202605707504941</v>
      </c>
      <c r="Y279" s="40">
        <v>0.175505016818047</v>
      </c>
      <c r="Z279" s="43">
        <v>0.18</v>
      </c>
      <c r="AA279" s="43">
        <v>0.15819691921097201</v>
      </c>
      <c r="AB279" s="43">
        <f t="shared" si="8"/>
        <v>2.1803080789027984E-2</v>
      </c>
      <c r="AC279" s="45">
        <v>0.17633003721722099</v>
      </c>
      <c r="AD279" s="45">
        <f t="shared" si="9"/>
        <v>3.6699627827790071E-3</v>
      </c>
    </row>
    <row r="280" spans="1:30" ht="15" x14ac:dyDescent="0.2">
      <c r="B280" s="41">
        <v>19.100000000000001</v>
      </c>
      <c r="C280" s="42">
        <v>392</v>
      </c>
      <c r="D280" s="42">
        <v>2</v>
      </c>
      <c r="E280" s="41">
        <v>40</v>
      </c>
      <c r="F280" s="43">
        <v>3.3538794827423901</v>
      </c>
      <c r="G280" s="41">
        <v>30</v>
      </c>
      <c r="H280" s="41">
        <v>39.5</v>
      </c>
      <c r="I280" s="40">
        <v>150</v>
      </c>
      <c r="J280" s="41">
        <v>250</v>
      </c>
      <c r="K280" s="42">
        <v>573</v>
      </c>
      <c r="L280" s="43">
        <v>31.3</v>
      </c>
      <c r="M280" s="40">
        <v>0.17720093046639401</v>
      </c>
      <c r="N280" s="40">
        <v>0.19127014993844799</v>
      </c>
      <c r="O280" s="40">
        <v>0.235384220985349</v>
      </c>
      <c r="P280" s="40">
        <v>0.29791134594970797</v>
      </c>
      <c r="Q280" s="40">
        <v>0.17475061717828899</v>
      </c>
      <c r="R280" s="40">
        <v>0.24461149329923901</v>
      </c>
      <c r="S280" s="48">
        <v>0.2703503389696803</v>
      </c>
      <c r="T280" s="40">
        <v>0.162136804635339</v>
      </c>
      <c r="U280" s="40">
        <v>0.260456915412281</v>
      </c>
      <c r="V280" s="40">
        <v>0.22769634035772701</v>
      </c>
      <c r="W280" s="40">
        <v>0.22480394836704401</v>
      </c>
      <c r="X280" s="40">
        <v>0.24872789677669699</v>
      </c>
      <c r="Y280" s="40">
        <v>0.21898941685735501</v>
      </c>
      <c r="Z280" s="43">
        <v>0.2</v>
      </c>
      <c r="AA280" s="43">
        <v>0.19135787310112101</v>
      </c>
      <c r="AB280" s="43">
        <f t="shared" si="8"/>
        <v>8.642126898878999E-3</v>
      </c>
      <c r="AC280" s="45">
        <v>0.219167898455395</v>
      </c>
      <c r="AD280" s="45">
        <f t="shared" si="9"/>
        <v>-1.9167898455394988E-2</v>
      </c>
    </row>
    <row r="281" spans="1:30" ht="15" x14ac:dyDescent="0.2">
      <c r="B281" s="41">
        <v>19.100000000000001</v>
      </c>
      <c r="C281" s="42">
        <v>392</v>
      </c>
      <c r="D281" s="42">
        <v>2</v>
      </c>
      <c r="E281" s="41">
        <v>40</v>
      </c>
      <c r="F281" s="43">
        <v>3.3538794827423901</v>
      </c>
      <c r="G281" s="41">
        <v>30</v>
      </c>
      <c r="H281" s="41">
        <v>39.5</v>
      </c>
      <c r="I281" s="40">
        <v>150</v>
      </c>
      <c r="J281" s="41">
        <v>250</v>
      </c>
      <c r="K281" s="42">
        <v>573</v>
      </c>
      <c r="L281" s="43">
        <v>35.299999999999997</v>
      </c>
      <c r="M281" s="40">
        <v>0.20361952290246499</v>
      </c>
      <c r="N281" s="40">
        <v>0.21978629894009399</v>
      </c>
      <c r="O281" s="40">
        <v>0.26546527159050498</v>
      </c>
      <c r="P281" s="40">
        <v>0.37892021871660603</v>
      </c>
      <c r="Q281" s="40">
        <v>0.19910797245357001</v>
      </c>
      <c r="R281" s="40">
        <v>0.27587174803396602</v>
      </c>
      <c r="S281" s="48">
        <v>0.310297725375832</v>
      </c>
      <c r="T281" s="40">
        <v>0.184410014036652</v>
      </c>
      <c r="U281" s="40">
        <v>0.293742144218962</v>
      </c>
      <c r="V281" s="40">
        <v>0.260000859463903</v>
      </c>
      <c r="W281" s="40">
        <v>0.26461971704774301</v>
      </c>
      <c r="X281" s="40">
        <v>0.297347659622406</v>
      </c>
      <c r="Y281" s="40">
        <v>0.26562347309514101</v>
      </c>
      <c r="Z281" s="43">
        <v>0.2</v>
      </c>
      <c r="AA281" s="43">
        <v>0.225369107860247</v>
      </c>
      <c r="AB281" s="43">
        <f t="shared" si="8"/>
        <v>-2.5369107860246987E-2</v>
      </c>
      <c r="AC281" s="45">
        <v>0.26310416639198297</v>
      </c>
      <c r="AD281" s="45">
        <f t="shared" si="9"/>
        <v>-6.3104166391982963E-2</v>
      </c>
    </row>
    <row r="282" spans="1:30" ht="15" x14ac:dyDescent="0.2">
      <c r="B282" s="41">
        <v>19.100000000000001</v>
      </c>
      <c r="C282" s="42">
        <v>392</v>
      </c>
      <c r="D282" s="42">
        <v>2</v>
      </c>
      <c r="E282" s="41">
        <v>40</v>
      </c>
      <c r="F282" s="43">
        <v>3.3538794827423901</v>
      </c>
      <c r="G282" s="41">
        <v>30</v>
      </c>
      <c r="H282" s="41">
        <v>39.5</v>
      </c>
      <c r="I282" s="40">
        <v>150</v>
      </c>
      <c r="J282" s="41">
        <v>250</v>
      </c>
      <c r="K282" s="42">
        <v>573</v>
      </c>
      <c r="L282" s="43">
        <v>39.1</v>
      </c>
      <c r="M282" s="40">
        <v>0.228717185716732</v>
      </c>
      <c r="N282" s="40">
        <v>0.246876640491658</v>
      </c>
      <c r="O282" s="40">
        <v>0.29404226966540398</v>
      </c>
      <c r="P282" s="40">
        <v>0.46489179720255702</v>
      </c>
      <c r="Q282" s="40">
        <v>0.22224745996508699</v>
      </c>
      <c r="R282" s="40">
        <v>0.30556899003195698</v>
      </c>
      <c r="S282" s="48">
        <v>0.34824774246167622</v>
      </c>
      <c r="T282" s="40">
        <v>0.20556956296789899</v>
      </c>
      <c r="U282" s="40">
        <v>0.32536311158530901</v>
      </c>
      <c r="V282" s="40">
        <v>0.27791169117888298</v>
      </c>
      <c r="W282" s="40">
        <v>0.30168784548245398</v>
      </c>
      <c r="X282" s="40">
        <v>0.34476982726524102</v>
      </c>
      <c r="Y282" s="40">
        <v>0.31183429695436099</v>
      </c>
      <c r="Z282" s="43">
        <v>0.25</v>
      </c>
      <c r="AA282" s="43">
        <v>0.25767978088141802</v>
      </c>
      <c r="AB282" s="43">
        <f t="shared" si="8"/>
        <v>-7.6797808814180191E-3</v>
      </c>
      <c r="AC282" s="45">
        <v>0.304843620931742</v>
      </c>
      <c r="AD282" s="45">
        <f t="shared" si="9"/>
        <v>-5.4843620931741999E-2</v>
      </c>
    </row>
    <row r="283" spans="1:30" ht="15" x14ac:dyDescent="0.2">
      <c r="B283" s="41">
        <v>19.100000000000001</v>
      </c>
      <c r="C283" s="42">
        <v>392</v>
      </c>
      <c r="D283" s="42">
        <v>2</v>
      </c>
      <c r="E283" s="41">
        <v>40</v>
      </c>
      <c r="F283" s="43">
        <v>3.3538794827423901</v>
      </c>
      <c r="G283" s="41">
        <v>30</v>
      </c>
      <c r="H283" s="41">
        <v>39.5</v>
      </c>
      <c r="I283" s="40">
        <v>150</v>
      </c>
      <c r="J283" s="41">
        <v>250</v>
      </c>
      <c r="K283" s="42">
        <v>573</v>
      </c>
      <c r="L283" s="43">
        <v>43.1</v>
      </c>
      <c r="M283" s="40">
        <v>0.24443253966190001</v>
      </c>
      <c r="N283" s="40">
        <v>0.26383974614531602</v>
      </c>
      <c r="O283" s="40">
        <v>0.29484546616440799</v>
      </c>
      <c r="P283" s="40">
        <v>0.46743503323046598</v>
      </c>
      <c r="Q283" s="40">
        <v>0.23673666714921501</v>
      </c>
      <c r="R283" s="40">
        <v>0.32416445338834599</v>
      </c>
      <c r="S283" s="48">
        <v>0.37201082969186144</v>
      </c>
      <c r="T283" s="40">
        <v>0.21881899592249299</v>
      </c>
      <c r="U283" s="40">
        <v>0.34516315025537397</v>
      </c>
      <c r="V283" s="40">
        <v>0.27791169117888298</v>
      </c>
      <c r="W283" s="40">
        <v>0.32456871429093098</v>
      </c>
      <c r="X283" s="40">
        <v>0.37507592482148999</v>
      </c>
      <c r="Y283" s="40">
        <v>0.34171677725868199</v>
      </c>
      <c r="Z283" s="43">
        <v>0.27</v>
      </c>
      <c r="AA283" s="43">
        <v>0.27791169117888298</v>
      </c>
      <c r="AB283" s="43">
        <f t="shared" si="8"/>
        <v>-7.9116911788829625E-3</v>
      </c>
      <c r="AC283" s="45">
        <v>0.33097953272659097</v>
      </c>
      <c r="AD283" s="45">
        <f t="shared" si="9"/>
        <v>-6.0979532726590957E-2</v>
      </c>
    </row>
    <row r="284" spans="1:30" ht="15" x14ac:dyDescent="0.2">
      <c r="A284" s="40" t="s">
        <v>86</v>
      </c>
      <c r="B284" s="41">
        <v>19.100000000000001</v>
      </c>
      <c r="C284" s="42">
        <v>392</v>
      </c>
      <c r="D284" s="42">
        <v>2</v>
      </c>
      <c r="E284" s="41">
        <v>40</v>
      </c>
      <c r="F284" s="43">
        <v>3.3538794827423901</v>
      </c>
      <c r="G284" s="41">
        <v>30</v>
      </c>
      <c r="H284" s="41">
        <v>39.5</v>
      </c>
      <c r="I284" s="40">
        <v>150</v>
      </c>
      <c r="J284" s="41">
        <v>250</v>
      </c>
      <c r="K284" s="42">
        <v>573</v>
      </c>
      <c r="L284" s="43">
        <v>31.3</v>
      </c>
      <c r="M284" s="40">
        <v>0.17720093046639401</v>
      </c>
      <c r="N284" s="40">
        <v>0.19127014993844799</v>
      </c>
      <c r="O284" s="40">
        <v>0.235384220985349</v>
      </c>
      <c r="P284" s="40">
        <v>0.29791134594970797</v>
      </c>
      <c r="Q284" s="40">
        <v>0.17475061717828899</v>
      </c>
      <c r="R284" s="40">
        <v>0.24461149329923901</v>
      </c>
      <c r="S284" s="48">
        <v>0.2703503389696803</v>
      </c>
      <c r="T284" s="40">
        <v>0.162136804635339</v>
      </c>
      <c r="U284" s="40">
        <v>0.260456915412281</v>
      </c>
      <c r="V284" s="40">
        <v>0.22769634035772701</v>
      </c>
      <c r="W284" s="40">
        <v>0.22480394836704401</v>
      </c>
      <c r="X284" s="40">
        <v>0.24872789677669699</v>
      </c>
      <c r="Y284" s="40">
        <v>0.21898941685735501</v>
      </c>
      <c r="Z284" s="43">
        <v>0.18</v>
      </c>
      <c r="AA284" s="43">
        <v>0.19135787310112101</v>
      </c>
      <c r="AB284" s="43">
        <f t="shared" si="8"/>
        <v>-1.1357873101121019E-2</v>
      </c>
      <c r="AC284" s="45">
        <v>0.219167898455395</v>
      </c>
      <c r="AD284" s="45">
        <f t="shared" si="9"/>
        <v>-3.9167898455395006E-2</v>
      </c>
    </row>
    <row r="285" spans="1:30" ht="15" x14ac:dyDescent="0.2">
      <c r="B285" s="41">
        <v>19.100000000000001</v>
      </c>
      <c r="C285" s="42">
        <v>392</v>
      </c>
      <c r="D285" s="42">
        <v>2</v>
      </c>
      <c r="E285" s="41">
        <v>40</v>
      </c>
      <c r="F285" s="43">
        <v>3.3538794827423901</v>
      </c>
      <c r="G285" s="41">
        <v>30</v>
      </c>
      <c r="H285" s="41">
        <v>39.5</v>
      </c>
      <c r="I285" s="40">
        <v>150</v>
      </c>
      <c r="J285" s="41">
        <v>250</v>
      </c>
      <c r="K285" s="42">
        <v>573</v>
      </c>
      <c r="L285" s="43">
        <v>35.1</v>
      </c>
      <c r="M285" s="40">
        <v>0.20229859328066099</v>
      </c>
      <c r="N285" s="40">
        <v>0.21836049149001199</v>
      </c>
      <c r="O285" s="40">
        <v>0.263961219060247</v>
      </c>
      <c r="P285" s="40">
        <v>0.37463866868448198</v>
      </c>
      <c r="Q285" s="40">
        <v>0.197890104689806</v>
      </c>
      <c r="R285" s="40">
        <v>0.27430873529722999</v>
      </c>
      <c r="S285" s="48">
        <v>0.30830035605552447</v>
      </c>
      <c r="T285" s="40">
        <v>0.183296353566586</v>
      </c>
      <c r="U285" s="40">
        <v>0.29207788277862801</v>
      </c>
      <c r="V285" s="40">
        <v>0.258379095973851</v>
      </c>
      <c r="W285" s="40">
        <v>0.26264931447655598</v>
      </c>
      <c r="X285" s="40">
        <v>0.29488504602013599</v>
      </c>
      <c r="Y285" s="40">
        <v>0.26324283514393498</v>
      </c>
      <c r="Z285" s="43">
        <v>0.19</v>
      </c>
      <c r="AA285" s="43">
        <v>0.22366854612229101</v>
      </c>
      <c r="AB285" s="43">
        <f t="shared" si="8"/>
        <v>-3.3668546122291004E-2</v>
      </c>
      <c r="AC285" s="45">
        <v>0.260907352995153</v>
      </c>
      <c r="AD285" s="45">
        <f t="shared" si="9"/>
        <v>-7.0907352995152995E-2</v>
      </c>
    </row>
    <row r="286" spans="1:30" ht="15" x14ac:dyDescent="0.2">
      <c r="B286" s="41">
        <v>19.100000000000001</v>
      </c>
      <c r="C286" s="42">
        <v>392</v>
      </c>
      <c r="D286" s="42">
        <v>2</v>
      </c>
      <c r="E286" s="41">
        <v>40</v>
      </c>
      <c r="F286" s="43">
        <v>3.3538794827423901</v>
      </c>
      <c r="G286" s="41">
        <v>30</v>
      </c>
      <c r="H286" s="41">
        <v>39.5</v>
      </c>
      <c r="I286" s="40">
        <v>150</v>
      </c>
      <c r="J286" s="41">
        <v>250</v>
      </c>
      <c r="K286" s="42">
        <v>573</v>
      </c>
      <c r="L286" s="43">
        <v>39.1</v>
      </c>
      <c r="M286" s="40">
        <v>0.228717185716732</v>
      </c>
      <c r="N286" s="40">
        <v>0.246876640491658</v>
      </c>
      <c r="O286" s="40">
        <v>0.29404226966540398</v>
      </c>
      <c r="P286" s="40">
        <v>0.46489179720255702</v>
      </c>
      <c r="Q286" s="40">
        <v>0.22224745996508699</v>
      </c>
      <c r="R286" s="40">
        <v>0.30556899003195698</v>
      </c>
      <c r="S286" s="48">
        <v>0.34824774246167622</v>
      </c>
      <c r="T286" s="40">
        <v>0.20556956296789899</v>
      </c>
      <c r="U286" s="40">
        <v>0.32536311158530901</v>
      </c>
      <c r="V286" s="40">
        <v>0.27791169117888298</v>
      </c>
      <c r="W286" s="40">
        <v>0.30168784548245398</v>
      </c>
      <c r="X286" s="40">
        <v>0.34476982726524102</v>
      </c>
      <c r="Y286" s="40">
        <v>0.31183429695436099</v>
      </c>
      <c r="Z286" s="43">
        <v>0.21</v>
      </c>
      <c r="AA286" s="43">
        <v>0.25767978088141802</v>
      </c>
      <c r="AB286" s="43">
        <f t="shared" si="8"/>
        <v>-4.7679780881418027E-2</v>
      </c>
      <c r="AC286" s="45">
        <v>0.304843620931742</v>
      </c>
      <c r="AD286" s="45">
        <f t="shared" si="9"/>
        <v>-9.4843620931742006E-2</v>
      </c>
    </row>
    <row r="287" spans="1:30" ht="15" x14ac:dyDescent="0.2">
      <c r="B287" s="41">
        <v>19.100000000000001</v>
      </c>
      <c r="C287" s="42">
        <v>392</v>
      </c>
      <c r="D287" s="42">
        <v>2</v>
      </c>
      <c r="E287" s="41">
        <v>40</v>
      </c>
      <c r="F287" s="43">
        <v>3.3538794827423901</v>
      </c>
      <c r="G287" s="41">
        <v>30</v>
      </c>
      <c r="H287" s="41">
        <v>39.5</v>
      </c>
      <c r="I287" s="40">
        <v>150</v>
      </c>
      <c r="J287" s="41">
        <v>250</v>
      </c>
      <c r="K287" s="42">
        <v>573</v>
      </c>
      <c r="L287" s="43">
        <v>43.1</v>
      </c>
      <c r="M287" s="40">
        <v>0.24443253966190001</v>
      </c>
      <c r="N287" s="40">
        <v>0.26383974614531602</v>
      </c>
      <c r="O287" s="40">
        <v>0.29484546616440799</v>
      </c>
      <c r="P287" s="40">
        <v>0.46743503323046598</v>
      </c>
      <c r="Q287" s="40">
        <v>0.23673666714921501</v>
      </c>
      <c r="R287" s="40">
        <v>0.32416445338834599</v>
      </c>
      <c r="S287" s="48">
        <v>0.37201082969186144</v>
      </c>
      <c r="T287" s="40">
        <v>0.21881899592249299</v>
      </c>
      <c r="U287" s="40">
        <v>0.34516315025537397</v>
      </c>
      <c r="V287" s="40">
        <v>0.27791169117888298</v>
      </c>
      <c r="W287" s="40">
        <v>0.32456871429093098</v>
      </c>
      <c r="X287" s="40">
        <v>0.37507592482148999</v>
      </c>
      <c r="Y287" s="40">
        <v>0.34171677725868199</v>
      </c>
      <c r="Z287" s="43">
        <v>0.26</v>
      </c>
      <c r="AA287" s="43">
        <v>0.27791169117888298</v>
      </c>
      <c r="AB287" s="43">
        <f t="shared" si="8"/>
        <v>-1.7911691178882971E-2</v>
      </c>
      <c r="AC287" s="45">
        <v>0.33097953272659097</v>
      </c>
      <c r="AD287" s="45">
        <f t="shared" si="9"/>
        <v>-7.0979532726590966E-2</v>
      </c>
    </row>
    <row r="288" spans="1:30" ht="15" x14ac:dyDescent="0.2">
      <c r="A288" s="40" t="s">
        <v>87</v>
      </c>
      <c r="B288" s="41">
        <v>19.100000000000001</v>
      </c>
      <c r="C288" s="42">
        <v>276</v>
      </c>
      <c r="D288" s="42">
        <v>2</v>
      </c>
      <c r="E288" s="41">
        <v>69.8</v>
      </c>
      <c r="F288" s="43">
        <v>2.9003288251790802</v>
      </c>
      <c r="G288" s="41">
        <v>31.8</v>
      </c>
      <c r="H288" s="41">
        <v>41.4</v>
      </c>
      <c r="I288" s="40">
        <v>152.4</v>
      </c>
      <c r="J288" s="41">
        <v>381</v>
      </c>
      <c r="K288" s="42">
        <v>568</v>
      </c>
      <c r="L288" s="43">
        <v>35.088900000000002</v>
      </c>
      <c r="M288" s="40">
        <v>0.144612644411651</v>
      </c>
      <c r="N288" s="40">
        <v>0.140053915791155</v>
      </c>
      <c r="O288" s="40">
        <v>0.17419711219546</v>
      </c>
      <c r="P288" s="40">
        <v>0.15865517662423101</v>
      </c>
      <c r="Q288" s="40">
        <v>0.113684471499992</v>
      </c>
      <c r="R288" s="40">
        <v>0.125395114242982</v>
      </c>
      <c r="S288" s="48">
        <v>0.16875320294974011</v>
      </c>
      <c r="T288" s="40">
        <v>0.12747372435868701</v>
      </c>
      <c r="U288" s="40">
        <v>0.16805255523912299</v>
      </c>
      <c r="V288" s="40">
        <v>0.173396421842929</v>
      </c>
      <c r="W288" s="40">
        <v>0.14690574145696</v>
      </c>
      <c r="X288" s="40">
        <v>0.162054438532935</v>
      </c>
      <c r="Y288" s="40">
        <v>0.139692515123061</v>
      </c>
      <c r="Z288" s="43">
        <v>0.17</v>
      </c>
      <c r="AA288" s="43">
        <v>0.13127422971881</v>
      </c>
      <c r="AB288" s="43">
        <f t="shared" si="8"/>
        <v>3.8725770281190008E-2</v>
      </c>
      <c r="AC288" s="45">
        <v>0.13479155649448901</v>
      </c>
      <c r="AD288" s="45">
        <f t="shared" si="9"/>
        <v>3.5208443505511E-2</v>
      </c>
    </row>
    <row r="289" spans="1:30" ht="15" x14ac:dyDescent="0.2">
      <c r="B289" s="41">
        <v>19.100000000000001</v>
      </c>
      <c r="C289" s="42">
        <v>276</v>
      </c>
      <c r="D289" s="42">
        <v>2</v>
      </c>
      <c r="E289" s="41">
        <v>69.8</v>
      </c>
      <c r="F289" s="43">
        <v>2.9003288251790802</v>
      </c>
      <c r="G289" s="41">
        <v>31.8</v>
      </c>
      <c r="H289" s="41">
        <v>41.4</v>
      </c>
      <c r="I289" s="40">
        <v>152.4</v>
      </c>
      <c r="J289" s="41">
        <v>381</v>
      </c>
      <c r="K289" s="42">
        <v>568</v>
      </c>
      <c r="L289" s="43">
        <v>42.257599999999996</v>
      </c>
      <c r="M289" s="40">
        <v>0.184869531379248</v>
      </c>
      <c r="N289" s="40">
        <v>0.179041755895402</v>
      </c>
      <c r="O289" s="40">
        <v>0.20978576952571501</v>
      </c>
      <c r="P289" s="40">
        <v>0.23010412019590201</v>
      </c>
      <c r="Q289" s="40">
        <v>0.142372635093723</v>
      </c>
      <c r="R289" s="40">
        <v>0.15101347091628001</v>
      </c>
      <c r="S289" s="48">
        <v>0.21168897760914146</v>
      </c>
      <c r="T289" s="40">
        <v>0.15661366367243301</v>
      </c>
      <c r="U289" s="40">
        <v>0.20238587297614799</v>
      </c>
      <c r="V289" s="40">
        <v>0.205980118431288</v>
      </c>
      <c r="W289" s="40">
        <v>0.198883923836256</v>
      </c>
      <c r="X289" s="40">
        <v>0.218295638091697</v>
      </c>
      <c r="Y289" s="40">
        <v>0.19196100878984701</v>
      </c>
      <c r="Z289" s="43">
        <v>0.23</v>
      </c>
      <c r="AA289" s="43">
        <v>0.17385097621224299</v>
      </c>
      <c r="AB289" s="43">
        <f t="shared" si="8"/>
        <v>5.6149023787757019E-2</v>
      </c>
      <c r="AC289" s="45">
        <v>0.18859175010146001</v>
      </c>
      <c r="AD289" s="45">
        <f t="shared" si="9"/>
        <v>4.140824989854E-2</v>
      </c>
    </row>
    <row r="290" spans="1:30" ht="15" x14ac:dyDescent="0.2">
      <c r="B290" s="41">
        <v>19.100000000000001</v>
      </c>
      <c r="C290" s="42">
        <v>276</v>
      </c>
      <c r="D290" s="42">
        <v>2</v>
      </c>
      <c r="E290" s="41">
        <v>69.8</v>
      </c>
      <c r="F290" s="43">
        <v>2.9003288251790802</v>
      </c>
      <c r="G290" s="41">
        <v>31.8</v>
      </c>
      <c r="H290" s="41">
        <v>41.4</v>
      </c>
      <c r="I290" s="40">
        <v>152.4</v>
      </c>
      <c r="J290" s="41">
        <v>381</v>
      </c>
      <c r="K290" s="42">
        <v>568</v>
      </c>
      <c r="L290" s="43">
        <v>48.808900000000001</v>
      </c>
      <c r="M290" s="40">
        <v>0.21524806786224099</v>
      </c>
      <c r="N290" s="40">
        <v>0.20846264787727101</v>
      </c>
      <c r="O290" s="40">
        <v>0.22604792126916101</v>
      </c>
      <c r="P290" s="40">
        <v>0.26716119659943099</v>
      </c>
      <c r="Q290" s="40">
        <v>0.16402121475324299</v>
      </c>
      <c r="R290" s="40">
        <v>0.170345521689618</v>
      </c>
      <c r="S290" s="48">
        <v>0.24408904863217179</v>
      </c>
      <c r="T290" s="40">
        <v>0.17860316102893201</v>
      </c>
      <c r="U290" s="40">
        <v>0.22829438265042901</v>
      </c>
      <c r="V290" s="40">
        <v>0.205980118431288</v>
      </c>
      <c r="W290" s="40">
        <v>0.237143521273427</v>
      </c>
      <c r="X290" s="40">
        <v>0.26192996285311798</v>
      </c>
      <c r="Y290" s="40">
        <v>0.23319433791514299</v>
      </c>
      <c r="Z290" s="43">
        <v>0.27</v>
      </c>
      <c r="AA290" s="43">
        <v>0.205980118431288</v>
      </c>
      <c r="AB290" s="43">
        <f t="shared" si="8"/>
        <v>6.4019881568712023E-2</v>
      </c>
      <c r="AC290" s="45">
        <v>0.22919029776355501</v>
      </c>
      <c r="AD290" s="45">
        <f t="shared" si="9"/>
        <v>4.0809702236445006E-2</v>
      </c>
    </row>
    <row r="291" spans="1:30" ht="15" x14ac:dyDescent="0.2">
      <c r="A291" s="40" t="s">
        <v>88</v>
      </c>
      <c r="B291" s="41">
        <v>19.100000000000001</v>
      </c>
      <c r="C291" s="42">
        <v>276</v>
      </c>
      <c r="D291" s="42">
        <v>2</v>
      </c>
      <c r="E291" s="41">
        <v>69.8</v>
      </c>
      <c r="F291" s="43">
        <v>2.8466918957142102</v>
      </c>
      <c r="G291" s="41">
        <v>31.8</v>
      </c>
      <c r="H291" s="41">
        <v>41.4</v>
      </c>
      <c r="I291" s="40">
        <v>152.4</v>
      </c>
      <c r="J291" s="41">
        <v>381</v>
      </c>
      <c r="K291" s="42">
        <v>568</v>
      </c>
      <c r="L291" s="43">
        <v>48.808900000000001</v>
      </c>
      <c r="M291" s="40">
        <v>0.21596411355973399</v>
      </c>
      <c r="N291" s="40">
        <v>0.20923215334782899</v>
      </c>
      <c r="O291" s="40">
        <v>0.22604792126916101</v>
      </c>
      <c r="P291" s="40">
        <v>0.27219500664376001</v>
      </c>
      <c r="Q291" s="40">
        <v>0.16402121475324299</v>
      </c>
      <c r="R291" s="40">
        <v>0.168291165283984</v>
      </c>
      <c r="S291" s="48">
        <v>0.24408134513087065</v>
      </c>
      <c r="T291" s="40">
        <v>0.17860316102893201</v>
      </c>
      <c r="U291" s="40">
        <v>0.22835384489192001</v>
      </c>
      <c r="V291" s="40">
        <v>0.20732569988657901</v>
      </c>
      <c r="W291" s="40">
        <v>0.237990700753243</v>
      </c>
      <c r="X291" s="40">
        <v>0.26443809794901801</v>
      </c>
      <c r="Y291" s="40">
        <v>0.23546774273535601</v>
      </c>
      <c r="Z291" s="43">
        <v>0.16</v>
      </c>
      <c r="AA291" s="43">
        <v>0.20732569988657901</v>
      </c>
      <c r="AB291" s="43">
        <f t="shared" si="8"/>
        <v>-4.7325699886579004E-2</v>
      </c>
      <c r="AC291" s="45">
        <v>0.23014130586856801</v>
      </c>
      <c r="AD291" s="45">
        <f t="shared" si="9"/>
        <v>-7.014130586856801E-2</v>
      </c>
    </row>
    <row r="292" spans="1:30" ht="15" x14ac:dyDescent="0.2">
      <c r="A292" s="40" t="s">
        <v>89</v>
      </c>
      <c r="B292" s="41">
        <v>19.100000000000001</v>
      </c>
      <c r="C292" s="42">
        <v>276</v>
      </c>
      <c r="D292" s="42">
        <v>2</v>
      </c>
      <c r="E292" s="41">
        <v>69.8</v>
      </c>
      <c r="F292" s="43">
        <v>2.7113214734883302</v>
      </c>
      <c r="G292" s="41">
        <v>38.200000000000003</v>
      </c>
      <c r="H292" s="41">
        <v>47.7</v>
      </c>
      <c r="I292" s="40">
        <v>152.4</v>
      </c>
      <c r="J292" s="41">
        <v>381</v>
      </c>
      <c r="K292" s="42">
        <v>568</v>
      </c>
      <c r="L292" s="43">
        <v>42.257599999999996</v>
      </c>
      <c r="M292" s="40">
        <v>0.20566966214226401</v>
      </c>
      <c r="N292" s="40">
        <v>0.20854527065130199</v>
      </c>
      <c r="O292" s="40">
        <v>0.22003184339839599</v>
      </c>
      <c r="P292" s="40">
        <v>0.25612342439380897</v>
      </c>
      <c r="Q292" s="40">
        <v>0.168743686059287</v>
      </c>
      <c r="R292" s="40">
        <v>0.16899873803406101</v>
      </c>
      <c r="S292" s="48">
        <v>0.22791955508240316</v>
      </c>
      <c r="T292" s="40">
        <v>0.16916012694496699</v>
      </c>
      <c r="U292" s="40">
        <v>0.233546286066943</v>
      </c>
      <c r="V292" s="40">
        <v>0.23559597544973301</v>
      </c>
      <c r="W292" s="40">
        <v>0.23431741833146799</v>
      </c>
      <c r="X292" s="40">
        <v>0.24891747608116399</v>
      </c>
      <c r="Y292" s="40">
        <v>0.22657460911063099</v>
      </c>
      <c r="Z292" s="43">
        <v>0.16</v>
      </c>
      <c r="AA292" s="43">
        <v>0.205276239077366</v>
      </c>
      <c r="AB292" s="43">
        <f t="shared" si="8"/>
        <v>-4.5276239077365998E-2</v>
      </c>
      <c r="AC292" s="45">
        <v>0.223160977177881</v>
      </c>
      <c r="AD292" s="45">
        <f t="shared" si="9"/>
        <v>-6.3160977177880995E-2</v>
      </c>
    </row>
    <row r="293" spans="1:30" ht="15" x14ac:dyDescent="0.2">
      <c r="B293" s="41">
        <v>19.100000000000001</v>
      </c>
      <c r="C293" s="42">
        <v>276</v>
      </c>
      <c r="D293" s="42">
        <v>2</v>
      </c>
      <c r="E293" s="41">
        <v>69.8</v>
      </c>
      <c r="F293" s="43">
        <v>2.7113214734883302</v>
      </c>
      <c r="G293" s="41">
        <v>38.200000000000003</v>
      </c>
      <c r="H293" s="41">
        <v>47.7</v>
      </c>
      <c r="I293" s="40">
        <v>152.4</v>
      </c>
      <c r="J293" s="41">
        <v>381</v>
      </c>
      <c r="K293" s="42">
        <v>568</v>
      </c>
      <c r="L293" s="43">
        <v>48.808900000000001</v>
      </c>
      <c r="M293" s="40">
        <v>0.232607474797317</v>
      </c>
      <c r="N293" s="40">
        <v>0.23585971932782199</v>
      </c>
      <c r="O293" s="40">
        <v>0.23242384954718101</v>
      </c>
      <c r="P293" s="40">
        <v>0.28578511513419103</v>
      </c>
      <c r="Q293" s="40">
        <v>0.189506313649598</v>
      </c>
      <c r="R293" s="40">
        <v>0.18662910931180299</v>
      </c>
      <c r="S293" s="48">
        <v>0.25623115922388756</v>
      </c>
      <c r="T293" s="40">
        <v>0.18847613594205401</v>
      </c>
      <c r="U293" s="40">
        <v>0.25791041908826901</v>
      </c>
      <c r="V293" s="40">
        <v>0.23559597544973301</v>
      </c>
      <c r="W293" s="40">
        <v>0.27021086001637801</v>
      </c>
      <c r="X293" s="40">
        <v>0.28812625013958298</v>
      </c>
      <c r="Y293" s="40">
        <v>0.26506305440545902</v>
      </c>
      <c r="Z293" s="43">
        <v>0.2</v>
      </c>
      <c r="AA293" s="43">
        <v>0.23559597544973301</v>
      </c>
      <c r="AB293" s="43">
        <f t="shared" si="8"/>
        <v>-3.5595975449733003E-2</v>
      </c>
      <c r="AC293" s="45">
        <v>0.26128303111942902</v>
      </c>
      <c r="AD293" s="45">
        <f t="shared" si="9"/>
        <v>-6.128303111942901E-2</v>
      </c>
    </row>
    <row r="294" spans="1:30" ht="15" x14ac:dyDescent="0.2">
      <c r="A294" s="40" t="s">
        <v>90</v>
      </c>
      <c r="B294" s="41">
        <v>22.2</v>
      </c>
      <c r="C294" s="42">
        <v>276</v>
      </c>
      <c r="D294" s="42">
        <v>2</v>
      </c>
      <c r="E294" s="41">
        <v>63.6</v>
      </c>
      <c r="F294" s="43">
        <v>2.6879866270061701</v>
      </c>
      <c r="G294" s="41">
        <v>12.8</v>
      </c>
      <c r="H294" s="41">
        <v>23.9</v>
      </c>
      <c r="I294" s="40">
        <v>152.4</v>
      </c>
      <c r="J294" s="41">
        <v>381</v>
      </c>
      <c r="K294" s="42">
        <v>774</v>
      </c>
      <c r="L294" s="43">
        <v>66.198999999999998</v>
      </c>
      <c r="M294" s="40">
        <v>0.118523553790798</v>
      </c>
      <c r="N294" s="40">
        <v>0.106171066832134</v>
      </c>
      <c r="O294" s="40">
        <v>0.21217855953956499</v>
      </c>
      <c r="P294" s="40">
        <v>0.33505270024467698</v>
      </c>
      <c r="Q294" s="40">
        <v>8.1992519279429105E-2</v>
      </c>
      <c r="R294" s="40">
        <v>8.9837857585190403E-2</v>
      </c>
      <c r="S294" s="48">
        <v>0.21914543976212919</v>
      </c>
      <c r="T294" s="40">
        <v>0.144397179614943</v>
      </c>
      <c r="U294" s="40">
        <v>0.14590550886852399</v>
      </c>
      <c r="V294" s="40">
        <v>0.121209098535111</v>
      </c>
      <c r="W294" s="40">
        <v>0.126416212264962</v>
      </c>
      <c r="X294" s="40">
        <v>0.29737272192085001</v>
      </c>
      <c r="Y294" s="40">
        <v>0.16708557819136299</v>
      </c>
      <c r="Z294" s="43">
        <v>0.17</v>
      </c>
      <c r="AA294" s="43">
        <v>0.11891617173496501</v>
      </c>
      <c r="AB294" s="43">
        <f t="shared" si="8"/>
        <v>5.1083828265035006E-2</v>
      </c>
      <c r="AC294" s="45">
        <v>0.124331141033773</v>
      </c>
      <c r="AD294" s="45">
        <f t="shared" si="9"/>
        <v>4.5668858966227008E-2</v>
      </c>
    </row>
    <row r="295" spans="1:30" ht="15" x14ac:dyDescent="0.2">
      <c r="A295" s="40" t="s">
        <v>91</v>
      </c>
      <c r="B295" s="41">
        <v>22.2</v>
      </c>
      <c r="C295" s="42">
        <v>276</v>
      </c>
      <c r="D295" s="42">
        <v>2</v>
      </c>
      <c r="E295" s="41">
        <v>63.6</v>
      </c>
      <c r="F295" s="43">
        <v>2.3846015710371402</v>
      </c>
      <c r="G295" s="41">
        <v>38</v>
      </c>
      <c r="H295" s="41">
        <v>49.1</v>
      </c>
      <c r="I295" s="40">
        <v>152.4</v>
      </c>
      <c r="J295" s="41">
        <v>381</v>
      </c>
      <c r="K295" s="42">
        <v>774</v>
      </c>
      <c r="L295" s="43">
        <v>43.938299999999998</v>
      </c>
      <c r="M295" s="40">
        <v>0.14501757225662501</v>
      </c>
      <c r="N295" s="40">
        <v>0.15519138254448001</v>
      </c>
      <c r="O295" s="40">
        <v>0.172994275409456</v>
      </c>
      <c r="P295" s="40">
        <v>0.20681414500293499</v>
      </c>
      <c r="Q295" s="40">
        <v>0.11650049466899701</v>
      </c>
      <c r="R295" s="40">
        <v>0.119692304813366</v>
      </c>
      <c r="S295" s="48">
        <v>0.17981005096602437</v>
      </c>
      <c r="T295" s="40">
        <v>0.13095691387127401</v>
      </c>
      <c r="U295" s="40">
        <v>0.18982529204428</v>
      </c>
      <c r="V295" s="40">
        <v>0.18625796863820099</v>
      </c>
      <c r="W295" s="40">
        <v>0.166110023353157</v>
      </c>
      <c r="X295" s="40">
        <v>0.19888079834790401</v>
      </c>
      <c r="Y295" s="40">
        <v>0.17229633515763201</v>
      </c>
      <c r="Z295" s="43">
        <v>0.15</v>
      </c>
      <c r="AA295" s="43">
        <v>0.154918924089883</v>
      </c>
      <c r="AB295" s="43">
        <f t="shared" si="8"/>
        <v>-4.9189240898830089E-3</v>
      </c>
      <c r="AC295" s="45">
        <v>0.15601234248965001</v>
      </c>
      <c r="AD295" s="45">
        <f t="shared" si="9"/>
        <v>-6.0123424896500188E-3</v>
      </c>
    </row>
    <row r="296" spans="1:30" ht="15" x14ac:dyDescent="0.2">
      <c r="B296" s="41">
        <v>22.2</v>
      </c>
      <c r="C296" s="42">
        <v>276</v>
      </c>
      <c r="D296" s="42">
        <v>2</v>
      </c>
      <c r="E296" s="41">
        <v>63.6</v>
      </c>
      <c r="F296" s="43">
        <v>2.3846015710371402</v>
      </c>
      <c r="G296" s="41">
        <v>38</v>
      </c>
      <c r="H296" s="41">
        <v>49.1</v>
      </c>
      <c r="I296" s="40">
        <v>152.4</v>
      </c>
      <c r="J296" s="41">
        <v>381</v>
      </c>
      <c r="K296" s="42">
        <v>774</v>
      </c>
      <c r="L296" s="43">
        <v>51.106999999999999</v>
      </c>
      <c r="M296" s="40">
        <v>0.173744152276404</v>
      </c>
      <c r="N296" s="40">
        <v>0.18593329609103201</v>
      </c>
      <c r="O296" s="40">
        <v>0.201218946416931</v>
      </c>
      <c r="P296" s="40">
        <v>0.27980438494334497</v>
      </c>
      <c r="Q296" s="40">
        <v>0.13877359157702199</v>
      </c>
      <c r="R296" s="40">
        <v>0.13922055751125401</v>
      </c>
      <c r="S296" s="48">
        <v>0.21671195946411043</v>
      </c>
      <c r="T296" s="40">
        <v>0.154850837840977</v>
      </c>
      <c r="U296" s="40">
        <v>0.22079600713971601</v>
      </c>
      <c r="V296" s="40">
        <v>0.21968556834700401</v>
      </c>
      <c r="W296" s="40">
        <v>0.207359124652161</v>
      </c>
      <c r="X296" s="40">
        <v>0.248262643734915</v>
      </c>
      <c r="Y296" s="40">
        <v>0.218006181576888</v>
      </c>
      <c r="Z296" s="43">
        <v>0.19</v>
      </c>
      <c r="AA296" s="43">
        <v>0.19018496513522101</v>
      </c>
      <c r="AB296" s="43">
        <f t="shared" si="8"/>
        <v>-1.8496513522101021E-4</v>
      </c>
      <c r="AC296" s="45">
        <v>0.198117066913921</v>
      </c>
      <c r="AD296" s="45">
        <f t="shared" si="9"/>
        <v>-8.1170669139210005E-3</v>
      </c>
    </row>
    <row r="297" spans="1:30" ht="15" x14ac:dyDescent="0.2">
      <c r="B297" s="41">
        <v>22.2</v>
      </c>
      <c r="C297" s="42">
        <v>276</v>
      </c>
      <c r="D297" s="42">
        <v>2</v>
      </c>
      <c r="E297" s="41">
        <v>63.6</v>
      </c>
      <c r="F297" s="43">
        <v>2.3846015710371402</v>
      </c>
      <c r="G297" s="41">
        <v>38</v>
      </c>
      <c r="H297" s="41">
        <v>49.1</v>
      </c>
      <c r="I297" s="40">
        <v>152.4</v>
      </c>
      <c r="J297" s="41">
        <v>381</v>
      </c>
      <c r="K297" s="42">
        <v>774</v>
      </c>
      <c r="L297" s="43">
        <v>58.755899999999997</v>
      </c>
      <c r="M297" s="40">
        <v>0.20439500081425399</v>
      </c>
      <c r="N297" s="40">
        <v>0.218734476573717</v>
      </c>
      <c r="O297" s="40">
        <v>0.23133426524309</v>
      </c>
      <c r="P297" s="40">
        <v>0.36982537419117101</v>
      </c>
      <c r="Q297" s="40">
        <v>0.16253866626836</v>
      </c>
      <c r="R297" s="40">
        <v>0.16005692283005199</v>
      </c>
      <c r="S297" s="48">
        <v>0.25608576613910172</v>
      </c>
      <c r="T297" s="40">
        <v>0.18034531174166399</v>
      </c>
      <c r="U297" s="40">
        <v>0.25384131559082801</v>
      </c>
      <c r="V297" s="40">
        <v>0.24430562575555101</v>
      </c>
      <c r="W297" s="40">
        <v>0.25058467263015699</v>
      </c>
      <c r="X297" s="40">
        <v>0.302632452829041</v>
      </c>
      <c r="Y297" s="40">
        <v>0.26913168878938698</v>
      </c>
      <c r="Z297" s="43">
        <v>0.22</v>
      </c>
      <c r="AA297" s="43">
        <v>0.22781332471948099</v>
      </c>
      <c r="AB297" s="43">
        <f t="shared" si="8"/>
        <v>-7.8133247194809852E-3</v>
      </c>
      <c r="AC297" s="45">
        <v>0.243042203500584</v>
      </c>
      <c r="AD297" s="45">
        <f t="shared" si="9"/>
        <v>-2.3042203500584002E-2</v>
      </c>
    </row>
    <row r="298" spans="1:30" ht="15" x14ac:dyDescent="0.2">
      <c r="B298" s="41">
        <v>22.2</v>
      </c>
      <c r="C298" s="42">
        <v>276</v>
      </c>
      <c r="D298" s="42">
        <v>2</v>
      </c>
      <c r="E298" s="41">
        <v>63.6</v>
      </c>
      <c r="F298" s="43">
        <v>2.3846015710371402</v>
      </c>
      <c r="G298" s="41">
        <v>38</v>
      </c>
      <c r="H298" s="41">
        <v>49.1</v>
      </c>
      <c r="I298" s="40">
        <v>152.4</v>
      </c>
      <c r="J298" s="41">
        <v>381</v>
      </c>
      <c r="K298" s="42">
        <v>774</v>
      </c>
      <c r="L298" s="43">
        <v>66.198999999999998</v>
      </c>
      <c r="M298" s="40">
        <v>0.21782909750840401</v>
      </c>
      <c r="N298" s="40">
        <v>0.23311105181738401</v>
      </c>
      <c r="O298" s="40">
        <v>0.233778093596272</v>
      </c>
      <c r="P298" s="40">
        <v>0.37768035907495101</v>
      </c>
      <c r="Q298" s="40">
        <v>0.17295476652584199</v>
      </c>
      <c r="R298" s="40">
        <v>0.16918938603418501</v>
      </c>
      <c r="S298" s="48">
        <v>0.2733430869416702</v>
      </c>
      <c r="T298" s="40">
        <v>0.19151939806835699</v>
      </c>
      <c r="U298" s="40">
        <v>0.26832489076728899</v>
      </c>
      <c r="V298" s="40">
        <v>0.24430562575555101</v>
      </c>
      <c r="W298" s="40">
        <v>0.269300452189637</v>
      </c>
      <c r="X298" s="40">
        <v>0.32700916096556998</v>
      </c>
      <c r="Y298" s="40">
        <v>0.29230565784830398</v>
      </c>
      <c r="Z298" s="43">
        <v>0.27</v>
      </c>
      <c r="AA298" s="43">
        <v>0.24430562575555101</v>
      </c>
      <c r="AB298" s="43">
        <f t="shared" si="8"/>
        <v>2.5694374244449009E-2</v>
      </c>
      <c r="AC298" s="45">
        <v>0.26273264137403601</v>
      </c>
      <c r="AD298" s="45">
        <f t="shared" si="9"/>
        <v>7.2673586259640044E-3</v>
      </c>
    </row>
    <row r="299" spans="1:30" ht="15" x14ac:dyDescent="0.2">
      <c r="A299" s="40" t="s">
        <v>92</v>
      </c>
      <c r="B299" s="41">
        <v>22.2</v>
      </c>
      <c r="C299" s="42">
        <v>276</v>
      </c>
      <c r="D299" s="42">
        <v>2</v>
      </c>
      <c r="E299" s="41">
        <v>63.6</v>
      </c>
      <c r="F299" s="43">
        <v>2.8648423476200802</v>
      </c>
      <c r="G299" s="41">
        <v>38</v>
      </c>
      <c r="H299" s="41">
        <v>49.1</v>
      </c>
      <c r="I299" s="40">
        <v>152.4</v>
      </c>
      <c r="J299" s="41">
        <v>381</v>
      </c>
      <c r="K299" s="42">
        <v>774</v>
      </c>
      <c r="L299" s="43">
        <v>58.755899999999997</v>
      </c>
      <c r="M299" s="40">
        <v>0.19942076017549801</v>
      </c>
      <c r="N299" s="40">
        <v>0.212537474155374</v>
      </c>
      <c r="O299" s="40">
        <v>0.23133426524309</v>
      </c>
      <c r="P299" s="40">
        <v>0.30783061030854902</v>
      </c>
      <c r="Q299" s="40">
        <v>0.161642534697404</v>
      </c>
      <c r="R299" s="40">
        <v>0.179445475068434</v>
      </c>
      <c r="S299" s="48">
        <v>0.2541697306494245</v>
      </c>
      <c r="T299" s="40">
        <v>0.17938396812107499</v>
      </c>
      <c r="U299" s="40">
        <v>0.25162560849822802</v>
      </c>
      <c r="V299" s="40">
        <v>0.23274471188871701</v>
      </c>
      <c r="W299" s="40">
        <v>0.241202314544294</v>
      </c>
      <c r="X299" s="40">
        <v>0.27646892734004003</v>
      </c>
      <c r="Y299" s="40">
        <v>0.24587083584714001</v>
      </c>
      <c r="Z299" s="43">
        <v>0.17</v>
      </c>
      <c r="AA299" s="43">
        <v>0.21486544798031201</v>
      </c>
      <c r="AB299" s="43">
        <f t="shared" si="8"/>
        <v>-4.4865447980312001E-2</v>
      </c>
      <c r="AC299" s="45">
        <v>0.232509472706563</v>
      </c>
      <c r="AD299" s="45">
        <f t="shared" si="9"/>
        <v>-6.2509472706562985E-2</v>
      </c>
    </row>
    <row r="300" spans="1:30" ht="15" x14ac:dyDescent="0.2">
      <c r="B300" s="41">
        <v>22.2</v>
      </c>
      <c r="C300" s="42">
        <v>276</v>
      </c>
      <c r="D300" s="42">
        <v>2</v>
      </c>
      <c r="E300" s="41">
        <v>63.6</v>
      </c>
      <c r="F300" s="43">
        <v>2.8648423476200802</v>
      </c>
      <c r="G300" s="41">
        <v>38</v>
      </c>
      <c r="H300" s="41">
        <v>49.1</v>
      </c>
      <c r="I300" s="40">
        <v>152.4</v>
      </c>
      <c r="J300" s="41">
        <v>381</v>
      </c>
      <c r="K300" s="42">
        <v>774</v>
      </c>
      <c r="L300" s="43">
        <v>66.198999999999998</v>
      </c>
      <c r="M300" s="40">
        <v>0.214151516501106</v>
      </c>
      <c r="N300" s="40">
        <v>0.228237132200443</v>
      </c>
      <c r="O300" s="40">
        <v>0.233778093596272</v>
      </c>
      <c r="P300" s="40">
        <v>0.31436884418724598</v>
      </c>
      <c r="Q300" s="40">
        <v>0.17295476652584199</v>
      </c>
      <c r="R300" s="40">
        <v>0.190619927798649</v>
      </c>
      <c r="S300" s="48">
        <v>0.27288000415778502</v>
      </c>
      <c r="T300" s="40">
        <v>0.19151939806835699</v>
      </c>
      <c r="U300" s="40">
        <v>0.26729487219408099</v>
      </c>
      <c r="V300" s="40">
        <v>0.23274471188871701</v>
      </c>
      <c r="W300" s="40">
        <v>0.26195684019109999</v>
      </c>
      <c r="X300" s="40">
        <v>0.30151488657238301</v>
      </c>
      <c r="Y300" s="40">
        <v>0.26980996439717803</v>
      </c>
      <c r="Z300" s="43">
        <v>0.2</v>
      </c>
      <c r="AA300" s="43">
        <v>0.23274471188871701</v>
      </c>
      <c r="AB300" s="43">
        <f t="shared" si="8"/>
        <v>-3.2744711888716999E-2</v>
      </c>
      <c r="AC300" s="45">
        <v>0.254486890270819</v>
      </c>
      <c r="AD300" s="45">
        <f t="shared" si="9"/>
        <v>-5.4486890270818988E-2</v>
      </c>
    </row>
    <row r="301" spans="1:30" ht="15" x14ac:dyDescent="0.2">
      <c r="A301" s="40" t="s">
        <v>93</v>
      </c>
      <c r="B301" s="41">
        <v>22.2</v>
      </c>
      <c r="C301" s="42">
        <v>276</v>
      </c>
      <c r="D301" s="42">
        <v>2</v>
      </c>
      <c r="E301" s="41">
        <v>63.6</v>
      </c>
      <c r="F301" s="43">
        <v>2.8336917902498899</v>
      </c>
      <c r="G301" s="41">
        <v>38</v>
      </c>
      <c r="H301" s="41">
        <v>49.1</v>
      </c>
      <c r="I301" s="40">
        <v>152.4</v>
      </c>
      <c r="J301" s="41">
        <v>381</v>
      </c>
      <c r="K301" s="42">
        <v>774</v>
      </c>
      <c r="L301" s="43">
        <v>43.938299999999998</v>
      </c>
      <c r="M301" s="40">
        <v>0.140110950744427</v>
      </c>
      <c r="N301" s="40">
        <v>0.14936247187861201</v>
      </c>
      <c r="O301" s="40">
        <v>0.172994275409456</v>
      </c>
      <c r="P301" s="40">
        <v>0.17403774707736</v>
      </c>
      <c r="Q301" s="40">
        <v>0.115869668748682</v>
      </c>
      <c r="R301" s="40">
        <v>0.133279593911907</v>
      </c>
      <c r="S301" s="48">
        <v>0.17847881045997802</v>
      </c>
      <c r="T301" s="40">
        <v>0.13028018235789901</v>
      </c>
      <c r="U301" s="40">
        <v>0.18826474681216901</v>
      </c>
      <c r="V301" s="40">
        <v>0.18180950235090099</v>
      </c>
      <c r="W301" s="40">
        <v>0.15575777367131199</v>
      </c>
      <c r="X301" s="40">
        <v>0.179498324343557</v>
      </c>
      <c r="Y301" s="40">
        <v>0.155005636053725</v>
      </c>
      <c r="Z301" s="43">
        <v>0.15</v>
      </c>
      <c r="AA301" s="43">
        <v>0.14325409277470799</v>
      </c>
      <c r="AB301" s="43">
        <f t="shared" si="8"/>
        <v>6.7459072252920027E-3</v>
      </c>
      <c r="AC301" s="45">
        <v>0.14430524158949401</v>
      </c>
      <c r="AD301" s="45">
        <f t="shared" si="9"/>
        <v>5.6947584105059845E-3</v>
      </c>
    </row>
    <row r="302" spans="1:30" ht="15" x14ac:dyDescent="0.2">
      <c r="B302" s="41">
        <v>22.2</v>
      </c>
      <c r="C302" s="42">
        <v>276</v>
      </c>
      <c r="D302" s="42">
        <v>2</v>
      </c>
      <c r="E302" s="41">
        <v>63.6</v>
      </c>
      <c r="F302" s="43">
        <v>2.8336917902498899</v>
      </c>
      <c r="G302" s="41">
        <v>38</v>
      </c>
      <c r="H302" s="41">
        <v>49.1</v>
      </c>
      <c r="I302" s="40">
        <v>152.4</v>
      </c>
      <c r="J302" s="41">
        <v>381</v>
      </c>
      <c r="K302" s="42">
        <v>774</v>
      </c>
      <c r="L302" s="43">
        <v>51.106999999999999</v>
      </c>
      <c r="M302" s="40">
        <v>0.168964618688975</v>
      </c>
      <c r="N302" s="40">
        <v>0.18012134649950801</v>
      </c>
      <c r="O302" s="40">
        <v>0.201218946416931</v>
      </c>
      <c r="P302" s="40">
        <v>0.235460320072474</v>
      </c>
      <c r="Q302" s="40">
        <v>0.138039844019435</v>
      </c>
      <c r="R302" s="40">
        <v>0.15502466426911901</v>
      </c>
      <c r="S302" s="48">
        <v>0.21515141477058025</v>
      </c>
      <c r="T302" s="40">
        <v>0.15406369501901701</v>
      </c>
      <c r="U302" s="40">
        <v>0.21898085304459999</v>
      </c>
      <c r="V302" s="40">
        <v>0.214591920537922</v>
      </c>
      <c r="W302" s="40">
        <v>0.19782958279841201</v>
      </c>
      <c r="X302" s="40">
        <v>0.226514264737841</v>
      </c>
      <c r="Y302" s="40">
        <v>0.198646474361374</v>
      </c>
      <c r="Z302" s="43">
        <v>0.18</v>
      </c>
      <c r="AA302" s="43">
        <v>0.178298285681843</v>
      </c>
      <c r="AB302" s="43">
        <f t="shared" si="8"/>
        <v>1.7017143181569938E-3</v>
      </c>
      <c r="AC302" s="45">
        <v>0.18730209693616101</v>
      </c>
      <c r="AD302" s="45">
        <f t="shared" si="9"/>
        <v>-7.3020969361610177E-3</v>
      </c>
    </row>
    <row r="303" spans="1:30" ht="15" x14ac:dyDescent="0.2">
      <c r="B303" s="41">
        <v>22.2</v>
      </c>
      <c r="C303" s="42">
        <v>276</v>
      </c>
      <c r="D303" s="42">
        <v>2</v>
      </c>
      <c r="E303" s="41">
        <v>63.6</v>
      </c>
      <c r="F303" s="43">
        <v>2.8336917902498899</v>
      </c>
      <c r="G303" s="41">
        <v>38</v>
      </c>
      <c r="H303" s="41">
        <v>49.1</v>
      </c>
      <c r="I303" s="40">
        <v>152.4</v>
      </c>
      <c r="J303" s="41">
        <v>381</v>
      </c>
      <c r="K303" s="42">
        <v>774</v>
      </c>
      <c r="L303" s="43">
        <v>58.755899999999997</v>
      </c>
      <c r="M303" s="40">
        <v>0.199751068218324</v>
      </c>
      <c r="N303" s="40">
        <v>0.21294062420505599</v>
      </c>
      <c r="O303" s="40">
        <v>0.23133426524309</v>
      </c>
      <c r="P303" s="40">
        <v>0.311214568690936</v>
      </c>
      <c r="Q303" s="40">
        <v>0.16169510280114699</v>
      </c>
      <c r="R303" s="40">
        <v>0.178226342210068</v>
      </c>
      <c r="S303" s="48">
        <v>0.25428055716897391</v>
      </c>
      <c r="T303" s="40">
        <v>0.17944036163829699</v>
      </c>
      <c r="U303" s="40">
        <v>0.251754497493556</v>
      </c>
      <c r="V303" s="40">
        <v>0.23348798376539201</v>
      </c>
      <c r="W303" s="40">
        <v>0.241799603758316</v>
      </c>
      <c r="X303" s="40">
        <v>0.27802568617985002</v>
      </c>
      <c r="Y303" s="40">
        <v>0.24727690343332701</v>
      </c>
      <c r="Z303" s="43">
        <v>0.22</v>
      </c>
      <c r="AA303" s="43">
        <v>0.215689936487064</v>
      </c>
      <c r="AB303" s="43">
        <f t="shared" si="8"/>
        <v>4.3100635129360021E-3</v>
      </c>
      <c r="AC303" s="45">
        <v>0.233179124411313</v>
      </c>
      <c r="AD303" s="45">
        <f t="shared" si="9"/>
        <v>-1.3179124411312998E-2</v>
      </c>
    </row>
    <row r="304" spans="1:30" ht="15" x14ac:dyDescent="0.2">
      <c r="B304" s="41">
        <v>22.2</v>
      </c>
      <c r="C304" s="42">
        <v>276</v>
      </c>
      <c r="D304" s="42">
        <v>2</v>
      </c>
      <c r="E304" s="41">
        <v>63.6</v>
      </c>
      <c r="F304" s="43">
        <v>2.8336917902498899</v>
      </c>
      <c r="G304" s="41">
        <v>38</v>
      </c>
      <c r="H304" s="41">
        <v>49.1</v>
      </c>
      <c r="I304" s="40">
        <v>152.4</v>
      </c>
      <c r="J304" s="41">
        <v>381</v>
      </c>
      <c r="K304" s="42">
        <v>774</v>
      </c>
      <c r="L304" s="43">
        <v>66.198999999999998</v>
      </c>
      <c r="M304" s="40">
        <v>0.21440510655189601</v>
      </c>
      <c r="N304" s="40">
        <v>0.22856226817276201</v>
      </c>
      <c r="O304" s="40">
        <v>0.233778093596272</v>
      </c>
      <c r="P304" s="40">
        <v>0.31782467687517302</v>
      </c>
      <c r="Q304" s="40">
        <v>0.17295476652584199</v>
      </c>
      <c r="R304" s="40">
        <v>0.18927010604602801</v>
      </c>
      <c r="S304" s="48">
        <v>0.27290563285752345</v>
      </c>
      <c r="T304" s="40">
        <v>0.19151939806835699</v>
      </c>
      <c r="U304" s="40">
        <v>0.26735442049305702</v>
      </c>
      <c r="V304" s="40">
        <v>0.23348798376539201</v>
      </c>
      <c r="W304" s="40">
        <v>0.26242979988356802</v>
      </c>
      <c r="X304" s="40">
        <v>0.30303277646459997</v>
      </c>
      <c r="Y304" s="40">
        <v>0.27117385728312898</v>
      </c>
      <c r="Z304" s="43">
        <v>0.25</v>
      </c>
      <c r="AA304" s="43">
        <v>0.23348798376539201</v>
      </c>
      <c r="AB304" s="43">
        <f t="shared" si="8"/>
        <v>1.651201623460799E-2</v>
      </c>
      <c r="AC304" s="45">
        <v>0.25501612508949401</v>
      </c>
      <c r="AD304" s="45">
        <f t="shared" si="9"/>
        <v>-5.0161250894940057E-3</v>
      </c>
    </row>
    <row r="305" spans="1:30" ht="15" x14ac:dyDescent="0.2">
      <c r="A305" s="40" t="s">
        <v>94</v>
      </c>
      <c r="B305" s="41">
        <v>22.2</v>
      </c>
      <c r="C305" s="42">
        <v>276</v>
      </c>
      <c r="D305" s="42">
        <v>2</v>
      </c>
      <c r="E305" s="41">
        <v>63.6</v>
      </c>
      <c r="F305" s="43">
        <v>2.7563734268389202</v>
      </c>
      <c r="G305" s="41">
        <v>38</v>
      </c>
      <c r="H305" s="41">
        <v>49.1</v>
      </c>
      <c r="I305" s="40">
        <v>152.4</v>
      </c>
      <c r="J305" s="41">
        <v>381</v>
      </c>
      <c r="K305" s="42">
        <v>774</v>
      </c>
      <c r="L305" s="43">
        <v>43.938299999999998</v>
      </c>
      <c r="M305" s="40">
        <v>0.14096818536099001</v>
      </c>
      <c r="N305" s="40">
        <v>0.15036800039665199</v>
      </c>
      <c r="O305" s="40">
        <v>0.172994275409456</v>
      </c>
      <c r="P305" s="40">
        <v>0.17891963776921199</v>
      </c>
      <c r="Q305" s="40">
        <v>0.115969490704598</v>
      </c>
      <c r="R305" s="40">
        <v>0.13100054919281101</v>
      </c>
      <c r="S305" s="48">
        <v>0.17868708449865608</v>
      </c>
      <c r="T305" s="40">
        <v>0.13038726841939199</v>
      </c>
      <c r="U305" s="40">
        <v>0.188509944732314</v>
      </c>
      <c r="V305" s="40">
        <v>0.18253185202682501</v>
      </c>
      <c r="W305" s="40">
        <v>0.15752243337106001</v>
      </c>
      <c r="X305" s="40">
        <v>0.182656648809463</v>
      </c>
      <c r="Y305" s="40">
        <v>0.15785103343844201</v>
      </c>
      <c r="Z305" s="43">
        <v>0.2</v>
      </c>
      <c r="AA305" s="43">
        <v>0.14523639043966599</v>
      </c>
      <c r="AB305" s="43">
        <f t="shared" si="8"/>
        <v>5.476360956033402E-2</v>
      </c>
      <c r="AC305" s="45">
        <v>0.14629649491431801</v>
      </c>
      <c r="AD305" s="45">
        <f t="shared" si="9"/>
        <v>5.3703505085682002E-2</v>
      </c>
    </row>
    <row r="306" spans="1:30" ht="15" x14ac:dyDescent="0.2">
      <c r="B306" s="41">
        <v>22.2</v>
      </c>
      <c r="C306" s="42">
        <v>276</v>
      </c>
      <c r="D306" s="42">
        <v>2</v>
      </c>
      <c r="E306" s="41">
        <v>63.6</v>
      </c>
      <c r="F306" s="43">
        <v>2.7563734268389202</v>
      </c>
      <c r="G306" s="41">
        <v>38</v>
      </c>
      <c r="H306" s="41">
        <v>49.1</v>
      </c>
      <c r="I306" s="40">
        <v>152.4</v>
      </c>
      <c r="J306" s="41">
        <v>381</v>
      </c>
      <c r="K306" s="42">
        <v>774</v>
      </c>
      <c r="L306" s="43">
        <v>51.106999999999999</v>
      </c>
      <c r="M306" s="40">
        <v>0.16980174289977501</v>
      </c>
      <c r="N306" s="40">
        <v>0.18112419109546901</v>
      </c>
      <c r="O306" s="40">
        <v>0.201218946416931</v>
      </c>
      <c r="P306" s="40">
        <v>0.24206516048305099</v>
      </c>
      <c r="Q306" s="40">
        <v>0.13815595230539399</v>
      </c>
      <c r="R306" s="40">
        <v>0.15237378477540001</v>
      </c>
      <c r="S306" s="48">
        <v>0.21539549408664255</v>
      </c>
      <c r="T306" s="40">
        <v>0.15418825257688301</v>
      </c>
      <c r="U306" s="40">
        <v>0.219266055933761</v>
      </c>
      <c r="V306" s="40">
        <v>0.21542327049224599</v>
      </c>
      <c r="W306" s="40">
        <v>0.19944957765500901</v>
      </c>
      <c r="X306" s="40">
        <v>0.23002594128812301</v>
      </c>
      <c r="Y306" s="40">
        <v>0.20180892759892299</v>
      </c>
      <c r="Z306" s="43">
        <v>0.25</v>
      </c>
      <c r="AA306" s="43">
        <v>0.18031567133788301</v>
      </c>
      <c r="AB306" s="43">
        <f t="shared" si="8"/>
        <v>6.968432866211699E-2</v>
      </c>
      <c r="AC306" s="45">
        <v>0.18913767848311999</v>
      </c>
      <c r="AD306" s="45">
        <f t="shared" si="9"/>
        <v>6.0862321516880008E-2</v>
      </c>
    </row>
    <row r="307" spans="1:30" ht="15" x14ac:dyDescent="0.2">
      <c r="B307" s="41">
        <v>22.2</v>
      </c>
      <c r="C307" s="42">
        <v>276</v>
      </c>
      <c r="D307" s="42">
        <v>2</v>
      </c>
      <c r="E307" s="41">
        <v>63.6</v>
      </c>
      <c r="F307" s="43">
        <v>2.7563734268389202</v>
      </c>
      <c r="G307" s="41">
        <v>38</v>
      </c>
      <c r="H307" s="41">
        <v>49.1</v>
      </c>
      <c r="I307" s="40">
        <v>152.4</v>
      </c>
      <c r="J307" s="41">
        <v>381</v>
      </c>
      <c r="K307" s="42">
        <v>774</v>
      </c>
      <c r="L307" s="43">
        <v>58.755899999999997</v>
      </c>
      <c r="M307" s="40">
        <v>0.20056673491484101</v>
      </c>
      <c r="N307" s="40">
        <v>0.21394060509468499</v>
      </c>
      <c r="O307" s="40">
        <v>0.23133426524309</v>
      </c>
      <c r="P307" s="40">
        <v>0.31994437318205998</v>
      </c>
      <c r="Q307" s="40">
        <v>0.16182858836748801</v>
      </c>
      <c r="R307" s="40">
        <v>0.17517872034916801</v>
      </c>
      <c r="S307" s="48">
        <v>0.25456284020205394</v>
      </c>
      <c r="T307" s="40">
        <v>0.17958356103200401</v>
      </c>
      <c r="U307" s="40">
        <v>0.25208238511042402</v>
      </c>
      <c r="V307" s="40">
        <v>0.23533649443840499</v>
      </c>
      <c r="W307" s="40">
        <v>0.243288159089255</v>
      </c>
      <c r="X307" s="40">
        <v>0.28196350271321202</v>
      </c>
      <c r="Y307" s="40">
        <v>0.25082131602525698</v>
      </c>
      <c r="Z307" s="43">
        <v>0.3</v>
      </c>
      <c r="AA307" s="43">
        <v>0.217744760525933</v>
      </c>
      <c r="AB307" s="43">
        <f t="shared" si="8"/>
        <v>8.2255239474066988E-2</v>
      </c>
      <c r="AC307" s="45">
        <v>0.23484860640581301</v>
      </c>
      <c r="AD307" s="45">
        <f t="shared" si="9"/>
        <v>6.5151393594186979E-2</v>
      </c>
    </row>
    <row r="308" spans="1:30" ht="15" x14ac:dyDescent="0.2">
      <c r="B308" s="41">
        <v>22.2</v>
      </c>
      <c r="C308" s="42">
        <v>276</v>
      </c>
      <c r="D308" s="42">
        <v>2</v>
      </c>
      <c r="E308" s="41">
        <v>63.6</v>
      </c>
      <c r="F308" s="43">
        <v>2.7563734268389202</v>
      </c>
      <c r="G308" s="41">
        <v>38</v>
      </c>
      <c r="H308" s="41">
        <v>49.1</v>
      </c>
      <c r="I308" s="40">
        <v>152.4</v>
      </c>
      <c r="J308" s="41">
        <v>381</v>
      </c>
      <c r="K308" s="42">
        <v>774</v>
      </c>
      <c r="L308" s="43">
        <v>66.198999999999998</v>
      </c>
      <c r="M308" s="40">
        <v>0.21502633211821501</v>
      </c>
      <c r="N308" s="40">
        <v>0.22936437402839599</v>
      </c>
      <c r="O308" s="40">
        <v>0.233778093596272</v>
      </c>
      <c r="P308" s="40">
        <v>0.326739899910025</v>
      </c>
      <c r="Q308" s="40">
        <v>0.17295476652584199</v>
      </c>
      <c r="R308" s="40">
        <v>0.18589707784083001</v>
      </c>
      <c r="S308" s="48">
        <v>0.27297155774947446</v>
      </c>
      <c r="T308" s="40">
        <v>0.19151939806835699</v>
      </c>
      <c r="U308" s="40">
        <v>0.267506114177395</v>
      </c>
      <c r="V308" s="40">
        <v>0.23533649443840499</v>
      </c>
      <c r="W308" s="40">
        <v>0.26360551076661798</v>
      </c>
      <c r="X308" s="40">
        <v>0.30687183846371302</v>
      </c>
      <c r="Y308" s="40">
        <v>0.27460972536747202</v>
      </c>
      <c r="Z308" s="43">
        <v>0.35</v>
      </c>
      <c r="AA308" s="43">
        <v>0.23533649443840499</v>
      </c>
      <c r="AB308" s="43">
        <f t="shared" si="8"/>
        <v>0.11466350556159499</v>
      </c>
      <c r="AC308" s="45">
        <v>0.25633281824083998</v>
      </c>
      <c r="AD308" s="45">
        <f t="shared" si="9"/>
        <v>9.3667181759160001E-2</v>
      </c>
    </row>
    <row r="309" spans="1:30" ht="15" x14ac:dyDescent="0.2">
      <c r="A309" s="40" t="s">
        <v>95</v>
      </c>
      <c r="B309" s="41">
        <v>28.7</v>
      </c>
      <c r="C309" s="42">
        <v>276</v>
      </c>
      <c r="D309" s="42">
        <v>2</v>
      </c>
      <c r="E309" s="41">
        <v>50.6</v>
      </c>
      <c r="F309" s="43">
        <v>2.7748174021560699</v>
      </c>
      <c r="G309" s="41">
        <v>22.2</v>
      </c>
      <c r="H309" s="41">
        <v>36.6</v>
      </c>
      <c r="I309" s="40">
        <v>152.4</v>
      </c>
      <c r="J309" s="41">
        <v>381</v>
      </c>
      <c r="K309" s="42">
        <v>1290</v>
      </c>
      <c r="L309" s="43">
        <v>89.111400000000003</v>
      </c>
      <c r="M309" s="40">
        <v>0.122169470768246</v>
      </c>
      <c r="N309" s="40">
        <v>0.124975658703082</v>
      </c>
      <c r="O309" s="40">
        <v>0.20638869069728799</v>
      </c>
      <c r="P309" s="40">
        <v>0.33708607017123599</v>
      </c>
      <c r="Q309" s="40">
        <v>8.7030674959262602E-2</v>
      </c>
      <c r="R309" s="40">
        <v>0.110695249958927</v>
      </c>
      <c r="S309" s="48">
        <v>0.22068313064470585</v>
      </c>
      <c r="T309" s="40">
        <v>0.14424167270541999</v>
      </c>
      <c r="U309" s="40">
        <v>0.17989763994722499</v>
      </c>
      <c r="V309" s="40">
        <v>0.145153761160389</v>
      </c>
      <c r="W309" s="40">
        <v>0.14215650440597999</v>
      </c>
      <c r="X309" s="40">
        <v>0.27685679156195903</v>
      </c>
      <c r="Y309" s="40">
        <v>0.17664311151613901</v>
      </c>
      <c r="Z309" s="43">
        <v>0.17</v>
      </c>
      <c r="AA309" s="43">
        <v>0.134837869496894</v>
      </c>
      <c r="AB309" s="43">
        <f t="shared" si="8"/>
        <v>3.5162130503106015E-2</v>
      </c>
      <c r="AC309" s="45">
        <v>0.138648828196445</v>
      </c>
      <c r="AD309" s="45">
        <f t="shared" si="9"/>
        <v>3.1351171803555011E-2</v>
      </c>
    </row>
    <row r="310" spans="1:30" ht="15" x14ac:dyDescent="0.2">
      <c r="B310" s="41">
        <v>28.7</v>
      </c>
      <c r="C310" s="42">
        <v>276</v>
      </c>
      <c r="D310" s="42">
        <v>2</v>
      </c>
      <c r="E310" s="41">
        <v>50.6</v>
      </c>
      <c r="F310" s="43">
        <v>2.7748174021560699</v>
      </c>
      <c r="G310" s="41">
        <v>22.2</v>
      </c>
      <c r="H310" s="41">
        <v>36.6</v>
      </c>
      <c r="I310" s="40">
        <v>152.4</v>
      </c>
      <c r="J310" s="41">
        <v>381</v>
      </c>
      <c r="K310" s="42">
        <v>1290</v>
      </c>
      <c r="L310" s="43">
        <v>104.61499999999999</v>
      </c>
      <c r="M310" s="40">
        <v>0.146108260128539</v>
      </c>
      <c r="N310" s="40">
        <v>0.14946431327483101</v>
      </c>
      <c r="O310" s="40">
        <v>0.230267614787388</v>
      </c>
      <c r="P310" s="40">
        <v>0.41959928439326599</v>
      </c>
      <c r="Q310" s="40">
        <v>0.103508727574287</v>
      </c>
      <c r="R310" s="40">
        <v>0.129954007842466</v>
      </c>
      <c r="S310" s="48">
        <v>0.26698923600833224</v>
      </c>
      <c r="T310" s="40">
        <v>0.171653172456639</v>
      </c>
      <c r="U310" s="40">
        <v>0.211196228575456</v>
      </c>
      <c r="V310" s="40">
        <v>0.16323212460060199</v>
      </c>
      <c r="W310" s="40">
        <v>0.172505410000412</v>
      </c>
      <c r="X310" s="40">
        <v>0.351967434815879</v>
      </c>
      <c r="Y310" s="40">
        <v>0.22499141904506101</v>
      </c>
      <c r="Z310" s="43">
        <v>0.2</v>
      </c>
      <c r="AA310" s="43">
        <v>0.162583158045426</v>
      </c>
      <c r="AB310" s="43">
        <f t="shared" si="8"/>
        <v>3.7416841954574009E-2</v>
      </c>
      <c r="AC310" s="45">
        <v>0.169914612673841</v>
      </c>
      <c r="AD310" s="45">
        <f t="shared" si="9"/>
        <v>3.0085387326159008E-2</v>
      </c>
    </row>
    <row r="311" spans="1:30" ht="15" x14ac:dyDescent="0.2">
      <c r="A311" s="40" t="s">
        <v>96</v>
      </c>
      <c r="B311" s="41">
        <v>28.7</v>
      </c>
      <c r="C311" s="42">
        <v>276</v>
      </c>
      <c r="D311" s="42">
        <v>2</v>
      </c>
      <c r="E311" s="41">
        <v>50.6</v>
      </c>
      <c r="F311" s="43">
        <v>2.8017146470593901</v>
      </c>
      <c r="G311" s="41">
        <v>38.200000000000003</v>
      </c>
      <c r="H311" s="41">
        <v>52.5</v>
      </c>
      <c r="I311" s="40">
        <v>152.4</v>
      </c>
      <c r="J311" s="41">
        <v>381</v>
      </c>
      <c r="K311" s="42">
        <v>1290</v>
      </c>
      <c r="L311" s="43">
        <v>64.998500000000007</v>
      </c>
      <c r="M311" s="40">
        <v>0.11532192168156601</v>
      </c>
      <c r="N311" s="40">
        <v>0.13405833916930099</v>
      </c>
      <c r="O311" s="40">
        <v>0.16565003896528299</v>
      </c>
      <c r="P311" s="40">
        <v>0.19653619230075201</v>
      </c>
      <c r="Q311" s="40">
        <v>9.3567981486954596E-2</v>
      </c>
      <c r="R311" s="40">
        <v>0.120494910383521</v>
      </c>
      <c r="S311" s="48">
        <v>0.18555463279263743</v>
      </c>
      <c r="T311" s="40">
        <v>0.123255665971158</v>
      </c>
      <c r="U311" s="40">
        <v>0.18980320560508901</v>
      </c>
      <c r="V311" s="40">
        <v>0.16105132485396201</v>
      </c>
      <c r="W311" s="40">
        <v>0.142008452953511</v>
      </c>
      <c r="X311" s="40">
        <v>0.19184353171455601</v>
      </c>
      <c r="Y311" s="40">
        <v>0.15346522258282599</v>
      </c>
      <c r="Z311" s="43">
        <v>0.17</v>
      </c>
      <c r="AA311" s="43">
        <v>0.13588745970060401</v>
      </c>
      <c r="AB311" s="43">
        <f t="shared" si="8"/>
        <v>3.4112540299396005E-2</v>
      </c>
      <c r="AC311" s="45">
        <v>0.13588745970060401</v>
      </c>
      <c r="AD311" s="45">
        <f t="shared" si="9"/>
        <v>3.4112540299396005E-2</v>
      </c>
    </row>
    <row r="312" spans="1:30" ht="15" x14ac:dyDescent="0.2">
      <c r="B312" s="41">
        <v>28.7</v>
      </c>
      <c r="C312" s="42">
        <v>276</v>
      </c>
      <c r="D312" s="42">
        <v>2</v>
      </c>
      <c r="E312" s="41">
        <v>50.6</v>
      </c>
      <c r="F312" s="43">
        <v>2.8017146470593901</v>
      </c>
      <c r="G312" s="41">
        <v>38.200000000000003</v>
      </c>
      <c r="H312" s="41">
        <v>52.5</v>
      </c>
      <c r="I312" s="40">
        <v>152.4</v>
      </c>
      <c r="J312" s="41">
        <v>381</v>
      </c>
      <c r="K312" s="42">
        <v>1290</v>
      </c>
      <c r="L312" s="43">
        <v>77.037800000000004</v>
      </c>
      <c r="M312" s="40">
        <v>0.140424010918515</v>
      </c>
      <c r="N312" s="40">
        <v>0.163238778965275</v>
      </c>
      <c r="O312" s="40">
        <v>0.196332447238008</v>
      </c>
      <c r="P312" s="40">
        <v>0.276085509468807</v>
      </c>
      <c r="Q312" s="40">
        <v>0.112861248150379</v>
      </c>
      <c r="R312" s="40">
        <v>0.14281349272896501</v>
      </c>
      <c r="S312" s="48">
        <v>0.22977913995305638</v>
      </c>
      <c r="T312" s="40">
        <v>0.14891351993040899</v>
      </c>
      <c r="U312" s="40">
        <v>0.224959366643287</v>
      </c>
      <c r="V312" s="40">
        <v>0.193629138056578</v>
      </c>
      <c r="W312" s="40">
        <v>0.18156980749840501</v>
      </c>
      <c r="X312" s="40">
        <v>0.24595396894281801</v>
      </c>
      <c r="Y312" s="40">
        <v>0.199153145595442</v>
      </c>
      <c r="Z312" s="43">
        <v>0.2</v>
      </c>
      <c r="AA312" s="43">
        <v>0.170118894178651</v>
      </c>
      <c r="AB312" s="43">
        <f t="shared" si="8"/>
        <v>2.9881105821349008E-2</v>
      </c>
      <c r="AC312" s="45">
        <v>0.17401832817903201</v>
      </c>
      <c r="AD312" s="45">
        <f t="shared" si="9"/>
        <v>2.5981671820968E-2</v>
      </c>
    </row>
    <row r="313" spans="1:30" ht="15" x14ac:dyDescent="0.2">
      <c r="B313" s="41">
        <v>28.7</v>
      </c>
      <c r="C313" s="42">
        <v>276</v>
      </c>
      <c r="D313" s="42">
        <v>2</v>
      </c>
      <c r="E313" s="41">
        <v>50.6</v>
      </c>
      <c r="F313" s="43">
        <v>2.8017146470593901</v>
      </c>
      <c r="G313" s="41">
        <v>38.200000000000003</v>
      </c>
      <c r="H313" s="41">
        <v>52.5</v>
      </c>
      <c r="I313" s="40">
        <v>152.4</v>
      </c>
      <c r="J313" s="41">
        <v>381</v>
      </c>
      <c r="K313" s="42">
        <v>1290</v>
      </c>
      <c r="L313" s="43">
        <v>88.802700000000002</v>
      </c>
      <c r="M313" s="40">
        <v>0.16495397276544799</v>
      </c>
      <c r="N313" s="40">
        <v>0.191754137512338</v>
      </c>
      <c r="O313" s="40">
        <v>0.226315541362067</v>
      </c>
      <c r="P313" s="40">
        <v>0.366849735279691</v>
      </c>
      <c r="Q313" s="40">
        <v>0.13171478224027899</v>
      </c>
      <c r="R313" s="40">
        <v>0.16462338943690499</v>
      </c>
      <c r="S313" s="48">
        <v>0.27299568113830908</v>
      </c>
      <c r="T313" s="40">
        <v>0.17398657949742499</v>
      </c>
      <c r="U313" s="40">
        <v>0.25931424765782302</v>
      </c>
      <c r="V313" s="40">
        <v>0.22578113027322799</v>
      </c>
      <c r="W313" s="40">
        <v>0.21958766611318201</v>
      </c>
      <c r="X313" s="40">
        <v>0.30107951427423402</v>
      </c>
      <c r="Y313" s="40">
        <v>0.24627594738575601</v>
      </c>
      <c r="Z313" s="43">
        <v>0.25</v>
      </c>
      <c r="AA313" s="43">
        <v>0.20357012502187</v>
      </c>
      <c r="AB313" s="43">
        <f t="shared" si="8"/>
        <v>4.6429874978130004E-2</v>
      </c>
      <c r="AC313" s="45">
        <v>0.213045974149526</v>
      </c>
      <c r="AD313" s="45">
        <f t="shared" si="9"/>
        <v>3.6954025850473998E-2</v>
      </c>
    </row>
    <row r="314" spans="1:30" ht="15" x14ac:dyDescent="0.2">
      <c r="B314" s="41">
        <v>28.7</v>
      </c>
      <c r="C314" s="42">
        <v>276</v>
      </c>
      <c r="D314" s="42">
        <v>2</v>
      </c>
      <c r="E314" s="41">
        <v>50.6</v>
      </c>
      <c r="F314" s="43">
        <v>2.8017146470593901</v>
      </c>
      <c r="G314" s="41">
        <v>38.200000000000003</v>
      </c>
      <c r="H314" s="41">
        <v>52.5</v>
      </c>
      <c r="I314" s="40">
        <v>152.4</v>
      </c>
      <c r="J314" s="41">
        <v>381</v>
      </c>
      <c r="K314" s="42">
        <v>1290</v>
      </c>
      <c r="L314" s="43">
        <v>104.61499999999999</v>
      </c>
      <c r="M314" s="40">
        <v>0.18803361981907099</v>
      </c>
      <c r="N314" s="40">
        <v>0.21858354780577399</v>
      </c>
      <c r="O314" s="40">
        <v>0.24087564876911199</v>
      </c>
      <c r="P314" s="40">
        <v>0.41557101380352901</v>
      </c>
      <c r="Q314" s="40">
        <v>0.149453615884764</v>
      </c>
      <c r="R314" s="40">
        <v>0.18514379307374099</v>
      </c>
      <c r="S314" s="48">
        <v>0.31365707815383997</v>
      </c>
      <c r="T314" s="40">
        <v>0.197577214043543</v>
      </c>
      <c r="U314" s="40">
        <v>0.29163792322374399</v>
      </c>
      <c r="V314" s="40">
        <v>0.23504357802551901</v>
      </c>
      <c r="W314" s="40">
        <v>0.25484835043311999</v>
      </c>
      <c r="X314" s="40">
        <v>0.35497506248326299</v>
      </c>
      <c r="Y314" s="40">
        <v>0.29284750986810099</v>
      </c>
      <c r="Z314" s="43">
        <v>0.28999999999999998</v>
      </c>
      <c r="AA314" s="43">
        <v>0.23504357802551901</v>
      </c>
      <c r="AB314" s="43">
        <f t="shared" si="8"/>
        <v>5.4956421974480973E-2</v>
      </c>
      <c r="AC314" s="45">
        <v>0.24976614110100201</v>
      </c>
      <c r="AD314" s="45">
        <f t="shared" si="9"/>
        <v>4.0233858898997971E-2</v>
      </c>
    </row>
    <row r="315" spans="1:30" ht="15" x14ac:dyDescent="0.2">
      <c r="A315" s="40" t="s">
        <v>97</v>
      </c>
      <c r="B315" s="41">
        <v>28.7</v>
      </c>
      <c r="C315" s="42">
        <v>276</v>
      </c>
      <c r="D315" s="42">
        <v>2</v>
      </c>
      <c r="E315" s="41">
        <v>50.6</v>
      </c>
      <c r="F315" s="43">
        <v>2.7153116457984501</v>
      </c>
      <c r="G315" s="41">
        <v>38.200000000000003</v>
      </c>
      <c r="H315" s="41">
        <v>52.5</v>
      </c>
      <c r="I315" s="40">
        <v>152.4</v>
      </c>
      <c r="J315" s="41">
        <v>381</v>
      </c>
      <c r="K315" s="42">
        <v>1290</v>
      </c>
      <c r="L315" s="43">
        <v>77.037800000000004</v>
      </c>
      <c r="M315" s="40">
        <v>0.14087586174075001</v>
      </c>
      <c r="N315" s="40">
        <v>0.16389493709976799</v>
      </c>
      <c r="O315" s="40">
        <v>0.196332447238008</v>
      </c>
      <c r="P315" s="40">
        <v>0.28487073184270001</v>
      </c>
      <c r="Q315" s="40">
        <v>0.112980180425429</v>
      </c>
      <c r="R315" s="40">
        <v>0.14006985591184801</v>
      </c>
      <c r="S315" s="48">
        <v>0.23025283675283303</v>
      </c>
      <c r="T315" s="40">
        <v>0.14907168635175699</v>
      </c>
      <c r="U315" s="40">
        <v>0.22539483460015799</v>
      </c>
      <c r="V315" s="40">
        <v>0.19436741122454099</v>
      </c>
      <c r="W315" s="40">
        <v>0.18293908078479201</v>
      </c>
      <c r="X315" s="40">
        <v>0.25009363270656298</v>
      </c>
      <c r="Y315" s="40">
        <v>0.20212256733709599</v>
      </c>
      <c r="Z315" s="43">
        <v>0.17</v>
      </c>
      <c r="AA315" s="43">
        <v>0.17172528363860701</v>
      </c>
      <c r="AB315" s="43">
        <f t="shared" si="8"/>
        <v>-1.7252836386069947E-3</v>
      </c>
      <c r="AC315" s="45">
        <v>0.17555386359826999</v>
      </c>
      <c r="AD315" s="45">
        <f t="shared" si="9"/>
        <v>-5.5538635982699813E-3</v>
      </c>
    </row>
    <row r="316" spans="1:30" ht="15" x14ac:dyDescent="0.2">
      <c r="A316" s="40" t="s">
        <v>98</v>
      </c>
      <c r="B316" s="41">
        <v>28.7</v>
      </c>
      <c r="C316" s="42">
        <v>276</v>
      </c>
      <c r="D316" s="42">
        <v>2</v>
      </c>
      <c r="E316" s="41">
        <v>50.6</v>
      </c>
      <c r="F316" s="43">
        <v>2.8017146470593901</v>
      </c>
      <c r="G316" s="41">
        <v>38.200000000000003</v>
      </c>
      <c r="H316" s="41">
        <v>52.5</v>
      </c>
      <c r="I316" s="40">
        <v>152.4</v>
      </c>
      <c r="J316" s="41">
        <v>381</v>
      </c>
      <c r="K316" s="42">
        <v>1290</v>
      </c>
      <c r="L316" s="43">
        <v>64.998500000000007</v>
      </c>
      <c r="M316" s="40">
        <v>0.11532192168156601</v>
      </c>
      <c r="N316" s="40">
        <v>0.13405833916930099</v>
      </c>
      <c r="O316" s="40">
        <v>0.16565003896528299</v>
      </c>
      <c r="P316" s="40">
        <v>0.19653619230075201</v>
      </c>
      <c r="Q316" s="40">
        <v>9.3567981486954596E-2</v>
      </c>
      <c r="R316" s="40">
        <v>0.120494910383521</v>
      </c>
      <c r="S316" s="48">
        <v>0.18555463279263743</v>
      </c>
      <c r="T316" s="40">
        <v>0.123255665971158</v>
      </c>
      <c r="U316" s="40">
        <v>0.18980320560508901</v>
      </c>
      <c r="V316" s="40">
        <v>0.16105132485396201</v>
      </c>
      <c r="W316" s="40">
        <v>0.142008452953511</v>
      </c>
      <c r="X316" s="40">
        <v>0.19184353171455601</v>
      </c>
      <c r="Y316" s="40">
        <v>0.15346522258282599</v>
      </c>
      <c r="Z316" s="43">
        <v>0.15</v>
      </c>
      <c r="AA316" s="43">
        <v>0.13588745970060401</v>
      </c>
      <c r="AB316" s="43">
        <f t="shared" si="8"/>
        <v>1.4112540299395987E-2</v>
      </c>
      <c r="AC316" s="45">
        <v>0.13588745970060401</v>
      </c>
      <c r="AD316" s="45">
        <f t="shared" si="9"/>
        <v>1.4112540299395987E-2</v>
      </c>
    </row>
    <row r="317" spans="1:30" ht="15" x14ac:dyDescent="0.2">
      <c r="B317" s="41">
        <v>28.7</v>
      </c>
      <c r="C317" s="42">
        <v>276</v>
      </c>
      <c r="D317" s="42">
        <v>2</v>
      </c>
      <c r="E317" s="41">
        <v>50.6</v>
      </c>
      <c r="F317" s="43">
        <v>2.8017146470593901</v>
      </c>
      <c r="G317" s="41">
        <v>38.200000000000003</v>
      </c>
      <c r="H317" s="41">
        <v>52.5</v>
      </c>
      <c r="I317" s="40">
        <v>152.4</v>
      </c>
      <c r="J317" s="41">
        <v>381</v>
      </c>
      <c r="K317" s="42">
        <v>1290</v>
      </c>
      <c r="L317" s="43">
        <v>77.037800000000004</v>
      </c>
      <c r="M317" s="40">
        <v>0.140424010918515</v>
      </c>
      <c r="N317" s="40">
        <v>0.163238778965275</v>
      </c>
      <c r="O317" s="40">
        <v>0.196332447238008</v>
      </c>
      <c r="P317" s="40">
        <v>0.276085509468807</v>
      </c>
      <c r="Q317" s="40">
        <v>0.112861248150379</v>
      </c>
      <c r="R317" s="40">
        <v>0.14281349272896501</v>
      </c>
      <c r="S317" s="48">
        <v>0.22977913995305638</v>
      </c>
      <c r="T317" s="40">
        <v>0.14891351993040899</v>
      </c>
      <c r="U317" s="40">
        <v>0.224959366643287</v>
      </c>
      <c r="V317" s="40">
        <v>0.193629138056578</v>
      </c>
      <c r="W317" s="40">
        <v>0.18156980749840501</v>
      </c>
      <c r="X317" s="40">
        <v>0.24595396894281801</v>
      </c>
      <c r="Y317" s="40">
        <v>0.199153145595442</v>
      </c>
      <c r="Z317" s="43">
        <v>0.16</v>
      </c>
      <c r="AA317" s="43">
        <v>0.170118894178651</v>
      </c>
      <c r="AB317" s="43">
        <f t="shared" si="8"/>
        <v>-1.0118894178651E-2</v>
      </c>
      <c r="AC317" s="45">
        <v>0.17401832817903201</v>
      </c>
      <c r="AD317" s="45">
        <f t="shared" si="9"/>
        <v>-1.4018328179032008E-2</v>
      </c>
    </row>
    <row r="318" spans="1:30" ht="15" x14ac:dyDescent="0.2">
      <c r="B318" s="41">
        <v>28.7</v>
      </c>
      <c r="C318" s="42">
        <v>276</v>
      </c>
      <c r="D318" s="42">
        <v>2</v>
      </c>
      <c r="E318" s="41">
        <v>50.6</v>
      </c>
      <c r="F318" s="43">
        <v>2.8017146470593901</v>
      </c>
      <c r="G318" s="41">
        <v>38.200000000000003</v>
      </c>
      <c r="H318" s="41">
        <v>52.5</v>
      </c>
      <c r="I318" s="40">
        <v>152.4</v>
      </c>
      <c r="J318" s="41">
        <v>381</v>
      </c>
      <c r="K318" s="42">
        <v>1290</v>
      </c>
      <c r="L318" s="43">
        <v>88.802700000000002</v>
      </c>
      <c r="M318" s="40">
        <v>0.16495397276544799</v>
      </c>
      <c r="N318" s="40">
        <v>0.191754137512338</v>
      </c>
      <c r="O318" s="40">
        <v>0.226315541362067</v>
      </c>
      <c r="P318" s="40">
        <v>0.366849735279691</v>
      </c>
      <c r="Q318" s="40">
        <v>0.13171478224027899</v>
      </c>
      <c r="R318" s="40">
        <v>0.16462338943690499</v>
      </c>
      <c r="S318" s="48">
        <v>0.27299568113830908</v>
      </c>
      <c r="T318" s="40">
        <v>0.17398657949742499</v>
      </c>
      <c r="U318" s="40">
        <v>0.25931424765782302</v>
      </c>
      <c r="V318" s="40">
        <v>0.22578113027322799</v>
      </c>
      <c r="W318" s="40">
        <v>0.21958766611318201</v>
      </c>
      <c r="X318" s="40">
        <v>0.30107951427423402</v>
      </c>
      <c r="Y318" s="40">
        <v>0.24627594738575601</v>
      </c>
      <c r="Z318" s="43">
        <v>0.22</v>
      </c>
      <c r="AA318" s="43">
        <v>0.20357012502187</v>
      </c>
      <c r="AB318" s="43">
        <f t="shared" si="8"/>
        <v>1.6429874978130005E-2</v>
      </c>
      <c r="AC318" s="45">
        <v>0.213045974149526</v>
      </c>
      <c r="AD318" s="45">
        <f t="shared" si="9"/>
        <v>6.9540258504739993E-3</v>
      </c>
    </row>
    <row r="319" spans="1:30" ht="15" x14ac:dyDescent="0.2">
      <c r="B319" s="41">
        <v>28.7</v>
      </c>
      <c r="C319" s="42">
        <v>276</v>
      </c>
      <c r="D319" s="42">
        <v>2</v>
      </c>
      <c r="E319" s="41">
        <v>50.6</v>
      </c>
      <c r="F319" s="43">
        <v>2.8017146470593901</v>
      </c>
      <c r="G319" s="41">
        <v>38.200000000000003</v>
      </c>
      <c r="H319" s="41">
        <v>52.5</v>
      </c>
      <c r="I319" s="40">
        <v>152.4</v>
      </c>
      <c r="J319" s="41">
        <v>381</v>
      </c>
      <c r="K319" s="42">
        <v>1290</v>
      </c>
      <c r="L319" s="43">
        <v>104.61499999999999</v>
      </c>
      <c r="M319" s="40">
        <v>0.18803361981907099</v>
      </c>
      <c r="N319" s="40">
        <v>0.21858354780577399</v>
      </c>
      <c r="O319" s="40">
        <v>0.24087564876911199</v>
      </c>
      <c r="P319" s="40">
        <v>0.41557101380352901</v>
      </c>
      <c r="Q319" s="40">
        <v>0.149453615884764</v>
      </c>
      <c r="R319" s="40">
        <v>0.18514379307374099</v>
      </c>
      <c r="S319" s="48">
        <v>0.31365707815383997</v>
      </c>
      <c r="T319" s="40">
        <v>0.197577214043543</v>
      </c>
      <c r="U319" s="40">
        <v>0.29163792322374399</v>
      </c>
      <c r="V319" s="40">
        <v>0.23504357802551901</v>
      </c>
      <c r="W319" s="40">
        <v>0.25484835043311999</v>
      </c>
      <c r="X319" s="40">
        <v>0.35497506248326299</v>
      </c>
      <c r="Y319" s="40">
        <v>0.29284750986810099</v>
      </c>
      <c r="Z319" s="43">
        <v>0.26</v>
      </c>
      <c r="AA319" s="43">
        <v>0.23504357802551901</v>
      </c>
      <c r="AB319" s="43">
        <f t="shared" si="8"/>
        <v>2.4956421974481002E-2</v>
      </c>
      <c r="AC319" s="45">
        <v>0.24976614110100201</v>
      </c>
      <c r="AD319" s="45">
        <f t="shared" si="9"/>
        <v>1.0233858898997999E-2</v>
      </c>
    </row>
    <row r="320" spans="1:30" ht="15" x14ac:dyDescent="0.2">
      <c r="A320" s="40" t="s">
        <v>99</v>
      </c>
      <c r="B320" s="41">
        <v>28.7</v>
      </c>
      <c r="C320" s="42">
        <v>276</v>
      </c>
      <c r="D320" s="42">
        <v>2</v>
      </c>
      <c r="E320" s="41">
        <v>50.6</v>
      </c>
      <c r="F320" s="43">
        <v>2.5244480681033798</v>
      </c>
      <c r="G320" s="41">
        <v>38.200000000000003</v>
      </c>
      <c r="H320" s="41">
        <v>52.5</v>
      </c>
      <c r="I320" s="40">
        <v>152.4</v>
      </c>
      <c r="J320" s="41">
        <v>381</v>
      </c>
      <c r="K320" s="42">
        <v>1290</v>
      </c>
      <c r="L320" s="43">
        <v>77.037800000000004</v>
      </c>
      <c r="M320" s="40">
        <v>0.141859120010489</v>
      </c>
      <c r="N320" s="40">
        <v>0.16534871114949401</v>
      </c>
      <c r="O320" s="40">
        <v>0.196332447238008</v>
      </c>
      <c r="P320" s="40">
        <v>0.30640868611757599</v>
      </c>
      <c r="Q320" s="40">
        <v>0.11325908664956801</v>
      </c>
      <c r="R320" s="40">
        <v>0.13389031809443799</v>
      </c>
      <c r="S320" s="48">
        <v>0.23137952107838697</v>
      </c>
      <c r="T320" s="40">
        <v>0.14944259996074399</v>
      </c>
      <c r="U320" s="40">
        <v>0.22642364307679</v>
      </c>
      <c r="V320" s="40">
        <v>0.19606887332991799</v>
      </c>
      <c r="W320" s="40">
        <v>0.18600341560866501</v>
      </c>
      <c r="X320" s="40">
        <v>0.259854558654044</v>
      </c>
      <c r="Y320" s="40">
        <v>0.20899886940821299</v>
      </c>
      <c r="Z320" s="43">
        <v>0.17</v>
      </c>
      <c r="AA320" s="43">
        <v>0.175324609891476</v>
      </c>
      <c r="AB320" s="43">
        <f t="shared" si="8"/>
        <v>-5.3246098914759843E-3</v>
      </c>
      <c r="AC320" s="45">
        <v>0.17899338062495501</v>
      </c>
      <c r="AD320" s="45">
        <f t="shared" si="9"/>
        <v>-8.9933806249549997E-3</v>
      </c>
    </row>
    <row r="321" spans="1:30" ht="15" x14ac:dyDescent="0.2">
      <c r="B321" s="41">
        <v>28.7</v>
      </c>
      <c r="C321" s="42">
        <v>276</v>
      </c>
      <c r="D321" s="42">
        <v>2</v>
      </c>
      <c r="E321" s="41">
        <v>50.6</v>
      </c>
      <c r="F321" s="43">
        <v>2.5244480681033798</v>
      </c>
      <c r="G321" s="41">
        <v>38.200000000000003</v>
      </c>
      <c r="H321" s="41">
        <v>52.5</v>
      </c>
      <c r="I321" s="40">
        <v>152.4</v>
      </c>
      <c r="J321" s="41">
        <v>381</v>
      </c>
      <c r="K321" s="42">
        <v>1290</v>
      </c>
      <c r="L321" s="43">
        <v>88.802700000000002</v>
      </c>
      <c r="M321" s="40">
        <v>0.16632972890339801</v>
      </c>
      <c r="N321" s="40">
        <v>0.193871259725763</v>
      </c>
      <c r="O321" s="40">
        <v>0.226315541362067</v>
      </c>
      <c r="P321" s="40">
        <v>0.40714177866814399</v>
      </c>
      <c r="Q321" s="40">
        <v>0.13217337701962001</v>
      </c>
      <c r="R321" s="40">
        <v>0.154337503805209</v>
      </c>
      <c r="S321" s="48">
        <v>0.27486471501390636</v>
      </c>
      <c r="T321" s="40">
        <v>0.17459645848163599</v>
      </c>
      <c r="U321" s="40">
        <v>0.26100214244247899</v>
      </c>
      <c r="V321" s="40">
        <v>0.22852085428135699</v>
      </c>
      <c r="W321" s="40">
        <v>0.22375801244190799</v>
      </c>
      <c r="X321" s="40">
        <v>0.31758142250733801</v>
      </c>
      <c r="Y321" s="40">
        <v>0.25772258281940402</v>
      </c>
      <c r="Z321" s="43">
        <v>0.2</v>
      </c>
      <c r="AA321" s="43">
        <v>0.208922974031405</v>
      </c>
      <c r="AB321" s="43">
        <f t="shared" si="8"/>
        <v>-8.9229740314049899E-3</v>
      </c>
      <c r="AC321" s="45">
        <v>0.21770102562207599</v>
      </c>
      <c r="AD321" s="45">
        <f t="shared" si="9"/>
        <v>-1.7701025622075983E-2</v>
      </c>
    </row>
    <row r="322" spans="1:30" ht="15" x14ac:dyDescent="0.2">
      <c r="B322" s="41">
        <v>28.7</v>
      </c>
      <c r="C322" s="42">
        <v>276</v>
      </c>
      <c r="D322" s="42">
        <v>2</v>
      </c>
      <c r="E322" s="41">
        <v>50.6</v>
      </c>
      <c r="F322" s="43">
        <v>2.5244480681033798</v>
      </c>
      <c r="G322" s="41">
        <v>38.200000000000003</v>
      </c>
      <c r="H322" s="41">
        <v>52.5</v>
      </c>
      <c r="I322" s="40">
        <v>152.4</v>
      </c>
      <c r="J322" s="41">
        <v>381</v>
      </c>
      <c r="K322" s="42">
        <v>1290</v>
      </c>
      <c r="L322" s="43">
        <v>104.61499999999999</v>
      </c>
      <c r="M322" s="40">
        <v>0.18868626243291201</v>
      </c>
      <c r="N322" s="40">
        <v>0.21992967602358099</v>
      </c>
      <c r="O322" s="40">
        <v>0.24087564876911199</v>
      </c>
      <c r="P322" s="40">
        <v>0.46121423965017999</v>
      </c>
      <c r="Q322" s="40">
        <v>0.149453615884764</v>
      </c>
      <c r="R322" s="40">
        <v>0.17301820745780599</v>
      </c>
      <c r="S322" s="48">
        <v>0.31459311738065426</v>
      </c>
      <c r="T322" s="40">
        <v>0.197577214043543</v>
      </c>
      <c r="U322" s="40">
        <v>0.292593321225664</v>
      </c>
      <c r="V322" s="40">
        <v>0.239618693852614</v>
      </c>
      <c r="W322" s="40">
        <v>0.25780518558381099</v>
      </c>
      <c r="X322" s="40">
        <v>0.37255055872376802</v>
      </c>
      <c r="Y322" s="40">
        <v>0.30454913395810002</v>
      </c>
      <c r="Z322" s="43">
        <v>0.24</v>
      </c>
      <c r="AA322" s="43">
        <v>0.239618693852614</v>
      </c>
      <c r="AB322" s="43">
        <f t="shared" si="8"/>
        <v>3.8130614738599022E-4</v>
      </c>
      <c r="AC322" s="45">
        <v>0.25306462311218098</v>
      </c>
      <c r="AD322" s="45">
        <f t="shared" si="9"/>
        <v>-1.3064623112180984E-2</v>
      </c>
    </row>
    <row r="323" spans="1:30" ht="15" x14ac:dyDescent="0.2">
      <c r="A323" s="40" t="s">
        <v>100</v>
      </c>
      <c r="B323" s="41">
        <v>32.299999999999997</v>
      </c>
      <c r="C323" s="42">
        <v>276</v>
      </c>
      <c r="D323" s="42">
        <v>1</v>
      </c>
      <c r="E323" s="41">
        <v>60</v>
      </c>
      <c r="F323" s="43">
        <v>2.5382184533279299</v>
      </c>
      <c r="G323" s="41">
        <v>38.299999999999997</v>
      </c>
      <c r="H323" s="41">
        <v>54.4</v>
      </c>
      <c r="I323" s="40">
        <v>152.4</v>
      </c>
      <c r="J323" s="41">
        <v>381</v>
      </c>
      <c r="K323" s="42">
        <v>819</v>
      </c>
      <c r="L323" s="43">
        <v>39.959499999999998</v>
      </c>
      <c r="M323" s="40">
        <v>0.14970058886743601</v>
      </c>
      <c r="N323" s="40">
        <v>0.148256700196014</v>
      </c>
      <c r="O323" s="40">
        <v>0.22847111041694401</v>
      </c>
      <c r="P323" s="40">
        <v>0.21773757789137599</v>
      </c>
      <c r="Q323" s="40">
        <v>0.15347113053949901</v>
      </c>
      <c r="R323" s="40">
        <v>0.16855423879676801</v>
      </c>
      <c r="S323" s="48">
        <v>0.2273891260861389</v>
      </c>
      <c r="T323" s="40">
        <v>0.118128118714196</v>
      </c>
      <c r="U323" s="40">
        <v>0.23000080519711599</v>
      </c>
      <c r="V323" s="40">
        <v>0.19161592366703001</v>
      </c>
      <c r="W323" s="40">
        <v>0.15145443871388201</v>
      </c>
      <c r="X323" s="40">
        <v>0.19676267818426599</v>
      </c>
      <c r="Y323" s="40">
        <v>0.15275936108371799</v>
      </c>
      <c r="Z323" s="43">
        <v>0.17</v>
      </c>
      <c r="AA323" s="43">
        <v>0.143016253459017</v>
      </c>
      <c r="AB323" s="43">
        <f t="shared" ref="AB323:AB342" si="10">Z323-AA323</f>
        <v>2.6983746540983011E-2</v>
      </c>
      <c r="AC323" s="45">
        <v>0.143016253459017</v>
      </c>
      <c r="AD323" s="45">
        <f t="shared" ref="AD323:AD342" si="11">Z323-AC323</f>
        <v>2.6983746540983011E-2</v>
      </c>
    </row>
    <row r="324" spans="1:30" ht="15" x14ac:dyDescent="0.2">
      <c r="B324" s="41">
        <v>32.299999999999997</v>
      </c>
      <c r="C324" s="42">
        <v>276</v>
      </c>
      <c r="D324" s="42">
        <v>1</v>
      </c>
      <c r="E324" s="41">
        <v>60</v>
      </c>
      <c r="F324" s="43">
        <v>2.5382184533279299</v>
      </c>
      <c r="G324" s="41">
        <v>38.299999999999997</v>
      </c>
      <c r="H324" s="41">
        <v>54.4</v>
      </c>
      <c r="I324" s="40">
        <v>152.4</v>
      </c>
      <c r="J324" s="41">
        <v>381</v>
      </c>
      <c r="K324" s="42">
        <v>819</v>
      </c>
      <c r="L324" s="43">
        <v>49.186199999999999</v>
      </c>
      <c r="M324" s="40">
        <v>0.19313670689694701</v>
      </c>
      <c r="N324" s="40">
        <v>0.19127386918045</v>
      </c>
      <c r="O324" s="40">
        <v>0.28122538398102798</v>
      </c>
      <c r="P324" s="40">
        <v>0.32989811911981998</v>
      </c>
      <c r="Q324" s="40">
        <v>0.19550919357185101</v>
      </c>
      <c r="R324" s="40">
        <v>0.20747362955756599</v>
      </c>
      <c r="S324" s="48">
        <v>0.29594956737431882</v>
      </c>
      <c r="T324" s="40">
        <v>0.149037936210803</v>
      </c>
      <c r="U324" s="40">
        <v>0.28310828725550602</v>
      </c>
      <c r="V324" s="40">
        <v>0.240774974735015</v>
      </c>
      <c r="W324" s="40">
        <v>0.215905723621829</v>
      </c>
      <c r="X324" s="40">
        <v>0.27847515862206301</v>
      </c>
      <c r="Y324" s="40">
        <v>0.21933091167457999</v>
      </c>
      <c r="Z324" s="43">
        <v>0.23</v>
      </c>
      <c r="AA324" s="43">
        <v>0.196050625318856</v>
      </c>
      <c r="AB324" s="43">
        <f t="shared" si="10"/>
        <v>3.3949374681144007E-2</v>
      </c>
      <c r="AC324" s="45">
        <v>0.20219818495855699</v>
      </c>
      <c r="AD324" s="45">
        <f t="shared" si="11"/>
        <v>2.7801815041443023E-2</v>
      </c>
    </row>
    <row r="325" spans="1:30" ht="15" x14ac:dyDescent="0.2">
      <c r="B325" s="41">
        <v>32.299999999999997</v>
      </c>
      <c r="C325" s="42">
        <v>276</v>
      </c>
      <c r="D325" s="42">
        <v>1</v>
      </c>
      <c r="E325" s="41">
        <v>60</v>
      </c>
      <c r="F325" s="43">
        <v>2.5382184533279299</v>
      </c>
      <c r="G325" s="41">
        <v>38.299999999999997</v>
      </c>
      <c r="H325" s="41">
        <v>54.4</v>
      </c>
      <c r="I325" s="40">
        <v>152.4</v>
      </c>
      <c r="J325" s="41">
        <v>381</v>
      </c>
      <c r="K325" s="42">
        <v>819</v>
      </c>
      <c r="L325" s="43">
        <v>57.349600000000002</v>
      </c>
      <c r="M325" s="40">
        <v>0.23156717563681301</v>
      </c>
      <c r="N325" s="40">
        <v>0.22933366924846299</v>
      </c>
      <c r="O325" s="40">
        <v>0.327900168770069</v>
      </c>
      <c r="P325" s="40">
        <v>0.44849136211894303</v>
      </c>
      <c r="Q325" s="40">
        <v>0.232702721459211</v>
      </c>
      <c r="R325" s="40">
        <v>0.24190788606712099</v>
      </c>
      <c r="S325" s="48">
        <v>0.35660899126497603</v>
      </c>
      <c r="T325" s="40">
        <v>0.176385655780292</v>
      </c>
      <c r="U325" s="40">
        <v>0.33009557621423002</v>
      </c>
      <c r="V325" s="40">
        <v>0.28420837788544501</v>
      </c>
      <c r="W325" s="40">
        <v>0.27153217515663097</v>
      </c>
      <c r="X325" s="40">
        <v>0.35471690488254598</v>
      </c>
      <c r="Y325" s="40">
        <v>0.28176150855433202</v>
      </c>
      <c r="Z325" s="43">
        <v>0.27</v>
      </c>
      <c r="AA325" s="43">
        <v>0.24297322941789601</v>
      </c>
      <c r="AB325" s="43">
        <f t="shared" si="10"/>
        <v>2.7026770582104009E-2</v>
      </c>
      <c r="AC325" s="45">
        <v>0.25973057252738202</v>
      </c>
      <c r="AD325" s="45">
        <f t="shared" si="11"/>
        <v>1.0269427472617998E-2</v>
      </c>
    </row>
    <row r="326" spans="1:30" ht="15" x14ac:dyDescent="0.2">
      <c r="B326" s="41">
        <v>32.299999999999997</v>
      </c>
      <c r="C326" s="42">
        <v>276</v>
      </c>
      <c r="D326" s="42">
        <v>1</v>
      </c>
      <c r="E326" s="41">
        <v>60</v>
      </c>
      <c r="F326" s="43">
        <v>2.5382184533279299</v>
      </c>
      <c r="G326" s="41">
        <v>38.299999999999997</v>
      </c>
      <c r="H326" s="41">
        <v>54.4</v>
      </c>
      <c r="I326" s="40">
        <v>152.4</v>
      </c>
      <c r="J326" s="41">
        <v>381</v>
      </c>
      <c r="K326" s="42">
        <v>819</v>
      </c>
      <c r="L326" s="43">
        <v>63.180599999999998</v>
      </c>
      <c r="M326" s="40">
        <v>0.25901751045100202</v>
      </c>
      <c r="N326" s="40">
        <v>0.25651924072561599</v>
      </c>
      <c r="O326" s="40">
        <v>0.351799313041326</v>
      </c>
      <c r="P326" s="40">
        <v>0.51625084647407804</v>
      </c>
      <c r="Q326" s="40">
        <v>0.25926952709303902</v>
      </c>
      <c r="R326" s="40">
        <v>0.266503783573945</v>
      </c>
      <c r="S326" s="48">
        <v>0.39993715118687406</v>
      </c>
      <c r="T326" s="40">
        <v>0.19591974118707001</v>
      </c>
      <c r="U326" s="40">
        <v>0.363657925470461</v>
      </c>
      <c r="V326" s="40">
        <v>0.28420837788544501</v>
      </c>
      <c r="W326" s="40">
        <v>0.31056215287811401</v>
      </c>
      <c r="X326" s="40">
        <v>0.41144346336329501</v>
      </c>
      <c r="Y326" s="40">
        <v>0.32838436537468702</v>
      </c>
      <c r="Z326" s="43">
        <v>0.31</v>
      </c>
      <c r="AA326" s="43">
        <v>0.27648937520292399</v>
      </c>
      <c r="AB326" s="43">
        <f t="shared" si="10"/>
        <v>3.3510624797076005E-2</v>
      </c>
      <c r="AC326" s="45">
        <v>0.30082513507654302</v>
      </c>
      <c r="AD326" s="45">
        <f t="shared" si="11"/>
        <v>9.1748649234569823E-3</v>
      </c>
    </row>
    <row r="327" spans="1:30" ht="15" x14ac:dyDescent="0.2">
      <c r="B327" s="41">
        <v>32.299999999999997</v>
      </c>
      <c r="C327" s="42">
        <v>276</v>
      </c>
      <c r="D327" s="42">
        <v>1</v>
      </c>
      <c r="E327" s="41">
        <v>60</v>
      </c>
      <c r="F327" s="43">
        <v>2.5382184533279299</v>
      </c>
      <c r="G327" s="41">
        <v>38.299999999999997</v>
      </c>
      <c r="H327" s="41">
        <v>54.4</v>
      </c>
      <c r="I327" s="40">
        <v>152.4</v>
      </c>
      <c r="J327" s="41">
        <v>381</v>
      </c>
      <c r="K327" s="42">
        <v>819</v>
      </c>
      <c r="L327" s="43">
        <v>67.125100000000003</v>
      </c>
      <c r="M327" s="40">
        <v>0.26533951446142401</v>
      </c>
      <c r="N327" s="40">
        <v>0.262780267888582</v>
      </c>
      <c r="O327" s="40">
        <v>0.351799313041326</v>
      </c>
      <c r="P327" s="40">
        <v>0.51625084647407804</v>
      </c>
      <c r="Q327" s="40">
        <v>0.26538804815655398</v>
      </c>
      <c r="R327" s="40">
        <v>0.27216839071737697</v>
      </c>
      <c r="S327" s="48">
        <v>0.40991592931998566</v>
      </c>
      <c r="T327" s="40">
        <v>0.20041857761720799</v>
      </c>
      <c r="U327" s="40">
        <v>0.37138756913540399</v>
      </c>
      <c r="V327" s="40">
        <v>0.28420837788544501</v>
      </c>
      <c r="W327" s="40">
        <v>0.31947502184674198</v>
      </c>
      <c r="X327" s="40">
        <v>0.42477577036504199</v>
      </c>
      <c r="Y327" s="40">
        <v>0.33936155030147502</v>
      </c>
      <c r="Z327" s="43">
        <v>0.35</v>
      </c>
      <c r="AA327" s="43">
        <v>0.28420837788544501</v>
      </c>
      <c r="AB327" s="43">
        <f t="shared" si="10"/>
        <v>6.5791622114554971E-2</v>
      </c>
      <c r="AC327" s="45">
        <v>0.31028950011984302</v>
      </c>
      <c r="AD327" s="45">
        <f t="shared" si="11"/>
        <v>3.9710499880156958E-2</v>
      </c>
    </row>
    <row r="328" spans="1:30" ht="15" x14ac:dyDescent="0.2">
      <c r="A328" s="40" t="s">
        <v>101</v>
      </c>
      <c r="B328" s="41">
        <v>32.299999999999997</v>
      </c>
      <c r="C328" s="42">
        <v>276</v>
      </c>
      <c r="D328" s="42">
        <v>1</v>
      </c>
      <c r="E328" s="41">
        <v>60</v>
      </c>
      <c r="F328" s="43">
        <v>2.8108695189494299</v>
      </c>
      <c r="G328" s="41">
        <v>38.299999999999997</v>
      </c>
      <c r="H328" s="41">
        <v>54.4</v>
      </c>
      <c r="I328" s="40">
        <v>152.4</v>
      </c>
      <c r="J328" s="41">
        <v>381</v>
      </c>
      <c r="K328" s="42">
        <v>819</v>
      </c>
      <c r="L328" s="43">
        <v>39.959499999999998</v>
      </c>
      <c r="M328" s="40">
        <v>0.14629024420917799</v>
      </c>
      <c r="N328" s="40">
        <v>0.14454665868466801</v>
      </c>
      <c r="O328" s="40">
        <v>0.22847111041694401</v>
      </c>
      <c r="P328" s="40">
        <v>0.19661728673673101</v>
      </c>
      <c r="Q328" s="40">
        <v>0.15296421546125999</v>
      </c>
      <c r="R328" s="40">
        <v>0.17961035688042301</v>
      </c>
      <c r="S328" s="48">
        <v>0.22617338211622934</v>
      </c>
      <c r="T328" s="40">
        <v>0.117755393345223</v>
      </c>
      <c r="U328" s="40">
        <v>0.22879945760378301</v>
      </c>
      <c r="V328" s="40">
        <v>0.18872920540969401</v>
      </c>
      <c r="W328" s="40">
        <v>0.14255364010142099</v>
      </c>
      <c r="X328" s="40">
        <v>0.18027249649750399</v>
      </c>
      <c r="Y328" s="40">
        <v>0.13999182792345299</v>
      </c>
      <c r="Z328" s="43">
        <v>0.19</v>
      </c>
      <c r="AA328" s="43">
        <v>0.133769063769031</v>
      </c>
      <c r="AB328" s="43">
        <f t="shared" si="10"/>
        <v>5.6230936230969003E-2</v>
      </c>
      <c r="AC328" s="45">
        <v>0.133769063769031</v>
      </c>
      <c r="AD328" s="45">
        <f t="shared" si="11"/>
        <v>5.6230936230969003E-2</v>
      </c>
    </row>
    <row r="329" spans="1:30" ht="15" x14ac:dyDescent="0.2">
      <c r="B329" s="41">
        <v>32.299999999999997</v>
      </c>
      <c r="C329" s="42">
        <v>276</v>
      </c>
      <c r="D329" s="42">
        <v>1</v>
      </c>
      <c r="E329" s="41">
        <v>60</v>
      </c>
      <c r="F329" s="43">
        <v>2.8108695189494299</v>
      </c>
      <c r="G329" s="41">
        <v>38.299999999999997</v>
      </c>
      <c r="H329" s="41">
        <v>54.4</v>
      </c>
      <c r="I329" s="40">
        <v>152.4</v>
      </c>
      <c r="J329" s="41">
        <v>381</v>
      </c>
      <c r="K329" s="42">
        <v>819</v>
      </c>
      <c r="L329" s="43">
        <v>49.186199999999999</v>
      </c>
      <c r="M329" s="40">
        <v>0.18986727219110999</v>
      </c>
      <c r="N329" s="40">
        <v>0.18760430633743799</v>
      </c>
      <c r="O329" s="40">
        <v>0.28122538398102798</v>
      </c>
      <c r="P329" s="40">
        <v>0.29789838625489301</v>
      </c>
      <c r="Q329" s="40">
        <v>0.19488523114936601</v>
      </c>
      <c r="R329" s="40">
        <v>0.221082619542084</v>
      </c>
      <c r="S329" s="48">
        <v>0.29442553828244411</v>
      </c>
      <c r="T329" s="40">
        <v>0.14857914807423001</v>
      </c>
      <c r="U329" s="40">
        <v>0.28162954695607301</v>
      </c>
      <c r="V329" s="40">
        <v>0.23720372143490001</v>
      </c>
      <c r="W329" s="40">
        <v>0.207982061009712</v>
      </c>
      <c r="X329" s="40">
        <v>0.25880299300728998</v>
      </c>
      <c r="Y329" s="40">
        <v>0.20476841073798199</v>
      </c>
      <c r="Z329" s="43">
        <v>0.24</v>
      </c>
      <c r="AA329" s="43">
        <v>0.186626082364968</v>
      </c>
      <c r="AB329" s="43">
        <f t="shared" si="10"/>
        <v>5.3373917635031992E-2</v>
      </c>
      <c r="AC329" s="45">
        <v>0.193179679982976</v>
      </c>
      <c r="AD329" s="45">
        <f t="shared" si="11"/>
        <v>4.6820320017023992E-2</v>
      </c>
    </row>
    <row r="330" spans="1:30" ht="15" x14ac:dyDescent="0.2">
      <c r="B330" s="41">
        <v>32.299999999999997</v>
      </c>
      <c r="C330" s="42">
        <v>276</v>
      </c>
      <c r="D330" s="42">
        <v>1</v>
      </c>
      <c r="E330" s="41">
        <v>60</v>
      </c>
      <c r="F330" s="43">
        <v>2.8108695189494299</v>
      </c>
      <c r="G330" s="41">
        <v>38.299999999999997</v>
      </c>
      <c r="H330" s="41">
        <v>54.4</v>
      </c>
      <c r="I330" s="40">
        <v>152.4</v>
      </c>
      <c r="J330" s="41">
        <v>381</v>
      </c>
      <c r="K330" s="42">
        <v>819</v>
      </c>
      <c r="L330" s="43">
        <v>57.349600000000002</v>
      </c>
      <c r="M330" s="40">
        <v>0.22842241218999301</v>
      </c>
      <c r="N330" s="40">
        <v>0.22569992024583599</v>
      </c>
      <c r="O330" s="40">
        <v>0.327900168770069</v>
      </c>
      <c r="P330" s="40">
        <v>0.40498822297306403</v>
      </c>
      <c r="Q330" s="40">
        <v>0.23197520041988401</v>
      </c>
      <c r="R330" s="40">
        <v>0.25777555081894299</v>
      </c>
      <c r="S330" s="48">
        <v>0.35481220433284966</v>
      </c>
      <c r="T330" s="40">
        <v>0.17585072289022999</v>
      </c>
      <c r="U330" s="40">
        <v>0.32837141039787598</v>
      </c>
      <c r="V330" s="40">
        <v>0.275521082842547</v>
      </c>
      <c r="W330" s="40">
        <v>0.26433571913599302</v>
      </c>
      <c r="X330" s="40">
        <v>0.33173042737757302</v>
      </c>
      <c r="Y330" s="40">
        <v>0.26535915539642302</v>
      </c>
      <c r="Z330" s="43">
        <v>0.28999999999999998</v>
      </c>
      <c r="AA330" s="43">
        <v>0.23339177168033201</v>
      </c>
      <c r="AB330" s="43">
        <f t="shared" si="10"/>
        <v>5.6608228319667969E-2</v>
      </c>
      <c r="AC330" s="45">
        <v>0.25156072272697799</v>
      </c>
      <c r="AD330" s="45">
        <f t="shared" si="11"/>
        <v>3.8439277273021988E-2</v>
      </c>
    </row>
    <row r="331" spans="1:30" ht="15" x14ac:dyDescent="0.2">
      <c r="B331" s="41">
        <v>32.299999999999997</v>
      </c>
      <c r="C331" s="42">
        <v>276</v>
      </c>
      <c r="D331" s="42">
        <v>1</v>
      </c>
      <c r="E331" s="41">
        <v>60</v>
      </c>
      <c r="F331" s="43">
        <v>2.8108695189494299</v>
      </c>
      <c r="G331" s="41">
        <v>38.299999999999997</v>
      </c>
      <c r="H331" s="41">
        <v>54.4</v>
      </c>
      <c r="I331" s="40">
        <v>152.4</v>
      </c>
      <c r="J331" s="41">
        <v>381</v>
      </c>
      <c r="K331" s="42">
        <v>819</v>
      </c>
      <c r="L331" s="43">
        <v>63.180599999999998</v>
      </c>
      <c r="M331" s="40">
        <v>0.255961797903482</v>
      </c>
      <c r="N331" s="40">
        <v>0.25291107303755</v>
      </c>
      <c r="O331" s="40">
        <v>0.351799313041326</v>
      </c>
      <c r="P331" s="40">
        <v>0.46617511635915998</v>
      </c>
      <c r="Q331" s="40">
        <v>0.25846803561311199</v>
      </c>
      <c r="R331" s="40">
        <v>0.28398478744527</v>
      </c>
      <c r="S331" s="48">
        <v>0.39794553722599663</v>
      </c>
      <c r="T331" s="40">
        <v>0.19533041918737201</v>
      </c>
      <c r="U331" s="40">
        <v>0.36175845571345</v>
      </c>
      <c r="V331" s="40">
        <v>0.275521082842547</v>
      </c>
      <c r="W331" s="40">
        <v>0.303815737138803</v>
      </c>
      <c r="X331" s="40">
        <v>0.38580277576223498</v>
      </c>
      <c r="Y331" s="40">
        <v>0.31052312974431201</v>
      </c>
      <c r="Z331" s="43">
        <v>0.36</v>
      </c>
      <c r="AA331" s="43">
        <v>0.26679583547702101</v>
      </c>
      <c r="AB331" s="43">
        <f t="shared" si="10"/>
        <v>9.3204164522978972E-2</v>
      </c>
      <c r="AC331" s="45">
        <v>0.29326146754412202</v>
      </c>
      <c r="AD331" s="45">
        <f t="shared" si="11"/>
        <v>6.6738532455877964E-2</v>
      </c>
    </row>
    <row r="332" spans="1:30" ht="15" x14ac:dyDescent="0.2">
      <c r="B332" s="41">
        <v>32.299999999999997</v>
      </c>
      <c r="C332" s="42">
        <v>276</v>
      </c>
      <c r="D332" s="42">
        <v>1</v>
      </c>
      <c r="E332" s="41">
        <v>60</v>
      </c>
      <c r="F332" s="43">
        <v>2.8108695189494299</v>
      </c>
      <c r="G332" s="41">
        <v>38.299999999999997</v>
      </c>
      <c r="H332" s="41">
        <v>54.4</v>
      </c>
      <c r="I332" s="40">
        <v>152.4</v>
      </c>
      <c r="J332" s="41">
        <v>381</v>
      </c>
      <c r="K332" s="42">
        <v>819</v>
      </c>
      <c r="L332" s="43">
        <v>67.125100000000003</v>
      </c>
      <c r="M332" s="40">
        <v>0.26315517276072398</v>
      </c>
      <c r="N332" s="40">
        <v>0.260018712415019</v>
      </c>
      <c r="O332" s="40">
        <v>0.351799313041326</v>
      </c>
      <c r="P332" s="40">
        <v>0.46617511635915998</v>
      </c>
      <c r="Q332" s="40">
        <v>0.26538804815655398</v>
      </c>
      <c r="R332" s="40">
        <v>0.29083072314393799</v>
      </c>
      <c r="S332" s="48">
        <v>0.4092121005244902</v>
      </c>
      <c r="T332" s="40">
        <v>0.20041857761720799</v>
      </c>
      <c r="U332" s="40">
        <v>0.37047925779775498</v>
      </c>
      <c r="V332" s="40">
        <v>0.275521082842547</v>
      </c>
      <c r="W332" s="40">
        <v>0.314031027493412</v>
      </c>
      <c r="X332" s="40">
        <v>0.40019860627022802</v>
      </c>
      <c r="Y332" s="40">
        <v>0.32257882534633697</v>
      </c>
      <c r="Z332" s="43">
        <v>0.42</v>
      </c>
      <c r="AA332" s="43">
        <v>0.275521082842547</v>
      </c>
      <c r="AB332" s="43">
        <f t="shared" si="10"/>
        <v>0.14447891715745298</v>
      </c>
      <c r="AC332" s="45">
        <v>0.30415383429539</v>
      </c>
      <c r="AD332" s="45">
        <f t="shared" si="11"/>
        <v>0.11584616570460998</v>
      </c>
    </row>
    <row r="333" spans="1:30" ht="15" x14ac:dyDescent="0.2">
      <c r="A333" s="40" t="s">
        <v>102</v>
      </c>
      <c r="B333" s="41">
        <v>28.7</v>
      </c>
      <c r="C333" s="42">
        <v>276</v>
      </c>
      <c r="D333" s="42">
        <v>2</v>
      </c>
      <c r="E333" s="41">
        <v>50.6</v>
      </c>
      <c r="F333" s="43">
        <v>2.5765786179080399</v>
      </c>
      <c r="G333" s="41">
        <v>38</v>
      </c>
      <c r="H333" s="41">
        <v>52.3</v>
      </c>
      <c r="I333" s="40">
        <v>152.4</v>
      </c>
      <c r="J333" s="41">
        <v>584.20000000000005</v>
      </c>
      <c r="K333" s="42">
        <v>1290</v>
      </c>
      <c r="L333" s="43">
        <v>110.208</v>
      </c>
      <c r="M333" s="40">
        <v>0.147279370026866</v>
      </c>
      <c r="N333" s="40">
        <v>0.15177118672558901</v>
      </c>
      <c r="O333" s="40">
        <v>0.16772641499721699</v>
      </c>
      <c r="P333" s="40">
        <v>0.21934168126914799</v>
      </c>
      <c r="Q333" s="40">
        <v>8.9952928665751497E-2</v>
      </c>
      <c r="R333" s="40">
        <v>0.10183915137741301</v>
      </c>
      <c r="S333" s="48">
        <v>0.18416473465850905</v>
      </c>
      <c r="T333" s="40">
        <v>0.14884778675975899</v>
      </c>
      <c r="U333" s="40">
        <v>0.17407114613167099</v>
      </c>
      <c r="V333" s="40">
        <v>0.17190685644409701</v>
      </c>
      <c r="W333" s="40">
        <v>0.15520605412914701</v>
      </c>
      <c r="X333" s="40">
        <v>0.21204954402259599</v>
      </c>
      <c r="Y333" s="40">
        <v>0.17000808964217701</v>
      </c>
      <c r="Z333" s="43">
        <v>0.18</v>
      </c>
      <c r="AA333" s="43">
        <v>0.14859881244269199</v>
      </c>
      <c r="AB333" s="43">
        <f t="shared" si="10"/>
        <v>3.1401187557308002E-2</v>
      </c>
      <c r="AC333" s="45">
        <v>0.14859881244269199</v>
      </c>
      <c r="AD333" s="45">
        <f t="shared" si="11"/>
        <v>3.1401187557308002E-2</v>
      </c>
    </row>
    <row r="334" spans="1:30" ht="15" x14ac:dyDescent="0.2">
      <c r="B334" s="41">
        <v>28.7</v>
      </c>
      <c r="C334" s="42">
        <v>276</v>
      </c>
      <c r="D334" s="42">
        <v>2</v>
      </c>
      <c r="E334" s="41">
        <v>50.6</v>
      </c>
      <c r="F334" s="43">
        <v>2.5765786179080399</v>
      </c>
      <c r="G334" s="41">
        <v>38</v>
      </c>
      <c r="H334" s="41">
        <v>52.3</v>
      </c>
      <c r="I334" s="40">
        <v>152.4</v>
      </c>
      <c r="J334" s="41">
        <v>584.20000000000005</v>
      </c>
      <c r="K334" s="42">
        <v>1290</v>
      </c>
      <c r="L334" s="43">
        <v>132.25800000000001</v>
      </c>
      <c r="M334" s="40">
        <v>0.18349626769646801</v>
      </c>
      <c r="N334" s="40">
        <v>0.18909264958784799</v>
      </c>
      <c r="O334" s="40">
        <v>0.20128448202219401</v>
      </c>
      <c r="P334" s="40">
        <v>0.315892145780101</v>
      </c>
      <c r="Q334" s="40">
        <v>0.11114577166126299</v>
      </c>
      <c r="R334" s="40">
        <v>0.12221474378333599</v>
      </c>
      <c r="S334" s="48">
        <v>0.23130199439813939</v>
      </c>
      <c r="T334" s="40">
        <v>0.18231449146175599</v>
      </c>
      <c r="U334" s="40">
        <v>0.20889864297585001</v>
      </c>
      <c r="V334" s="40">
        <v>0.20939486067139901</v>
      </c>
      <c r="W334" s="40">
        <v>0.199838677680373</v>
      </c>
      <c r="X334" s="40">
        <v>0.27547273388042798</v>
      </c>
      <c r="Y334" s="40">
        <v>0.22331097800803901</v>
      </c>
      <c r="Z334" s="43">
        <v>0.22</v>
      </c>
      <c r="AA334" s="43">
        <v>0.18772668752404401</v>
      </c>
      <c r="AB334" s="43">
        <f t="shared" si="10"/>
        <v>3.2273312475955995E-2</v>
      </c>
      <c r="AC334" s="45">
        <v>0.19264787851086501</v>
      </c>
      <c r="AD334" s="45">
        <f t="shared" si="11"/>
        <v>2.735212148913499E-2</v>
      </c>
    </row>
    <row r="335" spans="1:30" ht="15" x14ac:dyDescent="0.2">
      <c r="B335" s="41">
        <v>28.7</v>
      </c>
      <c r="C335" s="42">
        <v>276</v>
      </c>
      <c r="D335" s="42">
        <v>2</v>
      </c>
      <c r="E335" s="41">
        <v>50.6</v>
      </c>
      <c r="F335" s="43">
        <v>2.5765786179080399</v>
      </c>
      <c r="G335" s="41">
        <v>38</v>
      </c>
      <c r="H335" s="41">
        <v>52.3</v>
      </c>
      <c r="I335" s="40">
        <v>152.4</v>
      </c>
      <c r="J335" s="41">
        <v>584.20000000000005</v>
      </c>
      <c r="K335" s="42">
        <v>1290</v>
      </c>
      <c r="L335" s="43">
        <v>149.268</v>
      </c>
      <c r="M335" s="40">
        <v>0.21143501732730299</v>
      </c>
      <c r="N335" s="40">
        <v>0.217883492367305</v>
      </c>
      <c r="O335" s="40">
        <v>0.22717213372717601</v>
      </c>
      <c r="P335" s="40">
        <v>0.40237255763655999</v>
      </c>
      <c r="Q335" s="40">
        <v>0.12749453625780099</v>
      </c>
      <c r="R335" s="40">
        <v>0.13793305792504801</v>
      </c>
      <c r="S335" s="48">
        <v>0.26766502334013986</v>
      </c>
      <c r="T335" s="40">
        <v>0.208131663660439</v>
      </c>
      <c r="U335" s="40">
        <v>0.23576556911278901</v>
      </c>
      <c r="V335" s="40">
        <v>0.238555549406339</v>
      </c>
      <c r="W335" s="40">
        <v>0.23375097908675299</v>
      </c>
      <c r="X335" s="40">
        <v>0.32656044432005799</v>
      </c>
      <c r="Y335" s="40">
        <v>0.26668390997187102</v>
      </c>
      <c r="Z335" s="43">
        <v>0.27</v>
      </c>
      <c r="AA335" s="43">
        <v>0.21791104830108701</v>
      </c>
      <c r="AB335" s="43">
        <f t="shared" si="10"/>
        <v>5.2088951698913005E-2</v>
      </c>
      <c r="AC335" s="45">
        <v>0.22749210319479099</v>
      </c>
      <c r="AD335" s="45">
        <f t="shared" si="11"/>
        <v>4.2507896805209028E-2</v>
      </c>
    </row>
    <row r="336" spans="1:30" ht="15" x14ac:dyDescent="0.2">
      <c r="B336" s="41">
        <v>28.7</v>
      </c>
      <c r="C336" s="42">
        <v>276</v>
      </c>
      <c r="D336" s="42">
        <v>2</v>
      </c>
      <c r="E336" s="41">
        <v>50.6</v>
      </c>
      <c r="F336" s="43">
        <v>2.5765786179080399</v>
      </c>
      <c r="G336" s="41">
        <v>38</v>
      </c>
      <c r="H336" s="41">
        <v>52.3</v>
      </c>
      <c r="I336" s="40">
        <v>152.4</v>
      </c>
      <c r="J336" s="41">
        <v>584.20000000000005</v>
      </c>
      <c r="K336" s="42">
        <v>1290</v>
      </c>
      <c r="L336" s="43">
        <v>168.88200000000001</v>
      </c>
      <c r="M336" s="40">
        <v>0.23873012564927101</v>
      </c>
      <c r="N336" s="40">
        <v>0.24601106366987799</v>
      </c>
      <c r="O336" s="40">
        <v>0.24074304834434099</v>
      </c>
      <c r="P336" s="40">
        <v>0.45188273634436499</v>
      </c>
      <c r="Q336" s="40">
        <v>0.14346666480647299</v>
      </c>
      <c r="R336" s="40">
        <v>0.15328926007459701</v>
      </c>
      <c r="S336" s="48">
        <v>0.30319033592575939</v>
      </c>
      <c r="T336" s="40">
        <v>0.233354070569882</v>
      </c>
      <c r="U336" s="40">
        <v>0.26201354616530098</v>
      </c>
      <c r="V336" s="40">
        <v>0.247400034312454</v>
      </c>
      <c r="W336" s="40">
        <v>0.26649663528918799</v>
      </c>
      <c r="X336" s="40">
        <v>0.37828904739902702</v>
      </c>
      <c r="Y336" s="40">
        <v>0.31095310755361799</v>
      </c>
      <c r="Z336" s="43">
        <v>0.32</v>
      </c>
      <c r="AA336" s="43">
        <v>0.247400034312454</v>
      </c>
      <c r="AB336" s="43">
        <f t="shared" si="10"/>
        <v>7.2599965687546009E-2</v>
      </c>
      <c r="AC336" s="45">
        <v>0.26153360110395701</v>
      </c>
      <c r="AD336" s="45">
        <f t="shared" si="11"/>
        <v>5.8466398896042993E-2</v>
      </c>
    </row>
    <row r="337" spans="1:30" ht="15" x14ac:dyDescent="0.2">
      <c r="A337" s="40" t="s">
        <v>103</v>
      </c>
      <c r="B337" s="41">
        <v>28.7</v>
      </c>
      <c r="C337" s="42">
        <v>276</v>
      </c>
      <c r="D337" s="42">
        <v>2</v>
      </c>
      <c r="E337" s="41">
        <v>50.6</v>
      </c>
      <c r="F337" s="43">
        <v>2.5765786179080399</v>
      </c>
      <c r="G337" s="41">
        <v>38</v>
      </c>
      <c r="H337" s="41">
        <v>52.3</v>
      </c>
      <c r="I337" s="40">
        <v>152.4</v>
      </c>
      <c r="J337" s="41">
        <v>584.20000000000005</v>
      </c>
      <c r="K337" s="42">
        <v>1290</v>
      </c>
      <c r="L337" s="43">
        <v>132.25800000000001</v>
      </c>
      <c r="M337" s="40">
        <v>0.18349626769646801</v>
      </c>
      <c r="N337" s="40">
        <v>0.18909264958784799</v>
      </c>
      <c r="O337" s="40">
        <v>0.20128448202219401</v>
      </c>
      <c r="P337" s="40">
        <v>0.315892145780101</v>
      </c>
      <c r="Q337" s="40">
        <v>0.11114577166126299</v>
      </c>
      <c r="R337" s="40">
        <v>0.12221474378333599</v>
      </c>
      <c r="S337" s="48">
        <v>0.23130199439813939</v>
      </c>
      <c r="T337" s="40">
        <v>0.18231449146175599</v>
      </c>
      <c r="U337" s="40">
        <v>0.20889864297585001</v>
      </c>
      <c r="V337" s="40">
        <v>0.20939486067139901</v>
      </c>
      <c r="W337" s="40">
        <v>0.199838677680373</v>
      </c>
      <c r="X337" s="40">
        <v>0.27547273388042798</v>
      </c>
      <c r="Y337" s="40">
        <v>0.22331097800803901</v>
      </c>
      <c r="Z337" s="43">
        <v>0.16</v>
      </c>
      <c r="AA337" s="43">
        <v>0.18772668752404401</v>
      </c>
      <c r="AB337" s="43">
        <f t="shared" si="10"/>
        <v>-2.7726687524044002E-2</v>
      </c>
      <c r="AC337" s="45">
        <v>0.19264787851086501</v>
      </c>
      <c r="AD337" s="45">
        <f t="shared" si="11"/>
        <v>-3.2647878510865008E-2</v>
      </c>
    </row>
    <row r="338" spans="1:30" ht="15" x14ac:dyDescent="0.2">
      <c r="B338" s="41">
        <v>28.7</v>
      </c>
      <c r="C338" s="42">
        <v>276</v>
      </c>
      <c r="D338" s="42">
        <v>2</v>
      </c>
      <c r="E338" s="41">
        <v>50.6</v>
      </c>
      <c r="F338" s="43">
        <v>2.5765786179080399</v>
      </c>
      <c r="G338" s="41">
        <v>38</v>
      </c>
      <c r="H338" s="41">
        <v>52.3</v>
      </c>
      <c r="I338" s="40">
        <v>152.4</v>
      </c>
      <c r="J338" s="41">
        <v>584.20000000000005</v>
      </c>
      <c r="K338" s="42">
        <v>1290</v>
      </c>
      <c r="L338" s="43">
        <v>149.268</v>
      </c>
      <c r="M338" s="40">
        <v>0.21143501732730299</v>
      </c>
      <c r="N338" s="40">
        <v>0.217883492367305</v>
      </c>
      <c r="O338" s="40">
        <v>0.22717213372717601</v>
      </c>
      <c r="P338" s="40">
        <v>0.40237255763655999</v>
      </c>
      <c r="Q338" s="40">
        <v>0.12749453625780099</v>
      </c>
      <c r="R338" s="40">
        <v>0.13793305792504801</v>
      </c>
      <c r="S338" s="48">
        <v>0.26766502334013986</v>
      </c>
      <c r="T338" s="40">
        <v>0.208131663660439</v>
      </c>
      <c r="U338" s="40">
        <v>0.23576556911278901</v>
      </c>
      <c r="V338" s="40">
        <v>0.238555549406339</v>
      </c>
      <c r="W338" s="40">
        <v>0.23375097908675299</v>
      </c>
      <c r="X338" s="40">
        <v>0.32656044432005799</v>
      </c>
      <c r="Y338" s="40">
        <v>0.26668390997187102</v>
      </c>
      <c r="Z338" s="43">
        <v>0.19</v>
      </c>
      <c r="AA338" s="43">
        <v>0.21791104830108701</v>
      </c>
      <c r="AB338" s="43">
        <f t="shared" si="10"/>
        <v>-2.791104830108701E-2</v>
      </c>
      <c r="AC338" s="45">
        <v>0.22749210319479099</v>
      </c>
      <c r="AD338" s="45">
        <f t="shared" si="11"/>
        <v>-3.7492103194790988E-2</v>
      </c>
    </row>
    <row r="339" spans="1:30" ht="15" x14ac:dyDescent="0.2">
      <c r="B339" s="41">
        <v>28.7</v>
      </c>
      <c r="C339" s="42">
        <v>276</v>
      </c>
      <c r="D339" s="42">
        <v>2</v>
      </c>
      <c r="E339" s="41">
        <v>50.6</v>
      </c>
      <c r="F339" s="43">
        <v>2.5765786179080399</v>
      </c>
      <c r="G339" s="41">
        <v>38</v>
      </c>
      <c r="H339" s="41">
        <v>52.3</v>
      </c>
      <c r="I339" s="40">
        <v>152.4</v>
      </c>
      <c r="J339" s="41">
        <v>584.20000000000005</v>
      </c>
      <c r="K339" s="42">
        <v>1290</v>
      </c>
      <c r="L339" s="43">
        <v>168.88200000000001</v>
      </c>
      <c r="M339" s="40">
        <v>0.23873012564927101</v>
      </c>
      <c r="N339" s="40">
        <v>0.24601106366987799</v>
      </c>
      <c r="O339" s="40">
        <v>0.24074304834434099</v>
      </c>
      <c r="P339" s="40">
        <v>0.45188273634436499</v>
      </c>
      <c r="Q339" s="40">
        <v>0.14346666480647299</v>
      </c>
      <c r="R339" s="40">
        <v>0.15328926007459701</v>
      </c>
      <c r="S339" s="48">
        <v>0.30319033592575939</v>
      </c>
      <c r="T339" s="40">
        <v>0.233354070569882</v>
      </c>
      <c r="U339" s="40">
        <v>0.26201354616530098</v>
      </c>
      <c r="V339" s="40">
        <v>0.247400034312454</v>
      </c>
      <c r="W339" s="40">
        <v>0.26649663528918799</v>
      </c>
      <c r="X339" s="40">
        <v>0.37828904739902702</v>
      </c>
      <c r="Y339" s="40">
        <v>0.31095310755361799</v>
      </c>
      <c r="Z339" s="43">
        <v>0.22</v>
      </c>
      <c r="AA339" s="43">
        <v>0.247400034312454</v>
      </c>
      <c r="AB339" s="43">
        <f t="shared" si="10"/>
        <v>-2.7400034312453997E-2</v>
      </c>
      <c r="AC339" s="45">
        <v>0.26153360110395701</v>
      </c>
      <c r="AD339" s="45">
        <f t="shared" si="11"/>
        <v>-4.1533601103957013E-2</v>
      </c>
    </row>
    <row r="340" spans="1:30" ht="15" x14ac:dyDescent="0.2">
      <c r="A340" s="40" t="s">
        <v>104</v>
      </c>
      <c r="B340" s="41">
        <v>35.799999999999997</v>
      </c>
      <c r="C340" s="42">
        <v>276</v>
      </c>
      <c r="D340" s="42">
        <v>2</v>
      </c>
      <c r="E340" s="41">
        <v>36.4</v>
      </c>
      <c r="F340" s="43">
        <v>2.5478355335404399</v>
      </c>
      <c r="G340" s="41">
        <v>38</v>
      </c>
      <c r="H340" s="41">
        <v>55.9</v>
      </c>
      <c r="I340" s="40">
        <v>152.4</v>
      </c>
      <c r="J340" s="41">
        <v>584.20000000000005</v>
      </c>
      <c r="K340" s="42">
        <v>2012</v>
      </c>
      <c r="L340" s="43">
        <v>167.03399999999999</v>
      </c>
      <c r="M340" s="40">
        <v>0.13153374465321899</v>
      </c>
      <c r="N340" s="40">
        <v>0.146640079165194</v>
      </c>
      <c r="O340" s="40">
        <v>0.17675156906293299</v>
      </c>
      <c r="P340" s="40">
        <v>0.28174342772628103</v>
      </c>
      <c r="Q340" s="40">
        <v>8.1714692437448805E-2</v>
      </c>
      <c r="R340" s="40">
        <v>0.101440797590145</v>
      </c>
      <c r="S340" s="48">
        <v>0.20292968348603119</v>
      </c>
      <c r="T340" s="40">
        <v>0.15448442183399499</v>
      </c>
      <c r="U340" s="40">
        <v>0.18796088604883099</v>
      </c>
      <c r="V340" s="40">
        <v>0.165330751827893</v>
      </c>
      <c r="W340" s="40">
        <v>0.155387407000178</v>
      </c>
      <c r="X340" s="40">
        <v>0.25345808420698501</v>
      </c>
      <c r="Y340" s="40">
        <v>0.18223313375247999</v>
      </c>
      <c r="Z340" s="43">
        <v>0.17</v>
      </c>
      <c r="AA340" s="43">
        <v>0.15062208841314201</v>
      </c>
      <c r="AB340" s="43">
        <f t="shared" si="10"/>
        <v>1.9377911586858004E-2</v>
      </c>
      <c r="AC340" s="45">
        <v>0.15062208841314201</v>
      </c>
      <c r="AD340" s="45">
        <f t="shared" si="11"/>
        <v>1.9377911586858004E-2</v>
      </c>
    </row>
    <row r="341" spans="1:30" ht="15" x14ac:dyDescent="0.2">
      <c r="A341" s="40" t="s">
        <v>105</v>
      </c>
      <c r="B341" s="41">
        <v>35.799999999999997</v>
      </c>
      <c r="C341" s="42">
        <v>276</v>
      </c>
      <c r="D341" s="42">
        <v>2</v>
      </c>
      <c r="E341" s="41">
        <v>36.4</v>
      </c>
      <c r="F341" s="43">
        <v>2.7563734268389202</v>
      </c>
      <c r="G341" s="41">
        <v>38</v>
      </c>
      <c r="H341" s="41">
        <v>55.9</v>
      </c>
      <c r="I341" s="40">
        <v>152.4</v>
      </c>
      <c r="J341" s="41">
        <v>584.20000000000005</v>
      </c>
      <c r="K341" s="42">
        <v>2012</v>
      </c>
      <c r="L341" s="43">
        <v>130.78800000000001</v>
      </c>
      <c r="M341" s="40">
        <v>9.7514649841521805E-2</v>
      </c>
      <c r="N341" s="40">
        <v>0.108470561427934</v>
      </c>
      <c r="O341" s="40">
        <v>0.13839687856725499</v>
      </c>
      <c r="P341" s="40">
        <v>0.159666264321595</v>
      </c>
      <c r="Q341" s="40">
        <v>6.1803121002324803E-2</v>
      </c>
      <c r="R341" s="40">
        <v>8.3394318678546298E-2</v>
      </c>
      <c r="S341" s="48">
        <v>0.14617077463815276</v>
      </c>
      <c r="T341" s="40">
        <v>0.11663503645628299</v>
      </c>
      <c r="U341" s="40">
        <v>0.146565134130969</v>
      </c>
      <c r="V341" s="40">
        <v>0.12589239016704601</v>
      </c>
      <c r="W341" s="40">
        <v>0.10806100229525099</v>
      </c>
      <c r="X341" s="40">
        <v>0.17012779655856899</v>
      </c>
      <c r="Y341" s="40">
        <v>0.122578511020668</v>
      </c>
      <c r="Z341" s="43">
        <v>0.19</v>
      </c>
      <c r="AA341" s="43">
        <v>0.10806100229525099</v>
      </c>
      <c r="AB341" s="43">
        <f t="shared" si="10"/>
        <v>8.1938997704749009E-2</v>
      </c>
      <c r="AC341" s="45">
        <v>0.10806100229525099</v>
      </c>
      <c r="AD341" s="45">
        <f t="shared" si="11"/>
        <v>8.1938997704749009E-2</v>
      </c>
    </row>
    <row r="342" spans="1:30" ht="15" x14ac:dyDescent="0.2">
      <c r="B342" s="41">
        <v>35.799999999999997</v>
      </c>
      <c r="C342" s="42">
        <v>276</v>
      </c>
      <c r="D342" s="42">
        <v>2</v>
      </c>
      <c r="E342" s="41">
        <v>36.4</v>
      </c>
      <c r="F342" s="43">
        <v>2.7563734268389202</v>
      </c>
      <c r="G342" s="41">
        <v>38</v>
      </c>
      <c r="H342" s="41">
        <v>55.9</v>
      </c>
      <c r="I342" s="40">
        <v>152.4</v>
      </c>
      <c r="J342" s="41">
        <v>584.20000000000005</v>
      </c>
      <c r="K342" s="42">
        <v>2012</v>
      </c>
      <c r="L342" s="43">
        <v>167.03399999999999</v>
      </c>
      <c r="M342" s="40">
        <v>0.130442766845764</v>
      </c>
      <c r="N342" s="40">
        <v>0.14509819988040901</v>
      </c>
      <c r="O342" s="40">
        <v>0.17675156906293299</v>
      </c>
      <c r="P342" s="40">
        <v>0.260427672648744</v>
      </c>
      <c r="Q342" s="40">
        <v>8.1495536285087003E-2</v>
      </c>
      <c r="R342" s="40">
        <v>0.106505846302048</v>
      </c>
      <c r="S342" s="48">
        <v>0.20229140738943771</v>
      </c>
      <c r="T342" s="40">
        <v>0.15406783363573701</v>
      </c>
      <c r="U342" s="40">
        <v>0.18718353835544799</v>
      </c>
      <c r="V342" s="40">
        <v>0.16397439600647401</v>
      </c>
      <c r="W342" s="40">
        <v>0.15275482844556301</v>
      </c>
      <c r="X342" s="40">
        <v>0.242783253449533</v>
      </c>
      <c r="Y342" s="40">
        <v>0.17648036556212801</v>
      </c>
      <c r="Z342" s="43">
        <v>0.25</v>
      </c>
      <c r="AA342" s="43">
        <v>0.14780512821168501</v>
      </c>
      <c r="AB342" s="43">
        <f t="shared" si="10"/>
        <v>0.10219487178831499</v>
      </c>
      <c r="AC342" s="45">
        <v>0.14780512821168501</v>
      </c>
      <c r="AD342" s="45">
        <f t="shared" si="11"/>
        <v>0.10219487178831499</v>
      </c>
    </row>
    <row r="344" spans="1:30" x14ac:dyDescent="0.2">
      <c r="AA344" s="44"/>
      <c r="AB344" s="44"/>
      <c r="AC344" s="44"/>
      <c r="AD344" s="44"/>
    </row>
    <row r="345" spans="1:30" x14ac:dyDescent="0.2">
      <c r="AA345" s="44"/>
      <c r="AB345" s="44"/>
      <c r="AC345" s="44"/>
      <c r="AD345" s="44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45"/>
  <sheetViews>
    <sheetView topLeftCell="F1" zoomScale="60" zoomScaleNormal="60" workbookViewId="0">
      <selection activeCell="N11" sqref="N11"/>
    </sheetView>
  </sheetViews>
  <sheetFormatPr defaultColWidth="8.5703125" defaultRowHeight="12.75" x14ac:dyDescent="0.2"/>
  <cols>
    <col min="1" max="1" width="30.42578125" style="40" customWidth="1"/>
    <col min="2" max="2" width="30.42578125" style="41" customWidth="1"/>
    <col min="3" max="3" width="30.42578125" style="42" customWidth="1"/>
    <col min="4" max="4" width="30.42578125" style="43" customWidth="1"/>
    <col min="5" max="5" width="30.42578125" style="41" customWidth="1"/>
    <col min="6" max="6" width="30.42578125" style="44" customWidth="1"/>
    <col min="7" max="7" width="30.42578125" style="42" customWidth="1"/>
    <col min="8" max="20" width="30.42578125" style="39" customWidth="1"/>
    <col min="21" max="23" width="30.42578125" style="43" customWidth="1"/>
    <col min="24" max="25" width="30.42578125" style="45" customWidth="1"/>
    <col min="26" max="16384" width="8.5703125" style="39"/>
  </cols>
  <sheetData>
    <row r="1" spans="1:25" ht="14.25" x14ac:dyDescent="0.2">
      <c r="A1" s="34" t="s">
        <v>8</v>
      </c>
      <c r="B1" s="35" t="s">
        <v>11</v>
      </c>
      <c r="C1" s="36" t="s">
        <v>165</v>
      </c>
      <c r="D1" s="37" t="s">
        <v>15</v>
      </c>
      <c r="E1" s="35" t="s">
        <v>16</v>
      </c>
      <c r="F1" s="38" t="s">
        <v>145</v>
      </c>
      <c r="G1" s="36" t="s">
        <v>146</v>
      </c>
      <c r="H1" s="34" t="s">
        <v>153</v>
      </c>
      <c r="I1" s="34" t="s">
        <v>154</v>
      </c>
      <c r="J1" s="34" t="s">
        <v>143</v>
      </c>
      <c r="K1" s="34" t="s">
        <v>144</v>
      </c>
      <c r="L1" s="34" t="s">
        <v>155</v>
      </c>
      <c r="M1" s="34" t="s">
        <v>156</v>
      </c>
      <c r="N1" s="34" t="s">
        <v>157</v>
      </c>
      <c r="O1" s="34" t="s">
        <v>158</v>
      </c>
      <c r="P1" s="34" t="s">
        <v>159</v>
      </c>
      <c r="Q1" s="34" t="s">
        <v>160</v>
      </c>
      <c r="R1" s="34" t="s">
        <v>161</v>
      </c>
      <c r="S1" s="34" t="s">
        <v>162</v>
      </c>
      <c r="T1" s="34" t="s">
        <v>163</v>
      </c>
      <c r="U1" s="37" t="s">
        <v>147</v>
      </c>
      <c r="V1" s="37" t="s">
        <v>148</v>
      </c>
      <c r="W1" s="37" t="s">
        <v>151</v>
      </c>
      <c r="X1" s="37" t="s">
        <v>149</v>
      </c>
      <c r="Y1" s="37" t="s">
        <v>152</v>
      </c>
    </row>
    <row r="2" spans="1:25" ht="15" x14ac:dyDescent="0.2">
      <c r="A2" s="40" t="s">
        <v>22</v>
      </c>
      <c r="B2" s="41">
        <v>20</v>
      </c>
      <c r="C2" s="42">
        <v>500</v>
      </c>
      <c r="D2" s="43">
        <v>4.1203405239014401</v>
      </c>
      <c r="E2" s="41">
        <v>25</v>
      </c>
      <c r="F2" s="44">
        <v>2.1299687966354602E-2</v>
      </c>
      <c r="G2" s="42">
        <v>120.527745920491</v>
      </c>
      <c r="H2" s="39">
        <v>0.12573406896410499</v>
      </c>
      <c r="I2" s="39">
        <v>0.12529165250414601</v>
      </c>
      <c r="J2" s="39">
        <v>0.26246778690532802</v>
      </c>
      <c r="K2" s="39">
        <v>0.157379678407401</v>
      </c>
      <c r="L2" s="39">
        <v>0.181006163923848</v>
      </c>
      <c r="M2" s="39">
        <v>0.31268420853835599</v>
      </c>
      <c r="N2" s="48">
        <v>0.24601260205495376</v>
      </c>
      <c r="O2" s="39">
        <v>0.12999764117006199</v>
      </c>
      <c r="P2" s="39">
        <v>0.24152794750458401</v>
      </c>
      <c r="Q2" s="39">
        <v>0.149956191699532</v>
      </c>
      <c r="R2" s="39">
        <v>0.116566113972405</v>
      </c>
      <c r="S2" s="39">
        <v>0.109685613842397</v>
      </c>
      <c r="T2" s="39">
        <v>8.2006564618842898E-2</v>
      </c>
      <c r="U2" s="43">
        <v>0.16</v>
      </c>
      <c r="V2" s="43">
        <v>8.6159382513197699E-2</v>
      </c>
      <c r="W2" s="43">
        <f>U2-V2</f>
        <v>7.3840617486802304E-2</v>
      </c>
      <c r="X2" s="45">
        <v>0.102129723973678</v>
      </c>
      <c r="Y2" s="45">
        <f>U2-X2</f>
        <v>5.7870276026321998E-2</v>
      </c>
    </row>
    <row r="3" spans="1:25" ht="15" x14ac:dyDescent="0.2">
      <c r="B3" s="41">
        <v>20</v>
      </c>
      <c r="C3" s="42">
        <v>500</v>
      </c>
      <c r="D3" s="43">
        <v>4.1203405239014401</v>
      </c>
      <c r="E3" s="41">
        <v>25</v>
      </c>
      <c r="F3" s="44">
        <v>2.1299687966354602E-2</v>
      </c>
      <c r="G3" s="42">
        <v>223.84798261989101</v>
      </c>
      <c r="H3" s="39">
        <v>0.176982162918118</v>
      </c>
      <c r="I3" s="39">
        <v>0.17635942142379499</v>
      </c>
      <c r="J3" s="39">
        <v>0.34448897031324299</v>
      </c>
      <c r="K3" s="39">
        <v>0.27111108663150002</v>
      </c>
      <c r="L3" s="39">
        <v>0.24436254780391001</v>
      </c>
      <c r="M3" s="39">
        <v>0.41039802370659201</v>
      </c>
      <c r="N3" s="48">
        <v>0.3389237669542367</v>
      </c>
      <c r="O3" s="39">
        <v>0.174745555735067</v>
      </c>
      <c r="P3" s="39">
        <v>0.31700543109976598</v>
      </c>
      <c r="Q3" s="39">
        <v>0.20434804118111699</v>
      </c>
      <c r="R3" s="39">
        <v>0.19728794885442699</v>
      </c>
      <c r="S3" s="39">
        <v>0.193326264807891</v>
      </c>
      <c r="T3" s="39">
        <v>0.15626605743881</v>
      </c>
      <c r="U3" s="43">
        <v>0.23</v>
      </c>
      <c r="V3" s="43">
        <v>0.14712654185263499</v>
      </c>
      <c r="W3" s="43">
        <f t="shared" ref="W3:W66" si="0">U3-V3</f>
        <v>8.287345814736502E-2</v>
      </c>
      <c r="X3" s="45">
        <v>0.190782516555556</v>
      </c>
      <c r="Y3" s="45">
        <f t="shared" ref="Y3:Y66" si="1">U3-X3</f>
        <v>3.9217483444444007E-2</v>
      </c>
    </row>
    <row r="4" spans="1:25" ht="15" x14ac:dyDescent="0.2">
      <c r="B4" s="41">
        <v>20</v>
      </c>
      <c r="C4" s="42">
        <v>500</v>
      </c>
      <c r="D4" s="43">
        <v>4.1203405239014401</v>
      </c>
      <c r="E4" s="41">
        <v>25</v>
      </c>
      <c r="F4" s="44">
        <v>2.1299687966354602E-2</v>
      </c>
      <c r="G4" s="42">
        <v>242.052198219915</v>
      </c>
      <c r="H4" s="39">
        <v>0.184078052850212</v>
      </c>
      <c r="I4" s="39">
        <v>0.18343034327420801</v>
      </c>
      <c r="J4" s="39">
        <v>0.35584574955433901</v>
      </c>
      <c r="K4" s="39">
        <v>0.289281193270853</v>
      </c>
      <c r="L4" s="39">
        <v>0.25313497018730302</v>
      </c>
      <c r="M4" s="39">
        <v>0.42392762888373298</v>
      </c>
      <c r="N4" s="48">
        <v>0.35178838978644511</v>
      </c>
      <c r="O4" s="39">
        <v>0.180941420828683</v>
      </c>
      <c r="P4" s="39">
        <v>0.32745615959756103</v>
      </c>
      <c r="Q4" s="39">
        <v>0.21205204503175601</v>
      </c>
      <c r="R4" s="39">
        <v>0.20804096180697601</v>
      </c>
      <c r="S4" s="39">
        <v>0.20530090968479101</v>
      </c>
      <c r="T4" s="39">
        <v>0.16709573189251201</v>
      </c>
      <c r="U4" s="43">
        <v>0.24</v>
      </c>
      <c r="V4" s="43">
        <v>0.15556814853040299</v>
      </c>
      <c r="W4" s="43">
        <f t="shared" si="0"/>
        <v>8.4431851469597002E-2</v>
      </c>
      <c r="X4" s="45">
        <v>0.20305751860535501</v>
      </c>
      <c r="Y4" s="45">
        <f t="shared" si="1"/>
        <v>3.6942481394644983E-2</v>
      </c>
    </row>
    <row r="5" spans="1:25" ht="15" x14ac:dyDescent="0.2">
      <c r="B5" s="41">
        <v>20</v>
      </c>
      <c r="C5" s="42">
        <v>500</v>
      </c>
      <c r="D5" s="43">
        <v>4.1203405239014401</v>
      </c>
      <c r="E5" s="41">
        <v>25</v>
      </c>
      <c r="F5" s="44">
        <v>2.1299687966354602E-2</v>
      </c>
      <c r="G5" s="42">
        <v>325.14719045768402</v>
      </c>
      <c r="H5" s="39">
        <v>0.21876907029600601</v>
      </c>
      <c r="I5" s="39">
        <v>0.21799929454289299</v>
      </c>
      <c r="J5" s="39">
        <v>0.41136778139969699</v>
      </c>
      <c r="K5" s="39">
        <v>0.38659584648726403</v>
      </c>
      <c r="L5" s="39">
        <v>0.29602236850611502</v>
      </c>
      <c r="M5" s="39">
        <v>0.49007236530530801</v>
      </c>
      <c r="N5" s="48">
        <v>0.41468210141057527</v>
      </c>
      <c r="O5" s="39">
        <v>0.21123231684191701</v>
      </c>
      <c r="P5" s="39">
        <v>0.37854861003122298</v>
      </c>
      <c r="Q5" s="39">
        <v>0.25013945817228</v>
      </c>
      <c r="R5" s="39">
        <v>0.25936756931101901</v>
      </c>
      <c r="S5" s="39">
        <v>0.26522191984242299</v>
      </c>
      <c r="T5" s="39">
        <v>0.22195819712162901</v>
      </c>
      <c r="U5" s="43">
        <v>0.27</v>
      </c>
      <c r="V5" s="43">
        <v>0.19683822562171399</v>
      </c>
      <c r="W5" s="43">
        <f t="shared" si="0"/>
        <v>7.3161774378286026E-2</v>
      </c>
      <c r="X5" s="45">
        <v>0.263068639737704</v>
      </c>
      <c r="Y5" s="45">
        <f t="shared" si="1"/>
        <v>6.9313602622960158E-3</v>
      </c>
    </row>
    <row r="6" spans="1:25" ht="15" x14ac:dyDescent="0.2">
      <c r="B6" s="41">
        <v>20</v>
      </c>
      <c r="C6" s="42">
        <v>500</v>
      </c>
      <c r="D6" s="43">
        <v>4.1203405239014401</v>
      </c>
      <c r="E6" s="41">
        <v>25</v>
      </c>
      <c r="F6" s="44">
        <v>2.1299687966354602E-2</v>
      </c>
      <c r="G6" s="42">
        <v>447.78445698177302</v>
      </c>
      <c r="H6" s="39">
        <v>0.28657424075823801</v>
      </c>
      <c r="I6" s="39">
        <v>0.28556588111350401</v>
      </c>
      <c r="J6" s="39">
        <v>0.51988811637016896</v>
      </c>
      <c r="K6" s="39">
        <v>0.61747078706513403</v>
      </c>
      <c r="L6" s="39">
        <v>0.37984773794742899</v>
      </c>
      <c r="M6" s="39">
        <v>0.61935525922020496</v>
      </c>
      <c r="N6" s="48">
        <v>0.53761071958501128</v>
      </c>
      <c r="O6" s="39">
        <v>0.270437249958693</v>
      </c>
      <c r="P6" s="39">
        <v>0.47841112678792602</v>
      </c>
      <c r="Q6" s="39">
        <v>0.311870443287798</v>
      </c>
      <c r="R6" s="39">
        <v>0.35480967272614</v>
      </c>
      <c r="S6" s="39">
        <v>0.38894806873238702</v>
      </c>
      <c r="T6" s="39">
        <v>0.33838166971153699</v>
      </c>
      <c r="U6" s="43">
        <v>0.35</v>
      </c>
      <c r="V6" s="43">
        <v>0.27750246720927602</v>
      </c>
      <c r="W6" s="43">
        <f t="shared" si="0"/>
        <v>7.2497532790723962E-2</v>
      </c>
      <c r="X6" s="45">
        <v>0.38036310376911198</v>
      </c>
      <c r="Y6" s="45">
        <f t="shared" si="1"/>
        <v>-3.0363103769111999E-2</v>
      </c>
    </row>
    <row r="7" spans="1:25" ht="15" x14ac:dyDescent="0.2">
      <c r="B7" s="41">
        <v>20</v>
      </c>
      <c r="C7" s="42">
        <v>500</v>
      </c>
      <c r="D7" s="43">
        <v>4.1203405239014401</v>
      </c>
      <c r="E7" s="41">
        <v>25</v>
      </c>
      <c r="F7" s="44">
        <v>2.1299687966354602E-2</v>
      </c>
      <c r="G7" s="42">
        <v>500</v>
      </c>
      <c r="H7" s="39">
        <v>0.315463454002951</v>
      </c>
      <c r="I7" s="39">
        <v>0.31435344280458499</v>
      </c>
      <c r="J7" s="39">
        <v>0.53225468628993</v>
      </c>
      <c r="K7" s="39">
        <v>0.64719569928692999</v>
      </c>
      <c r="L7" s="39">
        <v>0.41556255079427201</v>
      </c>
      <c r="M7" s="39">
        <v>0.67443780035593404</v>
      </c>
      <c r="N7" s="48">
        <v>0.58998594466164789</v>
      </c>
      <c r="O7" s="39">
        <v>0.29566222802879699</v>
      </c>
      <c r="P7" s="39">
        <v>0.52095876028064003</v>
      </c>
      <c r="Q7" s="39">
        <v>0.311870443287798</v>
      </c>
      <c r="R7" s="39">
        <v>0.39394405780852898</v>
      </c>
      <c r="S7" s="39">
        <v>0.444319066782003</v>
      </c>
      <c r="T7" s="39">
        <v>0.39713262699758101</v>
      </c>
      <c r="U7" s="43">
        <v>0.4</v>
      </c>
      <c r="V7" s="43">
        <v>0.311870443287798</v>
      </c>
      <c r="W7" s="43">
        <f t="shared" si="0"/>
        <v>8.8129556712202017E-2</v>
      </c>
      <c r="X7" s="45">
        <v>0.420805970660799</v>
      </c>
      <c r="Y7" s="45">
        <f t="shared" si="1"/>
        <v>-2.0805970660798978E-2</v>
      </c>
    </row>
    <row r="8" spans="1:25" ht="15" x14ac:dyDescent="0.2">
      <c r="A8" s="40" t="s">
        <v>23</v>
      </c>
      <c r="B8" s="41">
        <v>10</v>
      </c>
      <c r="C8" s="42">
        <v>500</v>
      </c>
      <c r="D8" s="43">
        <v>4.1311267633290099</v>
      </c>
      <c r="E8" s="41">
        <v>25</v>
      </c>
      <c r="F8" s="44">
        <v>1.44607165883762E-2</v>
      </c>
      <c r="G8" s="42">
        <v>224.984962100529</v>
      </c>
      <c r="H8" s="39">
        <v>0.17110696370813</v>
      </c>
      <c r="I8" s="39">
        <v>0.189366188849765</v>
      </c>
      <c r="J8" s="39">
        <v>0.24321379818370001</v>
      </c>
      <c r="K8" s="39">
        <v>0.144849533368963</v>
      </c>
      <c r="L8" s="39">
        <v>0.181687535010044</v>
      </c>
      <c r="M8" s="39">
        <v>0.26529737942563397</v>
      </c>
      <c r="N8" s="48">
        <v>0.20975786240240399</v>
      </c>
      <c r="O8" s="39">
        <v>0.25496881340038502</v>
      </c>
      <c r="P8" s="39">
        <v>0.18984252639749399</v>
      </c>
      <c r="Q8" s="39">
        <v>0.23225536052908399</v>
      </c>
      <c r="R8" s="39">
        <v>0.22651284178026701</v>
      </c>
      <c r="S8" s="39">
        <v>0.148120891103246</v>
      </c>
      <c r="T8" s="39">
        <v>0.130592528876043</v>
      </c>
      <c r="U8" s="43">
        <v>0.16</v>
      </c>
      <c r="V8" s="43">
        <v>0.135806726806593</v>
      </c>
      <c r="W8" s="43">
        <f t="shared" si="0"/>
        <v>2.4193273193407E-2</v>
      </c>
      <c r="X8" s="45">
        <v>0.22051936594500701</v>
      </c>
      <c r="Y8" s="45">
        <f t="shared" si="1"/>
        <v>-6.0519365945007009E-2</v>
      </c>
    </row>
    <row r="9" spans="1:25" ht="15" x14ac:dyDescent="0.2">
      <c r="B9" s="41">
        <v>10</v>
      </c>
      <c r="C9" s="42">
        <v>500</v>
      </c>
      <c r="D9" s="43">
        <v>4.1311267633290099</v>
      </c>
      <c r="E9" s="41">
        <v>25</v>
      </c>
      <c r="F9" s="44">
        <v>1.44607165883762E-2</v>
      </c>
      <c r="G9" s="42">
        <v>301.65383852985201</v>
      </c>
      <c r="H9" s="39">
        <v>0.22285815917348001</v>
      </c>
      <c r="I9" s="39">
        <v>0.215697106537447</v>
      </c>
      <c r="J9" s="39">
        <v>0.277032097740672</v>
      </c>
      <c r="K9" s="39">
        <v>0.187932054533786</v>
      </c>
      <c r="L9" s="39">
        <v>0.219736483612782</v>
      </c>
      <c r="M9" s="39">
        <v>0.302186348374341</v>
      </c>
      <c r="N9" s="48">
        <v>0.24304781323680189</v>
      </c>
      <c r="O9" s="39">
        <v>0.29679813828389801</v>
      </c>
      <c r="P9" s="39">
        <v>0.21623967768704999</v>
      </c>
      <c r="Q9" s="39">
        <v>0.271508577910959</v>
      </c>
      <c r="R9" s="39">
        <v>0.28561830519105902</v>
      </c>
      <c r="S9" s="39">
        <v>0.19719617246717799</v>
      </c>
      <c r="T9" s="39">
        <v>0.179729227252511</v>
      </c>
      <c r="U9" s="43">
        <v>0.18</v>
      </c>
      <c r="V9" s="43">
        <v>0.179954155396124</v>
      </c>
      <c r="W9" s="43">
        <f t="shared" si="0"/>
        <v>4.5844603875994094E-5</v>
      </c>
      <c r="X9" s="45">
        <v>0.293288436360923</v>
      </c>
      <c r="Y9" s="45">
        <f t="shared" si="1"/>
        <v>-0.11328843636092301</v>
      </c>
    </row>
    <row r="10" spans="1:25" ht="15" x14ac:dyDescent="0.2">
      <c r="B10" s="41">
        <v>10</v>
      </c>
      <c r="C10" s="42">
        <v>500</v>
      </c>
      <c r="D10" s="43">
        <v>4.1311267633290099</v>
      </c>
      <c r="E10" s="41">
        <v>25</v>
      </c>
      <c r="F10" s="44">
        <v>1.44607165883762E-2</v>
      </c>
      <c r="G10" s="42">
        <v>497.36822294177</v>
      </c>
      <c r="H10" s="39">
        <v>0.37520201721244401</v>
      </c>
      <c r="I10" s="39">
        <v>0.318170216250936</v>
      </c>
      <c r="J10" s="39">
        <v>0.363048600827174</v>
      </c>
      <c r="K10" s="39">
        <v>0.32275294604101801</v>
      </c>
      <c r="L10" s="39">
        <v>0.33174401449868102</v>
      </c>
      <c r="M10" s="39">
        <v>0.41077916054402902</v>
      </c>
      <c r="N10" s="48">
        <v>0.34104592706656295</v>
      </c>
      <c r="O10" s="39">
        <v>0.43772597472228197</v>
      </c>
      <c r="P10" s="39">
        <v>0.30517473532265998</v>
      </c>
      <c r="Q10" s="39">
        <v>0.309914237155623</v>
      </c>
      <c r="R10" s="39">
        <v>0.44679834263301199</v>
      </c>
      <c r="S10" s="39">
        <v>0.344296754142696</v>
      </c>
      <c r="T10" s="39">
        <v>0.332475023090406</v>
      </c>
      <c r="U10" s="43">
        <v>0.26</v>
      </c>
      <c r="V10" s="43">
        <v>0.309914237155623</v>
      </c>
      <c r="W10" s="43">
        <f t="shared" si="0"/>
        <v>-4.9914237155622987E-2</v>
      </c>
      <c r="X10" s="45">
        <v>0.491606140616201</v>
      </c>
      <c r="Y10" s="45">
        <f t="shared" si="1"/>
        <v>-0.231606140616201</v>
      </c>
    </row>
    <row r="11" spans="1:25" ht="15" x14ac:dyDescent="0.2">
      <c r="A11" s="40" t="s">
        <v>24</v>
      </c>
      <c r="B11" s="41">
        <v>10</v>
      </c>
      <c r="C11" s="42">
        <v>628</v>
      </c>
      <c r="D11" s="43">
        <v>3.262</v>
      </c>
      <c r="E11" s="41">
        <v>25</v>
      </c>
      <c r="F11" s="44">
        <v>1.8255813953488399E-2</v>
      </c>
      <c r="G11" s="42">
        <v>178.115884475521</v>
      </c>
      <c r="H11" s="39">
        <v>0.16007091811290799</v>
      </c>
      <c r="I11" s="39">
        <v>0.14859328265570901</v>
      </c>
      <c r="J11" s="39">
        <v>0.18440399789461201</v>
      </c>
      <c r="K11" s="39">
        <v>0.13403771715747001</v>
      </c>
      <c r="L11" s="39">
        <v>0.106017284091855</v>
      </c>
      <c r="M11" s="39">
        <v>0.16892962653245999</v>
      </c>
      <c r="N11" s="48">
        <v>0.17597596443391947</v>
      </c>
      <c r="O11" s="39">
        <v>0.21176098535956001</v>
      </c>
      <c r="P11" s="39">
        <v>0.17087505273609899</v>
      </c>
      <c r="Q11" s="39">
        <v>0.190702496058795</v>
      </c>
      <c r="R11" s="39">
        <v>0.17787186850636399</v>
      </c>
      <c r="S11" s="39">
        <v>0.15522032860195301</v>
      </c>
      <c r="T11" s="39">
        <v>0.14312778760291101</v>
      </c>
      <c r="U11" s="43">
        <v>0.16</v>
      </c>
      <c r="V11" s="43">
        <v>0.13868029025440801</v>
      </c>
      <c r="W11" s="43">
        <f t="shared" si="0"/>
        <v>2.1319709745591997E-2</v>
      </c>
      <c r="X11" s="45">
        <v>0.16724728494892799</v>
      </c>
      <c r="Y11" s="45">
        <f t="shared" si="1"/>
        <v>-7.2472849489279845E-3</v>
      </c>
    </row>
    <row r="12" spans="1:25" ht="15" x14ac:dyDescent="0.2">
      <c r="B12" s="41">
        <v>10</v>
      </c>
      <c r="C12" s="42">
        <v>628</v>
      </c>
      <c r="D12" s="43">
        <v>3.262</v>
      </c>
      <c r="E12" s="41">
        <v>25</v>
      </c>
      <c r="F12" s="44">
        <v>1.8255813953488399E-2</v>
      </c>
      <c r="G12" s="42">
        <v>242.19703933436799</v>
      </c>
      <c r="H12" s="39">
        <v>0.199877121284813</v>
      </c>
      <c r="I12" s="39">
        <v>0.17429163285246499</v>
      </c>
      <c r="J12" s="39">
        <v>0.21024959759952699</v>
      </c>
      <c r="K12" s="39">
        <v>0.174243547470355</v>
      </c>
      <c r="L12" s="39">
        <v>0.13588175169896299</v>
      </c>
      <c r="M12" s="39">
        <v>0.19260637733779701</v>
      </c>
      <c r="N12" s="48">
        <v>0.20490244342682506</v>
      </c>
      <c r="O12" s="39">
        <v>0.24668620966237301</v>
      </c>
      <c r="P12" s="39">
        <v>0.194824469576277</v>
      </c>
      <c r="Q12" s="39">
        <v>0.221492056589981</v>
      </c>
      <c r="R12" s="39">
        <v>0.21990122075795801</v>
      </c>
      <c r="S12" s="39">
        <v>0.19386067036905399</v>
      </c>
      <c r="T12" s="39">
        <v>0.18158135223222199</v>
      </c>
      <c r="U12" s="43">
        <v>0.2</v>
      </c>
      <c r="V12" s="43">
        <v>0.17212891101716901</v>
      </c>
      <c r="W12" s="43">
        <f t="shared" si="0"/>
        <v>2.7871088982830999E-2</v>
      </c>
      <c r="X12" s="45">
        <v>0.214040810849146</v>
      </c>
      <c r="Y12" s="45">
        <f t="shared" si="1"/>
        <v>-1.404081084914599E-2</v>
      </c>
    </row>
    <row r="13" spans="1:25" ht="15" x14ac:dyDescent="0.2">
      <c r="B13" s="41">
        <v>10</v>
      </c>
      <c r="C13" s="42">
        <v>628</v>
      </c>
      <c r="D13" s="43">
        <v>3.262</v>
      </c>
      <c r="E13" s="41">
        <v>25</v>
      </c>
      <c r="F13" s="44">
        <v>1.8255813953488399E-2</v>
      </c>
      <c r="G13" s="42">
        <v>308.133730145237</v>
      </c>
      <c r="H13" s="39">
        <v>0.242366888715498</v>
      </c>
      <c r="I13" s="39">
        <v>0.211342451362418</v>
      </c>
      <c r="J13" s="39">
        <v>0.23783759728454701</v>
      </c>
      <c r="K13" s="39">
        <v>0.22297048347265599</v>
      </c>
      <c r="L13" s="39">
        <v>0.167759554200933</v>
      </c>
      <c r="M13" s="39">
        <v>0.21787931359068499</v>
      </c>
      <c r="N13" s="48">
        <v>0.23577902212711754</v>
      </c>
      <c r="O13" s="39">
        <v>0.28396594346874698</v>
      </c>
      <c r="P13" s="39">
        <v>0.220388453843882</v>
      </c>
      <c r="Q13" s="39">
        <v>0.254820249615275</v>
      </c>
      <c r="R13" s="39">
        <v>0.26343171086443701</v>
      </c>
      <c r="S13" s="39">
        <v>0.235621601015159</v>
      </c>
      <c r="T13" s="39">
        <v>0.22381591731393799</v>
      </c>
      <c r="U13" s="43">
        <v>0.2</v>
      </c>
      <c r="V13" s="43">
        <v>0.20783249497741799</v>
      </c>
      <c r="W13" s="43">
        <f t="shared" si="0"/>
        <v>-7.8324949774179753E-3</v>
      </c>
      <c r="X13" s="45">
        <v>0.26398895647297399</v>
      </c>
      <c r="Y13" s="45">
        <f t="shared" si="1"/>
        <v>-6.3988956472973979E-2</v>
      </c>
    </row>
    <row r="14" spans="1:25" ht="15" x14ac:dyDescent="0.2">
      <c r="B14" s="41">
        <v>10</v>
      </c>
      <c r="C14" s="42">
        <v>628</v>
      </c>
      <c r="D14" s="43">
        <v>3.262</v>
      </c>
      <c r="E14" s="41">
        <v>25</v>
      </c>
      <c r="F14" s="44">
        <v>1.8255813953488399E-2</v>
      </c>
      <c r="G14" s="42">
        <v>368.31936401396001</v>
      </c>
      <c r="H14" s="39">
        <v>0.28530391685598</v>
      </c>
      <c r="I14" s="39">
        <v>0.24878327848826601</v>
      </c>
      <c r="J14" s="39">
        <v>0.26571599696625298</v>
      </c>
      <c r="K14" s="39">
        <v>0.27830548142392703</v>
      </c>
      <c r="L14" s="39">
        <v>0.19997291251871199</v>
      </c>
      <c r="M14" s="39">
        <v>0.24341828075149699</v>
      </c>
      <c r="N14" s="48">
        <v>0.26698061744530777</v>
      </c>
      <c r="O14" s="39">
        <v>0.32163809552571299</v>
      </c>
      <c r="P14" s="39">
        <v>0.24622153268272501</v>
      </c>
      <c r="Q14" s="39">
        <v>0.28886191848308501</v>
      </c>
      <c r="R14" s="39">
        <v>0.30622884838300801</v>
      </c>
      <c r="S14" s="39">
        <v>0.27836299256323399</v>
      </c>
      <c r="T14" s="39">
        <v>0.26774188935436299</v>
      </c>
      <c r="U14" s="43">
        <v>0.24</v>
      </c>
      <c r="V14" s="43">
        <v>0.243911906137249</v>
      </c>
      <c r="W14" s="43">
        <f t="shared" si="0"/>
        <v>-3.9119061372490105E-3</v>
      </c>
      <c r="X14" s="45">
        <v>0.31446287205073697</v>
      </c>
      <c r="Y14" s="45">
        <f t="shared" si="1"/>
        <v>-7.4462872050736983E-2</v>
      </c>
    </row>
    <row r="15" spans="1:25" ht="15" x14ac:dyDescent="0.2">
      <c r="B15" s="41">
        <v>10</v>
      </c>
      <c r="C15" s="42">
        <v>628</v>
      </c>
      <c r="D15" s="43">
        <v>3.262</v>
      </c>
      <c r="E15" s="41">
        <v>25</v>
      </c>
      <c r="F15" s="44">
        <v>1.8255813953488399E-2</v>
      </c>
      <c r="G15" s="42">
        <v>401.01024685519002</v>
      </c>
      <c r="H15" s="39">
        <v>0.31303408086337497</v>
      </c>
      <c r="I15" s="39">
        <v>0.27296381267371</v>
      </c>
      <c r="J15" s="39">
        <v>0.28372079676068701</v>
      </c>
      <c r="K15" s="39">
        <v>0.31729899713708898</v>
      </c>
      <c r="L15" s="39">
        <v>0.22077737309894499</v>
      </c>
      <c r="M15" s="39">
        <v>0.25991219704285601</v>
      </c>
      <c r="N15" s="48">
        <v>0.28713164775497241</v>
      </c>
      <c r="O15" s="39">
        <v>0.34596802706250501</v>
      </c>
      <c r="P15" s="39">
        <v>0.26290539609947899</v>
      </c>
      <c r="Q15" s="39">
        <v>0.31099971222279998</v>
      </c>
      <c r="R15" s="39">
        <v>0.33331793602861398</v>
      </c>
      <c r="S15" s="39">
        <v>0.30625576865263598</v>
      </c>
      <c r="T15" s="39">
        <v>0.29677686606404502</v>
      </c>
      <c r="U15" s="43">
        <v>0.3</v>
      </c>
      <c r="V15" s="43">
        <v>0.26721319251130699</v>
      </c>
      <c r="W15" s="43">
        <f t="shared" si="0"/>
        <v>3.2786807488693004E-2</v>
      </c>
      <c r="X15" s="45">
        <v>0.34706060919470899</v>
      </c>
      <c r="Y15" s="45">
        <f t="shared" si="1"/>
        <v>-4.7060609194709002E-2</v>
      </c>
    </row>
    <row r="16" spans="1:25" ht="15" x14ac:dyDescent="0.2">
      <c r="B16" s="41">
        <v>10</v>
      </c>
      <c r="C16" s="42">
        <v>628</v>
      </c>
      <c r="D16" s="43">
        <v>3.262</v>
      </c>
      <c r="E16" s="41">
        <v>25</v>
      </c>
      <c r="F16" s="44">
        <v>1.8255813953488399E-2</v>
      </c>
      <c r="G16" s="42">
        <v>498.05772985669199</v>
      </c>
      <c r="H16" s="39">
        <v>0.37251975526633402</v>
      </c>
      <c r="I16" s="39">
        <v>0.324834958587645</v>
      </c>
      <c r="J16" s="39">
        <v>0.322343996319716</v>
      </c>
      <c r="K16" s="39">
        <v>0.40956753998318202</v>
      </c>
      <c r="L16" s="39">
        <v>0.26540629660170201</v>
      </c>
      <c r="M16" s="39">
        <v>0.29529430779689803</v>
      </c>
      <c r="N16" s="48">
        <v>0.33035885793538172</v>
      </c>
      <c r="O16" s="39">
        <v>0.39815965439142798</v>
      </c>
      <c r="P16" s="39">
        <v>0.29869497407412599</v>
      </c>
      <c r="Q16" s="39">
        <v>0.35880546475868003</v>
      </c>
      <c r="R16" s="39">
        <v>0.390192148969359</v>
      </c>
      <c r="S16" s="39">
        <v>0.36685529834597502</v>
      </c>
      <c r="T16" s="39">
        <v>0.360825132369888</v>
      </c>
      <c r="U16" s="43">
        <v>0.32</v>
      </c>
      <c r="V16" s="43">
        <v>0.31719821005565602</v>
      </c>
      <c r="W16" s="43">
        <f t="shared" si="0"/>
        <v>2.8017899443439909E-3</v>
      </c>
      <c r="X16" s="45">
        <v>0.41698801306806899</v>
      </c>
      <c r="Y16" s="45">
        <f t="shared" si="1"/>
        <v>-9.6988013068068979E-2</v>
      </c>
    </row>
    <row r="17" spans="1:25" ht="15" x14ac:dyDescent="0.2">
      <c r="B17" s="41">
        <v>10</v>
      </c>
      <c r="C17" s="42">
        <v>628</v>
      </c>
      <c r="D17" s="43">
        <v>3.262</v>
      </c>
      <c r="E17" s="41">
        <v>25</v>
      </c>
      <c r="F17" s="44">
        <v>1.8255813953488399E-2</v>
      </c>
      <c r="G17" s="42">
        <v>502.76188353839802</v>
      </c>
      <c r="H17" s="39">
        <v>0.376992362364301</v>
      </c>
      <c r="I17" s="39">
        <v>0.32873504474658699</v>
      </c>
      <c r="J17" s="39">
        <v>0.32524799628656098</v>
      </c>
      <c r="K17" s="39">
        <v>0.416980376718533</v>
      </c>
      <c r="L17" s="39">
        <v>0.26876185475980402</v>
      </c>
      <c r="M17" s="39">
        <v>0.29795461687614999</v>
      </c>
      <c r="N17" s="48">
        <v>0.33360902411436</v>
      </c>
      <c r="O17" s="39">
        <v>0.40208383689736199</v>
      </c>
      <c r="P17" s="39">
        <v>0.30138591978650597</v>
      </c>
      <c r="Q17" s="39">
        <v>0.36241473948124098</v>
      </c>
      <c r="R17" s="39">
        <v>0.39440780938480902</v>
      </c>
      <c r="S17" s="39">
        <v>0.371453835854817</v>
      </c>
      <c r="T17" s="39">
        <v>0.36573803028877799</v>
      </c>
      <c r="U17" s="43">
        <v>0.38</v>
      </c>
      <c r="V17" s="43">
        <v>0.32095648205147198</v>
      </c>
      <c r="W17" s="43">
        <f t="shared" si="0"/>
        <v>5.9043517948528024E-2</v>
      </c>
      <c r="X17" s="45">
        <v>0.42092646353136298</v>
      </c>
      <c r="Y17" s="45">
        <f t="shared" si="1"/>
        <v>-4.0926463531362978E-2</v>
      </c>
    </row>
    <row r="18" spans="1:25" ht="15" x14ac:dyDescent="0.2">
      <c r="B18" s="41">
        <v>10</v>
      </c>
      <c r="C18" s="42">
        <v>628</v>
      </c>
      <c r="D18" s="43">
        <v>3.262</v>
      </c>
      <c r="E18" s="41">
        <v>25</v>
      </c>
      <c r="F18" s="44">
        <v>1.8255813953488399E-2</v>
      </c>
      <c r="G18" s="42">
        <v>538.67344664828295</v>
      </c>
      <c r="H18" s="39">
        <v>0.412773219148035</v>
      </c>
      <c r="I18" s="39">
        <v>0.35993573401812701</v>
      </c>
      <c r="J18" s="39">
        <v>0.34847999602131502</v>
      </c>
      <c r="K18" s="39">
        <v>0.47867645286566302</v>
      </c>
      <c r="L18" s="39">
        <v>0.29560632002462101</v>
      </c>
      <c r="M18" s="39">
        <v>0.319237089510161</v>
      </c>
      <c r="N18" s="48">
        <v>0.35961035354618515</v>
      </c>
      <c r="O18" s="39">
        <v>0.433477296944834</v>
      </c>
      <c r="P18" s="39">
        <v>0.322913485485542</v>
      </c>
      <c r="Q18" s="39">
        <v>0.39135242888331701</v>
      </c>
      <c r="R18" s="39">
        <v>0.42786467520772697</v>
      </c>
      <c r="S18" s="39">
        <v>0.408454520280917</v>
      </c>
      <c r="T18" s="39">
        <v>0.40553080758862697</v>
      </c>
      <c r="U18" s="43">
        <v>0.42</v>
      </c>
      <c r="V18" s="43">
        <v>0.35102265801799798</v>
      </c>
      <c r="W18" s="43">
        <f t="shared" si="0"/>
        <v>6.8977341982002005E-2</v>
      </c>
      <c r="X18" s="45">
        <v>0.45099263949788898</v>
      </c>
      <c r="Y18" s="45">
        <f t="shared" si="1"/>
        <v>-3.0992639497888996E-2</v>
      </c>
    </row>
    <row r="19" spans="1:25" ht="15" x14ac:dyDescent="0.2">
      <c r="B19" s="41">
        <v>10</v>
      </c>
      <c r="C19" s="42">
        <v>628</v>
      </c>
      <c r="D19" s="43">
        <v>3.262</v>
      </c>
      <c r="E19" s="41">
        <v>25</v>
      </c>
      <c r="F19" s="44">
        <v>1.8255813953488399E-2</v>
      </c>
      <c r="G19" s="42">
        <v>628</v>
      </c>
      <c r="H19" s="39">
        <v>0.50177465310629799</v>
      </c>
      <c r="I19" s="39">
        <v>0.43754444256407599</v>
      </c>
      <c r="J19" s="39">
        <v>0.39471097380685</v>
      </c>
      <c r="K19" s="39">
        <v>0.61410800657888298</v>
      </c>
      <c r="L19" s="39">
        <v>0.36237934105237501</v>
      </c>
      <c r="M19" s="39">
        <v>0.37217518973657698</v>
      </c>
      <c r="N19" s="48">
        <v>0.42428615542093412</v>
      </c>
      <c r="O19" s="39">
        <v>0.511565504223497</v>
      </c>
      <c r="P19" s="39">
        <v>0.37646123109782298</v>
      </c>
      <c r="Q19" s="39">
        <v>0.42580937402192098</v>
      </c>
      <c r="R19" s="39">
        <v>0.50932235697842299</v>
      </c>
      <c r="S19" s="39">
        <v>0.50212779816146702</v>
      </c>
      <c r="T19" s="39">
        <v>0.50828663812151598</v>
      </c>
      <c r="U19" s="43">
        <v>0.44</v>
      </c>
      <c r="V19" s="43">
        <v>0.42580937402192098</v>
      </c>
      <c r="W19" s="43">
        <f t="shared" si="0"/>
        <v>1.4190625978079019E-2</v>
      </c>
      <c r="X19" s="45">
        <v>0.52577935550181198</v>
      </c>
      <c r="Y19" s="45">
        <f t="shared" si="1"/>
        <v>-8.5779355501811982E-2</v>
      </c>
    </row>
    <row r="20" spans="1:25" ht="15" x14ac:dyDescent="0.2">
      <c r="B20" s="41">
        <v>10</v>
      </c>
      <c r="C20" s="42">
        <v>628</v>
      </c>
      <c r="D20" s="43">
        <v>3.262</v>
      </c>
      <c r="E20" s="41">
        <v>25</v>
      </c>
      <c r="F20" s="44">
        <v>1.8255813953488399E-2</v>
      </c>
      <c r="G20" s="42">
        <v>628</v>
      </c>
      <c r="H20" s="39">
        <v>0.50177465310629799</v>
      </c>
      <c r="I20" s="39">
        <v>0.43754444256407599</v>
      </c>
      <c r="J20" s="39">
        <v>0.39471097380685</v>
      </c>
      <c r="K20" s="39">
        <v>0.61410800657888298</v>
      </c>
      <c r="L20" s="39">
        <v>0.36237934105237501</v>
      </c>
      <c r="M20" s="39">
        <v>0.37217518973657698</v>
      </c>
      <c r="N20" s="48">
        <v>0.42428615542093412</v>
      </c>
      <c r="O20" s="39">
        <v>0.511565504223497</v>
      </c>
      <c r="P20" s="39">
        <v>0.37646123109782298</v>
      </c>
      <c r="Q20" s="39">
        <v>0.42580937402192098</v>
      </c>
      <c r="R20" s="39">
        <v>0.50932235697842299</v>
      </c>
      <c r="S20" s="39">
        <v>0.50212779816146702</v>
      </c>
      <c r="T20" s="39">
        <v>0.50828663812151598</v>
      </c>
      <c r="U20" s="43">
        <v>0.5</v>
      </c>
      <c r="V20" s="43">
        <v>0.42580937402192098</v>
      </c>
      <c r="W20" s="43">
        <f t="shared" si="0"/>
        <v>7.4190625978079017E-2</v>
      </c>
      <c r="X20" s="45">
        <v>0.52577935550181198</v>
      </c>
      <c r="Y20" s="45">
        <f t="shared" si="1"/>
        <v>-2.5779355501811985E-2</v>
      </c>
    </row>
    <row r="21" spans="1:25" ht="15" x14ac:dyDescent="0.2">
      <c r="A21" s="40" t="s">
        <v>25</v>
      </c>
      <c r="B21" s="41">
        <v>10</v>
      </c>
      <c r="C21" s="42">
        <v>628</v>
      </c>
      <c r="D21" s="43">
        <v>3.5139999999999998</v>
      </c>
      <c r="E21" s="41">
        <v>25</v>
      </c>
      <c r="F21" s="44">
        <v>1.8255813953488399E-2</v>
      </c>
      <c r="G21" s="42">
        <v>249.68578408509899</v>
      </c>
      <c r="H21" s="39">
        <v>0.189229893046237</v>
      </c>
      <c r="I21" s="39">
        <v>0.16758074432571601</v>
      </c>
      <c r="J21" s="39">
        <v>0.20908799761278901</v>
      </c>
      <c r="K21" s="39">
        <v>0.15996566082219801</v>
      </c>
      <c r="L21" s="39">
        <v>0.13324468767213801</v>
      </c>
      <c r="M21" s="39">
        <v>0.19995733054196599</v>
      </c>
      <c r="N21" s="48">
        <v>0.20305443552249855</v>
      </c>
      <c r="O21" s="39">
        <v>0.24360227547511701</v>
      </c>
      <c r="P21" s="39">
        <v>0.19246157522098101</v>
      </c>
      <c r="Q21" s="39">
        <v>0.21394781753831399</v>
      </c>
      <c r="R21" s="39">
        <v>0.21355665077181099</v>
      </c>
      <c r="S21" s="39">
        <v>0.18257373577591601</v>
      </c>
      <c r="T21" s="39">
        <v>0.17134979849018001</v>
      </c>
      <c r="U21" s="43">
        <v>0.24</v>
      </c>
      <c r="V21" s="43">
        <v>0.16333872081928399</v>
      </c>
      <c r="W21" s="43">
        <f t="shared" si="0"/>
        <v>7.6661279180715997E-2</v>
      </c>
      <c r="X21" s="45">
        <v>0.206339105936133</v>
      </c>
      <c r="Y21" s="45">
        <f t="shared" si="1"/>
        <v>3.3660894063866992E-2</v>
      </c>
    </row>
    <row r="22" spans="1:25" ht="15" x14ac:dyDescent="0.2">
      <c r="B22" s="41">
        <v>10</v>
      </c>
      <c r="C22" s="42">
        <v>628</v>
      </c>
      <c r="D22" s="43">
        <v>3.5139999999999998</v>
      </c>
      <c r="E22" s="41">
        <v>25</v>
      </c>
      <c r="F22" s="44">
        <v>1.8255813953488399E-2</v>
      </c>
      <c r="G22" s="42">
        <v>336.57379598670002</v>
      </c>
      <c r="H22" s="39">
        <v>0.22481898461479799</v>
      </c>
      <c r="I22" s="39">
        <v>0.19604078582316301</v>
      </c>
      <c r="J22" s="39">
        <v>0.23231999734754299</v>
      </c>
      <c r="K22" s="39">
        <v>0.19748847015086199</v>
      </c>
      <c r="L22" s="39">
        <v>0.15994528174100101</v>
      </c>
      <c r="M22" s="39">
        <v>0.22217481171329601</v>
      </c>
      <c r="N22" s="48">
        <v>0.22900667532816874</v>
      </c>
      <c r="O22" s="39">
        <v>0.27482748427982501</v>
      </c>
      <c r="P22" s="39">
        <v>0.21384619468997901</v>
      </c>
      <c r="Q22" s="39">
        <v>0.24173393615327901</v>
      </c>
      <c r="R22" s="39">
        <v>0.250468611260248</v>
      </c>
      <c r="S22" s="39">
        <v>0.21704771317582899</v>
      </c>
      <c r="T22" s="39">
        <v>0.20671487282845299</v>
      </c>
      <c r="U22" s="43">
        <v>0.3</v>
      </c>
      <c r="V22" s="43">
        <v>0.193213400157039</v>
      </c>
      <c r="W22" s="43">
        <f t="shared" si="0"/>
        <v>0.10678659984296099</v>
      </c>
      <c r="X22" s="45">
        <v>0.24880889422913299</v>
      </c>
      <c r="Y22" s="45">
        <f t="shared" si="1"/>
        <v>5.1191105770866996E-2</v>
      </c>
    </row>
    <row r="23" spans="1:25" ht="15" x14ac:dyDescent="0.2">
      <c r="B23" s="41">
        <v>10</v>
      </c>
      <c r="C23" s="42">
        <v>628</v>
      </c>
      <c r="D23" s="43">
        <v>3.5139999999999998</v>
      </c>
      <c r="E23" s="41">
        <v>25</v>
      </c>
      <c r="F23" s="44">
        <v>1.8255813953488399E-2</v>
      </c>
      <c r="G23" s="42">
        <v>361.87936337741297</v>
      </c>
      <c r="H23" s="39">
        <v>0.23816489395300899</v>
      </c>
      <c r="I23" s="39">
        <v>0.20767833751244899</v>
      </c>
      <c r="J23" s="39">
        <v>0.241031997248076</v>
      </c>
      <c r="K23" s="39">
        <v>0.212577823573326</v>
      </c>
      <c r="L23" s="39">
        <v>0.169958004516824</v>
      </c>
      <c r="M23" s="39">
        <v>0.230506367152544</v>
      </c>
      <c r="N23" s="48">
        <v>0.23873876525529497</v>
      </c>
      <c r="O23" s="39">
        <v>0.28653693758159099</v>
      </c>
      <c r="P23" s="39">
        <v>0.22186542699085299</v>
      </c>
      <c r="Q23" s="39">
        <v>0.25222768236312199</v>
      </c>
      <c r="R23" s="39">
        <v>0.26407332302897701</v>
      </c>
      <c r="S23" s="39">
        <v>0.230061655297984</v>
      </c>
      <c r="T23" s="39">
        <v>0.22021397739836299</v>
      </c>
      <c r="U23" s="43">
        <v>0.3</v>
      </c>
      <c r="V23" s="43">
        <v>0.204416404908698</v>
      </c>
      <c r="W23" s="43">
        <f t="shared" si="0"/>
        <v>9.5583595091301987E-2</v>
      </c>
      <c r="X23" s="45">
        <v>0.26473506483900699</v>
      </c>
      <c r="Y23" s="45">
        <f t="shared" si="1"/>
        <v>3.5264935160992994E-2</v>
      </c>
    </row>
    <row r="24" spans="1:25" ht="15" x14ac:dyDescent="0.2">
      <c r="B24" s="41">
        <v>10</v>
      </c>
      <c r="C24" s="42">
        <v>628</v>
      </c>
      <c r="D24" s="43">
        <v>3.5139999999999998</v>
      </c>
      <c r="E24" s="41">
        <v>25</v>
      </c>
      <c r="F24" s="44">
        <v>1.8255813953488399E-2</v>
      </c>
      <c r="G24" s="42">
        <v>392.91007120761401</v>
      </c>
      <c r="H24" s="39">
        <v>0.26040807618335998</v>
      </c>
      <c r="I24" s="39">
        <v>0.22707425699459199</v>
      </c>
      <c r="J24" s="39">
        <v>0.25555199708229798</v>
      </c>
      <c r="K24" s="39">
        <v>0.23896104888254299</v>
      </c>
      <c r="L24" s="39">
        <v>0.186645875809863</v>
      </c>
      <c r="M24" s="39">
        <v>0.244392292884625</v>
      </c>
      <c r="N24" s="48">
        <v>0.25495891513383884</v>
      </c>
      <c r="O24" s="39">
        <v>0.30605269308453298</v>
      </c>
      <c r="P24" s="39">
        <v>0.23523081415897601</v>
      </c>
      <c r="Q24" s="39">
        <v>0.26979363219017</v>
      </c>
      <c r="R24" s="39">
        <v>0.28648528274506802</v>
      </c>
      <c r="S24" s="39">
        <v>0.25185604440725901</v>
      </c>
      <c r="T24" s="39">
        <v>0.243000002218587</v>
      </c>
      <c r="U24" s="43">
        <v>0.3</v>
      </c>
      <c r="V24" s="43">
        <v>0.22308807949479501</v>
      </c>
      <c r="W24" s="43">
        <f t="shared" si="0"/>
        <v>7.6911920505204984E-2</v>
      </c>
      <c r="X24" s="45">
        <v>0.29127868252213202</v>
      </c>
      <c r="Y24" s="45">
        <f t="shared" si="1"/>
        <v>8.7213174778679736E-3</v>
      </c>
    </row>
    <row r="25" spans="1:25" ht="15" x14ac:dyDescent="0.2">
      <c r="B25" s="41">
        <v>10</v>
      </c>
      <c r="C25" s="42">
        <v>628</v>
      </c>
      <c r="D25" s="43">
        <v>3.5139999999999998</v>
      </c>
      <c r="E25" s="41">
        <v>25</v>
      </c>
      <c r="F25" s="44">
        <v>1.8255813953488399E-2</v>
      </c>
      <c r="G25" s="42">
        <v>424.16428141731097</v>
      </c>
      <c r="H25" s="39">
        <v>0.29154853130585101</v>
      </c>
      <c r="I25" s="39">
        <v>0.25422854426959202</v>
      </c>
      <c r="J25" s="39">
        <v>0.27587999685020798</v>
      </c>
      <c r="K25" s="39">
        <v>0.27848960048617699</v>
      </c>
      <c r="L25" s="39">
        <v>0.21000889562011801</v>
      </c>
      <c r="M25" s="39">
        <v>0.26383258890953898</v>
      </c>
      <c r="N25" s="48">
        <v>0.27766712496380014</v>
      </c>
      <c r="O25" s="39">
        <v>0.33337475078865197</v>
      </c>
      <c r="P25" s="39">
        <v>0.25394235619435002</v>
      </c>
      <c r="Q25" s="39">
        <v>0.29452570580067</v>
      </c>
      <c r="R25" s="39">
        <v>0.317355360279721</v>
      </c>
      <c r="S25" s="39">
        <v>0.28258760886217599</v>
      </c>
      <c r="T25" s="39">
        <v>0.27550422309468497</v>
      </c>
      <c r="U25" s="43">
        <v>0.38</v>
      </c>
      <c r="V25" s="43">
        <v>0.24922842391533101</v>
      </c>
      <c r="W25" s="43">
        <f t="shared" si="0"/>
        <v>0.13077157608466899</v>
      </c>
      <c r="X25" s="45">
        <v>0.328439747278506</v>
      </c>
      <c r="Y25" s="45">
        <f t="shared" si="1"/>
        <v>5.1560252721494004E-2</v>
      </c>
    </row>
    <row r="26" spans="1:25" ht="15" x14ac:dyDescent="0.2">
      <c r="B26" s="41">
        <v>10</v>
      </c>
      <c r="C26" s="42">
        <v>628</v>
      </c>
      <c r="D26" s="43">
        <v>3.5139999999999998</v>
      </c>
      <c r="E26" s="41">
        <v>25</v>
      </c>
      <c r="F26" s="44">
        <v>1.8255813953488399E-2</v>
      </c>
      <c r="G26" s="42">
        <v>491.13758900951802</v>
      </c>
      <c r="H26" s="39">
        <v>0.35827807799690298</v>
      </c>
      <c r="I26" s="39">
        <v>0.312416302716021</v>
      </c>
      <c r="J26" s="39">
        <v>0.31943999635287201</v>
      </c>
      <c r="K26" s="39">
        <v>0.37337663887897399</v>
      </c>
      <c r="L26" s="39">
        <v>0.26007250949923499</v>
      </c>
      <c r="M26" s="39">
        <v>0.30549036610578201</v>
      </c>
      <c r="N26" s="48">
        <v>0.32632757459943168</v>
      </c>
      <c r="O26" s="39">
        <v>0.39192201729748</v>
      </c>
      <c r="P26" s="39">
        <v>0.29403851769872102</v>
      </c>
      <c r="Q26" s="39">
        <v>0.34796081807492901</v>
      </c>
      <c r="R26" s="39">
        <v>0.38179391417313502</v>
      </c>
      <c r="S26" s="39">
        <v>0.34930296723745002</v>
      </c>
      <c r="T26" s="39">
        <v>0.34752814190261799</v>
      </c>
      <c r="U26" s="43">
        <v>0.44</v>
      </c>
      <c r="V26" s="43">
        <v>0.30524344767362299</v>
      </c>
      <c r="W26" s="43">
        <f t="shared" si="0"/>
        <v>0.13475655232637701</v>
      </c>
      <c r="X26" s="45">
        <v>0.40807060032788001</v>
      </c>
      <c r="Y26" s="45">
        <f t="shared" si="1"/>
        <v>3.1929399672119996E-2</v>
      </c>
    </row>
    <row r="27" spans="1:25" ht="15" x14ac:dyDescent="0.2">
      <c r="A27" s="40" t="s">
        <v>26</v>
      </c>
      <c r="B27" s="41">
        <v>16</v>
      </c>
      <c r="C27" s="42">
        <v>571</v>
      </c>
      <c r="D27" s="43">
        <v>4.2587999999999999</v>
      </c>
      <c r="E27" s="41">
        <v>33</v>
      </c>
      <c r="F27" s="44">
        <v>4.0800000000000003E-2</v>
      </c>
      <c r="G27" s="42">
        <v>63.4584540622213</v>
      </c>
      <c r="H27" s="39">
        <v>5.34417672094403E-2</v>
      </c>
      <c r="I27" s="39">
        <v>6.9589927034866203E-2</v>
      </c>
      <c r="J27" s="39">
        <v>4.9777664148208702E-2</v>
      </c>
      <c r="K27" s="39">
        <v>4.4458844902455802E-2</v>
      </c>
      <c r="L27" s="39">
        <v>6.02422839544767E-2</v>
      </c>
      <c r="M27" s="39">
        <v>0.116644488774822</v>
      </c>
      <c r="N27" s="48">
        <v>0.11455523089128249</v>
      </c>
      <c r="O27" s="39">
        <v>5.86411770784563E-2</v>
      </c>
      <c r="P27" s="39">
        <v>0.113657525273181</v>
      </c>
      <c r="Q27" s="39">
        <v>0.101570248247997</v>
      </c>
      <c r="R27" s="39">
        <v>6.1406820589577103E-2</v>
      </c>
      <c r="S27" s="39">
        <v>7.0934735712337799E-2</v>
      </c>
      <c r="T27" s="39">
        <v>6.1382612698444999E-2</v>
      </c>
      <c r="U27" s="43">
        <v>0.18</v>
      </c>
      <c r="V27" s="43">
        <v>5.4713257349968597E-2</v>
      </c>
      <c r="W27" s="43">
        <f t="shared" si="0"/>
        <v>0.1252867426500314</v>
      </c>
      <c r="X27" s="45">
        <v>6.1406820589577103E-2</v>
      </c>
      <c r="Y27" s="45">
        <f t="shared" si="1"/>
        <v>0.11859317941042288</v>
      </c>
    </row>
    <row r="28" spans="1:25" ht="15" x14ac:dyDescent="0.2">
      <c r="B28" s="41">
        <v>16</v>
      </c>
      <c r="C28" s="42">
        <v>571</v>
      </c>
      <c r="D28" s="43">
        <v>4.2587999999999999</v>
      </c>
      <c r="E28" s="41">
        <v>33</v>
      </c>
      <c r="F28" s="44">
        <v>4.0800000000000003E-2</v>
      </c>
      <c r="G28" s="42">
        <v>132.58576977166399</v>
      </c>
      <c r="H28" s="39">
        <v>8.4991922663127106E-2</v>
      </c>
      <c r="I28" s="39">
        <v>0.110673392844599</v>
      </c>
      <c r="J28" s="39">
        <v>7.1657956081487298E-2</v>
      </c>
      <c r="K28" s="39">
        <v>9.2133587413482002E-2</v>
      </c>
      <c r="L28" s="39">
        <v>8.9841923144631297E-2</v>
      </c>
      <c r="M28" s="39">
        <v>0.167916791532985</v>
      </c>
      <c r="N28" s="48">
        <v>0.18546760436821591</v>
      </c>
      <c r="O28" s="39">
        <v>8.9108063400974394E-2</v>
      </c>
      <c r="P28" s="39">
        <v>0.16361687704161201</v>
      </c>
      <c r="Q28" s="39">
        <v>0.150242305935923</v>
      </c>
      <c r="R28" s="39">
        <v>0.12632481134392201</v>
      </c>
      <c r="S28" s="39">
        <v>0.13515912529002899</v>
      </c>
      <c r="T28" s="39">
        <v>0.121643412474959</v>
      </c>
      <c r="U28" s="43">
        <v>0.2</v>
      </c>
      <c r="V28" s="43">
        <v>0.10778702027692399</v>
      </c>
      <c r="W28" s="43">
        <f t="shared" si="0"/>
        <v>9.2212979723076016E-2</v>
      </c>
      <c r="X28" s="45">
        <v>0.117386667274441</v>
      </c>
      <c r="Y28" s="45">
        <f t="shared" si="1"/>
        <v>8.2613332725559013E-2</v>
      </c>
    </row>
    <row r="29" spans="1:25" ht="15" x14ac:dyDescent="0.2">
      <c r="B29" s="41">
        <v>16</v>
      </c>
      <c r="C29" s="42">
        <v>571</v>
      </c>
      <c r="D29" s="43">
        <v>4.2587999999999999</v>
      </c>
      <c r="E29" s="41">
        <v>33</v>
      </c>
      <c r="F29" s="44">
        <v>4.0800000000000003E-2</v>
      </c>
      <c r="G29" s="42">
        <v>182.10678102364301</v>
      </c>
      <c r="H29" s="39">
        <v>0.106682654537537</v>
      </c>
      <c r="I29" s="39">
        <v>0.138918275588791</v>
      </c>
      <c r="J29" s="39">
        <v>8.6700656785616295E-2</v>
      </c>
      <c r="K29" s="39">
        <v>0.134875765771129</v>
      </c>
      <c r="L29" s="39">
        <v>0.110191675087863</v>
      </c>
      <c r="M29" s="39">
        <v>0.20316649967922301</v>
      </c>
      <c r="N29" s="48">
        <v>0.23421986113360763</v>
      </c>
      <c r="O29" s="39">
        <v>0.110054047747706</v>
      </c>
      <c r="P29" s="39">
        <v>0.197963931382408</v>
      </c>
      <c r="Q29" s="39">
        <v>0.18490107695969901</v>
      </c>
      <c r="R29" s="39">
        <v>0.171352578224402</v>
      </c>
      <c r="S29" s="39">
        <v>0.180241955343307</v>
      </c>
      <c r="T29" s="39">
        <v>0.165252277490784</v>
      </c>
      <c r="U29" s="43">
        <v>0.26</v>
      </c>
      <c r="V29" s="43">
        <v>0.144275232289206</v>
      </c>
      <c r="W29" s="43">
        <f t="shared" si="0"/>
        <v>0.11572476771079401</v>
      </c>
      <c r="X29" s="45">
        <v>0.16362072698160901</v>
      </c>
      <c r="Y29" s="45">
        <f t="shared" si="1"/>
        <v>9.6379273018390998E-2</v>
      </c>
    </row>
    <row r="30" spans="1:25" ht="15" x14ac:dyDescent="0.2">
      <c r="B30" s="41">
        <v>16</v>
      </c>
      <c r="C30" s="42">
        <v>571</v>
      </c>
      <c r="D30" s="43">
        <v>4.2587999999999999</v>
      </c>
      <c r="E30" s="41">
        <v>33</v>
      </c>
      <c r="F30" s="44">
        <v>4.0800000000000003E-2</v>
      </c>
      <c r="G30" s="42">
        <v>276.47021588151398</v>
      </c>
      <c r="H30" s="39">
        <v>0.14257095636610501</v>
      </c>
      <c r="I30" s="39">
        <v>0.18565071794736199</v>
      </c>
      <c r="J30" s="39">
        <v>0.111589488859721</v>
      </c>
      <c r="K30" s="39">
        <v>0.22342703652464699</v>
      </c>
      <c r="L30" s="39">
        <v>0.14386126466666299</v>
      </c>
      <c r="M30" s="39">
        <v>0.26148874406663403</v>
      </c>
      <c r="N30" s="48">
        <v>0.31488268596361935</v>
      </c>
      <c r="O30" s="39">
        <v>0.14471013093957</v>
      </c>
      <c r="P30" s="39">
        <v>0.25479269401899801</v>
      </c>
      <c r="Q30" s="39">
        <v>0.24337236265728401</v>
      </c>
      <c r="R30" s="39">
        <v>0.243304328572096</v>
      </c>
      <c r="S30" s="39">
        <v>0.25649507922762099</v>
      </c>
      <c r="T30" s="39">
        <v>0.24130515419933601</v>
      </c>
      <c r="U30" s="43">
        <v>0.44</v>
      </c>
      <c r="V30" s="43">
        <v>0.20464663761861801</v>
      </c>
      <c r="W30" s="43">
        <f t="shared" si="0"/>
        <v>0.23535336238138199</v>
      </c>
      <c r="X30" s="45">
        <v>0.240117080315287</v>
      </c>
      <c r="Y30" s="45">
        <f t="shared" si="1"/>
        <v>0.199882919684713</v>
      </c>
    </row>
    <row r="31" spans="1:25" ht="15" x14ac:dyDescent="0.2">
      <c r="B31" s="41">
        <v>16</v>
      </c>
      <c r="C31" s="42">
        <v>571</v>
      </c>
      <c r="D31" s="43">
        <v>4.2587999999999999</v>
      </c>
      <c r="E31" s="41">
        <v>33</v>
      </c>
      <c r="F31" s="44">
        <v>4.0800000000000003E-2</v>
      </c>
      <c r="G31" s="42">
        <v>412.87726101992899</v>
      </c>
      <c r="H31" s="39">
        <v>0.19502308980786001</v>
      </c>
      <c r="I31" s="39">
        <v>0.25395197985604301</v>
      </c>
      <c r="J31" s="39">
        <v>0.14796547419879599</v>
      </c>
      <c r="K31" s="39">
        <v>0.39283477795241101</v>
      </c>
      <c r="L31" s="39">
        <v>0.193070664820295</v>
      </c>
      <c r="M31" s="39">
        <v>0.34672894740208099</v>
      </c>
      <c r="N31" s="48">
        <v>0.43277450686902125</v>
      </c>
      <c r="O31" s="39">
        <v>0.19536132945075599</v>
      </c>
      <c r="P31" s="39">
        <v>0.33785011633401502</v>
      </c>
      <c r="Q31" s="39">
        <v>0.33024122354616298</v>
      </c>
      <c r="R31" s="39">
        <v>0.34413003388404101</v>
      </c>
      <c r="S31" s="39">
        <v>0.37166770688885298</v>
      </c>
      <c r="T31" s="39">
        <v>0.36120462535742598</v>
      </c>
      <c r="U31" s="43">
        <v>0.6</v>
      </c>
      <c r="V31" s="43">
        <v>0.292881768484681</v>
      </c>
      <c r="W31" s="43">
        <f t="shared" si="0"/>
        <v>0.30711823151531897</v>
      </c>
      <c r="X31" s="45">
        <v>0.35191944287989402</v>
      </c>
      <c r="Y31" s="45">
        <f t="shared" si="1"/>
        <v>0.24808055712010596</v>
      </c>
    </row>
    <row r="32" spans="1:25" ht="15" x14ac:dyDescent="0.2">
      <c r="A32" s="40" t="s">
        <v>27</v>
      </c>
      <c r="B32" s="41">
        <v>12</v>
      </c>
      <c r="C32" s="42">
        <v>500</v>
      </c>
      <c r="D32" s="43">
        <v>2.6933292113182898</v>
      </c>
      <c r="E32" s="41">
        <v>20</v>
      </c>
      <c r="F32" s="44">
        <v>1.3177842565597699E-2</v>
      </c>
      <c r="G32" s="42">
        <v>218.681980739333</v>
      </c>
      <c r="H32" s="39">
        <v>0.243492377830339</v>
      </c>
      <c r="I32" s="39">
        <v>0.19654297410838101</v>
      </c>
      <c r="J32" s="39">
        <v>0.22346339002485899</v>
      </c>
      <c r="K32" s="39">
        <v>0.22693428965131099</v>
      </c>
      <c r="L32" s="39">
        <v>0.19901621546256601</v>
      </c>
      <c r="M32" s="39">
        <v>0.240089378798229</v>
      </c>
      <c r="N32" s="48">
        <v>0.2425981916558643</v>
      </c>
      <c r="O32" s="39">
        <v>0.25002482779531099</v>
      </c>
      <c r="P32" s="39">
        <v>0.23257512149335899</v>
      </c>
      <c r="Q32" s="39">
        <v>0.327307817172589</v>
      </c>
      <c r="R32" s="39">
        <v>0.32065859512371497</v>
      </c>
      <c r="S32" s="39">
        <v>0.26288151835045498</v>
      </c>
      <c r="T32" s="39">
        <v>0.23997255102544801</v>
      </c>
      <c r="U32" s="43">
        <v>0.36</v>
      </c>
      <c r="V32" s="43">
        <v>0.234277041464278</v>
      </c>
      <c r="W32" s="43">
        <f t="shared" si="0"/>
        <v>0.12572295853572199</v>
      </c>
      <c r="X32" s="45">
        <v>0.30679018134795699</v>
      </c>
      <c r="Y32" s="45">
        <f t="shared" si="1"/>
        <v>5.3209818652042995E-2</v>
      </c>
    </row>
    <row r="33" spans="1:25" ht="15" x14ac:dyDescent="0.2">
      <c r="B33" s="41">
        <v>12</v>
      </c>
      <c r="C33" s="42">
        <v>500</v>
      </c>
      <c r="D33" s="43">
        <v>2.6933292113182898</v>
      </c>
      <c r="E33" s="41">
        <v>20</v>
      </c>
      <c r="F33" s="44">
        <v>1.3177842565597699E-2</v>
      </c>
      <c r="G33" s="42">
        <v>344.704832395587</v>
      </c>
      <c r="H33" s="39">
        <v>0.36590013330846</v>
      </c>
      <c r="I33" s="39">
        <v>0.27976402135554901</v>
      </c>
      <c r="J33" s="39">
        <v>0.28731007288910398</v>
      </c>
      <c r="K33" s="39">
        <v>0.375136274729718</v>
      </c>
      <c r="L33" s="39">
        <v>0.29782409498510398</v>
      </c>
      <c r="M33" s="39">
        <v>0.30868634416915203</v>
      </c>
      <c r="N33" s="48">
        <v>0.32255788970151728</v>
      </c>
      <c r="O33" s="39">
        <v>0.33594505364732102</v>
      </c>
      <c r="P33" s="39">
        <v>0.29902515620574799</v>
      </c>
      <c r="Q33" s="39">
        <v>0.43883311744450598</v>
      </c>
      <c r="R33" s="39">
        <v>0.47038078475339201</v>
      </c>
      <c r="S33" s="39">
        <v>0.40583383496534198</v>
      </c>
      <c r="T33" s="39">
        <v>0.38075489147888297</v>
      </c>
      <c r="U33" s="43">
        <v>0.43</v>
      </c>
      <c r="V33" s="43">
        <v>0.35469963715583802</v>
      </c>
      <c r="W33" s="43">
        <f t="shared" si="0"/>
        <v>7.5300362844161972E-2</v>
      </c>
      <c r="X33" s="45">
        <v>0.483588349093174</v>
      </c>
      <c r="Y33" s="45">
        <f t="shared" si="1"/>
        <v>-5.3588349093174004E-2</v>
      </c>
    </row>
    <row r="34" spans="1:25" ht="15" x14ac:dyDescent="0.2">
      <c r="B34" s="41">
        <v>12</v>
      </c>
      <c r="C34" s="42">
        <v>500</v>
      </c>
      <c r="D34" s="43">
        <v>2.6933292113182898</v>
      </c>
      <c r="E34" s="41">
        <v>20</v>
      </c>
      <c r="F34" s="44">
        <v>1.3177842565597699E-2</v>
      </c>
      <c r="G34" s="42">
        <v>500</v>
      </c>
      <c r="H34" s="39">
        <v>0.52808145784571003</v>
      </c>
      <c r="I34" s="39">
        <v>0.40376643461255801</v>
      </c>
      <c r="J34" s="39">
        <v>0.36155268598849899</v>
      </c>
      <c r="K34" s="39">
        <v>0.59406031512087498</v>
      </c>
      <c r="L34" s="39">
        <v>0.42873730970005502</v>
      </c>
      <c r="M34" s="39">
        <v>0.399572306906053</v>
      </c>
      <c r="N34" s="48">
        <v>0.42849864229509449</v>
      </c>
      <c r="O34" s="39">
        <v>0.44978306970104498</v>
      </c>
      <c r="P34" s="39">
        <v>0.38706659282148398</v>
      </c>
      <c r="Q34" s="39">
        <v>0.51425077014725995</v>
      </c>
      <c r="R34" s="39">
        <v>0.65607272500259295</v>
      </c>
      <c r="S34" s="39">
        <v>0.60342015848059005</v>
      </c>
      <c r="T34" s="39">
        <v>0.58010401369572495</v>
      </c>
      <c r="U34" s="43">
        <v>0.56000000000000005</v>
      </c>
      <c r="V34" s="43">
        <v>0.51425077014725995</v>
      </c>
      <c r="W34" s="43">
        <f t="shared" si="0"/>
        <v>4.5749229852740103E-2</v>
      </c>
      <c r="X34" s="45">
        <v>0.70145281360344103</v>
      </c>
      <c r="Y34" s="45">
        <f t="shared" si="1"/>
        <v>-0.14145281360344097</v>
      </c>
    </row>
    <row r="35" spans="1:25" ht="15" x14ac:dyDescent="0.2">
      <c r="B35" s="41">
        <v>12</v>
      </c>
      <c r="C35" s="42">
        <v>500</v>
      </c>
      <c r="D35" s="43">
        <v>2.6933292113182898</v>
      </c>
      <c r="E35" s="41">
        <v>20</v>
      </c>
      <c r="F35" s="44">
        <v>1.3177842565597699E-2</v>
      </c>
      <c r="G35" s="42">
        <v>500</v>
      </c>
      <c r="H35" s="39">
        <v>0.52808145784571003</v>
      </c>
      <c r="I35" s="39">
        <v>0.40376643461255801</v>
      </c>
      <c r="J35" s="39">
        <v>0.36155268598849899</v>
      </c>
      <c r="K35" s="39">
        <v>0.59406031512087498</v>
      </c>
      <c r="L35" s="39">
        <v>0.42873730970005502</v>
      </c>
      <c r="M35" s="39">
        <v>0.399572306906053</v>
      </c>
      <c r="N35" s="48">
        <v>0.42849864229509449</v>
      </c>
      <c r="O35" s="39">
        <v>0.44978306970104498</v>
      </c>
      <c r="P35" s="39">
        <v>0.38706659282148398</v>
      </c>
      <c r="Q35" s="39">
        <v>0.51425077014725995</v>
      </c>
      <c r="R35" s="39">
        <v>0.65607272500259295</v>
      </c>
      <c r="S35" s="39">
        <v>0.60342015848059005</v>
      </c>
      <c r="T35" s="39">
        <v>0.58010401369572495</v>
      </c>
      <c r="U35" s="43">
        <v>0.71</v>
      </c>
      <c r="V35" s="43">
        <v>0.51425077014725995</v>
      </c>
      <c r="W35" s="43">
        <f t="shared" si="0"/>
        <v>0.19574922985274001</v>
      </c>
      <c r="X35" s="45">
        <v>0.70145281360344103</v>
      </c>
      <c r="Y35" s="45">
        <f t="shared" si="1"/>
        <v>8.5471863965589367E-3</v>
      </c>
    </row>
    <row r="36" spans="1:25" ht="15" x14ac:dyDescent="0.2">
      <c r="B36" s="41">
        <v>12</v>
      </c>
      <c r="C36" s="42">
        <v>500</v>
      </c>
      <c r="D36" s="43">
        <v>2.6933292113182898</v>
      </c>
      <c r="E36" s="41">
        <v>20</v>
      </c>
      <c r="F36" s="44">
        <v>1.3177842565597699E-2</v>
      </c>
      <c r="G36" s="42">
        <v>500</v>
      </c>
      <c r="H36" s="39">
        <v>0.52808145784571003</v>
      </c>
      <c r="I36" s="39">
        <v>0.40376643461255801</v>
      </c>
      <c r="J36" s="39">
        <v>0.36155268598849899</v>
      </c>
      <c r="K36" s="39">
        <v>0.59406031512087498</v>
      </c>
      <c r="L36" s="39">
        <v>0.42873730970005502</v>
      </c>
      <c r="M36" s="39">
        <v>0.399572306906053</v>
      </c>
      <c r="N36" s="48">
        <v>0.42849864229509449</v>
      </c>
      <c r="O36" s="39">
        <v>0.44978306970104498</v>
      </c>
      <c r="P36" s="39">
        <v>0.38706659282148398</v>
      </c>
      <c r="Q36" s="39">
        <v>0.51425077014725995</v>
      </c>
      <c r="R36" s="39">
        <v>0.65607272500259295</v>
      </c>
      <c r="S36" s="39">
        <v>0.60342015848059005</v>
      </c>
      <c r="T36" s="39">
        <v>0.58010401369572495</v>
      </c>
      <c r="U36" s="43">
        <v>0.79</v>
      </c>
      <c r="V36" s="43">
        <v>0.51425077014725995</v>
      </c>
      <c r="W36" s="43">
        <f t="shared" si="0"/>
        <v>0.27574922985274009</v>
      </c>
      <c r="X36" s="45">
        <v>0.70145281360344103</v>
      </c>
      <c r="Y36" s="45">
        <f t="shared" si="1"/>
        <v>8.8547186396559008E-2</v>
      </c>
    </row>
    <row r="37" spans="1:25" ht="15" x14ac:dyDescent="0.2">
      <c r="A37" s="40" t="s">
        <v>28</v>
      </c>
      <c r="B37" s="41">
        <v>25</v>
      </c>
      <c r="C37" s="42">
        <v>500</v>
      </c>
      <c r="D37" s="43">
        <v>2.6933292113182898</v>
      </c>
      <c r="E37" s="41">
        <v>20</v>
      </c>
      <c r="F37" s="44">
        <v>3.60284338454483E-2</v>
      </c>
      <c r="G37" s="42">
        <v>50.850362331918198</v>
      </c>
      <c r="H37" s="39">
        <v>5.53032499253404E-2</v>
      </c>
      <c r="I37" s="39">
        <v>4.821469359438E-2</v>
      </c>
      <c r="J37" s="39">
        <v>8.9930527918053199E-2</v>
      </c>
      <c r="K37" s="39">
        <v>6.1700380095881399E-2</v>
      </c>
      <c r="L37" s="39">
        <v>4.8609340041895398E-2</v>
      </c>
      <c r="M37" s="39">
        <v>7.9566101885106197E-2</v>
      </c>
      <c r="N37" s="48">
        <v>8.0681320108798638E-2</v>
      </c>
      <c r="O37" s="39">
        <v>9.0550252029073602E-2</v>
      </c>
      <c r="P37" s="39">
        <v>9.6138093546599704E-2</v>
      </c>
      <c r="Q37" s="39">
        <v>8.9892441364921596E-2</v>
      </c>
      <c r="R37" s="39">
        <v>5.2197084757393902E-2</v>
      </c>
      <c r="S37" s="39">
        <v>7.1800422621446494E-2</v>
      </c>
      <c r="T37" s="39">
        <v>5.1614247318551999E-2</v>
      </c>
      <c r="U37" s="43">
        <v>0.2</v>
      </c>
      <c r="V37" s="43">
        <v>5.2197084757393902E-2</v>
      </c>
      <c r="W37" s="43">
        <f t="shared" si="0"/>
        <v>0.14780291524260611</v>
      </c>
      <c r="X37" s="45">
        <v>5.2197084757393902E-2</v>
      </c>
      <c r="Y37" s="45">
        <f t="shared" si="1"/>
        <v>0.14780291524260611</v>
      </c>
    </row>
    <row r="38" spans="1:25" ht="15" x14ac:dyDescent="0.2">
      <c r="B38" s="41">
        <v>25</v>
      </c>
      <c r="C38" s="42">
        <v>500</v>
      </c>
      <c r="D38" s="43">
        <v>2.6933292113182898</v>
      </c>
      <c r="E38" s="41">
        <v>20</v>
      </c>
      <c r="F38" s="44">
        <v>3.60284338454483E-2</v>
      </c>
      <c r="G38" s="42">
        <v>136.392275585503</v>
      </c>
      <c r="H38" s="39">
        <v>0.126665910856779</v>
      </c>
      <c r="I38" s="39">
        <v>0.110430365106161</v>
      </c>
      <c r="J38" s="39">
        <v>0.16187495025249601</v>
      </c>
      <c r="K38" s="39">
        <v>0.19990923151065601</v>
      </c>
      <c r="L38" s="39">
        <v>0.10368191451004501</v>
      </c>
      <c r="M38" s="39">
        <v>0.143218983393191</v>
      </c>
      <c r="N38" s="48">
        <v>0.18404308310235309</v>
      </c>
      <c r="O38" s="39">
        <v>0.182425740208567</v>
      </c>
      <c r="P38" s="39">
        <v>0.17304856838388</v>
      </c>
      <c r="Q38" s="39">
        <v>0.169461349415442</v>
      </c>
      <c r="R38" s="39">
        <v>0.14926680166140999</v>
      </c>
      <c r="S38" s="39">
        <v>0.211083922293619</v>
      </c>
      <c r="T38" s="39">
        <v>0.15719250234058699</v>
      </c>
      <c r="U38" s="43">
        <v>0.25</v>
      </c>
      <c r="V38" s="43">
        <v>0.13966391626237401</v>
      </c>
      <c r="W38" s="43">
        <f t="shared" si="0"/>
        <v>0.11033608373762599</v>
      </c>
      <c r="X38" s="45">
        <v>0.14000449244629401</v>
      </c>
      <c r="Y38" s="45">
        <f t="shared" si="1"/>
        <v>0.10999550755370599</v>
      </c>
    </row>
    <row r="39" spans="1:25" ht="15" x14ac:dyDescent="0.2">
      <c r="B39" s="41">
        <v>25</v>
      </c>
      <c r="C39" s="42">
        <v>500</v>
      </c>
      <c r="D39" s="43">
        <v>2.6933292113182898</v>
      </c>
      <c r="E39" s="41">
        <v>20</v>
      </c>
      <c r="F39" s="44">
        <v>3.60284338454483E-2</v>
      </c>
      <c r="G39" s="42">
        <v>238.242392804302</v>
      </c>
      <c r="H39" s="39">
        <v>0.19802857178821701</v>
      </c>
      <c r="I39" s="39">
        <v>0.17264603661794301</v>
      </c>
      <c r="J39" s="39">
        <v>0.233819372586938</v>
      </c>
      <c r="K39" s="39">
        <v>0.41709456944815898</v>
      </c>
      <c r="L39" s="39">
        <v>0.158754488978194</v>
      </c>
      <c r="M39" s="39">
        <v>0.20687186490127599</v>
      </c>
      <c r="N39" s="48">
        <v>0.28740484609590755</v>
      </c>
      <c r="O39" s="39">
        <v>0.27430122838805998</v>
      </c>
      <c r="P39" s="39">
        <v>0.249959043221159</v>
      </c>
      <c r="Q39" s="39">
        <v>0.25285237956224299</v>
      </c>
      <c r="R39" s="39">
        <v>0.25046264304705401</v>
      </c>
      <c r="S39" s="39">
        <v>0.37412457671013</v>
      </c>
      <c r="T39" s="39">
        <v>0.27928426266762602</v>
      </c>
      <c r="U39" s="43">
        <v>0.36</v>
      </c>
      <c r="V39" s="43">
        <v>0.22713074776735301</v>
      </c>
      <c r="W39" s="43">
        <f t="shared" si="0"/>
        <v>0.13286925223264698</v>
      </c>
      <c r="X39" s="45">
        <v>0.24455201103266899</v>
      </c>
      <c r="Y39" s="45">
        <f t="shared" si="1"/>
        <v>0.11544798896733099</v>
      </c>
    </row>
    <row r="40" spans="1:25" ht="15" x14ac:dyDescent="0.2">
      <c r="B40" s="41">
        <v>25</v>
      </c>
      <c r="C40" s="42">
        <v>500</v>
      </c>
      <c r="D40" s="43">
        <v>2.6933292113182898</v>
      </c>
      <c r="E40" s="41">
        <v>20</v>
      </c>
      <c r="F40" s="44">
        <v>3.60284338454483E-2</v>
      </c>
      <c r="G40" s="42">
        <v>340.09251002309998</v>
      </c>
      <c r="H40" s="39">
        <v>0.26939123271965498</v>
      </c>
      <c r="I40" s="39">
        <v>0.23486170812972401</v>
      </c>
      <c r="J40" s="39">
        <v>0.305763794921381</v>
      </c>
      <c r="K40" s="39">
        <v>0.71325639390839002</v>
      </c>
      <c r="L40" s="39">
        <v>0.213827063446343</v>
      </c>
      <c r="M40" s="39">
        <v>0.27052474640936103</v>
      </c>
      <c r="N40" s="48">
        <v>0.39076660908946209</v>
      </c>
      <c r="O40" s="39">
        <v>0.36617671656755302</v>
      </c>
      <c r="P40" s="39">
        <v>0.326869518058439</v>
      </c>
      <c r="Q40" s="39">
        <v>0.33770206410561698</v>
      </c>
      <c r="R40" s="39">
        <v>0.34769316654520699</v>
      </c>
      <c r="S40" s="39">
        <v>0.56092238587097998</v>
      </c>
      <c r="T40" s="39">
        <v>0.41788952829966902</v>
      </c>
      <c r="U40" s="43">
        <v>0.47</v>
      </c>
      <c r="V40" s="43">
        <v>0.31459757927233301</v>
      </c>
      <c r="W40" s="43">
        <f t="shared" si="0"/>
        <v>0.15540242072766697</v>
      </c>
      <c r="X40" s="45">
        <v>0.349099529619044</v>
      </c>
      <c r="Y40" s="45">
        <f t="shared" si="1"/>
        <v>0.12090047038095597</v>
      </c>
    </row>
    <row r="41" spans="1:25" ht="15" x14ac:dyDescent="0.2">
      <c r="B41" s="41">
        <v>25</v>
      </c>
      <c r="C41" s="42">
        <v>500</v>
      </c>
      <c r="D41" s="43">
        <v>2.6933292113182898</v>
      </c>
      <c r="E41" s="41">
        <v>20</v>
      </c>
      <c r="F41" s="44">
        <v>3.60284338454483E-2</v>
      </c>
      <c r="G41" s="42">
        <v>416.48009793720001</v>
      </c>
      <c r="H41" s="39">
        <v>0.322913228418233</v>
      </c>
      <c r="I41" s="39">
        <v>0.28152346176356002</v>
      </c>
      <c r="J41" s="39">
        <v>0.35972211167221302</v>
      </c>
      <c r="K41" s="39">
        <v>0.98720608153410305</v>
      </c>
      <c r="L41" s="39">
        <v>0.25513149429745502</v>
      </c>
      <c r="M41" s="39">
        <v>0.31826440754042501</v>
      </c>
      <c r="N41" s="48">
        <v>0.46828793133462798</v>
      </c>
      <c r="O41" s="39">
        <v>0.43508333270217298</v>
      </c>
      <c r="P41" s="39">
        <v>0.38455237418639898</v>
      </c>
      <c r="Q41" s="39">
        <v>0.40184799996411502</v>
      </c>
      <c r="R41" s="39">
        <v>0.41871623271781799</v>
      </c>
      <c r="S41" s="39">
        <v>0.71661137554259002</v>
      </c>
      <c r="T41" s="39">
        <v>0.53591046017867605</v>
      </c>
      <c r="U41" s="43">
        <v>0.56999999999999995</v>
      </c>
      <c r="V41" s="43">
        <v>0.38019770290106802</v>
      </c>
      <c r="W41" s="43">
        <f t="shared" si="0"/>
        <v>0.18980229709893193</v>
      </c>
      <c r="X41" s="45">
        <v>0.42751016855882601</v>
      </c>
      <c r="Y41" s="45">
        <f t="shared" si="1"/>
        <v>0.14248983144117394</v>
      </c>
    </row>
    <row r="42" spans="1:25" ht="15" x14ac:dyDescent="0.2">
      <c r="B42" s="41">
        <v>25</v>
      </c>
      <c r="C42" s="42">
        <v>500</v>
      </c>
      <c r="D42" s="43">
        <v>2.6933292113182898</v>
      </c>
      <c r="E42" s="41">
        <v>20</v>
      </c>
      <c r="F42" s="44">
        <v>3.60284338454483E-2</v>
      </c>
      <c r="G42" s="42">
        <v>500</v>
      </c>
      <c r="H42" s="39">
        <v>0.38484512345130201</v>
      </c>
      <c r="I42" s="39">
        <v>0.33551716641509199</v>
      </c>
      <c r="J42" s="39">
        <v>0.40277070489560102</v>
      </c>
      <c r="K42" s="39">
        <v>1.23762565650182</v>
      </c>
      <c r="L42" s="39">
        <v>0.302926081223511</v>
      </c>
      <c r="M42" s="39">
        <v>0.37350539105557901</v>
      </c>
      <c r="N42" s="48">
        <v>0.55799016178116179</v>
      </c>
      <c r="O42" s="39">
        <v>0.51481723017428405</v>
      </c>
      <c r="P42" s="39">
        <v>0.45129892472691402</v>
      </c>
      <c r="Q42" s="39">
        <v>0.45610555943189202</v>
      </c>
      <c r="R42" s="39">
        <v>0.49939143141625197</v>
      </c>
      <c r="S42" s="39">
        <v>0.91344179286607297</v>
      </c>
      <c r="T42" s="39">
        <v>0.676813733906936</v>
      </c>
      <c r="U42" s="43">
        <v>0.78</v>
      </c>
      <c r="V42" s="43">
        <v>0.45610555943189202</v>
      </c>
      <c r="W42" s="43">
        <f t="shared" si="0"/>
        <v>0.32389444056810801</v>
      </c>
      <c r="X42" s="45">
        <v>0.51324201405572301</v>
      </c>
      <c r="Y42" s="45">
        <f t="shared" si="1"/>
        <v>0.26675798594427702</v>
      </c>
    </row>
    <row r="43" spans="1:25" ht="15" x14ac:dyDescent="0.2">
      <c r="A43" s="40" t="s">
        <v>29</v>
      </c>
      <c r="B43" s="41">
        <v>12</v>
      </c>
      <c r="C43" s="42">
        <v>500</v>
      </c>
      <c r="D43" s="43">
        <v>2.6933292113182898</v>
      </c>
      <c r="E43" s="41">
        <v>20</v>
      </c>
      <c r="F43" s="44">
        <v>1.37386018237082E-2</v>
      </c>
      <c r="G43" s="42">
        <v>94.1521358627311</v>
      </c>
      <c r="H43" s="39">
        <v>0.123601278848589</v>
      </c>
      <c r="I43" s="39">
        <v>0.128929548243119</v>
      </c>
      <c r="J43" s="39">
        <v>0.158019738781601</v>
      </c>
      <c r="K43" s="39">
        <v>0.113477572228636</v>
      </c>
      <c r="L43" s="39">
        <v>8.62285655197986E-2</v>
      </c>
      <c r="M43" s="39">
        <v>0.15243660190670699</v>
      </c>
      <c r="N43" s="48">
        <v>0.15746860483059691</v>
      </c>
      <c r="O43" s="39">
        <v>0.154734444957662</v>
      </c>
      <c r="P43" s="39">
        <v>0.15094459465291199</v>
      </c>
      <c r="Q43" s="39">
        <v>0.212644348091411</v>
      </c>
      <c r="R43" s="39">
        <v>0.15547380427579399</v>
      </c>
      <c r="S43" s="39">
        <v>0.12691956329147</v>
      </c>
      <c r="T43" s="39">
        <v>0.10971446668410501</v>
      </c>
      <c r="U43" s="43">
        <v>0.21</v>
      </c>
      <c r="V43" s="43">
        <v>0.115038822092364</v>
      </c>
      <c r="W43" s="43">
        <f t="shared" si="0"/>
        <v>9.4961177907635988E-2</v>
      </c>
      <c r="X43" s="45">
        <v>0.12862827836683199</v>
      </c>
      <c r="Y43" s="45">
        <f t="shared" si="1"/>
        <v>8.1371721633167998E-2</v>
      </c>
    </row>
    <row r="44" spans="1:25" ht="15" x14ac:dyDescent="0.2">
      <c r="B44" s="41">
        <v>12</v>
      </c>
      <c r="C44" s="42">
        <v>500</v>
      </c>
      <c r="D44" s="43">
        <v>2.6933292113182898</v>
      </c>
      <c r="E44" s="41">
        <v>20</v>
      </c>
      <c r="F44" s="44">
        <v>1.37386018237082E-2</v>
      </c>
      <c r="G44" s="42">
        <v>155.793729022078</v>
      </c>
      <c r="H44" s="39">
        <v>0.17871528641151799</v>
      </c>
      <c r="I44" s="39">
        <v>0.15471545789174199</v>
      </c>
      <c r="J44" s="39">
        <v>0.189623686537921</v>
      </c>
      <c r="K44" s="39">
        <v>0.16340770400923599</v>
      </c>
      <c r="L44" s="39">
        <v>0.12999460926703499</v>
      </c>
      <c r="M44" s="39">
        <v>0.18292392228804799</v>
      </c>
      <c r="N44" s="48">
        <v>0.19626644017015454</v>
      </c>
      <c r="O44" s="39">
        <v>0.19536706474090401</v>
      </c>
      <c r="P44" s="39">
        <v>0.181133513583495</v>
      </c>
      <c r="Q44" s="39">
        <v>0.26320836832803501</v>
      </c>
      <c r="R44" s="39">
        <v>0.23281475878676799</v>
      </c>
      <c r="S44" s="39">
        <v>0.19109857723155399</v>
      </c>
      <c r="T44" s="39">
        <v>0.170997543398027</v>
      </c>
      <c r="U44" s="43">
        <v>0.31</v>
      </c>
      <c r="V44" s="43">
        <v>0.17127121819076399</v>
      </c>
      <c r="W44" s="43">
        <f t="shared" si="0"/>
        <v>0.13872878180923601</v>
      </c>
      <c r="X44" s="45">
        <v>0.21087955947822701</v>
      </c>
      <c r="Y44" s="45">
        <f t="shared" si="1"/>
        <v>9.912044052177299E-2</v>
      </c>
    </row>
    <row r="45" spans="1:25" ht="15" x14ac:dyDescent="0.2">
      <c r="B45" s="41">
        <v>12</v>
      </c>
      <c r="C45" s="42">
        <v>500</v>
      </c>
      <c r="D45" s="43">
        <v>2.6933292113182898</v>
      </c>
      <c r="E45" s="41">
        <v>20</v>
      </c>
      <c r="F45" s="44">
        <v>1.37386018237082E-2</v>
      </c>
      <c r="G45" s="42">
        <v>217.43532218142499</v>
      </c>
      <c r="H45" s="39">
        <v>0.23382929397444599</v>
      </c>
      <c r="I45" s="39">
        <v>0.182334198819364</v>
      </c>
      <c r="J45" s="39">
        <v>0.221227634294241</v>
      </c>
      <c r="K45" s="39">
        <v>0.222416041568126</v>
      </c>
      <c r="L45" s="39">
        <v>0.17376065301427099</v>
      </c>
      <c r="M45" s="39">
        <v>0.21341124266938899</v>
      </c>
      <c r="N45" s="48">
        <v>0.23506427550971221</v>
      </c>
      <c r="O45" s="39">
        <v>0.23599968452414599</v>
      </c>
      <c r="P45" s="39">
        <v>0.21132243251407701</v>
      </c>
      <c r="Q45" s="39">
        <v>0.31523014425319001</v>
      </c>
      <c r="R45" s="39">
        <v>0.30788868939637598</v>
      </c>
      <c r="S45" s="39">
        <v>0.25786701101210002</v>
      </c>
      <c r="T45" s="39">
        <v>0.235606152292124</v>
      </c>
      <c r="U45" s="43">
        <v>0.38</v>
      </c>
      <c r="V45" s="43">
        <v>0.22879062923694601</v>
      </c>
      <c r="W45" s="43">
        <f t="shared" si="0"/>
        <v>0.15120937076305399</v>
      </c>
      <c r="X45" s="45">
        <v>0.29431649941524501</v>
      </c>
      <c r="Y45" s="45">
        <f t="shared" si="1"/>
        <v>8.568350058475499E-2</v>
      </c>
    </row>
    <row r="46" spans="1:25" ht="15" x14ac:dyDescent="0.2">
      <c r="B46" s="41">
        <v>12</v>
      </c>
      <c r="C46" s="42">
        <v>500</v>
      </c>
      <c r="D46" s="43">
        <v>2.6933292113182898</v>
      </c>
      <c r="E46" s="41">
        <v>20</v>
      </c>
      <c r="F46" s="44">
        <v>1.37386018237082E-2</v>
      </c>
      <c r="G46" s="42">
        <v>340.71850850011901</v>
      </c>
      <c r="H46" s="39">
        <v>0.34405730910030302</v>
      </c>
      <c r="I46" s="39">
        <v>0.26828723098144303</v>
      </c>
      <c r="J46" s="39">
        <v>0.28443552980688103</v>
      </c>
      <c r="K46" s="39">
        <v>0.36766733402078</v>
      </c>
      <c r="L46" s="39">
        <v>0.26129274050874401</v>
      </c>
      <c r="M46" s="39">
        <v>0.27438588343207199</v>
      </c>
      <c r="N46" s="48">
        <v>0.31265994618882764</v>
      </c>
      <c r="O46" s="39">
        <v>0.31726492409063001</v>
      </c>
      <c r="P46" s="39">
        <v>0.27170027037524203</v>
      </c>
      <c r="Q46" s="39">
        <v>0.42200204719783502</v>
      </c>
      <c r="R46" s="39">
        <v>0.450233347394978</v>
      </c>
      <c r="S46" s="39">
        <v>0.39531109325123498</v>
      </c>
      <c r="T46" s="39">
        <v>0.37093892177749099</v>
      </c>
      <c r="U46" s="43">
        <v>0.52</v>
      </c>
      <c r="V46" s="43">
        <v>0.34382945132930998</v>
      </c>
      <c r="W46" s="43">
        <f t="shared" si="0"/>
        <v>0.17617054867069004</v>
      </c>
      <c r="X46" s="45">
        <v>0.46119037928928103</v>
      </c>
      <c r="Y46" s="45">
        <f t="shared" si="1"/>
        <v>5.8809620710718991E-2</v>
      </c>
    </row>
    <row r="47" spans="1:25" ht="15" x14ac:dyDescent="0.2">
      <c r="B47" s="41">
        <v>12</v>
      </c>
      <c r="C47" s="42">
        <v>500</v>
      </c>
      <c r="D47" s="43">
        <v>2.6933292113182898</v>
      </c>
      <c r="E47" s="41">
        <v>20</v>
      </c>
      <c r="F47" s="44">
        <v>1.37386018237082E-2</v>
      </c>
      <c r="G47" s="42">
        <v>500</v>
      </c>
      <c r="H47" s="39">
        <v>0.49651944162391898</v>
      </c>
      <c r="I47" s="39">
        <v>0.38717336501314897</v>
      </c>
      <c r="J47" s="39">
        <v>0.36155268598849899</v>
      </c>
      <c r="K47" s="39">
        <v>0.59406031512087498</v>
      </c>
      <c r="L47" s="39">
        <v>0.38236294855352798</v>
      </c>
      <c r="M47" s="39">
        <v>0.35872309797708202</v>
      </c>
      <c r="N47" s="48">
        <v>0.4199865764727021</v>
      </c>
      <c r="O47" s="39">
        <v>0.42966712701700999</v>
      </c>
      <c r="P47" s="39">
        <v>0.35521201561503302</v>
      </c>
      <c r="Q47" s="39">
        <v>0.50294566256817597</v>
      </c>
      <c r="R47" s="39">
        <v>0.63464867430204397</v>
      </c>
      <c r="S47" s="39">
        <v>0.59400332859502203</v>
      </c>
      <c r="T47" s="39">
        <v>0.57156372915356402</v>
      </c>
      <c r="U47" s="43">
        <v>0.74</v>
      </c>
      <c r="V47" s="43">
        <v>0.50294566256817597</v>
      </c>
      <c r="W47" s="43">
        <f t="shared" si="0"/>
        <v>0.23705433743182402</v>
      </c>
      <c r="X47" s="45">
        <v>0.67679091065450503</v>
      </c>
      <c r="Y47" s="45">
        <f t="shared" si="1"/>
        <v>6.3209089345494962E-2</v>
      </c>
    </row>
    <row r="48" spans="1:25" ht="15" x14ac:dyDescent="0.2">
      <c r="A48" s="40" t="s">
        <v>30</v>
      </c>
      <c r="B48" s="41">
        <v>12</v>
      </c>
      <c r="C48" s="42">
        <v>500</v>
      </c>
      <c r="D48" s="43">
        <v>2.6933292113182898</v>
      </c>
      <c r="E48" s="41">
        <v>20</v>
      </c>
      <c r="F48" s="44">
        <v>1.37386018237082E-2</v>
      </c>
      <c r="G48" s="42">
        <v>94.1521358627311</v>
      </c>
      <c r="H48" s="39">
        <v>0.123601278848589</v>
      </c>
      <c r="I48" s="39">
        <v>0.128929548243119</v>
      </c>
      <c r="J48" s="39">
        <v>0.158019738781601</v>
      </c>
      <c r="K48" s="39">
        <v>0.113477572228636</v>
      </c>
      <c r="L48" s="39">
        <v>8.62285655197986E-2</v>
      </c>
      <c r="M48" s="39">
        <v>0.15243660190670699</v>
      </c>
      <c r="N48" s="48">
        <v>0.15746860483059691</v>
      </c>
      <c r="O48" s="39">
        <v>0.154734444957662</v>
      </c>
      <c r="P48" s="39">
        <v>0.15094459465291199</v>
      </c>
      <c r="Q48" s="39">
        <v>0.212644348091411</v>
      </c>
      <c r="R48" s="39">
        <v>0.15547380427579399</v>
      </c>
      <c r="S48" s="39">
        <v>0.12691956329147</v>
      </c>
      <c r="T48" s="39">
        <v>0.10971446668410501</v>
      </c>
      <c r="U48" s="43">
        <v>0.17</v>
      </c>
      <c r="V48" s="43">
        <v>0.115038822092364</v>
      </c>
      <c r="W48" s="43">
        <f t="shared" si="0"/>
        <v>5.4961177907636008E-2</v>
      </c>
      <c r="X48" s="45">
        <v>0.12862827836683199</v>
      </c>
      <c r="Y48" s="45">
        <f t="shared" si="1"/>
        <v>4.1371721633168018E-2</v>
      </c>
    </row>
    <row r="49" spans="1:25" ht="15" x14ac:dyDescent="0.2">
      <c r="B49" s="41">
        <v>12</v>
      </c>
      <c r="C49" s="42">
        <v>500</v>
      </c>
      <c r="D49" s="43">
        <v>2.6933292113182898</v>
      </c>
      <c r="E49" s="41">
        <v>20</v>
      </c>
      <c r="F49" s="44">
        <v>1.37386018237082E-2</v>
      </c>
      <c r="G49" s="42">
        <v>217.43532218142499</v>
      </c>
      <c r="H49" s="39">
        <v>0.23382929397444599</v>
      </c>
      <c r="I49" s="39">
        <v>0.182334198819364</v>
      </c>
      <c r="J49" s="39">
        <v>0.221227634294241</v>
      </c>
      <c r="K49" s="39">
        <v>0.222416041568126</v>
      </c>
      <c r="L49" s="39">
        <v>0.17376065301427099</v>
      </c>
      <c r="M49" s="39">
        <v>0.21341124266938899</v>
      </c>
      <c r="N49" s="48">
        <v>0.23506427550971221</v>
      </c>
      <c r="O49" s="39">
        <v>0.23599968452414599</v>
      </c>
      <c r="P49" s="39">
        <v>0.21132243251407701</v>
      </c>
      <c r="Q49" s="39">
        <v>0.31523014425319001</v>
      </c>
      <c r="R49" s="39">
        <v>0.30788868939637598</v>
      </c>
      <c r="S49" s="39">
        <v>0.25786701101210002</v>
      </c>
      <c r="T49" s="39">
        <v>0.235606152292124</v>
      </c>
      <c r="U49" s="43">
        <v>0.36</v>
      </c>
      <c r="V49" s="43">
        <v>0.22879062923694601</v>
      </c>
      <c r="W49" s="43">
        <f t="shared" si="0"/>
        <v>0.13120937076305397</v>
      </c>
      <c r="X49" s="45">
        <v>0.29431649941524501</v>
      </c>
      <c r="Y49" s="45">
        <f t="shared" si="1"/>
        <v>6.5683500584754972E-2</v>
      </c>
    </row>
    <row r="50" spans="1:25" ht="15" x14ac:dyDescent="0.2">
      <c r="B50" s="41">
        <v>12</v>
      </c>
      <c r="C50" s="42">
        <v>500</v>
      </c>
      <c r="D50" s="43">
        <v>2.6933292113182898</v>
      </c>
      <c r="E50" s="41">
        <v>20</v>
      </c>
      <c r="F50" s="44">
        <v>1.37386018237082E-2</v>
      </c>
      <c r="G50" s="42">
        <v>340.71850850011901</v>
      </c>
      <c r="H50" s="39">
        <v>0.34405730910030302</v>
      </c>
      <c r="I50" s="39">
        <v>0.26828723098144303</v>
      </c>
      <c r="J50" s="39">
        <v>0.28443552980688103</v>
      </c>
      <c r="K50" s="39">
        <v>0.36766733402078</v>
      </c>
      <c r="L50" s="39">
        <v>0.26129274050874401</v>
      </c>
      <c r="M50" s="39">
        <v>0.27438588343207199</v>
      </c>
      <c r="N50" s="48">
        <v>0.31265994618882764</v>
      </c>
      <c r="O50" s="39">
        <v>0.31726492409063001</v>
      </c>
      <c r="P50" s="39">
        <v>0.27170027037524203</v>
      </c>
      <c r="Q50" s="39">
        <v>0.42200204719783502</v>
      </c>
      <c r="R50" s="39">
        <v>0.450233347394978</v>
      </c>
      <c r="S50" s="39">
        <v>0.39531109325123498</v>
      </c>
      <c r="T50" s="39">
        <v>0.37093892177749099</v>
      </c>
      <c r="U50" s="43">
        <v>0.56000000000000005</v>
      </c>
      <c r="V50" s="43">
        <v>0.34382945132930998</v>
      </c>
      <c r="W50" s="43">
        <f t="shared" si="0"/>
        <v>0.21617054867069008</v>
      </c>
      <c r="X50" s="45">
        <v>0.46119037928928103</v>
      </c>
      <c r="Y50" s="45">
        <f t="shared" si="1"/>
        <v>9.8809620710719026E-2</v>
      </c>
    </row>
    <row r="51" spans="1:25" ht="15" x14ac:dyDescent="0.2">
      <c r="B51" s="41">
        <v>12</v>
      </c>
      <c r="C51" s="42">
        <v>500</v>
      </c>
      <c r="D51" s="43">
        <v>2.6933292113182898</v>
      </c>
      <c r="E51" s="41">
        <v>20</v>
      </c>
      <c r="F51" s="44">
        <v>1.37386018237082E-2</v>
      </c>
      <c r="G51" s="42">
        <v>500</v>
      </c>
      <c r="H51" s="39">
        <v>0.49651944162391898</v>
      </c>
      <c r="I51" s="39">
        <v>0.38717336501314897</v>
      </c>
      <c r="J51" s="39">
        <v>0.36155268598849899</v>
      </c>
      <c r="K51" s="39">
        <v>0.59406031512087498</v>
      </c>
      <c r="L51" s="39">
        <v>0.38236294855352798</v>
      </c>
      <c r="M51" s="39">
        <v>0.35872309797708202</v>
      </c>
      <c r="N51" s="48">
        <v>0.4199865764727021</v>
      </c>
      <c r="O51" s="39">
        <v>0.42966712701700999</v>
      </c>
      <c r="P51" s="39">
        <v>0.35521201561503302</v>
      </c>
      <c r="Q51" s="39">
        <v>0.50294566256817597</v>
      </c>
      <c r="R51" s="39">
        <v>0.63464867430204397</v>
      </c>
      <c r="S51" s="39">
        <v>0.59400332859502203</v>
      </c>
      <c r="T51" s="39">
        <v>0.57156372915356402</v>
      </c>
      <c r="U51" s="43">
        <v>0.78</v>
      </c>
      <c r="V51" s="43">
        <v>0.50294566256817597</v>
      </c>
      <c r="W51" s="43">
        <f t="shared" si="0"/>
        <v>0.27705433743182406</v>
      </c>
      <c r="X51" s="45">
        <v>0.67679091065450503</v>
      </c>
      <c r="Y51" s="45">
        <f t="shared" si="1"/>
        <v>0.103209089345495</v>
      </c>
    </row>
    <row r="52" spans="1:25" ht="15" x14ac:dyDescent="0.2">
      <c r="A52" s="40" t="s">
        <v>31</v>
      </c>
      <c r="B52" s="41">
        <v>12</v>
      </c>
      <c r="C52" s="42">
        <v>500</v>
      </c>
      <c r="D52" s="43">
        <v>2.6933292113182898</v>
      </c>
      <c r="E52" s="41">
        <v>70</v>
      </c>
      <c r="F52" s="44">
        <v>1.0761904761904801E-2</v>
      </c>
      <c r="G52" s="42">
        <v>115.38349719943299</v>
      </c>
      <c r="H52" s="39">
        <v>0.17775875829437099</v>
      </c>
      <c r="I52" s="39">
        <v>0.32189705492002602</v>
      </c>
      <c r="J52" s="39">
        <v>0.35643211676504999</v>
      </c>
      <c r="K52" s="39">
        <v>0.1516070469554</v>
      </c>
      <c r="L52" s="39">
        <v>0.35388215107782101</v>
      </c>
      <c r="M52" s="39">
        <v>0.43368023499729702</v>
      </c>
      <c r="N52" s="48">
        <v>0.25291912491556745</v>
      </c>
      <c r="O52" s="39">
        <v>0.27873857274862501</v>
      </c>
      <c r="P52" s="39">
        <v>0.38870614788651497</v>
      </c>
      <c r="Q52" s="39">
        <v>0.45926972621923001</v>
      </c>
      <c r="R52" s="39">
        <v>0.39015477691263201</v>
      </c>
      <c r="S52" s="39">
        <v>0.26856327509053202</v>
      </c>
      <c r="T52" s="39">
        <v>0.25075475797443098</v>
      </c>
      <c r="U52" s="43">
        <v>0.31</v>
      </c>
      <c r="V52" s="43">
        <v>0.26142770114999903</v>
      </c>
      <c r="W52" s="43">
        <f t="shared" si="0"/>
        <v>4.8572298850000972E-2</v>
      </c>
      <c r="X52" s="45">
        <v>0.337329961020365</v>
      </c>
      <c r="Y52" s="45">
        <f t="shared" si="1"/>
        <v>-2.7329961020365001E-2</v>
      </c>
    </row>
    <row r="53" spans="1:25" ht="15" x14ac:dyDescent="0.2">
      <c r="B53" s="41">
        <v>12</v>
      </c>
      <c r="C53" s="42">
        <v>500</v>
      </c>
      <c r="D53" s="43">
        <v>2.6933292113182898</v>
      </c>
      <c r="E53" s="41">
        <v>70</v>
      </c>
      <c r="F53" s="44">
        <v>1.0761904761904801E-2</v>
      </c>
      <c r="G53" s="42">
        <v>192.11618378673899</v>
      </c>
      <c r="H53" s="39">
        <v>0.29205769761843797</v>
      </c>
      <c r="I53" s="39">
        <v>0.38627646590403097</v>
      </c>
      <c r="J53" s="39">
        <v>0.42771854011805999</v>
      </c>
      <c r="K53" s="39">
        <v>0.218314147615776</v>
      </c>
      <c r="L53" s="39">
        <v>0.48460524761713802</v>
      </c>
      <c r="M53" s="39">
        <v>0.52041628199675705</v>
      </c>
      <c r="N53" s="48">
        <v>0.31336359593043667</v>
      </c>
      <c r="O53" s="39">
        <v>0.34899935700575702</v>
      </c>
      <c r="P53" s="39">
        <v>0.46644737746381798</v>
      </c>
      <c r="Q53" s="39">
        <v>0.57347208499430402</v>
      </c>
      <c r="R53" s="39">
        <v>0.54740373328463199</v>
      </c>
      <c r="S53" s="39">
        <v>0.36707375632649403</v>
      </c>
      <c r="T53" s="39">
        <v>0.35059800811605601</v>
      </c>
      <c r="U53" s="43">
        <v>0.44</v>
      </c>
      <c r="V53" s="43">
        <v>0.35522130050725198</v>
      </c>
      <c r="W53" s="43">
        <f t="shared" si="0"/>
        <v>8.4778699492748022E-2</v>
      </c>
      <c r="X53" s="45">
        <v>0.512087718894221</v>
      </c>
      <c r="Y53" s="45">
        <f t="shared" si="1"/>
        <v>-7.2087718894220998E-2</v>
      </c>
    </row>
    <row r="54" spans="1:25" ht="15" x14ac:dyDescent="0.2">
      <c r="A54" s="40" t="s">
        <v>32</v>
      </c>
      <c r="B54" s="41">
        <v>12</v>
      </c>
      <c r="C54" s="42">
        <v>500</v>
      </c>
      <c r="D54" s="43">
        <v>2.6933292113182898</v>
      </c>
      <c r="E54" s="41">
        <v>70</v>
      </c>
      <c r="F54" s="44">
        <v>1.0761904761904801E-2</v>
      </c>
      <c r="G54" s="42">
        <v>35.1927566244768</v>
      </c>
      <c r="H54" s="39">
        <v>5.8682947698771998E-2</v>
      </c>
      <c r="I54" s="39">
        <v>0.25448360281216198</v>
      </c>
      <c r="J54" s="39">
        <v>0.28189693997758702</v>
      </c>
      <c r="K54" s="39">
        <v>9.4830153189527797E-2</v>
      </c>
      <c r="L54" s="39">
        <v>0.204318340594315</v>
      </c>
      <c r="M54" s="39">
        <v>0.32870463872725197</v>
      </c>
      <c r="N54" s="48">
        <v>0.18504978779943596</v>
      </c>
      <c r="O54" s="39">
        <v>0.201162258911391</v>
      </c>
      <c r="P54" s="39">
        <v>0.29412765044564299</v>
      </c>
      <c r="Q54" s="39">
        <v>0.34115284171600002</v>
      </c>
      <c r="R54" s="39">
        <v>0.25772959683539298</v>
      </c>
      <c r="S54" s="39">
        <v>0.206685401726936</v>
      </c>
      <c r="T54" s="39">
        <v>0.189957038952</v>
      </c>
      <c r="U54" s="43">
        <v>0.14000000000000001</v>
      </c>
      <c r="V54" s="43">
        <v>0.204037001359618</v>
      </c>
      <c r="W54" s="43">
        <f t="shared" si="0"/>
        <v>-6.4037001359617984E-2</v>
      </c>
      <c r="X54" s="45">
        <v>0.208248294659241</v>
      </c>
      <c r="Y54" s="45">
        <f t="shared" si="1"/>
        <v>-6.8248294659240982E-2</v>
      </c>
    </row>
    <row r="55" spans="1:25" ht="15" x14ac:dyDescent="0.2">
      <c r="B55" s="41">
        <v>12</v>
      </c>
      <c r="C55" s="42">
        <v>500</v>
      </c>
      <c r="D55" s="43">
        <v>2.6933292113182898</v>
      </c>
      <c r="E55" s="41">
        <v>70</v>
      </c>
      <c r="F55" s="44">
        <v>1.0761904761904801E-2</v>
      </c>
      <c r="G55" s="42">
        <v>111.060929714869</v>
      </c>
      <c r="H55" s="39">
        <v>0.17160378323165601</v>
      </c>
      <c r="I55" s="39">
        <v>0.31810450351520297</v>
      </c>
      <c r="J55" s="39">
        <v>0.352371174971984</v>
      </c>
      <c r="K55" s="39">
        <v>0.148172114358637</v>
      </c>
      <c r="L55" s="39">
        <v>0.32769362389701601</v>
      </c>
      <c r="M55" s="39">
        <v>0.410880798409065</v>
      </c>
      <c r="N55" s="48">
        <v>0.24333268414618967</v>
      </c>
      <c r="O55" s="39">
        <v>0.26922754232665702</v>
      </c>
      <c r="P55" s="39">
        <v>0.367659563057054</v>
      </c>
      <c r="Q55" s="39">
        <v>0.44695119530032301</v>
      </c>
      <c r="R55" s="39">
        <v>0.37777567175969301</v>
      </c>
      <c r="S55" s="39">
        <v>0.26192842472274003</v>
      </c>
      <c r="T55" s="39">
        <v>0.24411368354271801</v>
      </c>
      <c r="U55" s="43">
        <v>0.31</v>
      </c>
      <c r="V55" s="43">
        <v>0.255046251699522</v>
      </c>
      <c r="W55" s="43">
        <f t="shared" si="0"/>
        <v>5.4953748300478E-2</v>
      </c>
      <c r="X55" s="45">
        <v>0.32538796040506401</v>
      </c>
      <c r="Y55" s="45">
        <f t="shared" si="1"/>
        <v>-1.5387960405064016E-2</v>
      </c>
    </row>
    <row r="56" spans="1:25" ht="15" x14ac:dyDescent="0.2">
      <c r="B56" s="41">
        <v>12</v>
      </c>
      <c r="C56" s="42">
        <v>500</v>
      </c>
      <c r="D56" s="43">
        <v>2.6933292113182898</v>
      </c>
      <c r="E56" s="41">
        <v>70</v>
      </c>
      <c r="F56" s="44">
        <v>1.0761904761904801E-2</v>
      </c>
      <c r="G56" s="42">
        <v>186.929102805262</v>
      </c>
      <c r="H56" s="39">
        <v>0.28452461876453899</v>
      </c>
      <c r="I56" s="39">
        <v>0.38172540421824303</v>
      </c>
      <c r="J56" s="39">
        <v>0.42284540996638098</v>
      </c>
      <c r="K56" s="39">
        <v>0.21336784467643799</v>
      </c>
      <c r="L56" s="39">
        <v>0.45106890719971798</v>
      </c>
      <c r="M56" s="39">
        <v>0.49305695809087802</v>
      </c>
      <c r="N56" s="48">
        <v>0.30161558049294335</v>
      </c>
      <c r="O56" s="39">
        <v>0.33729282574192299</v>
      </c>
      <c r="P56" s="39">
        <v>0.44119147566846401</v>
      </c>
      <c r="Q56" s="39">
        <v>0.55810831374453196</v>
      </c>
      <c r="R56" s="39">
        <v>0.52828836334725704</v>
      </c>
      <c r="S56" s="39">
        <v>0.35330111276505599</v>
      </c>
      <c r="T56" s="39">
        <v>0.33666233863404699</v>
      </c>
      <c r="U56" s="43">
        <v>0.4</v>
      </c>
      <c r="V56" s="43">
        <v>0.34178055859895101</v>
      </c>
      <c r="W56" s="43">
        <f t="shared" si="0"/>
        <v>5.821944140104901E-2</v>
      </c>
      <c r="X56" s="45">
        <v>0.491638007513166</v>
      </c>
      <c r="Y56" s="45">
        <f t="shared" si="1"/>
        <v>-9.1638007513165975E-2</v>
      </c>
    </row>
    <row r="57" spans="1:25" ht="15" x14ac:dyDescent="0.2">
      <c r="A57" s="40" t="s">
        <v>33</v>
      </c>
      <c r="B57" s="41">
        <v>12</v>
      </c>
      <c r="C57" s="42">
        <v>500</v>
      </c>
      <c r="D57" s="43">
        <v>2.6933292113182898</v>
      </c>
      <c r="E57" s="41">
        <v>70</v>
      </c>
      <c r="F57" s="44">
        <v>1.0761904761904801E-2</v>
      </c>
      <c r="G57" s="42">
        <v>35.1927566244768</v>
      </c>
      <c r="H57" s="39">
        <v>5.8682947698771998E-2</v>
      </c>
      <c r="I57" s="39">
        <v>0.25448360281216198</v>
      </c>
      <c r="J57" s="39">
        <v>0.28189693997758702</v>
      </c>
      <c r="K57" s="39">
        <v>9.4830153189527797E-2</v>
      </c>
      <c r="L57" s="39">
        <v>0.204318340594315</v>
      </c>
      <c r="M57" s="39">
        <v>0.32870463872725197</v>
      </c>
      <c r="N57" s="48">
        <v>0.18504978779943596</v>
      </c>
      <c r="O57" s="39">
        <v>0.201162258911391</v>
      </c>
      <c r="P57" s="39">
        <v>0.29412765044564299</v>
      </c>
      <c r="Q57" s="39">
        <v>0.34115284171600002</v>
      </c>
      <c r="R57" s="39">
        <v>0.25772959683539298</v>
      </c>
      <c r="S57" s="39">
        <v>0.206685401726936</v>
      </c>
      <c r="T57" s="39">
        <v>0.189957038952</v>
      </c>
      <c r="U57" s="43">
        <v>0.25</v>
      </c>
      <c r="V57" s="43">
        <v>0.204037001359618</v>
      </c>
      <c r="W57" s="43">
        <f t="shared" si="0"/>
        <v>4.5962998640382002E-2</v>
      </c>
      <c r="X57" s="45">
        <v>0.208248294659241</v>
      </c>
      <c r="Y57" s="45">
        <f t="shared" si="1"/>
        <v>4.1751705340759004E-2</v>
      </c>
    </row>
    <row r="58" spans="1:25" ht="15" x14ac:dyDescent="0.2">
      <c r="B58" s="41">
        <v>12</v>
      </c>
      <c r="C58" s="42">
        <v>500</v>
      </c>
      <c r="D58" s="43">
        <v>2.6933292113182898</v>
      </c>
      <c r="E58" s="41">
        <v>70</v>
      </c>
      <c r="F58" s="44">
        <v>1.0761904761904801E-2</v>
      </c>
      <c r="G58" s="42">
        <v>111.060929714869</v>
      </c>
      <c r="H58" s="39">
        <v>0.17160378323165601</v>
      </c>
      <c r="I58" s="39">
        <v>0.31810450351520297</v>
      </c>
      <c r="J58" s="39">
        <v>0.352371174971984</v>
      </c>
      <c r="K58" s="39">
        <v>0.148172114358637</v>
      </c>
      <c r="L58" s="39">
        <v>0.32769362389701601</v>
      </c>
      <c r="M58" s="39">
        <v>0.410880798409065</v>
      </c>
      <c r="N58" s="48">
        <v>0.24333268414618967</v>
      </c>
      <c r="O58" s="39">
        <v>0.26922754232665702</v>
      </c>
      <c r="P58" s="39">
        <v>0.367659563057054</v>
      </c>
      <c r="Q58" s="39">
        <v>0.44695119530032301</v>
      </c>
      <c r="R58" s="39">
        <v>0.37777567175969301</v>
      </c>
      <c r="S58" s="39">
        <v>0.26192842472274003</v>
      </c>
      <c r="T58" s="39">
        <v>0.24411368354271801</v>
      </c>
      <c r="U58" s="43">
        <v>0.44</v>
      </c>
      <c r="V58" s="43">
        <v>0.255046251699522</v>
      </c>
      <c r="W58" s="43">
        <f t="shared" si="0"/>
        <v>0.184953748300478</v>
      </c>
      <c r="X58" s="45">
        <v>0.32538796040506401</v>
      </c>
      <c r="Y58" s="45">
        <f t="shared" si="1"/>
        <v>0.11461203959493599</v>
      </c>
    </row>
    <row r="59" spans="1:25" ht="15" x14ac:dyDescent="0.2">
      <c r="B59" s="41">
        <v>12</v>
      </c>
      <c r="C59" s="42">
        <v>500</v>
      </c>
      <c r="D59" s="43">
        <v>2.6933292113182898</v>
      </c>
      <c r="E59" s="41">
        <v>70</v>
      </c>
      <c r="F59" s="44">
        <v>1.0761904761904801E-2</v>
      </c>
      <c r="G59" s="42">
        <v>186.929102805262</v>
      </c>
      <c r="H59" s="39">
        <v>0.28452461876453899</v>
      </c>
      <c r="I59" s="39">
        <v>0.38172540421824303</v>
      </c>
      <c r="J59" s="39">
        <v>0.42284540996638098</v>
      </c>
      <c r="K59" s="39">
        <v>0.21336784467643799</v>
      </c>
      <c r="L59" s="39">
        <v>0.45106890719971798</v>
      </c>
      <c r="M59" s="39">
        <v>0.49305695809087802</v>
      </c>
      <c r="N59" s="48">
        <v>0.30161558049294335</v>
      </c>
      <c r="O59" s="39">
        <v>0.33729282574192299</v>
      </c>
      <c r="P59" s="39">
        <v>0.44119147566846401</v>
      </c>
      <c r="Q59" s="39">
        <v>0.55810831374453196</v>
      </c>
      <c r="R59" s="39">
        <v>0.52828836334725704</v>
      </c>
      <c r="S59" s="39">
        <v>0.35330111276505599</v>
      </c>
      <c r="T59" s="39">
        <v>0.33666233863404699</v>
      </c>
      <c r="U59" s="43">
        <v>0.56000000000000005</v>
      </c>
      <c r="V59" s="43">
        <v>0.34178055859895101</v>
      </c>
      <c r="W59" s="43">
        <f t="shared" si="0"/>
        <v>0.21821944140104904</v>
      </c>
      <c r="X59" s="45">
        <v>0.491638007513166</v>
      </c>
      <c r="Y59" s="45">
        <f t="shared" si="1"/>
        <v>6.8361992486834056E-2</v>
      </c>
    </row>
    <row r="60" spans="1:25" ht="15" x14ac:dyDescent="0.2">
      <c r="A60" s="40" t="s">
        <v>34</v>
      </c>
      <c r="B60" s="41">
        <v>25</v>
      </c>
      <c r="C60" s="42">
        <v>500</v>
      </c>
      <c r="D60" s="43">
        <v>2.6933292113182898</v>
      </c>
      <c r="E60" s="41">
        <v>20</v>
      </c>
      <c r="F60" s="44">
        <v>3.9586797682035803E-2</v>
      </c>
      <c r="G60" s="42">
        <v>162.97717278922801</v>
      </c>
      <c r="H60" s="39">
        <v>0.14122631889913001</v>
      </c>
      <c r="I60" s="39">
        <v>0.123611894101224</v>
      </c>
      <c r="J60" s="39">
        <v>0.17799191159417399</v>
      </c>
      <c r="K60" s="39">
        <v>0.24169857413436399</v>
      </c>
      <c r="L60" s="39">
        <v>0.10544233907574201</v>
      </c>
      <c r="M60" s="39">
        <v>0.14383411603156701</v>
      </c>
      <c r="N60" s="48">
        <v>0.20185815523052475</v>
      </c>
      <c r="O60" s="39">
        <v>0.19519775377137499</v>
      </c>
      <c r="P60" s="39">
        <v>0.176130184527126</v>
      </c>
      <c r="Q60" s="39">
        <v>0.18103752318944699</v>
      </c>
      <c r="R60" s="39">
        <v>0.16770822936657301</v>
      </c>
      <c r="S60" s="39">
        <v>0.24569876241229999</v>
      </c>
      <c r="T60" s="39">
        <v>0.18174855379482599</v>
      </c>
      <c r="U60" s="43">
        <v>0.23</v>
      </c>
      <c r="V60" s="43">
        <v>0.15610003267778999</v>
      </c>
      <c r="W60" s="43">
        <f t="shared" si="0"/>
        <v>7.389996732221002E-2</v>
      </c>
      <c r="X60" s="45">
        <v>0.15979660735343701</v>
      </c>
      <c r="Y60" s="45">
        <f t="shared" si="1"/>
        <v>7.0203392646563001E-2</v>
      </c>
    </row>
    <row r="61" spans="1:25" ht="15" x14ac:dyDescent="0.2">
      <c r="B61" s="41">
        <v>25</v>
      </c>
      <c r="C61" s="42">
        <v>500</v>
      </c>
      <c r="D61" s="43">
        <v>2.6933292113182898</v>
      </c>
      <c r="E61" s="41">
        <v>20</v>
      </c>
      <c r="F61" s="44">
        <v>3.9586797682035803E-2</v>
      </c>
      <c r="G61" s="42">
        <v>287.49119849252003</v>
      </c>
      <c r="H61" s="39">
        <v>0.22835615725307201</v>
      </c>
      <c r="I61" s="39">
        <v>0.19987448053425899</v>
      </c>
      <c r="J61" s="39">
        <v>0.26698786739126101</v>
      </c>
      <c r="K61" s="39">
        <v>0.54382179180231804</v>
      </c>
      <c r="L61" s="39">
        <v>0.167451685883762</v>
      </c>
      <c r="M61" s="39">
        <v>0.21575117404735</v>
      </c>
      <c r="N61" s="48">
        <v>0.32641882392102139</v>
      </c>
      <c r="O61" s="39">
        <v>0.30447476144073798</v>
      </c>
      <c r="P61" s="39">
        <v>0.26419527679068899</v>
      </c>
      <c r="Q61" s="39">
        <v>0.28066544154832701</v>
      </c>
      <c r="R61" s="39">
        <v>0.28449284747940901</v>
      </c>
      <c r="S61" s="39">
        <v>0.45402654428008299</v>
      </c>
      <c r="T61" s="39">
        <v>0.33563541112836798</v>
      </c>
      <c r="U61" s="43">
        <v>0.35</v>
      </c>
      <c r="V61" s="43">
        <v>0.25946151729319999</v>
      </c>
      <c r="W61" s="43">
        <f t="shared" si="0"/>
        <v>9.0538482706799983E-2</v>
      </c>
      <c r="X61" s="45">
        <v>0.28188069149101402</v>
      </c>
      <c r="Y61" s="45">
        <f t="shared" si="1"/>
        <v>6.8119308508985954E-2</v>
      </c>
    </row>
    <row r="62" spans="1:25" ht="15" x14ac:dyDescent="0.2">
      <c r="B62" s="41">
        <v>25</v>
      </c>
      <c r="C62" s="42">
        <v>500</v>
      </c>
      <c r="D62" s="43">
        <v>2.6933292113182898</v>
      </c>
      <c r="E62" s="41">
        <v>20</v>
      </c>
      <c r="F62" s="44">
        <v>3.9586797682035803E-2</v>
      </c>
      <c r="G62" s="42">
        <v>412.00522419581102</v>
      </c>
      <c r="H62" s="39">
        <v>0.31548599560701501</v>
      </c>
      <c r="I62" s="39">
        <v>0.27613706696729501</v>
      </c>
      <c r="J62" s="39">
        <v>0.35598382318834798</v>
      </c>
      <c r="K62" s="39">
        <v>0.96679429653745397</v>
      </c>
      <c r="L62" s="39">
        <v>0.229461032691783</v>
      </c>
      <c r="M62" s="39">
        <v>0.28766823206313302</v>
      </c>
      <c r="N62" s="48">
        <v>0.4509794926115181</v>
      </c>
      <c r="O62" s="39">
        <v>0.41375176911010098</v>
      </c>
      <c r="P62" s="39">
        <v>0.35226036905425201</v>
      </c>
      <c r="Q62" s="39">
        <v>0.38172208565646698</v>
      </c>
      <c r="R62" s="39">
        <v>0.39665919789350701</v>
      </c>
      <c r="S62" s="39">
        <v>0.69871634248316605</v>
      </c>
      <c r="T62" s="39">
        <v>0.51762133359117801</v>
      </c>
      <c r="U62" s="43">
        <v>0.49</v>
      </c>
      <c r="V62" s="43">
        <v>0.36282300190861</v>
      </c>
      <c r="W62" s="43">
        <f t="shared" si="0"/>
        <v>0.12717699809138999</v>
      </c>
      <c r="X62" s="45">
        <v>0.40396477562859101</v>
      </c>
      <c r="Y62" s="45">
        <f t="shared" si="1"/>
        <v>8.603522437140898E-2</v>
      </c>
    </row>
    <row r="63" spans="1:25" ht="15" x14ac:dyDescent="0.2">
      <c r="B63" s="41">
        <v>25</v>
      </c>
      <c r="C63" s="42">
        <v>500</v>
      </c>
      <c r="D63" s="43">
        <v>2.6933292113182898</v>
      </c>
      <c r="E63" s="41">
        <v>20</v>
      </c>
      <c r="F63" s="44">
        <v>3.9586797682035803E-2</v>
      </c>
      <c r="G63" s="42">
        <v>500</v>
      </c>
      <c r="H63" s="39">
        <v>0.380222433942772</v>
      </c>
      <c r="I63" s="39">
        <v>0.33279926578708802</v>
      </c>
      <c r="J63" s="39">
        <v>0.40277070489560102</v>
      </c>
      <c r="K63" s="39">
        <v>1.23762565650182</v>
      </c>
      <c r="L63" s="39">
        <v>0.275533243219376</v>
      </c>
      <c r="M63" s="39">
        <v>0.34110175471716903</v>
      </c>
      <c r="N63" s="48">
        <v>0.543526594730389</v>
      </c>
      <c r="O63" s="39">
        <v>0.49494329203898202</v>
      </c>
      <c r="P63" s="39">
        <v>0.41769168997205303</v>
      </c>
      <c r="Q63" s="39">
        <v>0.43961936124438999</v>
      </c>
      <c r="R63" s="39">
        <v>0.47797067242625102</v>
      </c>
      <c r="S63" s="39">
        <v>0.90406272691227096</v>
      </c>
      <c r="T63" s="39">
        <v>0.66114062330281198</v>
      </c>
      <c r="U63" s="43">
        <v>0.67</v>
      </c>
      <c r="V63" s="43">
        <v>0.43961936124438999</v>
      </c>
      <c r="W63" s="43">
        <f t="shared" si="0"/>
        <v>0.23038063875561005</v>
      </c>
      <c r="X63" s="45">
        <v>0.49024229779742001</v>
      </c>
      <c r="Y63" s="45">
        <f t="shared" si="1"/>
        <v>0.17975770220258003</v>
      </c>
    </row>
    <row r="64" spans="1:25" ht="15" x14ac:dyDescent="0.2">
      <c r="A64" s="40" t="s">
        <v>35</v>
      </c>
      <c r="B64" s="41">
        <v>25</v>
      </c>
      <c r="C64" s="42">
        <v>500</v>
      </c>
      <c r="D64" s="43">
        <v>2.6933292113182898</v>
      </c>
      <c r="E64" s="41">
        <v>20</v>
      </c>
      <c r="F64" s="44">
        <v>3.9586797682035803E-2</v>
      </c>
      <c r="G64" s="42">
        <v>162.97717278922801</v>
      </c>
      <c r="H64" s="39">
        <v>0.14122631889913001</v>
      </c>
      <c r="I64" s="39">
        <v>0.123611894101224</v>
      </c>
      <c r="J64" s="39">
        <v>0.17799191159417399</v>
      </c>
      <c r="K64" s="39">
        <v>0.24169857413436399</v>
      </c>
      <c r="L64" s="39">
        <v>0.10544233907574201</v>
      </c>
      <c r="M64" s="39">
        <v>0.14383411603156701</v>
      </c>
      <c r="N64" s="48">
        <v>0.20185815523052475</v>
      </c>
      <c r="O64" s="39">
        <v>0.19519775377137499</v>
      </c>
      <c r="P64" s="39">
        <v>0.176130184527126</v>
      </c>
      <c r="Q64" s="39">
        <v>0.18103752318944699</v>
      </c>
      <c r="R64" s="39">
        <v>0.16770822936657301</v>
      </c>
      <c r="S64" s="39">
        <v>0.24569876241229999</v>
      </c>
      <c r="T64" s="39">
        <v>0.18174855379482599</v>
      </c>
      <c r="U64" s="43">
        <v>0.27</v>
      </c>
      <c r="V64" s="43">
        <v>0.15610003267778999</v>
      </c>
      <c r="W64" s="43">
        <f t="shared" si="0"/>
        <v>0.11389996732221003</v>
      </c>
      <c r="X64" s="45">
        <v>0.15979660735343701</v>
      </c>
      <c r="Y64" s="45">
        <f t="shared" si="1"/>
        <v>0.11020339264656301</v>
      </c>
    </row>
    <row r="65" spans="1:25" ht="15" x14ac:dyDescent="0.2">
      <c r="B65" s="41">
        <v>25</v>
      </c>
      <c r="C65" s="42">
        <v>500</v>
      </c>
      <c r="D65" s="43">
        <v>2.6933292113182898</v>
      </c>
      <c r="E65" s="41">
        <v>20</v>
      </c>
      <c r="F65" s="44">
        <v>3.9586797682035803E-2</v>
      </c>
      <c r="G65" s="42">
        <v>287.49119849252003</v>
      </c>
      <c r="H65" s="39">
        <v>0.22835615725307201</v>
      </c>
      <c r="I65" s="39">
        <v>0.19987448053425899</v>
      </c>
      <c r="J65" s="39">
        <v>0.26698786739126101</v>
      </c>
      <c r="K65" s="39">
        <v>0.54382179180231804</v>
      </c>
      <c r="L65" s="39">
        <v>0.167451685883762</v>
      </c>
      <c r="M65" s="39">
        <v>0.21575117404735</v>
      </c>
      <c r="N65" s="48">
        <v>0.32641882392102139</v>
      </c>
      <c r="O65" s="39">
        <v>0.30447476144073798</v>
      </c>
      <c r="P65" s="39">
        <v>0.26419527679068899</v>
      </c>
      <c r="Q65" s="39">
        <v>0.28066544154832701</v>
      </c>
      <c r="R65" s="39">
        <v>0.28449284747940901</v>
      </c>
      <c r="S65" s="39">
        <v>0.45402654428008299</v>
      </c>
      <c r="T65" s="39">
        <v>0.33563541112836798</v>
      </c>
      <c r="U65" s="43">
        <v>0.4</v>
      </c>
      <c r="V65" s="43">
        <v>0.25946151729319999</v>
      </c>
      <c r="W65" s="43">
        <f t="shared" si="0"/>
        <v>0.14053848270680003</v>
      </c>
      <c r="X65" s="45">
        <v>0.28188069149101402</v>
      </c>
      <c r="Y65" s="45">
        <f t="shared" si="1"/>
        <v>0.118119308508986</v>
      </c>
    </row>
    <row r="66" spans="1:25" ht="15" x14ac:dyDescent="0.2">
      <c r="B66" s="41">
        <v>25</v>
      </c>
      <c r="C66" s="42">
        <v>500</v>
      </c>
      <c r="D66" s="43">
        <v>2.6933292113182898</v>
      </c>
      <c r="E66" s="41">
        <v>20</v>
      </c>
      <c r="F66" s="44">
        <v>3.9586797682035803E-2</v>
      </c>
      <c r="G66" s="42">
        <v>412.00522419581102</v>
      </c>
      <c r="H66" s="39">
        <v>0.31548599560701501</v>
      </c>
      <c r="I66" s="39">
        <v>0.27613706696729501</v>
      </c>
      <c r="J66" s="39">
        <v>0.35598382318834798</v>
      </c>
      <c r="K66" s="39">
        <v>0.96679429653745397</v>
      </c>
      <c r="L66" s="39">
        <v>0.229461032691783</v>
      </c>
      <c r="M66" s="39">
        <v>0.28766823206313302</v>
      </c>
      <c r="N66" s="48">
        <v>0.4509794926115181</v>
      </c>
      <c r="O66" s="39">
        <v>0.41375176911010098</v>
      </c>
      <c r="P66" s="39">
        <v>0.35226036905425201</v>
      </c>
      <c r="Q66" s="39">
        <v>0.38172208565646698</v>
      </c>
      <c r="R66" s="39">
        <v>0.39665919789350701</v>
      </c>
      <c r="S66" s="39">
        <v>0.69871634248316605</v>
      </c>
      <c r="T66" s="39">
        <v>0.51762133359117801</v>
      </c>
      <c r="U66" s="43">
        <v>0.53</v>
      </c>
      <c r="V66" s="43">
        <v>0.36282300190861</v>
      </c>
      <c r="W66" s="43">
        <f t="shared" si="0"/>
        <v>0.16717699809139003</v>
      </c>
      <c r="X66" s="45">
        <v>0.40396477562859101</v>
      </c>
      <c r="Y66" s="45">
        <f t="shared" si="1"/>
        <v>0.12603522437140902</v>
      </c>
    </row>
    <row r="67" spans="1:25" ht="15" x14ac:dyDescent="0.2">
      <c r="B67" s="41">
        <v>25</v>
      </c>
      <c r="C67" s="42">
        <v>500</v>
      </c>
      <c r="D67" s="43">
        <v>2.6933292113182898</v>
      </c>
      <c r="E67" s="41">
        <v>20</v>
      </c>
      <c r="F67" s="44">
        <v>3.9586797682035803E-2</v>
      </c>
      <c r="G67" s="42">
        <v>500</v>
      </c>
      <c r="H67" s="39">
        <v>0.380222433942772</v>
      </c>
      <c r="I67" s="39">
        <v>0.33279926578708802</v>
      </c>
      <c r="J67" s="39">
        <v>0.40277070489560102</v>
      </c>
      <c r="K67" s="39">
        <v>1.23762565650182</v>
      </c>
      <c r="L67" s="39">
        <v>0.275533243219376</v>
      </c>
      <c r="M67" s="39">
        <v>0.34110175471716903</v>
      </c>
      <c r="N67" s="48">
        <v>0.543526594730389</v>
      </c>
      <c r="O67" s="39">
        <v>0.49494329203898202</v>
      </c>
      <c r="P67" s="39">
        <v>0.41769168997205303</v>
      </c>
      <c r="Q67" s="39">
        <v>0.43961936124438999</v>
      </c>
      <c r="R67" s="39">
        <v>0.47797067242625102</v>
      </c>
      <c r="S67" s="39">
        <v>0.90406272691227096</v>
      </c>
      <c r="T67" s="39">
        <v>0.66114062330281198</v>
      </c>
      <c r="U67" s="43">
        <v>0.72</v>
      </c>
      <c r="V67" s="43">
        <v>0.43961936124438999</v>
      </c>
      <c r="W67" s="43">
        <f t="shared" ref="W67:W130" si="2">U67-V67</f>
        <v>0.28038063875560998</v>
      </c>
      <c r="X67" s="45">
        <v>0.49024229779742001</v>
      </c>
      <c r="Y67" s="45">
        <f t="shared" ref="Y67:Y130" si="3">U67-X67</f>
        <v>0.22975770220257996</v>
      </c>
    </row>
    <row r="68" spans="1:25" ht="15" x14ac:dyDescent="0.2">
      <c r="A68" s="40" t="s">
        <v>36</v>
      </c>
      <c r="B68" s="41">
        <v>25</v>
      </c>
      <c r="C68" s="42">
        <v>500</v>
      </c>
      <c r="D68" s="43">
        <v>2.6933292113182898</v>
      </c>
      <c r="E68" s="41">
        <v>70</v>
      </c>
      <c r="F68" s="44">
        <v>2.5564594858444499E-2</v>
      </c>
      <c r="G68" s="42">
        <v>48.319539729677203</v>
      </c>
      <c r="H68" s="39">
        <v>0.109905925341171</v>
      </c>
      <c r="I68" s="39">
        <v>0.12881608464782099</v>
      </c>
      <c r="J68" s="39">
        <v>0.16556711308129901</v>
      </c>
      <c r="K68" s="39">
        <v>8.1665558272208894E-2</v>
      </c>
      <c r="L68" s="39">
        <v>0.12972038637164099</v>
      </c>
      <c r="M68" s="39">
        <v>0.185339046285834</v>
      </c>
      <c r="N68" s="48">
        <v>0.14892905998536843</v>
      </c>
      <c r="O68" s="39">
        <v>0.14891108881475201</v>
      </c>
      <c r="P68" s="39">
        <v>0.221639798156612</v>
      </c>
      <c r="Q68" s="39">
        <v>0.21747161875638699</v>
      </c>
      <c r="R68" s="39">
        <v>0.10939457736918699</v>
      </c>
      <c r="S68" s="39">
        <v>0.119779624274062</v>
      </c>
      <c r="T68" s="39">
        <v>0.105758903426018</v>
      </c>
      <c r="U68" s="43">
        <v>0.3</v>
      </c>
      <c r="V68" s="43">
        <v>0.10939457736918699</v>
      </c>
      <c r="W68" s="43">
        <f t="shared" si="2"/>
        <v>0.19060542263081298</v>
      </c>
      <c r="X68" s="45">
        <v>0.221639798156612</v>
      </c>
      <c r="Y68" s="45">
        <f t="shared" si="3"/>
        <v>7.8360201843387989E-2</v>
      </c>
    </row>
    <row r="69" spans="1:25" ht="15" x14ac:dyDescent="0.2">
      <c r="B69" s="41">
        <v>25</v>
      </c>
      <c r="C69" s="42">
        <v>500</v>
      </c>
      <c r="D69" s="43">
        <v>2.6933292113182898</v>
      </c>
      <c r="E69" s="41">
        <v>70</v>
      </c>
      <c r="F69" s="44">
        <v>2.5564594858444499E-2</v>
      </c>
      <c r="G69" s="42">
        <v>184.85444613865801</v>
      </c>
      <c r="H69" s="39">
        <v>0.27627222904761201</v>
      </c>
      <c r="I69" s="39">
        <v>0.32380698977208</v>
      </c>
      <c r="J69" s="39">
        <v>0.33113422616259902</v>
      </c>
      <c r="K69" s="39">
        <v>0.32666223308883502</v>
      </c>
      <c r="L69" s="39">
        <v>0.297634489034663</v>
      </c>
      <c r="M69" s="39">
        <v>0.37067809257166801</v>
      </c>
      <c r="N69" s="48">
        <v>0.37020578809582916</v>
      </c>
      <c r="O69" s="39">
        <v>0.33143842403959001</v>
      </c>
      <c r="P69" s="39">
        <v>0.443279596313223</v>
      </c>
      <c r="Q69" s="39">
        <v>0.46445424899750298</v>
      </c>
      <c r="R69" s="39">
        <v>0.43559236577183102</v>
      </c>
      <c r="S69" s="39">
        <v>0.42685407389062202</v>
      </c>
      <c r="T69" s="39">
        <v>0.408842748050739</v>
      </c>
      <c r="U69" s="43">
        <v>0.56999999999999995</v>
      </c>
      <c r="V69" s="43">
        <v>0.38150227100816497</v>
      </c>
      <c r="W69" s="43">
        <f t="shared" si="2"/>
        <v>0.18849772899183498</v>
      </c>
      <c r="X69" s="45">
        <v>0.443279596313223</v>
      </c>
      <c r="Y69" s="45">
        <f t="shared" si="3"/>
        <v>0.12672040368677695</v>
      </c>
    </row>
    <row r="70" spans="1:25" ht="15" x14ac:dyDescent="0.2">
      <c r="A70" s="40" t="s">
        <v>37</v>
      </c>
      <c r="B70" s="41">
        <v>25</v>
      </c>
      <c r="C70" s="42">
        <v>500</v>
      </c>
      <c r="D70" s="43">
        <v>2.6933292113182898</v>
      </c>
      <c r="E70" s="41">
        <v>70</v>
      </c>
      <c r="F70" s="44">
        <v>2.60391117003646E-2</v>
      </c>
      <c r="G70" s="42">
        <v>48.0374206768183</v>
      </c>
      <c r="H70" s="39">
        <v>0.107925994945012</v>
      </c>
      <c r="I70" s="39">
        <v>0.12657750301551299</v>
      </c>
      <c r="J70" s="39">
        <v>0.16360417247081699</v>
      </c>
      <c r="K70" s="39">
        <v>7.9740606352613902E-2</v>
      </c>
      <c r="L70" s="39">
        <v>0.121979222774129</v>
      </c>
      <c r="M70" s="39">
        <v>0.176101748580824</v>
      </c>
      <c r="N70" s="48">
        <v>0.14080120987492947</v>
      </c>
      <c r="O70" s="39">
        <v>0.14399660571473699</v>
      </c>
      <c r="P70" s="39">
        <v>0.20933695758146401</v>
      </c>
      <c r="Q70" s="39">
        <v>0.21173980120691199</v>
      </c>
      <c r="R70" s="39">
        <v>0.106297702576725</v>
      </c>
      <c r="S70" s="39">
        <v>0.11661648578447301</v>
      </c>
      <c r="T70" s="39">
        <v>0.102828882848348</v>
      </c>
      <c r="U70" s="43">
        <v>0.26</v>
      </c>
      <c r="V70" s="43">
        <v>0.106297702576725</v>
      </c>
      <c r="W70" s="43">
        <f t="shared" si="2"/>
        <v>0.15370229742327501</v>
      </c>
      <c r="X70" s="45">
        <v>0.106297702576725</v>
      </c>
      <c r="Y70" s="45">
        <f t="shared" si="3"/>
        <v>0.15370229742327501</v>
      </c>
    </row>
    <row r="71" spans="1:25" ht="15" x14ac:dyDescent="0.2">
      <c r="B71" s="41">
        <v>25</v>
      </c>
      <c r="C71" s="42">
        <v>500</v>
      </c>
      <c r="D71" s="43">
        <v>2.6933292113182898</v>
      </c>
      <c r="E71" s="41">
        <v>70</v>
      </c>
      <c r="F71" s="44">
        <v>2.60391117003646E-2</v>
      </c>
      <c r="G71" s="42">
        <v>182.184152739316</v>
      </c>
      <c r="H71" s="39">
        <v>0.27211941231575099</v>
      </c>
      <c r="I71" s="39">
        <v>0.31914642761019602</v>
      </c>
      <c r="J71" s="39">
        <v>0.32720834494163298</v>
      </c>
      <c r="K71" s="39">
        <v>0.318962425410456</v>
      </c>
      <c r="L71" s="39">
        <v>0.28090090952765701</v>
      </c>
      <c r="M71" s="39">
        <v>0.35220349716164701</v>
      </c>
      <c r="N71" s="48">
        <v>0.35121405191895805</v>
      </c>
      <c r="O71" s="39">
        <v>0.32097389209282901</v>
      </c>
      <c r="P71" s="39">
        <v>0.41867391516292801</v>
      </c>
      <c r="Q71" s="39">
        <v>0.45177901766307299</v>
      </c>
      <c r="R71" s="39">
        <v>0.42243772809082802</v>
      </c>
      <c r="S71" s="39">
        <v>0.416102356520265</v>
      </c>
      <c r="T71" s="39">
        <v>0.398168868846905</v>
      </c>
      <c r="U71" s="43">
        <v>0.6</v>
      </c>
      <c r="V71" s="43">
        <v>0.37132705037540797</v>
      </c>
      <c r="W71" s="43">
        <f t="shared" si="2"/>
        <v>0.228672949624592</v>
      </c>
      <c r="X71" s="45">
        <v>0.40042765797216201</v>
      </c>
      <c r="Y71" s="45">
        <f t="shared" si="3"/>
        <v>0.19957234202783797</v>
      </c>
    </row>
    <row r="72" spans="1:25" ht="15" x14ac:dyDescent="0.2">
      <c r="A72" s="40" t="s">
        <v>38</v>
      </c>
      <c r="B72" s="41">
        <v>25</v>
      </c>
      <c r="C72" s="42">
        <v>500</v>
      </c>
      <c r="D72" s="43">
        <v>2.6933292113182898</v>
      </c>
      <c r="E72" s="41">
        <v>70</v>
      </c>
      <c r="F72" s="44">
        <v>2.60391117003646E-2</v>
      </c>
      <c r="G72" s="42">
        <v>48.0374206768183</v>
      </c>
      <c r="H72" s="39">
        <v>0.107925994945012</v>
      </c>
      <c r="I72" s="39">
        <v>0.12657750301551299</v>
      </c>
      <c r="J72" s="39">
        <v>0.16360417247081699</v>
      </c>
      <c r="K72" s="39">
        <v>7.9740606352613902E-2</v>
      </c>
      <c r="L72" s="39">
        <v>0.121979222774129</v>
      </c>
      <c r="M72" s="39">
        <v>0.176101748580824</v>
      </c>
      <c r="N72" s="48">
        <v>0.14080120987492947</v>
      </c>
      <c r="O72" s="39">
        <v>0.14399660571473699</v>
      </c>
      <c r="P72" s="39">
        <v>0.20933695758146401</v>
      </c>
      <c r="Q72" s="39">
        <v>0.21173980120691199</v>
      </c>
      <c r="R72" s="39">
        <v>0.106297702576725</v>
      </c>
      <c r="S72" s="39">
        <v>0.11661648578447301</v>
      </c>
      <c r="T72" s="39">
        <v>0.102828882848348</v>
      </c>
      <c r="U72" s="43">
        <v>0.27</v>
      </c>
      <c r="V72" s="43">
        <v>0.106297702576725</v>
      </c>
      <c r="W72" s="43">
        <f t="shared" si="2"/>
        <v>0.16370229742327502</v>
      </c>
      <c r="X72" s="45">
        <v>0.106297702576725</v>
      </c>
      <c r="Y72" s="45">
        <f t="shared" si="3"/>
        <v>0.16370229742327502</v>
      </c>
    </row>
    <row r="73" spans="1:25" ht="15" x14ac:dyDescent="0.2">
      <c r="B73" s="41">
        <v>25</v>
      </c>
      <c r="C73" s="42">
        <v>500</v>
      </c>
      <c r="D73" s="43">
        <v>2.6933292113182898</v>
      </c>
      <c r="E73" s="41">
        <v>70</v>
      </c>
      <c r="F73" s="44">
        <v>2.60391117003646E-2</v>
      </c>
      <c r="G73" s="42">
        <v>182.184152739316</v>
      </c>
      <c r="H73" s="39">
        <v>0.27211941231575099</v>
      </c>
      <c r="I73" s="39">
        <v>0.31914642761019602</v>
      </c>
      <c r="J73" s="39">
        <v>0.32720834494163298</v>
      </c>
      <c r="K73" s="39">
        <v>0.318962425410456</v>
      </c>
      <c r="L73" s="39">
        <v>0.28090090952765701</v>
      </c>
      <c r="M73" s="39">
        <v>0.35220349716164701</v>
      </c>
      <c r="N73" s="48">
        <v>0.35121405191895805</v>
      </c>
      <c r="O73" s="39">
        <v>0.32097389209282901</v>
      </c>
      <c r="P73" s="39">
        <v>0.41867391516292801</v>
      </c>
      <c r="Q73" s="39">
        <v>0.45177901766307299</v>
      </c>
      <c r="R73" s="39">
        <v>0.42243772809082802</v>
      </c>
      <c r="S73" s="39">
        <v>0.416102356520265</v>
      </c>
      <c r="T73" s="39">
        <v>0.398168868846905</v>
      </c>
      <c r="U73" s="43">
        <v>0.59</v>
      </c>
      <c r="V73" s="43">
        <v>0.37132705037540797</v>
      </c>
      <c r="W73" s="43">
        <f t="shared" si="2"/>
        <v>0.21867294962459199</v>
      </c>
      <c r="X73" s="45">
        <v>0.40042765797216201</v>
      </c>
      <c r="Y73" s="45">
        <f t="shared" si="3"/>
        <v>0.18957234202783796</v>
      </c>
    </row>
    <row r="74" spans="1:25" ht="15" x14ac:dyDescent="0.2">
      <c r="A74" s="40" t="s">
        <v>39</v>
      </c>
      <c r="B74" s="41">
        <v>9.52</v>
      </c>
      <c r="C74" s="42">
        <v>434</v>
      </c>
      <c r="D74" s="43">
        <v>3.5641600019995101</v>
      </c>
      <c r="E74" s="41">
        <v>20.64</v>
      </c>
      <c r="F74" s="44">
        <v>2.5515646160668301E-2</v>
      </c>
      <c r="G74" s="42">
        <v>234.83059233149001</v>
      </c>
      <c r="H74" s="39">
        <v>0.13329381492770401</v>
      </c>
      <c r="I74" s="39">
        <v>0.13033571952634701</v>
      </c>
      <c r="J74" s="39">
        <v>0.14133750002718701</v>
      </c>
      <c r="K74" s="39">
        <v>0.13684830482913199</v>
      </c>
      <c r="L74" s="39">
        <v>0.10572052130097</v>
      </c>
      <c r="M74" s="39">
        <v>0.141040005310795</v>
      </c>
      <c r="N74" s="48">
        <v>0.14118156513604477</v>
      </c>
      <c r="O74" s="39">
        <v>0.12185310734004801</v>
      </c>
      <c r="P74" s="39">
        <v>0.13966394049571901</v>
      </c>
      <c r="Q74" s="39">
        <v>0.153613930137248</v>
      </c>
      <c r="R74" s="39">
        <v>0.150226129345544</v>
      </c>
      <c r="S74" s="39">
        <v>0.14468014850432001</v>
      </c>
      <c r="T74" s="39">
        <v>0.13437916066971001</v>
      </c>
      <c r="U74" s="43">
        <v>0.15</v>
      </c>
      <c r="V74" s="43">
        <v>0.123662143998871</v>
      </c>
      <c r="W74" s="43">
        <f t="shared" si="2"/>
        <v>2.6337856001128993E-2</v>
      </c>
      <c r="X74" s="45">
        <v>0.145762856227899</v>
      </c>
      <c r="Y74" s="45">
        <f t="shared" si="3"/>
        <v>4.237143772100993E-3</v>
      </c>
    </row>
    <row r="75" spans="1:25" ht="15" x14ac:dyDescent="0.2">
      <c r="B75" s="41">
        <v>9.52</v>
      </c>
      <c r="C75" s="42">
        <v>434</v>
      </c>
      <c r="D75" s="43">
        <v>3.5641600019995101</v>
      </c>
      <c r="E75" s="41">
        <v>20.64</v>
      </c>
      <c r="F75" s="44">
        <v>2.5515646160668301E-2</v>
      </c>
      <c r="G75" s="42">
        <v>299.56808231341802</v>
      </c>
      <c r="H75" s="39">
        <v>0.163003337276488</v>
      </c>
      <c r="I75" s="39">
        <v>0.15938591944907299</v>
      </c>
      <c r="J75" s="39">
        <v>0.16448760779026</v>
      </c>
      <c r="K75" s="39">
        <v>0.185349312983868</v>
      </c>
      <c r="L75" s="39">
        <v>0.12620235173470401</v>
      </c>
      <c r="M75" s="39">
        <v>0.16414138549101101</v>
      </c>
      <c r="N75" s="48">
        <v>0.16792683243475678</v>
      </c>
      <c r="O75" s="39">
        <v>0.14354614769334401</v>
      </c>
      <c r="P75" s="39">
        <v>0.16253993074932799</v>
      </c>
      <c r="Q75" s="39">
        <v>0.18189082526950401</v>
      </c>
      <c r="R75" s="39">
        <v>0.18610540199744199</v>
      </c>
      <c r="S75" s="39">
        <v>0.181629277480543</v>
      </c>
      <c r="T75" s="39">
        <v>0.172036156056423</v>
      </c>
      <c r="U75" s="43">
        <v>0.17</v>
      </c>
      <c r="V75" s="43">
        <v>0.153702296183471</v>
      </c>
      <c r="W75" s="43">
        <f t="shared" si="2"/>
        <v>1.6297703816529008E-2</v>
      </c>
      <c r="X75" s="45">
        <v>0.18594638321687901</v>
      </c>
      <c r="Y75" s="45">
        <f t="shared" si="3"/>
        <v>-1.5946383216878995E-2</v>
      </c>
    </row>
    <row r="76" spans="1:25" ht="15" x14ac:dyDescent="0.2">
      <c r="A76" s="40" t="s">
        <v>40</v>
      </c>
      <c r="B76" s="41">
        <v>12.7</v>
      </c>
      <c r="C76" s="42">
        <v>434</v>
      </c>
      <c r="D76" s="43">
        <v>3.9766081638229398</v>
      </c>
      <c r="E76" s="41">
        <v>19.05</v>
      </c>
      <c r="F76" s="44">
        <v>3.8095631746819097E-2</v>
      </c>
      <c r="G76" s="42">
        <v>257.58927994396998</v>
      </c>
      <c r="H76" s="39">
        <v>0.117678130194578</v>
      </c>
      <c r="I76" s="39">
        <v>0.124449511945649</v>
      </c>
      <c r="J76" s="39">
        <v>0.146986108925762</v>
      </c>
      <c r="K76" s="39">
        <v>0.17649154312757001</v>
      </c>
      <c r="L76" s="39">
        <v>8.5929874012790203E-2</v>
      </c>
      <c r="M76" s="39">
        <v>0.143634389988364</v>
      </c>
      <c r="N76" s="48">
        <v>0.15898774895224452</v>
      </c>
      <c r="O76" s="39">
        <v>0.12691535141382199</v>
      </c>
      <c r="P76" s="39">
        <v>0.145569648576095</v>
      </c>
      <c r="Q76" s="39">
        <v>0.14222424166995201</v>
      </c>
      <c r="R76" s="39">
        <v>0.14131486041685201</v>
      </c>
      <c r="S76" s="39">
        <v>0.16104591288533501</v>
      </c>
      <c r="T76" s="39">
        <v>0.14298862215441299</v>
      </c>
      <c r="U76" s="43">
        <v>0.15</v>
      </c>
      <c r="V76" s="43">
        <v>0.122571018889015</v>
      </c>
      <c r="W76" s="43">
        <f t="shared" si="2"/>
        <v>2.742898111098499E-2</v>
      </c>
      <c r="X76" s="45">
        <v>0.13878769380193201</v>
      </c>
      <c r="Y76" s="45">
        <f t="shared" si="3"/>
        <v>1.1212306198067984E-2</v>
      </c>
    </row>
    <row r="77" spans="1:25" ht="15" x14ac:dyDescent="0.2">
      <c r="B77" s="41">
        <v>12.7</v>
      </c>
      <c r="C77" s="42">
        <v>434</v>
      </c>
      <c r="D77" s="43">
        <v>3.9766081638229398</v>
      </c>
      <c r="E77" s="41">
        <v>19.05</v>
      </c>
      <c r="F77" s="44">
        <v>3.8095631746819097E-2</v>
      </c>
      <c r="G77" s="42">
        <v>313.986356219284</v>
      </c>
      <c r="H77" s="39">
        <v>0.13840455251525</v>
      </c>
      <c r="I77" s="39">
        <v>0.14636856468656201</v>
      </c>
      <c r="J77" s="39">
        <v>0.16858122445513901</v>
      </c>
      <c r="K77" s="39">
        <v>0.23216124372145699</v>
      </c>
      <c r="L77" s="39">
        <v>9.9764479324658095E-2</v>
      </c>
      <c r="M77" s="39">
        <v>0.16473707287764899</v>
      </c>
      <c r="N77" s="48">
        <v>0.18589529037245558</v>
      </c>
      <c r="O77" s="39">
        <v>0.146943963317993</v>
      </c>
      <c r="P77" s="39">
        <v>0.16695665855646899</v>
      </c>
      <c r="Q77" s="39">
        <v>0.16518119122789501</v>
      </c>
      <c r="R77" s="39">
        <v>0.168924383471486</v>
      </c>
      <c r="S77" s="39">
        <v>0.19575398369670499</v>
      </c>
      <c r="T77" s="39">
        <v>0.176870389845427</v>
      </c>
      <c r="U77" s="43">
        <v>0.17</v>
      </c>
      <c r="V77" s="43">
        <v>0.14657657941336699</v>
      </c>
      <c r="W77" s="43">
        <f t="shared" si="2"/>
        <v>2.342342058663302E-2</v>
      </c>
      <c r="X77" s="45">
        <v>0.16917412974027901</v>
      </c>
      <c r="Y77" s="45">
        <f t="shared" si="3"/>
        <v>8.2587025972100103E-4</v>
      </c>
    </row>
    <row r="78" spans="1:25" ht="15" x14ac:dyDescent="0.2">
      <c r="B78" s="41">
        <v>12.7</v>
      </c>
      <c r="C78" s="42">
        <v>434</v>
      </c>
      <c r="D78" s="43">
        <v>3.9766081638229398</v>
      </c>
      <c r="E78" s="41">
        <v>19.05</v>
      </c>
      <c r="F78" s="44">
        <v>3.8095631746819097E-2</v>
      </c>
      <c r="G78" s="42">
        <v>394.03381931972899</v>
      </c>
      <c r="H78" s="39">
        <v>0.167822700325236</v>
      </c>
      <c r="I78" s="39">
        <v>0.17747947825431001</v>
      </c>
      <c r="J78" s="39">
        <v>0.19817501382220501</v>
      </c>
      <c r="K78" s="39">
        <v>0.32082566870426499</v>
      </c>
      <c r="L78" s="39">
        <v>0.119400693315697</v>
      </c>
      <c r="M78" s="39">
        <v>0.194689267946313</v>
      </c>
      <c r="N78" s="48">
        <v>0.22408663948501337</v>
      </c>
      <c r="O78" s="39">
        <v>0.17537167053681799</v>
      </c>
      <c r="P78" s="39">
        <v>0.19731241465764501</v>
      </c>
      <c r="Q78" s="39">
        <v>0.19301515670637001</v>
      </c>
      <c r="R78" s="39">
        <v>0.207125617995668</v>
      </c>
      <c r="S78" s="39">
        <v>0.24679825111897999</v>
      </c>
      <c r="T78" s="39">
        <v>0.22798547852130299</v>
      </c>
      <c r="U78" s="43">
        <v>0.2</v>
      </c>
      <c r="V78" s="43">
        <v>0.18064898789954401</v>
      </c>
      <c r="W78" s="43">
        <f t="shared" si="2"/>
        <v>1.9351012100456005E-2</v>
      </c>
      <c r="X78" s="45">
        <v>0.21230326462051399</v>
      </c>
      <c r="Y78" s="45">
        <f t="shared" si="3"/>
        <v>-1.2303264620513982E-2</v>
      </c>
    </row>
    <row r="79" spans="1:25" ht="15" x14ac:dyDescent="0.2">
      <c r="A79" s="40" t="s">
        <v>41</v>
      </c>
      <c r="B79" s="41">
        <v>15.9</v>
      </c>
      <c r="C79" s="42">
        <v>540</v>
      </c>
      <c r="D79" s="43">
        <v>3.9766081638229398</v>
      </c>
      <c r="E79" s="41">
        <v>17.46</v>
      </c>
      <c r="F79" s="44">
        <v>5.9047737143093297E-2</v>
      </c>
      <c r="G79" s="42">
        <v>254.92345959961199</v>
      </c>
      <c r="H79" s="39">
        <v>9.6336619183132896E-2</v>
      </c>
      <c r="I79" s="39">
        <v>0.10731930169564</v>
      </c>
      <c r="J79" s="39">
        <v>0.14464187891341099</v>
      </c>
      <c r="K79" s="39">
        <v>0.20413587615404699</v>
      </c>
      <c r="L79" s="39">
        <v>6.80992506685522E-2</v>
      </c>
      <c r="M79" s="39">
        <v>0.13793919159603699</v>
      </c>
      <c r="N79" s="48">
        <v>0.16381732106291136</v>
      </c>
      <c r="O79" s="39">
        <v>0.12149822076563099</v>
      </c>
      <c r="P79" s="39">
        <v>0.141477301049211</v>
      </c>
      <c r="Q79" s="39">
        <v>0.122540817776016</v>
      </c>
      <c r="R79" s="39">
        <v>0.122073754892787</v>
      </c>
      <c r="S79" s="39">
        <v>0.12007419362751801</v>
      </c>
      <c r="T79" s="39">
        <v>0.13899119070157101</v>
      </c>
      <c r="U79" s="43">
        <v>0.16</v>
      </c>
      <c r="V79" s="43">
        <v>0.111252068275181</v>
      </c>
      <c r="W79" s="43">
        <f t="shared" si="2"/>
        <v>4.8747931724819005E-2</v>
      </c>
      <c r="X79" s="45">
        <v>0.12007419362751801</v>
      </c>
      <c r="Y79" s="45">
        <f t="shared" si="3"/>
        <v>3.9925806372481998E-2</v>
      </c>
    </row>
    <row r="80" spans="1:25" ht="15" x14ac:dyDescent="0.2">
      <c r="B80" s="41">
        <v>15.9</v>
      </c>
      <c r="C80" s="42">
        <v>540</v>
      </c>
      <c r="D80" s="43">
        <v>3.9766081638229398</v>
      </c>
      <c r="E80" s="41">
        <v>17.46</v>
      </c>
      <c r="F80" s="44">
        <v>5.9047737143093297E-2</v>
      </c>
      <c r="G80" s="42">
        <v>362.12049823275697</v>
      </c>
      <c r="H80" s="39">
        <v>0.130486662894268</v>
      </c>
      <c r="I80" s="39">
        <v>0.14536255954536401</v>
      </c>
      <c r="J80" s="39">
        <v>0.18969426742742501</v>
      </c>
      <c r="K80" s="39">
        <v>0.35110712372639102</v>
      </c>
      <c r="L80" s="39">
        <v>9.0733600949242002E-2</v>
      </c>
      <c r="M80" s="39">
        <v>0.18090385783086799</v>
      </c>
      <c r="N80" s="48">
        <v>0.22301506459067044</v>
      </c>
      <c r="O80" s="39">
        <v>0.16214997104322201</v>
      </c>
      <c r="P80" s="39">
        <v>0.18554400137601401</v>
      </c>
      <c r="Q80" s="39">
        <v>0.16388788457928499</v>
      </c>
      <c r="R80" s="39">
        <v>0.168943661645472</v>
      </c>
      <c r="S80" s="39">
        <v>0.17056620402683201</v>
      </c>
      <c r="T80" s="39">
        <v>0.20845553183839399</v>
      </c>
      <c r="U80" s="43">
        <v>0.21</v>
      </c>
      <c r="V80" s="43">
        <v>0.153759462873372</v>
      </c>
      <c r="W80" s="43">
        <f t="shared" si="2"/>
        <v>5.6240537126627993E-2</v>
      </c>
      <c r="X80" s="45">
        <v>0.17056620402683201</v>
      </c>
      <c r="Y80" s="45">
        <f t="shared" si="3"/>
        <v>3.9433795973167984E-2</v>
      </c>
    </row>
    <row r="81" spans="1:25" ht="15" x14ac:dyDescent="0.2">
      <c r="A81" s="40" t="s">
        <v>42</v>
      </c>
      <c r="B81" s="41">
        <v>16</v>
      </c>
      <c r="C81" s="42">
        <v>500</v>
      </c>
      <c r="D81" s="43">
        <v>3.2690000000000001</v>
      </c>
      <c r="E81" s="41">
        <v>40</v>
      </c>
      <c r="F81" s="44">
        <v>1.2500000000000001E-2</v>
      </c>
      <c r="G81" s="42">
        <v>13.7953101812687</v>
      </c>
      <c r="H81" s="39">
        <v>9.7763317902372596E-2</v>
      </c>
      <c r="I81" s="39">
        <v>0.16208568924502401</v>
      </c>
      <c r="J81" s="39">
        <v>0.251489698791037</v>
      </c>
      <c r="K81" s="39">
        <v>9.5278931346240298E-2</v>
      </c>
      <c r="L81" s="39">
        <v>0.17060852360291501</v>
      </c>
      <c r="M81" s="39">
        <v>0.26244074176287702</v>
      </c>
      <c r="N81" s="48">
        <v>0.17543649314795359</v>
      </c>
      <c r="O81" s="39">
        <v>0.135327275261548</v>
      </c>
      <c r="P81" s="39">
        <v>0.205486805457641</v>
      </c>
      <c r="Q81" s="39">
        <v>0.21378025833653599</v>
      </c>
      <c r="R81" s="39">
        <v>0.14488845434354999</v>
      </c>
      <c r="S81" s="39">
        <v>0.123820150465785</v>
      </c>
      <c r="T81" s="39">
        <v>0.103725733401339</v>
      </c>
      <c r="U81" s="43">
        <v>0.15</v>
      </c>
      <c r="V81" s="43">
        <v>0.122061551131185</v>
      </c>
      <c r="W81" s="43">
        <f t="shared" si="2"/>
        <v>2.7938448868814997E-2</v>
      </c>
      <c r="X81" s="45">
        <v>0.122061551131185</v>
      </c>
      <c r="Y81" s="45">
        <f t="shared" si="3"/>
        <v>2.7938448868814997E-2</v>
      </c>
    </row>
    <row r="82" spans="1:25" ht="15" x14ac:dyDescent="0.2">
      <c r="B82" s="41">
        <v>16</v>
      </c>
      <c r="C82" s="42">
        <v>500</v>
      </c>
      <c r="D82" s="43">
        <v>3.2690000000000001</v>
      </c>
      <c r="E82" s="41">
        <v>40</v>
      </c>
      <c r="F82" s="44">
        <v>1.2500000000000001E-2</v>
      </c>
      <c r="G82" s="42">
        <v>53.370132317074997</v>
      </c>
      <c r="H82" s="39">
        <v>0.14204371000539801</v>
      </c>
      <c r="I82" s="39">
        <v>0.185263466551364</v>
      </c>
      <c r="J82" s="39">
        <v>0.28745198676703199</v>
      </c>
      <c r="K82" s="39">
        <v>0.12447642459592401</v>
      </c>
      <c r="L82" s="39">
        <v>0.21206575978511499</v>
      </c>
      <c r="M82" s="39">
        <v>0.299968996706442</v>
      </c>
      <c r="N82" s="48">
        <v>0.20743087010794067</v>
      </c>
      <c r="O82" s="39">
        <v>0.15835952502381501</v>
      </c>
      <c r="P82" s="39">
        <v>0.23487081485706901</v>
      </c>
      <c r="Q82" s="39">
        <v>0.24747030525880701</v>
      </c>
      <c r="R82" s="39">
        <v>0.18402656659035699</v>
      </c>
      <c r="S82" s="39">
        <v>0.14490801641031101</v>
      </c>
      <c r="T82" s="39">
        <v>0.12207949274600501</v>
      </c>
      <c r="U82" s="43">
        <v>0.2</v>
      </c>
      <c r="V82" s="43">
        <v>0.139515994290002</v>
      </c>
      <c r="W82" s="43">
        <f t="shared" si="2"/>
        <v>6.0484005709998012E-2</v>
      </c>
      <c r="X82" s="45">
        <v>0.15548038806820799</v>
      </c>
      <c r="Y82" s="45">
        <f t="shared" si="3"/>
        <v>4.4519611931792019E-2</v>
      </c>
    </row>
    <row r="83" spans="1:25" ht="15" x14ac:dyDescent="0.2">
      <c r="B83" s="41">
        <v>16</v>
      </c>
      <c r="C83" s="42">
        <v>500</v>
      </c>
      <c r="D83" s="43">
        <v>3.2690000000000001</v>
      </c>
      <c r="E83" s="41">
        <v>40</v>
      </c>
      <c r="F83" s="44">
        <v>1.2500000000000001E-2</v>
      </c>
      <c r="G83" s="42">
        <v>95.802447537233306</v>
      </c>
      <c r="H83" s="39">
        <v>0.18632410210842401</v>
      </c>
      <c r="I83" s="39">
        <v>0.20844124385770499</v>
      </c>
      <c r="J83" s="39">
        <v>0.32341427474302797</v>
      </c>
      <c r="K83" s="39">
        <v>0.157570475445657</v>
      </c>
      <c r="L83" s="39">
        <v>0.25352299596731398</v>
      </c>
      <c r="M83" s="39">
        <v>0.33749725165000699</v>
      </c>
      <c r="N83" s="48">
        <v>0.23942524706792792</v>
      </c>
      <c r="O83" s="39">
        <v>0.18139177478608301</v>
      </c>
      <c r="P83" s="39">
        <v>0.26425482425649699</v>
      </c>
      <c r="Q83" s="39">
        <v>0.28276491369972701</v>
      </c>
      <c r="R83" s="39">
        <v>0.22568965840486799</v>
      </c>
      <c r="S83" s="39">
        <v>0.16633265556782501</v>
      </c>
      <c r="T83" s="39">
        <v>0.14131432749734399</v>
      </c>
      <c r="U83" s="43">
        <v>0.25</v>
      </c>
      <c r="V83" s="43">
        <v>0.15697043744882</v>
      </c>
      <c r="W83" s="43">
        <f t="shared" si="2"/>
        <v>9.3029562551180001E-2</v>
      </c>
      <c r="X83" s="45">
        <v>0.19681733910587501</v>
      </c>
      <c r="Y83" s="45">
        <f t="shared" si="3"/>
        <v>5.3182660894124989E-2</v>
      </c>
    </row>
    <row r="84" spans="1:25" ht="15" x14ac:dyDescent="0.2">
      <c r="B84" s="41">
        <v>16</v>
      </c>
      <c r="C84" s="42">
        <v>500</v>
      </c>
      <c r="D84" s="43">
        <v>3.2690000000000001</v>
      </c>
      <c r="E84" s="41">
        <v>40</v>
      </c>
      <c r="F84" s="44">
        <v>1.2500000000000001E-2</v>
      </c>
      <c r="G84" s="42">
        <v>138.162104683384</v>
      </c>
      <c r="H84" s="39">
        <v>0.23052867162223201</v>
      </c>
      <c r="I84" s="39">
        <v>0.23157933318920601</v>
      </c>
      <c r="J84" s="39">
        <v>0.35931498345878998</v>
      </c>
      <c r="K84" s="39">
        <v>0.194494413431132</v>
      </c>
      <c r="L84" s="39">
        <v>0.29490924373139399</v>
      </c>
      <c r="M84" s="39">
        <v>0.37496124588305202</v>
      </c>
      <c r="N84" s="48">
        <v>0.27136483913586029</v>
      </c>
      <c r="O84" s="39">
        <v>0.20438458576451099</v>
      </c>
      <c r="P84" s="39">
        <v>0.293588518571336</v>
      </c>
      <c r="Q84" s="39">
        <v>0.31920260266931499</v>
      </c>
      <c r="R84" s="39">
        <v>0.26933902014092298</v>
      </c>
      <c r="S84" s="39">
        <v>0.188056517406403</v>
      </c>
      <c r="T84" s="39">
        <v>0.16139503955001999</v>
      </c>
      <c r="U84" s="43">
        <v>0.28000000000000003</v>
      </c>
      <c r="V84" s="43">
        <v>0.17439499286250301</v>
      </c>
      <c r="W84" s="43">
        <f t="shared" si="2"/>
        <v>0.10560500713749701</v>
      </c>
      <c r="X84" s="45">
        <v>0.24293810635657501</v>
      </c>
      <c r="Y84" s="45">
        <f t="shared" si="3"/>
        <v>3.706189364342502E-2</v>
      </c>
    </row>
    <row r="85" spans="1:25" ht="15" x14ac:dyDescent="0.2">
      <c r="B85" s="41">
        <v>16</v>
      </c>
      <c r="C85" s="42">
        <v>500</v>
      </c>
      <c r="D85" s="43">
        <v>3.2690000000000001</v>
      </c>
      <c r="E85" s="41">
        <v>40</v>
      </c>
      <c r="F85" s="44">
        <v>1.2500000000000001E-2</v>
      </c>
      <c r="G85" s="42">
        <v>180.521761829535</v>
      </c>
      <c r="H85" s="39">
        <v>0.27473324113603997</v>
      </c>
      <c r="I85" s="39">
        <v>0.254717422520706</v>
      </c>
      <c r="J85" s="39">
        <v>0.39521569217455299</v>
      </c>
      <c r="K85" s="39">
        <v>0.23530157606629101</v>
      </c>
      <c r="L85" s="39">
        <v>0.336295491495473</v>
      </c>
      <c r="M85" s="39">
        <v>0.41242524011609799</v>
      </c>
      <c r="N85" s="48">
        <v>0.3033044312037928</v>
      </c>
      <c r="O85" s="39">
        <v>0.227377396742939</v>
      </c>
      <c r="P85" s="39">
        <v>0.32292221288617601</v>
      </c>
      <c r="Q85" s="39">
        <v>0.356572665241354</v>
      </c>
      <c r="R85" s="39">
        <v>0.31768673757826998</v>
      </c>
      <c r="S85" s="39">
        <v>0.21541289079994999</v>
      </c>
      <c r="T85" s="39">
        <v>0.187650702898673</v>
      </c>
      <c r="U85" s="43">
        <v>0.28000000000000003</v>
      </c>
      <c r="V85" s="43">
        <v>0.197116438963645</v>
      </c>
      <c r="W85" s="43">
        <f t="shared" si="2"/>
        <v>8.2883561036355025E-2</v>
      </c>
      <c r="X85" s="45">
        <v>0.29732680364536002</v>
      </c>
      <c r="Y85" s="45">
        <f t="shared" si="3"/>
        <v>-1.7326803645359989E-2</v>
      </c>
    </row>
    <row r="86" spans="1:25" ht="15" x14ac:dyDescent="0.2">
      <c r="B86" s="41">
        <v>16</v>
      </c>
      <c r="C86" s="42">
        <v>500</v>
      </c>
      <c r="D86" s="43">
        <v>3.2690000000000001</v>
      </c>
      <c r="E86" s="41">
        <v>40</v>
      </c>
      <c r="F86" s="44">
        <v>1.2500000000000001E-2</v>
      </c>
      <c r="G86" s="42">
        <v>222.95407704969301</v>
      </c>
      <c r="H86" s="39">
        <v>0.31901363323906601</v>
      </c>
      <c r="I86" s="39">
        <v>0.278303277430267</v>
      </c>
      <c r="J86" s="39">
        <v>0.43117798015054798</v>
      </c>
      <c r="K86" s="39">
        <v>0.28007195534083001</v>
      </c>
      <c r="L86" s="39">
        <v>0.37775272767767198</v>
      </c>
      <c r="M86" s="39">
        <v>0.44995349505966298</v>
      </c>
      <c r="N86" s="48">
        <v>0.33529880816377994</v>
      </c>
      <c r="O86" s="39">
        <v>0.25040964650520597</v>
      </c>
      <c r="P86" s="39">
        <v>0.35230622228560399</v>
      </c>
      <c r="Q86" s="39">
        <v>0.394749640416382</v>
      </c>
      <c r="R86" s="39">
        <v>0.37759847845251099</v>
      </c>
      <c r="S86" s="39">
        <v>0.26402836100173499</v>
      </c>
      <c r="T86" s="39">
        <v>0.235707411226726</v>
      </c>
      <c r="U86" s="43">
        <v>0.3</v>
      </c>
      <c r="V86" s="43">
        <v>0.240752546860689</v>
      </c>
      <c r="W86" s="43">
        <f t="shared" si="2"/>
        <v>5.9247453139310985E-2</v>
      </c>
      <c r="X86" s="45">
        <v>0.36721458076330898</v>
      </c>
      <c r="Y86" s="45">
        <f t="shared" si="3"/>
        <v>-6.7214580763308995E-2</v>
      </c>
    </row>
    <row r="87" spans="1:25" ht="15" x14ac:dyDescent="0.2">
      <c r="B87" s="41">
        <v>16</v>
      </c>
      <c r="C87" s="42">
        <v>500</v>
      </c>
      <c r="D87" s="43">
        <v>3.2690000000000001</v>
      </c>
      <c r="E87" s="41">
        <v>40</v>
      </c>
      <c r="F87" s="44">
        <v>1.2500000000000001E-2</v>
      </c>
      <c r="G87" s="42">
        <v>265.38639226985202</v>
      </c>
      <c r="H87" s="39">
        <v>0.36329402534209099</v>
      </c>
      <c r="I87" s="39">
        <v>0.31693290627416798</v>
      </c>
      <c r="J87" s="39">
        <v>0.46714026812654302</v>
      </c>
      <c r="K87" s="39">
        <v>0.32873889221541702</v>
      </c>
      <c r="L87" s="39">
        <v>0.41920996385987203</v>
      </c>
      <c r="M87" s="39">
        <v>0.48748175000322802</v>
      </c>
      <c r="N87" s="48">
        <v>0.36729318512376713</v>
      </c>
      <c r="O87" s="39">
        <v>0.27344189626747301</v>
      </c>
      <c r="P87" s="39">
        <v>0.38169023168503102</v>
      </c>
      <c r="Q87" s="39">
        <v>0.43352937343696901</v>
      </c>
      <c r="R87" s="39">
        <v>0.43587366466313199</v>
      </c>
      <c r="S87" s="39">
        <v>0.31298060441650799</v>
      </c>
      <c r="T87" s="39">
        <v>0.28464519496145302</v>
      </c>
      <c r="U87" s="43">
        <v>0.33</v>
      </c>
      <c r="V87" s="43">
        <v>0.28438865475773301</v>
      </c>
      <c r="W87" s="43">
        <f t="shared" si="2"/>
        <v>4.561134524226701E-2</v>
      </c>
      <c r="X87" s="45">
        <v>0.43710235788125801</v>
      </c>
      <c r="Y87" s="45">
        <f t="shared" si="3"/>
        <v>-0.10710235788125799</v>
      </c>
    </row>
    <row r="88" spans="1:25" ht="15" x14ac:dyDescent="0.2">
      <c r="B88" s="41">
        <v>16</v>
      </c>
      <c r="C88" s="42">
        <v>500</v>
      </c>
      <c r="D88" s="43">
        <v>3.2690000000000001</v>
      </c>
      <c r="E88" s="41">
        <v>40</v>
      </c>
      <c r="F88" s="44">
        <v>1.2500000000000001E-2</v>
      </c>
      <c r="G88" s="42">
        <v>307.67339134199602</v>
      </c>
      <c r="H88" s="39">
        <v>0.407422772266682</v>
      </c>
      <c r="I88" s="39">
        <v>0.355430241868603</v>
      </c>
      <c r="J88" s="39">
        <v>0.502979397582073</v>
      </c>
      <c r="K88" s="39">
        <v>0.38111572538496102</v>
      </c>
      <c r="L88" s="39">
        <v>0.460525223205831</v>
      </c>
      <c r="M88" s="39">
        <v>0.52488148352575403</v>
      </c>
      <c r="N88" s="48">
        <v>0.3991779922996449</v>
      </c>
      <c r="O88" s="39">
        <v>0.29639526846206199</v>
      </c>
      <c r="P88" s="39">
        <v>0.41097361091528301</v>
      </c>
      <c r="Q88" s="39">
        <v>0.47267082737059701</v>
      </c>
      <c r="R88" s="39">
        <v>0.49248466369405702</v>
      </c>
      <c r="S88" s="39">
        <v>0.362100248350545</v>
      </c>
      <c r="T88" s="39">
        <v>0.33429193804752999</v>
      </c>
      <c r="U88" s="43">
        <v>0.33</v>
      </c>
      <c r="V88" s="43">
        <v>0.32787532392910301</v>
      </c>
      <c r="W88" s="43">
        <f t="shared" si="2"/>
        <v>2.1246760708970025E-3</v>
      </c>
      <c r="X88" s="45">
        <v>0.50675079329674799</v>
      </c>
      <c r="Y88" s="45">
        <f t="shared" si="3"/>
        <v>-0.17675079329674798</v>
      </c>
    </row>
    <row r="89" spans="1:25" ht="15" x14ac:dyDescent="0.2">
      <c r="A89" s="40" t="s">
        <v>43</v>
      </c>
      <c r="B89" s="41">
        <v>16</v>
      </c>
      <c r="C89" s="42">
        <v>500</v>
      </c>
      <c r="D89" s="43">
        <v>3.2690000000000001</v>
      </c>
      <c r="E89" s="41">
        <v>40</v>
      </c>
      <c r="F89" s="44">
        <v>1.2500000000000001E-2</v>
      </c>
      <c r="G89" s="42">
        <v>53.370132317074997</v>
      </c>
      <c r="H89" s="39">
        <v>0.14204371000539801</v>
      </c>
      <c r="I89" s="39">
        <v>0.185263466551364</v>
      </c>
      <c r="J89" s="39">
        <v>0.28745198676703199</v>
      </c>
      <c r="K89" s="39">
        <v>0.12447642459592401</v>
      </c>
      <c r="L89" s="39">
        <v>0.21206575978511499</v>
      </c>
      <c r="M89" s="39">
        <v>0.299968996706442</v>
      </c>
      <c r="N89" s="48">
        <v>0.20743087010794067</v>
      </c>
      <c r="O89" s="39">
        <v>0.15835952502381501</v>
      </c>
      <c r="P89" s="39">
        <v>0.23487081485706901</v>
      </c>
      <c r="Q89" s="39">
        <v>0.24747030525880701</v>
      </c>
      <c r="R89" s="39">
        <v>0.18402656659035699</v>
      </c>
      <c r="S89" s="39">
        <v>0.14490801641031101</v>
      </c>
      <c r="T89" s="39">
        <v>0.12207949274600501</v>
      </c>
      <c r="U89" s="43">
        <v>0.15</v>
      </c>
      <c r="V89" s="43">
        <v>0.139515994290002</v>
      </c>
      <c r="W89" s="43">
        <f t="shared" si="2"/>
        <v>1.0484005709997996E-2</v>
      </c>
      <c r="X89" s="45">
        <v>0.15548038806820799</v>
      </c>
      <c r="Y89" s="45">
        <f t="shared" si="3"/>
        <v>-5.4803880682079975E-3</v>
      </c>
    </row>
    <row r="90" spans="1:25" ht="15" x14ac:dyDescent="0.2">
      <c r="B90" s="41">
        <v>16</v>
      </c>
      <c r="C90" s="42">
        <v>500</v>
      </c>
      <c r="D90" s="43">
        <v>3.2690000000000001</v>
      </c>
      <c r="E90" s="41">
        <v>40</v>
      </c>
      <c r="F90" s="44">
        <v>1.2500000000000001E-2</v>
      </c>
      <c r="G90" s="42">
        <v>95.802447537233306</v>
      </c>
      <c r="H90" s="39">
        <v>0.18632410210842401</v>
      </c>
      <c r="I90" s="39">
        <v>0.20844124385770499</v>
      </c>
      <c r="J90" s="39">
        <v>0.32341427474302797</v>
      </c>
      <c r="K90" s="39">
        <v>0.157570475445657</v>
      </c>
      <c r="L90" s="39">
        <v>0.25352299596731398</v>
      </c>
      <c r="M90" s="39">
        <v>0.33749725165000699</v>
      </c>
      <c r="N90" s="48">
        <v>0.23942524706792792</v>
      </c>
      <c r="O90" s="39">
        <v>0.18139177478608301</v>
      </c>
      <c r="P90" s="39">
        <v>0.26425482425649699</v>
      </c>
      <c r="Q90" s="39">
        <v>0.28276491369972701</v>
      </c>
      <c r="R90" s="39">
        <v>0.22568965840486799</v>
      </c>
      <c r="S90" s="39">
        <v>0.16633265556782501</v>
      </c>
      <c r="T90" s="39">
        <v>0.14131432749734399</v>
      </c>
      <c r="U90" s="43">
        <v>0.18</v>
      </c>
      <c r="V90" s="43">
        <v>0.15697043744882</v>
      </c>
      <c r="W90" s="43">
        <f t="shared" si="2"/>
        <v>2.3029562551179994E-2</v>
      </c>
      <c r="X90" s="45">
        <v>0.19681733910587501</v>
      </c>
      <c r="Y90" s="45">
        <f t="shared" si="3"/>
        <v>-1.6817339105875018E-2</v>
      </c>
    </row>
    <row r="91" spans="1:25" ht="15" x14ac:dyDescent="0.2">
      <c r="B91" s="41">
        <v>16</v>
      </c>
      <c r="C91" s="42">
        <v>500</v>
      </c>
      <c r="D91" s="43">
        <v>3.2690000000000001</v>
      </c>
      <c r="E91" s="41">
        <v>40</v>
      </c>
      <c r="F91" s="44">
        <v>1.2500000000000001E-2</v>
      </c>
      <c r="G91" s="42">
        <v>138.162104683384</v>
      </c>
      <c r="H91" s="39">
        <v>0.23052867162223201</v>
      </c>
      <c r="I91" s="39">
        <v>0.23157933318920601</v>
      </c>
      <c r="J91" s="39">
        <v>0.35931498345878998</v>
      </c>
      <c r="K91" s="39">
        <v>0.194494413431132</v>
      </c>
      <c r="L91" s="39">
        <v>0.29490924373139399</v>
      </c>
      <c r="M91" s="39">
        <v>0.37496124588305202</v>
      </c>
      <c r="N91" s="48">
        <v>0.27136483913586029</v>
      </c>
      <c r="O91" s="39">
        <v>0.20438458576451099</v>
      </c>
      <c r="P91" s="39">
        <v>0.293588518571336</v>
      </c>
      <c r="Q91" s="39">
        <v>0.31920260266931499</v>
      </c>
      <c r="R91" s="39">
        <v>0.26933902014092298</v>
      </c>
      <c r="S91" s="39">
        <v>0.188056517406403</v>
      </c>
      <c r="T91" s="39">
        <v>0.16139503955001999</v>
      </c>
      <c r="U91" s="43">
        <v>0.2</v>
      </c>
      <c r="V91" s="43">
        <v>0.17439499286250301</v>
      </c>
      <c r="W91" s="43">
        <f t="shared" si="2"/>
        <v>2.5605007137496999E-2</v>
      </c>
      <c r="X91" s="45">
        <v>0.24293810635657501</v>
      </c>
      <c r="Y91" s="45">
        <f t="shared" si="3"/>
        <v>-4.2938106356574995E-2</v>
      </c>
    </row>
    <row r="92" spans="1:25" ht="15" x14ac:dyDescent="0.2">
      <c r="B92" s="41">
        <v>16</v>
      </c>
      <c r="C92" s="42">
        <v>500</v>
      </c>
      <c r="D92" s="43">
        <v>3.2690000000000001</v>
      </c>
      <c r="E92" s="41">
        <v>40</v>
      </c>
      <c r="F92" s="44">
        <v>1.2500000000000001E-2</v>
      </c>
      <c r="G92" s="42">
        <v>180.521761829535</v>
      </c>
      <c r="H92" s="39">
        <v>0.27473324113603997</v>
      </c>
      <c r="I92" s="39">
        <v>0.254717422520706</v>
      </c>
      <c r="J92" s="39">
        <v>0.39521569217455299</v>
      </c>
      <c r="K92" s="39">
        <v>0.23530157606629101</v>
      </c>
      <c r="L92" s="39">
        <v>0.336295491495473</v>
      </c>
      <c r="M92" s="39">
        <v>0.41242524011609799</v>
      </c>
      <c r="N92" s="48">
        <v>0.3033044312037928</v>
      </c>
      <c r="O92" s="39">
        <v>0.227377396742939</v>
      </c>
      <c r="P92" s="39">
        <v>0.32292221288617601</v>
      </c>
      <c r="Q92" s="39">
        <v>0.356572665241354</v>
      </c>
      <c r="R92" s="39">
        <v>0.31768673757826998</v>
      </c>
      <c r="S92" s="39">
        <v>0.21541289079994999</v>
      </c>
      <c r="T92" s="39">
        <v>0.187650702898673</v>
      </c>
      <c r="U92" s="43">
        <v>0.25</v>
      </c>
      <c r="V92" s="43">
        <v>0.197116438963645</v>
      </c>
      <c r="W92" s="43">
        <f t="shared" si="2"/>
        <v>5.2883561036354998E-2</v>
      </c>
      <c r="X92" s="45">
        <v>0.29732680364536002</v>
      </c>
      <c r="Y92" s="45">
        <f t="shared" si="3"/>
        <v>-4.7326803645360016E-2</v>
      </c>
    </row>
    <row r="93" spans="1:25" ht="15" x14ac:dyDescent="0.2">
      <c r="B93" s="41">
        <v>16</v>
      </c>
      <c r="C93" s="42">
        <v>500</v>
      </c>
      <c r="D93" s="43">
        <v>3.2690000000000001</v>
      </c>
      <c r="E93" s="41">
        <v>40</v>
      </c>
      <c r="F93" s="44">
        <v>1.2500000000000001E-2</v>
      </c>
      <c r="G93" s="42">
        <v>222.95407704969301</v>
      </c>
      <c r="H93" s="39">
        <v>0.31901363323906601</v>
      </c>
      <c r="I93" s="39">
        <v>0.278303277430267</v>
      </c>
      <c r="J93" s="39">
        <v>0.43117798015054798</v>
      </c>
      <c r="K93" s="39">
        <v>0.28007195534083001</v>
      </c>
      <c r="L93" s="39">
        <v>0.336295491495473</v>
      </c>
      <c r="M93" s="39">
        <v>0.44995349505966298</v>
      </c>
      <c r="N93" s="48">
        <v>0.33529880816377994</v>
      </c>
      <c r="O93" s="39">
        <v>0.25040964650520597</v>
      </c>
      <c r="P93" s="39">
        <v>0.35230622228560399</v>
      </c>
      <c r="Q93" s="39">
        <v>0.394749640416382</v>
      </c>
      <c r="R93" s="39">
        <v>0.37759847845251099</v>
      </c>
      <c r="S93" s="39">
        <v>0.26402836100173499</v>
      </c>
      <c r="T93" s="39">
        <v>0.235707411226726</v>
      </c>
      <c r="U93" s="43">
        <v>0.3</v>
      </c>
      <c r="V93" s="43">
        <v>0.240752546860689</v>
      </c>
      <c r="W93" s="43">
        <f t="shared" si="2"/>
        <v>5.9247453139310985E-2</v>
      </c>
      <c r="X93" s="45">
        <v>0.36721458076330898</v>
      </c>
      <c r="Y93" s="45">
        <f t="shared" si="3"/>
        <v>-6.7214580763308995E-2</v>
      </c>
    </row>
    <row r="94" spans="1:25" ht="15" x14ac:dyDescent="0.2">
      <c r="B94" s="41">
        <v>16</v>
      </c>
      <c r="C94" s="42">
        <v>500</v>
      </c>
      <c r="D94" s="43">
        <v>3.2690000000000001</v>
      </c>
      <c r="E94" s="41">
        <v>40</v>
      </c>
      <c r="F94" s="44">
        <v>1.2500000000000001E-2</v>
      </c>
      <c r="G94" s="42">
        <v>265.38639226985202</v>
      </c>
      <c r="H94" s="39">
        <v>0.36329402534209099</v>
      </c>
      <c r="I94" s="39">
        <v>0.31693290627416798</v>
      </c>
      <c r="J94" s="39">
        <v>0.46714026812654302</v>
      </c>
      <c r="K94" s="39">
        <v>0.32873889221541702</v>
      </c>
      <c r="L94" s="39">
        <v>0.41920996385987203</v>
      </c>
      <c r="M94" s="39">
        <v>0.48748175000322802</v>
      </c>
      <c r="N94" s="48">
        <v>0.36729318512376713</v>
      </c>
      <c r="O94" s="39">
        <v>0.27344189626747301</v>
      </c>
      <c r="P94" s="39">
        <v>0.38169023168503102</v>
      </c>
      <c r="Q94" s="39">
        <v>0.43352937343696901</v>
      </c>
      <c r="R94" s="39">
        <v>0.43587366466313199</v>
      </c>
      <c r="S94" s="39">
        <v>0.31298060441650799</v>
      </c>
      <c r="T94" s="39">
        <v>0.28464519496145302</v>
      </c>
      <c r="U94" s="43">
        <v>0.33</v>
      </c>
      <c r="V94" s="43">
        <v>0.28438865475773301</v>
      </c>
      <c r="W94" s="43">
        <f t="shared" si="2"/>
        <v>4.561134524226701E-2</v>
      </c>
      <c r="X94" s="45">
        <v>0.43710235788125801</v>
      </c>
      <c r="Y94" s="45">
        <f t="shared" si="3"/>
        <v>-0.10710235788125799</v>
      </c>
    </row>
    <row r="95" spans="1:25" ht="15" x14ac:dyDescent="0.2">
      <c r="B95" s="41">
        <v>16</v>
      </c>
      <c r="C95" s="42">
        <v>500</v>
      </c>
      <c r="D95" s="43">
        <v>3.2690000000000001</v>
      </c>
      <c r="E95" s="41">
        <v>40</v>
      </c>
      <c r="F95" s="44">
        <v>1.2500000000000001E-2</v>
      </c>
      <c r="G95" s="42">
        <v>307.67339134199602</v>
      </c>
      <c r="H95" s="39">
        <v>0.407422772266682</v>
      </c>
      <c r="I95" s="39">
        <v>0.355430241868603</v>
      </c>
      <c r="J95" s="39">
        <v>0.502979397582073</v>
      </c>
      <c r="K95" s="39">
        <v>0.38111572538496102</v>
      </c>
      <c r="L95" s="39">
        <v>0.460525223205831</v>
      </c>
      <c r="M95" s="39">
        <v>0.52488148352575403</v>
      </c>
      <c r="N95" s="48">
        <v>0.3991779922996449</v>
      </c>
      <c r="O95" s="39">
        <v>0.29639526846206199</v>
      </c>
      <c r="P95" s="39">
        <v>0.41097361091528301</v>
      </c>
      <c r="Q95" s="39">
        <v>0.47267082737059701</v>
      </c>
      <c r="R95" s="39">
        <v>0.49248466369405702</v>
      </c>
      <c r="S95" s="39">
        <v>0.362100248350545</v>
      </c>
      <c r="T95" s="39">
        <v>0.33429193804752999</v>
      </c>
      <c r="U95" s="43">
        <v>0.38</v>
      </c>
      <c r="V95" s="43">
        <v>0.32787532392910301</v>
      </c>
      <c r="W95" s="43">
        <f t="shared" si="2"/>
        <v>5.2124676070896991E-2</v>
      </c>
      <c r="X95" s="45">
        <v>0.50675079329674799</v>
      </c>
      <c r="Y95" s="45">
        <f t="shared" si="3"/>
        <v>-0.12675079329674799</v>
      </c>
    </row>
    <row r="96" spans="1:25" ht="15" x14ac:dyDescent="0.2">
      <c r="A96" s="40" t="s">
        <v>44</v>
      </c>
      <c r="B96" s="41">
        <v>16</v>
      </c>
      <c r="C96" s="42">
        <v>500</v>
      </c>
      <c r="D96" s="43">
        <v>3.2690000000000001</v>
      </c>
      <c r="E96" s="41">
        <v>25</v>
      </c>
      <c r="F96" s="44">
        <v>1.57460983498901E-2</v>
      </c>
      <c r="G96" s="42">
        <v>83.250300076908999</v>
      </c>
      <c r="H96" s="39">
        <v>0.13409248123173201</v>
      </c>
      <c r="I96" s="39">
        <v>0.14310195367254</v>
      </c>
      <c r="J96" s="39">
        <v>0.26428228038373303</v>
      </c>
      <c r="K96" s="39">
        <v>0.12447642459592401</v>
      </c>
      <c r="L96" s="39">
        <v>0.14579520985226599</v>
      </c>
      <c r="M96" s="39">
        <v>0.21268829038166101</v>
      </c>
      <c r="N96" s="48">
        <v>0.1846986341868315</v>
      </c>
      <c r="O96" s="39">
        <v>0.134746895529849</v>
      </c>
      <c r="P96" s="39">
        <v>0.17296156171576599</v>
      </c>
      <c r="Q96" s="39">
        <v>0.187434596405334</v>
      </c>
      <c r="R96" s="39">
        <v>0.13094693451446199</v>
      </c>
      <c r="S96" s="39">
        <v>0.111890980158436</v>
      </c>
      <c r="T96" s="39">
        <v>9.0993054957387298E-2</v>
      </c>
      <c r="U96" s="43">
        <v>0.15</v>
      </c>
      <c r="V96" s="43">
        <v>9.9274752045340003E-2</v>
      </c>
      <c r="W96" s="43">
        <f t="shared" si="2"/>
        <v>5.0725247954659991E-2</v>
      </c>
      <c r="X96" s="45">
        <v>0.110634462033796</v>
      </c>
      <c r="Y96" s="45">
        <f t="shared" si="3"/>
        <v>3.9365537966203998E-2</v>
      </c>
    </row>
    <row r="97" spans="1:25" ht="15" x14ac:dyDescent="0.2">
      <c r="B97" s="41">
        <v>16</v>
      </c>
      <c r="C97" s="42">
        <v>500</v>
      </c>
      <c r="D97" s="43">
        <v>3.2690000000000001</v>
      </c>
      <c r="E97" s="41">
        <v>25</v>
      </c>
      <c r="F97" s="44">
        <v>1.57460983498901E-2</v>
      </c>
      <c r="G97" s="42">
        <v>122.675935148359</v>
      </c>
      <c r="H97" s="39">
        <v>0.171073176637526</v>
      </c>
      <c r="I97" s="39">
        <v>0.16100502585436599</v>
      </c>
      <c r="J97" s="39">
        <v>0.29734587330235002</v>
      </c>
      <c r="K97" s="39">
        <v>0.157570475445657</v>
      </c>
      <c r="L97" s="39">
        <v>0.17429705972752901</v>
      </c>
      <c r="M97" s="39">
        <v>0.23929710820147401</v>
      </c>
      <c r="N97" s="48">
        <v>0.21318676482569551</v>
      </c>
      <c r="O97" s="39">
        <v>0.154295967831621</v>
      </c>
      <c r="P97" s="39">
        <v>0.19460028323290501</v>
      </c>
      <c r="Q97" s="39">
        <v>0.21377264107091101</v>
      </c>
      <c r="R97" s="39">
        <v>0.163768165851579</v>
      </c>
      <c r="S97" s="39">
        <v>0.134461087396925</v>
      </c>
      <c r="T97" s="39">
        <v>0.110573338061573</v>
      </c>
      <c r="U97" s="43">
        <v>0.18</v>
      </c>
      <c r="V97" s="43">
        <v>0.116178589995917</v>
      </c>
      <c r="W97" s="43">
        <f t="shared" si="2"/>
        <v>6.3821410004082993E-2</v>
      </c>
      <c r="X97" s="45">
        <v>0.14377344806676701</v>
      </c>
      <c r="Y97" s="45">
        <f t="shared" si="3"/>
        <v>3.6226551933232987E-2</v>
      </c>
    </row>
    <row r="98" spans="1:25" ht="15" x14ac:dyDescent="0.2">
      <c r="B98" s="41">
        <v>16</v>
      </c>
      <c r="C98" s="42">
        <v>500</v>
      </c>
      <c r="D98" s="43">
        <v>3.2690000000000001</v>
      </c>
      <c r="E98" s="41">
        <v>25</v>
      </c>
      <c r="F98" s="44">
        <v>1.57460983498901E-2</v>
      </c>
      <c r="G98" s="42">
        <v>162.03406057071399</v>
      </c>
      <c r="H98" s="39">
        <v>0.207990548934748</v>
      </c>
      <c r="I98" s="39">
        <v>0.17887744209067599</v>
      </c>
      <c r="J98" s="39">
        <v>0.330352850479667</v>
      </c>
      <c r="K98" s="39">
        <v>0.194494413431132</v>
      </c>
      <c r="L98" s="39">
        <v>0.202750105065333</v>
      </c>
      <c r="M98" s="39">
        <v>0.26586036297707599</v>
      </c>
      <c r="N98" s="48">
        <v>0.2416261144189451</v>
      </c>
      <c r="O98" s="39">
        <v>0.17381156569452</v>
      </c>
      <c r="P98" s="39">
        <v>0.216201952144707</v>
      </c>
      <c r="Q98" s="39">
        <v>0.24074542196424201</v>
      </c>
      <c r="R98" s="39">
        <v>0.20635674960082601</v>
      </c>
      <c r="S98" s="39">
        <v>0.17168202493194701</v>
      </c>
      <c r="T98" s="39">
        <v>0.14506549518116399</v>
      </c>
      <c r="U98" s="43">
        <v>0.2</v>
      </c>
      <c r="V98" s="43">
        <v>0.14717536615403201</v>
      </c>
      <c r="W98" s="43">
        <f t="shared" si="2"/>
        <v>5.2824633845968E-2</v>
      </c>
      <c r="X98" s="45">
        <v>0.18990028944419701</v>
      </c>
      <c r="Y98" s="45">
        <f t="shared" si="3"/>
        <v>1.0099710555802999E-2</v>
      </c>
    </row>
    <row r="99" spans="1:25" ht="15" x14ac:dyDescent="0.2">
      <c r="B99" s="41">
        <v>16</v>
      </c>
      <c r="C99" s="42">
        <v>500</v>
      </c>
      <c r="D99" s="43">
        <v>3.2690000000000001</v>
      </c>
      <c r="E99" s="41">
        <v>25</v>
      </c>
      <c r="F99" s="44">
        <v>1.57460983498901E-2</v>
      </c>
      <c r="G99" s="42">
        <v>201.39218599306901</v>
      </c>
      <c r="H99" s="39">
        <v>0.244907921231971</v>
      </c>
      <c r="I99" s="39">
        <v>0.19760779435522899</v>
      </c>
      <c r="J99" s="39">
        <v>0.36335982765698399</v>
      </c>
      <c r="K99" s="39">
        <v>0.23530157606629101</v>
      </c>
      <c r="L99" s="39">
        <v>0.23120315040313799</v>
      </c>
      <c r="M99" s="39">
        <v>0.292423617752677</v>
      </c>
      <c r="N99" s="48">
        <v>0.27006546401219472</v>
      </c>
      <c r="O99" s="39">
        <v>0.193327163557419</v>
      </c>
      <c r="P99" s="39">
        <v>0.23780362105650901</v>
      </c>
      <c r="Q99" s="39">
        <v>0.26824487680377601</v>
      </c>
      <c r="R99" s="39">
        <v>0.24778164092129101</v>
      </c>
      <c r="S99" s="39">
        <v>0.20947007070116999</v>
      </c>
      <c r="T99" s="39">
        <v>0.18038046539104599</v>
      </c>
      <c r="U99" s="43">
        <v>0.23</v>
      </c>
      <c r="V99" s="43">
        <v>0.17817214231214801</v>
      </c>
      <c r="W99" s="43">
        <f t="shared" si="2"/>
        <v>5.1827857687852003E-2</v>
      </c>
      <c r="X99" s="45">
        <v>0.23602713082162699</v>
      </c>
      <c r="Y99" s="45">
        <f t="shared" si="3"/>
        <v>-6.0271308216269803E-3</v>
      </c>
    </row>
    <row r="100" spans="1:25" ht="15" x14ac:dyDescent="0.2">
      <c r="B100" s="41">
        <v>16</v>
      </c>
      <c r="C100" s="42">
        <v>500</v>
      </c>
      <c r="D100" s="43">
        <v>3.2690000000000001</v>
      </c>
      <c r="E100" s="41">
        <v>25</v>
      </c>
      <c r="F100" s="44">
        <v>1.57460983498901E-2</v>
      </c>
      <c r="G100" s="42">
        <v>240.81782106451899</v>
      </c>
      <c r="H100" s="39">
        <v>0.28188861663776499</v>
      </c>
      <c r="I100" s="39">
        <v>0.22744624799160601</v>
      </c>
      <c r="J100" s="39">
        <v>0.39642342057559998</v>
      </c>
      <c r="K100" s="39">
        <v>0.28007195534083001</v>
      </c>
      <c r="L100" s="39">
        <v>0.25970500027839999</v>
      </c>
      <c r="M100" s="39">
        <v>0.319032435572491</v>
      </c>
      <c r="N100" s="48">
        <v>0.2985535946510588</v>
      </c>
      <c r="O100" s="39">
        <v>0.21287623585918999</v>
      </c>
      <c r="P100" s="39">
        <v>0.25944234257364901</v>
      </c>
      <c r="Q100" s="39">
        <v>0.29621109654667399</v>
      </c>
      <c r="R100" s="39">
        <v>0.28822808346578699</v>
      </c>
      <c r="S100" s="39">
        <v>0.24789150119600201</v>
      </c>
      <c r="T100" s="39">
        <v>0.21658094147941401</v>
      </c>
      <c r="U100" s="43">
        <v>0.25</v>
      </c>
      <c r="V100" s="43">
        <v>0.20922208618237001</v>
      </c>
      <c r="W100" s="43">
        <f t="shared" si="2"/>
        <v>4.077791381762999E-2</v>
      </c>
      <c r="X100" s="45">
        <v>0.28223309199558799</v>
      </c>
      <c r="Y100" s="45">
        <f t="shared" si="3"/>
        <v>-3.2233091995587992E-2</v>
      </c>
    </row>
    <row r="101" spans="1:25" ht="15" x14ac:dyDescent="0.2">
      <c r="B101" s="41">
        <v>16</v>
      </c>
      <c r="C101" s="42">
        <v>500</v>
      </c>
      <c r="D101" s="43">
        <v>3.2690000000000001</v>
      </c>
      <c r="E101" s="41">
        <v>25</v>
      </c>
      <c r="F101" s="44">
        <v>1.57460983498901E-2</v>
      </c>
      <c r="G101" s="42">
        <v>280.24345613597001</v>
      </c>
      <c r="H101" s="39">
        <v>0.31886931204355901</v>
      </c>
      <c r="I101" s="39">
        <v>0.257284701627982</v>
      </c>
      <c r="J101" s="39">
        <v>0.42948701349421597</v>
      </c>
      <c r="K101" s="39">
        <v>0.32873889221541702</v>
      </c>
      <c r="L101" s="39">
        <v>0.28820685015366199</v>
      </c>
      <c r="M101" s="39">
        <v>0.345641253392304</v>
      </c>
      <c r="N101" s="48">
        <v>0.32704172528992292</v>
      </c>
      <c r="O101" s="39">
        <v>0.23242530816096199</v>
      </c>
      <c r="P101" s="39">
        <v>0.28108106409078798</v>
      </c>
      <c r="Q101" s="39">
        <v>0.324517798744556</v>
      </c>
      <c r="R101" s="39">
        <v>0.32772968510924699</v>
      </c>
      <c r="S101" s="39">
        <v>0.286881987076337</v>
      </c>
      <c r="T101" s="39">
        <v>0.253607055765319</v>
      </c>
      <c r="U101" s="43">
        <v>0.3</v>
      </c>
      <c r="V101" s="43">
        <v>0.24027203005259201</v>
      </c>
      <c r="W101" s="43">
        <f t="shared" si="2"/>
        <v>5.9727969947407977E-2</v>
      </c>
      <c r="X101" s="45">
        <v>0.32843905316954902</v>
      </c>
      <c r="Y101" s="45">
        <f t="shared" si="3"/>
        <v>-2.8439053169549033E-2</v>
      </c>
    </row>
    <row r="102" spans="1:25" ht="15" x14ac:dyDescent="0.2">
      <c r="B102" s="41">
        <v>16</v>
      </c>
      <c r="C102" s="42">
        <v>500</v>
      </c>
      <c r="D102" s="43">
        <v>3.2690000000000001</v>
      </c>
      <c r="E102" s="41">
        <v>25</v>
      </c>
      <c r="F102" s="44">
        <v>1.57460983498901E-2</v>
      </c>
      <c r="G102" s="42">
        <v>319.53407190923002</v>
      </c>
      <c r="H102" s="39">
        <v>0.35572336123220999</v>
      </c>
      <c r="I102" s="39">
        <v>0.287020968779303</v>
      </c>
      <c r="J102" s="39">
        <v>0.46243737493023401</v>
      </c>
      <c r="K102" s="39">
        <v>0.38111572538496102</v>
      </c>
      <c r="L102" s="39">
        <v>0.31661109095400902</v>
      </c>
      <c r="M102" s="39">
        <v>0.37215894512369402</v>
      </c>
      <c r="N102" s="48">
        <v>0.35543229383755803</v>
      </c>
      <c r="O102" s="39">
        <v>0.25190743158498802</v>
      </c>
      <c r="P102" s="39">
        <v>0.30264568039725298</v>
      </c>
      <c r="Q102" s="39">
        <v>0.35300690649432698</v>
      </c>
      <c r="R102" s="39">
        <v>0.36625043346120201</v>
      </c>
      <c r="S102" s="39">
        <v>0.32630507938824299</v>
      </c>
      <c r="T102" s="39">
        <v>0.29132777003705501</v>
      </c>
      <c r="U102" s="43">
        <v>0.3</v>
      </c>
      <c r="V102" s="43">
        <v>0.27121563849860097</v>
      </c>
      <c r="W102" s="43">
        <f t="shared" si="2"/>
        <v>2.8784361501399014E-2</v>
      </c>
      <c r="X102" s="45">
        <v>0.374486774750448</v>
      </c>
      <c r="Y102" s="45">
        <f t="shared" si="3"/>
        <v>-7.4486774750448015E-2</v>
      </c>
    </row>
    <row r="103" spans="1:25" ht="15" x14ac:dyDescent="0.2">
      <c r="A103" s="40" t="s">
        <v>45</v>
      </c>
      <c r="B103" s="41">
        <v>16</v>
      </c>
      <c r="C103" s="42">
        <v>500</v>
      </c>
      <c r="D103" s="43">
        <v>3.2690000000000001</v>
      </c>
      <c r="E103" s="41">
        <v>25</v>
      </c>
      <c r="F103" s="44">
        <v>1.57460983498901E-2</v>
      </c>
      <c r="G103" s="42">
        <v>46.143119331178497</v>
      </c>
      <c r="H103" s="39">
        <v>9.7111785825937505E-2</v>
      </c>
      <c r="I103" s="39">
        <v>0.12519888149071501</v>
      </c>
      <c r="J103" s="39">
        <v>0.23121868746511701</v>
      </c>
      <c r="K103" s="39">
        <v>9.5278931346240298E-2</v>
      </c>
      <c r="L103" s="39">
        <v>0.11729335997700401</v>
      </c>
      <c r="M103" s="39">
        <v>0.18607947256184701</v>
      </c>
      <c r="N103" s="48">
        <v>0.15621050354796739</v>
      </c>
      <c r="O103" s="39">
        <v>0.11519782322807701</v>
      </c>
      <c r="P103" s="39">
        <v>0.15132284019862599</v>
      </c>
      <c r="Q103" s="39">
        <v>0.162002927407979</v>
      </c>
      <c r="R103" s="39">
        <v>0.10309760864614501</v>
      </c>
      <c r="S103" s="39">
        <v>9.4373788707939193E-2</v>
      </c>
      <c r="T103" s="39">
        <v>7.6722270453226202E-2</v>
      </c>
      <c r="U103" s="43">
        <v>0.15</v>
      </c>
      <c r="V103" s="43">
        <v>8.6854774497251194E-2</v>
      </c>
      <c r="W103" s="43">
        <f t="shared" si="2"/>
        <v>6.31452255027488E-2</v>
      </c>
      <c r="X103" s="45">
        <v>8.6854774497251194E-2</v>
      </c>
      <c r="Y103" s="45">
        <f t="shared" si="3"/>
        <v>6.31452255027488E-2</v>
      </c>
    </row>
    <row r="104" spans="1:25" ht="15" x14ac:dyDescent="0.2">
      <c r="B104" s="41">
        <v>16</v>
      </c>
      <c r="C104" s="42">
        <v>500</v>
      </c>
      <c r="D104" s="43">
        <v>3.2690000000000001</v>
      </c>
      <c r="E104" s="41">
        <v>25</v>
      </c>
      <c r="F104" s="44">
        <v>1.57460983498901E-2</v>
      </c>
      <c r="G104" s="42">
        <v>83.250300076908999</v>
      </c>
      <c r="H104" s="39">
        <v>0.13409248123173201</v>
      </c>
      <c r="I104" s="39">
        <v>0.14310195367254</v>
      </c>
      <c r="J104" s="39">
        <v>0.26428228038373303</v>
      </c>
      <c r="K104" s="39">
        <v>0.12447642459592401</v>
      </c>
      <c r="L104" s="39">
        <v>0.14579520985226599</v>
      </c>
      <c r="M104" s="39">
        <v>0.21268829038166101</v>
      </c>
      <c r="N104" s="48">
        <v>0.1846986341868315</v>
      </c>
      <c r="O104" s="39">
        <v>0.134746895529849</v>
      </c>
      <c r="P104" s="39">
        <v>0.17296156171576599</v>
      </c>
      <c r="Q104" s="39">
        <v>0.187434596405334</v>
      </c>
      <c r="R104" s="39">
        <v>0.13094693451446199</v>
      </c>
      <c r="S104" s="39">
        <v>0.111890980158436</v>
      </c>
      <c r="T104" s="39">
        <v>9.0993054957387298E-2</v>
      </c>
      <c r="U104" s="43">
        <v>0.18</v>
      </c>
      <c r="V104" s="43">
        <v>9.9274752045340003E-2</v>
      </c>
      <c r="W104" s="43">
        <f t="shared" si="2"/>
        <v>8.072524795465999E-2</v>
      </c>
      <c r="X104" s="45">
        <v>0.110634462033796</v>
      </c>
      <c r="Y104" s="45">
        <f t="shared" si="3"/>
        <v>6.9365537966203997E-2</v>
      </c>
    </row>
    <row r="105" spans="1:25" ht="15" x14ac:dyDescent="0.2">
      <c r="B105" s="41">
        <v>16</v>
      </c>
      <c r="C105" s="42">
        <v>500</v>
      </c>
      <c r="D105" s="43">
        <v>3.2690000000000001</v>
      </c>
      <c r="E105" s="41">
        <v>25</v>
      </c>
      <c r="F105" s="44">
        <v>1.57460983498901E-2</v>
      </c>
      <c r="G105" s="42">
        <v>122.675935148359</v>
      </c>
      <c r="H105" s="39">
        <v>0.171073176637526</v>
      </c>
      <c r="I105" s="39">
        <v>0.16100502585436599</v>
      </c>
      <c r="J105" s="39">
        <v>0.29734587330235002</v>
      </c>
      <c r="K105" s="39">
        <v>0.157570475445657</v>
      </c>
      <c r="L105" s="39">
        <v>0.17429705972752901</v>
      </c>
      <c r="M105" s="39">
        <v>0.23929710820147401</v>
      </c>
      <c r="N105" s="48">
        <v>0.21318676482569551</v>
      </c>
      <c r="O105" s="39">
        <v>0.154295967831621</v>
      </c>
      <c r="P105" s="39">
        <v>0.19460028323290501</v>
      </c>
      <c r="Q105" s="39">
        <v>0.21377264107091101</v>
      </c>
      <c r="R105" s="39">
        <v>0.163768165851579</v>
      </c>
      <c r="S105" s="39">
        <v>0.134461087396925</v>
      </c>
      <c r="T105" s="39">
        <v>0.110573338061573</v>
      </c>
      <c r="U105" s="43">
        <v>0.18</v>
      </c>
      <c r="V105" s="43">
        <v>0.116178589995917</v>
      </c>
      <c r="W105" s="43">
        <f t="shared" si="2"/>
        <v>6.3821410004082993E-2</v>
      </c>
      <c r="X105" s="45">
        <v>0.14377344806676701</v>
      </c>
      <c r="Y105" s="45">
        <f t="shared" si="3"/>
        <v>3.6226551933232987E-2</v>
      </c>
    </row>
    <row r="106" spans="1:25" ht="15" x14ac:dyDescent="0.2">
      <c r="B106" s="41">
        <v>16</v>
      </c>
      <c r="C106" s="42">
        <v>500</v>
      </c>
      <c r="D106" s="43">
        <v>3.2690000000000001</v>
      </c>
      <c r="E106" s="41">
        <v>25</v>
      </c>
      <c r="F106" s="44">
        <v>1.57460983498901E-2</v>
      </c>
      <c r="G106" s="42">
        <v>162.03406057071399</v>
      </c>
      <c r="H106" s="39">
        <v>0.207990548934748</v>
      </c>
      <c r="I106" s="39">
        <v>0.17887744209067599</v>
      </c>
      <c r="J106" s="39">
        <v>0.330352850479667</v>
      </c>
      <c r="K106" s="39">
        <v>0.194494413431132</v>
      </c>
      <c r="L106" s="39">
        <v>0.202750105065333</v>
      </c>
      <c r="M106" s="39">
        <v>0.26586036297707599</v>
      </c>
      <c r="N106" s="48">
        <v>0.2416261144189451</v>
      </c>
      <c r="O106" s="39">
        <v>0.17381156569452</v>
      </c>
      <c r="P106" s="39">
        <v>0.216201952144707</v>
      </c>
      <c r="Q106" s="39">
        <v>0.24074542196424201</v>
      </c>
      <c r="R106" s="39">
        <v>0.20635674960082601</v>
      </c>
      <c r="S106" s="39">
        <v>0.17168202493194701</v>
      </c>
      <c r="T106" s="39">
        <v>0.14506549518116399</v>
      </c>
      <c r="U106" s="43">
        <v>0.25</v>
      </c>
      <c r="V106" s="43">
        <v>0.14717536615403201</v>
      </c>
      <c r="W106" s="43">
        <f t="shared" si="2"/>
        <v>0.10282463384596799</v>
      </c>
      <c r="X106" s="45">
        <v>0.18990028944419701</v>
      </c>
      <c r="Y106" s="45">
        <f t="shared" si="3"/>
        <v>6.0099710555802988E-2</v>
      </c>
    </row>
    <row r="107" spans="1:25" ht="15" x14ac:dyDescent="0.2">
      <c r="B107" s="41">
        <v>16</v>
      </c>
      <c r="C107" s="42">
        <v>500</v>
      </c>
      <c r="D107" s="43">
        <v>3.2690000000000001</v>
      </c>
      <c r="E107" s="41">
        <v>25</v>
      </c>
      <c r="F107" s="44">
        <v>1.57460983498901E-2</v>
      </c>
      <c r="G107" s="42">
        <v>201.39218599306901</v>
      </c>
      <c r="H107" s="39">
        <v>0.244907921231971</v>
      </c>
      <c r="I107" s="39">
        <v>0.19760779435522899</v>
      </c>
      <c r="J107" s="39">
        <v>0.36335982765698399</v>
      </c>
      <c r="K107" s="39">
        <v>0.23530157606629101</v>
      </c>
      <c r="L107" s="39">
        <v>0.23120315040313799</v>
      </c>
      <c r="M107" s="39">
        <v>0.292423617752677</v>
      </c>
      <c r="N107" s="48">
        <v>0.27006546401219472</v>
      </c>
      <c r="O107" s="39">
        <v>0.193327163557419</v>
      </c>
      <c r="P107" s="39">
        <v>0.23780362105650901</v>
      </c>
      <c r="Q107" s="39">
        <v>0.26824487680377601</v>
      </c>
      <c r="R107" s="39">
        <v>0.24778164092129101</v>
      </c>
      <c r="S107" s="39">
        <v>0.20947007070116999</v>
      </c>
      <c r="T107" s="39">
        <v>0.18038046539104599</v>
      </c>
      <c r="U107" s="43">
        <v>0.28000000000000003</v>
      </c>
      <c r="V107" s="43">
        <v>0.17817214231214801</v>
      </c>
      <c r="W107" s="43">
        <f t="shared" si="2"/>
        <v>0.10182785768785202</v>
      </c>
      <c r="X107" s="45">
        <v>0.23602713082162699</v>
      </c>
      <c r="Y107" s="45">
        <f t="shared" si="3"/>
        <v>4.3972869178373036E-2</v>
      </c>
    </row>
    <row r="108" spans="1:25" ht="15" x14ac:dyDescent="0.2">
      <c r="B108" s="41">
        <v>16</v>
      </c>
      <c r="C108" s="42">
        <v>500</v>
      </c>
      <c r="D108" s="43">
        <v>3.2690000000000001</v>
      </c>
      <c r="E108" s="41">
        <v>25</v>
      </c>
      <c r="F108" s="44">
        <v>1.57460983498901E-2</v>
      </c>
      <c r="G108" s="42">
        <v>240.81782106451899</v>
      </c>
      <c r="H108" s="39">
        <v>0.28188861663776499</v>
      </c>
      <c r="I108" s="39">
        <v>0.22744624799160601</v>
      </c>
      <c r="J108" s="39">
        <v>0.39642342057559998</v>
      </c>
      <c r="K108" s="39">
        <v>0.28007195534083001</v>
      </c>
      <c r="L108" s="39">
        <v>0.25970500027839999</v>
      </c>
      <c r="M108" s="39">
        <v>0.319032435572491</v>
      </c>
      <c r="N108" s="48">
        <v>0.2985535946510588</v>
      </c>
      <c r="O108" s="39">
        <v>0.21287623585918999</v>
      </c>
      <c r="P108" s="39">
        <v>0.25944234257364901</v>
      </c>
      <c r="Q108" s="39">
        <v>0.29621109654667399</v>
      </c>
      <c r="R108" s="39">
        <v>0.28822808346578699</v>
      </c>
      <c r="S108" s="39">
        <v>0.24789150119600201</v>
      </c>
      <c r="T108" s="39">
        <v>0.21658094147941401</v>
      </c>
      <c r="U108" s="43">
        <v>0.33</v>
      </c>
      <c r="V108" s="43">
        <v>0.20922208618237001</v>
      </c>
      <c r="W108" s="43">
        <f t="shared" si="2"/>
        <v>0.12077791381763001</v>
      </c>
      <c r="X108" s="45">
        <v>0.28223309199558799</v>
      </c>
      <c r="Y108" s="45">
        <f t="shared" si="3"/>
        <v>4.7766908004412023E-2</v>
      </c>
    </row>
    <row r="109" spans="1:25" ht="15" x14ac:dyDescent="0.2">
      <c r="B109" s="41">
        <v>16</v>
      </c>
      <c r="C109" s="42">
        <v>500</v>
      </c>
      <c r="D109" s="43">
        <v>3.2690000000000001</v>
      </c>
      <c r="E109" s="41">
        <v>25</v>
      </c>
      <c r="F109" s="44">
        <v>1.57460983498901E-2</v>
      </c>
      <c r="G109" s="42">
        <v>280.24345613597001</v>
      </c>
      <c r="H109" s="39">
        <v>0.31886931204355901</v>
      </c>
      <c r="I109" s="39">
        <v>0.257284701627982</v>
      </c>
      <c r="J109" s="39">
        <v>0.42948701349421597</v>
      </c>
      <c r="K109" s="39">
        <v>0.32873889221541702</v>
      </c>
      <c r="L109" s="39">
        <v>0.28820685015366199</v>
      </c>
      <c r="M109" s="39">
        <v>0.345641253392304</v>
      </c>
      <c r="N109" s="48">
        <v>0.32704172528992292</v>
      </c>
      <c r="O109" s="39">
        <v>0.23242530816096199</v>
      </c>
      <c r="P109" s="39">
        <v>0.28108106409078798</v>
      </c>
      <c r="Q109" s="39">
        <v>0.324517798744556</v>
      </c>
      <c r="R109" s="39">
        <v>0.32772968510924699</v>
      </c>
      <c r="S109" s="39">
        <v>0.286881987076337</v>
      </c>
      <c r="T109" s="39">
        <v>0.253607055765319</v>
      </c>
      <c r="U109" s="43">
        <v>0.38</v>
      </c>
      <c r="V109" s="43">
        <v>0.24027203005259201</v>
      </c>
      <c r="W109" s="43">
        <f t="shared" si="2"/>
        <v>0.13972796994740799</v>
      </c>
      <c r="X109" s="45">
        <v>0.32843905316954902</v>
      </c>
      <c r="Y109" s="45">
        <f t="shared" si="3"/>
        <v>5.1560946830450982E-2</v>
      </c>
    </row>
    <row r="110" spans="1:25" ht="15" x14ac:dyDescent="0.2">
      <c r="B110" s="41">
        <v>16</v>
      </c>
      <c r="C110" s="42">
        <v>500</v>
      </c>
      <c r="D110" s="43">
        <v>3.2690000000000001</v>
      </c>
      <c r="E110" s="41">
        <v>25</v>
      </c>
      <c r="F110" s="44">
        <v>1.57460983498901E-2</v>
      </c>
      <c r="G110" s="42">
        <v>319.53407190923002</v>
      </c>
      <c r="H110" s="39">
        <v>0.35572336123220999</v>
      </c>
      <c r="I110" s="39">
        <v>0.287020968779303</v>
      </c>
      <c r="J110" s="39">
        <v>0.46243737493023401</v>
      </c>
      <c r="K110" s="39">
        <v>0.38111572538496102</v>
      </c>
      <c r="L110" s="39">
        <v>0.31661109095400902</v>
      </c>
      <c r="M110" s="39">
        <v>0.37215894512369402</v>
      </c>
      <c r="N110" s="48">
        <v>0.35543229383755803</v>
      </c>
      <c r="O110" s="39">
        <v>0.25190743158498802</v>
      </c>
      <c r="P110" s="39">
        <v>0.30264568039725298</v>
      </c>
      <c r="Q110" s="39">
        <v>0.35300690649432698</v>
      </c>
      <c r="R110" s="39">
        <v>0.36625043346120201</v>
      </c>
      <c r="S110" s="39">
        <v>0.32630507938824299</v>
      </c>
      <c r="T110" s="39">
        <v>0.29132777003705501</v>
      </c>
      <c r="U110" s="43">
        <v>0.43</v>
      </c>
      <c r="V110" s="43">
        <v>0.27121563849860097</v>
      </c>
      <c r="W110" s="43">
        <f t="shared" si="2"/>
        <v>0.15878436150139902</v>
      </c>
      <c r="X110" s="45">
        <v>0.374486774750448</v>
      </c>
      <c r="Y110" s="45">
        <f t="shared" si="3"/>
        <v>5.551322524955199E-2</v>
      </c>
    </row>
    <row r="111" spans="1:25" ht="15" x14ac:dyDescent="0.2">
      <c r="A111" s="40" t="s">
        <v>46</v>
      </c>
      <c r="B111" s="41">
        <v>16</v>
      </c>
      <c r="C111" s="42">
        <v>500</v>
      </c>
      <c r="D111" s="43">
        <v>3.2690000000000001</v>
      </c>
      <c r="E111" s="41">
        <v>25</v>
      </c>
      <c r="F111" s="44">
        <v>2.12389380530973E-2</v>
      </c>
      <c r="G111" s="42">
        <v>142.623322211436</v>
      </c>
      <c r="H111" s="39">
        <v>0.15310623544979499</v>
      </c>
      <c r="I111" s="39">
        <v>0.13497830291539201</v>
      </c>
      <c r="J111" s="39">
        <v>0.19624775636841499</v>
      </c>
      <c r="K111" s="39">
        <v>0.15248177687827699</v>
      </c>
      <c r="L111" s="39">
        <v>0.130124961148568</v>
      </c>
      <c r="M111" s="39">
        <v>0.18003138663794299</v>
      </c>
      <c r="N111" s="48">
        <v>0.18087349076612638</v>
      </c>
      <c r="O111" s="39">
        <v>0.15297784176427001</v>
      </c>
      <c r="P111" s="39">
        <v>0.16782701616822199</v>
      </c>
      <c r="Q111" s="39">
        <v>0.182495294299266</v>
      </c>
      <c r="R111" s="39">
        <v>0.15098726824286801</v>
      </c>
      <c r="S111" s="39">
        <v>0.146973606180786</v>
      </c>
      <c r="T111" s="39">
        <v>0.125101939762885</v>
      </c>
      <c r="U111" s="43">
        <v>0.15</v>
      </c>
      <c r="V111" s="43">
        <v>0.12226734357024099</v>
      </c>
      <c r="W111" s="43">
        <f t="shared" si="2"/>
        <v>2.7732656429759001E-2</v>
      </c>
      <c r="X111" s="45">
        <v>0.137972481933548</v>
      </c>
      <c r="Y111" s="45">
        <f t="shared" si="3"/>
        <v>1.2027518066451998E-2</v>
      </c>
    </row>
    <row r="112" spans="1:25" ht="15" x14ac:dyDescent="0.2">
      <c r="B112" s="41">
        <v>16</v>
      </c>
      <c r="C112" s="42">
        <v>500</v>
      </c>
      <c r="D112" s="43">
        <v>3.2690000000000001</v>
      </c>
      <c r="E112" s="41">
        <v>25</v>
      </c>
      <c r="F112" s="44">
        <v>2.12389380530973E-2</v>
      </c>
      <c r="G112" s="42">
        <v>167.23645175102001</v>
      </c>
      <c r="H112" s="39">
        <v>0.17116484293996001</v>
      </c>
      <c r="I112" s="39">
        <v>0.15089875308436701</v>
      </c>
      <c r="J112" s="39">
        <v>0.21130393804603401</v>
      </c>
      <c r="K112" s="39">
        <v>0.17677617215085001</v>
      </c>
      <c r="L112" s="39">
        <v>0.142962267348999</v>
      </c>
      <c r="M112" s="39">
        <v>0.19384344398348499</v>
      </c>
      <c r="N112" s="48">
        <v>0.19762161385288404</v>
      </c>
      <c r="O112" s="39">
        <v>0.16617247605076299</v>
      </c>
      <c r="P112" s="39">
        <v>0.180702750865019</v>
      </c>
      <c r="Q112" s="39">
        <v>0.198056073163803</v>
      </c>
      <c r="R112" s="39">
        <v>0.17346475690952301</v>
      </c>
      <c r="S112" s="39">
        <v>0.16883493162996199</v>
      </c>
      <c r="T112" s="39">
        <v>0.145440348258667</v>
      </c>
      <c r="U112" s="43">
        <v>0.18</v>
      </c>
      <c r="V112" s="43">
        <v>0.139582863940406</v>
      </c>
      <c r="W112" s="43">
        <f t="shared" si="2"/>
        <v>4.0417136059593989E-2</v>
      </c>
      <c r="X112" s="45">
        <v>0.16178299565650001</v>
      </c>
      <c r="Y112" s="45">
        <f t="shared" si="3"/>
        <v>1.8217004343499987E-2</v>
      </c>
    </row>
    <row r="113" spans="1:25" ht="15" x14ac:dyDescent="0.2">
      <c r="B113" s="41">
        <v>16</v>
      </c>
      <c r="C113" s="42">
        <v>500</v>
      </c>
      <c r="D113" s="43">
        <v>3.2690000000000001</v>
      </c>
      <c r="E113" s="41">
        <v>25</v>
      </c>
      <c r="F113" s="44">
        <v>2.12389380530973E-2</v>
      </c>
      <c r="G113" s="42">
        <v>191.93416249177099</v>
      </c>
      <c r="H113" s="39">
        <v>0.18928550750053899</v>
      </c>
      <c r="I113" s="39">
        <v>0.16687391270409399</v>
      </c>
      <c r="J113" s="39">
        <v>0.22641185917959</v>
      </c>
      <c r="K113" s="39">
        <v>0.20295833219562001</v>
      </c>
      <c r="L113" s="39">
        <v>0.155843688003726</v>
      </c>
      <c r="M113" s="39">
        <v>0.20770296544361699</v>
      </c>
      <c r="N113" s="48">
        <v>0.21442729062722496</v>
      </c>
      <c r="O113" s="39">
        <v>0.17941245272312001</v>
      </c>
      <c r="P113" s="39">
        <v>0.19362273207280201</v>
      </c>
      <c r="Q113" s="39">
        <v>0.21383798086854899</v>
      </c>
      <c r="R113" s="39">
        <v>0.195661015918076</v>
      </c>
      <c r="S113" s="39">
        <v>0.19103246226269699</v>
      </c>
      <c r="T113" s="39">
        <v>0.16625050388816601</v>
      </c>
      <c r="U113" s="43">
        <v>0.18</v>
      </c>
      <c r="V113" s="43">
        <v>0.15695788781699799</v>
      </c>
      <c r="W113" s="43">
        <f t="shared" si="2"/>
        <v>2.3042112183002006E-2</v>
      </c>
      <c r="X113" s="45">
        <v>0.185675332450664</v>
      </c>
      <c r="Y113" s="45">
        <f t="shared" si="3"/>
        <v>-5.6753324506640113E-3</v>
      </c>
    </row>
    <row r="114" spans="1:25" ht="15" x14ac:dyDescent="0.2">
      <c r="B114" s="41">
        <v>16</v>
      </c>
      <c r="C114" s="42">
        <v>500</v>
      </c>
      <c r="D114" s="43">
        <v>3.2690000000000001</v>
      </c>
      <c r="E114" s="41">
        <v>25</v>
      </c>
      <c r="F114" s="44">
        <v>2.12389380530973E-2</v>
      </c>
      <c r="G114" s="42">
        <v>216.631873232522</v>
      </c>
      <c r="H114" s="39">
        <v>0.207406172061117</v>
      </c>
      <c r="I114" s="39">
        <v>0.182849072323821</v>
      </c>
      <c r="J114" s="39">
        <v>0.241519780313146</v>
      </c>
      <c r="K114" s="39">
        <v>0.23094786593615199</v>
      </c>
      <c r="L114" s="39">
        <v>0.168725108658454</v>
      </c>
      <c r="M114" s="39">
        <v>0.221562486903748</v>
      </c>
      <c r="N114" s="48">
        <v>0.23123296740156588</v>
      </c>
      <c r="O114" s="39">
        <v>0.192652429395477</v>
      </c>
      <c r="P114" s="39">
        <v>0.20654271328058499</v>
      </c>
      <c r="Q114" s="39">
        <v>0.22976214666883599</v>
      </c>
      <c r="R114" s="39">
        <v>0.217523053178486</v>
      </c>
      <c r="S114" s="39">
        <v>0.21349152107149</v>
      </c>
      <c r="T114" s="39">
        <v>0.187463204502612</v>
      </c>
      <c r="U114" s="43">
        <v>0.2</v>
      </c>
      <c r="V114" s="43">
        <v>0.17433291169359</v>
      </c>
      <c r="W114" s="43">
        <f t="shared" si="2"/>
        <v>2.5667088306410013E-2</v>
      </c>
      <c r="X114" s="45">
        <v>0.209567669244829</v>
      </c>
      <c r="Y114" s="45">
        <f t="shared" si="3"/>
        <v>-9.5676692448289913E-3</v>
      </c>
    </row>
    <row r="115" spans="1:25" ht="15" x14ac:dyDescent="0.2">
      <c r="B115" s="41">
        <v>16</v>
      </c>
      <c r="C115" s="42">
        <v>500</v>
      </c>
      <c r="D115" s="43">
        <v>3.2690000000000001</v>
      </c>
      <c r="E115" s="41">
        <v>25</v>
      </c>
      <c r="F115" s="44">
        <v>2.12389380530973E-2</v>
      </c>
      <c r="G115" s="42">
        <v>241.329583973274</v>
      </c>
      <c r="H115" s="39">
        <v>0.22552683662169501</v>
      </c>
      <c r="I115" s="39">
        <v>0.19882423194354801</v>
      </c>
      <c r="J115" s="39">
        <v>0.25662770144670199</v>
      </c>
      <c r="K115" s="39">
        <v>0.260744773372447</v>
      </c>
      <c r="L115" s="39">
        <v>0.181606529313181</v>
      </c>
      <c r="M115" s="39">
        <v>0.23542200836388</v>
      </c>
      <c r="N115" s="48">
        <v>0.24803864417590696</v>
      </c>
      <c r="O115" s="39">
        <v>0.20589240606783399</v>
      </c>
      <c r="P115" s="39">
        <v>0.219462694488368</v>
      </c>
      <c r="Q115" s="39">
        <v>0.24580809599432701</v>
      </c>
      <c r="R115" s="39">
        <v>0.23907403789405199</v>
      </c>
      <c r="S115" s="39">
        <v>0.23621210805633899</v>
      </c>
      <c r="T115" s="39">
        <v>0.20907845010200299</v>
      </c>
      <c r="U115" s="43">
        <v>0.2</v>
      </c>
      <c r="V115" s="43">
        <v>0.19170793557018101</v>
      </c>
      <c r="W115" s="43">
        <f t="shared" si="2"/>
        <v>8.2920644298190016E-3</v>
      </c>
      <c r="X115" s="45">
        <v>0.233460006038994</v>
      </c>
      <c r="Y115" s="45">
        <f t="shared" si="3"/>
        <v>-3.3460006038993989E-2</v>
      </c>
    </row>
    <row r="116" spans="1:25" ht="15" x14ac:dyDescent="0.2">
      <c r="A116" s="40" t="s">
        <v>47</v>
      </c>
      <c r="B116" s="41">
        <v>16</v>
      </c>
      <c r="C116" s="42">
        <v>500</v>
      </c>
      <c r="D116" s="43">
        <v>3.2690000000000001</v>
      </c>
      <c r="E116" s="41">
        <v>25</v>
      </c>
      <c r="F116" s="44">
        <v>2.12389380530973E-2</v>
      </c>
      <c r="G116" s="42">
        <v>167.23645175102001</v>
      </c>
      <c r="H116" s="39">
        <v>0.17116484293996001</v>
      </c>
      <c r="I116" s="39">
        <v>0.15089875308436701</v>
      </c>
      <c r="J116" s="39">
        <v>0.21130393804603401</v>
      </c>
      <c r="K116" s="39">
        <v>0.17677617215085001</v>
      </c>
      <c r="L116" s="39">
        <v>0.142962267348999</v>
      </c>
      <c r="M116" s="39">
        <v>0.19384344398348499</v>
      </c>
      <c r="N116" s="48">
        <v>0.19762161385288404</v>
      </c>
      <c r="O116" s="39">
        <v>0.16617247605076299</v>
      </c>
      <c r="P116" s="39">
        <v>0.180702750865019</v>
      </c>
      <c r="Q116" s="39">
        <v>0.198056073163803</v>
      </c>
      <c r="R116" s="39">
        <v>0.17346475690952301</v>
      </c>
      <c r="S116" s="39">
        <v>0.16883493162996199</v>
      </c>
      <c r="T116" s="39">
        <v>0.145440348258667</v>
      </c>
      <c r="U116" s="43">
        <v>0.15</v>
      </c>
      <c r="V116" s="43">
        <v>0.139582863940406</v>
      </c>
      <c r="W116" s="43">
        <f t="shared" si="2"/>
        <v>1.041713605959399E-2</v>
      </c>
      <c r="X116" s="45">
        <v>0.16178299565650001</v>
      </c>
      <c r="Y116" s="45">
        <f t="shared" si="3"/>
        <v>-1.1782995656500012E-2</v>
      </c>
    </row>
    <row r="117" spans="1:25" ht="15" x14ac:dyDescent="0.2">
      <c r="B117" s="41">
        <v>16</v>
      </c>
      <c r="C117" s="42">
        <v>500</v>
      </c>
      <c r="D117" s="43">
        <v>3.2690000000000001</v>
      </c>
      <c r="E117" s="41">
        <v>25</v>
      </c>
      <c r="F117" s="44">
        <v>2.12389380530973E-2</v>
      </c>
      <c r="G117" s="42">
        <v>191.93416249177099</v>
      </c>
      <c r="H117" s="39">
        <v>0.18928550750053899</v>
      </c>
      <c r="I117" s="39">
        <v>0.16687391270409399</v>
      </c>
      <c r="J117" s="39">
        <v>0.22641185917959</v>
      </c>
      <c r="K117" s="39">
        <v>0.20295833219562001</v>
      </c>
      <c r="L117" s="39">
        <v>0.155843688003726</v>
      </c>
      <c r="M117" s="39">
        <v>0.20770296544361699</v>
      </c>
      <c r="N117" s="48">
        <v>0.21442729062722496</v>
      </c>
      <c r="O117" s="39">
        <v>0.17941245272312001</v>
      </c>
      <c r="P117" s="39">
        <v>0.19362273207280201</v>
      </c>
      <c r="Q117" s="39">
        <v>0.21383798086854899</v>
      </c>
      <c r="R117" s="39">
        <v>0.195661015918076</v>
      </c>
      <c r="S117" s="39">
        <v>0.19103246226269699</v>
      </c>
      <c r="T117" s="39">
        <v>0.16625050388816601</v>
      </c>
      <c r="U117" s="43">
        <v>0.18</v>
      </c>
      <c r="V117" s="43">
        <v>0.15695788781699799</v>
      </c>
      <c r="W117" s="43">
        <f t="shared" si="2"/>
        <v>2.3042112183002006E-2</v>
      </c>
      <c r="X117" s="45">
        <v>0.185675332450664</v>
      </c>
      <c r="Y117" s="45">
        <f t="shared" si="3"/>
        <v>-5.6753324506640113E-3</v>
      </c>
    </row>
    <row r="118" spans="1:25" ht="15" x14ac:dyDescent="0.2">
      <c r="B118" s="41">
        <v>16</v>
      </c>
      <c r="C118" s="42">
        <v>500</v>
      </c>
      <c r="D118" s="43">
        <v>3.2690000000000001</v>
      </c>
      <c r="E118" s="41">
        <v>25</v>
      </c>
      <c r="F118" s="44">
        <v>2.12389380530973E-2</v>
      </c>
      <c r="G118" s="42">
        <v>216.631873232522</v>
      </c>
      <c r="H118" s="39">
        <v>0.207406172061117</v>
      </c>
      <c r="I118" s="39">
        <v>0.182849072323821</v>
      </c>
      <c r="J118" s="39">
        <v>0.241519780313146</v>
      </c>
      <c r="K118" s="39">
        <v>0.23094786593615199</v>
      </c>
      <c r="L118" s="39">
        <v>0.168725108658454</v>
      </c>
      <c r="M118" s="39">
        <v>0.221562486903748</v>
      </c>
      <c r="N118" s="48">
        <v>0.23123296740156588</v>
      </c>
      <c r="O118" s="39">
        <v>0.192652429395477</v>
      </c>
      <c r="P118" s="39">
        <v>0.20654271328058499</v>
      </c>
      <c r="Q118" s="39">
        <v>0.22976214666883599</v>
      </c>
      <c r="R118" s="39">
        <v>0.217523053178486</v>
      </c>
      <c r="S118" s="39">
        <v>0.21349152107149</v>
      </c>
      <c r="T118" s="39">
        <v>0.187463204502612</v>
      </c>
      <c r="U118" s="43">
        <v>0.2</v>
      </c>
      <c r="V118" s="43">
        <v>0.17433291169359</v>
      </c>
      <c r="W118" s="43">
        <f t="shared" si="2"/>
        <v>2.5667088306410013E-2</v>
      </c>
      <c r="X118" s="45">
        <v>0.209567669244829</v>
      </c>
      <c r="Y118" s="45">
        <f t="shared" si="3"/>
        <v>-9.5676692448289913E-3</v>
      </c>
    </row>
    <row r="119" spans="1:25" ht="15" x14ac:dyDescent="0.2">
      <c r="B119" s="41">
        <v>16</v>
      </c>
      <c r="C119" s="42">
        <v>500</v>
      </c>
      <c r="D119" s="43">
        <v>3.2690000000000001</v>
      </c>
      <c r="E119" s="41">
        <v>25</v>
      </c>
      <c r="F119" s="44">
        <v>2.12389380530973E-2</v>
      </c>
      <c r="G119" s="42">
        <v>241.329583973274</v>
      </c>
      <c r="H119" s="39">
        <v>0.22552683662169501</v>
      </c>
      <c r="I119" s="39">
        <v>0.19882423194354801</v>
      </c>
      <c r="J119" s="39">
        <v>0.25662770144670199</v>
      </c>
      <c r="K119" s="39">
        <v>0.260744773372447</v>
      </c>
      <c r="L119" s="39">
        <v>0.181606529313181</v>
      </c>
      <c r="M119" s="39">
        <v>0.23542200836388</v>
      </c>
      <c r="N119" s="48">
        <v>0.24803864417590696</v>
      </c>
      <c r="O119" s="39">
        <v>0.20589240606783399</v>
      </c>
      <c r="P119" s="39">
        <v>0.219462694488368</v>
      </c>
      <c r="Q119" s="39">
        <v>0.24580809599432701</v>
      </c>
      <c r="R119" s="39">
        <v>0.23907403789405199</v>
      </c>
      <c r="S119" s="39">
        <v>0.23621210805633899</v>
      </c>
      <c r="T119" s="39">
        <v>0.20907845010200299</v>
      </c>
      <c r="U119" s="43">
        <v>0.2</v>
      </c>
      <c r="V119" s="43">
        <v>0.19170793557018101</v>
      </c>
      <c r="W119" s="43">
        <f t="shared" si="2"/>
        <v>8.2920644298190016E-3</v>
      </c>
      <c r="X119" s="45">
        <v>0.233460006038994</v>
      </c>
      <c r="Y119" s="45">
        <f t="shared" si="3"/>
        <v>-3.3460006038993989E-2</v>
      </c>
    </row>
    <row r="120" spans="1:25" ht="15" x14ac:dyDescent="0.2">
      <c r="A120" s="40" t="s">
        <v>48</v>
      </c>
      <c r="B120" s="41">
        <v>12</v>
      </c>
      <c r="C120" s="42">
        <v>500</v>
      </c>
      <c r="D120" s="43">
        <v>3.2690000000000001</v>
      </c>
      <c r="E120" s="41">
        <v>25</v>
      </c>
      <c r="F120" s="44">
        <v>1.17247911599868E-2</v>
      </c>
      <c r="G120" s="42">
        <v>0</v>
      </c>
      <c r="H120" s="39">
        <v>7.1690562907372997E-3</v>
      </c>
      <c r="I120" s="39">
        <v>9.0917909338139397E-2</v>
      </c>
      <c r="J120" s="39">
        <v>0.242542063772406</v>
      </c>
      <c r="K120" s="39">
        <v>6.4368016399245206E-2</v>
      </c>
      <c r="L120" s="39">
        <v>0.178566086192809</v>
      </c>
      <c r="M120" s="39">
        <v>0.30305002755794103</v>
      </c>
      <c r="N120" s="48">
        <v>0.15821091519461075</v>
      </c>
      <c r="O120" s="39">
        <v>8.2839711691510207E-2</v>
      </c>
      <c r="P120" s="39">
        <v>0.18416833175589301</v>
      </c>
      <c r="Q120" s="39">
        <v>0.12378021696302</v>
      </c>
      <c r="R120" s="39">
        <v>8.2173599503790898E-2</v>
      </c>
      <c r="S120" s="39">
        <v>7.1607273223569898E-2</v>
      </c>
      <c r="T120" s="39">
        <v>5.7832552682630198E-2</v>
      </c>
      <c r="U120" s="43">
        <v>0.2</v>
      </c>
      <c r="V120" s="43">
        <v>7.2148609668635899E-2</v>
      </c>
      <c r="W120" s="43">
        <f t="shared" si="2"/>
        <v>0.12785139033136411</v>
      </c>
      <c r="X120" s="45">
        <v>7.2148609668635899E-2</v>
      </c>
      <c r="Y120" s="45">
        <f t="shared" si="3"/>
        <v>0.12785139033136411</v>
      </c>
    </row>
    <row r="121" spans="1:25" ht="15" x14ac:dyDescent="0.2">
      <c r="B121" s="41">
        <v>12</v>
      </c>
      <c r="C121" s="42">
        <v>500</v>
      </c>
      <c r="D121" s="43">
        <v>3.2690000000000001</v>
      </c>
      <c r="E121" s="41">
        <v>25</v>
      </c>
      <c r="F121" s="44">
        <v>1.17247911599868E-2</v>
      </c>
      <c r="G121" s="42">
        <v>93.874962481384202</v>
      </c>
      <c r="H121" s="39">
        <v>0.11192516701366401</v>
      </c>
      <c r="I121" s="39">
        <v>0.124987789711104</v>
      </c>
      <c r="J121" s="39">
        <v>0.33343041743444302</v>
      </c>
      <c r="K121" s="39">
        <v>0.121648405518749</v>
      </c>
      <c r="L121" s="39">
        <v>0.32422506793901301</v>
      </c>
      <c r="M121" s="39">
        <v>0.416612671717769</v>
      </c>
      <c r="N121" s="48">
        <v>0.23489832403946861</v>
      </c>
      <c r="O121" s="39">
        <v>0.12596340903755299</v>
      </c>
      <c r="P121" s="39">
        <v>0.253182160572342</v>
      </c>
      <c r="Q121" s="39">
        <v>0.17554471252304901</v>
      </c>
      <c r="R121" s="39">
        <v>0.14431424849111399</v>
      </c>
      <c r="S121" s="39">
        <v>0.105950221104868</v>
      </c>
      <c r="T121" s="39">
        <v>8.6441164459186495E-2</v>
      </c>
      <c r="U121" s="43">
        <v>0.25</v>
      </c>
      <c r="V121" s="43">
        <v>9.9185026568017601E-2</v>
      </c>
      <c r="W121" s="43">
        <f t="shared" si="2"/>
        <v>0.15081497343198241</v>
      </c>
      <c r="X121" s="45">
        <v>0.12649536757740701</v>
      </c>
      <c r="Y121" s="45">
        <f t="shared" si="3"/>
        <v>0.12350463242259299</v>
      </c>
    </row>
    <row r="122" spans="1:25" ht="15" x14ac:dyDescent="0.2">
      <c r="B122" s="41">
        <v>12</v>
      </c>
      <c r="C122" s="42">
        <v>500</v>
      </c>
      <c r="D122" s="43">
        <v>3.2690000000000001</v>
      </c>
      <c r="E122" s="41">
        <v>25</v>
      </c>
      <c r="F122" s="44">
        <v>1.17247911599868E-2</v>
      </c>
      <c r="G122" s="42">
        <v>202.08156648324501</v>
      </c>
      <c r="H122" s="39">
        <v>0.21668127773659199</v>
      </c>
      <c r="I122" s="39">
        <v>0.15905767008406799</v>
      </c>
      <c r="J122" s="39">
        <v>0.42431877109647997</v>
      </c>
      <c r="K122" s="39">
        <v>0.197006464784174</v>
      </c>
      <c r="L122" s="39">
        <v>0.46988404968521702</v>
      </c>
      <c r="M122" s="39">
        <v>0.53017531587759803</v>
      </c>
      <c r="N122" s="48">
        <v>0.31158573288432662</v>
      </c>
      <c r="O122" s="39">
        <v>0.169087106383595</v>
      </c>
      <c r="P122" s="39">
        <v>0.32219598938879002</v>
      </c>
      <c r="Q122" s="39">
        <v>0.232689328078165</v>
      </c>
      <c r="R122" s="39">
        <v>0.21602741456763899</v>
      </c>
      <c r="S122" s="39">
        <v>0.145486005898154</v>
      </c>
      <c r="T122" s="39">
        <v>0.122096151661929</v>
      </c>
      <c r="U122" s="43">
        <v>0.33</v>
      </c>
      <c r="V122" s="43">
        <v>0.12948602837324</v>
      </c>
      <c r="W122" s="43">
        <f t="shared" si="2"/>
        <v>0.20051397162676002</v>
      </c>
      <c r="X122" s="45">
        <v>0.20676471345255301</v>
      </c>
      <c r="Y122" s="45">
        <f t="shared" si="3"/>
        <v>0.123235286547447</v>
      </c>
    </row>
    <row r="123" spans="1:25" ht="15" x14ac:dyDescent="0.2">
      <c r="A123" s="40" t="s">
        <v>49</v>
      </c>
      <c r="B123" s="41">
        <v>12</v>
      </c>
      <c r="C123" s="42">
        <v>500</v>
      </c>
      <c r="D123" s="43">
        <v>3.2690000000000001</v>
      </c>
      <c r="E123" s="41">
        <v>25</v>
      </c>
      <c r="F123" s="44">
        <v>1.17247911599868E-2</v>
      </c>
      <c r="G123" s="42">
        <v>93.874962481384202</v>
      </c>
      <c r="H123" s="39">
        <v>0.11192516701366401</v>
      </c>
      <c r="I123" s="39">
        <v>0.124987789711104</v>
      </c>
      <c r="J123" s="39">
        <v>0.33343041743444302</v>
      </c>
      <c r="K123" s="39">
        <v>0.121648405518749</v>
      </c>
      <c r="L123" s="39">
        <v>0.32422506793901301</v>
      </c>
      <c r="M123" s="39">
        <v>0.416612671717769</v>
      </c>
      <c r="N123" s="48">
        <v>0.23489832403946861</v>
      </c>
      <c r="O123" s="39">
        <v>0.12596340903755299</v>
      </c>
      <c r="P123" s="39">
        <v>0.253182160572342</v>
      </c>
      <c r="Q123" s="39">
        <v>0.17554471252304901</v>
      </c>
      <c r="R123" s="39">
        <v>0.14431424849111399</v>
      </c>
      <c r="S123" s="39">
        <v>0.105950221104868</v>
      </c>
      <c r="T123" s="39">
        <v>8.6441164459186495E-2</v>
      </c>
      <c r="U123" s="43">
        <v>0.23</v>
      </c>
      <c r="V123" s="43">
        <v>9.9185026568017601E-2</v>
      </c>
      <c r="W123" s="43">
        <f t="shared" si="2"/>
        <v>0.1308149734319824</v>
      </c>
      <c r="X123" s="45">
        <v>0.12649536757740701</v>
      </c>
      <c r="Y123" s="45">
        <f t="shared" si="3"/>
        <v>0.103504632422593</v>
      </c>
    </row>
    <row r="124" spans="1:25" ht="15" x14ac:dyDescent="0.2">
      <c r="B124" s="41">
        <v>12</v>
      </c>
      <c r="C124" s="42">
        <v>500</v>
      </c>
      <c r="D124" s="43">
        <v>3.2690000000000001</v>
      </c>
      <c r="E124" s="41">
        <v>25</v>
      </c>
      <c r="F124" s="44">
        <v>1.17247911599868E-2</v>
      </c>
      <c r="G124" s="42">
        <v>202.08156648324501</v>
      </c>
      <c r="H124" s="39">
        <v>0.21668127773659199</v>
      </c>
      <c r="I124" s="39">
        <v>0.15905767008406799</v>
      </c>
      <c r="J124" s="39">
        <v>0.42431877109647997</v>
      </c>
      <c r="K124" s="39">
        <v>0.197006464784174</v>
      </c>
      <c r="L124" s="39">
        <v>0.46988404968521702</v>
      </c>
      <c r="M124" s="39">
        <v>0.53017531587759803</v>
      </c>
      <c r="N124" s="48">
        <v>0.31158573288432662</v>
      </c>
      <c r="O124" s="39">
        <v>0.169087106383595</v>
      </c>
      <c r="P124" s="39">
        <v>0.32219598938879002</v>
      </c>
      <c r="Q124" s="39">
        <v>0.232689328078165</v>
      </c>
      <c r="R124" s="39">
        <v>0.21602741456763899</v>
      </c>
      <c r="S124" s="39">
        <v>0.145486005898154</v>
      </c>
      <c r="T124" s="39">
        <v>0.122096151661929</v>
      </c>
      <c r="U124" s="43">
        <v>0.28000000000000003</v>
      </c>
      <c r="V124" s="43">
        <v>0.12948602837324</v>
      </c>
      <c r="W124" s="43">
        <f t="shared" si="2"/>
        <v>0.15051397162676003</v>
      </c>
      <c r="X124" s="45">
        <v>0.20676471345255301</v>
      </c>
      <c r="Y124" s="45">
        <f t="shared" si="3"/>
        <v>7.3235286547447015E-2</v>
      </c>
    </row>
    <row r="125" spans="1:25" ht="15" x14ac:dyDescent="0.2">
      <c r="A125" s="40" t="s">
        <v>50</v>
      </c>
      <c r="B125" s="41">
        <v>12</v>
      </c>
      <c r="C125" s="42">
        <v>500</v>
      </c>
      <c r="D125" s="43">
        <v>3.2690000000000001</v>
      </c>
      <c r="E125" s="41">
        <v>25</v>
      </c>
      <c r="F125" s="44">
        <v>1.17247911599868E-2</v>
      </c>
      <c r="G125" s="42">
        <v>38.8928744315686</v>
      </c>
      <c r="H125" s="39">
        <v>0.103474462444596</v>
      </c>
      <c r="I125" s="39">
        <v>0.118672555494497</v>
      </c>
      <c r="J125" s="39">
        <v>0.262937479003861</v>
      </c>
      <c r="K125" s="39">
        <v>9.1097171658443707E-2</v>
      </c>
      <c r="L125" s="39">
        <v>0.211976391111864</v>
      </c>
      <c r="M125" s="39">
        <v>0.27575608799549101</v>
      </c>
      <c r="N125" s="48">
        <v>0.17362254187749063</v>
      </c>
      <c r="O125" s="39">
        <v>0.11051741448501699</v>
      </c>
      <c r="P125" s="39">
        <v>0.1931039369558</v>
      </c>
      <c r="Q125" s="39">
        <v>0.14939845211862701</v>
      </c>
      <c r="R125" s="39">
        <v>0.112408507985114</v>
      </c>
      <c r="S125" s="39">
        <v>8.8959187799522901E-2</v>
      </c>
      <c r="T125" s="39">
        <v>7.2132238693379605E-2</v>
      </c>
      <c r="U125" s="43">
        <v>0.18</v>
      </c>
      <c r="V125" s="43">
        <v>8.6147565717616198E-2</v>
      </c>
      <c r="W125" s="43">
        <f t="shared" si="2"/>
        <v>9.3852434282383795E-2</v>
      </c>
      <c r="X125" s="45">
        <v>9.4650621461280005E-2</v>
      </c>
      <c r="Y125" s="45">
        <f t="shared" si="3"/>
        <v>8.5349378538719989E-2</v>
      </c>
    </row>
    <row r="126" spans="1:25" ht="15" x14ac:dyDescent="0.2">
      <c r="B126" s="41">
        <v>12</v>
      </c>
      <c r="C126" s="42">
        <v>500</v>
      </c>
      <c r="D126" s="43">
        <v>3.2690000000000001</v>
      </c>
      <c r="E126" s="41">
        <v>25</v>
      </c>
      <c r="F126" s="44">
        <v>1.17247911599868E-2</v>
      </c>
      <c r="G126" s="42">
        <v>112.144740233866</v>
      </c>
      <c r="H126" s="39">
        <v>0.152823893840593</v>
      </c>
      <c r="I126" s="39">
        <v>0.14409201352575399</v>
      </c>
      <c r="J126" s="39">
        <v>0.319258236440428</v>
      </c>
      <c r="K126" s="39">
        <v>0.13430250855204301</v>
      </c>
      <c r="L126" s="39">
        <v>0.277713550639199</v>
      </c>
      <c r="M126" s="39">
        <v>0.33482256951227302</v>
      </c>
      <c r="N126" s="48">
        <v>0.21962596422493444</v>
      </c>
      <c r="O126" s="39">
        <v>0.13967437273173899</v>
      </c>
      <c r="P126" s="39">
        <v>0.234466469351474</v>
      </c>
      <c r="Q126" s="39">
        <v>0.18644534481755501</v>
      </c>
      <c r="R126" s="39">
        <v>0.156962897990093</v>
      </c>
      <c r="S126" s="39">
        <v>0.112789337104005</v>
      </c>
      <c r="T126" s="39">
        <v>9.2494982974628201E-2</v>
      </c>
      <c r="U126" s="43">
        <v>0.23</v>
      </c>
      <c r="V126" s="43">
        <v>0.104600226673042</v>
      </c>
      <c r="W126" s="43">
        <f t="shared" si="2"/>
        <v>0.12539977332695801</v>
      </c>
      <c r="X126" s="45">
        <v>0.13954127956816201</v>
      </c>
      <c r="Y126" s="45">
        <f t="shared" si="3"/>
        <v>9.0458720431838002E-2</v>
      </c>
    </row>
    <row r="127" spans="1:25" ht="15" x14ac:dyDescent="0.2">
      <c r="B127" s="41">
        <v>12</v>
      </c>
      <c r="C127" s="42">
        <v>500</v>
      </c>
      <c r="D127" s="43">
        <v>3.2690000000000001</v>
      </c>
      <c r="E127" s="41">
        <v>25</v>
      </c>
      <c r="F127" s="44">
        <v>1.17247911599868E-2</v>
      </c>
      <c r="G127" s="42">
        <v>185.39660603616301</v>
      </c>
      <c r="H127" s="39">
        <v>0.20217332523659001</v>
      </c>
      <c r="I127" s="39">
        <v>0.17356283583266199</v>
      </c>
      <c r="J127" s="39">
        <v>0.375578993876996</v>
      </c>
      <c r="K127" s="39">
        <v>0.185867086967345</v>
      </c>
      <c r="L127" s="39">
        <v>0.343450710166534</v>
      </c>
      <c r="M127" s="39">
        <v>0.39388905102905503</v>
      </c>
      <c r="N127" s="48">
        <v>0.26562938657237817</v>
      </c>
      <c r="O127" s="39">
        <v>0.16883133097846201</v>
      </c>
      <c r="P127" s="39">
        <v>0.27582900174714697</v>
      </c>
      <c r="Q127" s="39">
        <v>0.22549606355808699</v>
      </c>
      <c r="R127" s="39">
        <v>0.20479627444146201</v>
      </c>
      <c r="S127" s="39">
        <v>0.137503163587996</v>
      </c>
      <c r="T127" s="39">
        <v>0.11459084199910199</v>
      </c>
      <c r="U127" s="43">
        <v>0.25</v>
      </c>
      <c r="V127" s="43">
        <v>0.123052887628468</v>
      </c>
      <c r="W127" s="43">
        <f t="shared" si="2"/>
        <v>0.126947112371532</v>
      </c>
      <c r="X127" s="45">
        <v>0.19311725018881401</v>
      </c>
      <c r="Y127" s="45">
        <f t="shared" si="3"/>
        <v>5.688274981118599E-2</v>
      </c>
    </row>
    <row r="128" spans="1:25" ht="15" x14ac:dyDescent="0.2">
      <c r="A128" s="40" t="s">
        <v>51</v>
      </c>
      <c r="B128" s="41">
        <v>12</v>
      </c>
      <c r="C128" s="42">
        <v>500</v>
      </c>
      <c r="D128" s="43">
        <v>3.2690000000000001</v>
      </c>
      <c r="E128" s="41">
        <v>25</v>
      </c>
      <c r="F128" s="44">
        <v>1.17247911599868E-2</v>
      </c>
      <c r="G128" s="42">
        <v>38.8928744315686</v>
      </c>
      <c r="H128" s="39">
        <v>0.103474462444596</v>
      </c>
      <c r="I128" s="39">
        <v>0.118672555494497</v>
      </c>
      <c r="J128" s="39">
        <v>0.262937479003861</v>
      </c>
      <c r="K128" s="39">
        <v>9.1097171658443707E-2</v>
      </c>
      <c r="L128" s="39">
        <v>0.211976391111864</v>
      </c>
      <c r="M128" s="39">
        <v>0.27575608799549101</v>
      </c>
      <c r="N128" s="48">
        <v>0.17362254187749063</v>
      </c>
      <c r="O128" s="39">
        <v>0.11051741448501699</v>
      </c>
      <c r="P128" s="39">
        <v>0.1931039369558</v>
      </c>
      <c r="Q128" s="39">
        <v>0.14939845211862701</v>
      </c>
      <c r="R128" s="39">
        <v>0.112408507985114</v>
      </c>
      <c r="S128" s="39">
        <v>8.8959187799522901E-2</v>
      </c>
      <c r="T128" s="39">
        <v>7.2132238693379605E-2</v>
      </c>
      <c r="U128" s="43">
        <v>0.18</v>
      </c>
      <c r="V128" s="43">
        <v>8.6147565717616198E-2</v>
      </c>
      <c r="W128" s="43">
        <f t="shared" si="2"/>
        <v>9.3852434282383795E-2</v>
      </c>
      <c r="X128" s="45">
        <v>9.4650621461280005E-2</v>
      </c>
      <c r="Y128" s="45">
        <f t="shared" si="3"/>
        <v>8.5349378538719989E-2</v>
      </c>
    </row>
    <row r="129" spans="1:25" ht="15" x14ac:dyDescent="0.2">
      <c r="B129" s="41">
        <v>12</v>
      </c>
      <c r="C129" s="42">
        <v>500</v>
      </c>
      <c r="D129" s="43">
        <v>3.2690000000000001</v>
      </c>
      <c r="E129" s="41">
        <v>25</v>
      </c>
      <c r="F129" s="44">
        <v>1.17247911599868E-2</v>
      </c>
      <c r="G129" s="42">
        <v>112.144740233866</v>
      </c>
      <c r="H129" s="39">
        <v>0.152823893840593</v>
      </c>
      <c r="I129" s="39">
        <v>0.14409201352575399</v>
      </c>
      <c r="J129" s="39">
        <v>0.319258236440428</v>
      </c>
      <c r="K129" s="39">
        <v>0.13430250855204301</v>
      </c>
      <c r="L129" s="39">
        <v>0.277713550639199</v>
      </c>
      <c r="M129" s="39">
        <v>0.33482256951227302</v>
      </c>
      <c r="N129" s="48">
        <v>0.21962596422493444</v>
      </c>
      <c r="O129" s="39">
        <v>0.13967437273173899</v>
      </c>
      <c r="P129" s="39">
        <v>0.234466469351474</v>
      </c>
      <c r="Q129" s="39">
        <v>0.18644534481755501</v>
      </c>
      <c r="R129" s="39">
        <v>0.156962897990093</v>
      </c>
      <c r="S129" s="39">
        <v>0.112789337104005</v>
      </c>
      <c r="T129" s="39">
        <v>9.2494982974628201E-2</v>
      </c>
      <c r="U129" s="43">
        <v>0.23</v>
      </c>
      <c r="V129" s="43">
        <v>0.104600226673042</v>
      </c>
      <c r="W129" s="43">
        <f t="shared" si="2"/>
        <v>0.12539977332695801</v>
      </c>
      <c r="X129" s="45">
        <v>0.13954127956816201</v>
      </c>
      <c r="Y129" s="45">
        <f t="shared" si="3"/>
        <v>9.0458720431838002E-2</v>
      </c>
    </row>
    <row r="130" spans="1:25" ht="15" x14ac:dyDescent="0.2">
      <c r="B130" s="41">
        <v>12</v>
      </c>
      <c r="C130" s="42">
        <v>500</v>
      </c>
      <c r="D130" s="43">
        <v>3.2690000000000001</v>
      </c>
      <c r="E130" s="41">
        <v>25</v>
      </c>
      <c r="F130" s="44">
        <v>1.17247911599868E-2</v>
      </c>
      <c r="G130" s="42">
        <v>185.39660603616301</v>
      </c>
      <c r="H130" s="39">
        <v>0.20217332523659001</v>
      </c>
      <c r="I130" s="39">
        <v>0.17356283583266199</v>
      </c>
      <c r="J130" s="39">
        <v>0.375578993876996</v>
      </c>
      <c r="K130" s="39">
        <v>0.185867086967345</v>
      </c>
      <c r="L130" s="39">
        <v>0.343450710166534</v>
      </c>
      <c r="M130" s="39">
        <v>0.39388905102905503</v>
      </c>
      <c r="N130" s="48">
        <v>0.26562938657237817</v>
      </c>
      <c r="O130" s="39">
        <v>0.16883133097846201</v>
      </c>
      <c r="P130" s="39">
        <v>0.27582900174714697</v>
      </c>
      <c r="Q130" s="39">
        <v>0.22549606355808699</v>
      </c>
      <c r="R130" s="39">
        <v>0.20479627444146201</v>
      </c>
      <c r="S130" s="39">
        <v>0.137503163587996</v>
      </c>
      <c r="T130" s="39">
        <v>0.11459084199910199</v>
      </c>
      <c r="U130" s="43">
        <v>0.25</v>
      </c>
      <c r="V130" s="43">
        <v>0.123052887628468</v>
      </c>
      <c r="W130" s="43">
        <f t="shared" si="2"/>
        <v>0.126947112371532</v>
      </c>
      <c r="X130" s="45">
        <v>0.19311725018881401</v>
      </c>
      <c r="Y130" s="45">
        <f t="shared" si="3"/>
        <v>5.688274981118599E-2</v>
      </c>
    </row>
    <row r="131" spans="1:25" ht="15" x14ac:dyDescent="0.2">
      <c r="A131" s="40" t="s">
        <v>52</v>
      </c>
      <c r="B131" s="41">
        <v>12</v>
      </c>
      <c r="C131" s="42">
        <v>500</v>
      </c>
      <c r="D131" s="43">
        <v>3.2690000000000001</v>
      </c>
      <c r="E131" s="41">
        <v>25</v>
      </c>
      <c r="F131" s="44">
        <v>1.20879120879121E-2</v>
      </c>
      <c r="G131" s="42">
        <v>72.228463882631004</v>
      </c>
      <c r="H131" s="39">
        <v>0.120790775953349</v>
      </c>
      <c r="I131" s="39">
        <v>0.11177549980360001</v>
      </c>
      <c r="J131" s="39">
        <v>0.23113702289701099</v>
      </c>
      <c r="K131" s="39">
        <v>0.107884330678079</v>
      </c>
      <c r="L131" s="39">
        <v>0.19540710997826599</v>
      </c>
      <c r="M131" s="39">
        <v>0.24808989435623699</v>
      </c>
      <c r="N131" s="48">
        <v>0.17673973343237412</v>
      </c>
      <c r="O131" s="39">
        <v>0.12522893792964501</v>
      </c>
      <c r="P131" s="39">
        <v>0.19253300190771699</v>
      </c>
      <c r="Q131" s="39">
        <v>0.16352007344361599</v>
      </c>
      <c r="R131" s="39">
        <v>0.12808435147077299</v>
      </c>
      <c r="S131" s="39">
        <v>9.7815896634644697E-2</v>
      </c>
      <c r="T131" s="39">
        <v>7.9122886955510993E-2</v>
      </c>
      <c r="U131" s="43">
        <v>0.15</v>
      </c>
      <c r="V131" s="43">
        <v>9.2384993595776899E-2</v>
      </c>
      <c r="W131" s="43">
        <f t="shared" ref="W131:W194" si="4">U131-V131</f>
        <v>5.7615006404223096E-2</v>
      </c>
      <c r="X131" s="45">
        <v>0.11009713975023699</v>
      </c>
      <c r="Y131" s="45">
        <f t="shared" ref="Y131:Y194" si="5">U131-X131</f>
        <v>3.9902860249763E-2</v>
      </c>
    </row>
    <row r="132" spans="1:25" ht="15" x14ac:dyDescent="0.2">
      <c r="B132" s="41">
        <v>12</v>
      </c>
      <c r="C132" s="42">
        <v>500</v>
      </c>
      <c r="D132" s="43">
        <v>3.2690000000000001</v>
      </c>
      <c r="E132" s="41">
        <v>25</v>
      </c>
      <c r="F132" s="44">
        <v>1.20879120879121E-2</v>
      </c>
      <c r="G132" s="42">
        <v>127.253993639138</v>
      </c>
      <c r="H132" s="39">
        <v>0.15026678983333899</v>
      </c>
      <c r="I132" s="39">
        <v>0.13905155757912199</v>
      </c>
      <c r="J132" s="39">
        <v>0.26579767328859399</v>
      </c>
      <c r="K132" s="39">
        <v>0.142666396244713</v>
      </c>
      <c r="L132" s="39">
        <v>0.23284553255639401</v>
      </c>
      <c r="M132" s="39">
        <v>0.285292749122597</v>
      </c>
      <c r="N132" s="48">
        <v>0.20892885639633829</v>
      </c>
      <c r="O132" s="39">
        <v>0.14734997549223899</v>
      </c>
      <c r="P132" s="39">
        <v>0.22140470313638</v>
      </c>
      <c r="Q132" s="39">
        <v>0.192017406316629</v>
      </c>
      <c r="R132" s="39">
        <v>0.16231782080294099</v>
      </c>
      <c r="S132" s="39">
        <v>0.11601300074561301</v>
      </c>
      <c r="T132" s="39">
        <v>9.5059434015686797E-2</v>
      </c>
      <c r="U132" s="43">
        <v>0.15</v>
      </c>
      <c r="V132" s="43">
        <v>0.106238784409197</v>
      </c>
      <c r="W132" s="43">
        <f t="shared" si="4"/>
        <v>4.3761215590802996E-2</v>
      </c>
      <c r="X132" s="45">
        <v>0.14559261818925501</v>
      </c>
      <c r="Y132" s="45">
        <f t="shared" si="5"/>
        <v>4.4073818107449869E-3</v>
      </c>
    </row>
    <row r="133" spans="1:25" ht="15" x14ac:dyDescent="0.2">
      <c r="B133" s="41">
        <v>12</v>
      </c>
      <c r="C133" s="42">
        <v>500</v>
      </c>
      <c r="D133" s="43">
        <v>3.2690000000000001</v>
      </c>
      <c r="E133" s="41">
        <v>25</v>
      </c>
      <c r="F133" s="44">
        <v>1.20879120879121E-2</v>
      </c>
      <c r="G133" s="42">
        <v>182.27952339564399</v>
      </c>
      <c r="H133" s="39">
        <v>0.17974280371332799</v>
      </c>
      <c r="I133" s="39">
        <v>0.16632761535464399</v>
      </c>
      <c r="J133" s="39">
        <v>0.300458323680177</v>
      </c>
      <c r="K133" s="39">
        <v>0.18230048371183399</v>
      </c>
      <c r="L133" s="39">
        <v>0.27028395513452302</v>
      </c>
      <c r="M133" s="39">
        <v>0.32249560388895598</v>
      </c>
      <c r="N133" s="48">
        <v>0.24111797936030255</v>
      </c>
      <c r="O133" s="39">
        <v>0.169471013054834</v>
      </c>
      <c r="P133" s="39">
        <v>0.250276404365044</v>
      </c>
      <c r="Q133" s="39">
        <v>0.221543371840981</v>
      </c>
      <c r="R133" s="39">
        <v>0.19831281193193101</v>
      </c>
      <c r="S133" s="39">
        <v>0.13471965194921101</v>
      </c>
      <c r="T133" s="39">
        <v>0.112057848743672</v>
      </c>
      <c r="U133" s="43">
        <v>0.18</v>
      </c>
      <c r="V133" s="43">
        <v>0.120092575222617</v>
      </c>
      <c r="W133" s="43">
        <f t="shared" si="4"/>
        <v>5.9907424777382992E-2</v>
      </c>
      <c r="X133" s="45">
        <v>0.18603963806057899</v>
      </c>
      <c r="Y133" s="45">
        <f t="shared" si="5"/>
        <v>-6.0396380605790001E-3</v>
      </c>
    </row>
    <row r="134" spans="1:25" ht="15" x14ac:dyDescent="0.2">
      <c r="A134" s="40" t="s">
        <v>53</v>
      </c>
      <c r="B134" s="41">
        <v>12</v>
      </c>
      <c r="C134" s="42">
        <v>500</v>
      </c>
      <c r="D134" s="43">
        <v>3.2690000000000001</v>
      </c>
      <c r="E134" s="41">
        <v>25</v>
      </c>
      <c r="F134" s="44">
        <v>1.20879120879121E-2</v>
      </c>
      <c r="G134" s="42">
        <v>72.228463882631004</v>
      </c>
      <c r="H134" s="39">
        <v>0.120790775953349</v>
      </c>
      <c r="I134" s="39">
        <v>0.11177549980360001</v>
      </c>
      <c r="J134" s="39">
        <v>0.23113702289701099</v>
      </c>
      <c r="K134" s="39">
        <v>0.107884330678079</v>
      </c>
      <c r="L134" s="39">
        <v>0.19540710997826599</v>
      </c>
      <c r="M134" s="39">
        <v>0.24808989435623699</v>
      </c>
      <c r="N134" s="48">
        <v>0.17673973343237412</v>
      </c>
      <c r="O134" s="39">
        <v>0.12522893792964501</v>
      </c>
      <c r="P134" s="39">
        <v>0.19253300190771699</v>
      </c>
      <c r="Q134" s="39">
        <v>0.16352007344361599</v>
      </c>
      <c r="R134" s="39">
        <v>0.12808435147077299</v>
      </c>
      <c r="S134" s="39">
        <v>9.7815896634644697E-2</v>
      </c>
      <c r="T134" s="39">
        <v>7.9122886955510993E-2</v>
      </c>
      <c r="U134" s="43">
        <v>0.18</v>
      </c>
      <c r="V134" s="43">
        <v>9.2384993595776899E-2</v>
      </c>
      <c r="W134" s="43">
        <f t="shared" si="4"/>
        <v>8.7615006404223095E-2</v>
      </c>
      <c r="X134" s="45">
        <v>0.11009713975023699</v>
      </c>
      <c r="Y134" s="45">
        <f t="shared" si="5"/>
        <v>6.9902860249762999E-2</v>
      </c>
    </row>
    <row r="135" spans="1:25" ht="15" x14ac:dyDescent="0.2">
      <c r="B135" s="41">
        <v>12</v>
      </c>
      <c r="C135" s="42">
        <v>500</v>
      </c>
      <c r="D135" s="43">
        <v>3.2690000000000001</v>
      </c>
      <c r="E135" s="41">
        <v>25</v>
      </c>
      <c r="F135" s="44">
        <v>1.20879120879121E-2</v>
      </c>
      <c r="G135" s="42">
        <v>127.253993639138</v>
      </c>
      <c r="H135" s="39">
        <v>0.15026678983333899</v>
      </c>
      <c r="I135" s="39">
        <v>0.13905155757912199</v>
      </c>
      <c r="J135" s="39">
        <v>0.26579767328859399</v>
      </c>
      <c r="K135" s="39">
        <v>0.142666396244713</v>
      </c>
      <c r="L135" s="39">
        <v>0.23284553255639401</v>
      </c>
      <c r="M135" s="39">
        <v>0.285292749122597</v>
      </c>
      <c r="N135" s="48">
        <v>0.20892885639633829</v>
      </c>
      <c r="O135" s="39">
        <v>0.14734997549223899</v>
      </c>
      <c r="P135" s="39">
        <v>0.22140470313638</v>
      </c>
      <c r="Q135" s="39">
        <v>0.192017406316629</v>
      </c>
      <c r="R135" s="39">
        <v>0.16231782080294099</v>
      </c>
      <c r="S135" s="39">
        <v>0.11601300074561301</v>
      </c>
      <c r="T135" s="39">
        <v>9.5059434015686797E-2</v>
      </c>
      <c r="U135" s="43">
        <v>0.2</v>
      </c>
      <c r="V135" s="43">
        <v>0.106238784409197</v>
      </c>
      <c r="W135" s="43">
        <f t="shared" si="4"/>
        <v>9.3761215590803013E-2</v>
      </c>
      <c r="X135" s="45">
        <v>0.14559261818925501</v>
      </c>
      <c r="Y135" s="45">
        <f t="shared" si="5"/>
        <v>5.4407381810745004E-2</v>
      </c>
    </row>
    <row r="136" spans="1:25" ht="15" x14ac:dyDescent="0.2">
      <c r="B136" s="41">
        <v>12</v>
      </c>
      <c r="C136" s="42">
        <v>500</v>
      </c>
      <c r="D136" s="43">
        <v>3.2690000000000001</v>
      </c>
      <c r="E136" s="41">
        <v>25</v>
      </c>
      <c r="F136" s="44">
        <v>1.20879120879121E-2</v>
      </c>
      <c r="G136" s="42">
        <v>182.27952339564399</v>
      </c>
      <c r="H136" s="39">
        <v>0.17974280371332799</v>
      </c>
      <c r="I136" s="39">
        <v>0.16632761535464399</v>
      </c>
      <c r="J136" s="39">
        <v>0.300458323680177</v>
      </c>
      <c r="K136" s="39">
        <v>0.18230048371183399</v>
      </c>
      <c r="L136" s="39">
        <v>0.27028395513452302</v>
      </c>
      <c r="M136" s="39">
        <v>0.32249560388895598</v>
      </c>
      <c r="N136" s="48">
        <v>0.24111797936030255</v>
      </c>
      <c r="O136" s="39">
        <v>0.169471013054834</v>
      </c>
      <c r="P136" s="39">
        <v>0.250276404365044</v>
      </c>
      <c r="Q136" s="39">
        <v>0.221543371840981</v>
      </c>
      <c r="R136" s="39">
        <v>0.19831281193193101</v>
      </c>
      <c r="S136" s="39">
        <v>0.13471965194921101</v>
      </c>
      <c r="T136" s="39">
        <v>0.112057848743672</v>
      </c>
      <c r="U136" s="43">
        <v>0.23</v>
      </c>
      <c r="V136" s="43">
        <v>0.120092575222617</v>
      </c>
      <c r="W136" s="43">
        <f t="shared" si="4"/>
        <v>0.10990742477738301</v>
      </c>
      <c r="X136" s="45">
        <v>0.18603963806057899</v>
      </c>
      <c r="Y136" s="45">
        <f t="shared" si="5"/>
        <v>4.3960361939421017E-2</v>
      </c>
    </row>
    <row r="137" spans="1:25" ht="15" x14ac:dyDescent="0.2">
      <c r="A137" s="40" t="s">
        <v>54</v>
      </c>
      <c r="B137" s="41">
        <v>10</v>
      </c>
      <c r="C137" s="42">
        <v>528</v>
      </c>
      <c r="D137" s="43">
        <v>2.8</v>
      </c>
      <c r="E137" s="41">
        <v>40</v>
      </c>
      <c r="F137" s="44">
        <v>8.2631578947368403E-3</v>
      </c>
      <c r="G137" s="42">
        <v>99.781101172276607</v>
      </c>
      <c r="H137" s="39">
        <v>0.16512721124267701</v>
      </c>
      <c r="I137" s="39">
        <v>0.209356261929807</v>
      </c>
      <c r="J137" s="39">
        <v>0.231875216932936</v>
      </c>
      <c r="K137" s="39">
        <v>0.134918611549185</v>
      </c>
      <c r="L137" s="39">
        <v>0.31615531622056903</v>
      </c>
      <c r="M137" s="39">
        <v>0.329727298329208</v>
      </c>
      <c r="N137" s="48">
        <v>0.19608319631557314</v>
      </c>
      <c r="O137" s="39">
        <v>0.13081543976903501</v>
      </c>
      <c r="P137" s="39">
        <v>0.285258371268647</v>
      </c>
      <c r="Q137" s="39">
        <v>0.26614281150680602</v>
      </c>
      <c r="R137" s="39">
        <v>0.24237273712832</v>
      </c>
      <c r="S137" s="39">
        <v>0.16689907169898499</v>
      </c>
      <c r="T137" s="39">
        <v>0.14775687790169201</v>
      </c>
      <c r="U137" s="43">
        <v>0.16</v>
      </c>
      <c r="V137" s="43">
        <v>0.16285127956433501</v>
      </c>
      <c r="W137" s="43">
        <f t="shared" si="4"/>
        <v>-2.8512795643350075E-3</v>
      </c>
      <c r="X137" s="45">
        <v>0.20977002213391199</v>
      </c>
      <c r="Y137" s="45">
        <f t="shared" si="5"/>
        <v>-4.977002213391199E-2</v>
      </c>
    </row>
    <row r="138" spans="1:25" ht="15" x14ac:dyDescent="0.2">
      <c r="B138" s="41">
        <v>10</v>
      </c>
      <c r="C138" s="42">
        <v>528</v>
      </c>
      <c r="D138" s="43">
        <v>2.8</v>
      </c>
      <c r="E138" s="41">
        <v>40</v>
      </c>
      <c r="F138" s="44">
        <v>8.2631578947368403E-3</v>
      </c>
      <c r="G138" s="42">
        <v>133.40098997661701</v>
      </c>
      <c r="H138" s="39">
        <v>0.19410888513240501</v>
      </c>
      <c r="I138" s="39">
        <v>0.22467501280271901</v>
      </c>
      <c r="J138" s="39">
        <v>0.24884169622071201</v>
      </c>
      <c r="K138" s="39">
        <v>0.15538514691208999</v>
      </c>
      <c r="L138" s="39">
        <v>0.35364191324925498</v>
      </c>
      <c r="M138" s="39">
        <v>0.35385368601183298</v>
      </c>
      <c r="N138" s="48">
        <v>0.21323339879915429</v>
      </c>
      <c r="O138" s="39">
        <v>0.14151720856094599</v>
      </c>
      <c r="P138" s="39">
        <v>0.30613093502001099</v>
      </c>
      <c r="Q138" s="39">
        <v>0.29093276064167001</v>
      </c>
      <c r="R138" s="39">
        <v>0.27233102363950401</v>
      </c>
      <c r="S138" s="39">
        <v>0.18035790264186499</v>
      </c>
      <c r="T138" s="39">
        <v>0.16063164772423399</v>
      </c>
      <c r="U138" s="43">
        <v>0.18</v>
      </c>
      <c r="V138" s="43">
        <v>0.17476722684953</v>
      </c>
      <c r="W138" s="43">
        <f t="shared" si="4"/>
        <v>5.2327731504699937E-3</v>
      </c>
      <c r="X138" s="45">
        <v>0.24159117361763999</v>
      </c>
      <c r="Y138" s="45">
        <f t="shared" si="5"/>
        <v>-6.1591173617639994E-2</v>
      </c>
    </row>
    <row r="139" spans="1:25" ht="15" x14ac:dyDescent="0.2">
      <c r="B139" s="41">
        <v>10</v>
      </c>
      <c r="C139" s="42">
        <v>528</v>
      </c>
      <c r="D139" s="43">
        <v>2.8</v>
      </c>
      <c r="E139" s="41">
        <v>40</v>
      </c>
      <c r="F139" s="44">
        <v>8.2631578947368403E-3</v>
      </c>
      <c r="G139" s="42">
        <v>171.50353062153599</v>
      </c>
      <c r="H139" s="39">
        <v>0.22695478220743001</v>
      </c>
      <c r="I139" s="39">
        <v>0.24203626379202101</v>
      </c>
      <c r="J139" s="39">
        <v>0.26807037274685802</v>
      </c>
      <c r="K139" s="39">
        <v>0.18032703134101599</v>
      </c>
      <c r="L139" s="39">
        <v>0.39612672321509801</v>
      </c>
      <c r="M139" s="39">
        <v>0.38119692538547501</v>
      </c>
      <c r="N139" s="48">
        <v>0.23267029494721281</v>
      </c>
      <c r="O139" s="39">
        <v>0.153645879858444</v>
      </c>
      <c r="P139" s="39">
        <v>0.32978650727155701</v>
      </c>
      <c r="Q139" s="39">
        <v>0.319575246367168</v>
      </c>
      <c r="R139" s="39">
        <v>0.30720169296391497</v>
      </c>
      <c r="S139" s="39">
        <v>0.195704579187509</v>
      </c>
      <c r="T139" s="39">
        <v>0.17556318391030201</v>
      </c>
      <c r="U139" s="43">
        <v>0.2</v>
      </c>
      <c r="V139" s="43">
        <v>0.18827196710608499</v>
      </c>
      <c r="W139" s="43">
        <f t="shared" si="4"/>
        <v>1.1728032893915025E-2</v>
      </c>
      <c r="X139" s="45">
        <v>0.28037055022581098</v>
      </c>
      <c r="Y139" s="45">
        <f t="shared" si="5"/>
        <v>-8.0370550225810966E-2</v>
      </c>
    </row>
    <row r="140" spans="1:25" ht="15" x14ac:dyDescent="0.2">
      <c r="B140" s="41">
        <v>10</v>
      </c>
      <c r="C140" s="42">
        <v>528</v>
      </c>
      <c r="D140" s="43">
        <v>2.8</v>
      </c>
      <c r="E140" s="41">
        <v>40</v>
      </c>
      <c r="F140" s="44">
        <v>8.2631578947368403E-3</v>
      </c>
      <c r="G140" s="42">
        <v>205.12341942587599</v>
      </c>
      <c r="H140" s="39">
        <v>0.25593645609715798</v>
      </c>
      <c r="I140" s="39">
        <v>0.25735501466493299</v>
      </c>
      <c r="J140" s="39">
        <v>0.28503685203463403</v>
      </c>
      <c r="K140" s="39">
        <v>0.20387558614680501</v>
      </c>
      <c r="L140" s="39">
        <v>0.43361332024378302</v>
      </c>
      <c r="M140" s="39">
        <v>0.40532331306809999</v>
      </c>
      <c r="N140" s="48">
        <v>0.24982049743079385</v>
      </c>
      <c r="O140" s="39">
        <v>0.164347648650355</v>
      </c>
      <c r="P140" s="39">
        <v>0.35065907102292199</v>
      </c>
      <c r="Q140" s="39">
        <v>0.34525739406130102</v>
      </c>
      <c r="R140" s="39">
        <v>0.338662113309941</v>
      </c>
      <c r="S140" s="39">
        <v>0.20932811861929301</v>
      </c>
      <c r="T140" s="39">
        <v>0.18903818382788001</v>
      </c>
      <c r="U140" s="43">
        <v>0.22</v>
      </c>
      <c r="V140" s="43">
        <v>0.20018791439128</v>
      </c>
      <c r="W140" s="43">
        <f t="shared" si="4"/>
        <v>1.9812085608719998E-2</v>
      </c>
      <c r="X140" s="45">
        <v>0.31698359275650101</v>
      </c>
      <c r="Y140" s="45">
        <f t="shared" si="5"/>
        <v>-9.6983592756501008E-2</v>
      </c>
    </row>
    <row r="141" spans="1:25" ht="15" x14ac:dyDescent="0.2">
      <c r="B141" s="41">
        <v>10</v>
      </c>
      <c r="C141" s="42">
        <v>528</v>
      </c>
      <c r="D141" s="43">
        <v>2.8</v>
      </c>
      <c r="E141" s="41">
        <v>40</v>
      </c>
      <c r="F141" s="44">
        <v>8.2631578947368403E-3</v>
      </c>
      <c r="G141" s="42">
        <v>243.225960070795</v>
      </c>
      <c r="H141" s="39">
        <v>0.28878235317218298</v>
      </c>
      <c r="I141" s="39">
        <v>0.27471626565423402</v>
      </c>
      <c r="J141" s="39">
        <v>0.30426552856077999</v>
      </c>
      <c r="K141" s="39">
        <v>0.23231042594433299</v>
      </c>
      <c r="L141" s="39">
        <v>0.47609813020962599</v>
      </c>
      <c r="M141" s="39">
        <v>0.43266655244174101</v>
      </c>
      <c r="N141" s="48">
        <v>0.26925739357885237</v>
      </c>
      <c r="O141" s="39">
        <v>0.17647631994785301</v>
      </c>
      <c r="P141" s="39">
        <v>0.37431464327446801</v>
      </c>
      <c r="Q141" s="39">
        <v>0.37475886543331399</v>
      </c>
      <c r="R141" s="39">
        <v>0.37499532955053599</v>
      </c>
      <c r="S141" s="39">
        <v>0.22489641587883999</v>
      </c>
      <c r="T141" s="39">
        <v>0.204684931881469</v>
      </c>
      <c r="U141" s="43">
        <v>0.24</v>
      </c>
      <c r="V141" s="43">
        <v>0.21372760574098101</v>
      </c>
      <c r="W141" s="43">
        <f t="shared" si="4"/>
        <v>2.6272394259018977E-2</v>
      </c>
      <c r="X141" s="45">
        <v>0.361212647008122</v>
      </c>
      <c r="Y141" s="45">
        <f t="shared" si="5"/>
        <v>-0.12121264700812201</v>
      </c>
    </row>
    <row r="142" spans="1:25" ht="15" x14ac:dyDescent="0.2">
      <c r="B142" s="41">
        <v>10</v>
      </c>
      <c r="C142" s="42">
        <v>528</v>
      </c>
      <c r="D142" s="43">
        <v>2.8</v>
      </c>
      <c r="E142" s="41">
        <v>40</v>
      </c>
      <c r="F142" s="44">
        <v>8.2631578947368403E-3</v>
      </c>
      <c r="G142" s="42">
        <v>276.845848875135</v>
      </c>
      <c r="H142" s="39">
        <v>0.31776402706190998</v>
      </c>
      <c r="I142" s="39">
        <v>0.29003501652714703</v>
      </c>
      <c r="J142" s="39">
        <v>0.32123200784855599</v>
      </c>
      <c r="K142" s="39">
        <v>0.25894100019300598</v>
      </c>
      <c r="L142" s="39">
        <v>0.51358472723831095</v>
      </c>
      <c r="M142" s="39">
        <v>0.456792940124366</v>
      </c>
      <c r="N142" s="48">
        <v>0.28640759606243349</v>
      </c>
      <c r="O142" s="39">
        <v>0.18717808873976299</v>
      </c>
      <c r="P142" s="39">
        <v>0.39518720702583199</v>
      </c>
      <c r="Q142" s="39">
        <v>0.40109118608216698</v>
      </c>
      <c r="R142" s="39">
        <v>0.41579389674815698</v>
      </c>
      <c r="S142" s="39">
        <v>0.25655858472732102</v>
      </c>
      <c r="T142" s="39">
        <v>0.23663408282187601</v>
      </c>
      <c r="U142" s="43">
        <v>0.26</v>
      </c>
      <c r="V142" s="43">
        <v>0.243517473953969</v>
      </c>
      <c r="W142" s="43">
        <f t="shared" si="4"/>
        <v>1.648252604603101E-2</v>
      </c>
      <c r="X142" s="45">
        <v>0.41114123614227499</v>
      </c>
      <c r="Y142" s="45">
        <f t="shared" si="5"/>
        <v>-0.15114123614227498</v>
      </c>
    </row>
    <row r="143" spans="1:25" ht="15" x14ac:dyDescent="0.2">
      <c r="B143" s="41">
        <v>10</v>
      </c>
      <c r="C143" s="42">
        <v>528</v>
      </c>
      <c r="D143" s="43">
        <v>2.8</v>
      </c>
      <c r="E143" s="41">
        <v>40</v>
      </c>
      <c r="F143" s="44">
        <v>8.2631578947368403E-3</v>
      </c>
      <c r="G143" s="42">
        <v>317.18971544034298</v>
      </c>
      <c r="H143" s="39">
        <v>0.35254203572958398</v>
      </c>
      <c r="I143" s="39">
        <v>0.31057003114677001</v>
      </c>
      <c r="J143" s="39">
        <v>0.34159178299388698</v>
      </c>
      <c r="K143" s="39">
        <v>0.29280468882169902</v>
      </c>
      <c r="L143" s="39">
        <v>0.55856864367273296</v>
      </c>
      <c r="M143" s="39">
        <v>0.48574460534351699</v>
      </c>
      <c r="N143" s="48">
        <v>0.3069878390427308</v>
      </c>
      <c r="O143" s="39">
        <v>0.20002021129005601</v>
      </c>
      <c r="P143" s="39">
        <v>0.42023428352747</v>
      </c>
      <c r="Q143" s="39">
        <v>0.43301290870637399</v>
      </c>
      <c r="R143" s="39">
        <v>0.463752248681288</v>
      </c>
      <c r="S143" s="39">
        <v>0.29465510072300799</v>
      </c>
      <c r="T143" s="39">
        <v>0.27534445632166898</v>
      </c>
      <c r="U143" s="43">
        <v>0.28000000000000003</v>
      </c>
      <c r="V143" s="43">
        <v>0.27926531580955499</v>
      </c>
      <c r="W143" s="43">
        <f t="shared" si="4"/>
        <v>7.3468419044503408E-4</v>
      </c>
      <c r="X143" s="45">
        <v>0.47105554310325798</v>
      </c>
      <c r="Y143" s="45">
        <f t="shared" si="5"/>
        <v>-0.19105554310325795</v>
      </c>
    </row>
    <row r="144" spans="1:25" ht="15" x14ac:dyDescent="0.2">
      <c r="A144" s="40" t="s">
        <v>55</v>
      </c>
      <c r="B144" s="41">
        <v>10</v>
      </c>
      <c r="C144" s="42">
        <v>528</v>
      </c>
      <c r="D144" s="43">
        <v>2.8</v>
      </c>
      <c r="E144" s="41">
        <v>40</v>
      </c>
      <c r="F144" s="44">
        <v>8.2631578947368403E-3</v>
      </c>
      <c r="G144" s="42">
        <v>61.678560527357803</v>
      </c>
      <c r="H144" s="39">
        <v>0.13228131416765199</v>
      </c>
      <c r="I144" s="39">
        <v>0.191995010940506</v>
      </c>
      <c r="J144" s="39">
        <v>0.21264654040679001</v>
      </c>
      <c r="K144" s="39">
        <v>0.11346968248886199</v>
      </c>
      <c r="L144" s="39">
        <v>0.273670506254726</v>
      </c>
      <c r="M144" s="39">
        <v>0.30238405895556703</v>
      </c>
      <c r="N144" s="48">
        <v>0.17664630016751462</v>
      </c>
      <c r="O144" s="39">
        <v>0.118686768471537</v>
      </c>
      <c r="P144" s="39">
        <v>0.26160279901709999</v>
      </c>
      <c r="Q144" s="39">
        <v>0.23870606841661501</v>
      </c>
      <c r="R144" s="39">
        <v>0.209494178149251</v>
      </c>
      <c r="S144" s="39">
        <v>0.15173906477409899</v>
      </c>
      <c r="T144" s="39">
        <v>0.13350560248999799</v>
      </c>
      <c r="U144" s="43">
        <v>0.15</v>
      </c>
      <c r="V144" s="43">
        <v>0.14934653930778</v>
      </c>
      <c r="W144" s="43">
        <f t="shared" si="4"/>
        <v>6.5346069221999814E-4</v>
      </c>
      <c r="X144" s="45">
        <v>0.176421455378964</v>
      </c>
      <c r="Y144" s="45">
        <f t="shared" si="5"/>
        <v>-2.6421455378964009E-2</v>
      </c>
    </row>
    <row r="145" spans="1:25" ht="15" x14ac:dyDescent="0.2">
      <c r="B145" s="41">
        <v>10</v>
      </c>
      <c r="C145" s="42">
        <v>528</v>
      </c>
      <c r="D145" s="43">
        <v>2.8</v>
      </c>
      <c r="E145" s="41">
        <v>40</v>
      </c>
      <c r="F145" s="44">
        <v>8.2631578947368403E-3</v>
      </c>
      <c r="G145" s="42">
        <v>99.781101172276607</v>
      </c>
      <c r="H145" s="39">
        <v>0.16512721124267701</v>
      </c>
      <c r="I145" s="39">
        <v>0.209356261929807</v>
      </c>
      <c r="J145" s="39">
        <v>0.231875216932936</v>
      </c>
      <c r="K145" s="39">
        <v>0.134918611549185</v>
      </c>
      <c r="L145" s="39">
        <v>0.31615531622056903</v>
      </c>
      <c r="M145" s="39">
        <v>0.329727298329208</v>
      </c>
      <c r="N145" s="48">
        <v>0.19608319631557314</v>
      </c>
      <c r="O145" s="39">
        <v>0.13081543976903501</v>
      </c>
      <c r="P145" s="39">
        <v>0.285258371268647</v>
      </c>
      <c r="Q145" s="39">
        <v>0.26614281150680602</v>
      </c>
      <c r="R145" s="39">
        <v>0.24237273712832</v>
      </c>
      <c r="S145" s="39">
        <v>0.16689907169898499</v>
      </c>
      <c r="T145" s="39">
        <v>0.14775687790169201</v>
      </c>
      <c r="U145" s="43">
        <v>0.17</v>
      </c>
      <c r="V145" s="43">
        <v>0.16285127956433501</v>
      </c>
      <c r="W145" s="43">
        <f t="shared" si="4"/>
        <v>7.1487204356650014E-3</v>
      </c>
      <c r="X145" s="45">
        <v>0.20977002213391199</v>
      </c>
      <c r="Y145" s="45">
        <f t="shared" si="5"/>
        <v>-3.9770022133911981E-2</v>
      </c>
    </row>
    <row r="146" spans="1:25" ht="15" x14ac:dyDescent="0.2">
      <c r="B146" s="41">
        <v>10</v>
      </c>
      <c r="C146" s="42">
        <v>528</v>
      </c>
      <c r="D146" s="43">
        <v>2.8</v>
      </c>
      <c r="E146" s="41">
        <v>40</v>
      </c>
      <c r="F146" s="44">
        <v>8.2631578947368403E-3</v>
      </c>
      <c r="G146" s="42">
        <v>135.64231589690601</v>
      </c>
      <c r="H146" s="39">
        <v>0.19604099672505401</v>
      </c>
      <c r="I146" s="39">
        <v>0.22569626286091399</v>
      </c>
      <c r="J146" s="39">
        <v>0.24997279483989701</v>
      </c>
      <c r="K146" s="39">
        <v>0.156800949593665</v>
      </c>
      <c r="L146" s="39">
        <v>0.35614101971783302</v>
      </c>
      <c r="M146" s="39">
        <v>0.355462111857342</v>
      </c>
      <c r="N146" s="48">
        <v>0.21437674563139295</v>
      </c>
      <c r="O146" s="39">
        <v>0.14223065981374</v>
      </c>
      <c r="P146" s="39">
        <v>0.30752243927010198</v>
      </c>
      <c r="Q146" s="39">
        <v>0.292602451039504</v>
      </c>
      <c r="R146" s="39">
        <v>0.27435665355217498</v>
      </c>
      <c r="S146" s="39">
        <v>0.18125790317953899</v>
      </c>
      <c r="T146" s="39">
        <v>0.16149996954731999</v>
      </c>
      <c r="U146" s="43">
        <v>0.19</v>
      </c>
      <c r="V146" s="43">
        <v>0.17556162333521</v>
      </c>
      <c r="W146" s="43">
        <f t="shared" si="4"/>
        <v>1.4438376664790004E-2</v>
      </c>
      <c r="X146" s="45">
        <v>0.243792448567338</v>
      </c>
      <c r="Y146" s="45">
        <f t="shared" si="5"/>
        <v>-5.3792448567338003E-2</v>
      </c>
    </row>
    <row r="147" spans="1:25" ht="15" x14ac:dyDescent="0.2">
      <c r="B147" s="41">
        <v>10</v>
      </c>
      <c r="C147" s="42">
        <v>528</v>
      </c>
      <c r="D147" s="43">
        <v>2.8</v>
      </c>
      <c r="E147" s="41">
        <v>40</v>
      </c>
      <c r="F147" s="44">
        <v>8.2631578947368403E-3</v>
      </c>
      <c r="G147" s="42">
        <v>168.141541741102</v>
      </c>
      <c r="H147" s="39">
        <v>0.22405661481845701</v>
      </c>
      <c r="I147" s="39">
        <v>0.24050438870472901</v>
      </c>
      <c r="J147" s="39">
        <v>0.26637372481808003</v>
      </c>
      <c r="K147" s="39">
        <v>0.178051634174199</v>
      </c>
      <c r="L147" s="39">
        <v>0.39237806351222898</v>
      </c>
      <c r="M147" s="39">
        <v>0.37878428661721197</v>
      </c>
      <c r="N147" s="48">
        <v>0.23095527469885477</v>
      </c>
      <c r="O147" s="39">
        <v>0.15257570297925299</v>
      </c>
      <c r="P147" s="39">
        <v>0.32769925089642099</v>
      </c>
      <c r="Q147" s="39">
        <v>0.31702702836497598</v>
      </c>
      <c r="R147" s="39">
        <v>0.30408944906393298</v>
      </c>
      <c r="S147" s="39">
        <v>0.19434647163506</v>
      </c>
      <c r="T147" s="39">
        <v>0.174231158600682</v>
      </c>
      <c r="U147" s="43">
        <v>0.2</v>
      </c>
      <c r="V147" s="43">
        <v>0.187080372377565</v>
      </c>
      <c r="W147" s="43">
        <f t="shared" si="4"/>
        <v>1.2919627622435009E-2</v>
      </c>
      <c r="X147" s="45">
        <v>0.27683278691379598</v>
      </c>
      <c r="Y147" s="45">
        <f t="shared" si="5"/>
        <v>-7.683278691379597E-2</v>
      </c>
    </row>
    <row r="148" spans="1:25" ht="15" x14ac:dyDescent="0.2">
      <c r="B148" s="41">
        <v>10</v>
      </c>
      <c r="C148" s="42">
        <v>528</v>
      </c>
      <c r="D148" s="43">
        <v>2.8</v>
      </c>
      <c r="E148" s="41">
        <v>40</v>
      </c>
      <c r="F148" s="44">
        <v>8.2631578947368403E-3</v>
      </c>
      <c r="G148" s="42">
        <v>205.12341942587599</v>
      </c>
      <c r="H148" s="39">
        <v>0.25593645609715798</v>
      </c>
      <c r="I148" s="39">
        <v>0.25735501466493299</v>
      </c>
      <c r="J148" s="39">
        <v>0.28503685203463403</v>
      </c>
      <c r="K148" s="39">
        <v>0.20387558614680501</v>
      </c>
      <c r="L148" s="39">
        <v>0.43361332024378302</v>
      </c>
      <c r="M148" s="39">
        <v>0.40532331306809999</v>
      </c>
      <c r="N148" s="48">
        <v>0.24982049743079385</v>
      </c>
      <c r="O148" s="39">
        <v>0.164347648650355</v>
      </c>
      <c r="P148" s="39">
        <v>0.35065907102292199</v>
      </c>
      <c r="Q148" s="39">
        <v>0.34525739406130102</v>
      </c>
      <c r="R148" s="39">
        <v>0.338662113309941</v>
      </c>
      <c r="S148" s="39">
        <v>0.20932811861929301</v>
      </c>
      <c r="T148" s="39">
        <v>0.18903818382788001</v>
      </c>
      <c r="U148" s="43">
        <v>0.22</v>
      </c>
      <c r="V148" s="43">
        <v>0.20018791439128</v>
      </c>
      <c r="W148" s="43">
        <f t="shared" si="4"/>
        <v>1.9812085608719998E-2</v>
      </c>
      <c r="X148" s="45">
        <v>0.31698359275650101</v>
      </c>
      <c r="Y148" s="45">
        <f t="shared" si="5"/>
        <v>-9.6983592756501008E-2</v>
      </c>
    </row>
    <row r="149" spans="1:25" ht="15" x14ac:dyDescent="0.2">
      <c r="B149" s="41">
        <v>10</v>
      </c>
      <c r="C149" s="42">
        <v>528</v>
      </c>
      <c r="D149" s="43">
        <v>2.8</v>
      </c>
      <c r="E149" s="41">
        <v>40</v>
      </c>
      <c r="F149" s="44">
        <v>8.2631578947368403E-3</v>
      </c>
      <c r="G149" s="42">
        <v>242.10529711065001</v>
      </c>
      <c r="H149" s="39">
        <v>0.28781629737585801</v>
      </c>
      <c r="I149" s="39">
        <v>0.27420564062513703</v>
      </c>
      <c r="J149" s="39">
        <v>0.30369997925118702</v>
      </c>
      <c r="K149" s="39">
        <v>0.23144762102217101</v>
      </c>
      <c r="L149" s="39">
        <v>0.474848576975336</v>
      </c>
      <c r="M149" s="39">
        <v>0.431862339518987</v>
      </c>
      <c r="N149" s="48">
        <v>0.26868572016273307</v>
      </c>
      <c r="O149" s="39">
        <v>0.17611959432145599</v>
      </c>
      <c r="P149" s="39">
        <v>0.37361889114942198</v>
      </c>
      <c r="Q149" s="39">
        <v>0.37388575167897697</v>
      </c>
      <c r="R149" s="39">
        <v>0.37390093350476</v>
      </c>
      <c r="S149" s="39">
        <v>0.224403186199577</v>
      </c>
      <c r="T149" s="39">
        <v>0.20418565206210701</v>
      </c>
      <c r="U149" s="43">
        <v>0.24</v>
      </c>
      <c r="V149" s="43">
        <v>0.213295456404995</v>
      </c>
      <c r="W149" s="43">
        <f t="shared" si="4"/>
        <v>2.6704543595004987E-2</v>
      </c>
      <c r="X149" s="45">
        <v>0.35985229930240398</v>
      </c>
      <c r="Y149" s="45">
        <f t="shared" si="5"/>
        <v>-0.11985229930240399</v>
      </c>
    </row>
    <row r="150" spans="1:25" ht="15" x14ac:dyDescent="0.2">
      <c r="B150" s="41">
        <v>10</v>
      </c>
      <c r="C150" s="42">
        <v>528</v>
      </c>
      <c r="D150" s="43">
        <v>2.8</v>
      </c>
      <c r="E150" s="41">
        <v>40</v>
      </c>
      <c r="F150" s="44">
        <v>8.2631578947368403E-3</v>
      </c>
      <c r="G150" s="42">
        <v>273.48385999470099</v>
      </c>
      <c r="H150" s="39">
        <v>0.31486585967293801</v>
      </c>
      <c r="I150" s="39">
        <v>0.288503141439856</v>
      </c>
      <c r="J150" s="39">
        <v>0.31953535991977799</v>
      </c>
      <c r="K150" s="39">
        <v>0.25621293142051599</v>
      </c>
      <c r="L150" s="39">
        <v>0.50983606753544297</v>
      </c>
      <c r="M150" s="39">
        <v>0.45438030135610402</v>
      </c>
      <c r="N150" s="48">
        <v>0.28469257581407542</v>
      </c>
      <c r="O150" s="39">
        <v>0.18610791186057199</v>
      </c>
      <c r="P150" s="39">
        <v>0.39309995065069597</v>
      </c>
      <c r="Q150" s="39">
        <v>0.39844633749403102</v>
      </c>
      <c r="R150" s="39">
        <v>0.41174918970052599</v>
      </c>
      <c r="S150" s="39">
        <v>0.25338889352278599</v>
      </c>
      <c r="T150" s="39">
        <v>0.233426506624268</v>
      </c>
      <c r="U150" s="43">
        <v>0.26</v>
      </c>
      <c r="V150" s="43">
        <v>0.24053848713267001</v>
      </c>
      <c r="W150" s="43">
        <f t="shared" si="4"/>
        <v>1.946151286733E-2</v>
      </c>
      <c r="X150" s="45">
        <v>0.40614837722885999</v>
      </c>
      <c r="Y150" s="45">
        <f t="shared" si="5"/>
        <v>-0.14614837722885998</v>
      </c>
    </row>
    <row r="151" spans="1:25" ht="15" x14ac:dyDescent="0.2">
      <c r="B151" s="41">
        <v>10</v>
      </c>
      <c r="C151" s="42">
        <v>528</v>
      </c>
      <c r="D151" s="43">
        <v>2.8</v>
      </c>
      <c r="E151" s="41">
        <v>40</v>
      </c>
      <c r="F151" s="44">
        <v>8.2631578947368403E-3</v>
      </c>
      <c r="G151" s="42">
        <v>303.74175991860699</v>
      </c>
      <c r="H151" s="39">
        <v>0.34094936617369298</v>
      </c>
      <c r="I151" s="39">
        <v>0.30229001722547699</v>
      </c>
      <c r="J151" s="39">
        <v>0.334805191278776</v>
      </c>
      <c r="K151" s="39">
        <v>0.28128564115391802</v>
      </c>
      <c r="L151" s="39">
        <v>0.54357400486125895</v>
      </c>
      <c r="M151" s="39">
        <v>0.47609405027046697</v>
      </c>
      <c r="N151" s="48">
        <v>0.30012775804929837</v>
      </c>
      <c r="O151" s="39">
        <v>0.195739503773292</v>
      </c>
      <c r="P151" s="39">
        <v>0.41188525802692399</v>
      </c>
      <c r="Q151" s="39">
        <v>0.42233606372638999</v>
      </c>
      <c r="R151" s="39">
        <v>0.44788219378817901</v>
      </c>
      <c r="S151" s="39">
        <v>0.28194390892111099</v>
      </c>
      <c r="T151" s="39">
        <v>0.262395981231277</v>
      </c>
      <c r="U151" s="43">
        <v>0.28999999999999998</v>
      </c>
      <c r="V151" s="43">
        <v>0.26734936852435898</v>
      </c>
      <c r="W151" s="43">
        <f t="shared" si="4"/>
        <v>2.2650631475641003E-2</v>
      </c>
      <c r="X151" s="45">
        <v>0.45108410744959698</v>
      </c>
      <c r="Y151" s="45">
        <f t="shared" si="5"/>
        <v>-0.161084107449597</v>
      </c>
    </row>
    <row r="152" spans="1:25" ht="15" x14ac:dyDescent="0.2">
      <c r="A152" s="40" t="s">
        <v>56</v>
      </c>
      <c r="B152" s="41">
        <v>20</v>
      </c>
      <c r="C152" s="42">
        <v>598</v>
      </c>
      <c r="D152" s="43">
        <v>2.8</v>
      </c>
      <c r="E152" s="41">
        <v>40</v>
      </c>
      <c r="F152" s="44">
        <v>2.1000000000000001E-2</v>
      </c>
      <c r="G152" s="42">
        <v>109.165243530495</v>
      </c>
      <c r="H152" s="39">
        <v>0.13248092114240001</v>
      </c>
      <c r="I152" s="39">
        <v>0.144212393826816</v>
      </c>
      <c r="J152" s="39">
        <v>0.17073851136246301</v>
      </c>
      <c r="K152" s="39">
        <v>0.15478528012645701</v>
      </c>
      <c r="L152" s="39">
        <v>0.17950779201610101</v>
      </c>
      <c r="M152" s="39">
        <v>0.23280084374718699</v>
      </c>
      <c r="N152" s="48">
        <v>0.20157849860937077</v>
      </c>
      <c r="O152" s="39">
        <v>0.10063566624985</v>
      </c>
      <c r="P152" s="39">
        <v>0.24631464196932101</v>
      </c>
      <c r="Q152" s="39">
        <v>0.185182642216358</v>
      </c>
      <c r="R152" s="39">
        <v>0.13944355439065201</v>
      </c>
      <c r="S152" s="39">
        <v>0.14747598455261901</v>
      </c>
      <c r="T152" s="39">
        <v>0.12676079812586599</v>
      </c>
      <c r="U152" s="43">
        <v>0.17</v>
      </c>
      <c r="V152" s="43">
        <v>0.124480015931012</v>
      </c>
      <c r="W152" s="43">
        <f t="shared" si="4"/>
        <v>4.5519984068988009E-2</v>
      </c>
      <c r="X152" s="45">
        <v>0.124480015931012</v>
      </c>
      <c r="Y152" s="45">
        <f t="shared" si="5"/>
        <v>4.5519984068988009E-2</v>
      </c>
    </row>
    <row r="153" spans="1:25" ht="15" x14ac:dyDescent="0.2">
      <c r="B153" s="41">
        <v>20</v>
      </c>
      <c r="C153" s="42">
        <v>598</v>
      </c>
      <c r="D153" s="43">
        <v>2.8</v>
      </c>
      <c r="E153" s="41">
        <v>40</v>
      </c>
      <c r="F153" s="44">
        <v>2.1000000000000001E-2</v>
      </c>
      <c r="G153" s="42">
        <v>151.46653733588099</v>
      </c>
      <c r="H153" s="39">
        <v>0.16092397911136799</v>
      </c>
      <c r="I153" s="39">
        <v>0.17517414622172001</v>
      </c>
      <c r="J153" s="39">
        <v>0.19952850381041701</v>
      </c>
      <c r="K153" s="39">
        <v>0.211386169121142</v>
      </c>
      <c r="L153" s="39">
        <v>0.21464209910472301</v>
      </c>
      <c r="M153" s="39">
        <v>0.272055810186073</v>
      </c>
      <c r="N153" s="48">
        <v>0.2449642232514708</v>
      </c>
      <c r="O153" s="39">
        <v>0.119505028175292</v>
      </c>
      <c r="P153" s="39">
        <v>0.28784831018236201</v>
      </c>
      <c r="Q153" s="39">
        <v>0.220226040212679</v>
      </c>
      <c r="R153" s="39">
        <v>0.188712851201184</v>
      </c>
      <c r="S153" s="39">
        <v>0.195477275263339</v>
      </c>
      <c r="T153" s="39">
        <v>0.17118024534008899</v>
      </c>
      <c r="U153" s="43">
        <v>0.2</v>
      </c>
      <c r="V153" s="43">
        <v>0.16319147975293599</v>
      </c>
      <c r="W153" s="43">
        <f t="shared" si="4"/>
        <v>3.6808520247064019E-2</v>
      </c>
      <c r="X153" s="45">
        <v>0.17271575064382899</v>
      </c>
      <c r="Y153" s="45">
        <f t="shared" si="5"/>
        <v>2.728424935617102E-2</v>
      </c>
    </row>
    <row r="154" spans="1:25" ht="15" x14ac:dyDescent="0.2">
      <c r="B154" s="41">
        <v>20</v>
      </c>
      <c r="C154" s="42">
        <v>598</v>
      </c>
      <c r="D154" s="43">
        <v>2.8</v>
      </c>
      <c r="E154" s="41">
        <v>40</v>
      </c>
      <c r="F154" s="44">
        <v>2.1000000000000001E-2</v>
      </c>
      <c r="G154" s="42">
        <v>194.07401281353199</v>
      </c>
      <c r="H154" s="39">
        <v>0.18845442559470099</v>
      </c>
      <c r="I154" s="39">
        <v>0.20514247340609201</v>
      </c>
      <c r="J154" s="39">
        <v>0.22739475318517399</v>
      </c>
      <c r="K154" s="39">
        <v>0.27455386120200997</v>
      </c>
      <c r="L154" s="39">
        <v>0.24864910222258699</v>
      </c>
      <c r="M154" s="39">
        <v>0.31005125898520802</v>
      </c>
      <c r="N154" s="48">
        <v>0.28695789255746057</v>
      </c>
      <c r="O154" s="39">
        <v>0.137768956028261</v>
      </c>
      <c r="P154" s="39">
        <v>0.328049347329745</v>
      </c>
      <c r="Q154" s="39">
        <v>0.25478960248972499</v>
      </c>
      <c r="R154" s="39">
        <v>0.23522198636617001</v>
      </c>
      <c r="S154" s="39">
        <v>0.24290464135782</v>
      </c>
      <c r="T154" s="39">
        <v>0.21563755156994999</v>
      </c>
      <c r="U154" s="43">
        <v>0.24</v>
      </c>
      <c r="V154" s="43">
        <v>0.200660864521749</v>
      </c>
      <c r="W154" s="43">
        <f t="shared" si="4"/>
        <v>3.9339135478250992E-2</v>
      </c>
      <c r="X154" s="45">
        <v>0.22130062120069799</v>
      </c>
      <c r="Y154" s="45">
        <f t="shared" si="5"/>
        <v>1.8699378799302002E-2</v>
      </c>
    </row>
    <row r="155" spans="1:25" ht="15" x14ac:dyDescent="0.2">
      <c r="B155" s="41">
        <v>20</v>
      </c>
      <c r="C155" s="42">
        <v>598</v>
      </c>
      <c r="D155" s="43">
        <v>2.8</v>
      </c>
      <c r="E155" s="41">
        <v>40</v>
      </c>
      <c r="F155" s="44">
        <v>2.1000000000000001E-2</v>
      </c>
      <c r="G155" s="42">
        <v>236.446087874179</v>
      </c>
      <c r="H155" s="39">
        <v>0.21583277016376101</v>
      </c>
      <c r="I155" s="39">
        <v>0.23494522972204299</v>
      </c>
      <c r="J155" s="39">
        <v>0.25510704538106599</v>
      </c>
      <c r="K155" s="39">
        <v>0.34555054480386899</v>
      </c>
      <c r="L155" s="39">
        <v>0.28246822134532401</v>
      </c>
      <c r="M155" s="39">
        <v>0.34783678817771801</v>
      </c>
      <c r="N155" s="48">
        <v>0.3287195526407653</v>
      </c>
      <c r="O155" s="39">
        <v>0.155931978202483</v>
      </c>
      <c r="P155" s="39">
        <v>0.36802827929951698</v>
      </c>
      <c r="Q155" s="39">
        <v>0.28961854042916901</v>
      </c>
      <c r="R155" s="39">
        <v>0.28045553682490199</v>
      </c>
      <c r="S155" s="39">
        <v>0.29101258558818499</v>
      </c>
      <c r="T155" s="39">
        <v>0.26127655931506399</v>
      </c>
      <c r="U155" s="43">
        <v>0.27</v>
      </c>
      <c r="V155" s="43">
        <v>0.23792323611504501</v>
      </c>
      <c r="W155" s="43">
        <f t="shared" si="4"/>
        <v>3.2076763884955006E-2</v>
      </c>
      <c r="X155" s="45">
        <v>0.26961706705835697</v>
      </c>
      <c r="Y155" s="45">
        <f t="shared" si="5"/>
        <v>3.8293294164304381E-4</v>
      </c>
    </row>
    <row r="156" spans="1:25" ht="15" x14ac:dyDescent="0.2">
      <c r="B156" s="41">
        <v>20</v>
      </c>
      <c r="C156" s="42">
        <v>598</v>
      </c>
      <c r="D156" s="43">
        <v>2.8</v>
      </c>
      <c r="E156" s="41">
        <v>40</v>
      </c>
      <c r="F156" s="44">
        <v>2.1000000000000001E-2</v>
      </c>
      <c r="G156" s="42">
        <v>278.34736210081797</v>
      </c>
      <c r="H156" s="39">
        <v>0.24290691090427599</v>
      </c>
      <c r="I156" s="39">
        <v>0.26441684430114898</v>
      </c>
      <c r="J156" s="39">
        <v>0.28251142321922501</v>
      </c>
      <c r="K156" s="39">
        <v>0.42377828820333802</v>
      </c>
      <c r="L156" s="39">
        <v>0.31591157247780899</v>
      </c>
      <c r="M156" s="39">
        <v>0.385202478156978</v>
      </c>
      <c r="N156" s="48">
        <v>0.37001719427870017</v>
      </c>
      <c r="O156" s="39">
        <v>0.17389318901921499</v>
      </c>
      <c r="P156" s="39">
        <v>0.40756300091406999</v>
      </c>
      <c r="Q156" s="39">
        <v>0.32439945549780003</v>
      </c>
      <c r="R156" s="39">
        <v>0.32430026204481099</v>
      </c>
      <c r="S156" s="39">
        <v>0.33951038519894</v>
      </c>
      <c r="T156" s="39">
        <v>0.3078082002243</v>
      </c>
      <c r="U156" s="43">
        <v>0.32</v>
      </c>
      <c r="V156" s="43">
        <v>0.27477158135730401</v>
      </c>
      <c r="W156" s="43">
        <f t="shared" si="4"/>
        <v>4.5228418642696E-2</v>
      </c>
      <c r="X156" s="45">
        <v>0.31739666351759799</v>
      </c>
      <c r="Y156" s="45">
        <f t="shared" si="5"/>
        <v>2.6033364824020189E-3</v>
      </c>
    </row>
    <row r="157" spans="1:25" ht="15" x14ac:dyDescent="0.2">
      <c r="B157" s="41">
        <v>20</v>
      </c>
      <c r="C157" s="42">
        <v>598</v>
      </c>
      <c r="D157" s="43">
        <v>2.8</v>
      </c>
      <c r="E157" s="41">
        <v>40</v>
      </c>
      <c r="F157" s="44">
        <v>2.1000000000000001E-2</v>
      </c>
      <c r="G157" s="42">
        <v>321.42563841247602</v>
      </c>
      <c r="H157" s="39">
        <v>0.270741561216154</v>
      </c>
      <c r="I157" s="39">
        <v>0.29471631322236502</v>
      </c>
      <c r="J157" s="39">
        <v>0.310685586951714</v>
      </c>
      <c r="K157" s="39">
        <v>0.51251772415843</v>
      </c>
      <c r="L157" s="39">
        <v>0.35029434358592598</v>
      </c>
      <c r="M157" s="39">
        <v>0.42361776616936397</v>
      </c>
      <c r="N157" s="48">
        <v>0.41247488203005989</v>
      </c>
      <c r="O157" s="39">
        <v>0.19235892822967501</v>
      </c>
      <c r="P157" s="39">
        <v>0.44820824841667201</v>
      </c>
      <c r="Q157" s="39">
        <v>0.360431195859653</v>
      </c>
      <c r="R157" s="39">
        <v>0.36856181324478998</v>
      </c>
      <c r="S157" s="39">
        <v>0.39032880046409801</v>
      </c>
      <c r="T157" s="39">
        <v>0.357098020389924</v>
      </c>
      <c r="U157" s="43">
        <v>0.34</v>
      </c>
      <c r="V157" s="43">
        <v>0.312654992477154</v>
      </c>
      <c r="W157" s="43">
        <f t="shared" si="4"/>
        <v>2.7345007522846021E-2</v>
      </c>
      <c r="X157" s="45">
        <v>0.36651838347288501</v>
      </c>
      <c r="Y157" s="45">
        <f t="shared" si="5"/>
        <v>-2.6518383472884988E-2</v>
      </c>
    </row>
    <row r="158" spans="1:25" ht="15" x14ac:dyDescent="0.2">
      <c r="A158" s="40" t="s">
        <v>57</v>
      </c>
      <c r="B158" s="41">
        <v>20</v>
      </c>
      <c r="C158" s="42">
        <v>598</v>
      </c>
      <c r="D158" s="43">
        <v>2.8</v>
      </c>
      <c r="E158" s="41">
        <v>40</v>
      </c>
      <c r="F158" s="44">
        <v>2.1000000000000001E-2</v>
      </c>
      <c r="G158" s="42">
        <v>77.576526435790299</v>
      </c>
      <c r="H158" s="39">
        <v>0.106015188058975</v>
      </c>
      <c r="I158" s="39">
        <v>0.115403062721397</v>
      </c>
      <c r="J158" s="39">
        <v>0.143949962239768</v>
      </c>
      <c r="K158" s="39">
        <v>0.11002459711025001</v>
      </c>
      <c r="L158" s="39">
        <v>0.14681597686412201</v>
      </c>
      <c r="M158" s="39">
        <v>0.19627483219442801</v>
      </c>
      <c r="N158" s="48">
        <v>0.16120889386217613</v>
      </c>
      <c r="O158" s="39">
        <v>8.3078078148101003E-2</v>
      </c>
      <c r="P158" s="39">
        <v>0.20766834106520701</v>
      </c>
      <c r="Q158" s="39">
        <v>0.153451057980211</v>
      </c>
      <c r="R158" s="39">
        <v>9.2345050099274004E-2</v>
      </c>
      <c r="S158" s="39">
        <v>0.103722869489561</v>
      </c>
      <c r="T158" s="39">
        <v>8.6809078464998302E-2</v>
      </c>
      <c r="U158" s="43">
        <v>0.16</v>
      </c>
      <c r="V158" s="43">
        <v>8.84597233908265E-2</v>
      </c>
      <c r="W158" s="43">
        <f t="shared" si="4"/>
        <v>7.1540276609173503E-2</v>
      </c>
      <c r="X158" s="45">
        <v>8.84597233908265E-2</v>
      </c>
      <c r="Y158" s="45">
        <f t="shared" si="5"/>
        <v>7.1540276609173503E-2</v>
      </c>
    </row>
    <row r="159" spans="1:25" ht="15" x14ac:dyDescent="0.2">
      <c r="B159" s="41">
        <v>20</v>
      </c>
      <c r="C159" s="42">
        <v>598</v>
      </c>
      <c r="D159" s="43">
        <v>2.8</v>
      </c>
      <c r="E159" s="41">
        <v>40</v>
      </c>
      <c r="F159" s="44">
        <v>2.1000000000000001E-2</v>
      </c>
      <c r="G159" s="42">
        <v>109.70987658385199</v>
      </c>
      <c r="H159" s="39">
        <v>0.132937226885218</v>
      </c>
      <c r="I159" s="39">
        <v>0.14470910643208201</v>
      </c>
      <c r="J159" s="39">
        <v>0.171200382899061</v>
      </c>
      <c r="K159" s="39">
        <v>0.155623844444048</v>
      </c>
      <c r="L159" s="39">
        <v>0.18007144400148001</v>
      </c>
      <c r="M159" s="39">
        <v>0.23343060256706299</v>
      </c>
      <c r="N159" s="48">
        <v>0.20227452627742584</v>
      </c>
      <c r="O159" s="39">
        <v>0.10093838328608699</v>
      </c>
      <c r="P159" s="39">
        <v>0.24698095750214999</v>
      </c>
      <c r="Q159" s="39">
        <v>0.185738122217456</v>
      </c>
      <c r="R159" s="39">
        <v>0.14024456075224601</v>
      </c>
      <c r="S159" s="39">
        <v>0.14823805135601001</v>
      </c>
      <c r="T159" s="39">
        <v>0.127461284590206</v>
      </c>
      <c r="U159" s="43">
        <v>0.2</v>
      </c>
      <c r="V159" s="43">
        <v>0.125101055457567</v>
      </c>
      <c r="W159" s="43">
        <f t="shared" si="4"/>
        <v>7.489894454243301E-2</v>
      </c>
      <c r="X159" s="45">
        <v>0.125101055457567</v>
      </c>
      <c r="Y159" s="45">
        <f t="shared" si="5"/>
        <v>7.489894454243301E-2</v>
      </c>
    </row>
    <row r="160" spans="1:25" ht="15" x14ac:dyDescent="0.2">
      <c r="B160" s="41">
        <v>20</v>
      </c>
      <c r="C160" s="42">
        <v>598</v>
      </c>
      <c r="D160" s="43">
        <v>2.8</v>
      </c>
      <c r="E160" s="41">
        <v>40</v>
      </c>
      <c r="F160" s="44">
        <v>2.1000000000000001E-2</v>
      </c>
      <c r="G160" s="42">
        <v>150.760336084871</v>
      </c>
      <c r="H160" s="39">
        <v>0.16046767336855</v>
      </c>
      <c r="I160" s="39">
        <v>0.17467743361645399</v>
      </c>
      <c r="J160" s="39">
        <v>0.19906663227381899</v>
      </c>
      <c r="K160" s="39">
        <v>0.21040866213409001</v>
      </c>
      <c r="L160" s="39">
        <v>0.21407844711934401</v>
      </c>
      <c r="M160" s="39">
        <v>0.27142605136619802</v>
      </c>
      <c r="N160" s="48">
        <v>0.24426819558341561</v>
      </c>
      <c r="O160" s="39">
        <v>0.11920231113905499</v>
      </c>
      <c r="P160" s="39">
        <v>0.28718199464953298</v>
      </c>
      <c r="Q160" s="39">
        <v>0.21965789619450499</v>
      </c>
      <c r="R160" s="39">
        <v>0.18793260733874201</v>
      </c>
      <c r="S160" s="39">
        <v>0.19469919370168001</v>
      </c>
      <c r="T160" s="39">
        <v>0.17045550889916</v>
      </c>
      <c r="U160" s="43">
        <v>0.24</v>
      </c>
      <c r="V160" s="43">
        <v>0.16257044022638101</v>
      </c>
      <c r="W160" s="43">
        <f t="shared" si="4"/>
        <v>7.7429559773618983E-2</v>
      </c>
      <c r="X160" s="45">
        <v>0.17191047654620101</v>
      </c>
      <c r="Y160" s="45">
        <f t="shared" si="5"/>
        <v>6.8089523453798984E-2</v>
      </c>
    </row>
    <row r="161" spans="1:25" ht="15" x14ac:dyDescent="0.2">
      <c r="B161" s="41">
        <v>20</v>
      </c>
      <c r="C161" s="42">
        <v>598</v>
      </c>
      <c r="D161" s="43">
        <v>2.8</v>
      </c>
      <c r="E161" s="41">
        <v>40</v>
      </c>
      <c r="F161" s="44">
        <v>2.1000000000000001E-2</v>
      </c>
      <c r="G161" s="42">
        <v>192.897010728514</v>
      </c>
      <c r="H161" s="39">
        <v>0.18769391602333799</v>
      </c>
      <c r="I161" s="39">
        <v>0.20431461906398299</v>
      </c>
      <c r="J161" s="39">
        <v>0.226624967290844</v>
      </c>
      <c r="K161" s="39">
        <v>0.27269814592917901</v>
      </c>
      <c r="L161" s="39">
        <v>0.247709682246955</v>
      </c>
      <c r="M161" s="39">
        <v>0.30900166095208298</v>
      </c>
      <c r="N161" s="48">
        <v>0.28579784644403539</v>
      </c>
      <c r="O161" s="39">
        <v>0.137264427634532</v>
      </c>
      <c r="P161" s="39">
        <v>0.326938821441695</v>
      </c>
      <c r="Q161" s="39">
        <v>0.25382800628511099</v>
      </c>
      <c r="R161" s="39">
        <v>0.23395156543887399</v>
      </c>
      <c r="S161" s="39">
        <v>0.24158172773614101</v>
      </c>
      <c r="T161" s="39">
        <v>0.214390119496425</v>
      </c>
      <c r="U161" s="43">
        <v>0.27</v>
      </c>
      <c r="V161" s="43">
        <v>0.199625798644158</v>
      </c>
      <c r="W161" s="43">
        <f t="shared" si="4"/>
        <v>7.037420135584202E-2</v>
      </c>
      <c r="X161" s="45">
        <v>0.21995849770465101</v>
      </c>
      <c r="Y161" s="45">
        <f t="shared" si="5"/>
        <v>5.0041502295349011E-2</v>
      </c>
    </row>
    <row r="162" spans="1:25" ht="15" x14ac:dyDescent="0.2">
      <c r="B162" s="41">
        <v>20</v>
      </c>
      <c r="C162" s="42">
        <v>598</v>
      </c>
      <c r="D162" s="43">
        <v>2.8</v>
      </c>
      <c r="E162" s="41">
        <v>40</v>
      </c>
      <c r="F162" s="44">
        <v>2.1000000000000001E-2</v>
      </c>
      <c r="G162" s="42">
        <v>236.68148829118201</v>
      </c>
      <c r="H162" s="39">
        <v>0.21598487207803399</v>
      </c>
      <c r="I162" s="39">
        <v>0.23511080059046499</v>
      </c>
      <c r="J162" s="39">
        <v>0.255261002559932</v>
      </c>
      <c r="K162" s="39">
        <v>0.34596775037385402</v>
      </c>
      <c r="L162" s="39">
        <v>0.28265610534045099</v>
      </c>
      <c r="M162" s="39">
        <v>0.34804670778434299</v>
      </c>
      <c r="N162" s="48">
        <v>0.32895156186345037</v>
      </c>
      <c r="O162" s="39">
        <v>0.15603288388122899</v>
      </c>
      <c r="P162" s="39">
        <v>0.36825038447712699</v>
      </c>
      <c r="Q162" s="39">
        <v>0.28981307962130498</v>
      </c>
      <c r="R162" s="39">
        <v>0.28070421823216002</v>
      </c>
      <c r="S162" s="39">
        <v>0.29128247755303299</v>
      </c>
      <c r="T162" s="39">
        <v>0.26153408512418203</v>
      </c>
      <c r="U162" s="43">
        <v>0.28999999999999998</v>
      </c>
      <c r="V162" s="43">
        <v>0.23813024929056301</v>
      </c>
      <c r="W162" s="43">
        <f t="shared" si="4"/>
        <v>5.1869750709436974E-2</v>
      </c>
      <c r="X162" s="45">
        <v>0.26988549175756599</v>
      </c>
      <c r="Y162" s="45">
        <f t="shared" si="5"/>
        <v>2.0114508242433993E-2</v>
      </c>
    </row>
    <row r="163" spans="1:25" ht="15" x14ac:dyDescent="0.2">
      <c r="B163" s="41">
        <v>20</v>
      </c>
      <c r="C163" s="42">
        <v>598</v>
      </c>
      <c r="D163" s="43">
        <v>2.8</v>
      </c>
      <c r="E163" s="41">
        <v>40</v>
      </c>
      <c r="F163" s="44">
        <v>2.1000000000000001E-2</v>
      </c>
      <c r="G163" s="42">
        <v>278.34736210081797</v>
      </c>
      <c r="H163" s="39">
        <v>0.24290691090427599</v>
      </c>
      <c r="I163" s="39">
        <v>0.26441684430114898</v>
      </c>
      <c r="J163" s="39">
        <v>0.28251142321922501</v>
      </c>
      <c r="K163" s="39">
        <v>0.42377828820333802</v>
      </c>
      <c r="L163" s="39">
        <v>0.31591157247780899</v>
      </c>
      <c r="M163" s="39">
        <v>0.385202478156978</v>
      </c>
      <c r="N163" s="48">
        <v>0.37001719427870017</v>
      </c>
      <c r="O163" s="39">
        <v>0.17389318901921499</v>
      </c>
      <c r="P163" s="39">
        <v>0.40756300091406999</v>
      </c>
      <c r="Q163" s="39">
        <v>0.32439945549780003</v>
      </c>
      <c r="R163" s="39">
        <v>0.32430026204481099</v>
      </c>
      <c r="S163" s="39">
        <v>0.33951038519894</v>
      </c>
      <c r="T163" s="39">
        <v>0.3078082002243</v>
      </c>
      <c r="U163" s="43">
        <v>0.32</v>
      </c>
      <c r="V163" s="43">
        <v>0.27477158135730401</v>
      </c>
      <c r="W163" s="43">
        <f t="shared" si="4"/>
        <v>4.5228418642696E-2</v>
      </c>
      <c r="X163" s="45">
        <v>0.31739666351759799</v>
      </c>
      <c r="Y163" s="45">
        <f t="shared" si="5"/>
        <v>2.6033364824020189E-3</v>
      </c>
    </row>
    <row r="164" spans="1:25" ht="15" x14ac:dyDescent="0.2">
      <c r="B164" s="41">
        <v>20</v>
      </c>
      <c r="C164" s="42">
        <v>598</v>
      </c>
      <c r="D164" s="43">
        <v>2.8</v>
      </c>
      <c r="E164" s="41">
        <v>40</v>
      </c>
      <c r="F164" s="44">
        <v>2.1000000000000001E-2</v>
      </c>
      <c r="G164" s="42">
        <v>298.59179796312702</v>
      </c>
      <c r="H164" s="39">
        <v>0.25598767553171597</v>
      </c>
      <c r="I164" s="39">
        <v>0.278655938985436</v>
      </c>
      <c r="J164" s="39">
        <v>0.295751740601706</v>
      </c>
      <c r="K164" s="39">
        <v>0.46443110099199603</v>
      </c>
      <c r="L164" s="39">
        <v>0.33206959605867298</v>
      </c>
      <c r="M164" s="39">
        <v>0.40325556432673298</v>
      </c>
      <c r="N164" s="48">
        <v>0.38996998742961225</v>
      </c>
      <c r="O164" s="39">
        <v>0.18257107739134301</v>
      </c>
      <c r="P164" s="39">
        <v>0.426664046188517</v>
      </c>
      <c r="Q164" s="39">
        <v>0.34130165609476498</v>
      </c>
      <c r="R164" s="39">
        <v>0.34519771076126399</v>
      </c>
      <c r="S164" s="39">
        <v>0.363271253344434</v>
      </c>
      <c r="T164" s="39">
        <v>0.330788485580298</v>
      </c>
      <c r="U164" s="43">
        <v>0.33</v>
      </c>
      <c r="V164" s="43">
        <v>0.29257471445187799</v>
      </c>
      <c r="W164" s="43">
        <f t="shared" si="4"/>
        <v>3.7425285548122023E-2</v>
      </c>
      <c r="X164" s="45">
        <v>0.34048118764959101</v>
      </c>
      <c r="Y164" s="45">
        <f t="shared" si="5"/>
        <v>-1.0481187649590995E-2</v>
      </c>
    </row>
    <row r="165" spans="1:25" ht="15" x14ac:dyDescent="0.2">
      <c r="A165" s="40" t="s">
        <v>58</v>
      </c>
      <c r="B165" s="41">
        <v>10</v>
      </c>
      <c r="C165" s="42">
        <v>528</v>
      </c>
      <c r="D165" s="43">
        <v>2.8</v>
      </c>
      <c r="E165" s="41">
        <v>40</v>
      </c>
      <c r="F165" s="44">
        <v>8.2631578947368403E-3</v>
      </c>
      <c r="G165" s="42">
        <v>160.396623000304</v>
      </c>
      <c r="H165" s="39">
        <v>0.16612686256381701</v>
      </c>
      <c r="I165" s="39">
        <v>0.29056052556803103</v>
      </c>
      <c r="J165" s="39">
        <v>0.26142925199470501</v>
      </c>
      <c r="K165" s="39">
        <v>0.171502935220785</v>
      </c>
      <c r="L165" s="39">
        <v>0.29089804767317201</v>
      </c>
      <c r="M165" s="39">
        <v>0.33890172186871798</v>
      </c>
      <c r="N165" s="48">
        <v>0.22164211078456339</v>
      </c>
      <c r="O165" s="39">
        <v>0.16629907547758799</v>
      </c>
      <c r="P165" s="39">
        <v>0.29784780694114699</v>
      </c>
      <c r="Q165" s="39">
        <v>0.31840171066058998</v>
      </c>
      <c r="R165" s="39">
        <v>0.30384449137941399</v>
      </c>
      <c r="S165" s="39">
        <v>0.195503858937085</v>
      </c>
      <c r="T165" s="39">
        <v>0.17545639935142399</v>
      </c>
      <c r="U165" s="43">
        <v>0.15</v>
      </c>
      <c r="V165" s="43">
        <v>0.18861841261242801</v>
      </c>
      <c r="W165" s="43">
        <f t="shared" si="4"/>
        <v>-3.8618412612428016E-2</v>
      </c>
      <c r="X165" s="45">
        <v>0.27501332580010401</v>
      </c>
      <c r="Y165" s="45">
        <f t="shared" si="5"/>
        <v>-0.12501332580010402</v>
      </c>
    </row>
    <row r="166" spans="1:25" ht="15" x14ac:dyDescent="0.2">
      <c r="B166" s="41">
        <v>10</v>
      </c>
      <c r="C166" s="42">
        <v>528</v>
      </c>
      <c r="D166" s="43">
        <v>2.8</v>
      </c>
      <c r="E166" s="41">
        <v>40</v>
      </c>
      <c r="F166" s="44">
        <v>8.2631578947368403E-3</v>
      </c>
      <c r="G166" s="42">
        <v>193.878640306356</v>
      </c>
      <c r="H166" s="39">
        <v>0.20438424701114299</v>
      </c>
      <c r="I166" s="39">
        <v>0.30926613880202503</v>
      </c>
      <c r="J166" s="39">
        <v>0.27825946135058699</v>
      </c>
      <c r="K166" s="39">
        <v>0.19429564972313301</v>
      </c>
      <c r="L166" s="39">
        <v>0.32823091625474299</v>
      </c>
      <c r="M166" s="39">
        <v>0.36071942928515999</v>
      </c>
      <c r="N166" s="48">
        <v>0.23831851981232305</v>
      </c>
      <c r="O166" s="39">
        <v>0.17827498836625799</v>
      </c>
      <c r="P166" s="39">
        <v>0.317022558460963</v>
      </c>
      <c r="Q166" s="39">
        <v>0.344450240033985</v>
      </c>
      <c r="R166" s="39">
        <v>0.33569680133051499</v>
      </c>
      <c r="S166" s="39">
        <v>0.209321704944742</v>
      </c>
      <c r="T166" s="39">
        <v>0.189058729982165</v>
      </c>
      <c r="U166" s="43">
        <v>0.19</v>
      </c>
      <c r="V166" s="43">
        <v>0.20076122887503001</v>
      </c>
      <c r="W166" s="43">
        <f t="shared" si="4"/>
        <v>-1.0761228875030004E-2</v>
      </c>
      <c r="X166" s="45">
        <v>0.31156255576653802</v>
      </c>
      <c r="Y166" s="45">
        <f t="shared" si="5"/>
        <v>-0.12156255576653802</v>
      </c>
    </row>
    <row r="167" spans="1:25" ht="15" x14ac:dyDescent="0.2">
      <c r="B167" s="41">
        <v>10</v>
      </c>
      <c r="C167" s="42">
        <v>528</v>
      </c>
      <c r="D167" s="43">
        <v>2.8</v>
      </c>
      <c r="E167" s="41">
        <v>40</v>
      </c>
      <c r="F167" s="44">
        <v>8.2631578947368403E-3</v>
      </c>
      <c r="G167" s="42">
        <v>200.575043767567</v>
      </c>
      <c r="H167" s="39">
        <v>0.21203572390060799</v>
      </c>
      <c r="I167" s="39">
        <v>0.31300726144882302</v>
      </c>
      <c r="J167" s="39">
        <v>0.281625503221764</v>
      </c>
      <c r="K167" s="39">
        <v>0.19902478258661399</v>
      </c>
      <c r="L167" s="39">
        <v>0.33569748997105697</v>
      </c>
      <c r="M167" s="39">
        <v>0.36508297076844798</v>
      </c>
      <c r="N167" s="48">
        <v>0.24165380161787503</v>
      </c>
      <c r="O167" s="39">
        <v>0.18067017094399099</v>
      </c>
      <c r="P167" s="39">
        <v>0.32085750876492602</v>
      </c>
      <c r="Q167" s="39">
        <v>0.349703575770485</v>
      </c>
      <c r="R167" s="39">
        <v>0.34214094285073698</v>
      </c>
      <c r="S167" s="39">
        <v>0.212094463166285</v>
      </c>
      <c r="T167" s="39">
        <v>0.19181268270266599</v>
      </c>
      <c r="U167" s="43">
        <v>0.2</v>
      </c>
      <c r="V167" s="43">
        <v>0.20318979212755101</v>
      </c>
      <c r="W167" s="43">
        <f t="shared" si="4"/>
        <v>-3.1897921275509944E-3</v>
      </c>
      <c r="X167" s="45">
        <v>0.31914595109013499</v>
      </c>
      <c r="Y167" s="45">
        <f t="shared" si="5"/>
        <v>-0.11914595109013498</v>
      </c>
    </row>
    <row r="168" spans="1:25" ht="15" x14ac:dyDescent="0.2">
      <c r="B168" s="41">
        <v>10</v>
      </c>
      <c r="C168" s="42">
        <v>528</v>
      </c>
      <c r="D168" s="43">
        <v>2.8</v>
      </c>
      <c r="E168" s="41">
        <v>40</v>
      </c>
      <c r="F168" s="44">
        <v>8.2631578947368403E-3</v>
      </c>
      <c r="G168" s="42">
        <v>228.84874727045499</v>
      </c>
      <c r="H168" s="39">
        <v>0.24434195965612701</v>
      </c>
      <c r="I168" s="39">
        <v>0.32880311262419598</v>
      </c>
      <c r="J168" s="39">
        <v>0.295837680011176</v>
      </c>
      <c r="K168" s="39">
        <v>0.21961913301830299</v>
      </c>
      <c r="L168" s="39">
        <v>0.36722302343993801</v>
      </c>
      <c r="M168" s="39">
        <v>0.38350681258677599</v>
      </c>
      <c r="N168" s="48">
        <v>0.25573610257464974</v>
      </c>
      <c r="O168" s="39">
        <v>0.190783164049979</v>
      </c>
      <c r="P168" s="39">
        <v>0.33704952115943798</v>
      </c>
      <c r="Q168" s="39">
        <v>0.37202957064007403</v>
      </c>
      <c r="R168" s="39">
        <v>0.36959248283878499</v>
      </c>
      <c r="S168" s="39">
        <v>0.223835433249297</v>
      </c>
      <c r="T168" s="39">
        <v>0.20356354286723999</v>
      </c>
      <c r="U168" s="43">
        <v>0.23</v>
      </c>
      <c r="V168" s="43">
        <v>0.21344372586041499</v>
      </c>
      <c r="W168" s="43">
        <f t="shared" si="4"/>
        <v>1.655627413958502E-2</v>
      </c>
      <c r="X168" s="45">
        <v>0.35216999699127699</v>
      </c>
      <c r="Y168" s="45">
        <f t="shared" si="5"/>
        <v>-0.12216999699127698</v>
      </c>
    </row>
    <row r="169" spans="1:25" ht="15" x14ac:dyDescent="0.2">
      <c r="B169" s="41">
        <v>10</v>
      </c>
      <c r="C169" s="42">
        <v>528</v>
      </c>
      <c r="D169" s="43">
        <v>2.8</v>
      </c>
      <c r="E169" s="41">
        <v>40</v>
      </c>
      <c r="F169" s="44">
        <v>8.2631578947368403E-3</v>
      </c>
      <c r="G169" s="42">
        <v>248.19391282506299</v>
      </c>
      <c r="H169" s="39">
        <v>0.26644622622569403</v>
      </c>
      <c r="I169" s="39">
        <v>0.339610800270503</v>
      </c>
      <c r="J169" s="39">
        <v>0.30556180097235203</v>
      </c>
      <c r="K169" s="39">
        <v>0.23429408193512999</v>
      </c>
      <c r="L169" s="39">
        <v>0.388793125287068</v>
      </c>
      <c r="M169" s="39">
        <v>0.396112599094053</v>
      </c>
      <c r="N169" s="48">
        <v>0.26537136112402199</v>
      </c>
      <c r="O169" s="39">
        <v>0.197702580385655</v>
      </c>
      <c r="P169" s="39">
        <v>0.34812826648199802</v>
      </c>
      <c r="Q169" s="39">
        <v>0.38743080156514598</v>
      </c>
      <c r="R169" s="39">
        <v>0.38992850264964901</v>
      </c>
      <c r="S169" s="39">
        <v>0.23463852108924299</v>
      </c>
      <c r="T169" s="39">
        <v>0.214456589299963</v>
      </c>
      <c r="U169" s="43">
        <v>0.25</v>
      </c>
      <c r="V169" s="43">
        <v>0.223197905782135</v>
      </c>
      <c r="W169" s="43">
        <f t="shared" si="4"/>
        <v>2.6802094217865002E-2</v>
      </c>
      <c r="X169" s="45">
        <v>0.377154812503042</v>
      </c>
      <c r="Y169" s="45">
        <f t="shared" si="5"/>
        <v>-0.127154812503042</v>
      </c>
    </row>
    <row r="170" spans="1:25" ht="15" x14ac:dyDescent="0.2">
      <c r="B170" s="41">
        <v>10</v>
      </c>
      <c r="C170" s="42">
        <v>528</v>
      </c>
      <c r="D170" s="43">
        <v>2.8</v>
      </c>
      <c r="E170" s="41">
        <v>40</v>
      </c>
      <c r="F170" s="44">
        <v>8.2631578947368403E-3</v>
      </c>
      <c r="G170" s="42">
        <v>269.771212866741</v>
      </c>
      <c r="H170" s="39">
        <v>0.29110098509174798</v>
      </c>
      <c r="I170" s="39">
        <v>0.35166552879907598</v>
      </c>
      <c r="J170" s="39">
        <v>0.31640793589058702</v>
      </c>
      <c r="K170" s="39">
        <v>0.25122215219469302</v>
      </c>
      <c r="L170" s="39">
        <v>0.412852085039636</v>
      </c>
      <c r="M170" s="39">
        <v>0.41017289942909302</v>
      </c>
      <c r="N170" s="48">
        <v>0.27611838027524493</v>
      </c>
      <c r="O170" s="39">
        <v>0.20542039091390901</v>
      </c>
      <c r="P170" s="39">
        <v>0.360485328572547</v>
      </c>
      <c r="Q170" s="39">
        <v>0.404718743820774</v>
      </c>
      <c r="R170" s="39">
        <v>0.41673683085261998</v>
      </c>
      <c r="S170" s="39">
        <v>0.25540204042553599</v>
      </c>
      <c r="T170" s="39">
        <v>0.23540018910591101</v>
      </c>
      <c r="U170" s="43">
        <v>0.28000000000000003</v>
      </c>
      <c r="V170" s="43">
        <v>0.24276133198299499</v>
      </c>
      <c r="W170" s="43">
        <f t="shared" si="4"/>
        <v>3.7238668017005039E-2</v>
      </c>
      <c r="X170" s="45">
        <v>0.40994362049156402</v>
      </c>
      <c r="Y170" s="45">
        <f t="shared" si="5"/>
        <v>-0.12994362049156399</v>
      </c>
    </row>
    <row r="171" spans="1:25" ht="15" x14ac:dyDescent="0.2">
      <c r="B171" s="41">
        <v>10</v>
      </c>
      <c r="C171" s="42">
        <v>528</v>
      </c>
      <c r="D171" s="43">
        <v>2.8</v>
      </c>
      <c r="E171" s="41">
        <v>40</v>
      </c>
      <c r="F171" s="44">
        <v>8.2631578947368403E-3</v>
      </c>
      <c r="G171" s="42">
        <v>289.116378421349</v>
      </c>
      <c r="H171" s="39">
        <v>0.31320525166131402</v>
      </c>
      <c r="I171" s="39">
        <v>0.36247321644538399</v>
      </c>
      <c r="J171" s="39">
        <v>0.326132056851764</v>
      </c>
      <c r="K171" s="39">
        <v>0.26690098443294502</v>
      </c>
      <c r="L171" s="39">
        <v>0.43442218688676498</v>
      </c>
      <c r="M171" s="39">
        <v>0.42277868593637002</v>
      </c>
      <c r="N171" s="48">
        <v>0.28575363882461713</v>
      </c>
      <c r="O171" s="39">
        <v>0.21233980724958501</v>
      </c>
      <c r="P171" s="39">
        <v>0.37156407389510698</v>
      </c>
      <c r="Q171" s="39">
        <v>0.420309206858276</v>
      </c>
      <c r="R171" s="39">
        <v>0.44049465646493702</v>
      </c>
      <c r="S171" s="39">
        <v>0.274044647137132</v>
      </c>
      <c r="T171" s="39">
        <v>0.25427574013583598</v>
      </c>
      <c r="U171" s="43">
        <v>0.31</v>
      </c>
      <c r="V171" s="43">
        <v>0.26030095547342103</v>
      </c>
      <c r="W171" s="43">
        <f t="shared" si="4"/>
        <v>4.9699044526578973E-2</v>
      </c>
      <c r="X171" s="45">
        <v>0.4393404828261</v>
      </c>
      <c r="Y171" s="45">
        <f t="shared" si="5"/>
        <v>-0.1293404828261</v>
      </c>
    </row>
    <row r="172" spans="1:25" ht="15" x14ac:dyDescent="0.2">
      <c r="B172" s="41">
        <v>10</v>
      </c>
      <c r="C172" s="42">
        <v>528</v>
      </c>
      <c r="D172" s="43">
        <v>2.8</v>
      </c>
      <c r="E172" s="41">
        <v>40</v>
      </c>
      <c r="F172" s="44">
        <v>8.2631578947368403E-3</v>
      </c>
      <c r="G172" s="42">
        <v>312.18176812107401</v>
      </c>
      <c r="H172" s="39">
        <v>0.339560338725027</v>
      </c>
      <c r="I172" s="39">
        <v>0.37535930556213498</v>
      </c>
      <c r="J172" s="39">
        <v>0.33772620107470502</v>
      </c>
      <c r="K172" s="39">
        <v>0.28621520812574103</v>
      </c>
      <c r="L172" s="39">
        <v>0.46014038524295803</v>
      </c>
      <c r="M172" s="39">
        <v>0.43780866215658498</v>
      </c>
      <c r="N172" s="48">
        <v>0.29724183171040697</v>
      </c>
      <c r="O172" s="39">
        <v>0.220589880572891</v>
      </c>
      <c r="P172" s="39">
        <v>0.38477334716431399</v>
      </c>
      <c r="Q172" s="39">
        <v>0.43900154772071098</v>
      </c>
      <c r="R172" s="39">
        <v>0.46849395192920501</v>
      </c>
      <c r="S172" s="39">
        <v>0.29630577998567997</v>
      </c>
      <c r="T172" s="39">
        <v>0.27690295546779398</v>
      </c>
      <c r="U172" s="43">
        <v>0.36</v>
      </c>
      <c r="V172" s="43">
        <v>0.28121358348123698</v>
      </c>
      <c r="W172" s="43">
        <f t="shared" si="4"/>
        <v>7.8786416518763003E-2</v>
      </c>
      <c r="X172" s="45">
        <v>0.47439058791727901</v>
      </c>
      <c r="Y172" s="45">
        <f t="shared" si="5"/>
        <v>-0.11439058791727902</v>
      </c>
    </row>
    <row r="173" spans="1:25" ht="15" x14ac:dyDescent="0.2">
      <c r="A173" s="40" t="s">
        <v>59</v>
      </c>
      <c r="B173" s="41">
        <v>10</v>
      </c>
      <c r="C173" s="42">
        <v>528</v>
      </c>
      <c r="D173" s="43">
        <v>2.8</v>
      </c>
      <c r="E173" s="41">
        <v>40</v>
      </c>
      <c r="F173" s="44">
        <v>8.2631578947368403E-3</v>
      </c>
      <c r="G173" s="42">
        <v>158.16448851323401</v>
      </c>
      <c r="H173" s="39">
        <v>0.16357637026732899</v>
      </c>
      <c r="I173" s="39">
        <v>0.28931348468576501</v>
      </c>
      <c r="J173" s="39">
        <v>0.26030723803764599</v>
      </c>
      <c r="K173" s="39">
        <v>0.17003396609485399</v>
      </c>
      <c r="L173" s="39">
        <v>0.288409189767734</v>
      </c>
      <c r="M173" s="39">
        <v>0.33744720804095601</v>
      </c>
      <c r="N173" s="48">
        <v>0.22053035018271278</v>
      </c>
      <c r="O173" s="39">
        <v>0.16550068128501</v>
      </c>
      <c r="P173" s="39">
        <v>0.29656949017315898</v>
      </c>
      <c r="Q173" s="39">
        <v>0.316678909995873</v>
      </c>
      <c r="R173" s="39">
        <v>0.30174430777600902</v>
      </c>
      <c r="S173" s="39">
        <v>0.19458539187583701</v>
      </c>
      <c r="T173" s="39">
        <v>0.17455949926325701</v>
      </c>
      <c r="U173" s="43">
        <v>0.16</v>
      </c>
      <c r="V173" s="43">
        <v>0.187808891528254</v>
      </c>
      <c r="W173" s="43">
        <f t="shared" si="4"/>
        <v>-2.7808891528253998E-2</v>
      </c>
      <c r="X173" s="45">
        <v>0.27265776212243298</v>
      </c>
      <c r="Y173" s="45">
        <f t="shared" si="5"/>
        <v>-0.11265776212243298</v>
      </c>
    </row>
    <row r="174" spans="1:25" ht="15" x14ac:dyDescent="0.2">
      <c r="B174" s="41">
        <v>10</v>
      </c>
      <c r="C174" s="42">
        <v>528</v>
      </c>
      <c r="D174" s="43">
        <v>2.8</v>
      </c>
      <c r="E174" s="41">
        <v>40</v>
      </c>
      <c r="F174" s="44">
        <v>8.2631578947368403E-3</v>
      </c>
      <c r="G174" s="42">
        <v>180.48583338393601</v>
      </c>
      <c r="H174" s="39">
        <v>0.18908129323221201</v>
      </c>
      <c r="I174" s="39">
        <v>0.30178389350842699</v>
      </c>
      <c r="J174" s="39">
        <v>0.27152737760823398</v>
      </c>
      <c r="K174" s="39">
        <v>0.185007973959182</v>
      </c>
      <c r="L174" s="39">
        <v>0.31329776882211502</v>
      </c>
      <c r="M174" s="39">
        <v>0.351992346318583</v>
      </c>
      <c r="N174" s="48">
        <v>0.2316479562012192</v>
      </c>
      <c r="O174" s="39">
        <v>0.17348462321079</v>
      </c>
      <c r="P174" s="39">
        <v>0.30935265785303601</v>
      </c>
      <c r="Q174" s="39">
        <v>0.33398590180871601</v>
      </c>
      <c r="R174" s="39">
        <v>0.32287988638877002</v>
      </c>
      <c r="S174" s="39">
        <v>0.203785377521669</v>
      </c>
      <c r="T174" s="39">
        <v>0.18358431113551599</v>
      </c>
      <c r="U174" s="43">
        <v>0.18</v>
      </c>
      <c r="V174" s="43">
        <v>0.19590410236998901</v>
      </c>
      <c r="W174" s="43">
        <f t="shared" si="4"/>
        <v>-1.5904102369989015E-2</v>
      </c>
      <c r="X174" s="45">
        <v>0.296669314449654</v>
      </c>
      <c r="Y174" s="45">
        <f t="shared" si="5"/>
        <v>-0.116669314449654</v>
      </c>
    </row>
    <row r="175" spans="1:25" ht="15" x14ac:dyDescent="0.2">
      <c r="B175" s="41">
        <v>10</v>
      </c>
      <c r="C175" s="42">
        <v>528</v>
      </c>
      <c r="D175" s="43">
        <v>2.8</v>
      </c>
      <c r="E175" s="41">
        <v>40</v>
      </c>
      <c r="F175" s="44">
        <v>8.2631578947368403E-3</v>
      </c>
      <c r="G175" s="42">
        <v>201.31908859659001</v>
      </c>
      <c r="H175" s="39">
        <v>0.212885887999437</v>
      </c>
      <c r="I175" s="39">
        <v>0.31342294174291202</v>
      </c>
      <c r="J175" s="39">
        <v>0.28199950787411698</v>
      </c>
      <c r="K175" s="39">
        <v>0.19955375187521099</v>
      </c>
      <c r="L175" s="39">
        <v>0.33652710927287</v>
      </c>
      <c r="M175" s="39">
        <v>0.365567808711035</v>
      </c>
      <c r="N175" s="48">
        <v>0.24202438848515856</v>
      </c>
      <c r="O175" s="39">
        <v>0.180936302341517</v>
      </c>
      <c r="P175" s="39">
        <v>0.32128361435425501</v>
      </c>
      <c r="Q175" s="39">
        <v>0.35028812485030603</v>
      </c>
      <c r="R175" s="39">
        <v>0.34285837937506902</v>
      </c>
      <c r="S175" s="39">
        <v>0.21240273648760899</v>
      </c>
      <c r="T175" s="39">
        <v>0.19211936647396399</v>
      </c>
      <c r="U175" s="43">
        <v>0.2</v>
      </c>
      <c r="V175" s="43">
        <v>0.203459632488942</v>
      </c>
      <c r="W175" s="43">
        <f t="shared" si="4"/>
        <v>-3.4596324889419883E-3</v>
      </c>
      <c r="X175" s="45">
        <v>0.319994179157578</v>
      </c>
      <c r="Y175" s="45">
        <f t="shared" si="5"/>
        <v>-0.11999417915757798</v>
      </c>
    </row>
    <row r="176" spans="1:25" ht="15" x14ac:dyDescent="0.2">
      <c r="B176" s="41">
        <v>10</v>
      </c>
      <c r="C176" s="42">
        <v>528</v>
      </c>
      <c r="D176" s="43">
        <v>2.8</v>
      </c>
      <c r="E176" s="41">
        <v>40</v>
      </c>
      <c r="F176" s="44">
        <v>8.2631578947368403E-3</v>
      </c>
      <c r="G176" s="42">
        <v>222.89638863826801</v>
      </c>
      <c r="H176" s="39">
        <v>0.23754064686549201</v>
      </c>
      <c r="I176" s="39">
        <v>0.325477670271486</v>
      </c>
      <c r="J176" s="39">
        <v>0.29284564279235198</v>
      </c>
      <c r="K176" s="39">
        <v>0.2151992383388</v>
      </c>
      <c r="L176" s="39">
        <v>0.36058606902543699</v>
      </c>
      <c r="M176" s="39">
        <v>0.37962810904607502</v>
      </c>
      <c r="N176" s="48">
        <v>0.2527714076363814</v>
      </c>
      <c r="O176" s="39">
        <v>0.18865411286977099</v>
      </c>
      <c r="P176" s="39">
        <v>0.333640676444804</v>
      </c>
      <c r="Q176" s="39">
        <v>0.36731062435122003</v>
      </c>
      <c r="R176" s="39">
        <v>0.36378206936139601</v>
      </c>
      <c r="S176" s="39">
        <v>0.22135911228626601</v>
      </c>
      <c r="T176" s="39">
        <v>0.201073140979631</v>
      </c>
      <c r="U176" s="43">
        <v>0.23</v>
      </c>
      <c r="V176" s="43">
        <v>0.21128500296928601</v>
      </c>
      <c r="W176" s="43">
        <f t="shared" si="4"/>
        <v>1.8714997030713998E-2</v>
      </c>
      <c r="X176" s="45">
        <v>0.34508248018620502</v>
      </c>
      <c r="Y176" s="45">
        <f t="shared" si="5"/>
        <v>-0.11508248018620501</v>
      </c>
    </row>
    <row r="177" spans="1:25" ht="15" x14ac:dyDescent="0.2">
      <c r="B177" s="41">
        <v>10</v>
      </c>
      <c r="C177" s="42">
        <v>528</v>
      </c>
      <c r="D177" s="43">
        <v>2.8</v>
      </c>
      <c r="E177" s="41">
        <v>40</v>
      </c>
      <c r="F177" s="44">
        <v>8.2631578947368403E-3</v>
      </c>
      <c r="G177" s="42">
        <v>245.961778337993</v>
      </c>
      <c r="H177" s="39">
        <v>0.26389573392920501</v>
      </c>
      <c r="I177" s="39">
        <v>0.33836375938823698</v>
      </c>
      <c r="J177" s="39">
        <v>0.30443978701529301</v>
      </c>
      <c r="K177" s="39">
        <v>0.23257659903592301</v>
      </c>
      <c r="L177" s="39">
        <v>0.38630426738162998</v>
      </c>
      <c r="M177" s="39">
        <v>0.39465808526628998</v>
      </c>
      <c r="N177" s="48">
        <v>0.2642596005221714</v>
      </c>
      <c r="O177" s="39">
        <v>0.19690418619307701</v>
      </c>
      <c r="P177" s="39">
        <v>0.34684994971401101</v>
      </c>
      <c r="Q177" s="39">
        <v>0.38564884406488897</v>
      </c>
      <c r="R177" s="39">
        <v>0.38713603873811497</v>
      </c>
      <c r="S177" s="39">
        <v>0.23249238592813901</v>
      </c>
      <c r="T177" s="39">
        <v>0.212296624645614</v>
      </c>
      <c r="U177" s="43">
        <v>0.24</v>
      </c>
      <c r="V177" s="43">
        <v>0.22117410307170199</v>
      </c>
      <c r="W177" s="43">
        <f t="shared" si="4"/>
        <v>1.8825896928298003E-2</v>
      </c>
      <c r="X177" s="45">
        <v>0.37376286684905702</v>
      </c>
      <c r="Y177" s="45">
        <f t="shared" si="5"/>
        <v>-0.13376286684905703</v>
      </c>
    </row>
    <row r="178" spans="1:25" ht="15" x14ac:dyDescent="0.2">
      <c r="B178" s="41">
        <v>10</v>
      </c>
      <c r="C178" s="42">
        <v>528</v>
      </c>
      <c r="D178" s="43">
        <v>2.8</v>
      </c>
      <c r="E178" s="41">
        <v>40</v>
      </c>
      <c r="F178" s="44">
        <v>8.2631578947368403E-3</v>
      </c>
      <c r="G178" s="42">
        <v>269.771212866741</v>
      </c>
      <c r="H178" s="39">
        <v>0.29110098509174798</v>
      </c>
      <c r="I178" s="39">
        <v>0.35166552879907598</v>
      </c>
      <c r="J178" s="39">
        <v>0.31640793589058702</v>
      </c>
      <c r="K178" s="39">
        <v>0.25122215219469302</v>
      </c>
      <c r="L178" s="39">
        <v>0.412852085039636</v>
      </c>
      <c r="M178" s="39">
        <v>0.41017289942909302</v>
      </c>
      <c r="N178" s="48">
        <v>0.27611838027524493</v>
      </c>
      <c r="O178" s="39">
        <v>0.20542039091390901</v>
      </c>
      <c r="P178" s="39">
        <v>0.360485328572547</v>
      </c>
      <c r="Q178" s="39">
        <v>0.404718743820774</v>
      </c>
      <c r="R178" s="39">
        <v>0.41673683085261998</v>
      </c>
      <c r="S178" s="39">
        <v>0.25540204042553599</v>
      </c>
      <c r="T178" s="39">
        <v>0.23540018910591101</v>
      </c>
      <c r="U178" s="43">
        <v>0.25</v>
      </c>
      <c r="V178" s="43">
        <v>0.24276133198299499</v>
      </c>
      <c r="W178" s="43">
        <f t="shared" si="4"/>
        <v>7.2386680170050122E-3</v>
      </c>
      <c r="X178" s="45">
        <v>0.40994362049156402</v>
      </c>
      <c r="Y178" s="45">
        <f t="shared" si="5"/>
        <v>-0.15994362049156402</v>
      </c>
    </row>
    <row r="179" spans="1:25" ht="15" x14ac:dyDescent="0.2">
      <c r="B179" s="41">
        <v>10</v>
      </c>
      <c r="C179" s="42">
        <v>528</v>
      </c>
      <c r="D179" s="43">
        <v>2.8</v>
      </c>
      <c r="E179" s="41">
        <v>40</v>
      </c>
      <c r="F179" s="44">
        <v>8.2631578947368403E-3</v>
      </c>
      <c r="G179" s="42">
        <v>291.34851290841902</v>
      </c>
      <c r="H179" s="39">
        <v>0.31575574395780198</v>
      </c>
      <c r="I179" s="39">
        <v>0.36372025732765001</v>
      </c>
      <c r="J179" s="39">
        <v>0.32725407080882202</v>
      </c>
      <c r="K179" s="39">
        <v>0.268740618169863</v>
      </c>
      <c r="L179" s="39">
        <v>0.436911044792203</v>
      </c>
      <c r="M179" s="39">
        <v>0.42423319976413298</v>
      </c>
      <c r="N179" s="48">
        <v>0.28686539942646772</v>
      </c>
      <c r="O179" s="39">
        <v>0.213138201442163</v>
      </c>
      <c r="P179" s="39">
        <v>0.37284239066309499</v>
      </c>
      <c r="Q179" s="39">
        <v>0.42211334355785002</v>
      </c>
      <c r="R179" s="39">
        <v>0.44321958863481797</v>
      </c>
      <c r="S179" s="39">
        <v>0.27619736209034301</v>
      </c>
      <c r="T179" s="39">
        <v>0.25645968284540099</v>
      </c>
      <c r="U179" s="43">
        <v>0.27</v>
      </c>
      <c r="V179" s="43">
        <v>0.26232475818385498</v>
      </c>
      <c r="W179" s="43">
        <f t="shared" si="4"/>
        <v>7.6752418161450398E-3</v>
      </c>
      <c r="X179" s="45">
        <v>0.44273242848008498</v>
      </c>
      <c r="Y179" s="45">
        <f t="shared" si="5"/>
        <v>-0.17273242848008497</v>
      </c>
    </row>
    <row r="180" spans="1:25" ht="15" x14ac:dyDescent="0.2">
      <c r="B180" s="41">
        <v>10</v>
      </c>
      <c r="C180" s="42">
        <v>528</v>
      </c>
      <c r="D180" s="43">
        <v>2.8</v>
      </c>
      <c r="E180" s="41">
        <v>40</v>
      </c>
      <c r="F180" s="44">
        <v>8.2631578947368403E-3</v>
      </c>
      <c r="G180" s="42">
        <v>310.69367846302703</v>
      </c>
      <c r="H180" s="39">
        <v>0.33786001052736803</v>
      </c>
      <c r="I180" s="39">
        <v>0.37452794497395703</v>
      </c>
      <c r="J180" s="39">
        <v>0.33697819176999899</v>
      </c>
      <c r="K180" s="39">
        <v>0.28494877070486602</v>
      </c>
      <c r="L180" s="39">
        <v>0.45848114663933198</v>
      </c>
      <c r="M180" s="39">
        <v>0.43683898627140999</v>
      </c>
      <c r="N180" s="48">
        <v>0.29650065797583997</v>
      </c>
      <c r="O180" s="39">
        <v>0.220057617777839</v>
      </c>
      <c r="P180" s="39">
        <v>0.38392113598565503</v>
      </c>
      <c r="Q180" s="39">
        <v>0.43779235302872099</v>
      </c>
      <c r="R180" s="39">
        <v>0.466697981525936</v>
      </c>
      <c r="S180" s="39">
        <v>0.29486848123440101</v>
      </c>
      <c r="T180" s="39">
        <v>0.27543913878126097</v>
      </c>
      <c r="U180" s="43">
        <v>0.28999999999999998</v>
      </c>
      <c r="V180" s="43">
        <v>0.27986438167428102</v>
      </c>
      <c r="W180" s="43">
        <f t="shared" si="4"/>
        <v>1.0135618325718965E-2</v>
      </c>
      <c r="X180" s="45">
        <v>0.47212929081462202</v>
      </c>
      <c r="Y180" s="45">
        <f t="shared" si="5"/>
        <v>-0.18212929081462204</v>
      </c>
    </row>
    <row r="181" spans="1:25" ht="15" x14ac:dyDescent="0.2">
      <c r="A181" s="40" t="s">
        <v>60</v>
      </c>
      <c r="B181" s="41">
        <v>10</v>
      </c>
      <c r="C181" s="42">
        <v>528</v>
      </c>
      <c r="D181" s="43">
        <v>2.8</v>
      </c>
      <c r="E181" s="41">
        <v>40</v>
      </c>
      <c r="F181" s="44">
        <v>8.2631578947368403E-3</v>
      </c>
      <c r="G181" s="42">
        <v>182.71796787100601</v>
      </c>
      <c r="H181" s="39">
        <v>0.191631785528701</v>
      </c>
      <c r="I181" s="39">
        <v>0.30303093439069301</v>
      </c>
      <c r="J181" s="39">
        <v>0.272649391565293</v>
      </c>
      <c r="K181" s="39">
        <v>0.18654012455289501</v>
      </c>
      <c r="L181" s="39">
        <v>0.31578662672755298</v>
      </c>
      <c r="M181" s="39">
        <v>0.35344686014634602</v>
      </c>
      <c r="N181" s="48">
        <v>0.23275971680306987</v>
      </c>
      <c r="O181" s="39">
        <v>0.17428301740336799</v>
      </c>
      <c r="P181" s="39">
        <v>0.31063097462102401</v>
      </c>
      <c r="Q181" s="39">
        <v>0.33572593544947499</v>
      </c>
      <c r="R181" s="39">
        <v>0.325009243972816</v>
      </c>
      <c r="S181" s="39">
        <v>0.20470724792366199</v>
      </c>
      <c r="T181" s="39">
        <v>0.184493613666036</v>
      </c>
      <c r="U181" s="43">
        <v>0.15</v>
      </c>
      <c r="V181" s="43">
        <v>0.19671362345416299</v>
      </c>
      <c r="W181" s="43">
        <f t="shared" si="4"/>
        <v>-4.6713623454162995E-2</v>
      </c>
      <c r="X181" s="45">
        <v>0.29912619269410601</v>
      </c>
      <c r="Y181" s="45">
        <f t="shared" si="5"/>
        <v>-0.14912619269410601</v>
      </c>
    </row>
    <row r="182" spans="1:25" ht="15" x14ac:dyDescent="0.2">
      <c r="B182" s="41">
        <v>10</v>
      </c>
      <c r="C182" s="42">
        <v>528</v>
      </c>
      <c r="D182" s="43">
        <v>2.8</v>
      </c>
      <c r="E182" s="41">
        <v>40</v>
      </c>
      <c r="F182" s="44">
        <v>8.2631578947368403E-3</v>
      </c>
      <c r="G182" s="42">
        <v>204.29526791268401</v>
      </c>
      <c r="H182" s="39">
        <v>0.216286544394755</v>
      </c>
      <c r="I182" s="39">
        <v>0.31508566291926698</v>
      </c>
      <c r="J182" s="39">
        <v>0.28349552648352799</v>
      </c>
      <c r="K182" s="39">
        <v>0.20167664919268499</v>
      </c>
      <c r="L182" s="39">
        <v>0.33984558648011998</v>
      </c>
      <c r="M182" s="39">
        <v>0.36750716048138599</v>
      </c>
      <c r="N182" s="48">
        <v>0.24350673595429273</v>
      </c>
      <c r="O182" s="39">
        <v>0.18200082793162101</v>
      </c>
      <c r="P182" s="39">
        <v>0.322988036711572</v>
      </c>
      <c r="Q182" s="39">
        <v>0.35262798637548398</v>
      </c>
      <c r="R182" s="39">
        <v>0.34573092032409197</v>
      </c>
      <c r="S182" s="39">
        <v>0.21363620792187599</v>
      </c>
      <c r="T182" s="39">
        <v>0.19334747960830401</v>
      </c>
      <c r="U182" s="43">
        <v>0.16</v>
      </c>
      <c r="V182" s="43">
        <v>0.204538993934507</v>
      </c>
      <c r="W182" s="43">
        <f t="shared" si="4"/>
        <v>-4.4538993934506999E-2</v>
      </c>
      <c r="X182" s="45">
        <v>0.32339834860143701</v>
      </c>
      <c r="Y182" s="45">
        <f t="shared" si="5"/>
        <v>-0.16339834860143701</v>
      </c>
    </row>
    <row r="183" spans="1:25" ht="15" x14ac:dyDescent="0.2">
      <c r="B183" s="41">
        <v>10</v>
      </c>
      <c r="C183" s="42">
        <v>528</v>
      </c>
      <c r="D183" s="43">
        <v>2.8</v>
      </c>
      <c r="E183" s="41">
        <v>40</v>
      </c>
      <c r="F183" s="44">
        <v>8.2631578947368403E-3</v>
      </c>
      <c r="G183" s="42">
        <v>234.80110590264201</v>
      </c>
      <c r="H183" s="39">
        <v>0.25114327244676299</v>
      </c>
      <c r="I183" s="39">
        <v>0.33212855497690502</v>
      </c>
      <c r="J183" s="39">
        <v>0.29882971722999901</v>
      </c>
      <c r="K183" s="39">
        <v>0.22408395674156301</v>
      </c>
      <c r="L183" s="39">
        <v>0.37385997785443997</v>
      </c>
      <c r="M183" s="39">
        <v>0.38738551612747602</v>
      </c>
      <c r="N183" s="48">
        <v>0.25870079751291819</v>
      </c>
      <c r="O183" s="39">
        <v>0.19291221523018701</v>
      </c>
      <c r="P183" s="39">
        <v>0.34045836587407202</v>
      </c>
      <c r="Q183" s="39">
        <v>0.37675804760311299</v>
      </c>
      <c r="R183" s="39">
        <v>0.37541859077877898</v>
      </c>
      <c r="S183" s="39">
        <v>0.226314174365746</v>
      </c>
      <c r="T183" s="39">
        <v>0.206062764269411</v>
      </c>
      <c r="U183" s="43">
        <v>0.18</v>
      </c>
      <c r="V183" s="43">
        <v>0.21560244875154499</v>
      </c>
      <c r="W183" s="43">
        <f t="shared" si="4"/>
        <v>-3.5602448751545002E-2</v>
      </c>
      <c r="X183" s="45">
        <v>0.35932955971050401</v>
      </c>
      <c r="Y183" s="45">
        <f t="shared" si="5"/>
        <v>-0.17932955971050402</v>
      </c>
    </row>
    <row r="184" spans="1:25" ht="15" x14ac:dyDescent="0.2">
      <c r="B184" s="41">
        <v>10</v>
      </c>
      <c r="C184" s="42">
        <v>528</v>
      </c>
      <c r="D184" s="43">
        <v>2.8</v>
      </c>
      <c r="E184" s="41">
        <v>40</v>
      </c>
      <c r="F184" s="44">
        <v>8.2631578947368403E-3</v>
      </c>
      <c r="G184" s="42">
        <v>252.65818179920399</v>
      </c>
      <c r="H184" s="39">
        <v>0.27154721081867</v>
      </c>
      <c r="I184" s="39">
        <v>0.34210488203503497</v>
      </c>
      <c r="J184" s="39">
        <v>0.30780582888647001</v>
      </c>
      <c r="K184" s="39">
        <v>0.23774800217387801</v>
      </c>
      <c r="L184" s="39">
        <v>0.39377084109794402</v>
      </c>
      <c r="M184" s="39">
        <v>0.39902162674957797</v>
      </c>
      <c r="N184" s="48">
        <v>0.26759488232772327</v>
      </c>
      <c r="O184" s="39">
        <v>0.199299368770811</v>
      </c>
      <c r="P184" s="39">
        <v>0.35068490001797398</v>
      </c>
      <c r="Q184" s="39">
        <v>0.390998425952224</v>
      </c>
      <c r="R184" s="39">
        <v>0.395502505561457</v>
      </c>
      <c r="S184" s="39">
        <v>0.238931812413675</v>
      </c>
      <c r="T184" s="39">
        <v>0.21878023934136701</v>
      </c>
      <c r="U184" s="43">
        <v>0.18</v>
      </c>
      <c r="V184" s="43">
        <v>0.22724551120300299</v>
      </c>
      <c r="W184" s="43">
        <f t="shared" si="4"/>
        <v>-4.7245511203002993E-2</v>
      </c>
      <c r="X184" s="45">
        <v>0.38393870381101203</v>
      </c>
      <c r="Y184" s="45">
        <f t="shared" si="5"/>
        <v>-0.20393870381101203</v>
      </c>
    </row>
    <row r="185" spans="1:25" ht="15" x14ac:dyDescent="0.2">
      <c r="B185" s="41">
        <v>10</v>
      </c>
      <c r="C185" s="42">
        <v>528</v>
      </c>
      <c r="D185" s="43">
        <v>2.8</v>
      </c>
      <c r="E185" s="41">
        <v>40</v>
      </c>
      <c r="F185" s="44">
        <v>8.2631578947368403E-3</v>
      </c>
      <c r="G185" s="42">
        <v>269.771212866741</v>
      </c>
      <c r="H185" s="39">
        <v>0.29110098509174798</v>
      </c>
      <c r="I185" s="39">
        <v>0.35166552879907598</v>
      </c>
      <c r="J185" s="39">
        <v>0.31640793589058702</v>
      </c>
      <c r="K185" s="39">
        <v>0.25122215219469302</v>
      </c>
      <c r="L185" s="39">
        <v>0.412852085039636</v>
      </c>
      <c r="M185" s="39">
        <v>0.41017289942909302</v>
      </c>
      <c r="N185" s="48">
        <v>0.27611838027524493</v>
      </c>
      <c r="O185" s="39">
        <v>0.20542039091390901</v>
      </c>
      <c r="P185" s="39">
        <v>0.360485328572547</v>
      </c>
      <c r="Q185" s="39">
        <v>0.404718743820774</v>
      </c>
      <c r="R185" s="39">
        <v>0.41673683085261998</v>
      </c>
      <c r="S185" s="39">
        <v>0.25540204042553599</v>
      </c>
      <c r="T185" s="39">
        <v>0.23540018910591101</v>
      </c>
      <c r="U185" s="43">
        <v>0.19</v>
      </c>
      <c r="V185" s="43">
        <v>0.24276133198299499</v>
      </c>
      <c r="W185" s="43">
        <f t="shared" si="4"/>
        <v>-5.2761331982994986E-2</v>
      </c>
      <c r="X185" s="45">
        <v>0.40994362049156402</v>
      </c>
      <c r="Y185" s="45">
        <f t="shared" si="5"/>
        <v>-0.21994362049156402</v>
      </c>
    </row>
    <row r="186" spans="1:25" ht="15" x14ac:dyDescent="0.2">
      <c r="B186" s="41">
        <v>10</v>
      </c>
      <c r="C186" s="42">
        <v>528</v>
      </c>
      <c r="D186" s="43">
        <v>2.8</v>
      </c>
      <c r="E186" s="41">
        <v>40</v>
      </c>
      <c r="F186" s="44">
        <v>8.2631578947368403E-3</v>
      </c>
      <c r="G186" s="42">
        <v>288.37233359232602</v>
      </c>
      <c r="H186" s="39">
        <v>0.31235508756248498</v>
      </c>
      <c r="I186" s="39">
        <v>0.36205753615129499</v>
      </c>
      <c r="J186" s="39">
        <v>0.32575805219941101</v>
      </c>
      <c r="K186" s="39">
        <v>0.26628917721992301</v>
      </c>
      <c r="L186" s="39">
        <v>0.43359256758495202</v>
      </c>
      <c r="M186" s="39">
        <v>0.422293847993782</v>
      </c>
      <c r="N186" s="48">
        <v>0.28538305195733366</v>
      </c>
      <c r="O186" s="39">
        <v>0.212073675852059</v>
      </c>
      <c r="P186" s="39">
        <v>0.371137968305778</v>
      </c>
      <c r="Q186" s="39">
        <v>0.41970806320999698</v>
      </c>
      <c r="R186" s="39">
        <v>0.43958560367808602</v>
      </c>
      <c r="S186" s="39">
        <v>0.27332715111585698</v>
      </c>
      <c r="T186" s="39">
        <v>0.25354803484247801</v>
      </c>
      <c r="U186" s="43">
        <v>0.2</v>
      </c>
      <c r="V186" s="43">
        <v>0.25962635456994299</v>
      </c>
      <c r="W186" s="43">
        <f t="shared" si="4"/>
        <v>-5.9626354569942974E-2</v>
      </c>
      <c r="X186" s="45">
        <v>0.438209834274772</v>
      </c>
      <c r="Y186" s="45">
        <f t="shared" si="5"/>
        <v>-0.23820983427477199</v>
      </c>
    </row>
    <row r="187" spans="1:25" ht="15" x14ac:dyDescent="0.2">
      <c r="B187" s="41">
        <v>10</v>
      </c>
      <c r="C187" s="42">
        <v>528</v>
      </c>
      <c r="D187" s="43">
        <v>2.8</v>
      </c>
      <c r="E187" s="41">
        <v>40</v>
      </c>
      <c r="F187" s="44">
        <v>8.2631578947368403E-3</v>
      </c>
      <c r="G187" s="42">
        <v>312.92581295009802</v>
      </c>
      <c r="H187" s="39">
        <v>0.34041050282385699</v>
      </c>
      <c r="I187" s="39">
        <v>0.37577498585622399</v>
      </c>
      <c r="J187" s="39">
        <v>0.33810020572705801</v>
      </c>
      <c r="K187" s="39">
        <v>0.28684947986064102</v>
      </c>
      <c r="L187" s="39">
        <v>0.46097000454477099</v>
      </c>
      <c r="M187" s="39">
        <v>0.43829350009917201</v>
      </c>
      <c r="N187" s="48">
        <v>0.29761241857769066</v>
      </c>
      <c r="O187" s="39">
        <v>0.22085601197041699</v>
      </c>
      <c r="P187" s="39">
        <v>0.38519945275364298</v>
      </c>
      <c r="Q187" s="39">
        <v>0.43960630775763299</v>
      </c>
      <c r="R187" s="39">
        <v>0.46939140643553101</v>
      </c>
      <c r="S187" s="39">
        <v>0.297024486083666</v>
      </c>
      <c r="T187" s="39">
        <v>0.277635070518433</v>
      </c>
      <c r="U187" s="43">
        <v>0.22</v>
      </c>
      <c r="V187" s="43">
        <v>0.28188818438471502</v>
      </c>
      <c r="W187" s="43">
        <f t="shared" si="4"/>
        <v>-6.1888184384715023E-2</v>
      </c>
      <c r="X187" s="45">
        <v>0.475521236468607</v>
      </c>
      <c r="Y187" s="45">
        <f t="shared" si="5"/>
        <v>-0.25552123646860703</v>
      </c>
    </row>
    <row r="188" spans="1:25" ht="15" x14ac:dyDescent="0.2">
      <c r="A188" s="40" t="s">
        <v>61</v>
      </c>
      <c r="B188" s="41">
        <v>20</v>
      </c>
      <c r="C188" s="42">
        <v>598</v>
      </c>
      <c r="D188" s="43">
        <v>2.8</v>
      </c>
      <c r="E188" s="41">
        <v>40</v>
      </c>
      <c r="F188" s="44">
        <v>2.1000000000000001E-2</v>
      </c>
      <c r="G188" s="42">
        <v>138.052653306689</v>
      </c>
      <c r="H188" s="39">
        <v>0.176217506045446</v>
      </c>
      <c r="I188" s="39">
        <v>0.17479495534935299</v>
      </c>
      <c r="J188" s="39">
        <v>0.189875768539394</v>
      </c>
      <c r="K188" s="39">
        <v>0.19142813392713301</v>
      </c>
      <c r="L188" s="39">
        <v>0.19112255277280901</v>
      </c>
      <c r="M188" s="39">
        <v>0.236849510941297</v>
      </c>
      <c r="N188" s="48">
        <v>0.20546221501774403</v>
      </c>
      <c r="O188" s="39">
        <v>0.127785822655367</v>
      </c>
      <c r="P188" s="39">
        <v>0.24461058238608499</v>
      </c>
      <c r="Q188" s="39">
        <v>0.22483633288707</v>
      </c>
      <c r="R188" s="39">
        <v>0.186594506410794</v>
      </c>
      <c r="S188" s="39">
        <v>0.191852759584552</v>
      </c>
      <c r="T188" s="39">
        <v>0.168591935645754</v>
      </c>
      <c r="U188" s="43">
        <v>0.16</v>
      </c>
      <c r="V188" s="43">
        <v>0.16250526374056301</v>
      </c>
      <c r="W188" s="43">
        <f t="shared" si="4"/>
        <v>-2.5052637405630074E-3</v>
      </c>
      <c r="X188" s="45">
        <v>0.168972235980417</v>
      </c>
      <c r="Y188" s="45">
        <f t="shared" si="5"/>
        <v>-8.9722359804169927E-3</v>
      </c>
    </row>
    <row r="189" spans="1:25" ht="15" x14ac:dyDescent="0.2">
      <c r="B189" s="41">
        <v>20</v>
      </c>
      <c r="C189" s="42">
        <v>598</v>
      </c>
      <c r="D189" s="43">
        <v>2.8</v>
      </c>
      <c r="E189" s="41">
        <v>40</v>
      </c>
      <c r="F189" s="44">
        <v>2.1000000000000001E-2</v>
      </c>
      <c r="G189" s="42">
        <v>183.38520949225401</v>
      </c>
      <c r="H189" s="39">
        <v>0.21295822122347299</v>
      </c>
      <c r="I189" s="39">
        <v>0.21123907383205501</v>
      </c>
      <c r="J189" s="39">
        <v>0.21938754499836199</v>
      </c>
      <c r="K189" s="39">
        <v>0.25555866628532897</v>
      </c>
      <c r="L189" s="39">
        <v>0.22730456924435199</v>
      </c>
      <c r="M189" s="39">
        <v>0.27366226422247902</v>
      </c>
      <c r="N189" s="48">
        <v>0.24507473604570415</v>
      </c>
      <c r="O189" s="39">
        <v>0.14966742924837001</v>
      </c>
      <c r="P189" s="39">
        <v>0.28262961389498698</v>
      </c>
      <c r="Q189" s="39">
        <v>0.26412783228245501</v>
      </c>
      <c r="R189" s="39">
        <v>0.24006864749370699</v>
      </c>
      <c r="S189" s="39">
        <v>0.244952983036345</v>
      </c>
      <c r="T189" s="39">
        <v>0.21838505609595399</v>
      </c>
      <c r="U189" s="43">
        <v>0.2</v>
      </c>
      <c r="V189" s="43">
        <v>0.20529664584009599</v>
      </c>
      <c r="W189" s="43">
        <f t="shared" si="4"/>
        <v>-5.2966458400959815E-3</v>
      </c>
      <c r="X189" s="45">
        <v>0.224457901760169</v>
      </c>
      <c r="Y189" s="45">
        <f t="shared" si="5"/>
        <v>-2.4457901760168987E-2</v>
      </c>
    </row>
    <row r="190" spans="1:25" ht="15" x14ac:dyDescent="0.2">
      <c r="B190" s="41">
        <v>20</v>
      </c>
      <c r="C190" s="42">
        <v>598</v>
      </c>
      <c r="D190" s="43">
        <v>2.8</v>
      </c>
      <c r="E190" s="41">
        <v>40</v>
      </c>
      <c r="F190" s="44">
        <v>2.1000000000000001E-2</v>
      </c>
      <c r="G190" s="42">
        <v>228.56409599583299</v>
      </c>
      <c r="H190" s="39">
        <v>0.24957439160428599</v>
      </c>
      <c r="I190" s="39">
        <v>0.24755965293007001</v>
      </c>
      <c r="J190" s="39">
        <v>0.24879928153712999</v>
      </c>
      <c r="K190" s="39">
        <v>0.32867367449457502</v>
      </c>
      <c r="L190" s="39">
        <v>0.26336393481260301</v>
      </c>
      <c r="M190" s="39">
        <v>0.31035022850948701</v>
      </c>
      <c r="N190" s="48">
        <v>0.28455297734136625</v>
      </c>
      <c r="O190" s="39">
        <v>0.17147486090377101</v>
      </c>
      <c r="P190" s="39">
        <v>0.32051976733097698</v>
      </c>
      <c r="Q190" s="39">
        <v>0.303886873241901</v>
      </c>
      <c r="R190" s="39">
        <v>0.29208157766276899</v>
      </c>
      <c r="S190" s="39">
        <v>0.29894367910291297</v>
      </c>
      <c r="T190" s="39">
        <v>0.26963032580470098</v>
      </c>
      <c r="U190" s="43">
        <v>0.23</v>
      </c>
      <c r="V190" s="43">
        <v>0.24794297240708699</v>
      </c>
      <c r="W190" s="43">
        <f t="shared" si="4"/>
        <v>-1.7942972407086977E-2</v>
      </c>
      <c r="X190" s="45">
        <v>0.279755480537276</v>
      </c>
      <c r="Y190" s="45">
        <f t="shared" si="5"/>
        <v>-4.9755480537275992E-2</v>
      </c>
    </row>
    <row r="191" spans="1:25" ht="15" x14ac:dyDescent="0.2">
      <c r="A191" s="40" t="s">
        <v>62</v>
      </c>
      <c r="B191" s="41">
        <v>20</v>
      </c>
      <c r="C191" s="42">
        <v>598</v>
      </c>
      <c r="D191" s="43">
        <v>2.8</v>
      </c>
      <c r="E191" s="41">
        <v>40</v>
      </c>
      <c r="F191" s="44">
        <v>2.1000000000000001E-2</v>
      </c>
      <c r="G191" s="42">
        <v>152.45029192516199</v>
      </c>
      <c r="H191" s="39">
        <v>0.176217506045446</v>
      </c>
      <c r="I191" s="39">
        <v>0.17479495534935299</v>
      </c>
      <c r="J191" s="39">
        <v>0.189875768539394</v>
      </c>
      <c r="K191" s="39">
        <v>0.19142813392713301</v>
      </c>
      <c r="L191" s="39">
        <v>0.19112255277280901</v>
      </c>
      <c r="M191" s="39">
        <v>0.236849510941297</v>
      </c>
      <c r="N191" s="48">
        <v>0.20546221501774403</v>
      </c>
      <c r="O191" s="39">
        <v>0.127785822655367</v>
      </c>
      <c r="P191" s="39">
        <v>0.24461058238608499</v>
      </c>
      <c r="Q191" s="39">
        <v>0.22483633288707</v>
      </c>
      <c r="R191" s="39">
        <v>0.186594506410794</v>
      </c>
      <c r="S191" s="39">
        <v>0.191852759584552</v>
      </c>
      <c r="T191" s="39">
        <v>0.168591935645754</v>
      </c>
      <c r="U191" s="43">
        <v>0.14000000000000001</v>
      </c>
      <c r="V191" s="43">
        <v>0.16250526374056301</v>
      </c>
      <c r="W191" s="43">
        <f t="shared" si="4"/>
        <v>-2.2505263740562997E-2</v>
      </c>
      <c r="X191" s="45">
        <v>0.168972235980417</v>
      </c>
      <c r="Y191" s="45">
        <f t="shared" si="5"/>
        <v>-2.8972235980416983E-2</v>
      </c>
    </row>
    <row r="192" spans="1:25" ht="15" x14ac:dyDescent="0.2">
      <c r="B192" s="41">
        <v>20</v>
      </c>
      <c r="C192" s="42">
        <v>598</v>
      </c>
      <c r="D192" s="43">
        <v>2.8</v>
      </c>
      <c r="E192" s="41">
        <v>40</v>
      </c>
      <c r="F192" s="44">
        <v>2.1000000000000001E-2</v>
      </c>
      <c r="G192" s="42">
        <v>195.554342766269</v>
      </c>
      <c r="H192" s="39">
        <v>0.21246004203461799</v>
      </c>
      <c r="I192" s="39">
        <v>0.21074491629330599</v>
      </c>
      <c r="J192" s="39">
        <v>0.21898738531756201</v>
      </c>
      <c r="K192" s="39">
        <v>0.25462724595282998</v>
      </c>
      <c r="L192" s="39">
        <v>0.226813965631179</v>
      </c>
      <c r="M192" s="39">
        <v>0.27316310824578499</v>
      </c>
      <c r="N192" s="48">
        <v>0.24453761711651154</v>
      </c>
      <c r="O192" s="39">
        <v>0.14937072949795699</v>
      </c>
      <c r="P192" s="39">
        <v>0.28211410160334099</v>
      </c>
      <c r="Q192" s="39">
        <v>0.26359058792613799</v>
      </c>
      <c r="R192" s="39">
        <v>0.23935254963546901</v>
      </c>
      <c r="S192" s="39">
        <v>0.24422578441956699</v>
      </c>
      <c r="T192" s="39">
        <v>0.217698999389944</v>
      </c>
      <c r="U192" s="43">
        <v>0.17</v>
      </c>
      <c r="V192" s="43">
        <v>0.20471642370993301</v>
      </c>
      <c r="W192" s="43">
        <f t="shared" si="4"/>
        <v>-3.4716423709932998E-2</v>
      </c>
      <c r="X192" s="45">
        <v>0.223705553749596</v>
      </c>
      <c r="Y192" s="45">
        <f t="shared" si="5"/>
        <v>-5.3705553749595986E-2</v>
      </c>
    </row>
    <row r="193" spans="1:25" ht="15" x14ac:dyDescent="0.2">
      <c r="B193" s="41">
        <v>20</v>
      </c>
      <c r="C193" s="42">
        <v>598</v>
      </c>
      <c r="D193" s="43">
        <v>2.8</v>
      </c>
      <c r="E193" s="41">
        <v>40</v>
      </c>
      <c r="F193" s="44">
        <v>2.1000000000000001E-2</v>
      </c>
      <c r="G193" s="42">
        <v>237.91998936708401</v>
      </c>
      <c r="H193" s="39">
        <v>0.24895166761821799</v>
      </c>
      <c r="I193" s="39">
        <v>0.24694195600663399</v>
      </c>
      <c r="J193" s="39">
        <v>0.24829908193613001</v>
      </c>
      <c r="K193" s="39">
        <v>0.32735343612391499</v>
      </c>
      <c r="L193" s="39">
        <v>0.26275068029613602</v>
      </c>
      <c r="M193" s="39">
        <v>0.30972628353861897</v>
      </c>
      <c r="N193" s="48">
        <v>0.2838815786798754</v>
      </c>
      <c r="O193" s="39">
        <v>0.17110398621575401</v>
      </c>
      <c r="P193" s="39">
        <v>0.31987537696641899</v>
      </c>
      <c r="Q193" s="39">
        <v>0.303206648058924</v>
      </c>
      <c r="R193" s="39">
        <v>0.29120680859703202</v>
      </c>
      <c r="S193" s="39">
        <v>0.29801653732023697</v>
      </c>
      <c r="T193" s="39">
        <v>0.26874528153003902</v>
      </c>
      <c r="U193" s="43">
        <v>0.21</v>
      </c>
      <c r="V193" s="43">
        <v>0.24721769474438299</v>
      </c>
      <c r="W193" s="43">
        <f t="shared" si="4"/>
        <v>-3.7217694744382995E-2</v>
      </c>
      <c r="X193" s="45">
        <v>0.27881504552406</v>
      </c>
      <c r="Y193" s="45">
        <f t="shared" si="5"/>
        <v>-6.8815045524060009E-2</v>
      </c>
    </row>
    <row r="194" spans="1:25" ht="15" x14ac:dyDescent="0.2">
      <c r="A194" s="40" t="s">
        <v>63</v>
      </c>
      <c r="B194" s="41">
        <v>20</v>
      </c>
      <c r="C194" s="42">
        <v>598</v>
      </c>
      <c r="D194" s="43">
        <v>2.8</v>
      </c>
      <c r="E194" s="41">
        <v>40</v>
      </c>
      <c r="F194" s="44">
        <v>2.1000000000000001E-2</v>
      </c>
      <c r="G194" s="42">
        <v>62.135671537415803</v>
      </c>
      <c r="H194" s="39">
        <v>0.10198880690610999</v>
      </c>
      <c r="I194" s="39">
        <v>0.101165482075826</v>
      </c>
      <c r="J194" s="39">
        <v>0.13025197610025799</v>
      </c>
      <c r="K194" s="39">
        <v>9.0081439601391797E-2</v>
      </c>
      <c r="L194" s="39">
        <v>0.11802261440996099</v>
      </c>
      <c r="M194" s="39">
        <v>0.16247527041389301</v>
      </c>
      <c r="N194" s="48">
        <v>0.12543149456803462</v>
      </c>
      <c r="O194" s="39">
        <v>8.3577559843738894E-2</v>
      </c>
      <c r="P194" s="39">
        <v>0.16779925093081299</v>
      </c>
      <c r="Q194" s="39">
        <v>0.14852557129246</v>
      </c>
      <c r="R194" s="39">
        <v>7.6052166346253294E-2</v>
      </c>
      <c r="S194" s="39">
        <v>8.7855053581016002E-2</v>
      </c>
      <c r="T194" s="39">
        <v>7.2963774529797104E-2</v>
      </c>
      <c r="U194" s="43">
        <v>0.21</v>
      </c>
      <c r="V194" s="43">
        <v>7.6052166346253294E-2</v>
      </c>
      <c r="W194" s="43">
        <f t="shared" si="4"/>
        <v>0.13394783365374668</v>
      </c>
      <c r="X194" s="45">
        <v>7.6052166346253294E-2</v>
      </c>
      <c r="Y194" s="45">
        <f t="shared" si="5"/>
        <v>0.13394783365374668</v>
      </c>
    </row>
    <row r="195" spans="1:25" ht="15" x14ac:dyDescent="0.2">
      <c r="B195" s="41">
        <v>20</v>
      </c>
      <c r="C195" s="42">
        <v>598</v>
      </c>
      <c r="D195" s="43">
        <v>2.8</v>
      </c>
      <c r="E195" s="41">
        <v>40</v>
      </c>
      <c r="F195" s="44">
        <v>2.1000000000000001E-2</v>
      </c>
      <c r="G195" s="42">
        <v>98.163433805431097</v>
      </c>
      <c r="H195" s="39">
        <v>0.13985042525906</v>
      </c>
      <c r="I195" s="39">
        <v>0.13872145502071201</v>
      </c>
      <c r="J195" s="39">
        <v>0.160664111841025</v>
      </c>
      <c r="K195" s="39">
        <v>0.137058013048421</v>
      </c>
      <c r="L195" s="39">
        <v>0.155308489011145</v>
      </c>
      <c r="M195" s="39">
        <v>0.200411124642636</v>
      </c>
      <c r="N195" s="48">
        <v>0.1662525331866784</v>
      </c>
      <c r="O195" s="39">
        <v>0.106126740875173</v>
      </c>
      <c r="P195" s="39">
        <v>0.206978185095918</v>
      </c>
      <c r="Q195" s="39">
        <v>0.18678749152515101</v>
      </c>
      <c r="R195" s="39">
        <v>0.132224669266714</v>
      </c>
      <c r="S195" s="39">
        <v>0.140352119488591</v>
      </c>
      <c r="T195" s="39">
        <v>0.120909632013457</v>
      </c>
      <c r="U195" s="43">
        <v>0.25</v>
      </c>
      <c r="V195" s="43">
        <v>0.12014904823865299</v>
      </c>
      <c r="W195" s="43">
        <f t="shared" ref="W195:W258" si="6">U195-V195</f>
        <v>0.12985095176134701</v>
      </c>
      <c r="X195" s="45">
        <v>0.12014904823865299</v>
      </c>
      <c r="Y195" s="45">
        <f t="shared" ref="Y195:Y258" si="7">U195-X195</f>
        <v>0.12985095176134701</v>
      </c>
    </row>
    <row r="196" spans="1:25" ht="15" x14ac:dyDescent="0.2">
      <c r="B196" s="41">
        <v>20</v>
      </c>
      <c r="C196" s="42">
        <v>598</v>
      </c>
      <c r="D196" s="43">
        <v>2.8</v>
      </c>
      <c r="E196" s="41">
        <v>40</v>
      </c>
      <c r="F196" s="44">
        <v>2.1000000000000001E-2</v>
      </c>
      <c r="G196" s="42">
        <v>137.28430489676401</v>
      </c>
      <c r="H196" s="39">
        <v>0.17559478205937801</v>
      </c>
      <c r="I196" s="39">
        <v>0.174177258425917</v>
      </c>
      <c r="J196" s="39">
        <v>0.189375568938394</v>
      </c>
      <c r="K196" s="39">
        <v>0.19042088424647899</v>
      </c>
      <c r="L196" s="39">
        <v>0.190509298256342</v>
      </c>
      <c r="M196" s="39">
        <v>0.23622556597043001</v>
      </c>
      <c r="N196" s="48">
        <v>0.20479081635625315</v>
      </c>
      <c r="O196" s="39">
        <v>0.12741494796735001</v>
      </c>
      <c r="P196" s="39">
        <v>0.243966192021528</v>
      </c>
      <c r="Q196" s="39">
        <v>0.22417685738802101</v>
      </c>
      <c r="R196" s="39">
        <v>0.185676091786764</v>
      </c>
      <c r="S196" s="39">
        <v>0.19096202846079499</v>
      </c>
      <c r="T196" s="39">
        <v>0.16776202536760201</v>
      </c>
      <c r="U196" s="43">
        <v>0.28999999999999998</v>
      </c>
      <c r="V196" s="43">
        <v>0.16177998607785901</v>
      </c>
      <c r="W196" s="43">
        <f t="shared" si="6"/>
        <v>0.12822001392214097</v>
      </c>
      <c r="X196" s="45">
        <v>0.16803180096720099</v>
      </c>
      <c r="Y196" s="45">
        <f t="shared" si="7"/>
        <v>0.12196819903279899</v>
      </c>
    </row>
    <row r="197" spans="1:25" ht="15" x14ac:dyDescent="0.2">
      <c r="B197" s="41">
        <v>20</v>
      </c>
      <c r="C197" s="42">
        <v>598</v>
      </c>
      <c r="D197" s="43">
        <v>2.8</v>
      </c>
      <c r="E197" s="41">
        <v>40</v>
      </c>
      <c r="F197" s="44">
        <v>2.1000000000000001E-2</v>
      </c>
      <c r="G197" s="42">
        <v>181.541173308434</v>
      </c>
      <c r="H197" s="39">
        <v>0.21146368365690901</v>
      </c>
      <c r="I197" s="39">
        <v>0.209756601215809</v>
      </c>
      <c r="J197" s="39">
        <v>0.21818706595596299</v>
      </c>
      <c r="K197" s="39">
        <v>0.25276950663150599</v>
      </c>
      <c r="L197" s="39">
        <v>0.225832758404832</v>
      </c>
      <c r="M197" s="39">
        <v>0.27216479629239698</v>
      </c>
      <c r="N197" s="48">
        <v>0.24346337925812608</v>
      </c>
      <c r="O197" s="39">
        <v>0.148777329997129</v>
      </c>
      <c r="P197" s="39">
        <v>0.28108307702004798</v>
      </c>
      <c r="Q197" s="39">
        <v>0.26251642996351698</v>
      </c>
      <c r="R197" s="39">
        <v>0.23791964376894101</v>
      </c>
      <c r="S197" s="39">
        <v>0.24277198063647701</v>
      </c>
      <c r="T197" s="39">
        <v>0.216327784596543</v>
      </c>
      <c r="U197" s="43">
        <v>0.33</v>
      </c>
      <c r="V197" s="43">
        <v>0.20355597944960599</v>
      </c>
      <c r="W197" s="43">
        <f t="shared" si="6"/>
        <v>0.12644402055039403</v>
      </c>
      <c r="X197" s="45">
        <v>0.22220085772845</v>
      </c>
      <c r="Y197" s="45">
        <f t="shared" si="7"/>
        <v>0.10779914227155002</v>
      </c>
    </row>
    <row r="198" spans="1:25" ht="15" x14ac:dyDescent="0.2">
      <c r="B198" s="41">
        <v>20</v>
      </c>
      <c r="C198" s="42">
        <v>598</v>
      </c>
      <c r="D198" s="43">
        <v>2.8</v>
      </c>
      <c r="E198" s="41">
        <v>40</v>
      </c>
      <c r="F198" s="44">
        <v>2.1000000000000001E-2</v>
      </c>
      <c r="G198" s="42">
        <v>244.084733876315</v>
      </c>
      <c r="H198" s="39">
        <v>0.26215341612286402</v>
      </c>
      <c r="I198" s="39">
        <v>0.26003713078346902</v>
      </c>
      <c r="J198" s="39">
        <v>0.25890331347731899</v>
      </c>
      <c r="K198" s="39">
        <v>0.35591139567956698</v>
      </c>
      <c r="L198" s="39">
        <v>0.27575167604523299</v>
      </c>
      <c r="M198" s="39">
        <v>0.32295391692101</v>
      </c>
      <c r="N198" s="48">
        <v>0.29811523030348142</v>
      </c>
      <c r="O198" s="39">
        <v>0.178966529601714</v>
      </c>
      <c r="P198" s="39">
        <v>0.33353645269504101</v>
      </c>
      <c r="Q198" s="39">
        <v>0.31765372618775101</v>
      </c>
      <c r="R198" s="39">
        <v>0.30968334049108698</v>
      </c>
      <c r="S198" s="39">
        <v>0.31773812520370398</v>
      </c>
      <c r="T198" s="39">
        <v>0.28760843485007198</v>
      </c>
      <c r="U198" s="43">
        <v>0.37</v>
      </c>
      <c r="V198" s="43">
        <v>0.26259358119370702</v>
      </c>
      <c r="W198" s="43">
        <f t="shared" si="6"/>
        <v>0.10740641880629298</v>
      </c>
      <c r="X198" s="45">
        <v>0.29875226780424202</v>
      </c>
      <c r="Y198" s="45">
        <f t="shared" si="7"/>
        <v>7.1247732195757973E-2</v>
      </c>
    </row>
    <row r="199" spans="1:25" ht="15" x14ac:dyDescent="0.2">
      <c r="A199" s="40" t="s">
        <v>64</v>
      </c>
      <c r="B199" s="41">
        <v>20</v>
      </c>
      <c r="C199" s="42">
        <v>430</v>
      </c>
      <c r="D199" s="43">
        <v>3.50882128585544</v>
      </c>
      <c r="E199" s="41">
        <v>50</v>
      </c>
      <c r="F199" s="44">
        <v>1.9146341463414599E-2</v>
      </c>
      <c r="G199" s="42">
        <v>56.975991001675503</v>
      </c>
      <c r="H199" s="39">
        <v>0.13165888294920999</v>
      </c>
      <c r="I199" s="39">
        <v>0.14372200877992899</v>
      </c>
      <c r="J199" s="39">
        <v>0.18553423573636599</v>
      </c>
      <c r="K199" s="39">
        <v>0.10264414564050101</v>
      </c>
      <c r="L199" s="39">
        <v>0.179451072883797</v>
      </c>
      <c r="M199" s="39">
        <v>0.24579967428747099</v>
      </c>
      <c r="N199" s="48">
        <v>0.17786549892396145</v>
      </c>
      <c r="O199" s="39">
        <v>0.224629446763633</v>
      </c>
      <c r="P199" s="39">
        <v>0.23457569596147701</v>
      </c>
      <c r="Q199" s="39">
        <v>0.20920701261145</v>
      </c>
      <c r="R199" s="39">
        <v>0.125813798183188</v>
      </c>
      <c r="S199" s="39">
        <v>0.120265049160711</v>
      </c>
      <c r="T199" s="39">
        <v>0.102380106993648</v>
      </c>
      <c r="U199" s="43">
        <v>0.15</v>
      </c>
      <c r="V199" s="43">
        <v>0.111129674723574</v>
      </c>
      <c r="W199" s="43">
        <f t="shared" si="6"/>
        <v>3.887032527642599E-2</v>
      </c>
      <c r="X199" s="45">
        <v>0.111129674723574</v>
      </c>
      <c r="Y199" s="45">
        <f t="shared" si="7"/>
        <v>3.887032527642599E-2</v>
      </c>
    </row>
    <row r="200" spans="1:25" ht="15" x14ac:dyDescent="0.2">
      <c r="B200" s="41">
        <v>20</v>
      </c>
      <c r="C200" s="42">
        <v>430</v>
      </c>
      <c r="D200" s="43">
        <v>3.50882128585544</v>
      </c>
      <c r="E200" s="41">
        <v>50</v>
      </c>
      <c r="F200" s="44">
        <v>1.9146341463414599E-2</v>
      </c>
      <c r="G200" s="42">
        <v>112.968616956582</v>
      </c>
      <c r="H200" s="39">
        <v>0.19201766444682</v>
      </c>
      <c r="I200" s="39">
        <v>0.19235738777105399</v>
      </c>
      <c r="J200" s="39">
        <v>0.23236812048535099</v>
      </c>
      <c r="K200" s="39">
        <v>0.16100492295254701</v>
      </c>
      <c r="L200" s="39">
        <v>0.239795384227068</v>
      </c>
      <c r="M200" s="39">
        <v>0.30784619401052199</v>
      </c>
      <c r="N200" s="48">
        <v>0.2364393163909069</v>
      </c>
      <c r="O200" s="39">
        <v>0.29310374580479798</v>
      </c>
      <c r="P200" s="39">
        <v>0.29378897843718899</v>
      </c>
      <c r="Q200" s="39">
        <v>0.268901148196938</v>
      </c>
      <c r="R200" s="39">
        <v>0.202345757337866</v>
      </c>
      <c r="S200" s="39">
        <v>0.17575873483822799</v>
      </c>
      <c r="T200" s="39">
        <v>0.15471417112529001</v>
      </c>
      <c r="U200" s="43">
        <v>0.23</v>
      </c>
      <c r="V200" s="43">
        <v>0.158125712265201</v>
      </c>
      <c r="W200" s="43">
        <f t="shared" si="6"/>
        <v>7.1874287734799008E-2</v>
      </c>
      <c r="X200" s="45">
        <v>0.174471933181406</v>
      </c>
      <c r="Y200" s="45">
        <f t="shared" si="7"/>
        <v>5.5528066818594013E-2</v>
      </c>
    </row>
    <row r="201" spans="1:25" ht="15" x14ac:dyDescent="0.2">
      <c r="B201" s="41">
        <v>20</v>
      </c>
      <c r="C201" s="42">
        <v>430</v>
      </c>
      <c r="D201" s="43">
        <v>3.50882128585544</v>
      </c>
      <c r="E201" s="41">
        <v>50</v>
      </c>
      <c r="F201" s="44">
        <v>1.9146341463414599E-2</v>
      </c>
      <c r="G201" s="42">
        <v>177.02577077203401</v>
      </c>
      <c r="H201" s="39">
        <v>0.25237644594443098</v>
      </c>
      <c r="I201" s="39">
        <v>0.25282295780791703</v>
      </c>
      <c r="J201" s="39">
        <v>0.27920200523433703</v>
      </c>
      <c r="K201" s="39">
        <v>0.23244656414487999</v>
      </c>
      <c r="L201" s="39">
        <v>0.30013969557033898</v>
      </c>
      <c r="M201" s="39">
        <v>0.36989271373357302</v>
      </c>
      <c r="N201" s="48">
        <v>0.29501313385785227</v>
      </c>
      <c r="O201" s="39">
        <v>0.36157804484596401</v>
      </c>
      <c r="P201" s="39">
        <v>0.35300226091290199</v>
      </c>
      <c r="Q201" s="39">
        <v>0.33118720341248098</v>
      </c>
      <c r="R201" s="39">
        <v>0.29560609196196502</v>
      </c>
      <c r="S201" s="39">
        <v>0.255466222048711</v>
      </c>
      <c r="T201" s="39">
        <v>0.233224637584662</v>
      </c>
      <c r="U201" s="43">
        <v>0.28000000000000003</v>
      </c>
      <c r="V201" s="43">
        <v>0.22825608951794199</v>
      </c>
      <c r="W201" s="43">
        <f t="shared" si="6"/>
        <v>5.1743910482058036E-2</v>
      </c>
      <c r="X201" s="45">
        <v>0.27340361669998903</v>
      </c>
      <c r="Y201" s="45">
        <f t="shared" si="7"/>
        <v>6.5963833000109995E-3</v>
      </c>
    </row>
    <row r="202" spans="1:25" ht="15" x14ac:dyDescent="0.2">
      <c r="A202" s="40" t="s">
        <v>65</v>
      </c>
      <c r="B202" s="41">
        <v>20</v>
      </c>
      <c r="C202" s="42">
        <v>430</v>
      </c>
      <c r="D202" s="43">
        <v>3.50882128585544</v>
      </c>
      <c r="E202" s="41">
        <v>50</v>
      </c>
      <c r="F202" s="44">
        <v>2.8719512195122001E-2</v>
      </c>
      <c r="G202" s="42">
        <v>90.580179942323298</v>
      </c>
      <c r="H202" s="39">
        <v>0.12272095972411499</v>
      </c>
      <c r="I202" s="39">
        <v>0.13790150792584999</v>
      </c>
      <c r="J202" s="39">
        <v>0.15058108016807401</v>
      </c>
      <c r="K202" s="39">
        <v>0.10035281057140499</v>
      </c>
      <c r="L202" s="39">
        <v>0.12925750125388699</v>
      </c>
      <c r="M202" s="39">
        <v>0.18565179539027399</v>
      </c>
      <c r="N202" s="48">
        <v>0.15413191430588713</v>
      </c>
      <c r="O202" s="39">
        <v>0.225804041833643</v>
      </c>
      <c r="P202" s="39">
        <v>0.204748911485644</v>
      </c>
      <c r="Q202" s="39">
        <v>0.186546425242539</v>
      </c>
      <c r="R202" s="39">
        <v>0.12664621369553999</v>
      </c>
      <c r="S202" s="39">
        <v>0.13326835397273501</v>
      </c>
      <c r="T202" s="39">
        <v>0.118511858986488</v>
      </c>
      <c r="U202" s="43">
        <v>0.18</v>
      </c>
      <c r="V202" s="43">
        <v>0.117948216713536</v>
      </c>
      <c r="W202" s="43">
        <f t="shared" si="6"/>
        <v>6.2051783286463991E-2</v>
      </c>
      <c r="X202" s="45">
        <v>0.117948216713536</v>
      </c>
      <c r="Y202" s="45">
        <f t="shared" si="7"/>
        <v>6.2051783286463991E-2</v>
      </c>
    </row>
    <row r="203" spans="1:25" ht="15" x14ac:dyDescent="0.2">
      <c r="B203" s="41">
        <v>20</v>
      </c>
      <c r="C203" s="42">
        <v>430</v>
      </c>
      <c r="D203" s="43">
        <v>3.50882128585544</v>
      </c>
      <c r="E203" s="41">
        <v>50</v>
      </c>
      <c r="F203" s="44">
        <v>2.8719512195122001E-2</v>
      </c>
      <c r="G203" s="42">
        <v>140.61155696676499</v>
      </c>
      <c r="H203" s="39">
        <v>0.16718299484634599</v>
      </c>
      <c r="I203" s="39">
        <v>0.18786348428743899</v>
      </c>
      <c r="J203" s="39">
        <v>0.18797369739101799</v>
      </c>
      <c r="K203" s="39">
        <v>0.15638060603253501</v>
      </c>
      <c r="L203" s="39">
        <v>0.16816215707854101</v>
      </c>
      <c r="M203" s="39">
        <v>0.23175324793685201</v>
      </c>
      <c r="N203" s="48">
        <v>0.20432803056054702</v>
      </c>
      <c r="O203" s="39">
        <v>0.29196389196838601</v>
      </c>
      <c r="P203" s="39">
        <v>0.255592600914965</v>
      </c>
      <c r="Q203" s="39">
        <v>0.237903729489362</v>
      </c>
      <c r="R203" s="39">
        <v>0.199790074582708</v>
      </c>
      <c r="S203" s="39">
        <v>0.19942267457808899</v>
      </c>
      <c r="T203" s="39">
        <v>0.18298393159302101</v>
      </c>
      <c r="U203" s="43">
        <v>0.26</v>
      </c>
      <c r="V203" s="43">
        <v>0.17512939694084201</v>
      </c>
      <c r="W203" s="43">
        <f t="shared" si="6"/>
        <v>8.4870603059158001E-2</v>
      </c>
      <c r="X203" s="45">
        <v>0.183096151984949</v>
      </c>
      <c r="Y203" s="45">
        <f t="shared" si="7"/>
        <v>7.6903848015051013E-2</v>
      </c>
    </row>
    <row r="204" spans="1:25" ht="15" x14ac:dyDescent="0.2">
      <c r="B204" s="41">
        <v>20</v>
      </c>
      <c r="C204" s="42">
        <v>430</v>
      </c>
      <c r="D204" s="43">
        <v>3.50882128585544</v>
      </c>
      <c r="E204" s="41">
        <v>50</v>
      </c>
      <c r="F204" s="44">
        <v>2.8719512195122001E-2</v>
      </c>
      <c r="G204" s="42">
        <v>197.18121767408201</v>
      </c>
      <c r="H204" s="39">
        <v>0.21164502996857701</v>
      </c>
      <c r="I204" s="39">
        <v>0.23782546064902799</v>
      </c>
      <c r="J204" s="39">
        <v>0.225366314613963</v>
      </c>
      <c r="K204" s="39">
        <v>0.22478469064030299</v>
      </c>
      <c r="L204" s="39">
        <v>0.20706681290319501</v>
      </c>
      <c r="M204" s="39">
        <v>0.27785470048342997</v>
      </c>
      <c r="N204" s="48">
        <v>0.2545241468152068</v>
      </c>
      <c r="O204" s="39">
        <v>0.35812374210312797</v>
      </c>
      <c r="P204" s="39">
        <v>0.30643629034428599</v>
      </c>
      <c r="Q204" s="39">
        <v>0.29069074460348099</v>
      </c>
      <c r="R204" s="39">
        <v>0.27047497509120899</v>
      </c>
      <c r="S204" s="39">
        <v>0.26658652764766999</v>
      </c>
      <c r="T204" s="39">
        <v>0.25030099686860302</v>
      </c>
      <c r="U204" s="43">
        <v>0.34</v>
      </c>
      <c r="V204" s="43">
        <v>0.23231057716814801</v>
      </c>
      <c r="W204" s="43">
        <f t="shared" si="6"/>
        <v>0.10768942283185201</v>
      </c>
      <c r="X204" s="45">
        <v>0.256757858163567</v>
      </c>
      <c r="Y204" s="45">
        <f t="shared" si="7"/>
        <v>8.3242141836433026E-2</v>
      </c>
    </row>
    <row r="205" spans="1:25" ht="15" x14ac:dyDescent="0.2">
      <c r="A205" s="40" t="s">
        <v>66</v>
      </c>
      <c r="B205" s="41">
        <v>16</v>
      </c>
      <c r="C205" s="42">
        <v>528</v>
      </c>
      <c r="D205" s="43">
        <v>3.42</v>
      </c>
      <c r="E205" s="41">
        <v>27</v>
      </c>
      <c r="F205" s="44">
        <v>2.3304347826087E-2</v>
      </c>
      <c r="G205" s="42">
        <v>148.38140865244301</v>
      </c>
      <c r="H205" s="39">
        <v>0.12947798925127499</v>
      </c>
      <c r="I205" s="39">
        <v>0.13159532895532</v>
      </c>
      <c r="J205" s="39">
        <v>0.179901478557426</v>
      </c>
      <c r="K205" s="39">
        <v>0.150210926096571</v>
      </c>
      <c r="L205" s="39">
        <v>0.137940338610545</v>
      </c>
      <c r="M205" s="39">
        <v>0.20888642052178399</v>
      </c>
      <c r="N205" s="48">
        <v>0.18248254585084533</v>
      </c>
      <c r="O205" s="39">
        <v>0.11757562159328901</v>
      </c>
      <c r="P205" s="39">
        <v>0.18625897406775499</v>
      </c>
      <c r="Q205" s="39">
        <v>0.169804779513575</v>
      </c>
      <c r="R205" s="39">
        <v>0.143249451345174</v>
      </c>
      <c r="S205" s="39">
        <v>0.14302412460246799</v>
      </c>
      <c r="T205" s="39">
        <v>0.120902138327171</v>
      </c>
      <c r="U205" s="43">
        <v>0.15</v>
      </c>
      <c r="V205" s="43">
        <v>0.11752778194930601</v>
      </c>
      <c r="W205" s="43">
        <f t="shared" si="6"/>
        <v>3.2472218050693988E-2</v>
      </c>
      <c r="X205" s="45">
        <v>0.131790213495005</v>
      </c>
      <c r="Y205" s="45">
        <f t="shared" si="7"/>
        <v>1.8209786504994996E-2</v>
      </c>
    </row>
    <row r="206" spans="1:25" ht="15" x14ac:dyDescent="0.2">
      <c r="B206" s="41">
        <v>16</v>
      </c>
      <c r="C206" s="42">
        <v>528</v>
      </c>
      <c r="D206" s="43">
        <v>3.42</v>
      </c>
      <c r="E206" s="41">
        <v>27</v>
      </c>
      <c r="F206" s="44">
        <v>2.3304347826087E-2</v>
      </c>
      <c r="G206" s="42">
        <v>258.39734230896698</v>
      </c>
      <c r="H206" s="39">
        <v>0.188279507963272</v>
      </c>
      <c r="I206" s="39">
        <v>0.191358422611036</v>
      </c>
      <c r="J206" s="39">
        <v>0.241936471163435</v>
      </c>
      <c r="K206" s="39">
        <v>0.27166565825551098</v>
      </c>
      <c r="L206" s="39">
        <v>0.19307532494670299</v>
      </c>
      <c r="M206" s="39">
        <v>0.28091622070171002</v>
      </c>
      <c r="N206" s="48">
        <v>0.25833366229443655</v>
      </c>
      <c r="O206" s="39">
        <v>0.16222730427256299</v>
      </c>
      <c r="P206" s="39">
        <v>0.25048620650491199</v>
      </c>
      <c r="Q206" s="39">
        <v>0.23585124009634201</v>
      </c>
      <c r="R206" s="39">
        <v>0.233178206680414</v>
      </c>
      <c r="S206" s="39">
        <v>0.236817207569647</v>
      </c>
      <c r="T206" s="39">
        <v>0.20622831537365699</v>
      </c>
      <c r="U206" s="43">
        <v>0.19</v>
      </c>
      <c r="V206" s="43">
        <v>0.18941639586178199</v>
      </c>
      <c r="W206" s="43">
        <f t="shared" si="6"/>
        <v>5.8360413821800794E-4</v>
      </c>
      <c r="X206" s="45">
        <v>0.22950476895125499</v>
      </c>
      <c r="Y206" s="45">
        <f t="shared" si="7"/>
        <v>-3.9504768951254987E-2</v>
      </c>
    </row>
    <row r="207" spans="1:25" ht="15" x14ac:dyDescent="0.2">
      <c r="B207" s="41">
        <v>16</v>
      </c>
      <c r="C207" s="42">
        <v>528</v>
      </c>
      <c r="D207" s="43">
        <v>3.42</v>
      </c>
      <c r="E207" s="41">
        <v>27</v>
      </c>
      <c r="F207" s="44">
        <v>2.3304347826087E-2</v>
      </c>
      <c r="G207" s="42">
        <v>324.40690250288202</v>
      </c>
      <c r="H207" s="39">
        <v>0.22356041919047001</v>
      </c>
      <c r="I207" s="39">
        <v>0.22721627880446599</v>
      </c>
      <c r="J207" s="39">
        <v>0.279157466727041</v>
      </c>
      <c r="K207" s="39">
        <v>0.36168504797331402</v>
      </c>
      <c r="L207" s="39">
        <v>0.22615631674839801</v>
      </c>
      <c r="M207" s="39">
        <v>0.32413410080966498</v>
      </c>
      <c r="N207" s="48">
        <v>0.3038443321605912</v>
      </c>
      <c r="O207" s="39">
        <v>0.18901831388012699</v>
      </c>
      <c r="P207" s="39">
        <v>0.289022545967207</v>
      </c>
      <c r="Q207" s="39">
        <v>0.27640110225150499</v>
      </c>
      <c r="R207" s="39">
        <v>0.28464232881562901</v>
      </c>
      <c r="S207" s="39">
        <v>0.29539172791340601</v>
      </c>
      <c r="T207" s="39">
        <v>0.26044531193243597</v>
      </c>
      <c r="U207" s="43">
        <v>0.22</v>
      </c>
      <c r="V207" s="43">
        <v>0.23254956420926701</v>
      </c>
      <c r="W207" s="43">
        <f t="shared" si="6"/>
        <v>-1.2549564209267006E-2</v>
      </c>
      <c r="X207" s="45">
        <v>0.288133502225005</v>
      </c>
      <c r="Y207" s="45">
        <f t="shared" si="7"/>
        <v>-6.8133502225004999E-2</v>
      </c>
    </row>
    <row r="208" spans="1:25" ht="15" x14ac:dyDescent="0.2">
      <c r="B208" s="41">
        <v>16</v>
      </c>
      <c r="C208" s="42">
        <v>528</v>
      </c>
      <c r="D208" s="43">
        <v>3.42</v>
      </c>
      <c r="E208" s="41">
        <v>27</v>
      </c>
      <c r="F208" s="44">
        <v>2.3304347826087E-2</v>
      </c>
      <c r="G208" s="42">
        <v>379.41486933114402</v>
      </c>
      <c r="H208" s="39">
        <v>0.25296117854646899</v>
      </c>
      <c r="I208" s="39">
        <v>0.25709782563232397</v>
      </c>
      <c r="J208" s="39">
        <v>0.31017496303004499</v>
      </c>
      <c r="K208" s="39">
        <v>0.44652475058433799</v>
      </c>
      <c r="L208" s="39">
        <v>0.25372380991647703</v>
      </c>
      <c r="M208" s="39">
        <v>0.36014900089962798</v>
      </c>
      <c r="N208" s="48">
        <v>0.34176989038238681</v>
      </c>
      <c r="O208" s="39">
        <v>0.21134415521976299</v>
      </c>
      <c r="P208" s="39">
        <v>0.321136162185785</v>
      </c>
      <c r="Q208" s="39">
        <v>0.310535722690367</v>
      </c>
      <c r="R208" s="39">
        <v>0.32639390825709202</v>
      </c>
      <c r="S208" s="39">
        <v>0.34552077487684901</v>
      </c>
      <c r="T208" s="39">
        <v>0.30735708998348898</v>
      </c>
      <c r="U208" s="43">
        <v>0.22</v>
      </c>
      <c r="V208" s="43">
        <v>0.26849387116550399</v>
      </c>
      <c r="W208" s="43">
        <f t="shared" si="6"/>
        <v>-4.8493871165503993E-2</v>
      </c>
      <c r="X208" s="45">
        <v>0.33699077995312998</v>
      </c>
      <c r="Y208" s="45">
        <f t="shared" si="7"/>
        <v>-0.11699077995312998</v>
      </c>
    </row>
    <row r="209" spans="1:25" ht="15" x14ac:dyDescent="0.2">
      <c r="B209" s="41">
        <v>16</v>
      </c>
      <c r="C209" s="42">
        <v>528</v>
      </c>
      <c r="D209" s="43">
        <v>3.42</v>
      </c>
      <c r="E209" s="41">
        <v>27</v>
      </c>
      <c r="F209" s="44">
        <v>2.3304347826087E-2</v>
      </c>
      <c r="G209" s="42">
        <v>467.42761625636302</v>
      </c>
      <c r="H209" s="39">
        <v>0.300002393516067</v>
      </c>
      <c r="I209" s="39">
        <v>0.30490830055689599</v>
      </c>
      <c r="J209" s="39">
        <v>0.35980295711485299</v>
      </c>
      <c r="K209" s="39">
        <v>0.60084370438628498</v>
      </c>
      <c r="L209" s="39">
        <v>0.29783179898540302</v>
      </c>
      <c r="M209" s="39">
        <v>0.41777284104356799</v>
      </c>
      <c r="N209" s="48">
        <v>0.40245078353725966</v>
      </c>
      <c r="O209" s="39">
        <v>0.24706550136318201</v>
      </c>
      <c r="P209" s="39">
        <v>0.37251794813551098</v>
      </c>
      <c r="Q209" s="39">
        <v>0.36562331792327701</v>
      </c>
      <c r="R209" s="39">
        <v>0.39144595830437301</v>
      </c>
      <c r="S209" s="39">
        <v>0.42821747646209601</v>
      </c>
      <c r="T209" s="39">
        <v>0.38568899939030199</v>
      </c>
      <c r="U209" s="43">
        <v>0.25</v>
      </c>
      <c r="V209" s="43">
        <v>0.32600476229548497</v>
      </c>
      <c r="W209" s="43">
        <f t="shared" si="6"/>
        <v>-7.6004762295484973E-2</v>
      </c>
      <c r="X209" s="45">
        <v>0.41516242431813</v>
      </c>
      <c r="Y209" s="45">
        <f t="shared" si="7"/>
        <v>-0.16516242431813</v>
      </c>
    </row>
    <row r="210" spans="1:25" ht="15" x14ac:dyDescent="0.2">
      <c r="B210" s="41">
        <v>16</v>
      </c>
      <c r="C210" s="42">
        <v>528</v>
      </c>
      <c r="D210" s="43">
        <v>3.42</v>
      </c>
      <c r="E210" s="41">
        <v>27</v>
      </c>
      <c r="F210" s="44">
        <v>2.3304347826087E-2</v>
      </c>
      <c r="G210" s="42">
        <v>526.10180870720399</v>
      </c>
      <c r="H210" s="39">
        <v>0.34116345661446501</v>
      </c>
      <c r="I210" s="39">
        <v>0.34674246611589798</v>
      </c>
      <c r="J210" s="39">
        <v>0.38713656797945201</v>
      </c>
      <c r="K210" s="39">
        <v>0.69560140350877198</v>
      </c>
      <c r="L210" s="39">
        <v>0.33642628942071401</v>
      </c>
      <c r="M210" s="39">
        <v>0.46819370116951597</v>
      </c>
      <c r="N210" s="48">
        <v>0.45554656504777358</v>
      </c>
      <c r="O210" s="39">
        <v>0.27832167923867301</v>
      </c>
      <c r="P210" s="39">
        <v>0.417477010841521</v>
      </c>
      <c r="Q210" s="39">
        <v>0.37801273798933399</v>
      </c>
      <c r="R210" s="39">
        <v>0.44694057943080601</v>
      </c>
      <c r="S210" s="39">
        <v>0.503091261277963</v>
      </c>
      <c r="T210" s="39">
        <v>0.45753395642067202</v>
      </c>
      <c r="U210" s="43">
        <v>0.28999999999999998</v>
      </c>
      <c r="V210" s="43">
        <v>0.37632679203421798</v>
      </c>
      <c r="W210" s="43">
        <f t="shared" si="6"/>
        <v>-8.6326792034218003E-2</v>
      </c>
      <c r="X210" s="45">
        <v>0.46727599043109003</v>
      </c>
      <c r="Y210" s="45">
        <f t="shared" si="7"/>
        <v>-0.17727599043109005</v>
      </c>
    </row>
    <row r="211" spans="1:25" ht="15" x14ac:dyDescent="0.2">
      <c r="A211" s="40" t="s">
        <v>67</v>
      </c>
      <c r="B211" s="41">
        <v>20</v>
      </c>
      <c r="C211" s="42">
        <v>528</v>
      </c>
      <c r="D211" s="43">
        <v>3.42</v>
      </c>
      <c r="E211" s="41">
        <v>25</v>
      </c>
      <c r="F211" s="44">
        <v>3.4176870748299303E-2</v>
      </c>
      <c r="G211" s="42">
        <v>217.58179225653299</v>
      </c>
      <c r="H211" s="39">
        <v>0.13588199007541199</v>
      </c>
      <c r="I211" s="39">
        <v>0.14617173010832901</v>
      </c>
      <c r="J211" s="39">
        <v>0.20519523255216399</v>
      </c>
      <c r="K211" s="39">
        <v>0.25252771133111901</v>
      </c>
      <c r="L211" s="39">
        <v>0.13578602772186599</v>
      </c>
      <c r="M211" s="39">
        <v>0.22543099969497701</v>
      </c>
      <c r="N211" s="48">
        <v>0.23837845525839133</v>
      </c>
      <c r="O211" s="39">
        <v>0.138455306114665</v>
      </c>
      <c r="P211" s="39">
        <v>0.21999033548888799</v>
      </c>
      <c r="Q211" s="39">
        <v>0.180461464919836</v>
      </c>
      <c r="R211" s="39">
        <v>0.17300896102135299</v>
      </c>
      <c r="S211" s="39">
        <v>0.16752621909578599</v>
      </c>
      <c r="T211" s="39">
        <v>0.170458715681791</v>
      </c>
      <c r="U211" s="43">
        <v>0.17</v>
      </c>
      <c r="V211" s="43">
        <v>0.15128120300738601</v>
      </c>
      <c r="W211" s="43">
        <f t="shared" si="6"/>
        <v>1.8718796992614001E-2</v>
      </c>
      <c r="X211" s="45">
        <v>0.16752621909578599</v>
      </c>
      <c r="Y211" s="45">
        <f t="shared" si="7"/>
        <v>2.473780904214018E-3</v>
      </c>
    </row>
    <row r="212" spans="1:25" ht="15" x14ac:dyDescent="0.2">
      <c r="B212" s="41">
        <v>20</v>
      </c>
      <c r="C212" s="42">
        <v>528</v>
      </c>
      <c r="D212" s="43">
        <v>3.42</v>
      </c>
      <c r="E212" s="41">
        <v>25</v>
      </c>
      <c r="F212" s="44">
        <v>3.4176870748299303E-2</v>
      </c>
      <c r="G212" s="42">
        <v>264.462650004919</v>
      </c>
      <c r="H212" s="39">
        <v>0.15768903676554999</v>
      </c>
      <c r="I212" s="39">
        <v>0.16963012765962701</v>
      </c>
      <c r="J212" s="39">
        <v>0.233359284078932</v>
      </c>
      <c r="K212" s="39">
        <v>0.32660639020295401</v>
      </c>
      <c r="L212" s="39">
        <v>0.156050543970955</v>
      </c>
      <c r="M212" s="39">
        <v>0.25637250945703299</v>
      </c>
      <c r="N212" s="48">
        <v>0.27676581413108986</v>
      </c>
      <c r="O212" s="39">
        <v>0.15900260071079</v>
      </c>
      <c r="P212" s="39">
        <v>0.25018508741873502</v>
      </c>
      <c r="Q212" s="39">
        <v>0.20762343826531099</v>
      </c>
      <c r="R212" s="39">
        <v>0.206546135955055</v>
      </c>
      <c r="S212" s="39">
        <v>0.20362194551252</v>
      </c>
      <c r="T212" s="39">
        <v>0.20835725213450301</v>
      </c>
      <c r="U212" s="43">
        <v>0.19</v>
      </c>
      <c r="V212" s="43">
        <v>0.17990644867800401</v>
      </c>
      <c r="W212" s="43">
        <f t="shared" si="6"/>
        <v>1.0093551321995992E-2</v>
      </c>
      <c r="X212" s="45">
        <v>0.20362194551252</v>
      </c>
      <c r="Y212" s="45">
        <f t="shared" si="7"/>
        <v>-1.3621945512519995E-2</v>
      </c>
    </row>
    <row r="213" spans="1:25" ht="15" x14ac:dyDescent="0.2">
      <c r="B213" s="41">
        <v>20</v>
      </c>
      <c r="C213" s="42">
        <v>528</v>
      </c>
      <c r="D213" s="43">
        <v>3.42</v>
      </c>
      <c r="E213" s="41">
        <v>25</v>
      </c>
      <c r="F213" s="44">
        <v>3.4176870748299303E-2</v>
      </c>
      <c r="G213" s="42">
        <v>324.73803853855998</v>
      </c>
      <c r="H213" s="39">
        <v>0.18572666822429801</v>
      </c>
      <c r="I213" s="39">
        <v>0.19979092451129599</v>
      </c>
      <c r="J213" s="39">
        <v>0.26957020747049099</v>
      </c>
      <c r="K213" s="39">
        <v>0.43583117884098099</v>
      </c>
      <c r="L213" s="39">
        <v>0.18210492200549799</v>
      </c>
      <c r="M213" s="39">
        <v>0.29615445057967599</v>
      </c>
      <c r="N213" s="48">
        <v>0.32612098982455973</v>
      </c>
      <c r="O213" s="39">
        <v>0.185420550905807</v>
      </c>
      <c r="P213" s="39">
        <v>0.28900691132853901</v>
      </c>
      <c r="Q213" s="39">
        <v>0.242873323547314</v>
      </c>
      <c r="R213" s="39">
        <v>0.24868148247567201</v>
      </c>
      <c r="S213" s="39">
        <v>0.250030736619751</v>
      </c>
      <c r="T213" s="39">
        <v>0.25943939992606102</v>
      </c>
      <c r="U213" s="43">
        <v>0.21</v>
      </c>
      <c r="V213" s="43">
        <v>0.21671033596879799</v>
      </c>
      <c r="W213" s="43">
        <f t="shared" si="6"/>
        <v>-6.710335968797998E-3</v>
      </c>
      <c r="X213" s="45">
        <v>0.250030736619751</v>
      </c>
      <c r="Y213" s="45">
        <f t="shared" si="7"/>
        <v>-4.0030736619751012E-2</v>
      </c>
    </row>
    <row r="214" spans="1:25" ht="15" x14ac:dyDescent="0.2">
      <c r="B214" s="41">
        <v>20</v>
      </c>
      <c r="C214" s="42">
        <v>528</v>
      </c>
      <c r="D214" s="43">
        <v>3.42</v>
      </c>
      <c r="E214" s="41">
        <v>25</v>
      </c>
      <c r="F214" s="44">
        <v>3.4176870748299303E-2</v>
      </c>
      <c r="G214" s="42">
        <v>351.52710010906702</v>
      </c>
      <c r="H214" s="39">
        <v>0.19818783776151999</v>
      </c>
      <c r="I214" s="39">
        <v>0.21319572311203799</v>
      </c>
      <c r="J214" s="39">
        <v>0.28566395120007199</v>
      </c>
      <c r="K214" s="39">
        <v>0.48942414179937299</v>
      </c>
      <c r="L214" s="39">
        <v>0.19368464557640599</v>
      </c>
      <c r="M214" s="39">
        <v>0.31383531330085002</v>
      </c>
      <c r="N214" s="48">
        <v>0.34805662346610167</v>
      </c>
      <c r="O214" s="39">
        <v>0.19716186210359299</v>
      </c>
      <c r="P214" s="39">
        <v>0.30626105528845199</v>
      </c>
      <c r="Q214" s="39">
        <v>0.25863074261651398</v>
      </c>
      <c r="R214" s="39">
        <v>0.26710015914716501</v>
      </c>
      <c r="S214" s="39">
        <v>0.27065686600074201</v>
      </c>
      <c r="T214" s="39">
        <v>0.28299315880192999</v>
      </c>
      <c r="U214" s="43">
        <v>0.23</v>
      </c>
      <c r="V214" s="43">
        <v>0.23306761920915001</v>
      </c>
      <c r="W214" s="43">
        <f t="shared" si="6"/>
        <v>-3.0676192091499965E-3</v>
      </c>
      <c r="X214" s="45">
        <v>0.27065686600074201</v>
      </c>
      <c r="Y214" s="45">
        <f t="shared" si="7"/>
        <v>-4.0656866000742004E-2</v>
      </c>
    </row>
    <row r="215" spans="1:25" ht="15" x14ac:dyDescent="0.2">
      <c r="B215" s="41">
        <v>20</v>
      </c>
      <c r="C215" s="42">
        <v>528</v>
      </c>
      <c r="D215" s="43">
        <v>3.42</v>
      </c>
      <c r="E215" s="41">
        <v>25</v>
      </c>
      <c r="F215" s="44">
        <v>3.4176870748299303E-2</v>
      </c>
      <c r="G215" s="42">
        <v>411.80248864270698</v>
      </c>
      <c r="H215" s="39">
        <v>0.22622546922026901</v>
      </c>
      <c r="I215" s="39">
        <v>0.243356519963707</v>
      </c>
      <c r="J215" s="39">
        <v>0.32187487459163</v>
      </c>
      <c r="K215" s="39">
        <v>0.62136768647411</v>
      </c>
      <c r="L215" s="39">
        <v>0.21973902361094999</v>
      </c>
      <c r="M215" s="39">
        <v>0.35361725442349401</v>
      </c>
      <c r="N215" s="48">
        <v>0.39741179915957148</v>
      </c>
      <c r="O215" s="39">
        <v>0.22357981229860999</v>
      </c>
      <c r="P215" s="39">
        <v>0.34508287919825598</v>
      </c>
      <c r="Q215" s="39">
        <v>0.29424295047471699</v>
      </c>
      <c r="R215" s="39">
        <v>0.30794889319403201</v>
      </c>
      <c r="S215" s="39">
        <v>0.31706565710797302</v>
      </c>
      <c r="T215" s="39">
        <v>0.33790292595178201</v>
      </c>
      <c r="U215" s="43">
        <v>0.25</v>
      </c>
      <c r="V215" s="43">
        <v>0.26987150649994401</v>
      </c>
      <c r="W215" s="43">
        <f t="shared" si="6"/>
        <v>-1.9871506499944014E-2</v>
      </c>
      <c r="X215" s="45">
        <v>0.31706565710797302</v>
      </c>
      <c r="Y215" s="45">
        <f t="shared" si="7"/>
        <v>-6.706565710797302E-2</v>
      </c>
    </row>
    <row r="216" spans="1:25" ht="15" x14ac:dyDescent="0.2">
      <c r="B216" s="41">
        <v>20</v>
      </c>
      <c r="C216" s="42">
        <v>528</v>
      </c>
      <c r="D216" s="43">
        <v>3.42</v>
      </c>
      <c r="E216" s="41">
        <v>25</v>
      </c>
      <c r="F216" s="44">
        <v>3.4176870748299303E-2</v>
      </c>
      <c r="G216" s="42">
        <v>525.80672936788005</v>
      </c>
      <c r="H216" s="39">
        <v>0.28541602452207099</v>
      </c>
      <c r="I216" s="39">
        <v>0.30702931331723099</v>
      </c>
      <c r="J216" s="39">
        <v>0.380757070040603</v>
      </c>
      <c r="K216" s="39">
        <v>0.869501754385965</v>
      </c>
      <c r="L216" s="39">
        <v>0.274742710572763</v>
      </c>
      <c r="M216" s="39">
        <v>0.43760135234907299</v>
      </c>
      <c r="N216" s="48">
        <v>0.50160605895689636</v>
      </c>
      <c r="O216" s="39">
        <v>0.27935104048809101</v>
      </c>
      <c r="P216" s="39">
        <v>0.42704006300784197</v>
      </c>
      <c r="Q216" s="39">
        <v>0.34925730172556502</v>
      </c>
      <c r="R216" s="39">
        <v>0.39202165688995</v>
      </c>
      <c r="S216" s="39">
        <v>0.404842760198733</v>
      </c>
      <c r="T216" s="39">
        <v>0.46367989947785998</v>
      </c>
      <c r="U216" s="43">
        <v>0.25</v>
      </c>
      <c r="V216" s="43">
        <v>0.34756860189161998</v>
      </c>
      <c r="W216" s="43">
        <f t="shared" si="6"/>
        <v>-9.7568601891619977E-2</v>
      </c>
      <c r="X216" s="45">
        <v>0.404842760198733</v>
      </c>
      <c r="Y216" s="45">
        <f t="shared" si="7"/>
        <v>-0.154842760198733</v>
      </c>
    </row>
    <row r="217" spans="1:25" ht="15" x14ac:dyDescent="0.2">
      <c r="A217" s="40" t="s">
        <v>68</v>
      </c>
      <c r="B217" s="41">
        <v>20</v>
      </c>
      <c r="C217" s="42">
        <v>528</v>
      </c>
      <c r="D217" s="43">
        <v>3.42</v>
      </c>
      <c r="E217" s="41">
        <v>25</v>
      </c>
      <c r="F217" s="44">
        <v>5.1265306122448999E-2</v>
      </c>
      <c r="G217" s="42">
        <v>203.40215798464601</v>
      </c>
      <c r="H217" s="39">
        <v>9.9001541127222897E-2</v>
      </c>
      <c r="I217" s="39">
        <v>0.11972263952841</v>
      </c>
      <c r="J217" s="39">
        <v>0.15281153215677201</v>
      </c>
      <c r="K217" s="39">
        <v>0.21127454925494199</v>
      </c>
      <c r="L217" s="39">
        <v>8.4078447968071304E-2</v>
      </c>
      <c r="M217" s="39">
        <v>0.15788934749629399</v>
      </c>
      <c r="N217" s="48">
        <v>0.19356163888368724</v>
      </c>
      <c r="O217" s="39">
        <v>0.125373813815082</v>
      </c>
      <c r="P217" s="39">
        <v>0.18016328881157201</v>
      </c>
      <c r="Q217" s="39">
        <v>0.144337224109127</v>
      </c>
      <c r="R217" s="39">
        <v>0.13840964120514501</v>
      </c>
      <c r="S217" s="39">
        <v>0.189176064075434</v>
      </c>
      <c r="T217" s="39">
        <v>0.14682269685155799</v>
      </c>
      <c r="U217" s="43">
        <v>0.18</v>
      </c>
      <c r="V217" s="43">
        <v>0.127038496444004</v>
      </c>
      <c r="W217" s="43">
        <f t="shared" si="6"/>
        <v>5.2961503555995992E-2</v>
      </c>
      <c r="X217" s="45">
        <v>0.13419966539766801</v>
      </c>
      <c r="Y217" s="45">
        <f t="shared" si="7"/>
        <v>4.5800334602331988E-2</v>
      </c>
    </row>
    <row r="218" spans="1:25" ht="15" x14ac:dyDescent="0.2">
      <c r="B218" s="41">
        <v>20</v>
      </c>
      <c r="C218" s="42">
        <v>528</v>
      </c>
      <c r="D218" s="43">
        <v>3.42</v>
      </c>
      <c r="E218" s="41">
        <v>25</v>
      </c>
      <c r="F218" s="44">
        <v>5.1265306122448999E-2</v>
      </c>
      <c r="G218" s="42">
        <v>246.64112990116601</v>
      </c>
      <c r="H218" s="39">
        <v>0.11553739220709</v>
      </c>
      <c r="I218" s="39">
        <v>0.13971945690710399</v>
      </c>
      <c r="J218" s="39">
        <v>0.175283816297473</v>
      </c>
      <c r="K218" s="39">
        <v>0.27798320883803301</v>
      </c>
      <c r="L218" s="39">
        <v>9.7273366601955694E-2</v>
      </c>
      <c r="M218" s="39">
        <v>0.18110836918692499</v>
      </c>
      <c r="N218" s="48">
        <v>0.22752913434644803</v>
      </c>
      <c r="O218" s="39">
        <v>0.14542842857482399</v>
      </c>
      <c r="P218" s="39">
        <v>0.206657890107391</v>
      </c>
      <c r="Q218" s="39">
        <v>0.16737122413258601</v>
      </c>
      <c r="R218" s="39">
        <v>0.16568007783333599</v>
      </c>
      <c r="S218" s="39">
        <v>0.23012702412719399</v>
      </c>
      <c r="T218" s="39">
        <v>0.17965377390144299</v>
      </c>
      <c r="U218" s="43">
        <v>0.19</v>
      </c>
      <c r="V218" s="43">
        <v>0.150996277788399</v>
      </c>
      <c r="W218" s="43">
        <f t="shared" si="6"/>
        <v>3.9003722211601005E-2</v>
      </c>
      <c r="X218" s="45">
        <v>0.16272765949974599</v>
      </c>
      <c r="Y218" s="45">
        <f t="shared" si="7"/>
        <v>2.7272340500254011E-2</v>
      </c>
    </row>
    <row r="219" spans="1:25" ht="15" x14ac:dyDescent="0.2">
      <c r="B219" s="41">
        <v>20</v>
      </c>
      <c r="C219" s="42">
        <v>528</v>
      </c>
      <c r="D219" s="43">
        <v>3.42</v>
      </c>
      <c r="E219" s="41">
        <v>25</v>
      </c>
      <c r="F219" s="44">
        <v>5.1265306122448999E-2</v>
      </c>
      <c r="G219" s="42">
        <v>285.55620462603298</v>
      </c>
      <c r="H219" s="39">
        <v>0.130419658178971</v>
      </c>
      <c r="I219" s="39">
        <v>0.15771659254793</v>
      </c>
      <c r="J219" s="39">
        <v>0.195508872024105</v>
      </c>
      <c r="K219" s="39">
        <v>0.34583413998932799</v>
      </c>
      <c r="L219" s="39">
        <v>0.10914879337245199</v>
      </c>
      <c r="M219" s="39">
        <v>0.202005488708493</v>
      </c>
      <c r="N219" s="48">
        <v>0.25809988026293273</v>
      </c>
      <c r="O219" s="39">
        <v>0.16347758185859201</v>
      </c>
      <c r="P219" s="39">
        <v>0.23050303127362901</v>
      </c>
      <c r="Q219" s="39">
        <v>0.18823337036993701</v>
      </c>
      <c r="R219" s="39">
        <v>0.189838769110518</v>
      </c>
      <c r="S219" s="39">
        <v>0.26841404415360798</v>
      </c>
      <c r="T219" s="39">
        <v>0.21050920364917799</v>
      </c>
      <c r="U219" s="43">
        <v>0.21</v>
      </c>
      <c r="V219" s="43">
        <v>0.17255828099835399</v>
      </c>
      <c r="W219" s="43">
        <f t="shared" si="6"/>
        <v>3.7441719001646001E-2</v>
      </c>
      <c r="X219" s="45">
        <v>0.18840285419161701</v>
      </c>
      <c r="Y219" s="45">
        <f t="shared" si="7"/>
        <v>2.1597145808382984E-2</v>
      </c>
    </row>
    <row r="220" spans="1:25" ht="15" x14ac:dyDescent="0.2">
      <c r="B220" s="41">
        <v>20</v>
      </c>
      <c r="C220" s="42">
        <v>528</v>
      </c>
      <c r="D220" s="43">
        <v>3.42</v>
      </c>
      <c r="E220" s="41">
        <v>25</v>
      </c>
      <c r="F220" s="44">
        <v>5.1265306122448999E-2</v>
      </c>
      <c r="G220" s="42">
        <v>333.11907373420399</v>
      </c>
      <c r="H220" s="39">
        <v>0.14860909436682401</v>
      </c>
      <c r="I220" s="39">
        <v>0.17971309166449401</v>
      </c>
      <c r="J220" s="39">
        <v>0.220228384578877</v>
      </c>
      <c r="K220" s="39">
        <v>0.43881504564110302</v>
      </c>
      <c r="L220" s="39">
        <v>0.123663203869724</v>
      </c>
      <c r="M220" s="39">
        <v>0.227546412568188</v>
      </c>
      <c r="N220" s="48">
        <v>0.29546412527196952</v>
      </c>
      <c r="O220" s="39">
        <v>0.185537658094309</v>
      </c>
      <c r="P220" s="39">
        <v>0.25964709269903002</v>
      </c>
      <c r="Q220" s="39">
        <v>0.21385792026698999</v>
      </c>
      <c r="R220" s="39">
        <v>0.21893795930246199</v>
      </c>
      <c r="S220" s="39">
        <v>0.31705054415994199</v>
      </c>
      <c r="T220" s="39">
        <v>0.249903508362049</v>
      </c>
      <c r="U220" s="43">
        <v>0.23</v>
      </c>
      <c r="V220" s="43">
        <v>0.19891184047718799</v>
      </c>
      <c r="W220" s="43">
        <f t="shared" si="6"/>
        <v>3.108815952281202E-2</v>
      </c>
      <c r="X220" s="45">
        <v>0.21978364770390299</v>
      </c>
      <c r="Y220" s="45">
        <f t="shared" si="7"/>
        <v>1.021635229609702E-2</v>
      </c>
    </row>
    <row r="221" spans="1:25" ht="15" x14ac:dyDescent="0.2">
      <c r="B221" s="41">
        <v>20</v>
      </c>
      <c r="C221" s="42">
        <v>528</v>
      </c>
      <c r="D221" s="43">
        <v>3.42</v>
      </c>
      <c r="E221" s="41">
        <v>25</v>
      </c>
      <c r="F221" s="44">
        <v>5.1265306122448999E-2</v>
      </c>
      <c r="G221" s="42">
        <v>380.68194284237501</v>
      </c>
      <c r="H221" s="39">
        <v>0.166798530554678</v>
      </c>
      <c r="I221" s="39">
        <v>0.20170959078105799</v>
      </c>
      <c r="J221" s="39">
        <v>0.24494789713364901</v>
      </c>
      <c r="K221" s="39">
        <v>0.54285314007308905</v>
      </c>
      <c r="L221" s="39">
        <v>0.13817761436699699</v>
      </c>
      <c r="M221" s="39">
        <v>0.253087336427883</v>
      </c>
      <c r="N221" s="48">
        <v>0.33282837028100642</v>
      </c>
      <c r="O221" s="39">
        <v>0.20759773433002501</v>
      </c>
      <c r="P221" s="39">
        <v>0.28879115412443102</v>
      </c>
      <c r="Q221" s="39">
        <v>0.23958883317333299</v>
      </c>
      <c r="R221" s="39">
        <v>0.24763172210029699</v>
      </c>
      <c r="S221" s="39">
        <v>0.36771242280439698</v>
      </c>
      <c r="T221" s="39">
        <v>0.29114813715379001</v>
      </c>
      <c r="U221" s="43">
        <v>0.25</v>
      </c>
      <c r="V221" s="43">
        <v>0.22526539995602299</v>
      </c>
      <c r="W221" s="43">
        <f t="shared" si="6"/>
        <v>2.4734600043977012E-2</v>
      </c>
      <c r="X221" s="45">
        <v>0.25116444121618903</v>
      </c>
      <c r="Y221" s="45">
        <f t="shared" si="7"/>
        <v>-1.1644412161890272E-3</v>
      </c>
    </row>
    <row r="222" spans="1:25" ht="15" x14ac:dyDescent="0.2">
      <c r="B222" s="41">
        <v>20</v>
      </c>
      <c r="C222" s="42">
        <v>528</v>
      </c>
      <c r="D222" s="43">
        <v>3.42</v>
      </c>
      <c r="E222" s="41">
        <v>25</v>
      </c>
      <c r="F222" s="44">
        <v>5.1265306122448999E-2</v>
      </c>
      <c r="G222" s="42">
        <v>423.92091475889498</v>
      </c>
      <c r="H222" s="39">
        <v>0.18333438163454599</v>
      </c>
      <c r="I222" s="39">
        <v>0.22170640815975201</v>
      </c>
      <c r="J222" s="39">
        <v>0.26742018127435102</v>
      </c>
      <c r="K222" s="39">
        <v>0.64702830709325798</v>
      </c>
      <c r="L222" s="39">
        <v>0.15137253300088199</v>
      </c>
      <c r="M222" s="39">
        <v>0.27630635811851401</v>
      </c>
      <c r="N222" s="48">
        <v>0.36679586574376727</v>
      </c>
      <c r="O222" s="39">
        <v>0.227652349089768</v>
      </c>
      <c r="P222" s="39">
        <v>0.315285755420251</v>
      </c>
      <c r="Q222" s="39">
        <v>0.26305244131259198</v>
      </c>
      <c r="R222" s="39">
        <v>0.27341569469427401</v>
      </c>
      <c r="S222" s="39">
        <v>0.41552623609276701</v>
      </c>
      <c r="T222" s="39">
        <v>0.33062716631042099</v>
      </c>
      <c r="U222" s="43">
        <v>0.28999999999999998</v>
      </c>
      <c r="V222" s="43">
        <v>0.24922318130041701</v>
      </c>
      <c r="W222" s="43">
        <f t="shared" si="6"/>
        <v>4.0776818699582967E-2</v>
      </c>
      <c r="X222" s="45">
        <v>0.27969243531826798</v>
      </c>
      <c r="Y222" s="45">
        <f t="shared" si="7"/>
        <v>1.0307564681731995E-2</v>
      </c>
    </row>
    <row r="223" spans="1:25" ht="15" x14ac:dyDescent="0.2">
      <c r="B223" s="41">
        <v>20</v>
      </c>
      <c r="C223" s="42">
        <v>528</v>
      </c>
      <c r="D223" s="43">
        <v>3.42</v>
      </c>
      <c r="E223" s="41">
        <v>25</v>
      </c>
      <c r="F223" s="44">
        <v>5.1265306122448999E-2</v>
      </c>
      <c r="G223" s="42">
        <v>467.15988667541399</v>
      </c>
      <c r="H223" s="39">
        <v>0.19987023271441301</v>
      </c>
      <c r="I223" s="39">
        <v>0.241703225538447</v>
      </c>
      <c r="J223" s="39">
        <v>0.28989246541505198</v>
      </c>
      <c r="K223" s="39">
        <v>0.76034164665905801</v>
      </c>
      <c r="L223" s="39">
        <v>0.16456745163476599</v>
      </c>
      <c r="M223" s="39">
        <v>0.29952537980914501</v>
      </c>
      <c r="N223" s="48">
        <v>0.40076336120652795</v>
      </c>
      <c r="O223" s="39">
        <v>0.24770696384950999</v>
      </c>
      <c r="P223" s="39">
        <v>0.34178035671606999</v>
      </c>
      <c r="Q223" s="39">
        <v>0.28657100166404098</v>
      </c>
      <c r="R223" s="39">
        <v>0.29895278017424598</v>
      </c>
      <c r="S223" s="39">
        <v>0.46501391602421199</v>
      </c>
      <c r="T223" s="39">
        <v>0.37251401721166499</v>
      </c>
      <c r="U223" s="43">
        <v>0.31</v>
      </c>
      <c r="V223" s="43">
        <v>0.27318096264481201</v>
      </c>
      <c r="W223" s="43">
        <f t="shared" si="6"/>
        <v>3.6819037355187989E-2</v>
      </c>
      <c r="X223" s="45">
        <v>0.308220429420346</v>
      </c>
      <c r="Y223" s="45">
        <f t="shared" si="7"/>
        <v>1.7795705796539996E-3</v>
      </c>
    </row>
    <row r="224" spans="1:25" ht="15" x14ac:dyDescent="0.2">
      <c r="B224" s="41">
        <v>20</v>
      </c>
      <c r="C224" s="42">
        <v>528</v>
      </c>
      <c r="D224" s="43">
        <v>3.42</v>
      </c>
      <c r="E224" s="41">
        <v>25</v>
      </c>
      <c r="F224" s="44">
        <v>5.1265306122448999E-2</v>
      </c>
      <c r="G224" s="42">
        <v>501.10623509507298</v>
      </c>
      <c r="H224" s="39">
        <v>0.21475249868629301</v>
      </c>
      <c r="I224" s="39">
        <v>0.25970036117927198</v>
      </c>
      <c r="J224" s="39">
        <v>0.31000433689657803</v>
      </c>
      <c r="K224" s="39">
        <v>0.869501754385965</v>
      </c>
      <c r="L224" s="39">
        <v>0.17644287840526199</v>
      </c>
      <c r="M224" s="39">
        <v>0.32042249933071398</v>
      </c>
      <c r="N224" s="48">
        <v>0.43133410712301268</v>
      </c>
      <c r="O224" s="39">
        <v>0.26575611713327801</v>
      </c>
      <c r="P224" s="39">
        <v>0.36562549788230703</v>
      </c>
      <c r="Q224" s="39">
        <v>0.30777661698523801</v>
      </c>
      <c r="R224" s="39">
        <v>0.321752751072368</v>
      </c>
      <c r="S224" s="39">
        <v>0.51098398394234201</v>
      </c>
      <c r="T224" s="39">
        <v>0.410212183022785</v>
      </c>
      <c r="U224" s="43">
        <v>0.37</v>
      </c>
      <c r="V224" s="43">
        <v>0.294742965854767</v>
      </c>
      <c r="W224" s="43">
        <f t="shared" si="6"/>
        <v>7.5257034145232993E-2</v>
      </c>
      <c r="X224" s="45">
        <v>0.330617382552647</v>
      </c>
      <c r="Y224" s="45">
        <f t="shared" si="7"/>
        <v>3.9382617447352997E-2</v>
      </c>
    </row>
    <row r="225" spans="1:25" ht="15" x14ac:dyDescent="0.2">
      <c r="A225" s="40" t="s">
        <v>69</v>
      </c>
      <c r="B225" s="41">
        <v>16</v>
      </c>
      <c r="C225" s="42">
        <v>528</v>
      </c>
      <c r="D225" s="43">
        <v>2.98</v>
      </c>
      <c r="E225" s="41">
        <v>27</v>
      </c>
      <c r="F225" s="44">
        <v>2.3304347826087E-2</v>
      </c>
      <c r="G225" s="42">
        <v>338.45671348122499</v>
      </c>
      <c r="H225" s="39">
        <v>0.23593566188489301</v>
      </c>
      <c r="I225" s="39">
        <v>0.23898546695454101</v>
      </c>
      <c r="J225" s="39">
        <v>0.28536096598764199</v>
      </c>
      <c r="K225" s="39">
        <v>0.43374155611391801</v>
      </c>
      <c r="L225" s="39">
        <v>0.23059971471306301</v>
      </c>
      <c r="M225" s="39">
        <v>0.30168752538416299</v>
      </c>
      <c r="N225" s="48">
        <v>0.30919106657813</v>
      </c>
      <c r="O225" s="39">
        <v>0.192616849204435</v>
      </c>
      <c r="P225" s="39">
        <v>0.29314095694596398</v>
      </c>
      <c r="Q225" s="39">
        <v>0.285256132730769</v>
      </c>
      <c r="R225" s="39">
        <v>0.29685938412391499</v>
      </c>
      <c r="S225" s="39">
        <v>0.33004720078331201</v>
      </c>
      <c r="T225" s="39">
        <v>0.28447122782612999</v>
      </c>
      <c r="U225" s="43">
        <v>0.16</v>
      </c>
      <c r="V225" s="43">
        <v>0.25056522044372098</v>
      </c>
      <c r="W225" s="43">
        <f t="shared" si="6"/>
        <v>-9.0565220443720978E-2</v>
      </c>
      <c r="X225" s="45">
        <v>0.30018318832296098</v>
      </c>
      <c r="Y225" s="45">
        <f t="shared" si="7"/>
        <v>-0.14018318832296098</v>
      </c>
    </row>
    <row r="226" spans="1:25" ht="15" x14ac:dyDescent="0.2">
      <c r="B226" s="41">
        <v>16</v>
      </c>
      <c r="C226" s="42">
        <v>528</v>
      </c>
      <c r="D226" s="43">
        <v>2.98</v>
      </c>
      <c r="E226" s="41">
        <v>27</v>
      </c>
      <c r="F226" s="44">
        <v>2.3304347826087E-2</v>
      </c>
      <c r="G226" s="42">
        <v>433.44874130170899</v>
      </c>
      <c r="H226" s="39">
        <v>0.28908411538548201</v>
      </c>
      <c r="I226" s="39">
        <v>0.29282094005036702</v>
      </c>
      <c r="J226" s="39">
        <v>0.34119245933304998</v>
      </c>
      <c r="K226" s="39">
        <v>0.62007004123090803</v>
      </c>
      <c r="L226" s="39">
        <v>0.28001183489341902</v>
      </c>
      <c r="M226" s="39">
        <v>0.36071334556802098</v>
      </c>
      <c r="N226" s="48">
        <v>0.3770009982501118</v>
      </c>
      <c r="O226" s="39">
        <v>0.23263380499637801</v>
      </c>
      <c r="P226" s="39">
        <v>0.35049462243539098</v>
      </c>
      <c r="Q226" s="39">
        <v>0.34719787288184401</v>
      </c>
      <c r="R226" s="39">
        <v>0.36924398331434899</v>
      </c>
      <c r="S226" s="39">
        <v>0.42635405479028798</v>
      </c>
      <c r="T226" s="39">
        <v>0.37057616402825</v>
      </c>
      <c r="U226" s="43">
        <v>0.2</v>
      </c>
      <c r="V226" s="43">
        <v>0.31490001064532802</v>
      </c>
      <c r="W226" s="43">
        <f t="shared" si="6"/>
        <v>-0.11490001064532801</v>
      </c>
      <c r="X226" s="45">
        <v>0.38443328188181702</v>
      </c>
      <c r="Y226" s="45">
        <f t="shared" si="7"/>
        <v>-0.18443328188181701</v>
      </c>
    </row>
    <row r="227" spans="1:25" ht="15" x14ac:dyDescent="0.2">
      <c r="B227" s="41">
        <v>16</v>
      </c>
      <c r="C227" s="42">
        <v>528</v>
      </c>
      <c r="D227" s="43">
        <v>2.98</v>
      </c>
      <c r="E227" s="41">
        <v>27</v>
      </c>
      <c r="F227" s="44">
        <v>2.3304347826087E-2</v>
      </c>
      <c r="G227" s="42">
        <v>523.88203180799201</v>
      </c>
      <c r="H227" s="39">
        <v>0.348137952608359</v>
      </c>
      <c r="I227" s="39">
        <v>0.352638132379062</v>
      </c>
      <c r="J227" s="39">
        <v>0.38713656797945201</v>
      </c>
      <c r="K227" s="39">
        <v>0.79830765100671097</v>
      </c>
      <c r="L227" s="39">
        <v>0.33491419064937</v>
      </c>
      <c r="M227" s="39">
        <v>0.42629759021675301</v>
      </c>
      <c r="N227" s="48">
        <v>0.45234536677453613</v>
      </c>
      <c r="O227" s="39">
        <v>0.27709708920964699</v>
      </c>
      <c r="P227" s="39">
        <v>0.41422091742364398</v>
      </c>
      <c r="Q227" s="39">
        <v>0.39003540899802502</v>
      </c>
      <c r="R227" s="39">
        <v>0.447317133381889</v>
      </c>
      <c r="S227" s="39">
        <v>0.53890363867607105</v>
      </c>
      <c r="T227" s="39">
        <v>0.47205823207103498</v>
      </c>
      <c r="U227" s="43">
        <v>0.26</v>
      </c>
      <c r="V227" s="43">
        <v>0.38638311086933602</v>
      </c>
      <c r="W227" s="43">
        <f t="shared" si="6"/>
        <v>-0.12638311086933601</v>
      </c>
      <c r="X227" s="45">
        <v>0.46464015145605198</v>
      </c>
      <c r="Y227" s="45">
        <f t="shared" si="7"/>
        <v>-0.20464015145605197</v>
      </c>
    </row>
    <row r="228" spans="1:25" ht="15" x14ac:dyDescent="0.2">
      <c r="A228" s="40" t="s">
        <v>70</v>
      </c>
      <c r="B228" s="41">
        <v>20</v>
      </c>
      <c r="C228" s="42">
        <v>528</v>
      </c>
      <c r="D228" s="43">
        <v>2.98</v>
      </c>
      <c r="E228" s="41">
        <v>25</v>
      </c>
      <c r="F228" s="44">
        <v>3.4176870748299303E-2</v>
      </c>
      <c r="G228" s="42">
        <v>217.08100493447299</v>
      </c>
      <c r="H228" s="39">
        <v>0.136624194395983</v>
      </c>
      <c r="I228" s="39">
        <v>0.14637788590728401</v>
      </c>
      <c r="J228" s="39">
        <v>0.201171796619769</v>
      </c>
      <c r="K228" s="39">
        <v>0.27855986364060598</v>
      </c>
      <c r="L228" s="39">
        <v>0.13219403671847599</v>
      </c>
      <c r="M228" s="39">
        <v>0.20111319768091601</v>
      </c>
      <c r="N228" s="48">
        <v>0.23052175704499706</v>
      </c>
      <c r="O228" s="39">
        <v>0.134813191177103</v>
      </c>
      <c r="P228" s="39">
        <v>0.21360585337041599</v>
      </c>
      <c r="Q228" s="39">
        <v>0.17762658125549</v>
      </c>
      <c r="R228" s="39">
        <v>0.172535274252896</v>
      </c>
      <c r="S228" s="39">
        <v>0.22910743561581401</v>
      </c>
      <c r="T228" s="39">
        <v>0.17471115343122201</v>
      </c>
      <c r="U228" s="43">
        <v>0.17</v>
      </c>
      <c r="V228" s="43">
        <v>0.154143497430964</v>
      </c>
      <c r="W228" s="43">
        <f t="shared" si="6"/>
        <v>1.5856502569036007E-2</v>
      </c>
      <c r="X228" s="45">
        <v>0.16693000107002401</v>
      </c>
      <c r="Y228" s="45">
        <f t="shared" si="7"/>
        <v>3.0699989299760033E-3</v>
      </c>
    </row>
    <row r="229" spans="1:25" ht="15" x14ac:dyDescent="0.2">
      <c r="B229" s="41">
        <v>20</v>
      </c>
      <c r="C229" s="42">
        <v>528</v>
      </c>
      <c r="D229" s="43">
        <v>2.98</v>
      </c>
      <c r="E229" s="41">
        <v>25</v>
      </c>
      <c r="F229" s="44">
        <v>3.4176870748299303E-2</v>
      </c>
      <c r="G229" s="42">
        <v>262.36532615965399</v>
      </c>
      <c r="H229" s="39">
        <v>0.15853100890336799</v>
      </c>
      <c r="I229" s="39">
        <v>0.169848642377109</v>
      </c>
      <c r="J229" s="39">
        <v>0.22933584814653701</v>
      </c>
      <c r="K229" s="39">
        <v>0.36201639878733199</v>
      </c>
      <c r="L229" s="39">
        <v>0.15236096455207199</v>
      </c>
      <c r="M229" s="39">
        <v>0.22926904535624401</v>
      </c>
      <c r="N229" s="48">
        <v>0.26855064972570136</v>
      </c>
      <c r="O229" s="39">
        <v>0.155261535573891</v>
      </c>
      <c r="P229" s="39">
        <v>0.24351067284227401</v>
      </c>
      <c r="Q229" s="39">
        <v>0.204878992415925</v>
      </c>
      <c r="R229" s="39">
        <v>0.205208628495819</v>
      </c>
      <c r="S229" s="39">
        <v>0.27830255353844702</v>
      </c>
      <c r="T229" s="39">
        <v>0.21239175481543399</v>
      </c>
      <c r="U229" s="43">
        <v>0.19</v>
      </c>
      <c r="V229" s="43">
        <v>0.18259499046457001</v>
      </c>
      <c r="W229" s="43">
        <f t="shared" si="6"/>
        <v>7.4050095354299961E-3</v>
      </c>
      <c r="X229" s="45">
        <v>0.201752540208612</v>
      </c>
      <c r="Y229" s="45">
        <f t="shared" si="7"/>
        <v>-1.1752540208611995E-2</v>
      </c>
    </row>
    <row r="230" spans="1:25" ht="15" x14ac:dyDescent="0.2">
      <c r="B230" s="41">
        <v>20</v>
      </c>
      <c r="C230" s="42">
        <v>528</v>
      </c>
      <c r="D230" s="43">
        <v>2.98</v>
      </c>
      <c r="E230" s="41">
        <v>25</v>
      </c>
      <c r="F230" s="44">
        <v>3.4176870748299303E-2</v>
      </c>
      <c r="G230" s="42">
        <v>320.58802487774301</v>
      </c>
      <c r="H230" s="39">
        <v>0.18669691327000701</v>
      </c>
      <c r="I230" s="39">
        <v>0.20002532926688299</v>
      </c>
      <c r="J230" s="39">
        <v>0.26554677153809497</v>
      </c>
      <c r="K230" s="39">
        <v>0.48536270640739199</v>
      </c>
      <c r="L230" s="39">
        <v>0.178289871766696</v>
      </c>
      <c r="M230" s="39">
        <v>0.26546942093880899</v>
      </c>
      <c r="N230" s="48">
        <v>0.31744494031517845</v>
      </c>
      <c r="O230" s="39">
        <v>0.18155226408404801</v>
      </c>
      <c r="P230" s="39">
        <v>0.28195972644894901</v>
      </c>
      <c r="Q230" s="39">
        <v>0.24019029576945999</v>
      </c>
      <c r="R230" s="39">
        <v>0.24637529735369401</v>
      </c>
      <c r="S230" s="39">
        <v>0.344716191586524</v>
      </c>
      <c r="T230" s="39">
        <v>0.26312984044857302</v>
      </c>
      <c r="U230" s="43">
        <v>0.23</v>
      </c>
      <c r="V230" s="43">
        <v>0.21917548150777699</v>
      </c>
      <c r="W230" s="43">
        <f t="shared" si="6"/>
        <v>1.0824518492223018E-2</v>
      </c>
      <c r="X230" s="45">
        <v>0.246524376243939</v>
      </c>
      <c r="Y230" s="45">
        <f t="shared" si="7"/>
        <v>-1.6524376243938987E-2</v>
      </c>
    </row>
    <row r="231" spans="1:25" ht="15" x14ac:dyDescent="0.2">
      <c r="B231" s="41">
        <v>20</v>
      </c>
      <c r="C231" s="42">
        <v>528</v>
      </c>
      <c r="D231" s="43">
        <v>2.98</v>
      </c>
      <c r="E231" s="41">
        <v>25</v>
      </c>
      <c r="F231" s="44">
        <v>3.4176870748299303E-2</v>
      </c>
      <c r="G231" s="42">
        <v>346.46477986356098</v>
      </c>
      <c r="H231" s="39">
        <v>0.199215092988513</v>
      </c>
      <c r="I231" s="39">
        <v>0.213437190106783</v>
      </c>
      <c r="J231" s="39">
        <v>0.28164051526767703</v>
      </c>
      <c r="K231" s="39">
        <v>0.54597733273558802</v>
      </c>
      <c r="L231" s="39">
        <v>0.189813830528751</v>
      </c>
      <c r="M231" s="39">
        <v>0.28155847675328199</v>
      </c>
      <c r="N231" s="48">
        <v>0.33917573613272378</v>
      </c>
      <c r="O231" s="39">
        <v>0.19323703231078401</v>
      </c>
      <c r="P231" s="39">
        <v>0.29904819471858202</v>
      </c>
      <c r="Q231" s="39">
        <v>0.255959458126156</v>
      </c>
      <c r="R231" s="39">
        <v>0.26440772631062798</v>
      </c>
      <c r="S231" s="39">
        <v>0.37537547621672801</v>
      </c>
      <c r="T231" s="39">
        <v>0.28650762228021798</v>
      </c>
      <c r="U231" s="43">
        <v>0.25</v>
      </c>
      <c r="V231" s="43">
        <v>0.23543347752698099</v>
      </c>
      <c r="W231" s="43">
        <f t="shared" si="6"/>
        <v>1.4566522473019011E-2</v>
      </c>
      <c r="X231" s="45">
        <v>0.26642297003741799</v>
      </c>
      <c r="Y231" s="45">
        <f t="shared" si="7"/>
        <v>-1.6422970037417994E-2</v>
      </c>
    </row>
    <row r="232" spans="1:25" ht="15" x14ac:dyDescent="0.2">
      <c r="B232" s="41">
        <v>20</v>
      </c>
      <c r="C232" s="42">
        <v>528</v>
      </c>
      <c r="D232" s="43">
        <v>2.98</v>
      </c>
      <c r="E232" s="41">
        <v>25</v>
      </c>
      <c r="F232" s="44">
        <v>3.4176870748299303E-2</v>
      </c>
      <c r="G232" s="42">
        <v>385.27991234228699</v>
      </c>
      <c r="H232" s="39">
        <v>0.217992362566271</v>
      </c>
      <c r="I232" s="39">
        <v>0.233554981366633</v>
      </c>
      <c r="J232" s="39">
        <v>0.305781130862049</v>
      </c>
      <c r="K232" s="39">
        <v>0.64358470895525599</v>
      </c>
      <c r="L232" s="39">
        <v>0.20709976867183399</v>
      </c>
      <c r="M232" s="39">
        <v>0.30569206047499198</v>
      </c>
      <c r="N232" s="48">
        <v>0.37177192985904184</v>
      </c>
      <c r="O232" s="39">
        <v>0.210764184650889</v>
      </c>
      <c r="P232" s="39">
        <v>0.324680897123032</v>
      </c>
      <c r="Q232" s="39">
        <v>0.279682229881688</v>
      </c>
      <c r="R232" s="39">
        <v>0.29119025488820299</v>
      </c>
      <c r="S232" s="39">
        <v>0.42268222489017898</v>
      </c>
      <c r="T232" s="39">
        <v>0.32252912758566499</v>
      </c>
      <c r="U232" s="43">
        <v>0.3</v>
      </c>
      <c r="V232" s="43">
        <v>0.25982047155578503</v>
      </c>
      <c r="W232" s="43">
        <f t="shared" si="6"/>
        <v>4.0179528444214963E-2</v>
      </c>
      <c r="X232" s="45">
        <v>0.29627086072763698</v>
      </c>
      <c r="Y232" s="45">
        <f t="shared" si="7"/>
        <v>3.7291392723630135E-3</v>
      </c>
    </row>
    <row r="233" spans="1:25" ht="15" x14ac:dyDescent="0.2">
      <c r="B233" s="41">
        <v>20</v>
      </c>
      <c r="C233" s="42">
        <v>528</v>
      </c>
      <c r="D233" s="43">
        <v>2.98</v>
      </c>
      <c r="E233" s="41">
        <v>25</v>
      </c>
      <c r="F233" s="44">
        <v>3.4176870748299303E-2</v>
      </c>
      <c r="G233" s="42">
        <v>411.15666732810399</v>
      </c>
      <c r="H233" s="39">
        <v>0.23051054228477699</v>
      </c>
      <c r="I233" s="39">
        <v>0.246966842206533</v>
      </c>
      <c r="J233" s="39">
        <v>0.32187487459163</v>
      </c>
      <c r="K233" s="39">
        <v>0.71311325091995204</v>
      </c>
      <c r="L233" s="39">
        <v>0.218623727433889</v>
      </c>
      <c r="M233" s="39">
        <v>0.32178111628946598</v>
      </c>
      <c r="N233" s="48">
        <v>0.39350272567658734</v>
      </c>
      <c r="O233" s="39">
        <v>0.22244895287762501</v>
      </c>
      <c r="P233" s="39">
        <v>0.341769365392665</v>
      </c>
      <c r="Q233" s="39">
        <v>0.295536867955422</v>
      </c>
      <c r="R233" s="39">
        <v>0.30888453146331302</v>
      </c>
      <c r="S233" s="39">
        <v>0.45509860515790901</v>
      </c>
      <c r="T233" s="39">
        <v>0.34718001949461702</v>
      </c>
      <c r="U233" s="43">
        <v>0.32</v>
      </c>
      <c r="V233" s="43">
        <v>0.27607846757498899</v>
      </c>
      <c r="W233" s="43">
        <f t="shared" si="6"/>
        <v>4.3921532425011012E-2</v>
      </c>
      <c r="X233" s="45">
        <v>0.316169454521116</v>
      </c>
      <c r="Y233" s="45">
        <f t="shared" si="7"/>
        <v>3.8305454788840065E-3</v>
      </c>
    </row>
    <row r="234" spans="1:25" ht="15" x14ac:dyDescent="0.2">
      <c r="B234" s="41">
        <v>20</v>
      </c>
      <c r="C234" s="42">
        <v>528</v>
      </c>
      <c r="D234" s="43">
        <v>2.98</v>
      </c>
      <c r="E234" s="41">
        <v>25</v>
      </c>
      <c r="F234" s="44">
        <v>3.4176870748299303E-2</v>
      </c>
      <c r="G234" s="42">
        <v>474.55471704335702</v>
      </c>
      <c r="H234" s="39">
        <v>0.26118008259511699</v>
      </c>
      <c r="I234" s="39">
        <v>0.27982590126428702</v>
      </c>
      <c r="J234" s="39">
        <v>0.361304546729105</v>
      </c>
      <c r="K234" s="39">
        <v>0.89852715311695697</v>
      </c>
      <c r="L234" s="39">
        <v>0.24685742640092401</v>
      </c>
      <c r="M234" s="39">
        <v>0.36119930303492498</v>
      </c>
      <c r="N234" s="48">
        <v>0.44674317542957331</v>
      </c>
      <c r="O234" s="39">
        <v>0.25107663503312899</v>
      </c>
      <c r="P234" s="39">
        <v>0.38363611265326703</v>
      </c>
      <c r="Q234" s="39">
        <v>0.33448999677676899</v>
      </c>
      <c r="R234" s="39">
        <v>0.35176238751452299</v>
      </c>
      <c r="S234" s="39">
        <v>0.53748910698908703</v>
      </c>
      <c r="T234" s="39">
        <v>0.40972689725723699</v>
      </c>
      <c r="U234" s="43">
        <v>0.36</v>
      </c>
      <c r="V234" s="43">
        <v>0.31591055782203697</v>
      </c>
      <c r="W234" s="43">
        <f t="shared" si="6"/>
        <v>4.4089442177963012E-2</v>
      </c>
      <c r="X234" s="45">
        <v>0.36492100931513899</v>
      </c>
      <c r="Y234" s="45">
        <f t="shared" si="7"/>
        <v>-4.9210093151390022E-3</v>
      </c>
    </row>
    <row r="235" spans="1:25" ht="15" x14ac:dyDescent="0.2">
      <c r="B235" s="41">
        <v>20</v>
      </c>
      <c r="C235" s="42">
        <v>528</v>
      </c>
      <c r="D235" s="43">
        <v>2.98</v>
      </c>
      <c r="E235" s="41">
        <v>25</v>
      </c>
      <c r="F235" s="44">
        <v>3.4176870748299303E-2</v>
      </c>
      <c r="G235" s="42">
        <v>526.44594786447101</v>
      </c>
      <c r="H235" s="39">
        <v>0.29184962290545602</v>
      </c>
      <c r="I235" s="39">
        <v>0.31268496032204102</v>
      </c>
      <c r="J235" s="39">
        <v>0.380757070040603</v>
      </c>
      <c r="K235" s="39">
        <v>0.99788456375838896</v>
      </c>
      <c r="L235" s="39">
        <v>0.27509112536795899</v>
      </c>
      <c r="M235" s="39">
        <v>0.40061748978038503</v>
      </c>
      <c r="N235" s="48">
        <v>0.49998362518255957</v>
      </c>
      <c r="O235" s="39">
        <v>0.27970431718863298</v>
      </c>
      <c r="P235" s="39">
        <v>0.42550285991386799</v>
      </c>
      <c r="Q235" s="39">
        <v>0.35693767627860101</v>
      </c>
      <c r="R235" s="39">
        <v>0.39407026091407599</v>
      </c>
      <c r="S235" s="39">
        <v>0.62409839544596502</v>
      </c>
      <c r="T235" s="39">
        <v>0.475643252569382</v>
      </c>
      <c r="U235" s="43">
        <v>0.47</v>
      </c>
      <c r="V235" s="43">
        <v>0.35574264806908501</v>
      </c>
      <c r="W235" s="43">
        <f t="shared" si="6"/>
        <v>0.11425735193091496</v>
      </c>
      <c r="X235" s="45">
        <v>0.40482410087816201</v>
      </c>
      <c r="Y235" s="45">
        <f t="shared" si="7"/>
        <v>6.5175899121837966E-2</v>
      </c>
    </row>
    <row r="236" spans="1:25" ht="15" x14ac:dyDescent="0.2">
      <c r="A236" s="40" t="s">
        <v>71</v>
      </c>
      <c r="B236" s="41">
        <v>20</v>
      </c>
      <c r="C236" s="42">
        <v>528</v>
      </c>
      <c r="D236" s="43">
        <v>2.98</v>
      </c>
      <c r="E236" s="41">
        <v>25</v>
      </c>
      <c r="F236" s="44">
        <v>5.1265306122448999E-2</v>
      </c>
      <c r="G236" s="42">
        <v>275.46613457337298</v>
      </c>
      <c r="H236" s="39">
        <v>0.12789012791537699</v>
      </c>
      <c r="I236" s="39">
        <v>0.15399797461207199</v>
      </c>
      <c r="J236" s="39">
        <v>0.188767186781895</v>
      </c>
      <c r="K236" s="39">
        <v>0.36999663347029599</v>
      </c>
      <c r="L236" s="39">
        <v>0.104602151081381</v>
      </c>
      <c r="M236" s="39">
        <v>0.17739282607220899</v>
      </c>
      <c r="N236" s="48">
        <v>0.24442614664837317</v>
      </c>
      <c r="O236" s="39">
        <v>0.15656725810990199</v>
      </c>
      <c r="P236" s="39">
        <v>0.219974951915309</v>
      </c>
      <c r="Q236" s="39">
        <v>0.18188336534192301</v>
      </c>
      <c r="R236" s="39">
        <v>0.183410283609653</v>
      </c>
      <c r="S236" s="39">
        <v>0.276745431930631</v>
      </c>
      <c r="T236" s="39">
        <v>0.20560198493052301</v>
      </c>
      <c r="U236" s="43">
        <v>0.16</v>
      </c>
      <c r="V236" s="43">
        <v>0.16920059472353</v>
      </c>
      <c r="W236" s="43">
        <f t="shared" si="6"/>
        <v>-9.2005947235299923E-3</v>
      </c>
      <c r="X236" s="45">
        <v>0.18134808592282201</v>
      </c>
      <c r="Y236" s="45">
        <f t="shared" si="7"/>
        <v>-2.1348085922822002E-2</v>
      </c>
    </row>
    <row r="237" spans="1:25" ht="15" x14ac:dyDescent="0.2">
      <c r="B237" s="41">
        <v>20</v>
      </c>
      <c r="C237" s="42">
        <v>528</v>
      </c>
      <c r="D237" s="43">
        <v>2.98</v>
      </c>
      <c r="E237" s="41">
        <v>25</v>
      </c>
      <c r="F237" s="44">
        <v>5.1265306122448999E-2</v>
      </c>
      <c r="G237" s="42">
        <v>292.26518583602802</v>
      </c>
      <c r="H237" s="39">
        <v>0.134526678686815</v>
      </c>
      <c r="I237" s="39">
        <v>0.16198932933092799</v>
      </c>
      <c r="J237" s="39">
        <v>0.19775610043817499</v>
      </c>
      <c r="K237" s="39">
        <v>0.40607340272023401</v>
      </c>
      <c r="L237" s="39">
        <v>0.109852110596796</v>
      </c>
      <c r="M237" s="39">
        <v>0.18584010350421901</v>
      </c>
      <c r="N237" s="48">
        <v>0.25783302330921021</v>
      </c>
      <c r="O237" s="39">
        <v>0.16454653547471401</v>
      </c>
      <c r="P237" s="39">
        <v>0.23044994962556201</v>
      </c>
      <c r="Q237" s="39">
        <v>0.19116095244436401</v>
      </c>
      <c r="R237" s="39">
        <v>0.19383862186164499</v>
      </c>
      <c r="S237" s="39">
        <v>0.29538570883430298</v>
      </c>
      <c r="T237" s="39">
        <v>0.21946262135852901</v>
      </c>
      <c r="U237" s="43">
        <v>0.18</v>
      </c>
      <c r="V237" s="43">
        <v>0.17871200070263199</v>
      </c>
      <c r="W237" s="43">
        <f t="shared" si="6"/>
        <v>1.2879992973680032E-3</v>
      </c>
      <c r="X237" s="45">
        <v>0.192407433731655</v>
      </c>
      <c r="Y237" s="45">
        <f t="shared" si="7"/>
        <v>-1.240743373165501E-2</v>
      </c>
    </row>
    <row r="238" spans="1:25" ht="15" x14ac:dyDescent="0.2">
      <c r="B238" s="41">
        <v>20</v>
      </c>
      <c r="C238" s="42">
        <v>528</v>
      </c>
      <c r="D238" s="43">
        <v>2.98</v>
      </c>
      <c r="E238" s="41">
        <v>25</v>
      </c>
      <c r="F238" s="44">
        <v>5.1265306122448999E-2</v>
      </c>
      <c r="G238" s="42">
        <v>334.26281399266702</v>
      </c>
      <c r="H238" s="39">
        <v>0.151118055615412</v>
      </c>
      <c r="I238" s="39">
        <v>0.18196771612807</v>
      </c>
      <c r="J238" s="39">
        <v>0.220228384578877</v>
      </c>
      <c r="K238" s="39">
        <v>0.50360652889012403</v>
      </c>
      <c r="L238" s="39">
        <v>0.122977009385335</v>
      </c>
      <c r="M238" s="39">
        <v>0.20695829708424399</v>
      </c>
      <c r="N238" s="48">
        <v>0.29135021496130303</v>
      </c>
      <c r="O238" s="39">
        <v>0.18449472888674601</v>
      </c>
      <c r="P238" s="39">
        <v>0.25663744390119397</v>
      </c>
      <c r="Q238" s="39">
        <v>0.21441488506666001</v>
      </c>
      <c r="R238" s="39">
        <v>0.21969048608792299</v>
      </c>
      <c r="S238" s="39">
        <v>0.343422302050856</v>
      </c>
      <c r="T238" s="39">
        <v>0.25515459972437698</v>
      </c>
      <c r="U238" s="43">
        <v>0.18</v>
      </c>
      <c r="V238" s="43">
        <v>0.202490515650387</v>
      </c>
      <c r="W238" s="43">
        <f t="shared" si="6"/>
        <v>-2.2490515650387011E-2</v>
      </c>
      <c r="X238" s="45">
        <v>0.220055803253739</v>
      </c>
      <c r="Y238" s="45">
        <f t="shared" si="7"/>
        <v>-4.0055803253739003E-2</v>
      </c>
    </row>
    <row r="239" spans="1:25" ht="15" x14ac:dyDescent="0.2">
      <c r="B239" s="41">
        <v>20</v>
      </c>
      <c r="C239" s="42">
        <v>528</v>
      </c>
      <c r="D239" s="43">
        <v>2.98</v>
      </c>
      <c r="E239" s="41">
        <v>25</v>
      </c>
      <c r="F239" s="44">
        <v>5.1265306122448999E-2</v>
      </c>
      <c r="G239" s="42">
        <v>380.460204964968</v>
      </c>
      <c r="H239" s="39">
        <v>0.16936857023686799</v>
      </c>
      <c r="I239" s="39">
        <v>0.20394394160492499</v>
      </c>
      <c r="J239" s="39">
        <v>0.24494789713364901</v>
      </c>
      <c r="K239" s="39">
        <v>0.62300595270132997</v>
      </c>
      <c r="L239" s="39">
        <v>0.13741439805272701</v>
      </c>
      <c r="M239" s="39">
        <v>0.230188310022272</v>
      </c>
      <c r="N239" s="48">
        <v>0.32821912577860507</v>
      </c>
      <c r="O239" s="39">
        <v>0.20643774163998099</v>
      </c>
      <c r="P239" s="39">
        <v>0.28544368760438898</v>
      </c>
      <c r="Q239" s="39">
        <v>0.240074487953088</v>
      </c>
      <c r="R239" s="39">
        <v>0.24780687665029499</v>
      </c>
      <c r="S239" s="39">
        <v>0.39863179116872999</v>
      </c>
      <c r="T239" s="39">
        <v>0.29613241496493498</v>
      </c>
      <c r="U239" s="43">
        <v>0.2</v>
      </c>
      <c r="V239" s="43">
        <v>0.228646882092917</v>
      </c>
      <c r="W239" s="43">
        <f t="shared" si="6"/>
        <v>-2.8646882092916992E-2</v>
      </c>
      <c r="X239" s="45">
        <v>0.25046900972803199</v>
      </c>
      <c r="Y239" s="45">
        <f t="shared" si="7"/>
        <v>-5.0469009728031977E-2</v>
      </c>
    </row>
    <row r="240" spans="1:25" ht="15" x14ac:dyDescent="0.2">
      <c r="B240" s="41">
        <v>20</v>
      </c>
      <c r="C240" s="42">
        <v>528</v>
      </c>
      <c r="D240" s="43">
        <v>2.98</v>
      </c>
      <c r="E240" s="41">
        <v>25</v>
      </c>
      <c r="F240" s="44">
        <v>5.1265306122448999E-2</v>
      </c>
      <c r="G240" s="42">
        <v>422.45783312160597</v>
      </c>
      <c r="H240" s="39">
        <v>0.18595994716546399</v>
      </c>
      <c r="I240" s="39">
        <v>0.22392232840206699</v>
      </c>
      <c r="J240" s="39">
        <v>0.26742018127435102</v>
      </c>
      <c r="K240" s="39">
        <v>0.74256268800635705</v>
      </c>
      <c r="L240" s="39">
        <v>0.15053929684126599</v>
      </c>
      <c r="M240" s="39">
        <v>0.251306503602297</v>
      </c>
      <c r="N240" s="48">
        <v>0.36173631743069773</v>
      </c>
      <c r="O240" s="39">
        <v>0.22638593505201199</v>
      </c>
      <c r="P240" s="39">
        <v>0.31163118188002098</v>
      </c>
      <c r="Q240" s="39">
        <v>0.263458738723444</v>
      </c>
      <c r="R240" s="39">
        <v>0.27311614914308802</v>
      </c>
      <c r="S240" s="39">
        <v>0.45097608725740101</v>
      </c>
      <c r="T240" s="39">
        <v>0.33494555521828301</v>
      </c>
      <c r="U240" s="43">
        <v>0.2</v>
      </c>
      <c r="V240" s="43">
        <v>0.25242539704067202</v>
      </c>
      <c r="W240" s="43">
        <f t="shared" si="6"/>
        <v>-5.2425397040672006E-2</v>
      </c>
      <c r="X240" s="45">
        <v>0.27811737925011598</v>
      </c>
      <c r="Y240" s="45">
        <f t="shared" si="7"/>
        <v>-7.811737925011597E-2</v>
      </c>
    </row>
    <row r="241" spans="1:25" ht="15" x14ac:dyDescent="0.2">
      <c r="B241" s="41">
        <v>20</v>
      </c>
      <c r="C241" s="42">
        <v>528</v>
      </c>
      <c r="D241" s="43">
        <v>2.98</v>
      </c>
      <c r="E241" s="41">
        <v>25</v>
      </c>
      <c r="F241" s="44">
        <v>5.1265306122448999E-2</v>
      </c>
      <c r="G241" s="42">
        <v>460.25569846258099</v>
      </c>
      <c r="H241" s="39">
        <v>0.20089218640120099</v>
      </c>
      <c r="I241" s="39">
        <v>0.24190287651949399</v>
      </c>
      <c r="J241" s="39">
        <v>0.28764523700098199</v>
      </c>
      <c r="K241" s="39">
        <v>0.85913050492875898</v>
      </c>
      <c r="L241" s="39">
        <v>0.16235170575095001</v>
      </c>
      <c r="M241" s="39">
        <v>0.27031287782431901</v>
      </c>
      <c r="N241" s="48">
        <v>0.39190178991758118</v>
      </c>
      <c r="O241" s="39">
        <v>0.24433930912284099</v>
      </c>
      <c r="P241" s="39">
        <v>0.33519992672809001</v>
      </c>
      <c r="Q241" s="39">
        <v>0.28454228650135799</v>
      </c>
      <c r="R241" s="39">
        <v>0.29571760717115197</v>
      </c>
      <c r="S241" s="39">
        <v>0.49983980419228302</v>
      </c>
      <c r="T241" s="39">
        <v>0.37216252705915798</v>
      </c>
      <c r="U241" s="43">
        <v>0.2</v>
      </c>
      <c r="V241" s="43">
        <v>0.27382606049365099</v>
      </c>
      <c r="W241" s="43">
        <f t="shared" si="6"/>
        <v>-7.382606049365098E-2</v>
      </c>
      <c r="X241" s="45">
        <v>0.303000911819991</v>
      </c>
      <c r="Y241" s="45">
        <f t="shared" si="7"/>
        <v>-0.10300091181999099</v>
      </c>
    </row>
    <row r="242" spans="1:25" ht="15" x14ac:dyDescent="0.2">
      <c r="B242" s="41">
        <v>20</v>
      </c>
      <c r="C242" s="42">
        <v>528</v>
      </c>
      <c r="D242" s="43">
        <v>2.98</v>
      </c>
      <c r="E242" s="41">
        <v>25</v>
      </c>
      <c r="F242" s="44">
        <v>5.1265306122448999E-2</v>
      </c>
      <c r="G242" s="42">
        <v>502.05901185324399</v>
      </c>
      <c r="H242" s="39">
        <v>0.21914270102265701</v>
      </c>
      <c r="I242" s="39">
        <v>0.26387910199634901</v>
      </c>
      <c r="J242" s="39">
        <v>0.31000433689657803</v>
      </c>
      <c r="K242" s="39">
        <v>0.99788456375838896</v>
      </c>
      <c r="L242" s="39">
        <v>0.17678909441834301</v>
      </c>
      <c r="M242" s="39">
        <v>0.29354289076234602</v>
      </c>
      <c r="N242" s="48">
        <v>0.42877070073488316</v>
      </c>
      <c r="O242" s="39">
        <v>0.26628232187607598</v>
      </c>
      <c r="P242" s="39">
        <v>0.36400617043128503</v>
      </c>
      <c r="Q242" s="39">
        <v>0.31035102243774199</v>
      </c>
      <c r="R242" s="39">
        <v>0.32314461847797399</v>
      </c>
      <c r="S242" s="39">
        <v>0.56181854068062798</v>
      </c>
      <c r="T242" s="39">
        <v>0.418017760948381</v>
      </c>
      <c r="U242" s="43">
        <v>0.22</v>
      </c>
      <c r="V242" s="43">
        <v>0.29998242693618099</v>
      </c>
      <c r="W242" s="43">
        <f t="shared" si="6"/>
        <v>-7.9982426936180989E-2</v>
      </c>
      <c r="X242" s="45">
        <v>0.33052135777379099</v>
      </c>
      <c r="Y242" s="45">
        <f t="shared" si="7"/>
        <v>-0.11052135777379099</v>
      </c>
    </row>
    <row r="243" spans="1:25" ht="15" x14ac:dyDescent="0.2">
      <c r="A243" s="40" t="s">
        <v>72</v>
      </c>
      <c r="B243" s="41">
        <v>28</v>
      </c>
      <c r="C243" s="42">
        <v>400</v>
      </c>
      <c r="D243" s="43">
        <v>5.3084743571011099</v>
      </c>
      <c r="E243" s="41">
        <v>30</v>
      </c>
      <c r="F243" s="44">
        <v>7.9967532467532507E-2</v>
      </c>
      <c r="G243" s="42">
        <v>92.531033485649203</v>
      </c>
      <c r="H243" s="39">
        <v>5.6084396803587601E-2</v>
      </c>
      <c r="I243" s="39">
        <v>7.28407994883951E-2</v>
      </c>
      <c r="J243" s="39">
        <v>0.11044982359729399</v>
      </c>
      <c r="K243" s="39">
        <v>7.3361377368608205E-2</v>
      </c>
      <c r="L243" s="39">
        <v>4.5640522399196401E-2</v>
      </c>
      <c r="M243" s="39">
        <v>0.12192305235777701</v>
      </c>
      <c r="N243" s="48">
        <v>0.12976679780807773</v>
      </c>
      <c r="O243" s="39">
        <v>9.59824202295676E-2</v>
      </c>
      <c r="P243" s="39">
        <v>0.13074880349069801</v>
      </c>
      <c r="Q243" s="39">
        <v>9.3514236611009299E-2</v>
      </c>
      <c r="R243" s="39">
        <v>6.76476530429682E-2</v>
      </c>
      <c r="S243" s="39">
        <v>9.4967994331934993E-2</v>
      </c>
      <c r="T243" s="39">
        <v>7.1454274505946797E-2</v>
      </c>
      <c r="U243" s="43">
        <v>0.22</v>
      </c>
      <c r="V243" s="43">
        <v>6.76476530429682E-2</v>
      </c>
      <c r="W243" s="43">
        <f t="shared" si="6"/>
        <v>0.15235234695703181</v>
      </c>
      <c r="X243" s="45">
        <v>6.76476530429682E-2</v>
      </c>
      <c r="Y243" s="45">
        <f t="shared" si="7"/>
        <v>0.15235234695703181</v>
      </c>
    </row>
    <row r="244" spans="1:25" ht="15" x14ac:dyDescent="0.2">
      <c r="B244" s="41">
        <v>28</v>
      </c>
      <c r="C244" s="42">
        <v>400</v>
      </c>
      <c r="D244" s="43">
        <v>5.3084743571011099</v>
      </c>
      <c r="E244" s="41">
        <v>30</v>
      </c>
      <c r="F244" s="44">
        <v>7.9967532467532507E-2</v>
      </c>
      <c r="G244" s="42">
        <v>145.46919836430101</v>
      </c>
      <c r="H244" s="39">
        <v>8.0101861653241901E-2</v>
      </c>
      <c r="I244" s="39">
        <v>0.10403399119659799</v>
      </c>
      <c r="J244" s="39">
        <v>0.14737162177124699</v>
      </c>
      <c r="K244" s="39">
        <v>0.130606607583203</v>
      </c>
      <c r="L244" s="39">
        <v>6.2121500476060701E-2</v>
      </c>
      <c r="M244" s="39">
        <v>0.162680187003091</v>
      </c>
      <c r="N244" s="48">
        <v>0.18875394277060942</v>
      </c>
      <c r="O244" s="39">
        <v>0.13284240909810599</v>
      </c>
      <c r="P244" s="39">
        <v>0.17445626065758901</v>
      </c>
      <c r="Q244" s="39">
        <v>0.127640879756934</v>
      </c>
      <c r="R244" s="39">
        <v>0.11131626203563701</v>
      </c>
      <c r="S244" s="39">
        <v>0.15084000211537099</v>
      </c>
      <c r="T244" s="39">
        <v>0.117245309088525</v>
      </c>
      <c r="U244" s="43">
        <v>0.25</v>
      </c>
      <c r="V244" s="43">
        <v>0.10459254586081899</v>
      </c>
      <c r="W244" s="43">
        <f t="shared" si="6"/>
        <v>0.14540745413918099</v>
      </c>
      <c r="X244" s="45">
        <v>0.10634972385684199</v>
      </c>
      <c r="Y244" s="45">
        <f t="shared" si="7"/>
        <v>0.14365027614315801</v>
      </c>
    </row>
    <row r="245" spans="1:25" ht="15" x14ac:dyDescent="0.2">
      <c r="B245" s="41">
        <v>28</v>
      </c>
      <c r="C245" s="42">
        <v>400</v>
      </c>
      <c r="D245" s="43">
        <v>5.3084743571011099</v>
      </c>
      <c r="E245" s="41">
        <v>30</v>
      </c>
      <c r="F245" s="44">
        <v>7.9967532467532507E-2</v>
      </c>
      <c r="G245" s="42">
        <v>180.36143433573599</v>
      </c>
      <c r="H245" s="39">
        <v>9.3855452635522599E-2</v>
      </c>
      <c r="I245" s="39">
        <v>0.12189675909787701</v>
      </c>
      <c r="J245" s="39">
        <v>0.16851487371701501</v>
      </c>
      <c r="K245" s="39">
        <v>0.170770913672839</v>
      </c>
      <c r="L245" s="39">
        <v>7.1559325528624096E-2</v>
      </c>
      <c r="M245" s="39">
        <v>0.18601974274015101</v>
      </c>
      <c r="N245" s="48">
        <v>0.22253290612522156</v>
      </c>
      <c r="O245" s="39">
        <v>0.15395026597154299</v>
      </c>
      <c r="P245" s="39">
        <v>0.19948531732580799</v>
      </c>
      <c r="Q245" s="39">
        <v>0.147593909126845</v>
      </c>
      <c r="R245" s="39">
        <v>0.136423888414447</v>
      </c>
      <c r="S245" s="39">
        <v>0.184109571423236</v>
      </c>
      <c r="T245" s="39">
        <v>0.145176339065343</v>
      </c>
      <c r="U245" s="43">
        <v>0.28999999999999998</v>
      </c>
      <c r="V245" s="43">
        <v>0.12574902294454501</v>
      </c>
      <c r="W245" s="43">
        <f t="shared" si="6"/>
        <v>0.16425097705545497</v>
      </c>
      <c r="X245" s="45">
        <v>0.13185876427251</v>
      </c>
      <c r="Y245" s="45">
        <f t="shared" si="7"/>
        <v>0.15814123572748998</v>
      </c>
    </row>
    <row r="246" spans="1:25" ht="15" x14ac:dyDescent="0.2">
      <c r="B246" s="41">
        <v>28</v>
      </c>
      <c r="C246" s="42">
        <v>400</v>
      </c>
      <c r="D246" s="43">
        <v>5.3084743571011099</v>
      </c>
      <c r="E246" s="41">
        <v>30</v>
      </c>
      <c r="F246" s="44">
        <v>7.9967532467532507E-2</v>
      </c>
      <c r="G246" s="42">
        <v>220.461466720819</v>
      </c>
      <c r="H246" s="39">
        <v>0.109661818391278</v>
      </c>
      <c r="I246" s="39">
        <v>0.142425611760541</v>
      </c>
      <c r="J246" s="39">
        <v>0.192813834908419</v>
      </c>
      <c r="K246" s="39">
        <v>0.22357014498470301</v>
      </c>
      <c r="L246" s="39">
        <v>8.2405781186047605E-2</v>
      </c>
      <c r="M246" s="39">
        <v>0.21284281425886201</v>
      </c>
      <c r="N246" s="48">
        <v>0.26135350580141753</v>
      </c>
      <c r="O246" s="39">
        <v>0.17820854924400001</v>
      </c>
      <c r="P246" s="39">
        <v>0.22825005409376201</v>
      </c>
      <c r="Q246" s="39">
        <v>0.17076220416677501</v>
      </c>
      <c r="R246" s="39">
        <v>0.164748506490624</v>
      </c>
      <c r="S246" s="39">
        <v>0.22349104287806501</v>
      </c>
      <c r="T246" s="39">
        <v>0.17881311370995601</v>
      </c>
      <c r="U246" s="43">
        <v>0.31</v>
      </c>
      <c r="V246" s="43">
        <v>0.15006318317509601</v>
      </c>
      <c r="W246" s="43">
        <f t="shared" si="6"/>
        <v>0.15993681682490399</v>
      </c>
      <c r="X246" s="45">
        <v>0.16117512415320401</v>
      </c>
      <c r="Y246" s="45">
        <f t="shared" si="7"/>
        <v>0.14882487584679599</v>
      </c>
    </row>
    <row r="247" spans="1:25" ht="15" x14ac:dyDescent="0.2">
      <c r="B247" s="41">
        <v>28</v>
      </c>
      <c r="C247" s="42">
        <v>400</v>
      </c>
      <c r="D247" s="43">
        <v>5.3084743571011099</v>
      </c>
      <c r="E247" s="41">
        <v>30</v>
      </c>
      <c r="F247" s="44">
        <v>7.9967532467532507E-2</v>
      </c>
      <c r="G247" s="42">
        <v>282.95502368458301</v>
      </c>
      <c r="H247" s="39">
        <v>0.134295115672975</v>
      </c>
      <c r="I247" s="39">
        <v>0.17441862889715901</v>
      </c>
      <c r="J247" s="39">
        <v>0.23068234585606301</v>
      </c>
      <c r="K247" s="39">
        <v>0.320011909976056</v>
      </c>
      <c r="L247" s="39">
        <v>9.9309348444370005E-2</v>
      </c>
      <c r="M247" s="39">
        <v>0.25464500363867199</v>
      </c>
      <c r="N247" s="48">
        <v>0.32185314166042434</v>
      </c>
      <c r="O247" s="39">
        <v>0.21601366603224401</v>
      </c>
      <c r="P247" s="39">
        <v>0.27307821529057302</v>
      </c>
      <c r="Q247" s="39">
        <v>0.20722172617713999</v>
      </c>
      <c r="R247" s="39">
        <v>0.20791828758297501</v>
      </c>
      <c r="S247" s="39">
        <v>0.28730870481149501</v>
      </c>
      <c r="T247" s="39">
        <v>0.23451085819970199</v>
      </c>
      <c r="U247" s="43">
        <v>0.33</v>
      </c>
      <c r="V247" s="43">
        <v>0.18795538093699399</v>
      </c>
      <c r="W247" s="43">
        <f t="shared" si="6"/>
        <v>0.14204461906300603</v>
      </c>
      <c r="X247" s="45">
        <v>0.20686295773350699</v>
      </c>
      <c r="Y247" s="45">
        <f t="shared" si="7"/>
        <v>0.12313704226649302</v>
      </c>
    </row>
    <row r="248" spans="1:25" ht="15" x14ac:dyDescent="0.2">
      <c r="B248" s="41">
        <v>28</v>
      </c>
      <c r="C248" s="42">
        <v>400</v>
      </c>
      <c r="D248" s="43">
        <v>5.3084743571011099</v>
      </c>
      <c r="E248" s="41">
        <v>30</v>
      </c>
      <c r="F248" s="44">
        <v>7.9967532467532507E-2</v>
      </c>
      <c r="G248" s="42">
        <v>314.72258180783001</v>
      </c>
      <c r="H248" s="39">
        <v>0.146817041791171</v>
      </c>
      <c r="I248" s="39">
        <v>0.190681745941607</v>
      </c>
      <c r="J248" s="39">
        <v>0.249932172254449</v>
      </c>
      <c r="K248" s="39">
        <v>0.37564857970402199</v>
      </c>
      <c r="L248" s="39">
        <v>0.10790199513401701</v>
      </c>
      <c r="M248" s="39">
        <v>0.275894449906742</v>
      </c>
      <c r="N248" s="48">
        <v>0.35260712322208626</v>
      </c>
      <c r="O248" s="39">
        <v>0.23523126706626901</v>
      </c>
      <c r="P248" s="39">
        <v>0.29586586389895198</v>
      </c>
      <c r="Q248" s="39">
        <v>0.22587572620277699</v>
      </c>
      <c r="R248" s="39">
        <v>0.22947156593928</v>
      </c>
      <c r="S248" s="39">
        <v>0.32089078548170402</v>
      </c>
      <c r="T248" s="39">
        <v>0.26435429775630498</v>
      </c>
      <c r="U248" s="43">
        <v>0.34</v>
      </c>
      <c r="V248" s="43">
        <v>0.20721724813262599</v>
      </c>
      <c r="W248" s="43">
        <f t="shared" si="6"/>
        <v>0.13278275186737404</v>
      </c>
      <c r="X248" s="45">
        <v>0.23008760647015999</v>
      </c>
      <c r="Y248" s="45">
        <f t="shared" si="7"/>
        <v>0.10991239352984003</v>
      </c>
    </row>
    <row r="249" spans="1:25" ht="15" x14ac:dyDescent="0.2">
      <c r="B249" s="41">
        <v>28</v>
      </c>
      <c r="C249" s="42">
        <v>400</v>
      </c>
      <c r="D249" s="43">
        <v>5.3084743571011099</v>
      </c>
      <c r="E249" s="41">
        <v>30</v>
      </c>
      <c r="F249" s="44">
        <v>7.9967532467532507E-2</v>
      </c>
      <c r="G249" s="42">
        <v>361.07196988928899</v>
      </c>
      <c r="H249" s="39">
        <v>0.16508673727509601</v>
      </c>
      <c r="I249" s="39">
        <v>0.214409900317933</v>
      </c>
      <c r="J249" s="39">
        <v>0.27358028479302099</v>
      </c>
      <c r="K249" s="39">
        <v>0.45009793258907599</v>
      </c>
      <c r="L249" s="39">
        <v>0.120438807517273</v>
      </c>
      <c r="M249" s="39">
        <v>0.30689774036343298</v>
      </c>
      <c r="N249" s="48">
        <v>0.39747768648418291</v>
      </c>
      <c r="O249" s="39">
        <v>0.26327006201754999</v>
      </c>
      <c r="P249" s="39">
        <v>0.32911341678658601</v>
      </c>
      <c r="Q249" s="39">
        <v>0.24956102424659499</v>
      </c>
      <c r="R249" s="39">
        <v>0.26051337936518798</v>
      </c>
      <c r="S249" s="39">
        <v>0.37126773559201398</v>
      </c>
      <c r="T249" s="39">
        <v>0.31110805096063598</v>
      </c>
      <c r="U249" s="43">
        <v>0.37</v>
      </c>
      <c r="V249" s="43">
        <v>0.23532062813936599</v>
      </c>
      <c r="W249" s="43">
        <f t="shared" si="6"/>
        <v>0.134679371860634</v>
      </c>
      <c r="X249" s="45">
        <v>0.26397274970888401</v>
      </c>
      <c r="Y249" s="45">
        <f t="shared" si="7"/>
        <v>0.10602725029111598</v>
      </c>
    </row>
    <row r="250" spans="1:25" ht="15" x14ac:dyDescent="0.2">
      <c r="A250" s="40" t="s">
        <v>73</v>
      </c>
      <c r="B250" s="41">
        <v>15.9</v>
      </c>
      <c r="C250" s="42">
        <v>392</v>
      </c>
      <c r="D250" s="43">
        <v>2.8258773978663201</v>
      </c>
      <c r="E250" s="41">
        <v>30</v>
      </c>
      <c r="F250" s="44">
        <v>2.2536170212766E-2</v>
      </c>
      <c r="G250" s="42">
        <v>327.33566875282702</v>
      </c>
      <c r="H250" s="39">
        <v>0.24981880799060699</v>
      </c>
      <c r="I250" s="39">
        <v>0.25478881615385301</v>
      </c>
      <c r="J250" s="39">
        <v>0.28199361842550302</v>
      </c>
      <c r="K250" s="39">
        <v>0.43113366848373103</v>
      </c>
      <c r="L250" s="39">
        <v>0.243478633841056</v>
      </c>
      <c r="M250" s="39">
        <v>0.27246081076315698</v>
      </c>
      <c r="N250" s="48">
        <v>0.30877551535385822</v>
      </c>
      <c r="O250" s="39">
        <v>0.19708565182586599</v>
      </c>
      <c r="P250" s="39">
        <v>0.30288745462493399</v>
      </c>
      <c r="Q250" s="39">
        <v>0.29702172941567501</v>
      </c>
      <c r="R250" s="39">
        <v>0.31568745144897498</v>
      </c>
      <c r="S250" s="39">
        <v>0.33535424363244698</v>
      </c>
      <c r="T250" s="39">
        <v>0.31439514627007398</v>
      </c>
      <c r="U250" s="43">
        <v>0.2</v>
      </c>
      <c r="V250" s="43">
        <v>0.267289298730918</v>
      </c>
      <c r="W250" s="43">
        <f t="shared" si="6"/>
        <v>-6.728929873091799E-2</v>
      </c>
      <c r="X250" s="45">
        <v>0.31773914093066102</v>
      </c>
      <c r="Y250" s="45">
        <f t="shared" si="7"/>
        <v>-0.11773914093066101</v>
      </c>
    </row>
    <row r="251" spans="1:25" ht="15" x14ac:dyDescent="0.2">
      <c r="B251" s="41">
        <v>15.9</v>
      </c>
      <c r="C251" s="42">
        <v>392</v>
      </c>
      <c r="D251" s="43">
        <v>2.8258773978663201</v>
      </c>
      <c r="E251" s="41">
        <v>30</v>
      </c>
      <c r="F251" s="44">
        <v>2.2536170212766E-2</v>
      </c>
      <c r="G251" s="42">
        <v>367.24084443015602</v>
      </c>
      <c r="H251" s="39">
        <v>0.27432948922960299</v>
      </c>
      <c r="I251" s="39">
        <v>0.27978712395237199</v>
      </c>
      <c r="J251" s="39">
        <v>0.29185886340253198</v>
      </c>
      <c r="K251" s="39">
        <v>0.461826822418196</v>
      </c>
      <c r="L251" s="39">
        <v>0.26626281210622399</v>
      </c>
      <c r="M251" s="39">
        <v>0.29553599084879201</v>
      </c>
      <c r="N251" s="48">
        <v>0.33817812649890866</v>
      </c>
      <c r="O251" s="39">
        <v>0.21484833224410799</v>
      </c>
      <c r="P251" s="39">
        <v>0.328539520114915</v>
      </c>
      <c r="Q251" s="39">
        <v>0.29702172941567501</v>
      </c>
      <c r="R251" s="39">
        <v>0.34949955409107297</v>
      </c>
      <c r="S251" s="39">
        <v>0.37632763568334299</v>
      </c>
      <c r="T251" s="39">
        <v>0.35639546092798002</v>
      </c>
      <c r="U251" s="43">
        <v>0.35</v>
      </c>
      <c r="V251" s="43">
        <v>0.29702172941567501</v>
      </c>
      <c r="W251" s="43">
        <f t="shared" si="6"/>
        <v>5.2978270584324971E-2</v>
      </c>
      <c r="X251" s="45">
        <v>0.356474413156604</v>
      </c>
      <c r="Y251" s="45">
        <f t="shared" si="7"/>
        <v>-6.4744131566040197E-3</v>
      </c>
    </row>
    <row r="252" spans="1:25" ht="15" x14ac:dyDescent="0.2">
      <c r="A252" s="40" t="s">
        <v>74</v>
      </c>
      <c r="B252" s="41">
        <v>15.9</v>
      </c>
      <c r="C252" s="42">
        <v>392</v>
      </c>
      <c r="D252" s="43">
        <v>2.8258773978663201</v>
      </c>
      <c r="E252" s="41">
        <v>30</v>
      </c>
      <c r="F252" s="44">
        <v>2.2536170212766E-2</v>
      </c>
      <c r="G252" s="42">
        <v>329.07434564323</v>
      </c>
      <c r="H252" s="39">
        <v>0.25088674352315199</v>
      </c>
      <c r="I252" s="39">
        <v>0.25587799767807301</v>
      </c>
      <c r="J252" s="39">
        <v>0.28303418528316199</v>
      </c>
      <c r="K252" s="39">
        <v>0.43432133725167599</v>
      </c>
      <c r="L252" s="39">
        <v>0.24447134527620501</v>
      </c>
      <c r="M252" s="39">
        <v>0.27346620120877801</v>
      </c>
      <c r="N252" s="48">
        <v>0.31005659330045815</v>
      </c>
      <c r="O252" s="39">
        <v>0.197859575544547</v>
      </c>
      <c r="P252" s="39">
        <v>0.30400512050915901</v>
      </c>
      <c r="Q252" s="39">
        <v>0.29702172941567501</v>
      </c>
      <c r="R252" s="39">
        <v>0.31717126021214198</v>
      </c>
      <c r="S252" s="39">
        <v>0.337124155337029</v>
      </c>
      <c r="T252" s="39">
        <v>0.316198173352992</v>
      </c>
      <c r="U252" s="43">
        <v>0.2</v>
      </c>
      <c r="V252" s="43">
        <v>0.268584746984175</v>
      </c>
      <c r="W252" s="43">
        <f t="shared" si="6"/>
        <v>-6.8584746984174993E-2</v>
      </c>
      <c r="X252" s="45">
        <v>0.31942684488182999</v>
      </c>
      <c r="Y252" s="45">
        <f t="shared" si="7"/>
        <v>-0.11942684488182997</v>
      </c>
    </row>
    <row r="253" spans="1:25" ht="15" x14ac:dyDescent="0.2">
      <c r="B253" s="41">
        <v>15.9</v>
      </c>
      <c r="C253" s="42">
        <v>392</v>
      </c>
      <c r="D253" s="43">
        <v>2.8258773978663201</v>
      </c>
      <c r="E253" s="41">
        <v>30</v>
      </c>
      <c r="F253" s="44">
        <v>2.2536170212766E-2</v>
      </c>
      <c r="G253" s="42">
        <v>367.24084443015602</v>
      </c>
      <c r="H253" s="39">
        <v>0.27432948922960299</v>
      </c>
      <c r="I253" s="39">
        <v>0.27978712395237199</v>
      </c>
      <c r="J253" s="39">
        <v>0.29185886340253198</v>
      </c>
      <c r="K253" s="39">
        <v>0.461826822418196</v>
      </c>
      <c r="L253" s="39">
        <v>0.26626281210622399</v>
      </c>
      <c r="M253" s="39">
        <v>0.29553599084879201</v>
      </c>
      <c r="N253" s="48">
        <v>0.33817812649890866</v>
      </c>
      <c r="O253" s="39">
        <v>0.21484833224410799</v>
      </c>
      <c r="P253" s="39">
        <v>0.328539520114915</v>
      </c>
      <c r="Q253" s="39">
        <v>0.29702172941567501</v>
      </c>
      <c r="R253" s="39">
        <v>0.34949955409107297</v>
      </c>
      <c r="S253" s="39">
        <v>0.37632763568334299</v>
      </c>
      <c r="T253" s="39">
        <v>0.35639546092798002</v>
      </c>
      <c r="U253" s="43">
        <v>0.25</v>
      </c>
      <c r="V253" s="43">
        <v>0.29702172941567501</v>
      </c>
      <c r="W253" s="43">
        <f t="shared" si="6"/>
        <v>-4.7021729415675007E-2</v>
      </c>
      <c r="X253" s="45">
        <v>0.356474413156604</v>
      </c>
      <c r="Y253" s="45">
        <f t="shared" si="7"/>
        <v>-0.106474413156604</v>
      </c>
    </row>
    <row r="254" spans="1:25" ht="15" x14ac:dyDescent="0.2">
      <c r="A254" s="40" t="s">
        <v>75</v>
      </c>
      <c r="B254" s="41">
        <v>15.9</v>
      </c>
      <c r="C254" s="42">
        <v>392</v>
      </c>
      <c r="D254" s="43">
        <v>2.8258773978663201</v>
      </c>
      <c r="E254" s="41">
        <v>30</v>
      </c>
      <c r="F254" s="44">
        <v>2.2536170212766E-2</v>
      </c>
      <c r="G254" s="42">
        <v>329.07434564323</v>
      </c>
      <c r="H254" s="39">
        <v>0.25088674352315199</v>
      </c>
      <c r="I254" s="39">
        <v>0.25587799767807301</v>
      </c>
      <c r="J254" s="39">
        <v>0.28303418528316199</v>
      </c>
      <c r="K254" s="39">
        <v>0.43432133725167599</v>
      </c>
      <c r="L254" s="39">
        <v>0.24447134527620501</v>
      </c>
      <c r="M254" s="39">
        <v>0.27346620120877801</v>
      </c>
      <c r="N254" s="48">
        <v>0.31005659330045815</v>
      </c>
      <c r="O254" s="39">
        <v>0.197859575544547</v>
      </c>
      <c r="P254" s="39">
        <v>0.30400512050915901</v>
      </c>
      <c r="Q254" s="39">
        <v>0.29702172941567501</v>
      </c>
      <c r="R254" s="39">
        <v>0.31717126021214198</v>
      </c>
      <c r="S254" s="39">
        <v>0.337124155337029</v>
      </c>
      <c r="T254" s="39">
        <v>0.316198173352992</v>
      </c>
      <c r="U254" s="43">
        <v>0.2</v>
      </c>
      <c r="V254" s="43">
        <v>0.268584746984175</v>
      </c>
      <c r="W254" s="43">
        <f t="shared" si="6"/>
        <v>-6.8584746984174993E-2</v>
      </c>
      <c r="X254" s="45">
        <v>0.31942684488182999</v>
      </c>
      <c r="Y254" s="45">
        <f t="shared" si="7"/>
        <v>-0.11942684488182997</v>
      </c>
    </row>
    <row r="255" spans="1:25" ht="15" x14ac:dyDescent="0.2">
      <c r="B255" s="41">
        <v>15.9</v>
      </c>
      <c r="C255" s="42">
        <v>392</v>
      </c>
      <c r="D255" s="43">
        <v>2.8258773978663201</v>
      </c>
      <c r="E255" s="41">
        <v>30</v>
      </c>
      <c r="F255" s="44">
        <v>2.2536170212766E-2</v>
      </c>
      <c r="G255" s="42">
        <v>367.24084443015602</v>
      </c>
      <c r="H255" s="39">
        <v>0.27432948922960299</v>
      </c>
      <c r="I255" s="39">
        <v>0.27978712395237199</v>
      </c>
      <c r="J255" s="39">
        <v>0.29185886340253198</v>
      </c>
      <c r="K255" s="39">
        <v>0.461826822418196</v>
      </c>
      <c r="L255" s="39">
        <v>0.26626281210622399</v>
      </c>
      <c r="M255" s="39">
        <v>0.29553599084879201</v>
      </c>
      <c r="N255" s="48">
        <v>0.33817812649890866</v>
      </c>
      <c r="O255" s="39">
        <v>0.21484833224410799</v>
      </c>
      <c r="P255" s="39">
        <v>0.328539520114915</v>
      </c>
      <c r="Q255" s="39">
        <v>0.29702172941567501</v>
      </c>
      <c r="R255" s="39">
        <v>0.34949955409107297</v>
      </c>
      <c r="S255" s="39">
        <v>0.37632763568334299</v>
      </c>
      <c r="T255" s="39">
        <v>0.35639546092798002</v>
      </c>
      <c r="U255" s="43">
        <v>0.25</v>
      </c>
      <c r="V255" s="43">
        <v>0.29702172941567501</v>
      </c>
      <c r="W255" s="43">
        <f t="shared" si="6"/>
        <v>-4.7021729415675007E-2</v>
      </c>
      <c r="X255" s="45">
        <v>0.356474413156604</v>
      </c>
      <c r="Y255" s="45">
        <f t="shared" si="7"/>
        <v>-0.106474413156604</v>
      </c>
    </row>
    <row r="256" spans="1:25" ht="15" x14ac:dyDescent="0.2">
      <c r="A256" s="40" t="s">
        <v>76</v>
      </c>
      <c r="B256" s="41">
        <v>15.9</v>
      </c>
      <c r="C256" s="42">
        <v>392</v>
      </c>
      <c r="D256" s="43">
        <v>2.8258773978663201</v>
      </c>
      <c r="E256" s="41">
        <v>30</v>
      </c>
      <c r="F256" s="44">
        <v>2.2536170212766E-2</v>
      </c>
      <c r="G256" s="42">
        <v>330.81302253363401</v>
      </c>
      <c r="H256" s="39">
        <v>0.25195467905569802</v>
      </c>
      <c r="I256" s="39">
        <v>0.25696717920229201</v>
      </c>
      <c r="J256" s="39">
        <v>0.28407475214082101</v>
      </c>
      <c r="K256" s="39">
        <v>0.43752074697272603</v>
      </c>
      <c r="L256" s="39">
        <v>0.24546405671135299</v>
      </c>
      <c r="M256" s="39">
        <v>0.27447159165439799</v>
      </c>
      <c r="N256" s="48">
        <v>0.31133767124705813</v>
      </c>
      <c r="O256" s="39">
        <v>0.19863349926322801</v>
      </c>
      <c r="P256" s="39">
        <v>0.30512278639338403</v>
      </c>
      <c r="Q256" s="39">
        <v>0.29702172941567501</v>
      </c>
      <c r="R256" s="39">
        <v>0.31865406613021802</v>
      </c>
      <c r="S256" s="39">
        <v>0.33889546171847201</v>
      </c>
      <c r="T256" s="39">
        <v>0.31800365452792401</v>
      </c>
      <c r="U256" s="43">
        <v>0.2</v>
      </c>
      <c r="V256" s="43">
        <v>0.26988019523743301</v>
      </c>
      <c r="W256" s="43">
        <f t="shared" si="6"/>
        <v>-6.9880195237432996E-2</v>
      </c>
      <c r="X256" s="45">
        <v>0.321114548833</v>
      </c>
      <c r="Y256" s="45">
        <f t="shared" si="7"/>
        <v>-0.12111454883299999</v>
      </c>
    </row>
    <row r="257" spans="1:25" ht="15" x14ac:dyDescent="0.2">
      <c r="B257" s="41">
        <v>15.9</v>
      </c>
      <c r="C257" s="42">
        <v>392</v>
      </c>
      <c r="D257" s="43">
        <v>2.8258773978663201</v>
      </c>
      <c r="E257" s="41">
        <v>30</v>
      </c>
      <c r="F257" s="44">
        <v>2.2536170212766E-2</v>
      </c>
      <c r="G257" s="42">
        <v>367.24084443015602</v>
      </c>
      <c r="H257" s="39">
        <v>0.27432948922960299</v>
      </c>
      <c r="I257" s="39">
        <v>0.27978712395237199</v>
      </c>
      <c r="J257" s="39">
        <v>0.29185886340253198</v>
      </c>
      <c r="K257" s="39">
        <v>0.461826822418196</v>
      </c>
      <c r="L257" s="39">
        <v>0.26626281210622399</v>
      </c>
      <c r="M257" s="39">
        <v>0.29553599084879201</v>
      </c>
      <c r="N257" s="48">
        <v>0.33817812649890866</v>
      </c>
      <c r="O257" s="39">
        <v>0.21484833224410799</v>
      </c>
      <c r="P257" s="39">
        <v>0.328539520114915</v>
      </c>
      <c r="Q257" s="39">
        <v>0.29702172941567501</v>
      </c>
      <c r="R257" s="39">
        <v>0.34949955409107297</v>
      </c>
      <c r="S257" s="39">
        <v>0.37632763568334299</v>
      </c>
      <c r="T257" s="39">
        <v>0.35639546092798002</v>
      </c>
      <c r="U257" s="43">
        <v>0.3</v>
      </c>
      <c r="V257" s="43">
        <v>0.29702172941567501</v>
      </c>
      <c r="W257" s="43">
        <f t="shared" si="6"/>
        <v>2.9782705843249824E-3</v>
      </c>
      <c r="X257" s="45">
        <v>0.356474413156604</v>
      </c>
      <c r="Y257" s="45">
        <f t="shared" si="7"/>
        <v>-5.6474413156604009E-2</v>
      </c>
    </row>
    <row r="258" spans="1:25" ht="15" x14ac:dyDescent="0.2">
      <c r="A258" s="40" t="s">
        <v>77</v>
      </c>
      <c r="B258" s="41">
        <v>12.7</v>
      </c>
      <c r="C258" s="42">
        <v>392</v>
      </c>
      <c r="D258" s="43">
        <v>2.9208758709847902</v>
      </c>
      <c r="E258" s="41">
        <v>30</v>
      </c>
      <c r="F258" s="44">
        <v>1.6893333333333298E-2</v>
      </c>
      <c r="G258" s="42">
        <v>253.37547675213401</v>
      </c>
      <c r="H258" s="39">
        <v>0.231810802807599</v>
      </c>
      <c r="I258" s="39">
        <v>0.22003405864266901</v>
      </c>
      <c r="J258" s="39">
        <v>0.24661873508292401</v>
      </c>
      <c r="K258" s="39">
        <v>0.25333162419306499</v>
      </c>
      <c r="L258" s="39">
        <v>0.23677888448534601</v>
      </c>
      <c r="M258" s="39">
        <v>0.25140813378365101</v>
      </c>
      <c r="N258" s="48">
        <v>0.23964603892529618</v>
      </c>
      <c r="O258" s="39">
        <v>0.16697779297207399</v>
      </c>
      <c r="P258" s="39">
        <v>0.25182342460354601</v>
      </c>
      <c r="Q258" s="39">
        <v>0.27183155367374301</v>
      </c>
      <c r="R258" s="39">
        <v>0.27297834654866499</v>
      </c>
      <c r="S258" s="39">
        <v>0.24327202135404999</v>
      </c>
      <c r="T258" s="39">
        <v>0.228119075064356</v>
      </c>
      <c r="U258" s="43">
        <v>0.15</v>
      </c>
      <c r="V258" s="43">
        <v>0.21302068526037099</v>
      </c>
      <c r="W258" s="43">
        <f t="shared" si="6"/>
        <v>-6.3020685260370995E-2</v>
      </c>
      <c r="X258" s="45">
        <v>0.26705922088184098</v>
      </c>
      <c r="Y258" s="45">
        <f t="shared" si="7"/>
        <v>-0.11705922088184098</v>
      </c>
    </row>
    <row r="259" spans="1:25" ht="15" x14ac:dyDescent="0.2">
      <c r="B259" s="41">
        <v>12.7</v>
      </c>
      <c r="C259" s="42">
        <v>392</v>
      </c>
      <c r="D259" s="43">
        <v>2.9208758709847902</v>
      </c>
      <c r="E259" s="41">
        <v>30</v>
      </c>
      <c r="F259" s="44">
        <v>1.6893333333333298E-2</v>
      </c>
      <c r="G259" s="42">
        <v>358.910938394982</v>
      </c>
      <c r="H259" s="39">
        <v>0.304600353772294</v>
      </c>
      <c r="I259" s="39">
        <v>0.28912566322518801</v>
      </c>
      <c r="J259" s="39">
        <v>0.29271457269954598</v>
      </c>
      <c r="K259" s="39">
        <v>0.35688308472413</v>
      </c>
      <c r="L259" s="39">
        <v>0.30404573484726</v>
      </c>
      <c r="M259" s="39">
        <v>0.31102671634078199</v>
      </c>
      <c r="N259" s="48">
        <v>0.30467873514325156</v>
      </c>
      <c r="O259" s="39">
        <v>0.20988664557260001</v>
      </c>
      <c r="P259" s="39">
        <v>0.31154048866029499</v>
      </c>
      <c r="Q259" s="39">
        <v>0.29227907742116799</v>
      </c>
      <c r="R259" s="39">
        <v>0.36814735008662097</v>
      </c>
      <c r="S259" s="39">
        <v>0.33863759947357802</v>
      </c>
      <c r="T259" s="39">
        <v>0.32708247015811498</v>
      </c>
      <c r="U259" s="43">
        <v>0.2</v>
      </c>
      <c r="V259" s="43">
        <v>0.29227907742116799</v>
      </c>
      <c r="W259" s="43">
        <f t="shared" ref="W259:W322" si="8">U259-V259</f>
        <v>-9.2279077421167977E-2</v>
      </c>
      <c r="X259" s="45">
        <v>0.37829420906230998</v>
      </c>
      <c r="Y259" s="45">
        <f t="shared" ref="Y259:Y322" si="9">U259-X259</f>
        <v>-0.17829420906230997</v>
      </c>
    </row>
    <row r="260" spans="1:25" ht="15" x14ac:dyDescent="0.2">
      <c r="A260" s="40" t="s">
        <v>78</v>
      </c>
      <c r="B260" s="41">
        <v>12.7</v>
      </c>
      <c r="C260" s="42">
        <v>392</v>
      </c>
      <c r="D260" s="43">
        <v>2.9208758709847902</v>
      </c>
      <c r="E260" s="41">
        <v>30</v>
      </c>
      <c r="F260" s="44">
        <v>1.6893333333333298E-2</v>
      </c>
      <c r="G260" s="42">
        <v>256.22827785507098</v>
      </c>
      <c r="H260" s="39">
        <v>0.23377842684639999</v>
      </c>
      <c r="I260" s="39">
        <v>0.221901720968567</v>
      </c>
      <c r="J260" s="39">
        <v>0.24819962441037799</v>
      </c>
      <c r="K260" s="39">
        <v>0.25658987527674498</v>
      </c>
      <c r="L260" s="39">
        <v>0.23859722063431801</v>
      </c>
      <c r="M260" s="39">
        <v>0.253019724384828</v>
      </c>
      <c r="N260" s="48">
        <v>0.24140398212855224</v>
      </c>
      <c r="O260" s="39">
        <v>0.168137691456612</v>
      </c>
      <c r="P260" s="39">
        <v>0.25343767732536399</v>
      </c>
      <c r="Q260" s="39">
        <v>0.27382391747852702</v>
      </c>
      <c r="R260" s="39">
        <v>0.275616826795475</v>
      </c>
      <c r="S260" s="39">
        <v>0.24581531113439101</v>
      </c>
      <c r="T260" s="39">
        <v>0.230712930779712</v>
      </c>
      <c r="U260" s="43">
        <v>0.15</v>
      </c>
      <c r="V260" s="43">
        <v>0.21516317296122101</v>
      </c>
      <c r="W260" s="43">
        <f t="shared" si="8"/>
        <v>-6.5163172961221011E-2</v>
      </c>
      <c r="X260" s="45">
        <v>0.27006608977715402</v>
      </c>
      <c r="Y260" s="45">
        <f t="shared" si="9"/>
        <v>-0.12006608977715402</v>
      </c>
    </row>
    <row r="261" spans="1:25" ht="15" x14ac:dyDescent="0.2">
      <c r="B261" s="41">
        <v>12.7</v>
      </c>
      <c r="C261" s="42">
        <v>392</v>
      </c>
      <c r="D261" s="43">
        <v>2.9208758709847902</v>
      </c>
      <c r="E261" s="41">
        <v>30</v>
      </c>
      <c r="F261" s="44">
        <v>1.6893333333333298E-2</v>
      </c>
      <c r="G261" s="42">
        <v>358.910938394982</v>
      </c>
      <c r="H261" s="39">
        <v>0.304600353772294</v>
      </c>
      <c r="I261" s="39">
        <v>0.28912566322518801</v>
      </c>
      <c r="J261" s="39">
        <v>0.29271457269954598</v>
      </c>
      <c r="K261" s="39">
        <v>0.35688308472413</v>
      </c>
      <c r="L261" s="39">
        <v>0.30404573484726</v>
      </c>
      <c r="M261" s="39">
        <v>0.31102671634078199</v>
      </c>
      <c r="N261" s="48">
        <v>0.30467873514325156</v>
      </c>
      <c r="O261" s="39">
        <v>0.20988664557260001</v>
      </c>
      <c r="P261" s="39">
        <v>0.31154048866029499</v>
      </c>
      <c r="Q261" s="39">
        <v>0.29227907742116799</v>
      </c>
      <c r="R261" s="39">
        <v>0.36814735008662097</v>
      </c>
      <c r="S261" s="39">
        <v>0.33863759947357802</v>
      </c>
      <c r="T261" s="39">
        <v>0.32708247015811498</v>
      </c>
      <c r="U261" s="43">
        <v>0.2</v>
      </c>
      <c r="V261" s="43">
        <v>0.29227907742116799</v>
      </c>
      <c r="W261" s="43">
        <f t="shared" si="8"/>
        <v>-9.2279077421167977E-2</v>
      </c>
      <c r="X261" s="45">
        <v>0.37829420906230998</v>
      </c>
      <c r="Y261" s="45">
        <f t="shared" si="9"/>
        <v>-0.17829420906230997</v>
      </c>
    </row>
    <row r="262" spans="1:25" ht="15" x14ac:dyDescent="0.2">
      <c r="A262" s="40" t="s">
        <v>79</v>
      </c>
      <c r="B262" s="41">
        <v>15.9</v>
      </c>
      <c r="C262" s="42">
        <v>392</v>
      </c>
      <c r="D262" s="43">
        <v>2.9208758709847902</v>
      </c>
      <c r="E262" s="41">
        <v>30</v>
      </c>
      <c r="F262" s="44">
        <v>2.2536170212766E-2</v>
      </c>
      <c r="G262" s="42">
        <v>192.871553468033</v>
      </c>
      <c r="H262" s="39">
        <v>0.16749190626511001</v>
      </c>
      <c r="I262" s="39">
        <v>0.170714257577712</v>
      </c>
      <c r="J262" s="39">
        <v>0.20291053724344299</v>
      </c>
      <c r="K262" s="39">
        <v>0.215964712364801</v>
      </c>
      <c r="L262" s="39">
        <v>0.16787418419359601</v>
      </c>
      <c r="M262" s="39">
        <v>0.200146386095679</v>
      </c>
      <c r="N262" s="48">
        <v>0.21110994442958303</v>
      </c>
      <c r="O262" s="39">
        <v>0.13814397477016799</v>
      </c>
      <c r="P262" s="39">
        <v>0.217616872047867</v>
      </c>
      <c r="Q262" s="39">
        <v>0.209877623809549</v>
      </c>
      <c r="R262" s="39">
        <v>0.197474466598235</v>
      </c>
      <c r="S262" s="39">
        <v>0.20057815088324199</v>
      </c>
      <c r="T262" s="39">
        <v>0.180282019879628</v>
      </c>
      <c r="U262" s="43">
        <v>0.15</v>
      </c>
      <c r="V262" s="43">
        <v>0.16593842049260599</v>
      </c>
      <c r="W262" s="43">
        <f t="shared" si="8"/>
        <v>-1.5938420492605992E-2</v>
      </c>
      <c r="X262" s="45">
        <v>0.18715407179110799</v>
      </c>
      <c r="Y262" s="45">
        <f t="shared" si="9"/>
        <v>-3.7154071791107995E-2</v>
      </c>
    </row>
    <row r="263" spans="1:25" ht="15" x14ac:dyDescent="0.2">
      <c r="B263" s="41">
        <v>15.9</v>
      </c>
      <c r="C263" s="42">
        <v>392</v>
      </c>
      <c r="D263" s="43">
        <v>2.9208758709847902</v>
      </c>
      <c r="E263" s="41">
        <v>30</v>
      </c>
      <c r="F263" s="44">
        <v>2.2536170212766E-2</v>
      </c>
      <c r="G263" s="42">
        <v>331.11762492551497</v>
      </c>
      <c r="H263" s="39">
        <v>0.251925495788488</v>
      </c>
      <c r="I263" s="39">
        <v>0.25677225208933901</v>
      </c>
      <c r="J263" s="39">
        <v>0.28511531899847897</v>
      </c>
      <c r="K263" s="39">
        <v>0.42639754754766002</v>
      </c>
      <c r="L263" s="39">
        <v>0.24623422313174201</v>
      </c>
      <c r="M263" s="39">
        <v>0.28123133225751801</v>
      </c>
      <c r="N263" s="48">
        <v>0.31218477580125376</v>
      </c>
      <c r="O263" s="39">
        <v>0.199233925569371</v>
      </c>
      <c r="P263" s="39">
        <v>0.30577960482623401</v>
      </c>
      <c r="Q263" s="39">
        <v>0.29428835920144603</v>
      </c>
      <c r="R263" s="39">
        <v>0.31855611740347201</v>
      </c>
      <c r="S263" s="39">
        <v>0.33508114429698799</v>
      </c>
      <c r="T263" s="39">
        <v>0.31421204909575401</v>
      </c>
      <c r="U263" s="43">
        <v>0.25</v>
      </c>
      <c r="V263" s="43">
        <v>0.26816066312683401</v>
      </c>
      <c r="W263" s="43">
        <f t="shared" si="8"/>
        <v>-1.8160663126834009E-2</v>
      </c>
      <c r="X263" s="45">
        <v>0.32130197860869097</v>
      </c>
      <c r="Y263" s="45">
        <f t="shared" si="9"/>
        <v>-7.1301978608690975E-2</v>
      </c>
    </row>
    <row r="264" spans="1:25" ht="15" x14ac:dyDescent="0.2">
      <c r="B264" s="41">
        <v>15.9</v>
      </c>
      <c r="C264" s="42">
        <v>392</v>
      </c>
      <c r="D264" s="43">
        <v>2.9208758709847902</v>
      </c>
      <c r="E264" s="41">
        <v>30</v>
      </c>
      <c r="F264" s="44">
        <v>2.2536170212766E-2</v>
      </c>
      <c r="G264" s="42">
        <v>366.45290270331498</v>
      </c>
      <c r="H264" s="39">
        <v>0.273506465924793</v>
      </c>
      <c r="I264" s="39">
        <v>0.27876841522807899</v>
      </c>
      <c r="J264" s="39">
        <v>0.29185886340253198</v>
      </c>
      <c r="K264" s="39">
        <v>0.44680638166249398</v>
      </c>
      <c r="L264" s="39">
        <v>0.26626281210622399</v>
      </c>
      <c r="M264" s="39">
        <v>0.301956399277652</v>
      </c>
      <c r="N264" s="48">
        <v>0.33801919702718186</v>
      </c>
      <c r="O264" s="39">
        <v>0.21484833224410799</v>
      </c>
      <c r="P264" s="39">
        <v>0.32831373270075898</v>
      </c>
      <c r="Q264" s="39">
        <v>0.29428835920144603</v>
      </c>
      <c r="R264" s="39">
        <v>0.34835829619665598</v>
      </c>
      <c r="S264" s="39">
        <v>0.37079828558216998</v>
      </c>
      <c r="T264" s="39">
        <v>0.35084038915868498</v>
      </c>
      <c r="U264" s="43">
        <v>0.3</v>
      </c>
      <c r="V264" s="43">
        <v>0.29428835920144603</v>
      </c>
      <c r="W264" s="43">
        <f t="shared" si="8"/>
        <v>5.711640798553963E-3</v>
      </c>
      <c r="X264" s="45">
        <v>0.35558977789828999</v>
      </c>
      <c r="Y264" s="45">
        <f t="shared" si="9"/>
        <v>-5.5589777898290005E-2</v>
      </c>
    </row>
    <row r="265" spans="1:25" ht="15" x14ac:dyDescent="0.2">
      <c r="A265" s="40" t="s">
        <v>80</v>
      </c>
      <c r="B265" s="41">
        <v>15.9</v>
      </c>
      <c r="C265" s="42">
        <v>392</v>
      </c>
      <c r="D265" s="43">
        <v>2.9208758709847902</v>
      </c>
      <c r="E265" s="41">
        <v>30</v>
      </c>
      <c r="F265" s="44">
        <v>2.2536170212766E-2</v>
      </c>
      <c r="G265" s="42">
        <v>194.62150373964701</v>
      </c>
      <c r="H265" s="39">
        <v>0.16856068587933001</v>
      </c>
      <c r="I265" s="39">
        <v>0.17180359928039099</v>
      </c>
      <c r="J265" s="39">
        <v>0.20395110410110201</v>
      </c>
      <c r="K265" s="39">
        <v>0.21818541460108301</v>
      </c>
      <c r="L265" s="39">
        <v>0.16886608342066101</v>
      </c>
      <c r="M265" s="39">
        <v>0.201172777819246</v>
      </c>
      <c r="N265" s="48">
        <v>0.21238937267479413</v>
      </c>
      <c r="O265" s="39">
        <v>0.13891726528661399</v>
      </c>
      <c r="P265" s="39">
        <v>0.218732856007087</v>
      </c>
      <c r="Q265" s="39">
        <v>0.21108176677691101</v>
      </c>
      <c r="R265" s="39">
        <v>0.199060186244431</v>
      </c>
      <c r="S265" s="39">
        <v>0.20222859137949001</v>
      </c>
      <c r="T265" s="39">
        <v>0.18188401925098799</v>
      </c>
      <c r="U265" s="43">
        <v>0.15</v>
      </c>
      <c r="V265" s="43">
        <v>0.16723237293101401</v>
      </c>
      <c r="W265" s="43">
        <f t="shared" si="8"/>
        <v>-1.7232372931014012E-2</v>
      </c>
      <c r="X265" s="45">
        <v>0.18885214656095101</v>
      </c>
      <c r="Y265" s="45">
        <f t="shared" si="9"/>
        <v>-3.8852146560951012E-2</v>
      </c>
    </row>
    <row r="266" spans="1:25" ht="15" x14ac:dyDescent="0.2">
      <c r="B266" s="41">
        <v>15.9</v>
      </c>
      <c r="C266" s="42">
        <v>392</v>
      </c>
      <c r="D266" s="43">
        <v>2.9208758709847902</v>
      </c>
      <c r="E266" s="41">
        <v>30</v>
      </c>
      <c r="F266" s="44">
        <v>2.2536170212766E-2</v>
      </c>
      <c r="G266" s="42">
        <v>332.86757519712899</v>
      </c>
      <c r="H266" s="39">
        <v>0.25299427540270802</v>
      </c>
      <c r="I266" s="39">
        <v>0.25786159379201801</v>
      </c>
      <c r="J266" s="39">
        <v>0.28615588585613799</v>
      </c>
      <c r="K266" s="39">
        <v>0.42951561795103299</v>
      </c>
      <c r="L266" s="39">
        <v>0.247226122358808</v>
      </c>
      <c r="M266" s="39">
        <v>0.28225772398108501</v>
      </c>
      <c r="N266" s="48">
        <v>0.31346420404646486</v>
      </c>
      <c r="O266" s="39">
        <v>0.20000721608581601</v>
      </c>
      <c r="P266" s="39">
        <v>0.30689558878545398</v>
      </c>
      <c r="Q266" s="39">
        <v>0.29428835920144603</v>
      </c>
      <c r="R266" s="39">
        <v>0.320041510118099</v>
      </c>
      <c r="S266" s="39">
        <v>0.33683717951657399</v>
      </c>
      <c r="T266" s="39">
        <v>0.31600307613067002</v>
      </c>
      <c r="U266" s="43">
        <v>0.25</v>
      </c>
      <c r="V266" s="43">
        <v>0.26945461556524197</v>
      </c>
      <c r="W266" s="43">
        <f t="shared" si="8"/>
        <v>-1.9454615565241973E-2</v>
      </c>
      <c r="X266" s="45">
        <v>0.32300005337853399</v>
      </c>
      <c r="Y266" s="45">
        <f t="shared" si="9"/>
        <v>-7.3000053378533991E-2</v>
      </c>
    </row>
    <row r="267" spans="1:25" ht="15" x14ac:dyDescent="0.2">
      <c r="A267" s="40" t="s">
        <v>81</v>
      </c>
      <c r="B267" s="41">
        <v>19.100000000000001</v>
      </c>
      <c r="C267" s="42">
        <v>392</v>
      </c>
      <c r="D267" s="43">
        <v>2.9208758709847902</v>
      </c>
      <c r="E267" s="41">
        <v>30</v>
      </c>
      <c r="F267" s="44">
        <v>2.8296296296296299E-2</v>
      </c>
      <c r="G267" s="42">
        <v>113.834697759034</v>
      </c>
      <c r="H267" s="39">
        <v>0.10386548783744</v>
      </c>
      <c r="I267" s="39">
        <v>0.112452206478951</v>
      </c>
      <c r="J267" s="39">
        <v>0.148149174230395</v>
      </c>
      <c r="K267" s="39">
        <v>0.13550807397378101</v>
      </c>
      <c r="L267" s="39">
        <v>0.104570834231011</v>
      </c>
      <c r="M267" s="39">
        <v>0.141262254417484</v>
      </c>
      <c r="N267" s="48">
        <v>0.15579651010814627</v>
      </c>
      <c r="O267" s="39">
        <v>9.7961980084099301E-2</v>
      </c>
      <c r="P267" s="39">
        <v>0.165161217811746</v>
      </c>
      <c r="Q267" s="39">
        <v>0.13951343158948501</v>
      </c>
      <c r="R267" s="39">
        <v>0.112341503321914</v>
      </c>
      <c r="S267" s="39">
        <v>0.129793354244817</v>
      </c>
      <c r="T267" s="39">
        <v>0.108510124180053</v>
      </c>
      <c r="U267" s="43">
        <v>0.15</v>
      </c>
      <c r="V267" s="43">
        <v>0.102474345140568</v>
      </c>
      <c r="W267" s="43">
        <f t="shared" si="8"/>
        <v>4.7525654859431998E-2</v>
      </c>
      <c r="X267" s="45">
        <v>0.102474345140568</v>
      </c>
      <c r="Y267" s="45">
        <f t="shared" si="9"/>
        <v>4.7525654859431998E-2</v>
      </c>
    </row>
    <row r="268" spans="1:25" ht="15" x14ac:dyDescent="0.2">
      <c r="B268" s="41">
        <v>19.100000000000001</v>
      </c>
      <c r="C268" s="42">
        <v>392</v>
      </c>
      <c r="D268" s="43">
        <v>2.9208758709847902</v>
      </c>
      <c r="E268" s="41">
        <v>30</v>
      </c>
      <c r="F268" s="44">
        <v>2.8296296296296299E-2</v>
      </c>
      <c r="G268" s="42">
        <v>206.130330837803</v>
      </c>
      <c r="H268" s="39">
        <v>0.155218033571807</v>
      </c>
      <c r="I268" s="39">
        <v>0.16805014566331999</v>
      </c>
      <c r="J268" s="39">
        <v>0.20680722291045001</v>
      </c>
      <c r="K268" s="39">
        <v>0.26405725718949702</v>
      </c>
      <c r="L268" s="39">
        <v>0.152248441958829</v>
      </c>
      <c r="M268" s="39">
        <v>0.197193502359432</v>
      </c>
      <c r="N268" s="48">
        <v>0.23426478594682273</v>
      </c>
      <c r="O268" s="39">
        <v>0.14156003614041501</v>
      </c>
      <c r="P268" s="39">
        <v>0.230554999483402</v>
      </c>
      <c r="Q268" s="39">
        <v>0.20154768912832599</v>
      </c>
      <c r="R268" s="39">
        <v>0.193363664011726</v>
      </c>
      <c r="S268" s="39">
        <v>0.22193590105589101</v>
      </c>
      <c r="T268" s="39">
        <v>0.19291168718523299</v>
      </c>
      <c r="U268" s="43">
        <v>0.2</v>
      </c>
      <c r="V268" s="43">
        <v>0.169135103328064</v>
      </c>
      <c r="W268" s="43">
        <f t="shared" si="8"/>
        <v>3.086489667193601E-2</v>
      </c>
      <c r="X268" s="45">
        <v>0.18555915799</v>
      </c>
      <c r="Y268" s="45">
        <f t="shared" si="9"/>
        <v>1.444084201000001E-2</v>
      </c>
    </row>
    <row r="269" spans="1:25" ht="15" x14ac:dyDescent="0.2">
      <c r="B269" s="41">
        <v>19.100000000000001</v>
      </c>
      <c r="C269" s="42">
        <v>392</v>
      </c>
      <c r="D269" s="43">
        <v>2.9208758709847902</v>
      </c>
      <c r="E269" s="41">
        <v>30</v>
      </c>
      <c r="F269" s="44">
        <v>2.8296296296296299E-2</v>
      </c>
      <c r="G269" s="42">
        <v>300.38893655306202</v>
      </c>
      <c r="H269" s="39">
        <v>0.20722894527712599</v>
      </c>
      <c r="I269" s="39">
        <v>0.224360878939796</v>
      </c>
      <c r="J269" s="39">
        <v>0.26621729785563403</v>
      </c>
      <c r="K269" s="39">
        <v>0.43756164286888</v>
      </c>
      <c r="L269" s="39">
        <v>0.20053730106777201</v>
      </c>
      <c r="M269" s="39">
        <v>0.25384181758268698</v>
      </c>
      <c r="N269" s="48">
        <v>0.31373906532189261</v>
      </c>
      <c r="O269" s="39">
        <v>0.18571704163335101</v>
      </c>
      <c r="P269" s="39">
        <v>0.29678716297136098</v>
      </c>
      <c r="Q269" s="39">
        <v>0.26594899106323799</v>
      </c>
      <c r="R269" s="39">
        <v>0.271676124952277</v>
      </c>
      <c r="S269" s="39">
        <v>0.32145494350216203</v>
      </c>
      <c r="T269" s="39">
        <v>0.28727170856742201</v>
      </c>
      <c r="U269" s="43">
        <v>0.3</v>
      </c>
      <c r="V269" s="43">
        <v>0.23665048662052801</v>
      </c>
      <c r="W269" s="43">
        <f t="shared" si="8"/>
        <v>6.3349513379471978E-2</v>
      </c>
      <c r="X269" s="45">
        <v>0.270411044845979</v>
      </c>
      <c r="Y269" s="45">
        <f t="shared" si="9"/>
        <v>2.9588955154020991E-2</v>
      </c>
    </row>
    <row r="270" spans="1:25" ht="15" x14ac:dyDescent="0.2">
      <c r="B270" s="41">
        <v>19.100000000000001</v>
      </c>
      <c r="C270" s="42">
        <v>392</v>
      </c>
      <c r="D270" s="43">
        <v>2.9208758709847902</v>
      </c>
      <c r="E270" s="41">
        <v>30</v>
      </c>
      <c r="F270" s="44">
        <v>2.8296296296296299E-2</v>
      </c>
      <c r="G270" s="42">
        <v>371.049164141272</v>
      </c>
      <c r="H270" s="39">
        <v>0.24621851901716399</v>
      </c>
      <c r="I270" s="39">
        <v>0.26657378033783402</v>
      </c>
      <c r="J270" s="39">
        <v>0.29484546616440799</v>
      </c>
      <c r="K270" s="39">
        <v>0.53672967860085696</v>
      </c>
      <c r="L270" s="39">
        <v>0.23673666714921501</v>
      </c>
      <c r="M270" s="39">
        <v>0.29630778465051899</v>
      </c>
      <c r="N270" s="48">
        <v>0.37331633813892939</v>
      </c>
      <c r="O270" s="39">
        <v>0.21881899592249299</v>
      </c>
      <c r="P270" s="39">
        <v>0.34643758703827598</v>
      </c>
      <c r="Q270" s="39">
        <v>0.28726286639158199</v>
      </c>
      <c r="R270" s="39">
        <v>0.32850389548935299</v>
      </c>
      <c r="S270" s="39">
        <v>0.40014731122486502</v>
      </c>
      <c r="T270" s="39">
        <v>0.36386619856308799</v>
      </c>
      <c r="U270" s="43">
        <v>0.33</v>
      </c>
      <c r="V270" s="43">
        <v>0.28726286639158199</v>
      </c>
      <c r="W270" s="43">
        <f t="shared" si="8"/>
        <v>4.2737133608418021E-2</v>
      </c>
      <c r="X270" s="45">
        <v>0.33401959911045198</v>
      </c>
      <c r="Y270" s="45">
        <f t="shared" si="9"/>
        <v>-4.0195991104519657E-3</v>
      </c>
    </row>
    <row r="271" spans="1:25" ht="15" x14ac:dyDescent="0.2">
      <c r="A271" s="40" t="s">
        <v>82</v>
      </c>
      <c r="B271" s="41">
        <v>19.100000000000001</v>
      </c>
      <c r="C271" s="42">
        <v>392</v>
      </c>
      <c r="D271" s="43">
        <v>2.9208758709847902</v>
      </c>
      <c r="E271" s="41">
        <v>30</v>
      </c>
      <c r="F271" s="44">
        <v>2.8296296296296299E-2</v>
      </c>
      <c r="G271" s="42">
        <v>112.885328525321</v>
      </c>
      <c r="H271" s="39">
        <v>0.10320712186648701</v>
      </c>
      <c r="I271" s="39">
        <v>0.111739412386844</v>
      </c>
      <c r="J271" s="39">
        <v>0.14739714796526601</v>
      </c>
      <c r="K271" s="39">
        <v>0.13413584915294899</v>
      </c>
      <c r="L271" s="39">
        <v>0.103959582849885</v>
      </c>
      <c r="M271" s="39">
        <v>0.140545187136177</v>
      </c>
      <c r="N271" s="48">
        <v>0.15479050657175297</v>
      </c>
      <c r="O271" s="39">
        <v>9.7403030647479794E-2</v>
      </c>
      <c r="P271" s="39">
        <v>0.16432283599544301</v>
      </c>
      <c r="Q271" s="39">
        <v>0.13873428107171101</v>
      </c>
      <c r="R271" s="39">
        <v>0.111273740480514</v>
      </c>
      <c r="S271" s="39">
        <v>0.12865149929327299</v>
      </c>
      <c r="T271" s="39">
        <v>0.10748459035664799</v>
      </c>
      <c r="U271" s="43">
        <v>0.15</v>
      </c>
      <c r="V271" s="43">
        <v>0.10161972003560001</v>
      </c>
      <c r="W271" s="43">
        <f t="shared" si="8"/>
        <v>4.8380279964399989E-2</v>
      </c>
      <c r="X271" s="45">
        <v>0.10161972003560001</v>
      </c>
      <c r="Y271" s="45">
        <f t="shared" si="9"/>
        <v>4.8380279964399989E-2</v>
      </c>
    </row>
    <row r="272" spans="1:25" ht="15" x14ac:dyDescent="0.2">
      <c r="B272" s="41">
        <v>19.100000000000001</v>
      </c>
      <c r="C272" s="42">
        <v>392</v>
      </c>
      <c r="D272" s="43">
        <v>2.9208758709847902</v>
      </c>
      <c r="E272" s="41">
        <v>30</v>
      </c>
      <c r="F272" s="44">
        <v>2.8296296296296299E-2</v>
      </c>
      <c r="G272" s="42">
        <v>203.74403702222699</v>
      </c>
      <c r="H272" s="39">
        <v>0.15390130162990001</v>
      </c>
      <c r="I272" s="39">
        <v>0.16662455747910501</v>
      </c>
      <c r="J272" s="39">
        <v>0.205303170380192</v>
      </c>
      <c r="K272" s="39">
        <v>0.26023039102249301</v>
      </c>
      <c r="L272" s="39">
        <v>0.151025939196577</v>
      </c>
      <c r="M272" s="39">
        <v>0.19575936779681799</v>
      </c>
      <c r="N272" s="48">
        <v>0.23225277887403617</v>
      </c>
      <c r="O272" s="39">
        <v>0.140442137267177</v>
      </c>
      <c r="P272" s="39">
        <v>0.228878235850795</v>
      </c>
      <c r="Q272" s="39">
        <v>0.199933212915064</v>
      </c>
      <c r="R272" s="39">
        <v>0.19133681685137799</v>
      </c>
      <c r="S272" s="39">
        <v>0.21949734909128099</v>
      </c>
      <c r="T272" s="39">
        <v>0.190638763536853</v>
      </c>
      <c r="U272" s="43">
        <v>0.25</v>
      </c>
      <c r="V272" s="43">
        <v>0.16742585311812799</v>
      </c>
      <c r="W272" s="43">
        <f t="shared" si="8"/>
        <v>8.2574146881872007E-2</v>
      </c>
      <c r="X272" s="45">
        <v>0.183411008955672</v>
      </c>
      <c r="Y272" s="45">
        <f t="shared" si="9"/>
        <v>6.6588991044328E-2</v>
      </c>
    </row>
    <row r="273" spans="1:25" ht="15" x14ac:dyDescent="0.2">
      <c r="B273" s="41">
        <v>19.100000000000001</v>
      </c>
      <c r="C273" s="42">
        <v>392</v>
      </c>
      <c r="D273" s="43">
        <v>2.9208758709847902</v>
      </c>
      <c r="E273" s="41">
        <v>30</v>
      </c>
      <c r="F273" s="44">
        <v>2.8296296296296299E-2</v>
      </c>
      <c r="G273" s="42">
        <v>296.80949582969799</v>
      </c>
      <c r="H273" s="39">
        <v>0.205253847364266</v>
      </c>
      <c r="I273" s="39">
        <v>0.22222249666347399</v>
      </c>
      <c r="J273" s="39">
        <v>0.263961219060247</v>
      </c>
      <c r="K273" s="39">
        <v>0.43017676883310102</v>
      </c>
      <c r="L273" s="39">
        <v>0.19870354692439501</v>
      </c>
      <c r="M273" s="39">
        <v>0.251690615738766</v>
      </c>
      <c r="N273" s="48">
        <v>0.31072105471271277</v>
      </c>
      <c r="O273" s="39">
        <v>0.184040193323493</v>
      </c>
      <c r="P273" s="39">
        <v>0.29427201752245102</v>
      </c>
      <c r="Q273" s="39">
        <v>0.26348502590432998</v>
      </c>
      <c r="R273" s="39">
        <v>0.268758655659256</v>
      </c>
      <c r="S273" s="39">
        <v>0.31756185551983501</v>
      </c>
      <c r="T273" s="39">
        <v>0.28352524510536697</v>
      </c>
      <c r="U273" s="43">
        <v>0.28000000000000003</v>
      </c>
      <c r="V273" s="43">
        <v>0.234086611305624</v>
      </c>
      <c r="W273" s="43">
        <f t="shared" si="8"/>
        <v>4.5913388694376028E-2</v>
      </c>
      <c r="X273" s="45">
        <v>0.26718882129448601</v>
      </c>
      <c r="Y273" s="45">
        <f t="shared" si="9"/>
        <v>1.2811178705514015E-2</v>
      </c>
    </row>
    <row r="274" spans="1:25" ht="15" x14ac:dyDescent="0.2">
      <c r="A274" s="40" t="s">
        <v>83</v>
      </c>
      <c r="B274" s="41">
        <v>15.9</v>
      </c>
      <c r="C274" s="42">
        <v>392</v>
      </c>
      <c r="D274" s="43">
        <v>3.3538794827423901</v>
      </c>
      <c r="E274" s="41">
        <v>30</v>
      </c>
      <c r="F274" s="44">
        <v>2.2536170212766E-2</v>
      </c>
      <c r="G274" s="42">
        <v>326.50507681397602</v>
      </c>
      <c r="H274" s="39">
        <v>0.247876093912795</v>
      </c>
      <c r="I274" s="39">
        <v>0.25197930642052602</v>
      </c>
      <c r="J274" s="39">
        <v>0.28615588585613799</v>
      </c>
      <c r="K274" s="39">
        <v>0.37406287588439802</v>
      </c>
      <c r="L274" s="39">
        <v>0.24630754968100699</v>
      </c>
      <c r="M274" s="39">
        <v>0.30775363409033601</v>
      </c>
      <c r="N274" s="48">
        <v>0.31169658297083969</v>
      </c>
      <c r="O274" s="39">
        <v>0.19929109138178699</v>
      </c>
      <c r="P274" s="39">
        <v>0.30500771306213498</v>
      </c>
      <c r="Q274" s="39">
        <v>0.28192769917035498</v>
      </c>
      <c r="R274" s="39">
        <v>0.31302564121596399</v>
      </c>
      <c r="S274" s="39">
        <v>0.31331008298028501</v>
      </c>
      <c r="T274" s="39">
        <v>0.29217612216028599</v>
      </c>
      <c r="U274" s="43">
        <v>0.2</v>
      </c>
      <c r="V274" s="43">
        <v>0.25593185375688199</v>
      </c>
      <c r="W274" s="43">
        <f t="shared" si="8"/>
        <v>-5.5931853756881977E-2</v>
      </c>
      <c r="X274" s="45">
        <v>0.31638565265359397</v>
      </c>
      <c r="Y274" s="45">
        <f t="shared" si="9"/>
        <v>-0.11638565265359396</v>
      </c>
    </row>
    <row r="275" spans="1:25" ht="15" x14ac:dyDescent="0.2">
      <c r="B275" s="41">
        <v>15.9</v>
      </c>
      <c r="C275" s="42">
        <v>392</v>
      </c>
      <c r="D275" s="43">
        <v>3.3538794827423901</v>
      </c>
      <c r="E275" s="41">
        <v>30</v>
      </c>
      <c r="F275" s="44">
        <v>2.2536170212766E-2</v>
      </c>
      <c r="G275" s="42">
        <v>362.87183038768899</v>
      </c>
      <c r="H275" s="39">
        <v>0.269520780893451</v>
      </c>
      <c r="I275" s="39">
        <v>0.27398228834178301</v>
      </c>
      <c r="J275" s="39">
        <v>0.29185886340253198</v>
      </c>
      <c r="K275" s="39">
        <v>0.38912131038557102</v>
      </c>
      <c r="L275" s="39">
        <v>0.26626281210622399</v>
      </c>
      <c r="M275" s="39">
        <v>0.33034410902974498</v>
      </c>
      <c r="N275" s="48">
        <v>0.33738838631610368</v>
      </c>
      <c r="O275" s="39">
        <v>0.21484833224410799</v>
      </c>
      <c r="P275" s="39">
        <v>0.327396625279608</v>
      </c>
      <c r="Q275" s="39">
        <v>0.28192769917035498</v>
      </c>
      <c r="R275" s="39">
        <v>0.34320552405229998</v>
      </c>
      <c r="S275" s="39">
        <v>0.34760364977129998</v>
      </c>
      <c r="T275" s="39">
        <v>0.327244920707776</v>
      </c>
      <c r="U275" s="43">
        <v>0.22</v>
      </c>
      <c r="V275" s="43">
        <v>0.28192769917035498</v>
      </c>
      <c r="W275" s="43">
        <f t="shared" si="8"/>
        <v>-6.1927699170354983E-2</v>
      </c>
      <c r="X275" s="45">
        <v>0.35162528560688699</v>
      </c>
      <c r="Y275" s="45">
        <f t="shared" si="9"/>
        <v>-0.13162528560688699</v>
      </c>
    </row>
    <row r="276" spans="1:25" ht="15" x14ac:dyDescent="0.2">
      <c r="A276" s="40" t="s">
        <v>84</v>
      </c>
      <c r="B276" s="41">
        <v>15.9</v>
      </c>
      <c r="C276" s="42">
        <v>392</v>
      </c>
      <c r="D276" s="43">
        <v>3.3538794827423901</v>
      </c>
      <c r="E276" s="41">
        <v>30</v>
      </c>
      <c r="F276" s="44">
        <v>2.2536170212766E-2</v>
      </c>
      <c r="G276" s="42">
        <v>326.50507681397602</v>
      </c>
      <c r="H276" s="39">
        <v>0.247876093912795</v>
      </c>
      <c r="I276" s="39">
        <v>0.25197930642052602</v>
      </c>
      <c r="J276" s="39">
        <v>0.28615588585613799</v>
      </c>
      <c r="K276" s="39">
        <v>0.37406287588439802</v>
      </c>
      <c r="L276" s="39">
        <v>0.24630754968100699</v>
      </c>
      <c r="M276" s="39">
        <v>0.30775363409033601</v>
      </c>
      <c r="N276" s="48">
        <v>0.31169658297083969</v>
      </c>
      <c r="O276" s="39">
        <v>0.19929109138178699</v>
      </c>
      <c r="P276" s="39">
        <v>0.30500771306213498</v>
      </c>
      <c r="Q276" s="39">
        <v>0.28192769917035498</v>
      </c>
      <c r="R276" s="39">
        <v>0.31302564121596399</v>
      </c>
      <c r="S276" s="39">
        <v>0.31331008298028501</v>
      </c>
      <c r="T276" s="39">
        <v>0.29217612216028599</v>
      </c>
      <c r="U276" s="43">
        <v>0.17</v>
      </c>
      <c r="V276" s="43">
        <v>0.25593185375688199</v>
      </c>
      <c r="W276" s="43">
        <f t="shared" si="8"/>
        <v>-8.5931853756881976E-2</v>
      </c>
      <c r="X276" s="45">
        <v>0.31638565265359397</v>
      </c>
      <c r="Y276" s="45">
        <f t="shared" si="9"/>
        <v>-0.14638565265359396</v>
      </c>
    </row>
    <row r="277" spans="1:25" ht="15" x14ac:dyDescent="0.2">
      <c r="B277" s="41">
        <v>15.9</v>
      </c>
      <c r="C277" s="42">
        <v>392</v>
      </c>
      <c r="D277" s="43">
        <v>3.3538794827423901</v>
      </c>
      <c r="E277" s="41">
        <v>30</v>
      </c>
      <c r="F277" s="44">
        <v>2.2536170212766E-2</v>
      </c>
      <c r="G277" s="42">
        <v>362.87183038768899</v>
      </c>
      <c r="H277" s="39">
        <v>0.269520780893451</v>
      </c>
      <c r="I277" s="39">
        <v>0.27398228834178301</v>
      </c>
      <c r="J277" s="39">
        <v>0.29185886340253198</v>
      </c>
      <c r="K277" s="39">
        <v>0.38912131038557102</v>
      </c>
      <c r="L277" s="39">
        <v>0.26626281210622399</v>
      </c>
      <c r="M277" s="39">
        <v>0.33034410902974498</v>
      </c>
      <c r="N277" s="48">
        <v>0.33738838631610368</v>
      </c>
      <c r="O277" s="39">
        <v>0.21484833224410799</v>
      </c>
      <c r="P277" s="39">
        <v>0.327396625279608</v>
      </c>
      <c r="Q277" s="39">
        <v>0.28192769917035498</v>
      </c>
      <c r="R277" s="39">
        <v>0.34320552405229998</v>
      </c>
      <c r="S277" s="39">
        <v>0.34760364977129998</v>
      </c>
      <c r="T277" s="39">
        <v>0.327244920707776</v>
      </c>
      <c r="U277" s="43">
        <v>0.21</v>
      </c>
      <c r="V277" s="43">
        <v>0.28192769917035498</v>
      </c>
      <c r="W277" s="43">
        <f t="shared" si="8"/>
        <v>-7.1927699170354992E-2</v>
      </c>
      <c r="X277" s="45">
        <v>0.35162528560688699</v>
      </c>
      <c r="Y277" s="45">
        <f t="shared" si="9"/>
        <v>-0.141625285606887</v>
      </c>
    </row>
    <row r="278" spans="1:25" ht="15" x14ac:dyDescent="0.2">
      <c r="A278" s="40" t="s">
        <v>85</v>
      </c>
      <c r="B278" s="41">
        <v>19.100000000000001</v>
      </c>
      <c r="C278" s="42">
        <v>392</v>
      </c>
      <c r="D278" s="43">
        <v>3.3538794827423901</v>
      </c>
      <c r="E278" s="41">
        <v>30</v>
      </c>
      <c r="F278" s="44">
        <v>2.8296296296296299E-2</v>
      </c>
      <c r="G278" s="42">
        <v>147.261960689549</v>
      </c>
      <c r="H278" s="39">
        <v>0.12502421040515399</v>
      </c>
      <c r="I278" s="39">
        <v>0.13495075566019701</v>
      </c>
      <c r="J278" s="39">
        <v>0.17597414604016501</v>
      </c>
      <c r="K278" s="39">
        <v>0.16650607497088099</v>
      </c>
      <c r="L278" s="39">
        <v>0.126644840509609</v>
      </c>
      <c r="M278" s="39">
        <v>0.18287249019815299</v>
      </c>
      <c r="N278" s="48">
        <v>0.19145425081753056</v>
      </c>
      <c r="O278" s="39">
        <v>0.118147216067747</v>
      </c>
      <c r="P278" s="39">
        <v>0.194718588519085</v>
      </c>
      <c r="Q278" s="39">
        <v>0.165008033992563</v>
      </c>
      <c r="R278" s="39">
        <v>0.14323409716608199</v>
      </c>
      <c r="S278" s="39">
        <v>0.156615851331663</v>
      </c>
      <c r="T278" s="39">
        <v>0.132940303744433</v>
      </c>
      <c r="U278" s="43">
        <v>0.17</v>
      </c>
      <c r="V278" s="43">
        <v>0.124185684451845</v>
      </c>
      <c r="W278" s="43">
        <f t="shared" si="8"/>
        <v>4.5814315548155016E-2</v>
      </c>
      <c r="X278" s="45">
        <v>0.13239376928063301</v>
      </c>
      <c r="Y278" s="45">
        <f t="shared" si="9"/>
        <v>3.7606230719367001E-2</v>
      </c>
    </row>
    <row r="279" spans="1:25" ht="15" x14ac:dyDescent="0.2">
      <c r="B279" s="41">
        <v>19.100000000000001</v>
      </c>
      <c r="C279" s="42">
        <v>392</v>
      </c>
      <c r="D279" s="43">
        <v>3.3538794827423901</v>
      </c>
      <c r="E279" s="41">
        <v>30</v>
      </c>
      <c r="F279" s="44">
        <v>2.8296296296296299E-2</v>
      </c>
      <c r="G279" s="42">
        <v>196.13239467506901</v>
      </c>
      <c r="H279" s="39">
        <v>0.15144280284122499</v>
      </c>
      <c r="I279" s="39">
        <v>0.16346690466184299</v>
      </c>
      <c r="J279" s="39">
        <v>0.20605519664532099</v>
      </c>
      <c r="K279" s="39">
        <v>0.228296626570857</v>
      </c>
      <c r="L279" s="39">
        <v>0.15100219578488999</v>
      </c>
      <c r="M279" s="39">
        <v>0.21413274493288001</v>
      </c>
      <c r="N279" s="48">
        <v>0.23140163722368232</v>
      </c>
      <c r="O279" s="39">
        <v>0.14042042546906</v>
      </c>
      <c r="P279" s="39">
        <v>0.228003817325766</v>
      </c>
      <c r="Q279" s="39">
        <v>0.19652209141027999</v>
      </c>
      <c r="R279" s="39">
        <v>0.18507173148334599</v>
      </c>
      <c r="S279" s="39">
        <v>0.202605707504941</v>
      </c>
      <c r="T279" s="39">
        <v>0.175505016818047</v>
      </c>
      <c r="U279" s="43">
        <v>0.18</v>
      </c>
      <c r="V279" s="43">
        <v>0.15819691921097201</v>
      </c>
      <c r="W279" s="43">
        <f t="shared" si="8"/>
        <v>2.1803080789027984E-2</v>
      </c>
      <c r="X279" s="45">
        <v>0.17633003721722099</v>
      </c>
      <c r="Y279" s="45">
        <f t="shared" si="9"/>
        <v>3.6699627827790071E-3</v>
      </c>
    </row>
    <row r="280" spans="1:25" ht="15" x14ac:dyDescent="0.2">
      <c r="B280" s="41">
        <v>19.100000000000001</v>
      </c>
      <c r="C280" s="42">
        <v>392</v>
      </c>
      <c r="D280" s="43">
        <v>3.3538794827423901</v>
      </c>
      <c r="E280" s="41">
        <v>30</v>
      </c>
      <c r="F280" s="44">
        <v>2.8296296296296299E-2</v>
      </c>
      <c r="G280" s="42">
        <v>243.78106781095099</v>
      </c>
      <c r="H280" s="39">
        <v>0.17720093046639401</v>
      </c>
      <c r="I280" s="39">
        <v>0.19127014993844799</v>
      </c>
      <c r="J280" s="39">
        <v>0.235384220985349</v>
      </c>
      <c r="K280" s="39">
        <v>0.29791134594970797</v>
      </c>
      <c r="L280" s="39">
        <v>0.17475061717828899</v>
      </c>
      <c r="M280" s="39">
        <v>0.24461149329923901</v>
      </c>
      <c r="N280" s="48">
        <v>0.2703503389696803</v>
      </c>
      <c r="O280" s="39">
        <v>0.162136804635339</v>
      </c>
      <c r="P280" s="39">
        <v>0.260456915412281</v>
      </c>
      <c r="Q280" s="39">
        <v>0.22769634035772701</v>
      </c>
      <c r="R280" s="39">
        <v>0.22480394836704401</v>
      </c>
      <c r="S280" s="39">
        <v>0.24872789677669699</v>
      </c>
      <c r="T280" s="39">
        <v>0.21898941685735501</v>
      </c>
      <c r="U280" s="43">
        <v>0.2</v>
      </c>
      <c r="V280" s="43">
        <v>0.19135787310112101</v>
      </c>
      <c r="W280" s="43">
        <f t="shared" si="8"/>
        <v>8.642126898878999E-3</v>
      </c>
      <c r="X280" s="45">
        <v>0.219167898455395</v>
      </c>
      <c r="Y280" s="45">
        <f t="shared" si="9"/>
        <v>-1.9167898455394988E-2</v>
      </c>
    </row>
    <row r="281" spans="1:25" ht="15" x14ac:dyDescent="0.2">
      <c r="B281" s="41">
        <v>19.100000000000001</v>
      </c>
      <c r="C281" s="42">
        <v>392</v>
      </c>
      <c r="D281" s="43">
        <v>3.3538794827423901</v>
      </c>
      <c r="E281" s="41">
        <v>30</v>
      </c>
      <c r="F281" s="44">
        <v>2.8296296296296299E-2</v>
      </c>
      <c r="G281" s="42">
        <v>292.651501796471</v>
      </c>
      <c r="H281" s="39">
        <v>0.20361952290246499</v>
      </c>
      <c r="I281" s="39">
        <v>0.21978629894009399</v>
      </c>
      <c r="J281" s="39">
        <v>0.26546527159050498</v>
      </c>
      <c r="K281" s="39">
        <v>0.37892021871660603</v>
      </c>
      <c r="L281" s="39">
        <v>0.19910797245357001</v>
      </c>
      <c r="M281" s="39">
        <v>0.27587174803396602</v>
      </c>
      <c r="N281" s="48">
        <v>0.310297725375832</v>
      </c>
      <c r="O281" s="39">
        <v>0.184410014036652</v>
      </c>
      <c r="P281" s="39">
        <v>0.293742144218962</v>
      </c>
      <c r="Q281" s="39">
        <v>0.260000859463903</v>
      </c>
      <c r="R281" s="39">
        <v>0.26461971704774301</v>
      </c>
      <c r="S281" s="39">
        <v>0.297347659622406</v>
      </c>
      <c r="T281" s="39">
        <v>0.26562347309514101</v>
      </c>
      <c r="U281" s="43">
        <v>0.2</v>
      </c>
      <c r="V281" s="43">
        <v>0.225369107860247</v>
      </c>
      <c r="W281" s="43">
        <f t="shared" si="8"/>
        <v>-2.5369107860246987E-2</v>
      </c>
      <c r="X281" s="45">
        <v>0.26310416639198297</v>
      </c>
      <c r="Y281" s="45">
        <f t="shared" si="9"/>
        <v>-6.3104166391982963E-2</v>
      </c>
    </row>
    <row r="282" spans="1:25" ht="15" x14ac:dyDescent="0.2">
      <c r="B282" s="41">
        <v>19.100000000000001</v>
      </c>
      <c r="C282" s="42">
        <v>392</v>
      </c>
      <c r="D282" s="43">
        <v>3.3538794827423901</v>
      </c>
      <c r="E282" s="41">
        <v>30</v>
      </c>
      <c r="F282" s="44">
        <v>2.8296296296296299E-2</v>
      </c>
      <c r="G282" s="42">
        <v>339.07841408271599</v>
      </c>
      <c r="H282" s="39">
        <v>0.228717185716732</v>
      </c>
      <c r="I282" s="39">
        <v>0.246876640491658</v>
      </c>
      <c r="J282" s="39">
        <v>0.29404226966540398</v>
      </c>
      <c r="K282" s="39">
        <v>0.46489179720255702</v>
      </c>
      <c r="L282" s="39">
        <v>0.22224745996508699</v>
      </c>
      <c r="M282" s="39">
        <v>0.30556899003195698</v>
      </c>
      <c r="N282" s="48">
        <v>0.34824774246167622</v>
      </c>
      <c r="O282" s="39">
        <v>0.20556956296789899</v>
      </c>
      <c r="P282" s="39">
        <v>0.32536311158530901</v>
      </c>
      <c r="Q282" s="39">
        <v>0.27791169117888298</v>
      </c>
      <c r="R282" s="39">
        <v>0.30168784548245398</v>
      </c>
      <c r="S282" s="39">
        <v>0.34476982726524102</v>
      </c>
      <c r="T282" s="39">
        <v>0.31183429695436099</v>
      </c>
      <c r="U282" s="43">
        <v>0.25</v>
      </c>
      <c r="V282" s="43">
        <v>0.25767978088141802</v>
      </c>
      <c r="W282" s="43">
        <f t="shared" si="8"/>
        <v>-7.6797808814180191E-3</v>
      </c>
      <c r="X282" s="45">
        <v>0.304843620931742</v>
      </c>
      <c r="Y282" s="45">
        <f t="shared" si="9"/>
        <v>-5.4843620931741999E-2</v>
      </c>
    </row>
    <row r="283" spans="1:25" ht="15" x14ac:dyDescent="0.2">
      <c r="B283" s="41">
        <v>19.100000000000001</v>
      </c>
      <c r="C283" s="42">
        <v>392</v>
      </c>
      <c r="D283" s="43">
        <v>3.3538794827423901</v>
      </c>
      <c r="E283" s="41">
        <v>30</v>
      </c>
      <c r="F283" s="44">
        <v>2.8296296296296299E-2</v>
      </c>
      <c r="G283" s="42">
        <v>368.149462034831</v>
      </c>
      <c r="H283" s="39">
        <v>0.24443253966190001</v>
      </c>
      <c r="I283" s="39">
        <v>0.26383974614531602</v>
      </c>
      <c r="J283" s="39">
        <v>0.29484546616440799</v>
      </c>
      <c r="K283" s="39">
        <v>0.46743503323046598</v>
      </c>
      <c r="L283" s="39">
        <v>0.23673666714921501</v>
      </c>
      <c r="M283" s="39">
        <v>0.32416445338834599</v>
      </c>
      <c r="N283" s="48">
        <v>0.37201082969186144</v>
      </c>
      <c r="O283" s="39">
        <v>0.21881899592249299</v>
      </c>
      <c r="P283" s="39">
        <v>0.34516315025537397</v>
      </c>
      <c r="Q283" s="39">
        <v>0.27791169117888298</v>
      </c>
      <c r="R283" s="39">
        <v>0.32456871429093098</v>
      </c>
      <c r="S283" s="39">
        <v>0.37507592482148999</v>
      </c>
      <c r="T283" s="39">
        <v>0.34171677725868199</v>
      </c>
      <c r="U283" s="43">
        <v>0.27</v>
      </c>
      <c r="V283" s="43">
        <v>0.27791169117888298</v>
      </c>
      <c r="W283" s="43">
        <f t="shared" si="8"/>
        <v>-7.9116911788829625E-3</v>
      </c>
      <c r="X283" s="45">
        <v>0.33097953272659097</v>
      </c>
      <c r="Y283" s="45">
        <f t="shared" si="9"/>
        <v>-6.0979532726590957E-2</v>
      </c>
    </row>
    <row r="284" spans="1:25" ht="15" x14ac:dyDescent="0.2">
      <c r="A284" s="40" t="s">
        <v>86</v>
      </c>
      <c r="B284" s="41">
        <v>19.100000000000001</v>
      </c>
      <c r="C284" s="42">
        <v>392</v>
      </c>
      <c r="D284" s="43">
        <v>3.3538794827423901</v>
      </c>
      <c r="E284" s="41">
        <v>30</v>
      </c>
      <c r="F284" s="44">
        <v>2.8296296296296299E-2</v>
      </c>
      <c r="G284" s="42">
        <v>243.78106781095099</v>
      </c>
      <c r="H284" s="39">
        <v>0.17720093046639401</v>
      </c>
      <c r="I284" s="39">
        <v>0.19127014993844799</v>
      </c>
      <c r="J284" s="39">
        <v>0.235384220985349</v>
      </c>
      <c r="K284" s="39">
        <v>0.29791134594970797</v>
      </c>
      <c r="L284" s="39">
        <v>0.17475061717828899</v>
      </c>
      <c r="M284" s="39">
        <v>0.24461149329923901</v>
      </c>
      <c r="N284" s="48">
        <v>0.2703503389696803</v>
      </c>
      <c r="O284" s="39">
        <v>0.162136804635339</v>
      </c>
      <c r="P284" s="39">
        <v>0.260456915412281</v>
      </c>
      <c r="Q284" s="39">
        <v>0.22769634035772701</v>
      </c>
      <c r="R284" s="39">
        <v>0.22480394836704401</v>
      </c>
      <c r="S284" s="39">
        <v>0.24872789677669699</v>
      </c>
      <c r="T284" s="39">
        <v>0.21898941685735501</v>
      </c>
      <c r="U284" s="43">
        <v>0.18</v>
      </c>
      <c r="V284" s="43">
        <v>0.19135787310112101</v>
      </c>
      <c r="W284" s="43">
        <f t="shared" si="8"/>
        <v>-1.1357873101121019E-2</v>
      </c>
      <c r="X284" s="45">
        <v>0.219167898455395</v>
      </c>
      <c r="Y284" s="45">
        <f t="shared" si="9"/>
        <v>-3.9167898455395006E-2</v>
      </c>
    </row>
    <row r="285" spans="1:25" ht="15" x14ac:dyDescent="0.2">
      <c r="B285" s="41">
        <v>19.100000000000001</v>
      </c>
      <c r="C285" s="42">
        <v>392</v>
      </c>
      <c r="D285" s="43">
        <v>3.3538794827423901</v>
      </c>
      <c r="E285" s="41">
        <v>30</v>
      </c>
      <c r="F285" s="44">
        <v>2.8296296296296299E-2</v>
      </c>
      <c r="G285" s="42">
        <v>290.20798009719499</v>
      </c>
      <c r="H285" s="39">
        <v>0.20229859328066099</v>
      </c>
      <c r="I285" s="39">
        <v>0.21836049149001199</v>
      </c>
      <c r="J285" s="39">
        <v>0.263961219060247</v>
      </c>
      <c r="K285" s="39">
        <v>0.37463866868448198</v>
      </c>
      <c r="L285" s="39">
        <v>0.197890104689806</v>
      </c>
      <c r="M285" s="39">
        <v>0.27430873529722999</v>
      </c>
      <c r="N285" s="48">
        <v>0.30830035605552447</v>
      </c>
      <c r="O285" s="39">
        <v>0.183296353566586</v>
      </c>
      <c r="P285" s="39">
        <v>0.29207788277862801</v>
      </c>
      <c r="Q285" s="39">
        <v>0.258379095973851</v>
      </c>
      <c r="R285" s="39">
        <v>0.26264931447655598</v>
      </c>
      <c r="S285" s="39">
        <v>0.29488504602013599</v>
      </c>
      <c r="T285" s="39">
        <v>0.26324283514393498</v>
      </c>
      <c r="U285" s="43">
        <v>0.19</v>
      </c>
      <c r="V285" s="43">
        <v>0.22366854612229101</v>
      </c>
      <c r="W285" s="43">
        <f t="shared" si="8"/>
        <v>-3.3668546122291004E-2</v>
      </c>
      <c r="X285" s="45">
        <v>0.260907352995153</v>
      </c>
      <c r="Y285" s="45">
        <f t="shared" si="9"/>
        <v>-7.0907352995152995E-2</v>
      </c>
    </row>
    <row r="286" spans="1:25" ht="15" x14ac:dyDescent="0.2">
      <c r="B286" s="41">
        <v>19.100000000000001</v>
      </c>
      <c r="C286" s="42">
        <v>392</v>
      </c>
      <c r="D286" s="43">
        <v>3.3538794827423901</v>
      </c>
      <c r="E286" s="41">
        <v>30</v>
      </c>
      <c r="F286" s="44">
        <v>2.8296296296296299E-2</v>
      </c>
      <c r="G286" s="42">
        <v>339.07841408271599</v>
      </c>
      <c r="H286" s="39">
        <v>0.228717185716732</v>
      </c>
      <c r="I286" s="39">
        <v>0.246876640491658</v>
      </c>
      <c r="J286" s="39">
        <v>0.29404226966540398</v>
      </c>
      <c r="K286" s="39">
        <v>0.46489179720255702</v>
      </c>
      <c r="L286" s="39">
        <v>0.22224745996508699</v>
      </c>
      <c r="M286" s="39">
        <v>0.30556899003195698</v>
      </c>
      <c r="N286" s="48">
        <v>0.34824774246167622</v>
      </c>
      <c r="O286" s="39">
        <v>0.20556956296789899</v>
      </c>
      <c r="P286" s="39">
        <v>0.32536311158530901</v>
      </c>
      <c r="Q286" s="39">
        <v>0.27791169117888298</v>
      </c>
      <c r="R286" s="39">
        <v>0.30168784548245398</v>
      </c>
      <c r="S286" s="39">
        <v>0.34476982726524102</v>
      </c>
      <c r="T286" s="39">
        <v>0.31183429695436099</v>
      </c>
      <c r="U286" s="43">
        <v>0.21</v>
      </c>
      <c r="V286" s="43">
        <v>0.25767978088141802</v>
      </c>
      <c r="W286" s="43">
        <f t="shared" si="8"/>
        <v>-4.7679780881418027E-2</v>
      </c>
      <c r="X286" s="45">
        <v>0.304843620931742</v>
      </c>
      <c r="Y286" s="45">
        <f t="shared" si="9"/>
        <v>-9.4843620931742006E-2</v>
      </c>
    </row>
    <row r="287" spans="1:25" ht="15" x14ac:dyDescent="0.2">
      <c r="B287" s="41">
        <v>19.100000000000001</v>
      </c>
      <c r="C287" s="42">
        <v>392</v>
      </c>
      <c r="D287" s="43">
        <v>3.3538794827423901</v>
      </c>
      <c r="E287" s="41">
        <v>30</v>
      </c>
      <c r="F287" s="44">
        <v>2.8296296296296299E-2</v>
      </c>
      <c r="G287" s="42">
        <v>368.149462034831</v>
      </c>
      <c r="H287" s="39">
        <v>0.24443253966190001</v>
      </c>
      <c r="I287" s="39">
        <v>0.26383974614531602</v>
      </c>
      <c r="J287" s="39">
        <v>0.29484546616440799</v>
      </c>
      <c r="K287" s="39">
        <v>0.46743503323046598</v>
      </c>
      <c r="L287" s="39">
        <v>0.23673666714921501</v>
      </c>
      <c r="M287" s="39">
        <v>0.32416445338834599</v>
      </c>
      <c r="N287" s="48">
        <v>0.37201082969186144</v>
      </c>
      <c r="O287" s="39">
        <v>0.21881899592249299</v>
      </c>
      <c r="P287" s="39">
        <v>0.34516315025537397</v>
      </c>
      <c r="Q287" s="39">
        <v>0.27791169117888298</v>
      </c>
      <c r="R287" s="39">
        <v>0.32456871429093098</v>
      </c>
      <c r="S287" s="39">
        <v>0.37507592482148999</v>
      </c>
      <c r="T287" s="39">
        <v>0.34171677725868199</v>
      </c>
      <c r="U287" s="43">
        <v>0.26</v>
      </c>
      <c r="V287" s="43">
        <v>0.27791169117888298</v>
      </c>
      <c r="W287" s="43">
        <f t="shared" si="8"/>
        <v>-1.7911691178882971E-2</v>
      </c>
      <c r="X287" s="45">
        <v>0.33097953272659097</v>
      </c>
      <c r="Y287" s="45">
        <f t="shared" si="9"/>
        <v>-7.0979532726590966E-2</v>
      </c>
    </row>
    <row r="288" spans="1:25" ht="15" x14ac:dyDescent="0.2">
      <c r="A288" s="40" t="s">
        <v>87</v>
      </c>
      <c r="B288" s="41">
        <v>19.100000000000001</v>
      </c>
      <c r="C288" s="42">
        <v>276</v>
      </c>
      <c r="D288" s="43">
        <v>2.9003288251790802</v>
      </c>
      <c r="E288" s="41">
        <v>31.8</v>
      </c>
      <c r="F288" s="44">
        <v>2.72245005166903E-2</v>
      </c>
      <c r="G288" s="42">
        <v>131.31218431194301</v>
      </c>
      <c r="H288" s="39">
        <v>0.144612644411651</v>
      </c>
      <c r="I288" s="39">
        <v>0.140053915791155</v>
      </c>
      <c r="J288" s="39">
        <v>0.17419711219546</v>
      </c>
      <c r="K288" s="39">
        <v>0.15865517662423101</v>
      </c>
      <c r="L288" s="39">
        <v>0.113684471499992</v>
      </c>
      <c r="M288" s="39">
        <v>0.125395114242982</v>
      </c>
      <c r="N288" s="48">
        <v>0.16875320294974011</v>
      </c>
      <c r="O288" s="39">
        <v>0.12747372435868701</v>
      </c>
      <c r="P288" s="39">
        <v>0.16805255523912299</v>
      </c>
      <c r="Q288" s="39">
        <v>0.173396421842929</v>
      </c>
      <c r="R288" s="39">
        <v>0.14690574145696</v>
      </c>
      <c r="S288" s="39">
        <v>0.162054438532935</v>
      </c>
      <c r="T288" s="39">
        <v>0.139692515123061</v>
      </c>
      <c r="U288" s="43">
        <v>0.17</v>
      </c>
      <c r="V288" s="43">
        <v>0.13127422971881</v>
      </c>
      <c r="W288" s="43">
        <f t="shared" si="8"/>
        <v>3.8725770281190008E-2</v>
      </c>
      <c r="X288" s="45">
        <v>0.13479155649448901</v>
      </c>
      <c r="Y288" s="45">
        <f t="shared" si="9"/>
        <v>3.5208443505511E-2</v>
      </c>
    </row>
    <row r="289" spans="1:25" ht="15" x14ac:dyDescent="0.2">
      <c r="B289" s="41">
        <v>19.100000000000001</v>
      </c>
      <c r="C289" s="42">
        <v>276</v>
      </c>
      <c r="D289" s="43">
        <v>2.9003288251790802</v>
      </c>
      <c r="E289" s="41">
        <v>31.8</v>
      </c>
      <c r="F289" s="44">
        <v>2.72245005166903E-2</v>
      </c>
      <c r="G289" s="42">
        <v>183.72363442547999</v>
      </c>
      <c r="H289" s="39">
        <v>0.184869531379248</v>
      </c>
      <c r="I289" s="39">
        <v>0.179041755895402</v>
      </c>
      <c r="J289" s="39">
        <v>0.20978576952571501</v>
      </c>
      <c r="K289" s="39">
        <v>0.23010412019590201</v>
      </c>
      <c r="L289" s="39">
        <v>0.142372635093723</v>
      </c>
      <c r="M289" s="39">
        <v>0.15101347091628001</v>
      </c>
      <c r="N289" s="48">
        <v>0.21168897760914146</v>
      </c>
      <c r="O289" s="39">
        <v>0.15661366367243301</v>
      </c>
      <c r="P289" s="39">
        <v>0.20238587297614799</v>
      </c>
      <c r="Q289" s="39">
        <v>0.205980118431288</v>
      </c>
      <c r="R289" s="39">
        <v>0.198883923836256</v>
      </c>
      <c r="S289" s="39">
        <v>0.218295638091697</v>
      </c>
      <c r="T289" s="39">
        <v>0.19196100878984701</v>
      </c>
      <c r="U289" s="43">
        <v>0.23</v>
      </c>
      <c r="V289" s="43">
        <v>0.17385097621224299</v>
      </c>
      <c r="W289" s="43">
        <f t="shared" si="8"/>
        <v>5.6149023787757019E-2</v>
      </c>
      <c r="X289" s="45">
        <v>0.18859175010146001</v>
      </c>
      <c r="Y289" s="45">
        <f t="shared" si="9"/>
        <v>4.140824989854E-2</v>
      </c>
    </row>
    <row r="290" spans="1:25" ht="15" x14ac:dyDescent="0.2">
      <c r="B290" s="41">
        <v>19.100000000000001</v>
      </c>
      <c r="C290" s="42">
        <v>276</v>
      </c>
      <c r="D290" s="43">
        <v>2.9003288251790802</v>
      </c>
      <c r="E290" s="41">
        <v>31.8</v>
      </c>
      <c r="F290" s="44">
        <v>2.72245005166903E-2</v>
      </c>
      <c r="G290" s="42">
        <v>223.27421245905401</v>
      </c>
      <c r="H290" s="39">
        <v>0.21524806786224099</v>
      </c>
      <c r="I290" s="39">
        <v>0.20846264787727101</v>
      </c>
      <c r="J290" s="39">
        <v>0.22604792126916101</v>
      </c>
      <c r="K290" s="39">
        <v>0.26716119659943099</v>
      </c>
      <c r="L290" s="39">
        <v>0.16402121475324299</v>
      </c>
      <c r="M290" s="39">
        <v>0.170345521689618</v>
      </c>
      <c r="N290" s="48">
        <v>0.24408904863217179</v>
      </c>
      <c r="O290" s="39">
        <v>0.17860316102893201</v>
      </c>
      <c r="P290" s="39">
        <v>0.22829438265042901</v>
      </c>
      <c r="Q290" s="39">
        <v>0.205980118431288</v>
      </c>
      <c r="R290" s="39">
        <v>0.237143521273427</v>
      </c>
      <c r="S290" s="39">
        <v>0.26192996285311798</v>
      </c>
      <c r="T290" s="39">
        <v>0.23319433791514299</v>
      </c>
      <c r="U290" s="43">
        <v>0.27</v>
      </c>
      <c r="V290" s="43">
        <v>0.205980118431288</v>
      </c>
      <c r="W290" s="43">
        <f t="shared" si="8"/>
        <v>6.4019881568712023E-2</v>
      </c>
      <c r="X290" s="45">
        <v>0.22919029776355501</v>
      </c>
      <c r="Y290" s="45">
        <f t="shared" si="9"/>
        <v>4.0809702236445006E-2</v>
      </c>
    </row>
    <row r="291" spans="1:25" ht="15" x14ac:dyDescent="0.2">
      <c r="A291" s="40" t="s">
        <v>88</v>
      </c>
      <c r="B291" s="41">
        <v>19.100000000000001</v>
      </c>
      <c r="C291" s="42">
        <v>276</v>
      </c>
      <c r="D291" s="43">
        <v>2.8466918957142102</v>
      </c>
      <c r="E291" s="41">
        <v>31.8</v>
      </c>
      <c r="F291" s="44">
        <v>2.72245005166903E-2</v>
      </c>
      <c r="G291" s="42">
        <v>224.17342621352</v>
      </c>
      <c r="H291" s="39">
        <v>0.21596411355973399</v>
      </c>
      <c r="I291" s="39">
        <v>0.20923215334782899</v>
      </c>
      <c r="J291" s="39">
        <v>0.22604792126916101</v>
      </c>
      <c r="K291" s="39">
        <v>0.27219500664376001</v>
      </c>
      <c r="L291" s="39">
        <v>0.16402121475324299</v>
      </c>
      <c r="M291" s="39">
        <v>0.168291165283984</v>
      </c>
      <c r="N291" s="48">
        <v>0.24408134513087065</v>
      </c>
      <c r="O291" s="39">
        <v>0.17860316102893201</v>
      </c>
      <c r="P291" s="39">
        <v>0.22835384489192001</v>
      </c>
      <c r="Q291" s="39">
        <v>0.20732569988657901</v>
      </c>
      <c r="R291" s="39">
        <v>0.237990700753243</v>
      </c>
      <c r="S291" s="39">
        <v>0.26443809794901801</v>
      </c>
      <c r="T291" s="39">
        <v>0.23546774273535601</v>
      </c>
      <c r="U291" s="43">
        <v>0.16</v>
      </c>
      <c r="V291" s="43">
        <v>0.20732569988657901</v>
      </c>
      <c r="W291" s="43">
        <f t="shared" si="8"/>
        <v>-4.7325699886579004E-2</v>
      </c>
      <c r="X291" s="45">
        <v>0.23014130586856801</v>
      </c>
      <c r="Y291" s="45">
        <f t="shared" si="9"/>
        <v>-7.014130586856801E-2</v>
      </c>
    </row>
    <row r="292" spans="1:25" ht="15" x14ac:dyDescent="0.2">
      <c r="A292" s="40" t="s">
        <v>89</v>
      </c>
      <c r="B292" s="41">
        <v>19.100000000000001</v>
      </c>
      <c r="C292" s="42">
        <v>276</v>
      </c>
      <c r="D292" s="43">
        <v>2.7113214734883302</v>
      </c>
      <c r="E292" s="41">
        <v>38.200000000000003</v>
      </c>
      <c r="F292" s="44">
        <v>2.6026774586137599E-2</v>
      </c>
      <c r="G292" s="42">
        <v>191.764922934407</v>
      </c>
      <c r="H292" s="39">
        <v>0.20566966214226401</v>
      </c>
      <c r="I292" s="39">
        <v>0.20854527065130199</v>
      </c>
      <c r="J292" s="39">
        <v>0.22003184339839599</v>
      </c>
      <c r="K292" s="39">
        <v>0.25612342439380897</v>
      </c>
      <c r="L292" s="39">
        <v>0.168743686059287</v>
      </c>
      <c r="M292" s="39">
        <v>0.16899873803406101</v>
      </c>
      <c r="N292" s="48">
        <v>0.22791955508240316</v>
      </c>
      <c r="O292" s="39">
        <v>0.16916012694496699</v>
      </c>
      <c r="P292" s="39">
        <v>0.233546286066943</v>
      </c>
      <c r="Q292" s="39">
        <v>0.23559597544973301</v>
      </c>
      <c r="R292" s="39">
        <v>0.23431741833146799</v>
      </c>
      <c r="S292" s="39">
        <v>0.24891747608116399</v>
      </c>
      <c r="T292" s="39">
        <v>0.22657460911063099</v>
      </c>
      <c r="U292" s="43">
        <v>0.16</v>
      </c>
      <c r="V292" s="43">
        <v>0.205276239077366</v>
      </c>
      <c r="W292" s="43">
        <f t="shared" si="8"/>
        <v>-4.5276239077365998E-2</v>
      </c>
      <c r="X292" s="45">
        <v>0.223160977177881</v>
      </c>
      <c r="Y292" s="45">
        <f t="shared" si="9"/>
        <v>-6.3160977177880995E-2</v>
      </c>
    </row>
    <row r="293" spans="1:25" ht="15" x14ac:dyDescent="0.2">
      <c r="B293" s="41">
        <v>19.100000000000001</v>
      </c>
      <c r="C293" s="42">
        <v>276</v>
      </c>
      <c r="D293" s="43">
        <v>2.7113214734883302</v>
      </c>
      <c r="E293" s="41">
        <v>38.200000000000003</v>
      </c>
      <c r="F293" s="44">
        <v>2.6026774586137599E-2</v>
      </c>
      <c r="G293" s="42">
        <v>224.52366430869</v>
      </c>
      <c r="H293" s="39">
        <v>0.232607474797317</v>
      </c>
      <c r="I293" s="39">
        <v>0.23585971932782199</v>
      </c>
      <c r="J293" s="39">
        <v>0.23242384954718101</v>
      </c>
      <c r="K293" s="39">
        <v>0.28578511513419103</v>
      </c>
      <c r="L293" s="39">
        <v>0.189506313649598</v>
      </c>
      <c r="M293" s="39">
        <v>0.18662910931180299</v>
      </c>
      <c r="N293" s="48">
        <v>0.25623115922388756</v>
      </c>
      <c r="O293" s="39">
        <v>0.18847613594205401</v>
      </c>
      <c r="P293" s="39">
        <v>0.25791041908826901</v>
      </c>
      <c r="Q293" s="39">
        <v>0.23559597544973301</v>
      </c>
      <c r="R293" s="39">
        <v>0.27021086001637801</v>
      </c>
      <c r="S293" s="39">
        <v>0.28812625013958298</v>
      </c>
      <c r="T293" s="39">
        <v>0.26506305440545902</v>
      </c>
      <c r="U293" s="43">
        <v>0.2</v>
      </c>
      <c r="V293" s="43">
        <v>0.23559597544973301</v>
      </c>
      <c r="W293" s="43">
        <f t="shared" si="8"/>
        <v>-3.5595975449733003E-2</v>
      </c>
      <c r="X293" s="45">
        <v>0.26128303111942902</v>
      </c>
      <c r="Y293" s="45">
        <f t="shared" si="9"/>
        <v>-6.128303111942901E-2</v>
      </c>
    </row>
    <row r="294" spans="1:25" ht="15" x14ac:dyDescent="0.2">
      <c r="A294" s="40" t="s">
        <v>90</v>
      </c>
      <c r="B294" s="41">
        <v>22.2</v>
      </c>
      <c r="C294" s="42">
        <v>276</v>
      </c>
      <c r="D294" s="43">
        <v>2.6879866270061701</v>
      </c>
      <c r="E294" s="41">
        <v>12.8</v>
      </c>
      <c r="F294" s="44">
        <v>6.0714168051169297E-2</v>
      </c>
      <c r="G294" s="42">
        <v>244.57971130479399</v>
      </c>
      <c r="H294" s="39">
        <v>0.118523553790798</v>
      </c>
      <c r="I294" s="39">
        <v>0.106171066832134</v>
      </c>
      <c r="J294" s="39">
        <v>0.21217855953956499</v>
      </c>
      <c r="K294" s="39">
        <v>0.33505270024467698</v>
      </c>
      <c r="L294" s="39">
        <v>8.1992519279429105E-2</v>
      </c>
      <c r="M294" s="39">
        <v>8.9837857585190403E-2</v>
      </c>
      <c r="N294" s="48">
        <v>0.21914543976212919</v>
      </c>
      <c r="O294" s="39">
        <v>0.144397179614943</v>
      </c>
      <c r="P294" s="39">
        <v>0.14590550886852399</v>
      </c>
      <c r="Q294" s="39">
        <v>0.121209098535111</v>
      </c>
      <c r="R294" s="39">
        <v>0.126416212264962</v>
      </c>
      <c r="S294" s="39">
        <v>0.29737272192085001</v>
      </c>
      <c r="T294" s="39">
        <v>0.16708557819136299</v>
      </c>
      <c r="U294" s="43">
        <v>0.17</v>
      </c>
      <c r="V294" s="43">
        <v>0.11891617173496501</v>
      </c>
      <c r="W294" s="43">
        <f t="shared" si="8"/>
        <v>5.1083828265035006E-2</v>
      </c>
      <c r="X294" s="45">
        <v>0.124331141033773</v>
      </c>
      <c r="Y294" s="45">
        <f t="shared" si="9"/>
        <v>4.5668858966227008E-2</v>
      </c>
    </row>
    <row r="295" spans="1:25" ht="15" x14ac:dyDescent="0.2">
      <c r="A295" s="40" t="s">
        <v>91</v>
      </c>
      <c r="B295" s="41">
        <v>22.2</v>
      </c>
      <c r="C295" s="42">
        <v>276</v>
      </c>
      <c r="D295" s="43">
        <v>2.3846015710371402</v>
      </c>
      <c r="E295" s="41">
        <v>38</v>
      </c>
      <c r="F295" s="44">
        <v>3.17222995470351E-2</v>
      </c>
      <c r="G295" s="42">
        <v>140.827277262883</v>
      </c>
      <c r="H295" s="39">
        <v>0.14501757225662501</v>
      </c>
      <c r="I295" s="39">
        <v>0.15519138254448001</v>
      </c>
      <c r="J295" s="39">
        <v>0.172994275409456</v>
      </c>
      <c r="K295" s="39">
        <v>0.20681414500293499</v>
      </c>
      <c r="L295" s="39">
        <v>0.11650049466899701</v>
      </c>
      <c r="M295" s="39">
        <v>0.119692304813366</v>
      </c>
      <c r="N295" s="48">
        <v>0.17981005096602437</v>
      </c>
      <c r="O295" s="39">
        <v>0.13095691387127401</v>
      </c>
      <c r="P295" s="39">
        <v>0.18982529204428</v>
      </c>
      <c r="Q295" s="39">
        <v>0.18625796863820099</v>
      </c>
      <c r="R295" s="39">
        <v>0.166110023353157</v>
      </c>
      <c r="S295" s="39">
        <v>0.19888079834790401</v>
      </c>
      <c r="T295" s="39">
        <v>0.17229633515763201</v>
      </c>
      <c r="U295" s="43">
        <v>0.15</v>
      </c>
      <c r="V295" s="43">
        <v>0.154918924089883</v>
      </c>
      <c r="W295" s="43">
        <f t="shared" si="8"/>
        <v>-4.9189240898830089E-3</v>
      </c>
      <c r="X295" s="45">
        <v>0.15601234248965001</v>
      </c>
      <c r="Y295" s="45">
        <f t="shared" si="9"/>
        <v>-6.0123424896500188E-3</v>
      </c>
    </row>
    <row r="296" spans="1:25" ht="15" x14ac:dyDescent="0.2">
      <c r="B296" s="41">
        <v>22.2</v>
      </c>
      <c r="C296" s="42">
        <v>276</v>
      </c>
      <c r="D296" s="43">
        <v>2.3846015710371402</v>
      </c>
      <c r="E296" s="41">
        <v>38</v>
      </c>
      <c r="F296" s="44">
        <v>3.17222995470351E-2</v>
      </c>
      <c r="G296" s="42">
        <v>178.83384524302599</v>
      </c>
      <c r="H296" s="39">
        <v>0.173744152276404</v>
      </c>
      <c r="I296" s="39">
        <v>0.18593329609103201</v>
      </c>
      <c r="J296" s="39">
        <v>0.201218946416931</v>
      </c>
      <c r="K296" s="39">
        <v>0.27980438494334497</v>
      </c>
      <c r="L296" s="39">
        <v>0.13877359157702199</v>
      </c>
      <c r="M296" s="39">
        <v>0.13922055751125401</v>
      </c>
      <c r="N296" s="48">
        <v>0.21671195946411043</v>
      </c>
      <c r="O296" s="39">
        <v>0.154850837840977</v>
      </c>
      <c r="P296" s="39">
        <v>0.22079600713971601</v>
      </c>
      <c r="Q296" s="39">
        <v>0.21968556834700401</v>
      </c>
      <c r="R296" s="39">
        <v>0.207359124652161</v>
      </c>
      <c r="S296" s="39">
        <v>0.248262643734915</v>
      </c>
      <c r="T296" s="39">
        <v>0.218006181576888</v>
      </c>
      <c r="U296" s="43">
        <v>0.19</v>
      </c>
      <c r="V296" s="43">
        <v>0.19018496513522101</v>
      </c>
      <c r="W296" s="43">
        <f t="shared" si="8"/>
        <v>-1.8496513522101021E-4</v>
      </c>
      <c r="X296" s="45">
        <v>0.198117066913921</v>
      </c>
      <c r="Y296" s="45">
        <f t="shared" si="9"/>
        <v>-8.1170669139210005E-3</v>
      </c>
    </row>
    <row r="297" spans="1:25" ht="15" x14ac:dyDescent="0.2">
      <c r="B297" s="41">
        <v>22.2</v>
      </c>
      <c r="C297" s="42">
        <v>276</v>
      </c>
      <c r="D297" s="43">
        <v>2.3846015710371402</v>
      </c>
      <c r="E297" s="41">
        <v>38</v>
      </c>
      <c r="F297" s="44">
        <v>3.17222995470351E-2</v>
      </c>
      <c r="G297" s="42">
        <v>219.38630772901499</v>
      </c>
      <c r="H297" s="39">
        <v>0.20439500081425399</v>
      </c>
      <c r="I297" s="39">
        <v>0.218734476573717</v>
      </c>
      <c r="J297" s="39">
        <v>0.23133426524309</v>
      </c>
      <c r="K297" s="39">
        <v>0.36982537419117101</v>
      </c>
      <c r="L297" s="39">
        <v>0.16253866626836</v>
      </c>
      <c r="M297" s="39">
        <v>0.16005692283005199</v>
      </c>
      <c r="N297" s="48">
        <v>0.25608576613910172</v>
      </c>
      <c r="O297" s="39">
        <v>0.18034531174166399</v>
      </c>
      <c r="P297" s="39">
        <v>0.25384131559082801</v>
      </c>
      <c r="Q297" s="39">
        <v>0.24430562575555101</v>
      </c>
      <c r="R297" s="39">
        <v>0.25058467263015699</v>
      </c>
      <c r="S297" s="39">
        <v>0.302632452829041</v>
      </c>
      <c r="T297" s="39">
        <v>0.26913168878938698</v>
      </c>
      <c r="U297" s="43">
        <v>0.22</v>
      </c>
      <c r="V297" s="43">
        <v>0.22781332471948099</v>
      </c>
      <c r="W297" s="43">
        <f t="shared" si="8"/>
        <v>-7.8133247194809852E-3</v>
      </c>
      <c r="X297" s="45">
        <v>0.243042203500584</v>
      </c>
      <c r="Y297" s="45">
        <f t="shared" si="9"/>
        <v>-2.3042203500584002E-2</v>
      </c>
    </row>
    <row r="298" spans="1:25" ht="15" x14ac:dyDescent="0.2">
      <c r="B298" s="41">
        <v>22.2</v>
      </c>
      <c r="C298" s="42">
        <v>276</v>
      </c>
      <c r="D298" s="43">
        <v>2.3846015710371402</v>
      </c>
      <c r="E298" s="41">
        <v>38</v>
      </c>
      <c r="F298" s="44">
        <v>3.17222995470351E-2</v>
      </c>
      <c r="G298" s="42">
        <v>237.16022682785899</v>
      </c>
      <c r="H298" s="39">
        <v>0.21782909750840401</v>
      </c>
      <c r="I298" s="39">
        <v>0.23311105181738401</v>
      </c>
      <c r="J298" s="39">
        <v>0.233778093596272</v>
      </c>
      <c r="K298" s="39">
        <v>0.37768035907495101</v>
      </c>
      <c r="L298" s="39">
        <v>0.17295476652584199</v>
      </c>
      <c r="M298" s="39">
        <v>0.16918938603418501</v>
      </c>
      <c r="N298" s="48">
        <v>0.2733430869416702</v>
      </c>
      <c r="O298" s="39">
        <v>0.19151939806835699</v>
      </c>
      <c r="P298" s="39">
        <v>0.26832489076728899</v>
      </c>
      <c r="Q298" s="39">
        <v>0.24430562575555101</v>
      </c>
      <c r="R298" s="39">
        <v>0.269300452189637</v>
      </c>
      <c r="S298" s="39">
        <v>0.32700916096556998</v>
      </c>
      <c r="T298" s="39">
        <v>0.29230565784830398</v>
      </c>
      <c r="U298" s="43">
        <v>0.27</v>
      </c>
      <c r="V298" s="43">
        <v>0.24430562575555101</v>
      </c>
      <c r="W298" s="43">
        <f t="shared" si="8"/>
        <v>2.5694374244449009E-2</v>
      </c>
      <c r="X298" s="45">
        <v>0.26273264137403601</v>
      </c>
      <c r="Y298" s="45">
        <f t="shared" si="9"/>
        <v>7.2673586259640044E-3</v>
      </c>
    </row>
    <row r="299" spans="1:25" ht="15" x14ac:dyDescent="0.2">
      <c r="A299" s="40" t="s">
        <v>92</v>
      </c>
      <c r="B299" s="41">
        <v>22.2</v>
      </c>
      <c r="C299" s="42">
        <v>276</v>
      </c>
      <c r="D299" s="43">
        <v>2.8648423476200802</v>
      </c>
      <c r="E299" s="41">
        <v>38</v>
      </c>
      <c r="F299" s="44">
        <v>3.17222995470351E-2</v>
      </c>
      <c r="G299" s="42">
        <v>210.25350299134499</v>
      </c>
      <c r="H299" s="39">
        <v>0.19942076017549801</v>
      </c>
      <c r="I299" s="39">
        <v>0.212537474155374</v>
      </c>
      <c r="J299" s="39">
        <v>0.23133426524309</v>
      </c>
      <c r="K299" s="39">
        <v>0.30783061030854902</v>
      </c>
      <c r="L299" s="39">
        <v>0.161642534697404</v>
      </c>
      <c r="M299" s="39">
        <v>0.179445475068434</v>
      </c>
      <c r="N299" s="48">
        <v>0.2541697306494245</v>
      </c>
      <c r="O299" s="39">
        <v>0.17938396812107499</v>
      </c>
      <c r="P299" s="39">
        <v>0.25162560849822802</v>
      </c>
      <c r="Q299" s="39">
        <v>0.23274471188871701</v>
      </c>
      <c r="R299" s="39">
        <v>0.241202314544294</v>
      </c>
      <c r="S299" s="39">
        <v>0.27646892734004003</v>
      </c>
      <c r="T299" s="39">
        <v>0.24587083584714001</v>
      </c>
      <c r="U299" s="43">
        <v>0.17</v>
      </c>
      <c r="V299" s="43">
        <v>0.21486544798031201</v>
      </c>
      <c r="W299" s="43">
        <f t="shared" si="8"/>
        <v>-4.4865447980312001E-2</v>
      </c>
      <c r="X299" s="45">
        <v>0.232509472706563</v>
      </c>
      <c r="Y299" s="45">
        <f t="shared" si="9"/>
        <v>-6.2509472706562985E-2</v>
      </c>
    </row>
    <row r="300" spans="1:25" ht="15" x14ac:dyDescent="0.2">
      <c r="B300" s="41">
        <v>22.2</v>
      </c>
      <c r="C300" s="42">
        <v>276</v>
      </c>
      <c r="D300" s="43">
        <v>2.8648423476200802</v>
      </c>
      <c r="E300" s="41">
        <v>38</v>
      </c>
      <c r="F300" s="44">
        <v>3.17222995470351E-2</v>
      </c>
      <c r="G300" s="42">
        <v>230.12722674031301</v>
      </c>
      <c r="H300" s="39">
        <v>0.214151516501106</v>
      </c>
      <c r="I300" s="39">
        <v>0.228237132200443</v>
      </c>
      <c r="J300" s="39">
        <v>0.233778093596272</v>
      </c>
      <c r="K300" s="39">
        <v>0.31436884418724598</v>
      </c>
      <c r="L300" s="39">
        <v>0.17295476652584199</v>
      </c>
      <c r="M300" s="39">
        <v>0.190619927798649</v>
      </c>
      <c r="N300" s="48">
        <v>0.27288000415778502</v>
      </c>
      <c r="O300" s="39">
        <v>0.19151939806835699</v>
      </c>
      <c r="P300" s="39">
        <v>0.26729487219408099</v>
      </c>
      <c r="Q300" s="39">
        <v>0.23274471188871701</v>
      </c>
      <c r="R300" s="39">
        <v>0.26195684019109999</v>
      </c>
      <c r="S300" s="39">
        <v>0.30151488657238301</v>
      </c>
      <c r="T300" s="39">
        <v>0.26980996439717803</v>
      </c>
      <c r="U300" s="43">
        <v>0.2</v>
      </c>
      <c r="V300" s="43">
        <v>0.23274471188871701</v>
      </c>
      <c r="W300" s="43">
        <f t="shared" si="8"/>
        <v>-3.2744711888716999E-2</v>
      </c>
      <c r="X300" s="45">
        <v>0.254486890270819</v>
      </c>
      <c r="Y300" s="45">
        <f t="shared" si="9"/>
        <v>-5.4486890270818988E-2</v>
      </c>
    </row>
    <row r="301" spans="1:25" ht="15" x14ac:dyDescent="0.2">
      <c r="A301" s="40" t="s">
        <v>93</v>
      </c>
      <c r="B301" s="41">
        <v>22.2</v>
      </c>
      <c r="C301" s="42">
        <v>276</v>
      </c>
      <c r="D301" s="43">
        <v>2.8336917902498899</v>
      </c>
      <c r="E301" s="41">
        <v>38</v>
      </c>
      <c r="F301" s="44">
        <v>3.17222995470351E-2</v>
      </c>
      <c r="G301" s="42">
        <v>130.47854270038201</v>
      </c>
      <c r="H301" s="39">
        <v>0.140110950744427</v>
      </c>
      <c r="I301" s="39">
        <v>0.14936247187861201</v>
      </c>
      <c r="J301" s="39">
        <v>0.172994275409456</v>
      </c>
      <c r="K301" s="39">
        <v>0.17403774707736</v>
      </c>
      <c r="L301" s="39">
        <v>0.115869668748682</v>
      </c>
      <c r="M301" s="39">
        <v>0.133279593911907</v>
      </c>
      <c r="N301" s="48">
        <v>0.17847881045997802</v>
      </c>
      <c r="O301" s="39">
        <v>0.13028018235789901</v>
      </c>
      <c r="P301" s="39">
        <v>0.18826474681216901</v>
      </c>
      <c r="Q301" s="39">
        <v>0.18180950235090099</v>
      </c>
      <c r="R301" s="39">
        <v>0.15575777367131199</v>
      </c>
      <c r="S301" s="39">
        <v>0.179498324343557</v>
      </c>
      <c r="T301" s="39">
        <v>0.155005636053725</v>
      </c>
      <c r="U301" s="43">
        <v>0.15</v>
      </c>
      <c r="V301" s="43">
        <v>0.14325409277470799</v>
      </c>
      <c r="W301" s="43">
        <f t="shared" si="8"/>
        <v>6.7459072252920027E-3</v>
      </c>
      <c r="X301" s="45">
        <v>0.14430524158949401</v>
      </c>
      <c r="Y301" s="45">
        <f t="shared" si="9"/>
        <v>5.6947584105059845E-3</v>
      </c>
    </row>
    <row r="302" spans="1:25" ht="15" x14ac:dyDescent="0.2">
      <c r="B302" s="41">
        <v>22.2</v>
      </c>
      <c r="C302" s="42">
        <v>276</v>
      </c>
      <c r="D302" s="43">
        <v>2.8336917902498899</v>
      </c>
      <c r="E302" s="41">
        <v>38</v>
      </c>
      <c r="F302" s="44">
        <v>3.17222995470351E-2</v>
      </c>
      <c r="G302" s="42">
        <v>169.35562689037701</v>
      </c>
      <c r="H302" s="39">
        <v>0.168964618688975</v>
      </c>
      <c r="I302" s="39">
        <v>0.18012134649950801</v>
      </c>
      <c r="J302" s="39">
        <v>0.201218946416931</v>
      </c>
      <c r="K302" s="39">
        <v>0.235460320072474</v>
      </c>
      <c r="L302" s="39">
        <v>0.138039844019435</v>
      </c>
      <c r="M302" s="39">
        <v>0.15502466426911901</v>
      </c>
      <c r="N302" s="48">
        <v>0.21515141477058025</v>
      </c>
      <c r="O302" s="39">
        <v>0.15406369501901701</v>
      </c>
      <c r="P302" s="39">
        <v>0.21898085304459999</v>
      </c>
      <c r="Q302" s="39">
        <v>0.214591920537922</v>
      </c>
      <c r="R302" s="39">
        <v>0.19782958279841201</v>
      </c>
      <c r="S302" s="39">
        <v>0.226514264737841</v>
      </c>
      <c r="T302" s="39">
        <v>0.198646474361374</v>
      </c>
      <c r="U302" s="43">
        <v>0.18</v>
      </c>
      <c r="V302" s="43">
        <v>0.178298285681843</v>
      </c>
      <c r="W302" s="43">
        <f t="shared" si="8"/>
        <v>1.7017143181569938E-3</v>
      </c>
      <c r="X302" s="45">
        <v>0.18730209693616101</v>
      </c>
      <c r="Y302" s="45">
        <f t="shared" si="9"/>
        <v>-7.3020969361610177E-3</v>
      </c>
    </row>
    <row r="303" spans="1:25" ht="15" x14ac:dyDescent="0.2">
      <c r="B303" s="41">
        <v>22.2</v>
      </c>
      <c r="C303" s="42">
        <v>276</v>
      </c>
      <c r="D303" s="43">
        <v>2.8336917902498899</v>
      </c>
      <c r="E303" s="41">
        <v>38</v>
      </c>
      <c r="F303" s="44">
        <v>3.17222995470351E-2</v>
      </c>
      <c r="G303" s="42">
        <v>210.83691767683001</v>
      </c>
      <c r="H303" s="39">
        <v>0.199751068218324</v>
      </c>
      <c r="I303" s="39">
        <v>0.21294062420505599</v>
      </c>
      <c r="J303" s="39">
        <v>0.23133426524309</v>
      </c>
      <c r="K303" s="39">
        <v>0.311214568690936</v>
      </c>
      <c r="L303" s="39">
        <v>0.16169510280114699</v>
      </c>
      <c r="M303" s="39">
        <v>0.178226342210068</v>
      </c>
      <c r="N303" s="48">
        <v>0.25428055716897391</v>
      </c>
      <c r="O303" s="39">
        <v>0.17944036163829699</v>
      </c>
      <c r="P303" s="39">
        <v>0.251754497493556</v>
      </c>
      <c r="Q303" s="39">
        <v>0.23348798376539201</v>
      </c>
      <c r="R303" s="39">
        <v>0.241799603758316</v>
      </c>
      <c r="S303" s="39">
        <v>0.27802568617985002</v>
      </c>
      <c r="T303" s="39">
        <v>0.24727690343332701</v>
      </c>
      <c r="U303" s="43">
        <v>0.22</v>
      </c>
      <c r="V303" s="43">
        <v>0.215689936487064</v>
      </c>
      <c r="W303" s="43">
        <f t="shared" si="8"/>
        <v>4.3100635129360021E-3</v>
      </c>
      <c r="X303" s="45">
        <v>0.233179124411313</v>
      </c>
      <c r="Y303" s="45">
        <f t="shared" si="9"/>
        <v>-1.3179124411312998E-2</v>
      </c>
    </row>
    <row r="304" spans="1:25" ht="15" x14ac:dyDescent="0.2">
      <c r="B304" s="41">
        <v>22.2</v>
      </c>
      <c r="C304" s="42">
        <v>276</v>
      </c>
      <c r="D304" s="43">
        <v>2.8336917902498899</v>
      </c>
      <c r="E304" s="41">
        <v>38</v>
      </c>
      <c r="F304" s="44">
        <v>3.17222995470351E-2</v>
      </c>
      <c r="G304" s="42">
        <v>230.58159218797201</v>
      </c>
      <c r="H304" s="39">
        <v>0.21440510655189601</v>
      </c>
      <c r="I304" s="39">
        <v>0.22856226817276201</v>
      </c>
      <c r="J304" s="39">
        <v>0.233778093596272</v>
      </c>
      <c r="K304" s="39">
        <v>0.31782467687517302</v>
      </c>
      <c r="L304" s="39">
        <v>0.17295476652584199</v>
      </c>
      <c r="M304" s="39">
        <v>0.18927010604602801</v>
      </c>
      <c r="N304" s="48">
        <v>0.27290563285752345</v>
      </c>
      <c r="O304" s="39">
        <v>0.19151939806835699</v>
      </c>
      <c r="P304" s="39">
        <v>0.26735442049305702</v>
      </c>
      <c r="Q304" s="39">
        <v>0.23348798376539201</v>
      </c>
      <c r="R304" s="39">
        <v>0.26242979988356802</v>
      </c>
      <c r="S304" s="39">
        <v>0.30303277646459997</v>
      </c>
      <c r="T304" s="39">
        <v>0.27117385728312898</v>
      </c>
      <c r="U304" s="43">
        <v>0.25</v>
      </c>
      <c r="V304" s="43">
        <v>0.23348798376539201</v>
      </c>
      <c r="W304" s="43">
        <f t="shared" si="8"/>
        <v>1.651201623460799E-2</v>
      </c>
      <c r="X304" s="45">
        <v>0.25501612508949401</v>
      </c>
      <c r="Y304" s="45">
        <f t="shared" si="9"/>
        <v>-5.0161250894940057E-3</v>
      </c>
    </row>
    <row r="305" spans="1:25" ht="15" x14ac:dyDescent="0.2">
      <c r="A305" s="40" t="s">
        <v>94</v>
      </c>
      <c r="B305" s="41">
        <v>22.2</v>
      </c>
      <c r="C305" s="42">
        <v>276</v>
      </c>
      <c r="D305" s="43">
        <v>2.7563734268389202</v>
      </c>
      <c r="E305" s="41">
        <v>38</v>
      </c>
      <c r="F305" s="44">
        <v>3.17222995470351E-2</v>
      </c>
      <c r="G305" s="42">
        <v>132.243766638631</v>
      </c>
      <c r="H305" s="39">
        <v>0.14096818536099001</v>
      </c>
      <c r="I305" s="39">
        <v>0.15036800039665199</v>
      </c>
      <c r="J305" s="39">
        <v>0.172994275409456</v>
      </c>
      <c r="K305" s="39">
        <v>0.17891963776921199</v>
      </c>
      <c r="L305" s="39">
        <v>0.115969490704598</v>
      </c>
      <c r="M305" s="39">
        <v>0.13100054919281101</v>
      </c>
      <c r="N305" s="48">
        <v>0.17868708449865608</v>
      </c>
      <c r="O305" s="39">
        <v>0.13038726841939199</v>
      </c>
      <c r="P305" s="39">
        <v>0.188509944732314</v>
      </c>
      <c r="Q305" s="39">
        <v>0.18253185202682501</v>
      </c>
      <c r="R305" s="39">
        <v>0.15752243337106001</v>
      </c>
      <c r="S305" s="39">
        <v>0.182656648809463</v>
      </c>
      <c r="T305" s="39">
        <v>0.15785103343844201</v>
      </c>
      <c r="U305" s="43">
        <v>0.2</v>
      </c>
      <c r="V305" s="43">
        <v>0.14523639043966599</v>
      </c>
      <c r="W305" s="43">
        <f t="shared" si="8"/>
        <v>5.476360956033402E-2</v>
      </c>
      <c r="X305" s="45">
        <v>0.14629649491431801</v>
      </c>
      <c r="Y305" s="45">
        <f t="shared" si="9"/>
        <v>5.3703505085682002E-2</v>
      </c>
    </row>
    <row r="306" spans="1:25" ht="15" x14ac:dyDescent="0.2">
      <c r="B306" s="41">
        <v>22.2</v>
      </c>
      <c r="C306" s="42">
        <v>276</v>
      </c>
      <c r="D306" s="43">
        <v>2.7563734268389202</v>
      </c>
      <c r="E306" s="41">
        <v>38</v>
      </c>
      <c r="F306" s="44">
        <v>3.17222995470351E-2</v>
      </c>
      <c r="G306" s="42">
        <v>170.96977634729501</v>
      </c>
      <c r="H306" s="39">
        <v>0.16980174289977501</v>
      </c>
      <c r="I306" s="39">
        <v>0.18112419109546901</v>
      </c>
      <c r="J306" s="39">
        <v>0.201218946416931</v>
      </c>
      <c r="K306" s="39">
        <v>0.24206516048305099</v>
      </c>
      <c r="L306" s="39">
        <v>0.13815595230539399</v>
      </c>
      <c r="M306" s="39">
        <v>0.15237378477540001</v>
      </c>
      <c r="N306" s="48">
        <v>0.21539549408664255</v>
      </c>
      <c r="O306" s="39">
        <v>0.15418825257688301</v>
      </c>
      <c r="P306" s="39">
        <v>0.219266055933761</v>
      </c>
      <c r="Q306" s="39">
        <v>0.21542327049224599</v>
      </c>
      <c r="R306" s="39">
        <v>0.19944957765500901</v>
      </c>
      <c r="S306" s="39">
        <v>0.23002594128812301</v>
      </c>
      <c r="T306" s="39">
        <v>0.20180892759892299</v>
      </c>
      <c r="U306" s="43">
        <v>0.25</v>
      </c>
      <c r="V306" s="43">
        <v>0.18031567133788301</v>
      </c>
      <c r="W306" s="43">
        <f t="shared" si="8"/>
        <v>6.968432866211699E-2</v>
      </c>
      <c r="X306" s="45">
        <v>0.18913767848311999</v>
      </c>
      <c r="Y306" s="45">
        <f t="shared" si="9"/>
        <v>6.0862321516880008E-2</v>
      </c>
    </row>
    <row r="307" spans="1:25" ht="15" x14ac:dyDescent="0.2">
      <c r="B307" s="41">
        <v>22.2</v>
      </c>
      <c r="C307" s="42">
        <v>276</v>
      </c>
      <c r="D307" s="43">
        <v>2.7563734268389202</v>
      </c>
      <c r="E307" s="41">
        <v>38</v>
      </c>
      <c r="F307" s="44">
        <v>3.17222995470351E-2</v>
      </c>
      <c r="G307" s="42">
        <v>212.289872830702</v>
      </c>
      <c r="H307" s="39">
        <v>0.20056673491484101</v>
      </c>
      <c r="I307" s="39">
        <v>0.21394060509468499</v>
      </c>
      <c r="J307" s="39">
        <v>0.23133426524309</v>
      </c>
      <c r="K307" s="39">
        <v>0.31994437318205998</v>
      </c>
      <c r="L307" s="39">
        <v>0.16182858836748801</v>
      </c>
      <c r="M307" s="39">
        <v>0.17517872034916801</v>
      </c>
      <c r="N307" s="48">
        <v>0.25456284020205394</v>
      </c>
      <c r="O307" s="39">
        <v>0.17958356103200401</v>
      </c>
      <c r="P307" s="39">
        <v>0.25208238511042402</v>
      </c>
      <c r="Q307" s="39">
        <v>0.23533649443840499</v>
      </c>
      <c r="R307" s="39">
        <v>0.243288159089255</v>
      </c>
      <c r="S307" s="39">
        <v>0.28196350271321202</v>
      </c>
      <c r="T307" s="39">
        <v>0.25082131602525698</v>
      </c>
      <c r="U307" s="43">
        <v>0.3</v>
      </c>
      <c r="V307" s="43">
        <v>0.217744760525933</v>
      </c>
      <c r="W307" s="43">
        <f t="shared" si="8"/>
        <v>8.2255239474066988E-2</v>
      </c>
      <c r="X307" s="45">
        <v>0.23484860640581301</v>
      </c>
      <c r="Y307" s="45">
        <f t="shared" si="9"/>
        <v>6.5151393594186979E-2</v>
      </c>
    </row>
    <row r="308" spans="1:25" ht="15" x14ac:dyDescent="0.2">
      <c r="B308" s="41">
        <v>22.2</v>
      </c>
      <c r="C308" s="42">
        <v>276</v>
      </c>
      <c r="D308" s="43">
        <v>2.7563734268389202</v>
      </c>
      <c r="E308" s="41">
        <v>38</v>
      </c>
      <c r="F308" s="44">
        <v>3.17222995470351E-2</v>
      </c>
      <c r="G308" s="42">
        <v>231.71038661669701</v>
      </c>
      <c r="H308" s="39">
        <v>0.21502633211821501</v>
      </c>
      <c r="I308" s="39">
        <v>0.22936437402839599</v>
      </c>
      <c r="J308" s="39">
        <v>0.233778093596272</v>
      </c>
      <c r="K308" s="39">
        <v>0.326739899910025</v>
      </c>
      <c r="L308" s="39">
        <v>0.17295476652584199</v>
      </c>
      <c r="M308" s="39">
        <v>0.18589707784083001</v>
      </c>
      <c r="N308" s="48">
        <v>0.27297155774947446</v>
      </c>
      <c r="O308" s="39">
        <v>0.19151939806835699</v>
      </c>
      <c r="P308" s="39">
        <v>0.267506114177395</v>
      </c>
      <c r="Q308" s="39">
        <v>0.23533649443840499</v>
      </c>
      <c r="R308" s="39">
        <v>0.26360551076661798</v>
      </c>
      <c r="S308" s="39">
        <v>0.30687183846371302</v>
      </c>
      <c r="T308" s="39">
        <v>0.27460972536747202</v>
      </c>
      <c r="U308" s="43">
        <v>0.35</v>
      </c>
      <c r="V308" s="43">
        <v>0.23533649443840499</v>
      </c>
      <c r="W308" s="43">
        <f t="shared" si="8"/>
        <v>0.11466350556159499</v>
      </c>
      <c r="X308" s="45">
        <v>0.25633281824083998</v>
      </c>
      <c r="Y308" s="45">
        <f t="shared" si="9"/>
        <v>9.3667181759160001E-2</v>
      </c>
    </row>
    <row r="309" spans="1:25" ht="15" x14ac:dyDescent="0.2">
      <c r="A309" s="40" t="s">
        <v>95</v>
      </c>
      <c r="B309" s="41">
        <v>28.7</v>
      </c>
      <c r="C309" s="42">
        <v>276</v>
      </c>
      <c r="D309" s="43">
        <v>2.7748174021560699</v>
      </c>
      <c r="E309" s="41">
        <v>22.2</v>
      </c>
      <c r="F309" s="44">
        <v>6.6077805848039503E-2</v>
      </c>
      <c r="G309" s="42">
        <v>203.54339028531399</v>
      </c>
      <c r="H309" s="39">
        <v>0.122169470768246</v>
      </c>
      <c r="I309" s="39">
        <v>0.124975658703082</v>
      </c>
      <c r="J309" s="39">
        <v>0.20638869069728799</v>
      </c>
      <c r="K309" s="39">
        <v>0.33708607017123599</v>
      </c>
      <c r="L309" s="39">
        <v>8.7030674959262602E-2</v>
      </c>
      <c r="M309" s="39">
        <v>0.110695249958927</v>
      </c>
      <c r="N309" s="48">
        <v>0.22068313064470585</v>
      </c>
      <c r="O309" s="39">
        <v>0.14424167270541999</v>
      </c>
      <c r="P309" s="39">
        <v>0.17989763994722499</v>
      </c>
      <c r="Q309" s="39">
        <v>0.145153761160389</v>
      </c>
      <c r="R309" s="39">
        <v>0.14215650440597999</v>
      </c>
      <c r="S309" s="39">
        <v>0.27685679156195903</v>
      </c>
      <c r="T309" s="39">
        <v>0.17664311151613901</v>
      </c>
      <c r="U309" s="43">
        <v>0.17</v>
      </c>
      <c r="V309" s="43">
        <v>0.134837869496894</v>
      </c>
      <c r="W309" s="43">
        <f t="shared" si="8"/>
        <v>3.5162130503106015E-2</v>
      </c>
      <c r="X309" s="45">
        <v>0.138648828196445</v>
      </c>
      <c r="Y309" s="45">
        <f t="shared" si="9"/>
        <v>3.1351171803555011E-2</v>
      </c>
    </row>
    <row r="310" spans="1:25" ht="15" x14ac:dyDescent="0.2">
      <c r="B310" s="41">
        <v>28.7</v>
      </c>
      <c r="C310" s="42">
        <v>276</v>
      </c>
      <c r="D310" s="43">
        <v>2.7748174021560699</v>
      </c>
      <c r="E310" s="41">
        <v>22.2</v>
      </c>
      <c r="F310" s="44">
        <v>6.6077805848039503E-2</v>
      </c>
      <c r="G310" s="42">
        <v>249.44312023789999</v>
      </c>
      <c r="H310" s="39">
        <v>0.146108260128539</v>
      </c>
      <c r="I310" s="39">
        <v>0.14946431327483101</v>
      </c>
      <c r="J310" s="39">
        <v>0.230267614787388</v>
      </c>
      <c r="K310" s="39">
        <v>0.41959928439326599</v>
      </c>
      <c r="L310" s="39">
        <v>0.103508727574287</v>
      </c>
      <c r="M310" s="39">
        <v>0.129954007842466</v>
      </c>
      <c r="N310" s="48">
        <v>0.26698923600833224</v>
      </c>
      <c r="O310" s="39">
        <v>0.171653172456639</v>
      </c>
      <c r="P310" s="39">
        <v>0.211196228575456</v>
      </c>
      <c r="Q310" s="39">
        <v>0.16323212460060199</v>
      </c>
      <c r="R310" s="39">
        <v>0.172505410000412</v>
      </c>
      <c r="S310" s="39">
        <v>0.351967434815879</v>
      </c>
      <c r="T310" s="39">
        <v>0.22499141904506101</v>
      </c>
      <c r="U310" s="43">
        <v>0.2</v>
      </c>
      <c r="V310" s="43">
        <v>0.162583158045426</v>
      </c>
      <c r="W310" s="43">
        <f t="shared" si="8"/>
        <v>3.7416841954574009E-2</v>
      </c>
      <c r="X310" s="45">
        <v>0.169914612673841</v>
      </c>
      <c r="Y310" s="45">
        <f t="shared" si="9"/>
        <v>3.0085387326159008E-2</v>
      </c>
    </row>
    <row r="311" spans="1:25" ht="15" x14ac:dyDescent="0.2">
      <c r="A311" s="40" t="s">
        <v>96</v>
      </c>
      <c r="B311" s="41">
        <v>28.7</v>
      </c>
      <c r="C311" s="42">
        <v>276</v>
      </c>
      <c r="D311" s="43">
        <v>2.8017146470593901</v>
      </c>
      <c r="E311" s="41">
        <v>38.200000000000003</v>
      </c>
      <c r="F311" s="44">
        <v>4.6065670362633197E-2</v>
      </c>
      <c r="G311" s="42">
        <v>131.979351866831</v>
      </c>
      <c r="H311" s="39">
        <v>0.11532192168156601</v>
      </c>
      <c r="I311" s="39">
        <v>0.13405833916930099</v>
      </c>
      <c r="J311" s="39">
        <v>0.16565003896528299</v>
      </c>
      <c r="K311" s="39">
        <v>0.19653619230075201</v>
      </c>
      <c r="L311" s="39">
        <v>9.3567981486954596E-2</v>
      </c>
      <c r="M311" s="39">
        <v>0.120494910383521</v>
      </c>
      <c r="N311" s="48">
        <v>0.18555463279263743</v>
      </c>
      <c r="O311" s="39">
        <v>0.123255665971158</v>
      </c>
      <c r="P311" s="39">
        <v>0.18980320560508901</v>
      </c>
      <c r="Q311" s="39">
        <v>0.16105132485396201</v>
      </c>
      <c r="R311" s="39">
        <v>0.142008452953511</v>
      </c>
      <c r="S311" s="39">
        <v>0.19184353171455601</v>
      </c>
      <c r="T311" s="39">
        <v>0.15346522258282599</v>
      </c>
      <c r="U311" s="43">
        <v>0.17</v>
      </c>
      <c r="V311" s="43">
        <v>0.13588745970060401</v>
      </c>
      <c r="W311" s="43">
        <f t="shared" si="8"/>
        <v>3.4112540299396005E-2</v>
      </c>
      <c r="X311" s="45">
        <v>0.13588745970060401</v>
      </c>
      <c r="Y311" s="45">
        <f t="shared" si="9"/>
        <v>3.4112540299396005E-2</v>
      </c>
    </row>
    <row r="312" spans="1:25" ht="15" x14ac:dyDescent="0.2">
      <c r="B312" s="41">
        <v>28.7</v>
      </c>
      <c r="C312" s="42">
        <v>276</v>
      </c>
      <c r="D312" s="43">
        <v>2.8017146470593901</v>
      </c>
      <c r="E312" s="41">
        <v>38.200000000000003</v>
      </c>
      <c r="F312" s="44">
        <v>4.6065670362633197E-2</v>
      </c>
      <c r="G312" s="42">
        <v>169.01358091924101</v>
      </c>
      <c r="H312" s="39">
        <v>0.140424010918515</v>
      </c>
      <c r="I312" s="39">
        <v>0.163238778965275</v>
      </c>
      <c r="J312" s="39">
        <v>0.196332447238008</v>
      </c>
      <c r="K312" s="39">
        <v>0.276085509468807</v>
      </c>
      <c r="L312" s="39">
        <v>0.112861248150379</v>
      </c>
      <c r="M312" s="39">
        <v>0.14281349272896501</v>
      </c>
      <c r="N312" s="48">
        <v>0.22977913995305638</v>
      </c>
      <c r="O312" s="39">
        <v>0.14891351993040899</v>
      </c>
      <c r="P312" s="39">
        <v>0.224959366643287</v>
      </c>
      <c r="Q312" s="39">
        <v>0.193629138056578</v>
      </c>
      <c r="R312" s="39">
        <v>0.18156980749840501</v>
      </c>
      <c r="S312" s="39">
        <v>0.24595396894281801</v>
      </c>
      <c r="T312" s="39">
        <v>0.199153145595442</v>
      </c>
      <c r="U312" s="43">
        <v>0.2</v>
      </c>
      <c r="V312" s="43">
        <v>0.170118894178651</v>
      </c>
      <c r="W312" s="43">
        <f t="shared" si="8"/>
        <v>2.9881105821349008E-2</v>
      </c>
      <c r="X312" s="45">
        <v>0.17401832817903201</v>
      </c>
      <c r="Y312" s="45">
        <f t="shared" si="9"/>
        <v>2.5981671820968E-2</v>
      </c>
    </row>
    <row r="313" spans="1:25" ht="15" x14ac:dyDescent="0.2">
      <c r="B313" s="41">
        <v>28.7</v>
      </c>
      <c r="C313" s="42">
        <v>276</v>
      </c>
      <c r="D313" s="43">
        <v>2.8017146470593901</v>
      </c>
      <c r="E313" s="41">
        <v>38.200000000000003</v>
      </c>
      <c r="F313" s="44">
        <v>4.6065670362633197E-2</v>
      </c>
      <c r="G313" s="42">
        <v>206.91879624538299</v>
      </c>
      <c r="H313" s="39">
        <v>0.16495397276544799</v>
      </c>
      <c r="I313" s="39">
        <v>0.191754137512338</v>
      </c>
      <c r="J313" s="39">
        <v>0.226315541362067</v>
      </c>
      <c r="K313" s="39">
        <v>0.366849735279691</v>
      </c>
      <c r="L313" s="39">
        <v>0.13171478224027899</v>
      </c>
      <c r="M313" s="39">
        <v>0.16462338943690499</v>
      </c>
      <c r="N313" s="48">
        <v>0.27299568113830908</v>
      </c>
      <c r="O313" s="39">
        <v>0.17398657949742499</v>
      </c>
      <c r="P313" s="39">
        <v>0.25931424765782302</v>
      </c>
      <c r="Q313" s="39">
        <v>0.22578113027322799</v>
      </c>
      <c r="R313" s="39">
        <v>0.21958766611318201</v>
      </c>
      <c r="S313" s="39">
        <v>0.30107951427423402</v>
      </c>
      <c r="T313" s="39">
        <v>0.24627594738575601</v>
      </c>
      <c r="U313" s="43">
        <v>0.25</v>
      </c>
      <c r="V313" s="43">
        <v>0.20357012502187</v>
      </c>
      <c r="W313" s="43">
        <f t="shared" si="8"/>
        <v>4.6429874978130004E-2</v>
      </c>
      <c r="X313" s="45">
        <v>0.213045974149526</v>
      </c>
      <c r="Y313" s="45">
        <f t="shared" si="9"/>
        <v>3.6954025850473998E-2</v>
      </c>
    </row>
    <row r="314" spans="1:25" ht="15" x14ac:dyDescent="0.2">
      <c r="B314" s="41">
        <v>28.7</v>
      </c>
      <c r="C314" s="42">
        <v>276</v>
      </c>
      <c r="D314" s="43">
        <v>2.8017146470593901</v>
      </c>
      <c r="E314" s="41">
        <v>38.200000000000003</v>
      </c>
      <c r="F314" s="44">
        <v>4.6065670362633197E-2</v>
      </c>
      <c r="G314" s="42">
        <v>242.58289538577</v>
      </c>
      <c r="H314" s="39">
        <v>0.18803361981907099</v>
      </c>
      <c r="I314" s="39">
        <v>0.21858354780577399</v>
      </c>
      <c r="J314" s="39">
        <v>0.24087564876911199</v>
      </c>
      <c r="K314" s="39">
        <v>0.41557101380352901</v>
      </c>
      <c r="L314" s="39">
        <v>0.149453615884764</v>
      </c>
      <c r="M314" s="39">
        <v>0.18514379307374099</v>
      </c>
      <c r="N314" s="48">
        <v>0.31365707815383997</v>
      </c>
      <c r="O314" s="39">
        <v>0.197577214043543</v>
      </c>
      <c r="P314" s="39">
        <v>0.29163792322374399</v>
      </c>
      <c r="Q314" s="39">
        <v>0.23504357802551901</v>
      </c>
      <c r="R314" s="39">
        <v>0.25484835043311999</v>
      </c>
      <c r="S314" s="39">
        <v>0.35497506248326299</v>
      </c>
      <c r="T314" s="39">
        <v>0.29284750986810099</v>
      </c>
      <c r="U314" s="43">
        <v>0.28999999999999998</v>
      </c>
      <c r="V314" s="43">
        <v>0.23504357802551901</v>
      </c>
      <c r="W314" s="43">
        <f t="shared" si="8"/>
        <v>5.4956421974480973E-2</v>
      </c>
      <c r="X314" s="45">
        <v>0.24976614110100201</v>
      </c>
      <c r="Y314" s="45">
        <f t="shared" si="9"/>
        <v>4.0233858898997971E-2</v>
      </c>
    </row>
    <row r="315" spans="1:25" ht="15" x14ac:dyDescent="0.2">
      <c r="A315" s="40" t="s">
        <v>97</v>
      </c>
      <c r="B315" s="41">
        <v>28.7</v>
      </c>
      <c r="C315" s="42">
        <v>276</v>
      </c>
      <c r="D315" s="43">
        <v>2.7153116457984501</v>
      </c>
      <c r="E315" s="41">
        <v>38.200000000000003</v>
      </c>
      <c r="F315" s="44">
        <v>4.6065670362633197E-2</v>
      </c>
      <c r="G315" s="42">
        <v>170.44511898843001</v>
      </c>
      <c r="H315" s="39">
        <v>0.14087586174075001</v>
      </c>
      <c r="I315" s="39">
        <v>0.16389493709976799</v>
      </c>
      <c r="J315" s="39">
        <v>0.196332447238008</v>
      </c>
      <c r="K315" s="39">
        <v>0.28487073184270001</v>
      </c>
      <c r="L315" s="39">
        <v>0.112980180425429</v>
      </c>
      <c r="M315" s="39">
        <v>0.14006985591184801</v>
      </c>
      <c r="N315" s="48">
        <v>0.23025283675283303</v>
      </c>
      <c r="O315" s="39">
        <v>0.14907168635175699</v>
      </c>
      <c r="P315" s="39">
        <v>0.22539483460015799</v>
      </c>
      <c r="Q315" s="39">
        <v>0.19436741122454099</v>
      </c>
      <c r="R315" s="39">
        <v>0.18293908078479201</v>
      </c>
      <c r="S315" s="39">
        <v>0.25009363270656298</v>
      </c>
      <c r="T315" s="39">
        <v>0.20212256733709599</v>
      </c>
      <c r="U315" s="43">
        <v>0.17</v>
      </c>
      <c r="V315" s="43">
        <v>0.17172528363860701</v>
      </c>
      <c r="W315" s="43">
        <f t="shared" si="8"/>
        <v>-1.7252836386069947E-3</v>
      </c>
      <c r="X315" s="45">
        <v>0.17555386359826999</v>
      </c>
      <c r="Y315" s="45">
        <f t="shared" si="9"/>
        <v>-5.5538635982699813E-3</v>
      </c>
    </row>
    <row r="316" spans="1:25" ht="15" x14ac:dyDescent="0.2">
      <c r="A316" s="40" t="s">
        <v>98</v>
      </c>
      <c r="B316" s="41">
        <v>28.7</v>
      </c>
      <c r="C316" s="42">
        <v>276</v>
      </c>
      <c r="D316" s="43">
        <v>2.8017146470593901</v>
      </c>
      <c r="E316" s="41">
        <v>38.200000000000003</v>
      </c>
      <c r="F316" s="44">
        <v>4.6065670362633197E-2</v>
      </c>
      <c r="G316" s="42">
        <v>131.979351866831</v>
      </c>
      <c r="H316" s="39">
        <v>0.11532192168156601</v>
      </c>
      <c r="I316" s="39">
        <v>0.13405833916930099</v>
      </c>
      <c r="J316" s="39">
        <v>0.16565003896528299</v>
      </c>
      <c r="K316" s="39">
        <v>0.19653619230075201</v>
      </c>
      <c r="L316" s="39">
        <v>9.3567981486954596E-2</v>
      </c>
      <c r="M316" s="39">
        <v>0.120494910383521</v>
      </c>
      <c r="N316" s="48">
        <v>0.18555463279263743</v>
      </c>
      <c r="O316" s="39">
        <v>0.123255665971158</v>
      </c>
      <c r="P316" s="39">
        <v>0.18980320560508901</v>
      </c>
      <c r="Q316" s="39">
        <v>0.16105132485396201</v>
      </c>
      <c r="R316" s="39">
        <v>0.142008452953511</v>
      </c>
      <c r="S316" s="39">
        <v>0.19184353171455601</v>
      </c>
      <c r="T316" s="39">
        <v>0.15346522258282599</v>
      </c>
      <c r="U316" s="43">
        <v>0.15</v>
      </c>
      <c r="V316" s="43">
        <v>0.13588745970060401</v>
      </c>
      <c r="W316" s="43">
        <f t="shared" si="8"/>
        <v>1.4112540299395987E-2</v>
      </c>
      <c r="X316" s="45">
        <v>0.13588745970060401</v>
      </c>
      <c r="Y316" s="45">
        <f t="shared" si="9"/>
        <v>1.4112540299395987E-2</v>
      </c>
    </row>
    <row r="317" spans="1:25" ht="15" x14ac:dyDescent="0.2">
      <c r="B317" s="41">
        <v>28.7</v>
      </c>
      <c r="C317" s="42">
        <v>276</v>
      </c>
      <c r="D317" s="43">
        <v>2.8017146470593901</v>
      </c>
      <c r="E317" s="41">
        <v>38.200000000000003</v>
      </c>
      <c r="F317" s="44">
        <v>4.6065670362633197E-2</v>
      </c>
      <c r="G317" s="42">
        <v>169.01358091924101</v>
      </c>
      <c r="H317" s="39">
        <v>0.140424010918515</v>
      </c>
      <c r="I317" s="39">
        <v>0.163238778965275</v>
      </c>
      <c r="J317" s="39">
        <v>0.196332447238008</v>
      </c>
      <c r="K317" s="39">
        <v>0.276085509468807</v>
      </c>
      <c r="L317" s="39">
        <v>0.112861248150379</v>
      </c>
      <c r="M317" s="39">
        <v>0.14281349272896501</v>
      </c>
      <c r="N317" s="48">
        <v>0.22977913995305638</v>
      </c>
      <c r="O317" s="39">
        <v>0.14891351993040899</v>
      </c>
      <c r="P317" s="39">
        <v>0.224959366643287</v>
      </c>
      <c r="Q317" s="39">
        <v>0.193629138056578</v>
      </c>
      <c r="R317" s="39">
        <v>0.18156980749840501</v>
      </c>
      <c r="S317" s="39">
        <v>0.24595396894281801</v>
      </c>
      <c r="T317" s="39">
        <v>0.199153145595442</v>
      </c>
      <c r="U317" s="43">
        <v>0.16</v>
      </c>
      <c r="V317" s="43">
        <v>0.170118894178651</v>
      </c>
      <c r="W317" s="43">
        <f t="shared" si="8"/>
        <v>-1.0118894178651E-2</v>
      </c>
      <c r="X317" s="45">
        <v>0.17401832817903201</v>
      </c>
      <c r="Y317" s="45">
        <f t="shared" si="9"/>
        <v>-1.4018328179032008E-2</v>
      </c>
    </row>
    <row r="318" spans="1:25" ht="15" x14ac:dyDescent="0.2">
      <c r="B318" s="41">
        <v>28.7</v>
      </c>
      <c r="C318" s="42">
        <v>276</v>
      </c>
      <c r="D318" s="43">
        <v>2.8017146470593901</v>
      </c>
      <c r="E318" s="41">
        <v>38.200000000000003</v>
      </c>
      <c r="F318" s="44">
        <v>4.6065670362633197E-2</v>
      </c>
      <c r="G318" s="42">
        <v>206.91879624538299</v>
      </c>
      <c r="H318" s="39">
        <v>0.16495397276544799</v>
      </c>
      <c r="I318" s="39">
        <v>0.191754137512338</v>
      </c>
      <c r="J318" s="39">
        <v>0.226315541362067</v>
      </c>
      <c r="K318" s="39">
        <v>0.366849735279691</v>
      </c>
      <c r="L318" s="39">
        <v>0.13171478224027899</v>
      </c>
      <c r="M318" s="39">
        <v>0.16462338943690499</v>
      </c>
      <c r="N318" s="48">
        <v>0.27299568113830908</v>
      </c>
      <c r="O318" s="39">
        <v>0.17398657949742499</v>
      </c>
      <c r="P318" s="39">
        <v>0.25931424765782302</v>
      </c>
      <c r="Q318" s="39">
        <v>0.22578113027322799</v>
      </c>
      <c r="R318" s="39">
        <v>0.21958766611318201</v>
      </c>
      <c r="S318" s="39">
        <v>0.30107951427423402</v>
      </c>
      <c r="T318" s="39">
        <v>0.24627594738575601</v>
      </c>
      <c r="U318" s="43">
        <v>0.22</v>
      </c>
      <c r="V318" s="43">
        <v>0.20357012502187</v>
      </c>
      <c r="W318" s="43">
        <f t="shared" si="8"/>
        <v>1.6429874978130005E-2</v>
      </c>
      <c r="X318" s="45">
        <v>0.213045974149526</v>
      </c>
      <c r="Y318" s="45">
        <f t="shared" si="9"/>
        <v>6.9540258504739993E-3</v>
      </c>
    </row>
    <row r="319" spans="1:25" ht="15" x14ac:dyDescent="0.2">
      <c r="B319" s="41">
        <v>28.7</v>
      </c>
      <c r="C319" s="42">
        <v>276</v>
      </c>
      <c r="D319" s="43">
        <v>2.8017146470593901</v>
      </c>
      <c r="E319" s="41">
        <v>38.200000000000003</v>
      </c>
      <c r="F319" s="44">
        <v>4.6065670362633197E-2</v>
      </c>
      <c r="G319" s="42">
        <v>242.58289538577</v>
      </c>
      <c r="H319" s="39">
        <v>0.18803361981907099</v>
      </c>
      <c r="I319" s="39">
        <v>0.21858354780577399</v>
      </c>
      <c r="J319" s="39">
        <v>0.24087564876911199</v>
      </c>
      <c r="K319" s="39">
        <v>0.41557101380352901</v>
      </c>
      <c r="L319" s="39">
        <v>0.149453615884764</v>
      </c>
      <c r="M319" s="39">
        <v>0.18514379307374099</v>
      </c>
      <c r="N319" s="48">
        <v>0.31365707815383997</v>
      </c>
      <c r="O319" s="39">
        <v>0.197577214043543</v>
      </c>
      <c r="P319" s="39">
        <v>0.29163792322374399</v>
      </c>
      <c r="Q319" s="39">
        <v>0.23504357802551901</v>
      </c>
      <c r="R319" s="39">
        <v>0.25484835043311999</v>
      </c>
      <c r="S319" s="39">
        <v>0.35497506248326299</v>
      </c>
      <c r="T319" s="39">
        <v>0.29284750986810099</v>
      </c>
      <c r="U319" s="43">
        <v>0.26</v>
      </c>
      <c r="V319" s="43">
        <v>0.23504357802551901</v>
      </c>
      <c r="W319" s="43">
        <f t="shared" si="8"/>
        <v>2.4956421974481002E-2</v>
      </c>
      <c r="X319" s="45">
        <v>0.24976614110100201</v>
      </c>
      <c r="Y319" s="45">
        <f t="shared" si="9"/>
        <v>1.0233858898997999E-2</v>
      </c>
    </row>
    <row r="320" spans="1:25" ht="15" x14ac:dyDescent="0.2">
      <c r="A320" s="40" t="s">
        <v>99</v>
      </c>
      <c r="B320" s="41">
        <v>28.7</v>
      </c>
      <c r="C320" s="42">
        <v>276</v>
      </c>
      <c r="D320" s="43">
        <v>2.5244480681033798</v>
      </c>
      <c r="E320" s="41">
        <v>38.200000000000003</v>
      </c>
      <c r="F320" s="44">
        <v>4.6065670362633197E-2</v>
      </c>
      <c r="G320" s="42">
        <v>173.64202143250199</v>
      </c>
      <c r="H320" s="39">
        <v>0.141859120010489</v>
      </c>
      <c r="I320" s="39">
        <v>0.16534871114949401</v>
      </c>
      <c r="J320" s="39">
        <v>0.196332447238008</v>
      </c>
      <c r="K320" s="39">
        <v>0.30640868611757599</v>
      </c>
      <c r="L320" s="39">
        <v>0.11325908664956801</v>
      </c>
      <c r="M320" s="39">
        <v>0.13389031809443799</v>
      </c>
      <c r="N320" s="48">
        <v>0.23137952107838697</v>
      </c>
      <c r="O320" s="39">
        <v>0.14944259996074399</v>
      </c>
      <c r="P320" s="39">
        <v>0.22642364307679</v>
      </c>
      <c r="Q320" s="39">
        <v>0.19606887332991799</v>
      </c>
      <c r="R320" s="39">
        <v>0.18600341560866501</v>
      </c>
      <c r="S320" s="39">
        <v>0.259854558654044</v>
      </c>
      <c r="T320" s="39">
        <v>0.20899886940821299</v>
      </c>
      <c r="U320" s="43">
        <v>0.17</v>
      </c>
      <c r="V320" s="43">
        <v>0.175324609891476</v>
      </c>
      <c r="W320" s="43">
        <f t="shared" si="8"/>
        <v>-5.3246098914759843E-3</v>
      </c>
      <c r="X320" s="45">
        <v>0.17899338062495501</v>
      </c>
      <c r="Y320" s="45">
        <f t="shared" si="9"/>
        <v>-8.9933806249549997E-3</v>
      </c>
    </row>
    <row r="321" spans="1:25" ht="15" x14ac:dyDescent="0.2">
      <c r="B321" s="41">
        <v>28.7</v>
      </c>
      <c r="C321" s="42">
        <v>276</v>
      </c>
      <c r="D321" s="43">
        <v>2.5244480681033798</v>
      </c>
      <c r="E321" s="41">
        <v>38.200000000000003</v>
      </c>
      <c r="F321" s="44">
        <v>4.6065670362633197E-2</v>
      </c>
      <c r="G321" s="42">
        <v>211.192425244779</v>
      </c>
      <c r="H321" s="39">
        <v>0.16632972890339801</v>
      </c>
      <c r="I321" s="39">
        <v>0.193871259725763</v>
      </c>
      <c r="J321" s="39">
        <v>0.226315541362067</v>
      </c>
      <c r="K321" s="39">
        <v>0.40714177866814399</v>
      </c>
      <c r="L321" s="39">
        <v>0.13217337701962001</v>
      </c>
      <c r="M321" s="39">
        <v>0.154337503805209</v>
      </c>
      <c r="N321" s="48">
        <v>0.27486471501390636</v>
      </c>
      <c r="O321" s="39">
        <v>0.17459645848163599</v>
      </c>
      <c r="P321" s="39">
        <v>0.26100214244247899</v>
      </c>
      <c r="Q321" s="39">
        <v>0.22852085428135699</v>
      </c>
      <c r="R321" s="39">
        <v>0.22375801244190799</v>
      </c>
      <c r="S321" s="39">
        <v>0.31758142250733801</v>
      </c>
      <c r="T321" s="39">
        <v>0.25772258281940402</v>
      </c>
      <c r="U321" s="43">
        <v>0.2</v>
      </c>
      <c r="V321" s="43">
        <v>0.208922974031405</v>
      </c>
      <c r="W321" s="43">
        <f t="shared" si="8"/>
        <v>-8.9229740314049899E-3</v>
      </c>
      <c r="X321" s="45">
        <v>0.21770102562207599</v>
      </c>
      <c r="Y321" s="45">
        <f t="shared" si="9"/>
        <v>-1.7701025622075983E-2</v>
      </c>
    </row>
    <row r="322" spans="1:25" ht="15" x14ac:dyDescent="0.2">
      <c r="B322" s="41">
        <v>28.7</v>
      </c>
      <c r="C322" s="42">
        <v>276</v>
      </c>
      <c r="D322" s="43">
        <v>2.5244480681033798</v>
      </c>
      <c r="E322" s="41">
        <v>38.200000000000003</v>
      </c>
      <c r="F322" s="44">
        <v>4.6065670362633197E-2</v>
      </c>
      <c r="G322" s="42">
        <v>245.49875842797999</v>
      </c>
      <c r="H322" s="39">
        <v>0.18868626243291201</v>
      </c>
      <c r="I322" s="39">
        <v>0.21992967602358099</v>
      </c>
      <c r="J322" s="39">
        <v>0.24087564876911199</v>
      </c>
      <c r="K322" s="39">
        <v>0.46121423965017999</v>
      </c>
      <c r="L322" s="39">
        <v>0.149453615884764</v>
      </c>
      <c r="M322" s="39">
        <v>0.17301820745780599</v>
      </c>
      <c r="N322" s="48">
        <v>0.31459311738065426</v>
      </c>
      <c r="O322" s="39">
        <v>0.197577214043543</v>
      </c>
      <c r="P322" s="39">
        <v>0.292593321225664</v>
      </c>
      <c r="Q322" s="39">
        <v>0.239618693852614</v>
      </c>
      <c r="R322" s="39">
        <v>0.25780518558381099</v>
      </c>
      <c r="S322" s="39">
        <v>0.37255055872376802</v>
      </c>
      <c r="T322" s="39">
        <v>0.30454913395810002</v>
      </c>
      <c r="U322" s="43">
        <v>0.24</v>
      </c>
      <c r="V322" s="43">
        <v>0.239618693852614</v>
      </c>
      <c r="W322" s="43">
        <f t="shared" si="8"/>
        <v>3.8130614738599022E-4</v>
      </c>
      <c r="X322" s="45">
        <v>0.25306462311218098</v>
      </c>
      <c r="Y322" s="45">
        <f t="shared" si="9"/>
        <v>-1.3064623112180984E-2</v>
      </c>
    </row>
    <row r="323" spans="1:25" ht="15" x14ac:dyDescent="0.2">
      <c r="A323" s="40" t="s">
        <v>100</v>
      </c>
      <c r="B323" s="41">
        <v>32.299999999999997</v>
      </c>
      <c r="C323" s="42">
        <v>276</v>
      </c>
      <c r="D323" s="43">
        <v>2.5382184533279299</v>
      </c>
      <c r="E323" s="41">
        <v>38.299999999999997</v>
      </c>
      <c r="F323" s="44">
        <v>2.82248726262158E-2</v>
      </c>
      <c r="G323" s="42">
        <v>106.35320377433101</v>
      </c>
      <c r="H323" s="39">
        <v>0.14970058886743601</v>
      </c>
      <c r="I323" s="39">
        <v>0.148256700196014</v>
      </c>
      <c r="J323" s="39">
        <v>0.22847111041694401</v>
      </c>
      <c r="K323" s="39">
        <v>0.21773757789137599</v>
      </c>
      <c r="L323" s="39">
        <v>0.15347113053949901</v>
      </c>
      <c r="M323" s="39">
        <v>0.16855423879676801</v>
      </c>
      <c r="N323" s="48">
        <v>0.2273891260861389</v>
      </c>
      <c r="O323" s="39">
        <v>0.118128118714196</v>
      </c>
      <c r="P323" s="39">
        <v>0.23000080519711599</v>
      </c>
      <c r="Q323" s="39">
        <v>0.19161592366703001</v>
      </c>
      <c r="R323" s="39">
        <v>0.15145443871388201</v>
      </c>
      <c r="S323" s="39">
        <v>0.19676267818426599</v>
      </c>
      <c r="T323" s="39">
        <v>0.15275936108371799</v>
      </c>
      <c r="U323" s="43">
        <v>0.17</v>
      </c>
      <c r="V323" s="43">
        <v>0.143016253459017</v>
      </c>
      <c r="W323" s="43">
        <f t="shared" ref="W323:W342" si="10">U323-V323</f>
        <v>2.6983746540983011E-2</v>
      </c>
      <c r="X323" s="45">
        <v>0.143016253459017</v>
      </c>
      <c r="Y323" s="45">
        <f t="shared" ref="Y323:Y342" si="11">U323-X323</f>
        <v>2.6983746540983011E-2</v>
      </c>
    </row>
    <row r="324" spans="1:25" ht="15" x14ac:dyDescent="0.2">
      <c r="B324" s="41">
        <v>32.299999999999997</v>
      </c>
      <c r="C324" s="42">
        <v>276</v>
      </c>
      <c r="D324" s="43">
        <v>2.5382184533279299</v>
      </c>
      <c r="E324" s="41">
        <v>38.299999999999997</v>
      </c>
      <c r="F324" s="44">
        <v>2.82248726262158E-2</v>
      </c>
      <c r="G324" s="42">
        <v>150.363502382333</v>
      </c>
      <c r="H324" s="39">
        <v>0.19313670689694701</v>
      </c>
      <c r="I324" s="39">
        <v>0.19127386918045</v>
      </c>
      <c r="J324" s="39">
        <v>0.28122538398102798</v>
      </c>
      <c r="K324" s="39">
        <v>0.32989811911981998</v>
      </c>
      <c r="L324" s="39">
        <v>0.19550919357185101</v>
      </c>
      <c r="M324" s="39">
        <v>0.20747362955756599</v>
      </c>
      <c r="N324" s="48">
        <v>0.29594956737431882</v>
      </c>
      <c r="O324" s="39">
        <v>0.149037936210803</v>
      </c>
      <c r="P324" s="39">
        <v>0.28310828725550602</v>
      </c>
      <c r="Q324" s="39">
        <v>0.240774974735015</v>
      </c>
      <c r="R324" s="39">
        <v>0.215905723621829</v>
      </c>
      <c r="S324" s="39">
        <v>0.27847515862206301</v>
      </c>
      <c r="T324" s="39">
        <v>0.21933091167457999</v>
      </c>
      <c r="U324" s="43">
        <v>0.23</v>
      </c>
      <c r="V324" s="43">
        <v>0.196050625318856</v>
      </c>
      <c r="W324" s="43">
        <f t="shared" si="10"/>
        <v>3.3949374681144007E-2</v>
      </c>
      <c r="X324" s="45">
        <v>0.20219818495855699</v>
      </c>
      <c r="Y324" s="45">
        <f t="shared" si="11"/>
        <v>2.7801815041443023E-2</v>
      </c>
    </row>
    <row r="325" spans="1:25" ht="15" x14ac:dyDescent="0.2">
      <c r="B325" s="41">
        <v>32.299999999999997</v>
      </c>
      <c r="C325" s="42">
        <v>276</v>
      </c>
      <c r="D325" s="43">
        <v>2.5382184533279299</v>
      </c>
      <c r="E325" s="41">
        <v>38.299999999999997</v>
      </c>
      <c r="F325" s="44">
        <v>2.82248726262158E-2</v>
      </c>
      <c r="G325" s="42">
        <v>193.147127255323</v>
      </c>
      <c r="H325" s="39">
        <v>0.23156717563681301</v>
      </c>
      <c r="I325" s="39">
        <v>0.22933366924846299</v>
      </c>
      <c r="J325" s="39">
        <v>0.327900168770069</v>
      </c>
      <c r="K325" s="39">
        <v>0.44849136211894303</v>
      </c>
      <c r="L325" s="39">
        <v>0.232702721459211</v>
      </c>
      <c r="M325" s="39">
        <v>0.24190788606712099</v>
      </c>
      <c r="N325" s="48">
        <v>0.35660899126497603</v>
      </c>
      <c r="O325" s="39">
        <v>0.176385655780292</v>
      </c>
      <c r="P325" s="39">
        <v>0.33009557621423002</v>
      </c>
      <c r="Q325" s="39">
        <v>0.28420837788544501</v>
      </c>
      <c r="R325" s="39">
        <v>0.27153217515663097</v>
      </c>
      <c r="S325" s="39">
        <v>0.35471690488254598</v>
      </c>
      <c r="T325" s="39">
        <v>0.28176150855433202</v>
      </c>
      <c r="U325" s="43">
        <v>0.27</v>
      </c>
      <c r="V325" s="43">
        <v>0.24297322941789601</v>
      </c>
      <c r="W325" s="43">
        <f t="shared" si="10"/>
        <v>2.7026770582104009E-2</v>
      </c>
      <c r="X325" s="45">
        <v>0.25973057252738202</v>
      </c>
      <c r="Y325" s="45">
        <f t="shared" si="11"/>
        <v>1.0269427472617998E-2</v>
      </c>
    </row>
    <row r="326" spans="1:25" ht="15" x14ac:dyDescent="0.2">
      <c r="B326" s="41">
        <v>32.299999999999997</v>
      </c>
      <c r="C326" s="42">
        <v>276</v>
      </c>
      <c r="D326" s="43">
        <v>2.5382184533279299</v>
      </c>
      <c r="E326" s="41">
        <v>38.299999999999997</v>
      </c>
      <c r="F326" s="44">
        <v>2.82248726262158E-2</v>
      </c>
      <c r="G326" s="42">
        <v>223.70685930745901</v>
      </c>
      <c r="H326" s="39">
        <v>0.25901751045100202</v>
      </c>
      <c r="I326" s="39">
        <v>0.25651924072561599</v>
      </c>
      <c r="J326" s="39">
        <v>0.351799313041326</v>
      </c>
      <c r="K326" s="39">
        <v>0.51625084647407804</v>
      </c>
      <c r="L326" s="39">
        <v>0.25926952709303902</v>
      </c>
      <c r="M326" s="39">
        <v>0.266503783573945</v>
      </c>
      <c r="N326" s="48">
        <v>0.39993715118687406</v>
      </c>
      <c r="O326" s="39">
        <v>0.19591974118707001</v>
      </c>
      <c r="P326" s="39">
        <v>0.363657925470461</v>
      </c>
      <c r="Q326" s="39">
        <v>0.28420837788544501</v>
      </c>
      <c r="R326" s="39">
        <v>0.31056215287811401</v>
      </c>
      <c r="S326" s="39">
        <v>0.41144346336329501</v>
      </c>
      <c r="T326" s="39">
        <v>0.32838436537468702</v>
      </c>
      <c r="U326" s="43">
        <v>0.31</v>
      </c>
      <c r="V326" s="43">
        <v>0.27648937520292399</v>
      </c>
      <c r="W326" s="43">
        <f t="shared" si="10"/>
        <v>3.3510624797076005E-2</v>
      </c>
      <c r="X326" s="45">
        <v>0.30082513507654302</v>
      </c>
      <c r="Y326" s="45">
        <f t="shared" si="11"/>
        <v>9.1748649234569823E-3</v>
      </c>
    </row>
    <row r="327" spans="1:25" ht="15" x14ac:dyDescent="0.2">
      <c r="B327" s="41">
        <v>32.299999999999997</v>
      </c>
      <c r="C327" s="42">
        <v>276</v>
      </c>
      <c r="D327" s="43">
        <v>2.5382184533279299</v>
      </c>
      <c r="E327" s="41">
        <v>38.299999999999997</v>
      </c>
      <c r="F327" s="44">
        <v>2.82248726262158E-2</v>
      </c>
      <c r="G327" s="42">
        <v>230.74497923928399</v>
      </c>
      <c r="H327" s="39">
        <v>0.26533951446142401</v>
      </c>
      <c r="I327" s="39">
        <v>0.262780267888582</v>
      </c>
      <c r="J327" s="39">
        <v>0.351799313041326</v>
      </c>
      <c r="K327" s="39">
        <v>0.51625084647407804</v>
      </c>
      <c r="L327" s="39">
        <v>0.26538804815655398</v>
      </c>
      <c r="M327" s="39">
        <v>0.27216839071737697</v>
      </c>
      <c r="N327" s="48">
        <v>0.40991592931998566</v>
      </c>
      <c r="O327" s="39">
        <v>0.20041857761720799</v>
      </c>
      <c r="P327" s="39">
        <v>0.37138756913540399</v>
      </c>
      <c r="Q327" s="39">
        <v>0.28420837788544501</v>
      </c>
      <c r="R327" s="39">
        <v>0.31947502184674198</v>
      </c>
      <c r="S327" s="39">
        <v>0.42477577036504199</v>
      </c>
      <c r="T327" s="39">
        <v>0.33936155030147502</v>
      </c>
      <c r="U327" s="43">
        <v>0.35</v>
      </c>
      <c r="V327" s="43">
        <v>0.28420837788544501</v>
      </c>
      <c r="W327" s="43">
        <f t="shared" si="10"/>
        <v>6.5791622114554971E-2</v>
      </c>
      <c r="X327" s="45">
        <v>0.31028950011984302</v>
      </c>
      <c r="Y327" s="45">
        <f t="shared" si="11"/>
        <v>3.9710499880156958E-2</v>
      </c>
    </row>
    <row r="328" spans="1:25" ht="15" x14ac:dyDescent="0.2">
      <c r="A328" s="40" t="s">
        <v>101</v>
      </c>
      <c r="B328" s="41">
        <v>32.299999999999997</v>
      </c>
      <c r="C328" s="42">
        <v>276</v>
      </c>
      <c r="D328" s="43">
        <v>2.8108695189494299</v>
      </c>
      <c r="E328" s="41">
        <v>38.299999999999997</v>
      </c>
      <c r="F328" s="44">
        <v>2.82248726262158E-2</v>
      </c>
      <c r="G328" s="42">
        <v>99.532458974281994</v>
      </c>
      <c r="H328" s="39">
        <v>0.14629024420917799</v>
      </c>
      <c r="I328" s="39">
        <v>0.14454665868466801</v>
      </c>
      <c r="J328" s="39">
        <v>0.22847111041694401</v>
      </c>
      <c r="K328" s="39">
        <v>0.19661728673673101</v>
      </c>
      <c r="L328" s="39">
        <v>0.15296421546125999</v>
      </c>
      <c r="M328" s="39">
        <v>0.17961035688042301</v>
      </c>
      <c r="N328" s="48">
        <v>0.22617338211622934</v>
      </c>
      <c r="O328" s="39">
        <v>0.117755393345223</v>
      </c>
      <c r="P328" s="39">
        <v>0.22879945760378301</v>
      </c>
      <c r="Q328" s="39">
        <v>0.18872920540969401</v>
      </c>
      <c r="R328" s="39">
        <v>0.14255364010142099</v>
      </c>
      <c r="S328" s="39">
        <v>0.18027249649750399</v>
      </c>
      <c r="T328" s="39">
        <v>0.13999182792345299</v>
      </c>
      <c r="U328" s="43">
        <v>0.19</v>
      </c>
      <c r="V328" s="43">
        <v>0.133769063769031</v>
      </c>
      <c r="W328" s="43">
        <f t="shared" si="10"/>
        <v>5.6230936230969003E-2</v>
      </c>
      <c r="X328" s="45">
        <v>0.133769063769031</v>
      </c>
      <c r="Y328" s="45">
        <f t="shared" si="11"/>
        <v>5.6230936230969003E-2</v>
      </c>
    </row>
    <row r="329" spans="1:25" ht="15" x14ac:dyDescent="0.2">
      <c r="B329" s="41">
        <v>32.299999999999997</v>
      </c>
      <c r="C329" s="42">
        <v>276</v>
      </c>
      <c r="D329" s="43">
        <v>2.8108695189494299</v>
      </c>
      <c r="E329" s="41">
        <v>38.299999999999997</v>
      </c>
      <c r="F329" s="44">
        <v>2.82248726262158E-2</v>
      </c>
      <c r="G329" s="42">
        <v>143.73763283392199</v>
      </c>
      <c r="H329" s="39">
        <v>0.18986727219110999</v>
      </c>
      <c r="I329" s="39">
        <v>0.18760430633743799</v>
      </c>
      <c r="J329" s="39">
        <v>0.28122538398102798</v>
      </c>
      <c r="K329" s="39">
        <v>0.29789838625489301</v>
      </c>
      <c r="L329" s="39">
        <v>0.19488523114936601</v>
      </c>
      <c r="M329" s="39">
        <v>0.221082619542084</v>
      </c>
      <c r="N329" s="48">
        <v>0.29442553828244411</v>
      </c>
      <c r="O329" s="39">
        <v>0.14857914807423001</v>
      </c>
      <c r="P329" s="39">
        <v>0.28162954695607301</v>
      </c>
      <c r="Q329" s="39">
        <v>0.23720372143490001</v>
      </c>
      <c r="R329" s="39">
        <v>0.207982061009712</v>
      </c>
      <c r="S329" s="39">
        <v>0.25880299300728998</v>
      </c>
      <c r="T329" s="39">
        <v>0.20476841073798199</v>
      </c>
      <c r="U329" s="43">
        <v>0.24</v>
      </c>
      <c r="V329" s="43">
        <v>0.186626082364968</v>
      </c>
      <c r="W329" s="43">
        <f t="shared" si="10"/>
        <v>5.3373917635031992E-2</v>
      </c>
      <c r="X329" s="45">
        <v>0.193179679982976</v>
      </c>
      <c r="Y329" s="45">
        <f t="shared" si="11"/>
        <v>4.6820320017023992E-2</v>
      </c>
    </row>
    <row r="330" spans="1:25" ht="15" x14ac:dyDescent="0.2">
      <c r="B330" s="41">
        <v>32.299999999999997</v>
      </c>
      <c r="C330" s="42">
        <v>276</v>
      </c>
      <c r="D330" s="43">
        <v>2.8108695189494299</v>
      </c>
      <c r="E330" s="41">
        <v>38.299999999999997</v>
      </c>
      <c r="F330" s="44">
        <v>2.82248726262158E-2</v>
      </c>
      <c r="G330" s="42">
        <v>187.176740338077</v>
      </c>
      <c r="H330" s="39">
        <v>0.22842241218999301</v>
      </c>
      <c r="I330" s="39">
        <v>0.22569992024583599</v>
      </c>
      <c r="J330" s="39">
        <v>0.327900168770069</v>
      </c>
      <c r="K330" s="39">
        <v>0.40498822297306403</v>
      </c>
      <c r="L330" s="39">
        <v>0.23197520041988401</v>
      </c>
      <c r="M330" s="39">
        <v>0.25777555081894299</v>
      </c>
      <c r="N330" s="48">
        <v>0.35481220433284966</v>
      </c>
      <c r="O330" s="39">
        <v>0.17585072289022999</v>
      </c>
      <c r="P330" s="39">
        <v>0.32837141039787598</v>
      </c>
      <c r="Q330" s="39">
        <v>0.275521082842547</v>
      </c>
      <c r="R330" s="39">
        <v>0.26433571913599302</v>
      </c>
      <c r="S330" s="39">
        <v>0.33173042737757302</v>
      </c>
      <c r="T330" s="39">
        <v>0.26535915539642302</v>
      </c>
      <c r="U330" s="43">
        <v>0.28999999999999998</v>
      </c>
      <c r="V330" s="43">
        <v>0.23339177168033201</v>
      </c>
      <c r="W330" s="43">
        <f t="shared" si="10"/>
        <v>5.6608228319667969E-2</v>
      </c>
      <c r="X330" s="45">
        <v>0.25156072272697799</v>
      </c>
      <c r="Y330" s="45">
        <f t="shared" si="11"/>
        <v>3.8439277273021988E-2</v>
      </c>
    </row>
    <row r="331" spans="1:25" ht="15" x14ac:dyDescent="0.2">
      <c r="B331" s="41">
        <v>32.299999999999997</v>
      </c>
      <c r="C331" s="42">
        <v>276</v>
      </c>
      <c r="D331" s="43">
        <v>2.8108695189494299</v>
      </c>
      <c r="E331" s="41">
        <v>38.299999999999997</v>
      </c>
      <c r="F331" s="44">
        <v>2.82248726262158E-2</v>
      </c>
      <c r="G331" s="42">
        <v>218.20467426961699</v>
      </c>
      <c r="H331" s="39">
        <v>0.255961797903482</v>
      </c>
      <c r="I331" s="39">
        <v>0.25291107303755</v>
      </c>
      <c r="J331" s="39">
        <v>0.351799313041326</v>
      </c>
      <c r="K331" s="39">
        <v>0.46617511635915998</v>
      </c>
      <c r="L331" s="39">
        <v>0.25846803561311199</v>
      </c>
      <c r="M331" s="39">
        <v>0.28398478744527</v>
      </c>
      <c r="N331" s="48">
        <v>0.39794553722599663</v>
      </c>
      <c r="O331" s="39">
        <v>0.19533041918737201</v>
      </c>
      <c r="P331" s="39">
        <v>0.36175845571345</v>
      </c>
      <c r="Q331" s="39">
        <v>0.275521082842547</v>
      </c>
      <c r="R331" s="39">
        <v>0.303815737138803</v>
      </c>
      <c r="S331" s="39">
        <v>0.38580277576223498</v>
      </c>
      <c r="T331" s="39">
        <v>0.31052312974431201</v>
      </c>
      <c r="U331" s="43">
        <v>0.36</v>
      </c>
      <c r="V331" s="43">
        <v>0.26679583547702101</v>
      </c>
      <c r="W331" s="43">
        <f t="shared" si="10"/>
        <v>9.3204164522978972E-2</v>
      </c>
      <c r="X331" s="45">
        <v>0.29326146754412202</v>
      </c>
      <c r="Y331" s="45">
        <f t="shared" si="11"/>
        <v>6.6738532455877964E-2</v>
      </c>
    </row>
    <row r="332" spans="1:25" ht="15" x14ac:dyDescent="0.2">
      <c r="B332" s="41">
        <v>32.299999999999997</v>
      </c>
      <c r="C332" s="42">
        <v>276</v>
      </c>
      <c r="D332" s="43">
        <v>2.8108695189494299</v>
      </c>
      <c r="E332" s="41">
        <v>38.299999999999997</v>
      </c>
      <c r="F332" s="44">
        <v>2.82248726262158E-2</v>
      </c>
      <c r="G332" s="42">
        <v>226.309268981256</v>
      </c>
      <c r="H332" s="39">
        <v>0.26315517276072398</v>
      </c>
      <c r="I332" s="39">
        <v>0.260018712415019</v>
      </c>
      <c r="J332" s="39">
        <v>0.351799313041326</v>
      </c>
      <c r="K332" s="39">
        <v>0.46617511635915998</v>
      </c>
      <c r="L332" s="39">
        <v>0.26538804815655398</v>
      </c>
      <c r="M332" s="39">
        <v>0.29083072314393799</v>
      </c>
      <c r="N332" s="48">
        <v>0.4092121005244902</v>
      </c>
      <c r="O332" s="39">
        <v>0.20041857761720799</v>
      </c>
      <c r="P332" s="39">
        <v>0.37047925779775498</v>
      </c>
      <c r="Q332" s="39">
        <v>0.275521082842547</v>
      </c>
      <c r="R332" s="39">
        <v>0.314031027493412</v>
      </c>
      <c r="S332" s="39">
        <v>0.40019860627022802</v>
      </c>
      <c r="T332" s="39">
        <v>0.32257882534633697</v>
      </c>
      <c r="U332" s="43">
        <v>0.42</v>
      </c>
      <c r="V332" s="43">
        <v>0.275521082842547</v>
      </c>
      <c r="W332" s="43">
        <f t="shared" si="10"/>
        <v>0.14447891715745298</v>
      </c>
      <c r="X332" s="45">
        <v>0.30415383429539</v>
      </c>
      <c r="Y332" s="45">
        <f t="shared" si="11"/>
        <v>0.11584616570460998</v>
      </c>
    </row>
    <row r="333" spans="1:25" ht="15" x14ac:dyDescent="0.2">
      <c r="A333" s="40" t="s">
        <v>102</v>
      </c>
      <c r="B333" s="41">
        <v>28.7</v>
      </c>
      <c r="C333" s="42">
        <v>276</v>
      </c>
      <c r="D333" s="43">
        <v>2.5765786179080399</v>
      </c>
      <c r="E333" s="41">
        <v>38</v>
      </c>
      <c r="F333" s="44">
        <v>4.6241829713924397E-2</v>
      </c>
      <c r="G333" s="42">
        <v>139.22648337646001</v>
      </c>
      <c r="H333" s="39">
        <v>0.147279370026866</v>
      </c>
      <c r="I333" s="39">
        <v>0.15177118672558901</v>
      </c>
      <c r="J333" s="39">
        <v>0.16772641499721699</v>
      </c>
      <c r="K333" s="39">
        <v>0.21934168126914799</v>
      </c>
      <c r="L333" s="39">
        <v>8.9952928665751497E-2</v>
      </c>
      <c r="M333" s="39">
        <v>0.10183915137741301</v>
      </c>
      <c r="N333" s="48">
        <v>0.18416473465850905</v>
      </c>
      <c r="O333" s="39">
        <v>0.14884778675975899</v>
      </c>
      <c r="P333" s="39">
        <v>0.17407114613167099</v>
      </c>
      <c r="Q333" s="39">
        <v>0.17190685644409701</v>
      </c>
      <c r="R333" s="39">
        <v>0.15520605412914701</v>
      </c>
      <c r="S333" s="39">
        <v>0.21204954402259599</v>
      </c>
      <c r="T333" s="39">
        <v>0.17000808964217701</v>
      </c>
      <c r="U333" s="43">
        <v>0.18</v>
      </c>
      <c r="V333" s="43">
        <v>0.14859881244269199</v>
      </c>
      <c r="W333" s="43">
        <f t="shared" si="10"/>
        <v>3.1401187557308002E-2</v>
      </c>
      <c r="X333" s="45">
        <v>0.14859881244269199</v>
      </c>
      <c r="Y333" s="45">
        <f t="shared" si="11"/>
        <v>3.1401187557308002E-2</v>
      </c>
    </row>
    <row r="334" spans="1:25" ht="15" x14ac:dyDescent="0.2">
      <c r="B334" s="41">
        <v>28.7</v>
      </c>
      <c r="C334" s="42">
        <v>276</v>
      </c>
      <c r="D334" s="43">
        <v>2.5765786179080399</v>
      </c>
      <c r="E334" s="41">
        <v>38</v>
      </c>
      <c r="F334" s="44">
        <v>4.6241829713924397E-2</v>
      </c>
      <c r="G334" s="42">
        <v>180.49731497919601</v>
      </c>
      <c r="H334" s="39">
        <v>0.18349626769646801</v>
      </c>
      <c r="I334" s="39">
        <v>0.18909264958784799</v>
      </c>
      <c r="J334" s="39">
        <v>0.20128448202219401</v>
      </c>
      <c r="K334" s="39">
        <v>0.315892145780101</v>
      </c>
      <c r="L334" s="39">
        <v>0.11114577166126299</v>
      </c>
      <c r="M334" s="39">
        <v>0.12221474378333599</v>
      </c>
      <c r="N334" s="48">
        <v>0.23130199439813939</v>
      </c>
      <c r="O334" s="39">
        <v>0.18231449146175599</v>
      </c>
      <c r="P334" s="39">
        <v>0.20889864297585001</v>
      </c>
      <c r="Q334" s="39">
        <v>0.20939486067139901</v>
      </c>
      <c r="R334" s="39">
        <v>0.199838677680373</v>
      </c>
      <c r="S334" s="39">
        <v>0.27547273388042798</v>
      </c>
      <c r="T334" s="39">
        <v>0.22331097800803901</v>
      </c>
      <c r="U334" s="43">
        <v>0.22</v>
      </c>
      <c r="V334" s="43">
        <v>0.18772668752404401</v>
      </c>
      <c r="W334" s="43">
        <f t="shared" si="10"/>
        <v>3.2273312475955995E-2</v>
      </c>
      <c r="X334" s="45">
        <v>0.19264787851086501</v>
      </c>
      <c r="Y334" s="45">
        <f t="shared" si="11"/>
        <v>2.735212148913499E-2</v>
      </c>
    </row>
    <row r="335" spans="1:25" ht="15" x14ac:dyDescent="0.2">
      <c r="B335" s="41">
        <v>28.7</v>
      </c>
      <c r="C335" s="42">
        <v>276</v>
      </c>
      <c r="D335" s="43">
        <v>2.5765786179080399</v>
      </c>
      <c r="E335" s="41">
        <v>38</v>
      </c>
      <c r="F335" s="44">
        <v>4.6241829713924397E-2</v>
      </c>
      <c r="G335" s="42">
        <v>213.14386705439</v>
      </c>
      <c r="H335" s="39">
        <v>0.21143501732730299</v>
      </c>
      <c r="I335" s="39">
        <v>0.217883492367305</v>
      </c>
      <c r="J335" s="39">
        <v>0.22717213372717601</v>
      </c>
      <c r="K335" s="39">
        <v>0.40237255763655999</v>
      </c>
      <c r="L335" s="39">
        <v>0.12749453625780099</v>
      </c>
      <c r="M335" s="39">
        <v>0.13793305792504801</v>
      </c>
      <c r="N335" s="48">
        <v>0.26766502334013986</v>
      </c>
      <c r="O335" s="39">
        <v>0.208131663660439</v>
      </c>
      <c r="P335" s="39">
        <v>0.23576556911278901</v>
      </c>
      <c r="Q335" s="39">
        <v>0.238555549406339</v>
      </c>
      <c r="R335" s="39">
        <v>0.23375097908675299</v>
      </c>
      <c r="S335" s="39">
        <v>0.32656044432005799</v>
      </c>
      <c r="T335" s="39">
        <v>0.26668390997187102</v>
      </c>
      <c r="U335" s="43">
        <v>0.27</v>
      </c>
      <c r="V335" s="43">
        <v>0.21791104830108701</v>
      </c>
      <c r="W335" s="43">
        <f t="shared" si="10"/>
        <v>5.2088951698913005E-2</v>
      </c>
      <c r="X335" s="45">
        <v>0.22749210319479099</v>
      </c>
      <c r="Y335" s="45">
        <f t="shared" si="11"/>
        <v>4.2507896805209028E-2</v>
      </c>
    </row>
    <row r="336" spans="1:25" ht="15" x14ac:dyDescent="0.2">
      <c r="B336" s="41">
        <v>28.7</v>
      </c>
      <c r="C336" s="42">
        <v>276</v>
      </c>
      <c r="D336" s="43">
        <v>2.5765786179080399</v>
      </c>
      <c r="E336" s="41">
        <v>38</v>
      </c>
      <c r="F336" s="44">
        <v>4.6241829713924397E-2</v>
      </c>
      <c r="G336" s="42">
        <v>245.03832142351999</v>
      </c>
      <c r="H336" s="39">
        <v>0.23873012564927101</v>
      </c>
      <c r="I336" s="39">
        <v>0.24601106366987799</v>
      </c>
      <c r="J336" s="39">
        <v>0.24074304834434099</v>
      </c>
      <c r="K336" s="39">
        <v>0.45188273634436499</v>
      </c>
      <c r="L336" s="39">
        <v>0.14346666480647299</v>
      </c>
      <c r="M336" s="39">
        <v>0.15328926007459701</v>
      </c>
      <c r="N336" s="48">
        <v>0.30319033592575939</v>
      </c>
      <c r="O336" s="39">
        <v>0.233354070569882</v>
      </c>
      <c r="P336" s="39">
        <v>0.26201354616530098</v>
      </c>
      <c r="Q336" s="39">
        <v>0.247400034312454</v>
      </c>
      <c r="R336" s="39">
        <v>0.26649663528918799</v>
      </c>
      <c r="S336" s="39">
        <v>0.37828904739902702</v>
      </c>
      <c r="T336" s="39">
        <v>0.31095310755361799</v>
      </c>
      <c r="U336" s="43">
        <v>0.32</v>
      </c>
      <c r="V336" s="43">
        <v>0.247400034312454</v>
      </c>
      <c r="W336" s="43">
        <f t="shared" si="10"/>
        <v>7.2599965687546009E-2</v>
      </c>
      <c r="X336" s="45">
        <v>0.26153360110395701</v>
      </c>
      <c r="Y336" s="45">
        <f t="shared" si="11"/>
        <v>5.8466398896042993E-2</v>
      </c>
    </row>
    <row r="337" spans="1:25" ht="15" x14ac:dyDescent="0.2">
      <c r="A337" s="40" t="s">
        <v>103</v>
      </c>
      <c r="B337" s="41">
        <v>28.7</v>
      </c>
      <c r="C337" s="42">
        <v>276</v>
      </c>
      <c r="D337" s="43">
        <v>2.5765786179080399</v>
      </c>
      <c r="E337" s="41">
        <v>38</v>
      </c>
      <c r="F337" s="44">
        <v>4.6241829713924397E-2</v>
      </c>
      <c r="G337" s="42">
        <v>180.49731497919601</v>
      </c>
      <c r="H337" s="39">
        <v>0.18349626769646801</v>
      </c>
      <c r="I337" s="39">
        <v>0.18909264958784799</v>
      </c>
      <c r="J337" s="39">
        <v>0.20128448202219401</v>
      </c>
      <c r="K337" s="39">
        <v>0.315892145780101</v>
      </c>
      <c r="L337" s="39">
        <v>0.11114577166126299</v>
      </c>
      <c r="M337" s="39">
        <v>0.12221474378333599</v>
      </c>
      <c r="N337" s="48">
        <v>0.23130199439813939</v>
      </c>
      <c r="O337" s="39">
        <v>0.18231449146175599</v>
      </c>
      <c r="P337" s="39">
        <v>0.20889864297585001</v>
      </c>
      <c r="Q337" s="39">
        <v>0.20939486067139901</v>
      </c>
      <c r="R337" s="39">
        <v>0.199838677680373</v>
      </c>
      <c r="S337" s="39">
        <v>0.27547273388042798</v>
      </c>
      <c r="T337" s="39">
        <v>0.22331097800803901</v>
      </c>
      <c r="U337" s="43">
        <v>0.16</v>
      </c>
      <c r="V337" s="43">
        <v>0.18772668752404401</v>
      </c>
      <c r="W337" s="43">
        <f t="shared" si="10"/>
        <v>-2.7726687524044002E-2</v>
      </c>
      <c r="X337" s="45">
        <v>0.19264787851086501</v>
      </c>
      <c r="Y337" s="45">
        <f t="shared" si="11"/>
        <v>-3.2647878510865008E-2</v>
      </c>
    </row>
    <row r="338" spans="1:25" ht="15" x14ac:dyDescent="0.2">
      <c r="B338" s="41">
        <v>28.7</v>
      </c>
      <c r="C338" s="42">
        <v>276</v>
      </c>
      <c r="D338" s="43">
        <v>2.5765786179080399</v>
      </c>
      <c r="E338" s="41">
        <v>38</v>
      </c>
      <c r="F338" s="44">
        <v>4.6241829713924397E-2</v>
      </c>
      <c r="G338" s="42">
        <v>213.14386705439</v>
      </c>
      <c r="H338" s="39">
        <v>0.21143501732730299</v>
      </c>
      <c r="I338" s="39">
        <v>0.217883492367305</v>
      </c>
      <c r="J338" s="39">
        <v>0.22717213372717601</v>
      </c>
      <c r="K338" s="39">
        <v>0.40237255763655999</v>
      </c>
      <c r="L338" s="39">
        <v>0.12749453625780099</v>
      </c>
      <c r="M338" s="39">
        <v>0.13793305792504801</v>
      </c>
      <c r="N338" s="48">
        <v>0.26766502334013986</v>
      </c>
      <c r="O338" s="39">
        <v>0.208131663660439</v>
      </c>
      <c r="P338" s="39">
        <v>0.23576556911278901</v>
      </c>
      <c r="Q338" s="39">
        <v>0.238555549406339</v>
      </c>
      <c r="R338" s="39">
        <v>0.23375097908675299</v>
      </c>
      <c r="S338" s="39">
        <v>0.32656044432005799</v>
      </c>
      <c r="T338" s="39">
        <v>0.26668390997187102</v>
      </c>
      <c r="U338" s="43">
        <v>0.19</v>
      </c>
      <c r="V338" s="43">
        <v>0.21791104830108701</v>
      </c>
      <c r="W338" s="43">
        <f t="shared" si="10"/>
        <v>-2.791104830108701E-2</v>
      </c>
      <c r="X338" s="45">
        <v>0.22749210319479099</v>
      </c>
      <c r="Y338" s="45">
        <f t="shared" si="11"/>
        <v>-3.7492103194790988E-2</v>
      </c>
    </row>
    <row r="339" spans="1:25" ht="15" x14ac:dyDescent="0.2">
      <c r="B339" s="41">
        <v>28.7</v>
      </c>
      <c r="C339" s="42">
        <v>276</v>
      </c>
      <c r="D339" s="43">
        <v>2.5765786179080399</v>
      </c>
      <c r="E339" s="41">
        <v>38</v>
      </c>
      <c r="F339" s="44">
        <v>4.6241829713924397E-2</v>
      </c>
      <c r="G339" s="42">
        <v>245.03832142351999</v>
      </c>
      <c r="H339" s="39">
        <v>0.23873012564927101</v>
      </c>
      <c r="I339" s="39">
        <v>0.24601106366987799</v>
      </c>
      <c r="J339" s="39">
        <v>0.24074304834434099</v>
      </c>
      <c r="K339" s="39">
        <v>0.45188273634436499</v>
      </c>
      <c r="L339" s="39">
        <v>0.14346666480647299</v>
      </c>
      <c r="M339" s="39">
        <v>0.15328926007459701</v>
      </c>
      <c r="N339" s="48">
        <v>0.30319033592575939</v>
      </c>
      <c r="O339" s="39">
        <v>0.233354070569882</v>
      </c>
      <c r="P339" s="39">
        <v>0.26201354616530098</v>
      </c>
      <c r="Q339" s="39">
        <v>0.247400034312454</v>
      </c>
      <c r="R339" s="39">
        <v>0.26649663528918799</v>
      </c>
      <c r="S339" s="39">
        <v>0.37828904739902702</v>
      </c>
      <c r="T339" s="39">
        <v>0.31095310755361799</v>
      </c>
      <c r="U339" s="43">
        <v>0.22</v>
      </c>
      <c r="V339" s="43">
        <v>0.247400034312454</v>
      </c>
      <c r="W339" s="43">
        <f t="shared" si="10"/>
        <v>-2.7400034312453997E-2</v>
      </c>
      <c r="X339" s="45">
        <v>0.26153360110395701</v>
      </c>
      <c r="Y339" s="45">
        <f t="shared" si="11"/>
        <v>-4.1533601103957013E-2</v>
      </c>
    </row>
    <row r="340" spans="1:25" ht="15" x14ac:dyDescent="0.2">
      <c r="A340" s="40" t="s">
        <v>104</v>
      </c>
      <c r="B340" s="41">
        <v>35.799999999999997</v>
      </c>
      <c r="C340" s="42">
        <v>276</v>
      </c>
      <c r="D340" s="43">
        <v>2.5478355335404399</v>
      </c>
      <c r="E340" s="41">
        <v>38</v>
      </c>
      <c r="F340" s="44">
        <v>6.7478148415705597E-2</v>
      </c>
      <c r="G340" s="42">
        <v>150.91882200011699</v>
      </c>
      <c r="H340" s="39">
        <v>0.13153374465321899</v>
      </c>
      <c r="I340" s="39">
        <v>0.146640079165194</v>
      </c>
      <c r="J340" s="39">
        <v>0.17675156906293299</v>
      </c>
      <c r="K340" s="39">
        <v>0.28174342772628103</v>
      </c>
      <c r="L340" s="39">
        <v>8.1714692437448805E-2</v>
      </c>
      <c r="M340" s="39">
        <v>0.101440797590145</v>
      </c>
      <c r="N340" s="48">
        <v>0.20292968348603119</v>
      </c>
      <c r="O340" s="39">
        <v>0.15448442183399499</v>
      </c>
      <c r="P340" s="39">
        <v>0.18796088604883099</v>
      </c>
      <c r="Q340" s="39">
        <v>0.165330751827893</v>
      </c>
      <c r="R340" s="39">
        <v>0.155387407000178</v>
      </c>
      <c r="S340" s="39">
        <v>0.25345808420698501</v>
      </c>
      <c r="T340" s="39">
        <v>0.18223313375247999</v>
      </c>
      <c r="U340" s="43">
        <v>0.17</v>
      </c>
      <c r="V340" s="43">
        <v>0.15062208841314201</v>
      </c>
      <c r="W340" s="43">
        <f t="shared" si="10"/>
        <v>1.9377911586858004E-2</v>
      </c>
      <c r="X340" s="45">
        <v>0.15062208841314201</v>
      </c>
      <c r="Y340" s="45">
        <f t="shared" si="11"/>
        <v>1.9377911586858004E-2</v>
      </c>
    </row>
    <row r="341" spans="1:25" ht="15" x14ac:dyDescent="0.2">
      <c r="A341" s="40" t="s">
        <v>105</v>
      </c>
      <c r="B341" s="41">
        <v>35.799999999999997</v>
      </c>
      <c r="C341" s="42">
        <v>276</v>
      </c>
      <c r="D341" s="43">
        <v>2.7563734268389202</v>
      </c>
      <c r="E341" s="41">
        <v>38</v>
      </c>
      <c r="F341" s="44">
        <v>6.7478148415705597E-2</v>
      </c>
      <c r="G341" s="42">
        <v>108.34917327528299</v>
      </c>
      <c r="H341" s="39">
        <v>9.7514649841521805E-2</v>
      </c>
      <c r="I341" s="39">
        <v>0.108470561427934</v>
      </c>
      <c r="J341" s="39">
        <v>0.13839687856725499</v>
      </c>
      <c r="K341" s="39">
        <v>0.159666264321595</v>
      </c>
      <c r="L341" s="39">
        <v>6.1803121002324803E-2</v>
      </c>
      <c r="M341" s="39">
        <v>8.3394318678546298E-2</v>
      </c>
      <c r="N341" s="48">
        <v>0.14617077463815276</v>
      </c>
      <c r="O341" s="39">
        <v>0.11663503645628299</v>
      </c>
      <c r="P341" s="39">
        <v>0.146565134130969</v>
      </c>
      <c r="Q341" s="39">
        <v>0.12589239016704601</v>
      </c>
      <c r="R341" s="39">
        <v>0.10806100229525099</v>
      </c>
      <c r="S341" s="39">
        <v>0.17012779655856899</v>
      </c>
      <c r="T341" s="39">
        <v>0.122578511020668</v>
      </c>
      <c r="U341" s="43">
        <v>0.19</v>
      </c>
      <c r="V341" s="43">
        <v>0.10806100229525099</v>
      </c>
      <c r="W341" s="43">
        <f t="shared" si="10"/>
        <v>8.1938997704749009E-2</v>
      </c>
      <c r="X341" s="45">
        <v>0.10806100229525099</v>
      </c>
      <c r="Y341" s="45">
        <f t="shared" si="11"/>
        <v>8.1938997704749009E-2</v>
      </c>
    </row>
    <row r="342" spans="1:25" ht="15" x14ac:dyDescent="0.2">
      <c r="B342" s="41">
        <v>35.799999999999997</v>
      </c>
      <c r="C342" s="42">
        <v>276</v>
      </c>
      <c r="D342" s="43">
        <v>2.7563734268389202</v>
      </c>
      <c r="E342" s="41">
        <v>38</v>
      </c>
      <c r="F342" s="44">
        <v>6.7478148415705597E-2</v>
      </c>
      <c r="G342" s="42">
        <v>148.199286582844</v>
      </c>
      <c r="H342" s="39">
        <v>0.130442766845764</v>
      </c>
      <c r="I342" s="39">
        <v>0.14509819988040901</v>
      </c>
      <c r="J342" s="39">
        <v>0.17675156906293299</v>
      </c>
      <c r="K342" s="39">
        <v>0.260427672648744</v>
      </c>
      <c r="L342" s="39">
        <v>8.1495536285087003E-2</v>
      </c>
      <c r="M342" s="39">
        <v>0.106505846302048</v>
      </c>
      <c r="N342" s="48">
        <v>0.20229140738943771</v>
      </c>
      <c r="O342" s="39">
        <v>0.15406783363573701</v>
      </c>
      <c r="P342" s="39">
        <v>0.18718353835544799</v>
      </c>
      <c r="Q342" s="39">
        <v>0.16397439600647401</v>
      </c>
      <c r="R342" s="39">
        <v>0.15275482844556301</v>
      </c>
      <c r="S342" s="39">
        <v>0.242783253449533</v>
      </c>
      <c r="T342" s="39">
        <v>0.17648036556212801</v>
      </c>
      <c r="U342" s="43">
        <v>0.25</v>
      </c>
      <c r="V342" s="43">
        <v>0.14780512821168501</v>
      </c>
      <c r="W342" s="43">
        <f t="shared" si="10"/>
        <v>0.10219487178831499</v>
      </c>
      <c r="X342" s="45">
        <v>0.14780512821168501</v>
      </c>
      <c r="Y342" s="45">
        <f t="shared" si="11"/>
        <v>0.10219487178831499</v>
      </c>
    </row>
    <row r="344" spans="1:25" x14ac:dyDescent="0.2">
      <c r="V344" s="44"/>
      <c r="W344" s="44"/>
      <c r="X344" s="44"/>
      <c r="Y344" s="44"/>
    </row>
    <row r="345" spans="1:25" x14ac:dyDescent="0.2">
      <c r="V345" s="44"/>
      <c r="W345" s="44"/>
      <c r="X345" s="44"/>
      <c r="Y345" s="44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45"/>
  <sheetViews>
    <sheetView zoomScale="50" zoomScaleNormal="50" workbookViewId="0">
      <pane xSplit="1" topLeftCell="B1" activePane="topRight" state="frozen"/>
      <selection pane="topRight" activeCell="B1" sqref="B1:F1048576"/>
    </sheetView>
  </sheetViews>
  <sheetFormatPr defaultColWidth="8.5703125" defaultRowHeight="15" x14ac:dyDescent="0.25"/>
  <cols>
    <col min="1" max="1" width="35.85546875" customWidth="1"/>
    <col min="2" max="2" width="17.140625" style="5" customWidth="1"/>
    <col min="3" max="4" width="23.42578125" style="5" customWidth="1"/>
    <col min="5" max="6" width="37.85546875" style="21" customWidth="1"/>
    <col min="7" max="7" width="22.5703125" style="22" customWidth="1"/>
  </cols>
  <sheetData>
    <row r="1" spans="1:7" s="12" customFormat="1" x14ac:dyDescent="0.25">
      <c r="A1" s="1" t="s">
        <v>8</v>
      </c>
      <c r="B1" s="5" t="s">
        <v>147</v>
      </c>
      <c r="C1" s="5" t="s">
        <v>148</v>
      </c>
      <c r="D1" s="5" t="s">
        <v>151</v>
      </c>
      <c r="E1" s="5" t="s">
        <v>149</v>
      </c>
      <c r="F1" s="5" t="s">
        <v>152</v>
      </c>
      <c r="G1" s="4" t="s">
        <v>150</v>
      </c>
    </row>
    <row r="2" spans="1:7" x14ac:dyDescent="0.25">
      <c r="A2" t="s">
        <v>22</v>
      </c>
      <c r="B2" s="5">
        <v>0.16</v>
      </c>
      <c r="C2" s="5">
        <v>8.6159382513197699E-2</v>
      </c>
      <c r="D2" s="5">
        <f>B2-C2</f>
        <v>7.3840617486802304E-2</v>
      </c>
      <c r="E2" s="21">
        <v>0.102129723973678</v>
      </c>
      <c r="F2" s="21">
        <f>B2-E2</f>
        <v>5.7870276026321998E-2</v>
      </c>
    </row>
    <row r="3" spans="1:7" x14ac:dyDescent="0.25">
      <c r="B3" s="5">
        <v>0.23</v>
      </c>
      <c r="C3" s="5">
        <v>0.14712654185263499</v>
      </c>
      <c r="D3" s="5">
        <f t="shared" ref="D3:D66" si="0">B3-C3</f>
        <v>8.287345814736502E-2</v>
      </c>
      <c r="E3" s="21">
        <v>0.190782516555556</v>
      </c>
      <c r="F3" s="21">
        <f t="shared" ref="F3:F66" si="1">B3-E3</f>
        <v>3.9217483444444007E-2</v>
      </c>
    </row>
    <row r="4" spans="1:7" x14ac:dyDescent="0.25">
      <c r="B4" s="5">
        <v>0.24</v>
      </c>
      <c r="C4" s="5">
        <v>0.15556814853040299</v>
      </c>
      <c r="D4" s="5">
        <f t="shared" si="0"/>
        <v>8.4431851469597002E-2</v>
      </c>
      <c r="E4" s="21">
        <v>0.20305751860535501</v>
      </c>
      <c r="F4" s="21">
        <f t="shared" si="1"/>
        <v>3.6942481394644983E-2</v>
      </c>
    </row>
    <row r="5" spans="1:7" x14ac:dyDescent="0.25">
      <c r="B5" s="5">
        <v>0.27</v>
      </c>
      <c r="C5" s="5">
        <v>0.19683822562171399</v>
      </c>
      <c r="D5" s="5">
        <f t="shared" si="0"/>
        <v>7.3161774378286026E-2</v>
      </c>
      <c r="E5" s="21">
        <v>0.263068639737704</v>
      </c>
      <c r="F5" s="21">
        <f t="shared" si="1"/>
        <v>6.9313602622960158E-3</v>
      </c>
    </row>
    <row r="6" spans="1:7" x14ac:dyDescent="0.25">
      <c r="B6" s="5">
        <v>0.35</v>
      </c>
      <c r="C6" s="5">
        <v>0.27750246720927602</v>
      </c>
      <c r="D6" s="5">
        <f t="shared" si="0"/>
        <v>7.2497532790723962E-2</v>
      </c>
      <c r="E6" s="21">
        <v>0.38036310376911198</v>
      </c>
      <c r="F6" s="21">
        <f t="shared" si="1"/>
        <v>-3.0363103769111999E-2</v>
      </c>
    </row>
    <row r="7" spans="1:7" x14ac:dyDescent="0.25">
      <c r="B7" s="5">
        <v>0.4</v>
      </c>
      <c r="C7" s="5">
        <v>0.311870443287798</v>
      </c>
      <c r="D7" s="5">
        <f t="shared" si="0"/>
        <v>8.8129556712202017E-2</v>
      </c>
      <c r="E7" s="21">
        <v>0.420805970660799</v>
      </c>
      <c r="F7" s="21">
        <f t="shared" si="1"/>
        <v>-2.0805970660798978E-2</v>
      </c>
    </row>
    <row r="8" spans="1:7" x14ac:dyDescent="0.25">
      <c r="A8" t="s">
        <v>23</v>
      </c>
      <c r="B8" s="5">
        <v>0.16</v>
      </c>
      <c r="C8" s="5">
        <v>0.135806726806593</v>
      </c>
      <c r="D8" s="5">
        <f t="shared" si="0"/>
        <v>2.4193273193407E-2</v>
      </c>
      <c r="E8" s="21">
        <v>0.22051936594500701</v>
      </c>
      <c r="F8" s="21">
        <f t="shared" si="1"/>
        <v>-6.0519365945007009E-2</v>
      </c>
    </row>
    <row r="9" spans="1:7" x14ac:dyDescent="0.25">
      <c r="B9" s="5">
        <v>0.18</v>
      </c>
      <c r="C9" s="5">
        <v>0.179954155396124</v>
      </c>
      <c r="D9" s="5">
        <f t="shared" si="0"/>
        <v>4.5844603875994094E-5</v>
      </c>
      <c r="E9" s="21">
        <v>0.293288436360923</v>
      </c>
      <c r="F9" s="21">
        <f t="shared" si="1"/>
        <v>-0.11328843636092301</v>
      </c>
    </row>
    <row r="10" spans="1:7" x14ac:dyDescent="0.25">
      <c r="B10" s="5">
        <v>0.26</v>
      </c>
      <c r="C10" s="5">
        <v>0.309914237155623</v>
      </c>
      <c r="D10" s="5">
        <f t="shared" si="0"/>
        <v>-4.9914237155622987E-2</v>
      </c>
      <c r="E10" s="21">
        <v>0.491606140616201</v>
      </c>
      <c r="F10" s="21">
        <f t="shared" si="1"/>
        <v>-0.231606140616201</v>
      </c>
    </row>
    <row r="11" spans="1:7" x14ac:dyDescent="0.25">
      <c r="A11" t="s">
        <v>24</v>
      </c>
      <c r="B11" s="5">
        <v>0.16</v>
      </c>
      <c r="C11" s="5">
        <v>0.13868029025440801</v>
      </c>
      <c r="D11" s="5">
        <f t="shared" si="0"/>
        <v>2.1319709745591997E-2</v>
      </c>
      <c r="E11" s="21">
        <v>0.16724728494892799</v>
      </c>
      <c r="F11" s="21">
        <f t="shared" si="1"/>
        <v>-7.2472849489279845E-3</v>
      </c>
    </row>
    <row r="12" spans="1:7" x14ac:dyDescent="0.25">
      <c r="B12" s="5">
        <v>0.2</v>
      </c>
      <c r="C12" s="5">
        <v>0.17212891101716901</v>
      </c>
      <c r="D12" s="5">
        <f t="shared" si="0"/>
        <v>2.7871088982830999E-2</v>
      </c>
      <c r="E12" s="21">
        <v>0.214040810849146</v>
      </c>
      <c r="F12" s="21">
        <f t="shared" si="1"/>
        <v>-1.404081084914599E-2</v>
      </c>
    </row>
    <row r="13" spans="1:7" x14ac:dyDescent="0.25">
      <c r="B13" s="5">
        <v>0.2</v>
      </c>
      <c r="C13" s="5">
        <v>0.20783249497741799</v>
      </c>
      <c r="D13" s="5">
        <f t="shared" si="0"/>
        <v>-7.8324949774179753E-3</v>
      </c>
      <c r="E13" s="21">
        <v>0.26398895647297399</v>
      </c>
      <c r="F13" s="21">
        <f t="shared" si="1"/>
        <v>-6.3988956472973979E-2</v>
      </c>
    </row>
    <row r="14" spans="1:7" x14ac:dyDescent="0.25">
      <c r="B14" s="5">
        <v>0.24</v>
      </c>
      <c r="C14" s="5">
        <v>0.243911906137249</v>
      </c>
      <c r="D14" s="5">
        <f t="shared" si="0"/>
        <v>-3.9119061372490105E-3</v>
      </c>
      <c r="E14" s="21">
        <v>0.31446287205073697</v>
      </c>
      <c r="F14" s="21">
        <f t="shared" si="1"/>
        <v>-7.4462872050736983E-2</v>
      </c>
    </row>
    <row r="15" spans="1:7" x14ac:dyDescent="0.25">
      <c r="B15" s="5">
        <v>0.3</v>
      </c>
      <c r="C15" s="5">
        <v>0.26721319251130699</v>
      </c>
      <c r="D15" s="5">
        <f t="shared" si="0"/>
        <v>3.2786807488693004E-2</v>
      </c>
      <c r="E15" s="21">
        <v>0.34706060919470899</v>
      </c>
      <c r="F15" s="21">
        <f t="shared" si="1"/>
        <v>-4.7060609194709002E-2</v>
      </c>
    </row>
    <row r="16" spans="1:7" x14ac:dyDescent="0.25">
      <c r="B16" s="5">
        <v>0.32</v>
      </c>
      <c r="C16" s="5">
        <v>0.31719821005565602</v>
      </c>
      <c r="D16" s="5">
        <f t="shared" si="0"/>
        <v>2.8017899443439909E-3</v>
      </c>
      <c r="E16" s="21">
        <v>0.41698801306806899</v>
      </c>
      <c r="F16" s="21">
        <f t="shared" si="1"/>
        <v>-9.6988013068068979E-2</v>
      </c>
    </row>
    <row r="17" spans="1:6" x14ac:dyDescent="0.25">
      <c r="B17" s="5">
        <v>0.38</v>
      </c>
      <c r="C17" s="5">
        <v>0.32095648205147198</v>
      </c>
      <c r="D17" s="5">
        <f t="shared" si="0"/>
        <v>5.9043517948528024E-2</v>
      </c>
      <c r="E17" s="21">
        <v>0.42092646353136298</v>
      </c>
      <c r="F17" s="21">
        <f t="shared" si="1"/>
        <v>-4.0926463531362978E-2</v>
      </c>
    </row>
    <row r="18" spans="1:6" x14ac:dyDescent="0.25">
      <c r="B18" s="5">
        <v>0.42</v>
      </c>
      <c r="C18" s="5">
        <v>0.35102265801799798</v>
      </c>
      <c r="D18" s="5">
        <f t="shared" si="0"/>
        <v>6.8977341982002005E-2</v>
      </c>
      <c r="E18" s="21">
        <v>0.45099263949788898</v>
      </c>
      <c r="F18" s="21">
        <f t="shared" si="1"/>
        <v>-3.0992639497888996E-2</v>
      </c>
    </row>
    <row r="19" spans="1:6" x14ac:dyDescent="0.25">
      <c r="B19" s="5">
        <v>0.44</v>
      </c>
      <c r="C19" s="5">
        <v>0.42580937402192098</v>
      </c>
      <c r="D19" s="5">
        <f t="shared" si="0"/>
        <v>1.4190625978079019E-2</v>
      </c>
      <c r="E19" s="21">
        <v>0.52577935550181198</v>
      </c>
      <c r="F19" s="21">
        <f t="shared" si="1"/>
        <v>-8.5779355501811982E-2</v>
      </c>
    </row>
    <row r="20" spans="1:6" x14ac:dyDescent="0.25">
      <c r="B20" s="5">
        <v>0.5</v>
      </c>
      <c r="C20" s="5">
        <v>0.42580937402192098</v>
      </c>
      <c r="D20" s="5">
        <f t="shared" si="0"/>
        <v>7.4190625978079017E-2</v>
      </c>
      <c r="E20" s="21">
        <v>0.52577935550181198</v>
      </c>
      <c r="F20" s="21">
        <f t="shared" si="1"/>
        <v>-2.5779355501811985E-2</v>
      </c>
    </row>
    <row r="21" spans="1:6" x14ac:dyDescent="0.25">
      <c r="A21" t="s">
        <v>25</v>
      </c>
      <c r="B21" s="5">
        <v>0.24</v>
      </c>
      <c r="C21" s="5">
        <v>0.16333872081928399</v>
      </c>
      <c r="D21" s="5">
        <f t="shared" si="0"/>
        <v>7.6661279180715997E-2</v>
      </c>
      <c r="E21" s="21">
        <v>0.206339105936133</v>
      </c>
      <c r="F21" s="21">
        <f t="shared" si="1"/>
        <v>3.3660894063866992E-2</v>
      </c>
    </row>
    <row r="22" spans="1:6" x14ac:dyDescent="0.25">
      <c r="B22" s="5">
        <v>0.3</v>
      </c>
      <c r="C22" s="5">
        <v>0.193213400157039</v>
      </c>
      <c r="D22" s="5">
        <f t="shared" si="0"/>
        <v>0.10678659984296099</v>
      </c>
      <c r="E22" s="21">
        <v>0.24880889422913299</v>
      </c>
      <c r="F22" s="21">
        <f t="shared" si="1"/>
        <v>5.1191105770866996E-2</v>
      </c>
    </row>
    <row r="23" spans="1:6" x14ac:dyDescent="0.25">
      <c r="B23" s="5">
        <v>0.3</v>
      </c>
      <c r="C23" s="5">
        <v>0.204416404908698</v>
      </c>
      <c r="D23" s="5">
        <f t="shared" si="0"/>
        <v>9.5583595091301987E-2</v>
      </c>
      <c r="E23" s="21">
        <v>0.26473506483900699</v>
      </c>
      <c r="F23" s="21">
        <f t="shared" si="1"/>
        <v>3.5264935160992994E-2</v>
      </c>
    </row>
    <row r="24" spans="1:6" x14ac:dyDescent="0.25">
      <c r="B24" s="5">
        <v>0.3</v>
      </c>
      <c r="C24" s="5">
        <v>0.22308807949479501</v>
      </c>
      <c r="D24" s="5">
        <f t="shared" si="0"/>
        <v>7.6911920505204984E-2</v>
      </c>
      <c r="E24" s="21">
        <v>0.29127868252213202</v>
      </c>
      <c r="F24" s="21">
        <f t="shared" si="1"/>
        <v>8.7213174778679736E-3</v>
      </c>
    </row>
    <row r="25" spans="1:6" x14ac:dyDescent="0.25">
      <c r="B25" s="5">
        <v>0.38</v>
      </c>
      <c r="C25" s="5">
        <v>0.24922842391533101</v>
      </c>
      <c r="D25" s="5">
        <f t="shared" si="0"/>
        <v>0.13077157608466899</v>
      </c>
      <c r="E25" s="21">
        <v>0.328439747278506</v>
      </c>
      <c r="F25" s="21">
        <f t="shared" si="1"/>
        <v>5.1560252721494004E-2</v>
      </c>
    </row>
    <row r="26" spans="1:6" x14ac:dyDescent="0.25">
      <c r="B26" s="5">
        <v>0.44</v>
      </c>
      <c r="C26" s="5">
        <v>0.30524344767362299</v>
      </c>
      <c r="D26" s="5">
        <f t="shared" si="0"/>
        <v>0.13475655232637701</v>
      </c>
      <c r="E26" s="21">
        <v>0.40807060032788001</v>
      </c>
      <c r="F26" s="21">
        <f t="shared" si="1"/>
        <v>3.1929399672119996E-2</v>
      </c>
    </row>
    <row r="27" spans="1:6" x14ac:dyDescent="0.25">
      <c r="A27" t="s">
        <v>26</v>
      </c>
      <c r="B27" s="5">
        <v>0.18</v>
      </c>
      <c r="C27" s="5">
        <v>5.4713257349968597E-2</v>
      </c>
      <c r="D27" s="5">
        <f t="shared" si="0"/>
        <v>0.1252867426500314</v>
      </c>
      <c r="E27" s="21">
        <v>6.1406820589577103E-2</v>
      </c>
      <c r="F27" s="21">
        <f t="shared" si="1"/>
        <v>0.11859317941042288</v>
      </c>
    </row>
    <row r="28" spans="1:6" x14ac:dyDescent="0.25">
      <c r="B28" s="5">
        <v>0.2</v>
      </c>
      <c r="C28" s="5">
        <v>0.10778702027692399</v>
      </c>
      <c r="D28" s="5">
        <f t="shared" si="0"/>
        <v>9.2212979723076016E-2</v>
      </c>
      <c r="E28" s="21">
        <v>0.117386667274441</v>
      </c>
      <c r="F28" s="21">
        <f t="shared" si="1"/>
        <v>8.2613332725559013E-2</v>
      </c>
    </row>
    <row r="29" spans="1:6" x14ac:dyDescent="0.25">
      <c r="B29" s="5">
        <v>0.26</v>
      </c>
      <c r="C29" s="5">
        <v>0.144275232289206</v>
      </c>
      <c r="D29" s="5">
        <f t="shared" si="0"/>
        <v>0.11572476771079401</v>
      </c>
      <c r="E29" s="21">
        <v>0.16362072698160901</v>
      </c>
      <c r="F29" s="21">
        <f t="shared" si="1"/>
        <v>9.6379273018390998E-2</v>
      </c>
    </row>
    <row r="30" spans="1:6" x14ac:dyDescent="0.25">
      <c r="B30" s="5">
        <v>0.44</v>
      </c>
      <c r="C30" s="5">
        <v>0.20464663761861801</v>
      </c>
      <c r="D30" s="5">
        <f t="shared" si="0"/>
        <v>0.23535336238138199</v>
      </c>
      <c r="E30" s="21">
        <v>0.240117080315287</v>
      </c>
      <c r="F30" s="21">
        <f t="shared" si="1"/>
        <v>0.199882919684713</v>
      </c>
    </row>
    <row r="31" spans="1:6" x14ac:dyDescent="0.25">
      <c r="B31" s="5">
        <v>0.6</v>
      </c>
      <c r="C31" s="5">
        <v>0.292881768484681</v>
      </c>
      <c r="D31" s="5">
        <f t="shared" si="0"/>
        <v>0.30711823151531897</v>
      </c>
      <c r="E31" s="21">
        <v>0.35191944287989402</v>
      </c>
      <c r="F31" s="21">
        <f t="shared" si="1"/>
        <v>0.24808055712010596</v>
      </c>
    </row>
    <row r="32" spans="1:6" x14ac:dyDescent="0.25">
      <c r="A32" t="s">
        <v>27</v>
      </c>
      <c r="B32" s="5">
        <v>0.36</v>
      </c>
      <c r="C32" s="5">
        <v>0.234277041464278</v>
      </c>
      <c r="D32" s="5">
        <f t="shared" si="0"/>
        <v>0.12572295853572199</v>
      </c>
      <c r="E32" s="21">
        <v>0.30679018134795699</v>
      </c>
      <c r="F32" s="21">
        <f t="shared" si="1"/>
        <v>5.3209818652042995E-2</v>
      </c>
    </row>
    <row r="33" spans="1:6" x14ac:dyDescent="0.25">
      <c r="B33" s="5">
        <v>0.43</v>
      </c>
      <c r="C33" s="5">
        <v>0.35469963715583802</v>
      </c>
      <c r="D33" s="5">
        <f t="shared" si="0"/>
        <v>7.5300362844161972E-2</v>
      </c>
      <c r="E33" s="21">
        <v>0.483588349093174</v>
      </c>
      <c r="F33" s="21">
        <f t="shared" si="1"/>
        <v>-5.3588349093174004E-2</v>
      </c>
    </row>
    <row r="34" spans="1:6" x14ac:dyDescent="0.25">
      <c r="B34" s="5">
        <v>0.56000000000000005</v>
      </c>
      <c r="C34" s="5">
        <v>0.51425077014725995</v>
      </c>
      <c r="D34" s="5">
        <f t="shared" si="0"/>
        <v>4.5749229852740103E-2</v>
      </c>
      <c r="E34" s="21">
        <v>0.70145281360344103</v>
      </c>
      <c r="F34" s="21">
        <f t="shared" si="1"/>
        <v>-0.14145281360344097</v>
      </c>
    </row>
    <row r="35" spans="1:6" x14ac:dyDescent="0.25">
      <c r="B35" s="5">
        <v>0.71</v>
      </c>
      <c r="C35" s="5">
        <v>0.51425077014725995</v>
      </c>
      <c r="D35" s="5">
        <f t="shared" si="0"/>
        <v>0.19574922985274001</v>
      </c>
      <c r="E35" s="21">
        <v>0.70145281360344103</v>
      </c>
      <c r="F35" s="21">
        <f t="shared" si="1"/>
        <v>8.5471863965589367E-3</v>
      </c>
    </row>
    <row r="36" spans="1:6" x14ac:dyDescent="0.25">
      <c r="B36" s="5">
        <v>0.79</v>
      </c>
      <c r="C36" s="5">
        <v>0.51425077014725995</v>
      </c>
      <c r="D36" s="5">
        <f t="shared" si="0"/>
        <v>0.27574922985274009</v>
      </c>
      <c r="E36" s="21">
        <v>0.70145281360344103</v>
      </c>
      <c r="F36" s="21">
        <f t="shared" si="1"/>
        <v>8.8547186396559008E-2</v>
      </c>
    </row>
    <row r="37" spans="1:6" x14ac:dyDescent="0.25">
      <c r="A37" t="s">
        <v>28</v>
      </c>
      <c r="B37" s="5">
        <v>0.2</v>
      </c>
      <c r="C37" s="5">
        <v>5.2197084757393902E-2</v>
      </c>
      <c r="D37" s="5">
        <f t="shared" si="0"/>
        <v>0.14780291524260611</v>
      </c>
      <c r="E37" s="21">
        <v>5.2197084757393902E-2</v>
      </c>
      <c r="F37" s="21">
        <f t="shared" si="1"/>
        <v>0.14780291524260611</v>
      </c>
    </row>
    <row r="38" spans="1:6" x14ac:dyDescent="0.25">
      <c r="B38" s="5">
        <v>0.25</v>
      </c>
      <c r="C38" s="5">
        <v>0.13966391626237401</v>
      </c>
      <c r="D38" s="5">
        <f t="shared" si="0"/>
        <v>0.11033608373762599</v>
      </c>
      <c r="E38" s="21">
        <v>0.14000449244629401</v>
      </c>
      <c r="F38" s="21">
        <f t="shared" si="1"/>
        <v>0.10999550755370599</v>
      </c>
    </row>
    <row r="39" spans="1:6" x14ac:dyDescent="0.25">
      <c r="B39" s="5">
        <v>0.36</v>
      </c>
      <c r="C39" s="5">
        <v>0.22713074776735301</v>
      </c>
      <c r="D39" s="5">
        <f t="shared" si="0"/>
        <v>0.13286925223264698</v>
      </c>
      <c r="E39" s="21">
        <v>0.24455201103266899</v>
      </c>
      <c r="F39" s="21">
        <f t="shared" si="1"/>
        <v>0.11544798896733099</v>
      </c>
    </row>
    <row r="40" spans="1:6" x14ac:dyDescent="0.25">
      <c r="B40" s="5">
        <v>0.47</v>
      </c>
      <c r="C40" s="5">
        <v>0.31459757927233301</v>
      </c>
      <c r="D40" s="5">
        <f t="shared" si="0"/>
        <v>0.15540242072766697</v>
      </c>
      <c r="E40" s="21">
        <v>0.349099529619044</v>
      </c>
      <c r="F40" s="21">
        <f t="shared" si="1"/>
        <v>0.12090047038095597</v>
      </c>
    </row>
    <row r="41" spans="1:6" x14ac:dyDescent="0.25">
      <c r="B41" s="5">
        <v>0.56999999999999995</v>
      </c>
      <c r="C41" s="5">
        <v>0.38019770290106802</v>
      </c>
      <c r="D41" s="5">
        <f t="shared" si="0"/>
        <v>0.18980229709893193</v>
      </c>
      <c r="E41" s="21">
        <v>0.42751016855882601</v>
      </c>
      <c r="F41" s="21">
        <f t="shared" si="1"/>
        <v>0.14248983144117394</v>
      </c>
    </row>
    <row r="42" spans="1:6" x14ac:dyDescent="0.25">
      <c r="B42" s="5">
        <v>0.78</v>
      </c>
      <c r="C42" s="5">
        <v>0.45610555943189202</v>
      </c>
      <c r="D42" s="5">
        <f t="shared" si="0"/>
        <v>0.32389444056810801</v>
      </c>
      <c r="E42" s="21">
        <v>0.51324201405572301</v>
      </c>
      <c r="F42" s="21">
        <f t="shared" si="1"/>
        <v>0.26675798594427702</v>
      </c>
    </row>
    <row r="43" spans="1:6" x14ac:dyDescent="0.25">
      <c r="A43" t="s">
        <v>29</v>
      </c>
      <c r="B43" s="5">
        <v>0.21</v>
      </c>
      <c r="C43" s="5">
        <v>0.115038822092364</v>
      </c>
      <c r="D43" s="5">
        <f t="shared" si="0"/>
        <v>9.4961177907635988E-2</v>
      </c>
      <c r="E43" s="21">
        <v>0.12862827836683199</v>
      </c>
      <c r="F43" s="21">
        <f t="shared" si="1"/>
        <v>8.1371721633167998E-2</v>
      </c>
    </row>
    <row r="44" spans="1:6" x14ac:dyDescent="0.25">
      <c r="B44" s="5">
        <v>0.31</v>
      </c>
      <c r="C44" s="5">
        <v>0.17127121819076399</v>
      </c>
      <c r="D44" s="5">
        <f t="shared" si="0"/>
        <v>0.13872878180923601</v>
      </c>
      <c r="E44" s="21">
        <v>0.21087955947822701</v>
      </c>
      <c r="F44" s="21">
        <f t="shared" si="1"/>
        <v>9.912044052177299E-2</v>
      </c>
    </row>
    <row r="45" spans="1:6" x14ac:dyDescent="0.25">
      <c r="B45" s="5">
        <v>0.38</v>
      </c>
      <c r="C45" s="5">
        <v>0.22879062923694601</v>
      </c>
      <c r="D45" s="5">
        <f t="shared" si="0"/>
        <v>0.15120937076305399</v>
      </c>
      <c r="E45" s="21">
        <v>0.29431649941524501</v>
      </c>
      <c r="F45" s="21">
        <f t="shared" si="1"/>
        <v>8.568350058475499E-2</v>
      </c>
    </row>
    <row r="46" spans="1:6" x14ac:dyDescent="0.25">
      <c r="B46" s="5">
        <v>0.52</v>
      </c>
      <c r="C46" s="5">
        <v>0.34382945132930998</v>
      </c>
      <c r="D46" s="5">
        <f t="shared" si="0"/>
        <v>0.17617054867069004</v>
      </c>
      <c r="E46" s="21">
        <v>0.46119037928928103</v>
      </c>
      <c r="F46" s="21">
        <f t="shared" si="1"/>
        <v>5.8809620710718991E-2</v>
      </c>
    </row>
    <row r="47" spans="1:6" x14ac:dyDescent="0.25">
      <c r="B47" s="5">
        <v>0.74</v>
      </c>
      <c r="C47" s="5">
        <v>0.50294566256817597</v>
      </c>
      <c r="D47" s="5">
        <f t="shared" si="0"/>
        <v>0.23705433743182402</v>
      </c>
      <c r="E47" s="21">
        <v>0.67679091065450503</v>
      </c>
      <c r="F47" s="21">
        <f t="shared" si="1"/>
        <v>6.3209089345494962E-2</v>
      </c>
    </row>
    <row r="48" spans="1:6" x14ac:dyDescent="0.25">
      <c r="A48" t="s">
        <v>30</v>
      </c>
      <c r="B48" s="5">
        <v>0.17</v>
      </c>
      <c r="C48" s="5">
        <v>0.115038822092364</v>
      </c>
      <c r="D48" s="5">
        <f t="shared" si="0"/>
        <v>5.4961177907636008E-2</v>
      </c>
      <c r="E48" s="21">
        <v>0.12862827836683199</v>
      </c>
      <c r="F48" s="21">
        <f t="shared" si="1"/>
        <v>4.1371721633168018E-2</v>
      </c>
    </row>
    <row r="49" spans="1:6" x14ac:dyDescent="0.25">
      <c r="B49" s="5">
        <v>0.36</v>
      </c>
      <c r="C49" s="5">
        <v>0.22879062923694601</v>
      </c>
      <c r="D49" s="5">
        <f t="shared" si="0"/>
        <v>0.13120937076305397</v>
      </c>
      <c r="E49" s="21">
        <v>0.29431649941524501</v>
      </c>
      <c r="F49" s="21">
        <f t="shared" si="1"/>
        <v>6.5683500584754972E-2</v>
      </c>
    </row>
    <row r="50" spans="1:6" x14ac:dyDescent="0.25">
      <c r="B50" s="5">
        <v>0.56000000000000005</v>
      </c>
      <c r="C50" s="5">
        <v>0.34382945132930998</v>
      </c>
      <c r="D50" s="5">
        <f t="shared" si="0"/>
        <v>0.21617054867069008</v>
      </c>
      <c r="E50" s="21">
        <v>0.46119037928928103</v>
      </c>
      <c r="F50" s="21">
        <f t="shared" si="1"/>
        <v>9.8809620710719026E-2</v>
      </c>
    </row>
    <row r="51" spans="1:6" x14ac:dyDescent="0.25">
      <c r="B51" s="5">
        <v>0.78</v>
      </c>
      <c r="C51" s="5">
        <v>0.50294566256817597</v>
      </c>
      <c r="D51" s="5">
        <f t="shared" si="0"/>
        <v>0.27705433743182406</v>
      </c>
      <c r="E51" s="21">
        <v>0.67679091065450503</v>
      </c>
      <c r="F51" s="21">
        <f t="shared" si="1"/>
        <v>0.103209089345495</v>
      </c>
    </row>
    <row r="52" spans="1:6" x14ac:dyDescent="0.25">
      <c r="A52" t="s">
        <v>31</v>
      </c>
      <c r="B52" s="5">
        <v>0.31</v>
      </c>
      <c r="C52" s="5">
        <v>0.26142770114999903</v>
      </c>
      <c r="D52" s="5">
        <f t="shared" si="0"/>
        <v>4.8572298850000972E-2</v>
      </c>
      <c r="E52" s="21">
        <v>0.337329961020365</v>
      </c>
      <c r="F52" s="21">
        <f t="shared" si="1"/>
        <v>-2.7329961020365001E-2</v>
      </c>
    </row>
    <row r="53" spans="1:6" x14ac:dyDescent="0.25">
      <c r="B53" s="5">
        <v>0.44</v>
      </c>
      <c r="C53" s="5">
        <v>0.35522130050725198</v>
      </c>
      <c r="D53" s="5">
        <f t="shared" si="0"/>
        <v>8.4778699492748022E-2</v>
      </c>
      <c r="E53" s="21">
        <v>0.512087718894221</v>
      </c>
      <c r="F53" s="21">
        <f t="shared" si="1"/>
        <v>-7.2087718894220998E-2</v>
      </c>
    </row>
    <row r="54" spans="1:6" x14ac:dyDescent="0.25">
      <c r="A54" t="s">
        <v>32</v>
      </c>
      <c r="B54" s="5">
        <v>0.14000000000000001</v>
      </c>
      <c r="C54" s="5">
        <v>0.204037001359618</v>
      </c>
      <c r="D54" s="5">
        <f t="shared" si="0"/>
        <v>-6.4037001359617984E-2</v>
      </c>
      <c r="E54" s="21">
        <v>0.208248294659241</v>
      </c>
      <c r="F54" s="21">
        <f t="shared" si="1"/>
        <v>-6.8248294659240982E-2</v>
      </c>
    </row>
    <row r="55" spans="1:6" x14ac:dyDescent="0.25">
      <c r="B55" s="5">
        <v>0.31</v>
      </c>
      <c r="C55" s="5">
        <v>0.255046251699522</v>
      </c>
      <c r="D55" s="5">
        <f t="shared" si="0"/>
        <v>5.4953748300478E-2</v>
      </c>
      <c r="E55" s="21">
        <v>0.32538796040506401</v>
      </c>
      <c r="F55" s="21">
        <f t="shared" si="1"/>
        <v>-1.5387960405064016E-2</v>
      </c>
    </row>
    <row r="56" spans="1:6" x14ac:dyDescent="0.25">
      <c r="B56" s="5">
        <v>0.4</v>
      </c>
      <c r="C56" s="5">
        <v>0.34178055859895101</v>
      </c>
      <c r="D56" s="5">
        <f t="shared" si="0"/>
        <v>5.821944140104901E-2</v>
      </c>
      <c r="E56" s="21">
        <v>0.491638007513166</v>
      </c>
      <c r="F56" s="21">
        <f t="shared" si="1"/>
        <v>-9.1638007513165975E-2</v>
      </c>
    </row>
    <row r="57" spans="1:6" x14ac:dyDescent="0.25">
      <c r="A57" t="s">
        <v>33</v>
      </c>
      <c r="B57" s="5">
        <v>0.25</v>
      </c>
      <c r="C57" s="5">
        <v>0.204037001359618</v>
      </c>
      <c r="D57" s="5">
        <f t="shared" si="0"/>
        <v>4.5962998640382002E-2</v>
      </c>
      <c r="E57" s="21">
        <v>0.208248294659241</v>
      </c>
      <c r="F57" s="21">
        <f t="shared" si="1"/>
        <v>4.1751705340759004E-2</v>
      </c>
    </row>
    <row r="58" spans="1:6" x14ac:dyDescent="0.25">
      <c r="B58" s="5">
        <v>0.44</v>
      </c>
      <c r="C58" s="5">
        <v>0.255046251699522</v>
      </c>
      <c r="D58" s="5">
        <f t="shared" si="0"/>
        <v>0.184953748300478</v>
      </c>
      <c r="E58" s="21">
        <v>0.32538796040506401</v>
      </c>
      <c r="F58" s="21">
        <f t="shared" si="1"/>
        <v>0.11461203959493599</v>
      </c>
    </row>
    <row r="59" spans="1:6" x14ac:dyDescent="0.25">
      <c r="B59" s="5">
        <v>0.56000000000000005</v>
      </c>
      <c r="C59" s="5">
        <v>0.34178055859895101</v>
      </c>
      <c r="D59" s="5">
        <f t="shared" si="0"/>
        <v>0.21821944140104904</v>
      </c>
      <c r="E59" s="21">
        <v>0.491638007513166</v>
      </c>
      <c r="F59" s="21">
        <f t="shared" si="1"/>
        <v>6.8361992486834056E-2</v>
      </c>
    </row>
    <row r="60" spans="1:6" x14ac:dyDescent="0.25">
      <c r="A60" t="s">
        <v>34</v>
      </c>
      <c r="B60" s="5">
        <v>0.23</v>
      </c>
      <c r="C60" s="5">
        <v>0.15610003267778999</v>
      </c>
      <c r="D60" s="5">
        <f t="shared" si="0"/>
        <v>7.389996732221002E-2</v>
      </c>
      <c r="E60" s="21">
        <v>0.15979660735343701</v>
      </c>
      <c r="F60" s="21">
        <f t="shared" si="1"/>
        <v>7.0203392646563001E-2</v>
      </c>
    </row>
    <row r="61" spans="1:6" x14ac:dyDescent="0.25">
      <c r="B61" s="5">
        <v>0.35</v>
      </c>
      <c r="C61" s="5">
        <v>0.25946151729319999</v>
      </c>
      <c r="D61" s="5">
        <f t="shared" si="0"/>
        <v>9.0538482706799983E-2</v>
      </c>
      <c r="E61" s="21">
        <v>0.28188069149101402</v>
      </c>
      <c r="F61" s="21">
        <f t="shared" si="1"/>
        <v>6.8119308508985954E-2</v>
      </c>
    </row>
    <row r="62" spans="1:6" x14ac:dyDescent="0.25">
      <c r="B62" s="5">
        <v>0.49</v>
      </c>
      <c r="C62" s="5">
        <v>0.36282300190861</v>
      </c>
      <c r="D62" s="5">
        <f t="shared" si="0"/>
        <v>0.12717699809138999</v>
      </c>
      <c r="E62" s="21">
        <v>0.40396477562859101</v>
      </c>
      <c r="F62" s="21">
        <f t="shared" si="1"/>
        <v>8.603522437140898E-2</v>
      </c>
    </row>
    <row r="63" spans="1:6" x14ac:dyDescent="0.25">
      <c r="B63" s="5">
        <v>0.67</v>
      </c>
      <c r="C63" s="5">
        <v>0.43961936124438999</v>
      </c>
      <c r="D63" s="5">
        <f t="shared" si="0"/>
        <v>0.23038063875561005</v>
      </c>
      <c r="E63" s="21">
        <v>0.49024229779742001</v>
      </c>
      <c r="F63" s="21">
        <f t="shared" si="1"/>
        <v>0.17975770220258003</v>
      </c>
    </row>
    <row r="64" spans="1:6" x14ac:dyDescent="0.25">
      <c r="A64" t="s">
        <v>35</v>
      </c>
      <c r="B64" s="5">
        <v>0.27</v>
      </c>
      <c r="C64" s="5">
        <v>0.15610003267778999</v>
      </c>
      <c r="D64" s="5">
        <f t="shared" si="0"/>
        <v>0.11389996732221003</v>
      </c>
      <c r="E64" s="21">
        <v>0.15979660735343701</v>
      </c>
      <c r="F64" s="21">
        <f t="shared" si="1"/>
        <v>0.11020339264656301</v>
      </c>
    </row>
    <row r="65" spans="1:6" x14ac:dyDescent="0.25">
      <c r="B65" s="5">
        <v>0.4</v>
      </c>
      <c r="C65" s="5">
        <v>0.25946151729319999</v>
      </c>
      <c r="D65" s="5">
        <f t="shared" si="0"/>
        <v>0.14053848270680003</v>
      </c>
      <c r="E65" s="21">
        <v>0.28188069149101402</v>
      </c>
      <c r="F65" s="21">
        <f t="shared" si="1"/>
        <v>0.118119308508986</v>
      </c>
    </row>
    <row r="66" spans="1:6" x14ac:dyDescent="0.25">
      <c r="B66" s="5">
        <v>0.53</v>
      </c>
      <c r="C66" s="5">
        <v>0.36282300190861</v>
      </c>
      <c r="D66" s="5">
        <f t="shared" si="0"/>
        <v>0.16717699809139003</v>
      </c>
      <c r="E66" s="21">
        <v>0.40396477562859101</v>
      </c>
      <c r="F66" s="21">
        <f t="shared" si="1"/>
        <v>0.12603522437140902</v>
      </c>
    </row>
    <row r="67" spans="1:6" x14ac:dyDescent="0.25">
      <c r="B67" s="5">
        <v>0.72</v>
      </c>
      <c r="C67" s="5">
        <v>0.43961936124438999</v>
      </c>
      <c r="D67" s="5">
        <f t="shared" ref="D67:D130" si="2">B67-C67</f>
        <v>0.28038063875560998</v>
      </c>
      <c r="E67" s="21">
        <v>0.49024229779742001</v>
      </c>
      <c r="F67" s="21">
        <f t="shared" ref="F67:F130" si="3">B67-E67</f>
        <v>0.22975770220257996</v>
      </c>
    </row>
    <row r="68" spans="1:6" x14ac:dyDescent="0.25">
      <c r="A68" t="s">
        <v>36</v>
      </c>
      <c r="B68" s="5">
        <v>0.3</v>
      </c>
      <c r="C68" s="5">
        <v>0.10939457736918699</v>
      </c>
      <c r="D68" s="5">
        <f t="shared" si="2"/>
        <v>0.19060542263081298</v>
      </c>
      <c r="E68" s="21">
        <v>0.221639798156612</v>
      </c>
      <c r="F68" s="21">
        <f t="shared" si="3"/>
        <v>7.8360201843387989E-2</v>
      </c>
    </row>
    <row r="69" spans="1:6" x14ac:dyDescent="0.25">
      <c r="B69" s="5">
        <v>0.56999999999999995</v>
      </c>
      <c r="C69" s="5">
        <v>0.38150227100816497</v>
      </c>
      <c r="D69" s="5">
        <f t="shared" si="2"/>
        <v>0.18849772899183498</v>
      </c>
      <c r="E69" s="21">
        <v>0.443279596313223</v>
      </c>
      <c r="F69" s="21">
        <f t="shared" si="3"/>
        <v>0.12672040368677695</v>
      </c>
    </row>
    <row r="70" spans="1:6" x14ac:dyDescent="0.25">
      <c r="A70" t="s">
        <v>37</v>
      </c>
      <c r="B70" s="5">
        <v>0.26</v>
      </c>
      <c r="C70" s="5">
        <v>0.106297702576725</v>
      </c>
      <c r="D70" s="5">
        <f t="shared" si="2"/>
        <v>0.15370229742327501</v>
      </c>
      <c r="E70" s="21">
        <v>0.106297702576725</v>
      </c>
      <c r="F70" s="21">
        <f t="shared" si="3"/>
        <v>0.15370229742327501</v>
      </c>
    </row>
    <row r="71" spans="1:6" x14ac:dyDescent="0.25">
      <c r="B71" s="5">
        <v>0.6</v>
      </c>
      <c r="C71" s="5">
        <v>0.37132705037540797</v>
      </c>
      <c r="D71" s="5">
        <f t="shared" si="2"/>
        <v>0.228672949624592</v>
      </c>
      <c r="E71" s="21">
        <v>0.40042765797216201</v>
      </c>
      <c r="F71" s="21">
        <f t="shared" si="3"/>
        <v>0.19957234202783797</v>
      </c>
    </row>
    <row r="72" spans="1:6" x14ac:dyDescent="0.25">
      <c r="A72" t="s">
        <v>38</v>
      </c>
      <c r="B72" s="5">
        <v>0.27</v>
      </c>
      <c r="C72" s="5">
        <v>0.106297702576725</v>
      </c>
      <c r="D72" s="5">
        <f t="shared" si="2"/>
        <v>0.16370229742327502</v>
      </c>
      <c r="E72" s="21">
        <v>0.106297702576725</v>
      </c>
      <c r="F72" s="21">
        <f t="shared" si="3"/>
        <v>0.16370229742327502</v>
      </c>
    </row>
    <row r="73" spans="1:6" x14ac:dyDescent="0.25">
      <c r="B73" s="5">
        <v>0.59</v>
      </c>
      <c r="C73" s="5">
        <v>0.37132705037540797</v>
      </c>
      <c r="D73" s="5">
        <f t="shared" si="2"/>
        <v>0.21867294962459199</v>
      </c>
      <c r="E73" s="21">
        <v>0.40042765797216201</v>
      </c>
      <c r="F73" s="21">
        <f t="shared" si="3"/>
        <v>0.18957234202783796</v>
      </c>
    </row>
    <row r="74" spans="1:6" x14ac:dyDescent="0.25">
      <c r="A74" t="s">
        <v>39</v>
      </c>
      <c r="B74" s="5">
        <v>0.15</v>
      </c>
      <c r="C74" s="5">
        <v>0.123662143998871</v>
      </c>
      <c r="D74" s="5">
        <f t="shared" si="2"/>
        <v>2.6337856001128993E-2</v>
      </c>
      <c r="E74" s="21">
        <v>0.145762856227899</v>
      </c>
      <c r="F74" s="21">
        <f t="shared" si="3"/>
        <v>4.237143772100993E-3</v>
      </c>
    </row>
    <row r="75" spans="1:6" x14ac:dyDescent="0.25">
      <c r="B75" s="5">
        <v>0.17</v>
      </c>
      <c r="C75" s="5">
        <v>0.153702296183471</v>
      </c>
      <c r="D75" s="5">
        <f t="shared" si="2"/>
        <v>1.6297703816529008E-2</v>
      </c>
      <c r="E75" s="21">
        <v>0.18594638321687901</v>
      </c>
      <c r="F75" s="21">
        <f t="shared" si="3"/>
        <v>-1.5946383216878995E-2</v>
      </c>
    </row>
    <row r="76" spans="1:6" x14ac:dyDescent="0.25">
      <c r="A76" t="s">
        <v>40</v>
      </c>
      <c r="B76" s="5">
        <v>0.15</v>
      </c>
      <c r="C76" s="5">
        <v>0.122571018889015</v>
      </c>
      <c r="D76" s="5">
        <f t="shared" si="2"/>
        <v>2.742898111098499E-2</v>
      </c>
      <c r="E76" s="21">
        <v>0.13878769380193201</v>
      </c>
      <c r="F76" s="21">
        <f t="shared" si="3"/>
        <v>1.1212306198067984E-2</v>
      </c>
    </row>
    <row r="77" spans="1:6" x14ac:dyDescent="0.25">
      <c r="B77" s="5">
        <v>0.17</v>
      </c>
      <c r="C77" s="5">
        <v>0.14657657941336699</v>
      </c>
      <c r="D77" s="5">
        <f t="shared" si="2"/>
        <v>2.342342058663302E-2</v>
      </c>
      <c r="E77" s="21">
        <v>0.16917412974027901</v>
      </c>
      <c r="F77" s="21">
        <f t="shared" si="3"/>
        <v>8.2587025972100103E-4</v>
      </c>
    </row>
    <row r="78" spans="1:6" x14ac:dyDescent="0.25">
      <c r="B78" s="5">
        <v>0.2</v>
      </c>
      <c r="C78" s="5">
        <v>0.18064898789954401</v>
      </c>
      <c r="D78" s="5">
        <f t="shared" si="2"/>
        <v>1.9351012100456005E-2</v>
      </c>
      <c r="E78" s="21">
        <v>0.21230326462051399</v>
      </c>
      <c r="F78" s="21">
        <f t="shared" si="3"/>
        <v>-1.2303264620513982E-2</v>
      </c>
    </row>
    <row r="79" spans="1:6" x14ac:dyDescent="0.25">
      <c r="A79" t="s">
        <v>41</v>
      </c>
      <c r="B79" s="5">
        <v>0.16</v>
      </c>
      <c r="C79" s="5">
        <v>0.111252068275181</v>
      </c>
      <c r="D79" s="5">
        <f t="shared" si="2"/>
        <v>4.8747931724819005E-2</v>
      </c>
      <c r="E79" s="21">
        <v>0.12007419362751801</v>
      </c>
      <c r="F79" s="21">
        <f t="shared" si="3"/>
        <v>3.9925806372481998E-2</v>
      </c>
    </row>
    <row r="80" spans="1:6" x14ac:dyDescent="0.25">
      <c r="B80" s="5">
        <v>0.21</v>
      </c>
      <c r="C80" s="5">
        <v>0.153759462873372</v>
      </c>
      <c r="D80" s="5">
        <f t="shared" si="2"/>
        <v>5.6240537126627993E-2</v>
      </c>
      <c r="E80" s="21">
        <v>0.17056620402683201</v>
      </c>
      <c r="F80" s="21">
        <f t="shared" si="3"/>
        <v>3.9433795973167984E-2</v>
      </c>
    </row>
    <row r="81" spans="1:6" x14ac:dyDescent="0.25">
      <c r="A81" t="s">
        <v>42</v>
      </c>
      <c r="B81" s="5">
        <v>0.15</v>
      </c>
      <c r="C81" s="5">
        <v>0.122061551131185</v>
      </c>
      <c r="D81" s="5">
        <f t="shared" si="2"/>
        <v>2.7938448868814997E-2</v>
      </c>
      <c r="E81" s="21">
        <v>0.122061551131185</v>
      </c>
      <c r="F81" s="21">
        <f t="shared" si="3"/>
        <v>2.7938448868814997E-2</v>
      </c>
    </row>
    <row r="82" spans="1:6" x14ac:dyDescent="0.25">
      <c r="B82" s="5">
        <v>0.2</v>
      </c>
      <c r="C82" s="5">
        <v>0.139515994290002</v>
      </c>
      <c r="D82" s="5">
        <f t="shared" si="2"/>
        <v>6.0484005709998012E-2</v>
      </c>
      <c r="E82" s="21">
        <v>0.15548038806820799</v>
      </c>
      <c r="F82" s="21">
        <f t="shared" si="3"/>
        <v>4.4519611931792019E-2</v>
      </c>
    </row>
    <row r="83" spans="1:6" x14ac:dyDescent="0.25">
      <c r="B83" s="5">
        <v>0.25</v>
      </c>
      <c r="C83" s="5">
        <v>0.15697043744882</v>
      </c>
      <c r="D83" s="5">
        <f t="shared" si="2"/>
        <v>9.3029562551180001E-2</v>
      </c>
      <c r="E83" s="21">
        <v>0.19681733910587501</v>
      </c>
      <c r="F83" s="21">
        <f t="shared" si="3"/>
        <v>5.3182660894124989E-2</v>
      </c>
    </row>
    <row r="84" spans="1:6" x14ac:dyDescent="0.25">
      <c r="B84" s="5">
        <v>0.28000000000000003</v>
      </c>
      <c r="C84" s="5">
        <v>0.17439499286250301</v>
      </c>
      <c r="D84" s="5">
        <f t="shared" si="2"/>
        <v>0.10560500713749701</v>
      </c>
      <c r="E84" s="21">
        <v>0.24293810635657501</v>
      </c>
      <c r="F84" s="21">
        <f t="shared" si="3"/>
        <v>3.706189364342502E-2</v>
      </c>
    </row>
    <row r="85" spans="1:6" x14ac:dyDescent="0.25">
      <c r="B85" s="5">
        <v>0.28000000000000003</v>
      </c>
      <c r="C85" s="5">
        <v>0.197116438963645</v>
      </c>
      <c r="D85" s="5">
        <f t="shared" si="2"/>
        <v>8.2883561036355025E-2</v>
      </c>
      <c r="E85" s="21">
        <v>0.29732680364536002</v>
      </c>
      <c r="F85" s="21">
        <f t="shared" si="3"/>
        <v>-1.7326803645359989E-2</v>
      </c>
    </row>
    <row r="86" spans="1:6" x14ac:dyDescent="0.25">
      <c r="B86" s="5">
        <v>0.3</v>
      </c>
      <c r="C86" s="5">
        <v>0.240752546860689</v>
      </c>
      <c r="D86" s="5">
        <f t="shared" si="2"/>
        <v>5.9247453139310985E-2</v>
      </c>
      <c r="E86" s="21">
        <v>0.36721458076330898</v>
      </c>
      <c r="F86" s="21">
        <f t="shared" si="3"/>
        <v>-6.7214580763308995E-2</v>
      </c>
    </row>
    <row r="87" spans="1:6" x14ac:dyDescent="0.25">
      <c r="B87" s="5">
        <v>0.33</v>
      </c>
      <c r="C87" s="5">
        <v>0.28438865475773301</v>
      </c>
      <c r="D87" s="5">
        <f t="shared" si="2"/>
        <v>4.561134524226701E-2</v>
      </c>
      <c r="E87" s="21">
        <v>0.43710235788125801</v>
      </c>
      <c r="F87" s="21">
        <f t="shared" si="3"/>
        <v>-0.10710235788125799</v>
      </c>
    </row>
    <row r="88" spans="1:6" x14ac:dyDescent="0.25">
      <c r="B88" s="5">
        <v>0.33</v>
      </c>
      <c r="C88" s="5">
        <v>0.32787532392910301</v>
      </c>
      <c r="D88" s="5">
        <f t="shared" si="2"/>
        <v>2.1246760708970025E-3</v>
      </c>
      <c r="E88" s="21">
        <v>0.50675079329674799</v>
      </c>
      <c r="F88" s="21">
        <f t="shared" si="3"/>
        <v>-0.17675079329674798</v>
      </c>
    </row>
    <row r="89" spans="1:6" x14ac:dyDescent="0.25">
      <c r="A89" t="s">
        <v>43</v>
      </c>
      <c r="B89" s="5">
        <v>0.15</v>
      </c>
      <c r="C89" s="5">
        <v>0.139515994290002</v>
      </c>
      <c r="D89" s="5">
        <f t="shared" si="2"/>
        <v>1.0484005709997996E-2</v>
      </c>
      <c r="E89" s="21">
        <v>0.15548038806820799</v>
      </c>
      <c r="F89" s="21">
        <f t="shared" si="3"/>
        <v>-5.4803880682079975E-3</v>
      </c>
    </row>
    <row r="90" spans="1:6" x14ac:dyDescent="0.25">
      <c r="B90" s="5">
        <v>0.18</v>
      </c>
      <c r="C90" s="5">
        <v>0.15697043744882</v>
      </c>
      <c r="D90" s="5">
        <f t="shared" si="2"/>
        <v>2.3029562551179994E-2</v>
      </c>
      <c r="E90" s="21">
        <v>0.19681733910587501</v>
      </c>
      <c r="F90" s="21">
        <f t="shared" si="3"/>
        <v>-1.6817339105875018E-2</v>
      </c>
    </row>
    <row r="91" spans="1:6" x14ac:dyDescent="0.25">
      <c r="B91" s="5">
        <v>0.2</v>
      </c>
      <c r="C91" s="5">
        <v>0.17439499286250301</v>
      </c>
      <c r="D91" s="5">
        <f t="shared" si="2"/>
        <v>2.5605007137496999E-2</v>
      </c>
      <c r="E91" s="21">
        <v>0.24293810635657501</v>
      </c>
      <c r="F91" s="21">
        <f t="shared" si="3"/>
        <v>-4.2938106356574995E-2</v>
      </c>
    </row>
    <row r="92" spans="1:6" x14ac:dyDescent="0.25">
      <c r="B92" s="5">
        <v>0.25</v>
      </c>
      <c r="C92" s="5">
        <v>0.197116438963645</v>
      </c>
      <c r="D92" s="5">
        <f t="shared" si="2"/>
        <v>5.2883561036354998E-2</v>
      </c>
      <c r="E92" s="21">
        <v>0.29732680364536002</v>
      </c>
      <c r="F92" s="21">
        <f t="shared" si="3"/>
        <v>-4.7326803645360016E-2</v>
      </c>
    </row>
    <row r="93" spans="1:6" x14ac:dyDescent="0.25">
      <c r="B93" s="5">
        <v>0.3</v>
      </c>
      <c r="C93" s="5">
        <v>0.240752546860689</v>
      </c>
      <c r="D93" s="5">
        <f t="shared" si="2"/>
        <v>5.9247453139310985E-2</v>
      </c>
      <c r="E93" s="21">
        <v>0.36721458076330898</v>
      </c>
      <c r="F93" s="21">
        <f t="shared" si="3"/>
        <v>-6.7214580763308995E-2</v>
      </c>
    </row>
    <row r="94" spans="1:6" x14ac:dyDescent="0.25">
      <c r="B94" s="5">
        <v>0.33</v>
      </c>
      <c r="C94" s="5">
        <v>0.28438865475773301</v>
      </c>
      <c r="D94" s="5">
        <f t="shared" si="2"/>
        <v>4.561134524226701E-2</v>
      </c>
      <c r="E94" s="21">
        <v>0.43710235788125801</v>
      </c>
      <c r="F94" s="21">
        <f t="shared" si="3"/>
        <v>-0.10710235788125799</v>
      </c>
    </row>
    <row r="95" spans="1:6" x14ac:dyDescent="0.25">
      <c r="B95" s="5">
        <v>0.38</v>
      </c>
      <c r="C95" s="5">
        <v>0.32787532392910301</v>
      </c>
      <c r="D95" s="5">
        <f t="shared" si="2"/>
        <v>5.2124676070896991E-2</v>
      </c>
      <c r="E95" s="21">
        <v>0.50675079329674799</v>
      </c>
      <c r="F95" s="21">
        <f t="shared" si="3"/>
        <v>-0.12675079329674799</v>
      </c>
    </row>
    <row r="96" spans="1:6" x14ac:dyDescent="0.25">
      <c r="A96" t="s">
        <v>44</v>
      </c>
      <c r="B96" s="5">
        <v>0.15</v>
      </c>
      <c r="C96" s="5">
        <v>9.9274752045340003E-2</v>
      </c>
      <c r="D96" s="5">
        <f t="shared" si="2"/>
        <v>5.0725247954659991E-2</v>
      </c>
      <c r="E96" s="21">
        <v>0.110634462033796</v>
      </c>
      <c r="F96" s="21">
        <f t="shared" si="3"/>
        <v>3.9365537966203998E-2</v>
      </c>
    </row>
    <row r="97" spans="1:6" x14ac:dyDescent="0.25">
      <c r="B97" s="5">
        <v>0.18</v>
      </c>
      <c r="C97" s="5">
        <v>0.116178589995917</v>
      </c>
      <c r="D97" s="5">
        <f t="shared" si="2"/>
        <v>6.3821410004082993E-2</v>
      </c>
      <c r="E97" s="21">
        <v>0.14377344806676701</v>
      </c>
      <c r="F97" s="21">
        <f t="shared" si="3"/>
        <v>3.6226551933232987E-2</v>
      </c>
    </row>
    <row r="98" spans="1:6" x14ac:dyDescent="0.25">
      <c r="B98" s="5">
        <v>0.2</v>
      </c>
      <c r="C98" s="5">
        <v>0.14717536615403201</v>
      </c>
      <c r="D98" s="5">
        <f t="shared" si="2"/>
        <v>5.2824633845968E-2</v>
      </c>
      <c r="E98" s="21">
        <v>0.18990028944419701</v>
      </c>
      <c r="F98" s="21">
        <f t="shared" si="3"/>
        <v>1.0099710555802999E-2</v>
      </c>
    </row>
    <row r="99" spans="1:6" x14ac:dyDescent="0.25">
      <c r="B99" s="5">
        <v>0.23</v>
      </c>
      <c r="C99" s="5">
        <v>0.17817214231214801</v>
      </c>
      <c r="D99" s="5">
        <f t="shared" si="2"/>
        <v>5.1827857687852003E-2</v>
      </c>
      <c r="E99" s="21">
        <v>0.23602713082162699</v>
      </c>
      <c r="F99" s="21">
        <f t="shared" si="3"/>
        <v>-6.0271308216269803E-3</v>
      </c>
    </row>
    <row r="100" spans="1:6" x14ac:dyDescent="0.25">
      <c r="B100" s="5">
        <v>0.25</v>
      </c>
      <c r="C100" s="5">
        <v>0.20922208618237001</v>
      </c>
      <c r="D100" s="5">
        <f t="shared" si="2"/>
        <v>4.077791381762999E-2</v>
      </c>
      <c r="E100" s="21">
        <v>0.28223309199558799</v>
      </c>
      <c r="F100" s="21">
        <f t="shared" si="3"/>
        <v>-3.2233091995587992E-2</v>
      </c>
    </row>
    <row r="101" spans="1:6" x14ac:dyDescent="0.25">
      <c r="B101" s="5">
        <v>0.3</v>
      </c>
      <c r="C101" s="5">
        <v>0.24027203005259201</v>
      </c>
      <c r="D101" s="5">
        <f t="shared" si="2"/>
        <v>5.9727969947407977E-2</v>
      </c>
      <c r="E101" s="21">
        <v>0.32843905316954902</v>
      </c>
      <c r="F101" s="21">
        <f t="shared" si="3"/>
        <v>-2.8439053169549033E-2</v>
      </c>
    </row>
    <row r="102" spans="1:6" x14ac:dyDescent="0.25">
      <c r="B102" s="5">
        <v>0.3</v>
      </c>
      <c r="C102" s="5">
        <v>0.27121563849860097</v>
      </c>
      <c r="D102" s="5">
        <f t="shared" si="2"/>
        <v>2.8784361501399014E-2</v>
      </c>
      <c r="E102" s="21">
        <v>0.374486774750448</v>
      </c>
      <c r="F102" s="21">
        <f t="shared" si="3"/>
        <v>-7.4486774750448015E-2</v>
      </c>
    </row>
    <row r="103" spans="1:6" x14ac:dyDescent="0.25">
      <c r="A103" t="s">
        <v>45</v>
      </c>
      <c r="B103" s="5">
        <v>0.15</v>
      </c>
      <c r="C103" s="5">
        <v>8.6854774497251194E-2</v>
      </c>
      <c r="D103" s="5">
        <f t="shared" si="2"/>
        <v>6.31452255027488E-2</v>
      </c>
      <c r="E103" s="21">
        <v>8.6854774497251194E-2</v>
      </c>
      <c r="F103" s="21">
        <f t="shared" si="3"/>
        <v>6.31452255027488E-2</v>
      </c>
    </row>
    <row r="104" spans="1:6" x14ac:dyDescent="0.25">
      <c r="B104" s="5">
        <v>0.18</v>
      </c>
      <c r="C104" s="5">
        <v>9.9274752045340003E-2</v>
      </c>
      <c r="D104" s="5">
        <f t="shared" si="2"/>
        <v>8.072524795465999E-2</v>
      </c>
      <c r="E104" s="21">
        <v>0.110634462033796</v>
      </c>
      <c r="F104" s="21">
        <f t="shared" si="3"/>
        <v>6.9365537966203997E-2</v>
      </c>
    </row>
    <row r="105" spans="1:6" x14ac:dyDescent="0.25">
      <c r="B105" s="5">
        <v>0.18</v>
      </c>
      <c r="C105" s="5">
        <v>0.116178589995917</v>
      </c>
      <c r="D105" s="5">
        <f t="shared" si="2"/>
        <v>6.3821410004082993E-2</v>
      </c>
      <c r="E105" s="21">
        <v>0.14377344806676701</v>
      </c>
      <c r="F105" s="21">
        <f t="shared" si="3"/>
        <v>3.6226551933232987E-2</v>
      </c>
    </row>
    <row r="106" spans="1:6" x14ac:dyDescent="0.25">
      <c r="B106" s="5">
        <v>0.25</v>
      </c>
      <c r="C106" s="5">
        <v>0.14717536615403201</v>
      </c>
      <c r="D106" s="5">
        <f t="shared" si="2"/>
        <v>0.10282463384596799</v>
      </c>
      <c r="E106" s="21">
        <v>0.18990028944419701</v>
      </c>
      <c r="F106" s="21">
        <f t="shared" si="3"/>
        <v>6.0099710555802988E-2</v>
      </c>
    </row>
    <row r="107" spans="1:6" x14ac:dyDescent="0.25">
      <c r="B107" s="5">
        <v>0.28000000000000003</v>
      </c>
      <c r="C107" s="5">
        <v>0.17817214231214801</v>
      </c>
      <c r="D107" s="5">
        <f t="shared" si="2"/>
        <v>0.10182785768785202</v>
      </c>
      <c r="E107" s="21">
        <v>0.23602713082162699</v>
      </c>
      <c r="F107" s="21">
        <f t="shared" si="3"/>
        <v>4.3972869178373036E-2</v>
      </c>
    </row>
    <row r="108" spans="1:6" x14ac:dyDescent="0.25">
      <c r="B108" s="5">
        <v>0.33</v>
      </c>
      <c r="C108" s="5">
        <v>0.20922208618237001</v>
      </c>
      <c r="D108" s="5">
        <f t="shared" si="2"/>
        <v>0.12077791381763001</v>
      </c>
      <c r="E108" s="21">
        <v>0.28223309199558799</v>
      </c>
      <c r="F108" s="21">
        <f t="shared" si="3"/>
        <v>4.7766908004412023E-2</v>
      </c>
    </row>
    <row r="109" spans="1:6" x14ac:dyDescent="0.25">
      <c r="B109" s="5">
        <v>0.38</v>
      </c>
      <c r="C109" s="5">
        <v>0.24027203005259201</v>
      </c>
      <c r="D109" s="5">
        <f t="shared" si="2"/>
        <v>0.13972796994740799</v>
      </c>
      <c r="E109" s="21">
        <v>0.32843905316954902</v>
      </c>
      <c r="F109" s="21">
        <f t="shared" si="3"/>
        <v>5.1560946830450982E-2</v>
      </c>
    </row>
    <row r="110" spans="1:6" x14ac:dyDescent="0.25">
      <c r="B110" s="5">
        <v>0.43</v>
      </c>
      <c r="C110" s="5">
        <v>0.27121563849860097</v>
      </c>
      <c r="D110" s="5">
        <f t="shared" si="2"/>
        <v>0.15878436150139902</v>
      </c>
      <c r="E110" s="21">
        <v>0.374486774750448</v>
      </c>
      <c r="F110" s="21">
        <f t="shared" si="3"/>
        <v>5.551322524955199E-2</v>
      </c>
    </row>
    <row r="111" spans="1:6" x14ac:dyDescent="0.25">
      <c r="A111" t="s">
        <v>46</v>
      </c>
      <c r="B111" s="5">
        <v>0.15</v>
      </c>
      <c r="C111" s="5">
        <v>0.12226734357024099</v>
      </c>
      <c r="D111" s="5">
        <f t="shared" si="2"/>
        <v>2.7732656429759001E-2</v>
      </c>
      <c r="E111" s="21">
        <v>0.137972481933548</v>
      </c>
      <c r="F111" s="21">
        <f t="shared" si="3"/>
        <v>1.2027518066451998E-2</v>
      </c>
    </row>
    <row r="112" spans="1:6" x14ac:dyDescent="0.25">
      <c r="B112" s="5">
        <v>0.18</v>
      </c>
      <c r="C112" s="5">
        <v>0.139582863940406</v>
      </c>
      <c r="D112" s="5">
        <f t="shared" si="2"/>
        <v>4.0417136059593989E-2</v>
      </c>
      <c r="E112" s="21">
        <v>0.16178299565650001</v>
      </c>
      <c r="F112" s="21">
        <f t="shared" si="3"/>
        <v>1.8217004343499987E-2</v>
      </c>
    </row>
    <row r="113" spans="1:6" x14ac:dyDescent="0.25">
      <c r="B113" s="5">
        <v>0.18</v>
      </c>
      <c r="C113" s="5">
        <v>0.15695788781699799</v>
      </c>
      <c r="D113" s="5">
        <f t="shared" si="2"/>
        <v>2.3042112183002006E-2</v>
      </c>
      <c r="E113" s="21">
        <v>0.185675332450664</v>
      </c>
      <c r="F113" s="21">
        <f t="shared" si="3"/>
        <v>-5.6753324506640113E-3</v>
      </c>
    </row>
    <row r="114" spans="1:6" x14ac:dyDescent="0.25">
      <c r="B114" s="5">
        <v>0.2</v>
      </c>
      <c r="C114" s="5">
        <v>0.17433291169359</v>
      </c>
      <c r="D114" s="5">
        <f t="shared" si="2"/>
        <v>2.5667088306410013E-2</v>
      </c>
      <c r="E114" s="21">
        <v>0.209567669244829</v>
      </c>
      <c r="F114" s="21">
        <f t="shared" si="3"/>
        <v>-9.5676692448289913E-3</v>
      </c>
    </row>
    <row r="115" spans="1:6" x14ac:dyDescent="0.25">
      <c r="B115" s="5">
        <v>0.2</v>
      </c>
      <c r="C115" s="5">
        <v>0.19170793557018101</v>
      </c>
      <c r="D115" s="5">
        <f t="shared" si="2"/>
        <v>8.2920644298190016E-3</v>
      </c>
      <c r="E115" s="21">
        <v>0.233460006038994</v>
      </c>
      <c r="F115" s="21">
        <f t="shared" si="3"/>
        <v>-3.3460006038993989E-2</v>
      </c>
    </row>
    <row r="116" spans="1:6" x14ac:dyDescent="0.25">
      <c r="A116" t="s">
        <v>47</v>
      </c>
      <c r="B116" s="5">
        <v>0.15</v>
      </c>
      <c r="C116" s="5">
        <v>0.139582863940406</v>
      </c>
      <c r="D116" s="5">
        <f t="shared" si="2"/>
        <v>1.041713605959399E-2</v>
      </c>
      <c r="E116" s="21">
        <v>0.16178299565650001</v>
      </c>
      <c r="F116" s="21">
        <f t="shared" si="3"/>
        <v>-1.1782995656500012E-2</v>
      </c>
    </row>
    <row r="117" spans="1:6" x14ac:dyDescent="0.25">
      <c r="B117" s="5">
        <v>0.18</v>
      </c>
      <c r="C117" s="5">
        <v>0.15695788781699799</v>
      </c>
      <c r="D117" s="5">
        <f t="shared" si="2"/>
        <v>2.3042112183002006E-2</v>
      </c>
      <c r="E117" s="21">
        <v>0.185675332450664</v>
      </c>
      <c r="F117" s="21">
        <f t="shared" si="3"/>
        <v>-5.6753324506640113E-3</v>
      </c>
    </row>
    <row r="118" spans="1:6" x14ac:dyDescent="0.25">
      <c r="B118" s="5">
        <v>0.2</v>
      </c>
      <c r="C118" s="5">
        <v>0.17433291169359</v>
      </c>
      <c r="D118" s="5">
        <f t="shared" si="2"/>
        <v>2.5667088306410013E-2</v>
      </c>
      <c r="E118" s="21">
        <v>0.209567669244829</v>
      </c>
      <c r="F118" s="21">
        <f t="shared" si="3"/>
        <v>-9.5676692448289913E-3</v>
      </c>
    </row>
    <row r="119" spans="1:6" x14ac:dyDescent="0.25">
      <c r="B119" s="5">
        <v>0.2</v>
      </c>
      <c r="C119" s="5">
        <v>0.19170793557018101</v>
      </c>
      <c r="D119" s="5">
        <f t="shared" si="2"/>
        <v>8.2920644298190016E-3</v>
      </c>
      <c r="E119" s="21">
        <v>0.233460006038994</v>
      </c>
      <c r="F119" s="21">
        <f t="shared" si="3"/>
        <v>-3.3460006038993989E-2</v>
      </c>
    </row>
    <row r="120" spans="1:6" x14ac:dyDescent="0.25">
      <c r="A120" t="s">
        <v>48</v>
      </c>
      <c r="B120" s="5">
        <v>0.2</v>
      </c>
      <c r="C120" s="5">
        <v>7.2148609668635899E-2</v>
      </c>
      <c r="D120" s="5">
        <f t="shared" si="2"/>
        <v>0.12785139033136411</v>
      </c>
      <c r="E120" s="21">
        <v>7.2148609668635899E-2</v>
      </c>
      <c r="F120" s="21">
        <f t="shared" si="3"/>
        <v>0.12785139033136411</v>
      </c>
    </row>
    <row r="121" spans="1:6" x14ac:dyDescent="0.25">
      <c r="B121" s="5">
        <v>0.25</v>
      </c>
      <c r="C121" s="5">
        <v>9.9185026568017601E-2</v>
      </c>
      <c r="D121" s="5">
        <f t="shared" si="2"/>
        <v>0.15081497343198241</v>
      </c>
      <c r="E121" s="21">
        <v>0.12649536757740701</v>
      </c>
      <c r="F121" s="21">
        <f t="shared" si="3"/>
        <v>0.12350463242259299</v>
      </c>
    </row>
    <row r="122" spans="1:6" x14ac:dyDescent="0.25">
      <c r="B122" s="5">
        <v>0.33</v>
      </c>
      <c r="C122" s="5">
        <v>0.12948602837324</v>
      </c>
      <c r="D122" s="5">
        <f t="shared" si="2"/>
        <v>0.20051397162676002</v>
      </c>
      <c r="E122" s="21">
        <v>0.20676471345255301</v>
      </c>
      <c r="F122" s="21">
        <f t="shared" si="3"/>
        <v>0.123235286547447</v>
      </c>
    </row>
    <row r="123" spans="1:6" x14ac:dyDescent="0.25">
      <c r="A123" t="s">
        <v>49</v>
      </c>
      <c r="B123" s="5">
        <v>0.23</v>
      </c>
      <c r="C123" s="5">
        <v>9.9185026568017601E-2</v>
      </c>
      <c r="D123" s="5">
        <f t="shared" si="2"/>
        <v>0.1308149734319824</v>
      </c>
      <c r="E123" s="21">
        <v>0.12649536757740701</v>
      </c>
      <c r="F123" s="21">
        <f t="shared" si="3"/>
        <v>0.103504632422593</v>
      </c>
    </row>
    <row r="124" spans="1:6" x14ac:dyDescent="0.25">
      <c r="B124" s="5">
        <v>0.28000000000000003</v>
      </c>
      <c r="C124" s="5">
        <v>0.12948602837324</v>
      </c>
      <c r="D124" s="5">
        <f t="shared" si="2"/>
        <v>0.15051397162676003</v>
      </c>
      <c r="E124" s="21">
        <v>0.20676471345255301</v>
      </c>
      <c r="F124" s="21">
        <f t="shared" si="3"/>
        <v>7.3235286547447015E-2</v>
      </c>
    </row>
    <row r="125" spans="1:6" x14ac:dyDescent="0.25">
      <c r="A125" t="s">
        <v>50</v>
      </c>
      <c r="B125" s="5">
        <v>0.18</v>
      </c>
      <c r="C125" s="5">
        <v>8.6147565717616198E-2</v>
      </c>
      <c r="D125" s="5">
        <f t="shared" si="2"/>
        <v>9.3852434282383795E-2</v>
      </c>
      <c r="E125" s="21">
        <v>9.4650621461280005E-2</v>
      </c>
      <c r="F125" s="21">
        <f t="shared" si="3"/>
        <v>8.5349378538719989E-2</v>
      </c>
    </row>
    <row r="126" spans="1:6" x14ac:dyDescent="0.25">
      <c r="B126" s="5">
        <v>0.23</v>
      </c>
      <c r="C126" s="5">
        <v>0.104600226673042</v>
      </c>
      <c r="D126" s="5">
        <f t="shared" si="2"/>
        <v>0.12539977332695801</v>
      </c>
      <c r="E126" s="21">
        <v>0.13954127956816201</v>
      </c>
      <c r="F126" s="21">
        <f t="shared" si="3"/>
        <v>9.0458720431838002E-2</v>
      </c>
    </row>
    <row r="127" spans="1:6" x14ac:dyDescent="0.25">
      <c r="B127" s="5">
        <v>0.25</v>
      </c>
      <c r="C127" s="5">
        <v>0.123052887628468</v>
      </c>
      <c r="D127" s="5">
        <f t="shared" si="2"/>
        <v>0.126947112371532</v>
      </c>
      <c r="E127" s="21">
        <v>0.19311725018881401</v>
      </c>
      <c r="F127" s="21">
        <f t="shared" si="3"/>
        <v>5.688274981118599E-2</v>
      </c>
    </row>
    <row r="128" spans="1:6" x14ac:dyDescent="0.25">
      <c r="A128" t="s">
        <v>51</v>
      </c>
      <c r="B128" s="5">
        <v>0.18</v>
      </c>
      <c r="C128" s="5">
        <v>8.6147565717616198E-2</v>
      </c>
      <c r="D128" s="5">
        <f t="shared" si="2"/>
        <v>9.3852434282383795E-2</v>
      </c>
      <c r="E128" s="21">
        <v>9.4650621461280005E-2</v>
      </c>
      <c r="F128" s="21">
        <f t="shared" si="3"/>
        <v>8.5349378538719989E-2</v>
      </c>
    </row>
    <row r="129" spans="1:6" x14ac:dyDescent="0.25">
      <c r="B129" s="5">
        <v>0.23</v>
      </c>
      <c r="C129" s="5">
        <v>0.104600226673042</v>
      </c>
      <c r="D129" s="5">
        <f t="shared" si="2"/>
        <v>0.12539977332695801</v>
      </c>
      <c r="E129" s="21">
        <v>0.13954127956816201</v>
      </c>
      <c r="F129" s="21">
        <f t="shared" si="3"/>
        <v>9.0458720431838002E-2</v>
      </c>
    </row>
    <row r="130" spans="1:6" x14ac:dyDescent="0.25">
      <c r="B130" s="5">
        <v>0.25</v>
      </c>
      <c r="C130" s="5">
        <v>0.123052887628468</v>
      </c>
      <c r="D130" s="5">
        <f t="shared" si="2"/>
        <v>0.126947112371532</v>
      </c>
      <c r="E130" s="21">
        <v>0.19311725018881401</v>
      </c>
      <c r="F130" s="21">
        <f t="shared" si="3"/>
        <v>5.688274981118599E-2</v>
      </c>
    </row>
    <row r="131" spans="1:6" x14ac:dyDescent="0.25">
      <c r="A131" t="s">
        <v>52</v>
      </c>
      <c r="B131" s="5">
        <v>0.15</v>
      </c>
      <c r="C131" s="5">
        <v>9.2384993595776899E-2</v>
      </c>
      <c r="D131" s="5">
        <f t="shared" ref="D131:D194" si="4">B131-C131</f>
        <v>5.7615006404223096E-2</v>
      </c>
      <c r="E131" s="21">
        <v>0.11009713975023699</v>
      </c>
      <c r="F131" s="21">
        <f t="shared" ref="F131:F194" si="5">B131-E131</f>
        <v>3.9902860249763E-2</v>
      </c>
    </row>
    <row r="132" spans="1:6" x14ac:dyDescent="0.25">
      <c r="B132" s="5">
        <v>0.15</v>
      </c>
      <c r="C132" s="5">
        <v>0.106238784409197</v>
      </c>
      <c r="D132" s="5">
        <f t="shared" si="4"/>
        <v>4.3761215590802996E-2</v>
      </c>
      <c r="E132" s="21">
        <v>0.14559261818925501</v>
      </c>
      <c r="F132" s="21">
        <f t="shared" si="5"/>
        <v>4.4073818107449869E-3</v>
      </c>
    </row>
    <row r="133" spans="1:6" x14ac:dyDescent="0.25">
      <c r="B133" s="5">
        <v>0.18</v>
      </c>
      <c r="C133" s="5">
        <v>0.120092575222617</v>
      </c>
      <c r="D133" s="5">
        <f t="shared" si="4"/>
        <v>5.9907424777382992E-2</v>
      </c>
      <c r="E133" s="21">
        <v>0.18603963806057899</v>
      </c>
      <c r="F133" s="21">
        <f t="shared" si="5"/>
        <v>-6.0396380605790001E-3</v>
      </c>
    </row>
    <row r="134" spans="1:6" x14ac:dyDescent="0.25">
      <c r="A134" t="s">
        <v>53</v>
      </c>
      <c r="B134" s="5">
        <v>0.18</v>
      </c>
      <c r="C134" s="5">
        <v>9.2384993595776899E-2</v>
      </c>
      <c r="D134" s="5">
        <f t="shared" si="4"/>
        <v>8.7615006404223095E-2</v>
      </c>
      <c r="E134" s="21">
        <v>0.11009713975023699</v>
      </c>
      <c r="F134" s="21">
        <f t="shared" si="5"/>
        <v>6.9902860249762999E-2</v>
      </c>
    </row>
    <row r="135" spans="1:6" x14ac:dyDescent="0.25">
      <c r="B135" s="5">
        <v>0.2</v>
      </c>
      <c r="C135" s="5">
        <v>0.106238784409197</v>
      </c>
      <c r="D135" s="5">
        <f t="shared" si="4"/>
        <v>9.3761215590803013E-2</v>
      </c>
      <c r="E135" s="21">
        <v>0.14559261818925501</v>
      </c>
      <c r="F135" s="21">
        <f t="shared" si="5"/>
        <v>5.4407381810745004E-2</v>
      </c>
    </row>
    <row r="136" spans="1:6" x14ac:dyDescent="0.25">
      <c r="B136" s="5">
        <v>0.23</v>
      </c>
      <c r="C136" s="5">
        <v>0.120092575222617</v>
      </c>
      <c r="D136" s="5">
        <f t="shared" si="4"/>
        <v>0.10990742477738301</v>
      </c>
      <c r="E136" s="21">
        <v>0.18603963806057899</v>
      </c>
      <c r="F136" s="21">
        <f t="shared" si="5"/>
        <v>4.3960361939421017E-2</v>
      </c>
    </row>
    <row r="137" spans="1:6" x14ac:dyDescent="0.25">
      <c r="A137" t="s">
        <v>54</v>
      </c>
      <c r="B137" s="5">
        <v>0.16</v>
      </c>
      <c r="C137" s="5">
        <v>0.16285127956433501</v>
      </c>
      <c r="D137" s="5">
        <f t="shared" si="4"/>
        <v>-2.8512795643350075E-3</v>
      </c>
      <c r="E137" s="21">
        <v>0.20977002213391199</v>
      </c>
      <c r="F137" s="21">
        <f t="shared" si="5"/>
        <v>-4.977002213391199E-2</v>
      </c>
    </row>
    <row r="138" spans="1:6" x14ac:dyDescent="0.25">
      <c r="B138" s="5">
        <v>0.18</v>
      </c>
      <c r="C138" s="5">
        <v>0.17476722684953</v>
      </c>
      <c r="D138" s="5">
        <f t="shared" si="4"/>
        <v>5.2327731504699937E-3</v>
      </c>
      <c r="E138" s="21">
        <v>0.24159117361763999</v>
      </c>
      <c r="F138" s="21">
        <f t="shared" si="5"/>
        <v>-6.1591173617639994E-2</v>
      </c>
    </row>
    <row r="139" spans="1:6" x14ac:dyDescent="0.25">
      <c r="B139" s="5">
        <v>0.2</v>
      </c>
      <c r="C139" s="5">
        <v>0.18827196710608499</v>
      </c>
      <c r="D139" s="5">
        <f t="shared" si="4"/>
        <v>1.1728032893915025E-2</v>
      </c>
      <c r="E139" s="21">
        <v>0.28037055022581098</v>
      </c>
      <c r="F139" s="21">
        <f t="shared" si="5"/>
        <v>-8.0370550225810966E-2</v>
      </c>
    </row>
    <row r="140" spans="1:6" x14ac:dyDescent="0.25">
      <c r="B140" s="5">
        <v>0.22</v>
      </c>
      <c r="C140" s="5">
        <v>0.20018791439128</v>
      </c>
      <c r="D140" s="5">
        <f t="shared" si="4"/>
        <v>1.9812085608719998E-2</v>
      </c>
      <c r="E140" s="21">
        <v>0.31698359275650101</v>
      </c>
      <c r="F140" s="21">
        <f t="shared" si="5"/>
        <v>-9.6983592756501008E-2</v>
      </c>
    </row>
    <row r="141" spans="1:6" x14ac:dyDescent="0.25">
      <c r="B141" s="5">
        <v>0.24</v>
      </c>
      <c r="C141" s="5">
        <v>0.21372760574098101</v>
      </c>
      <c r="D141" s="5">
        <f t="shared" si="4"/>
        <v>2.6272394259018977E-2</v>
      </c>
      <c r="E141" s="21">
        <v>0.361212647008122</v>
      </c>
      <c r="F141" s="21">
        <f t="shared" si="5"/>
        <v>-0.12121264700812201</v>
      </c>
    </row>
    <row r="142" spans="1:6" x14ac:dyDescent="0.25">
      <c r="B142" s="5">
        <v>0.26</v>
      </c>
      <c r="C142" s="5">
        <v>0.243517473953969</v>
      </c>
      <c r="D142" s="5">
        <f t="shared" si="4"/>
        <v>1.648252604603101E-2</v>
      </c>
      <c r="E142" s="21">
        <v>0.41114123614227499</v>
      </c>
      <c r="F142" s="21">
        <f t="shared" si="5"/>
        <v>-0.15114123614227498</v>
      </c>
    </row>
    <row r="143" spans="1:6" x14ac:dyDescent="0.25">
      <c r="B143" s="5">
        <v>0.28000000000000003</v>
      </c>
      <c r="C143" s="5">
        <v>0.27926531580955499</v>
      </c>
      <c r="D143" s="5">
        <f t="shared" si="4"/>
        <v>7.3468419044503408E-4</v>
      </c>
      <c r="E143" s="21">
        <v>0.47105554310325798</v>
      </c>
      <c r="F143" s="21">
        <f t="shared" si="5"/>
        <v>-0.19105554310325795</v>
      </c>
    </row>
    <row r="144" spans="1:6" x14ac:dyDescent="0.25">
      <c r="A144" t="s">
        <v>55</v>
      </c>
      <c r="B144" s="5">
        <v>0.15</v>
      </c>
      <c r="C144" s="5">
        <v>0.14934653930778</v>
      </c>
      <c r="D144" s="5">
        <f t="shared" si="4"/>
        <v>6.5346069221999814E-4</v>
      </c>
      <c r="E144" s="21">
        <v>0.176421455378964</v>
      </c>
      <c r="F144" s="21">
        <f t="shared" si="5"/>
        <v>-2.6421455378964009E-2</v>
      </c>
    </row>
    <row r="145" spans="1:6" x14ac:dyDescent="0.25">
      <c r="B145" s="5">
        <v>0.17</v>
      </c>
      <c r="C145" s="5">
        <v>0.16285127956433501</v>
      </c>
      <c r="D145" s="5">
        <f t="shared" si="4"/>
        <v>7.1487204356650014E-3</v>
      </c>
      <c r="E145" s="21">
        <v>0.20977002213391199</v>
      </c>
      <c r="F145" s="21">
        <f t="shared" si="5"/>
        <v>-3.9770022133911981E-2</v>
      </c>
    </row>
    <row r="146" spans="1:6" x14ac:dyDescent="0.25">
      <c r="B146" s="5">
        <v>0.19</v>
      </c>
      <c r="C146" s="5">
        <v>0.17556162333521</v>
      </c>
      <c r="D146" s="5">
        <f t="shared" si="4"/>
        <v>1.4438376664790004E-2</v>
      </c>
      <c r="E146" s="21">
        <v>0.243792448567338</v>
      </c>
      <c r="F146" s="21">
        <f t="shared" si="5"/>
        <v>-5.3792448567338003E-2</v>
      </c>
    </row>
    <row r="147" spans="1:6" x14ac:dyDescent="0.25">
      <c r="B147" s="5">
        <v>0.2</v>
      </c>
      <c r="C147" s="5">
        <v>0.187080372377565</v>
      </c>
      <c r="D147" s="5">
        <f t="shared" si="4"/>
        <v>1.2919627622435009E-2</v>
      </c>
      <c r="E147" s="21">
        <v>0.27683278691379598</v>
      </c>
      <c r="F147" s="21">
        <f t="shared" si="5"/>
        <v>-7.683278691379597E-2</v>
      </c>
    </row>
    <row r="148" spans="1:6" x14ac:dyDescent="0.25">
      <c r="B148" s="5">
        <v>0.22</v>
      </c>
      <c r="C148" s="5">
        <v>0.20018791439128</v>
      </c>
      <c r="D148" s="5">
        <f t="shared" si="4"/>
        <v>1.9812085608719998E-2</v>
      </c>
      <c r="E148" s="21">
        <v>0.31698359275650101</v>
      </c>
      <c r="F148" s="21">
        <f t="shared" si="5"/>
        <v>-9.6983592756501008E-2</v>
      </c>
    </row>
    <row r="149" spans="1:6" x14ac:dyDescent="0.25">
      <c r="B149" s="5">
        <v>0.24</v>
      </c>
      <c r="C149" s="5">
        <v>0.213295456404995</v>
      </c>
      <c r="D149" s="5">
        <f t="shared" si="4"/>
        <v>2.6704543595004987E-2</v>
      </c>
      <c r="E149" s="21">
        <v>0.35985229930240398</v>
      </c>
      <c r="F149" s="21">
        <f t="shared" si="5"/>
        <v>-0.11985229930240399</v>
      </c>
    </row>
    <row r="150" spans="1:6" x14ac:dyDescent="0.25">
      <c r="B150" s="5">
        <v>0.26</v>
      </c>
      <c r="C150" s="5">
        <v>0.24053848713267001</v>
      </c>
      <c r="D150" s="5">
        <f t="shared" si="4"/>
        <v>1.946151286733E-2</v>
      </c>
      <c r="E150" s="21">
        <v>0.40614837722885999</v>
      </c>
      <c r="F150" s="21">
        <f t="shared" si="5"/>
        <v>-0.14614837722885998</v>
      </c>
    </row>
    <row r="151" spans="1:6" x14ac:dyDescent="0.25">
      <c r="B151" s="5">
        <v>0.28999999999999998</v>
      </c>
      <c r="C151" s="5">
        <v>0.26734936852435898</v>
      </c>
      <c r="D151" s="5">
        <f t="shared" si="4"/>
        <v>2.2650631475641003E-2</v>
      </c>
      <c r="E151" s="21">
        <v>0.45108410744959698</v>
      </c>
      <c r="F151" s="21">
        <f t="shared" si="5"/>
        <v>-0.161084107449597</v>
      </c>
    </row>
    <row r="152" spans="1:6" x14ac:dyDescent="0.25">
      <c r="A152" t="s">
        <v>56</v>
      </c>
      <c r="B152" s="5">
        <v>0.17</v>
      </c>
      <c r="C152" s="5">
        <v>0.124480015931012</v>
      </c>
      <c r="D152" s="5">
        <f t="shared" si="4"/>
        <v>4.5519984068988009E-2</v>
      </c>
      <c r="E152" s="21">
        <v>0.124480015931012</v>
      </c>
      <c r="F152" s="21">
        <f t="shared" si="5"/>
        <v>4.5519984068988009E-2</v>
      </c>
    </row>
    <row r="153" spans="1:6" x14ac:dyDescent="0.25">
      <c r="B153" s="5">
        <v>0.2</v>
      </c>
      <c r="C153" s="5">
        <v>0.16319147975293599</v>
      </c>
      <c r="D153" s="5">
        <f t="shared" si="4"/>
        <v>3.6808520247064019E-2</v>
      </c>
      <c r="E153" s="21">
        <v>0.17271575064382899</v>
      </c>
      <c r="F153" s="21">
        <f t="shared" si="5"/>
        <v>2.728424935617102E-2</v>
      </c>
    </row>
    <row r="154" spans="1:6" x14ac:dyDescent="0.25">
      <c r="B154" s="5">
        <v>0.24</v>
      </c>
      <c r="C154" s="5">
        <v>0.200660864521749</v>
      </c>
      <c r="D154" s="5">
        <f t="shared" si="4"/>
        <v>3.9339135478250992E-2</v>
      </c>
      <c r="E154" s="21">
        <v>0.22130062120069799</v>
      </c>
      <c r="F154" s="21">
        <f t="shared" si="5"/>
        <v>1.8699378799302002E-2</v>
      </c>
    </row>
    <row r="155" spans="1:6" x14ac:dyDescent="0.25">
      <c r="B155" s="5">
        <v>0.27</v>
      </c>
      <c r="C155" s="5">
        <v>0.23792323611504501</v>
      </c>
      <c r="D155" s="5">
        <f t="shared" si="4"/>
        <v>3.2076763884955006E-2</v>
      </c>
      <c r="E155" s="21">
        <v>0.26961706705835697</v>
      </c>
      <c r="F155" s="21">
        <f t="shared" si="5"/>
        <v>3.8293294164304381E-4</v>
      </c>
    </row>
    <row r="156" spans="1:6" x14ac:dyDescent="0.25">
      <c r="B156" s="5">
        <v>0.32</v>
      </c>
      <c r="C156" s="5">
        <v>0.27477158135730401</v>
      </c>
      <c r="D156" s="5">
        <f t="shared" si="4"/>
        <v>4.5228418642696E-2</v>
      </c>
      <c r="E156" s="21">
        <v>0.31739666351759799</v>
      </c>
      <c r="F156" s="21">
        <f t="shared" si="5"/>
        <v>2.6033364824020189E-3</v>
      </c>
    </row>
    <row r="157" spans="1:6" x14ac:dyDescent="0.25">
      <c r="B157" s="5">
        <v>0.34</v>
      </c>
      <c r="C157" s="5">
        <v>0.312654992477154</v>
      </c>
      <c r="D157" s="5">
        <f t="shared" si="4"/>
        <v>2.7345007522846021E-2</v>
      </c>
      <c r="E157" s="21">
        <v>0.36651838347288501</v>
      </c>
      <c r="F157" s="21">
        <f t="shared" si="5"/>
        <v>-2.6518383472884988E-2</v>
      </c>
    </row>
    <row r="158" spans="1:6" x14ac:dyDescent="0.25">
      <c r="A158" t="s">
        <v>57</v>
      </c>
      <c r="B158" s="5">
        <v>0.16</v>
      </c>
      <c r="C158" s="5">
        <v>8.84597233908265E-2</v>
      </c>
      <c r="D158" s="5">
        <f t="shared" si="4"/>
        <v>7.1540276609173503E-2</v>
      </c>
      <c r="E158" s="21">
        <v>8.84597233908265E-2</v>
      </c>
      <c r="F158" s="21">
        <f t="shared" si="5"/>
        <v>7.1540276609173503E-2</v>
      </c>
    </row>
    <row r="159" spans="1:6" x14ac:dyDescent="0.25">
      <c r="B159" s="5">
        <v>0.2</v>
      </c>
      <c r="C159" s="5">
        <v>0.125101055457567</v>
      </c>
      <c r="D159" s="5">
        <f t="shared" si="4"/>
        <v>7.489894454243301E-2</v>
      </c>
      <c r="E159" s="21">
        <v>0.125101055457567</v>
      </c>
      <c r="F159" s="21">
        <f t="shared" si="5"/>
        <v>7.489894454243301E-2</v>
      </c>
    </row>
    <row r="160" spans="1:6" x14ac:dyDescent="0.25">
      <c r="B160" s="5">
        <v>0.24</v>
      </c>
      <c r="C160" s="5">
        <v>0.16257044022638101</v>
      </c>
      <c r="D160" s="5">
        <f t="shared" si="4"/>
        <v>7.7429559773618983E-2</v>
      </c>
      <c r="E160" s="21">
        <v>0.17191047654620101</v>
      </c>
      <c r="F160" s="21">
        <f t="shared" si="5"/>
        <v>6.8089523453798984E-2</v>
      </c>
    </row>
    <row r="161" spans="1:6" x14ac:dyDescent="0.25">
      <c r="B161" s="5">
        <v>0.27</v>
      </c>
      <c r="C161" s="5">
        <v>0.199625798644158</v>
      </c>
      <c r="D161" s="5">
        <f t="shared" si="4"/>
        <v>7.037420135584202E-2</v>
      </c>
      <c r="E161" s="21">
        <v>0.21995849770465101</v>
      </c>
      <c r="F161" s="21">
        <f t="shared" si="5"/>
        <v>5.0041502295349011E-2</v>
      </c>
    </row>
    <row r="162" spans="1:6" x14ac:dyDescent="0.25">
      <c r="B162" s="5">
        <v>0.28999999999999998</v>
      </c>
      <c r="C162" s="5">
        <v>0.23813024929056301</v>
      </c>
      <c r="D162" s="5">
        <f t="shared" si="4"/>
        <v>5.1869750709436974E-2</v>
      </c>
      <c r="E162" s="21">
        <v>0.26988549175756599</v>
      </c>
      <c r="F162" s="21">
        <f t="shared" si="5"/>
        <v>2.0114508242433993E-2</v>
      </c>
    </row>
    <row r="163" spans="1:6" x14ac:dyDescent="0.25">
      <c r="B163" s="5">
        <v>0.32</v>
      </c>
      <c r="C163" s="5">
        <v>0.27477158135730401</v>
      </c>
      <c r="D163" s="5">
        <f t="shared" si="4"/>
        <v>4.5228418642696E-2</v>
      </c>
      <c r="E163" s="21">
        <v>0.31739666351759799</v>
      </c>
      <c r="F163" s="21">
        <f t="shared" si="5"/>
        <v>2.6033364824020189E-3</v>
      </c>
    </row>
    <row r="164" spans="1:6" x14ac:dyDescent="0.25">
      <c r="B164" s="5">
        <v>0.33</v>
      </c>
      <c r="C164" s="5">
        <v>0.29257471445187799</v>
      </c>
      <c r="D164" s="5">
        <f t="shared" si="4"/>
        <v>3.7425285548122023E-2</v>
      </c>
      <c r="E164" s="21">
        <v>0.34048118764959101</v>
      </c>
      <c r="F164" s="21">
        <f t="shared" si="5"/>
        <v>-1.0481187649590995E-2</v>
      </c>
    </row>
    <row r="165" spans="1:6" x14ac:dyDescent="0.25">
      <c r="A165" t="s">
        <v>58</v>
      </c>
      <c r="B165" s="5">
        <v>0.15</v>
      </c>
      <c r="C165" s="5">
        <v>0.18861841261242801</v>
      </c>
      <c r="D165" s="5">
        <f t="shared" si="4"/>
        <v>-3.8618412612428016E-2</v>
      </c>
      <c r="E165" s="21">
        <v>0.27501332580010401</v>
      </c>
      <c r="F165" s="21">
        <f t="shared" si="5"/>
        <v>-0.12501332580010402</v>
      </c>
    </row>
    <row r="166" spans="1:6" x14ac:dyDescent="0.25">
      <c r="B166" s="5">
        <v>0.19</v>
      </c>
      <c r="C166" s="5">
        <v>0.20076122887503001</v>
      </c>
      <c r="D166" s="5">
        <f t="shared" si="4"/>
        <v>-1.0761228875030004E-2</v>
      </c>
      <c r="E166" s="21">
        <v>0.31156255576653802</v>
      </c>
      <c r="F166" s="21">
        <f t="shared" si="5"/>
        <v>-0.12156255576653802</v>
      </c>
    </row>
    <row r="167" spans="1:6" x14ac:dyDescent="0.25">
      <c r="B167" s="5">
        <v>0.2</v>
      </c>
      <c r="C167" s="5">
        <v>0.20318979212755101</v>
      </c>
      <c r="D167" s="5">
        <f t="shared" si="4"/>
        <v>-3.1897921275509944E-3</v>
      </c>
      <c r="E167" s="21">
        <v>0.31914595109013499</v>
      </c>
      <c r="F167" s="21">
        <f t="shared" si="5"/>
        <v>-0.11914595109013498</v>
      </c>
    </row>
    <row r="168" spans="1:6" x14ac:dyDescent="0.25">
      <c r="B168" s="5">
        <v>0.23</v>
      </c>
      <c r="C168" s="5">
        <v>0.21344372586041499</v>
      </c>
      <c r="D168" s="5">
        <f t="shared" si="4"/>
        <v>1.655627413958502E-2</v>
      </c>
      <c r="E168" s="21">
        <v>0.35216999699127699</v>
      </c>
      <c r="F168" s="21">
        <f t="shared" si="5"/>
        <v>-0.12216999699127698</v>
      </c>
    </row>
    <row r="169" spans="1:6" x14ac:dyDescent="0.25">
      <c r="B169" s="5">
        <v>0.25</v>
      </c>
      <c r="C169" s="5">
        <v>0.223197905782135</v>
      </c>
      <c r="D169" s="5">
        <f t="shared" si="4"/>
        <v>2.6802094217865002E-2</v>
      </c>
      <c r="E169" s="21">
        <v>0.377154812503042</v>
      </c>
      <c r="F169" s="21">
        <f t="shared" si="5"/>
        <v>-0.127154812503042</v>
      </c>
    </row>
    <row r="170" spans="1:6" x14ac:dyDescent="0.25">
      <c r="B170" s="5">
        <v>0.28000000000000003</v>
      </c>
      <c r="C170" s="5">
        <v>0.24276133198299499</v>
      </c>
      <c r="D170" s="5">
        <f t="shared" si="4"/>
        <v>3.7238668017005039E-2</v>
      </c>
      <c r="E170" s="21">
        <v>0.40994362049156402</v>
      </c>
      <c r="F170" s="21">
        <f t="shared" si="5"/>
        <v>-0.12994362049156399</v>
      </c>
    </row>
    <row r="171" spans="1:6" x14ac:dyDescent="0.25">
      <c r="B171" s="5">
        <v>0.31</v>
      </c>
      <c r="C171" s="5">
        <v>0.26030095547342103</v>
      </c>
      <c r="D171" s="5">
        <f t="shared" si="4"/>
        <v>4.9699044526578973E-2</v>
      </c>
      <c r="E171" s="21">
        <v>0.4393404828261</v>
      </c>
      <c r="F171" s="21">
        <f t="shared" si="5"/>
        <v>-0.1293404828261</v>
      </c>
    </row>
    <row r="172" spans="1:6" x14ac:dyDescent="0.25">
      <c r="B172" s="5">
        <v>0.36</v>
      </c>
      <c r="C172" s="5">
        <v>0.28121358348123698</v>
      </c>
      <c r="D172" s="5">
        <f t="shared" si="4"/>
        <v>7.8786416518763003E-2</v>
      </c>
      <c r="E172" s="21">
        <v>0.47439058791727901</v>
      </c>
      <c r="F172" s="21">
        <f t="shared" si="5"/>
        <v>-0.11439058791727902</v>
      </c>
    </row>
    <row r="173" spans="1:6" x14ac:dyDescent="0.25">
      <c r="A173" t="s">
        <v>59</v>
      </c>
      <c r="B173" s="5">
        <v>0.16</v>
      </c>
      <c r="C173" s="5">
        <v>0.187808891528254</v>
      </c>
      <c r="D173" s="5">
        <f t="shared" si="4"/>
        <v>-2.7808891528253998E-2</v>
      </c>
      <c r="E173" s="21">
        <v>0.27265776212243298</v>
      </c>
      <c r="F173" s="21">
        <f t="shared" si="5"/>
        <v>-0.11265776212243298</v>
      </c>
    </row>
    <row r="174" spans="1:6" x14ac:dyDescent="0.25">
      <c r="B174" s="5">
        <v>0.18</v>
      </c>
      <c r="C174" s="5">
        <v>0.19590410236998901</v>
      </c>
      <c r="D174" s="5">
        <f t="shared" si="4"/>
        <v>-1.5904102369989015E-2</v>
      </c>
      <c r="E174" s="21">
        <v>0.296669314449654</v>
      </c>
      <c r="F174" s="21">
        <f t="shared" si="5"/>
        <v>-0.116669314449654</v>
      </c>
    </row>
    <row r="175" spans="1:6" x14ac:dyDescent="0.25">
      <c r="B175" s="5">
        <v>0.2</v>
      </c>
      <c r="C175" s="5">
        <v>0.203459632488942</v>
      </c>
      <c r="D175" s="5">
        <f t="shared" si="4"/>
        <v>-3.4596324889419883E-3</v>
      </c>
      <c r="E175" s="21">
        <v>0.319994179157578</v>
      </c>
      <c r="F175" s="21">
        <f t="shared" si="5"/>
        <v>-0.11999417915757798</v>
      </c>
    </row>
    <row r="176" spans="1:6" x14ac:dyDescent="0.25">
      <c r="B176" s="5">
        <v>0.23</v>
      </c>
      <c r="C176" s="5">
        <v>0.21128500296928601</v>
      </c>
      <c r="D176" s="5">
        <f t="shared" si="4"/>
        <v>1.8714997030713998E-2</v>
      </c>
      <c r="E176" s="21">
        <v>0.34508248018620502</v>
      </c>
      <c r="F176" s="21">
        <f t="shared" si="5"/>
        <v>-0.11508248018620501</v>
      </c>
    </row>
    <row r="177" spans="1:6" x14ac:dyDescent="0.25">
      <c r="B177" s="5">
        <v>0.24</v>
      </c>
      <c r="C177" s="5">
        <v>0.22117410307170199</v>
      </c>
      <c r="D177" s="5">
        <f t="shared" si="4"/>
        <v>1.8825896928298003E-2</v>
      </c>
      <c r="E177" s="21">
        <v>0.37376286684905702</v>
      </c>
      <c r="F177" s="21">
        <f t="shared" si="5"/>
        <v>-0.13376286684905703</v>
      </c>
    </row>
    <row r="178" spans="1:6" x14ac:dyDescent="0.25">
      <c r="B178" s="5">
        <v>0.25</v>
      </c>
      <c r="C178" s="5">
        <v>0.24276133198299499</v>
      </c>
      <c r="D178" s="5">
        <f t="shared" si="4"/>
        <v>7.2386680170050122E-3</v>
      </c>
      <c r="E178" s="21">
        <v>0.40994362049156402</v>
      </c>
      <c r="F178" s="21">
        <f t="shared" si="5"/>
        <v>-0.15994362049156402</v>
      </c>
    </row>
    <row r="179" spans="1:6" x14ac:dyDescent="0.25">
      <c r="B179" s="5">
        <v>0.27</v>
      </c>
      <c r="C179" s="5">
        <v>0.26232475818385498</v>
      </c>
      <c r="D179" s="5">
        <f t="shared" si="4"/>
        <v>7.6752418161450398E-3</v>
      </c>
      <c r="E179" s="21">
        <v>0.44273242848008498</v>
      </c>
      <c r="F179" s="21">
        <f t="shared" si="5"/>
        <v>-0.17273242848008497</v>
      </c>
    </row>
    <row r="180" spans="1:6" x14ac:dyDescent="0.25">
      <c r="B180" s="5">
        <v>0.28999999999999998</v>
      </c>
      <c r="C180" s="5">
        <v>0.27986438167428102</v>
      </c>
      <c r="D180" s="5">
        <f t="shared" si="4"/>
        <v>1.0135618325718965E-2</v>
      </c>
      <c r="E180" s="21">
        <v>0.47212929081462202</v>
      </c>
      <c r="F180" s="21">
        <f t="shared" si="5"/>
        <v>-0.18212929081462204</v>
      </c>
    </row>
    <row r="181" spans="1:6" x14ac:dyDescent="0.25">
      <c r="A181" t="s">
        <v>60</v>
      </c>
      <c r="B181" s="5">
        <v>0.15</v>
      </c>
      <c r="C181" s="5">
        <v>0.19671362345416299</v>
      </c>
      <c r="D181" s="5">
        <f t="shared" si="4"/>
        <v>-4.6713623454162995E-2</v>
      </c>
      <c r="E181" s="21">
        <v>0.29912619269410601</v>
      </c>
      <c r="F181" s="21">
        <f t="shared" si="5"/>
        <v>-0.14912619269410601</v>
      </c>
    </row>
    <row r="182" spans="1:6" x14ac:dyDescent="0.25">
      <c r="B182" s="5">
        <v>0.16</v>
      </c>
      <c r="C182" s="5">
        <v>0.204538993934507</v>
      </c>
      <c r="D182" s="5">
        <f t="shared" si="4"/>
        <v>-4.4538993934506999E-2</v>
      </c>
      <c r="E182" s="21">
        <v>0.32339834860143701</v>
      </c>
      <c r="F182" s="21">
        <f t="shared" si="5"/>
        <v>-0.16339834860143701</v>
      </c>
    </row>
    <row r="183" spans="1:6" x14ac:dyDescent="0.25">
      <c r="B183" s="5">
        <v>0.18</v>
      </c>
      <c r="C183" s="5">
        <v>0.21560244875154499</v>
      </c>
      <c r="D183" s="5">
        <f t="shared" si="4"/>
        <v>-3.5602448751545002E-2</v>
      </c>
      <c r="E183" s="21">
        <v>0.35932955971050401</v>
      </c>
      <c r="F183" s="21">
        <f t="shared" si="5"/>
        <v>-0.17932955971050402</v>
      </c>
    </row>
    <row r="184" spans="1:6" x14ac:dyDescent="0.25">
      <c r="B184" s="5">
        <v>0.18</v>
      </c>
      <c r="C184" s="5">
        <v>0.22724551120300299</v>
      </c>
      <c r="D184" s="5">
        <f t="shared" si="4"/>
        <v>-4.7245511203002993E-2</v>
      </c>
      <c r="E184" s="21">
        <v>0.38393870381101203</v>
      </c>
      <c r="F184" s="21">
        <f t="shared" si="5"/>
        <v>-0.20393870381101203</v>
      </c>
    </row>
    <row r="185" spans="1:6" x14ac:dyDescent="0.25">
      <c r="B185" s="5">
        <v>0.19</v>
      </c>
      <c r="C185" s="5">
        <v>0.24276133198299499</v>
      </c>
      <c r="D185" s="5">
        <f t="shared" si="4"/>
        <v>-5.2761331982994986E-2</v>
      </c>
      <c r="E185" s="21">
        <v>0.40994362049156402</v>
      </c>
      <c r="F185" s="21">
        <f t="shared" si="5"/>
        <v>-0.21994362049156402</v>
      </c>
    </row>
    <row r="186" spans="1:6" x14ac:dyDescent="0.25">
      <c r="B186" s="5">
        <v>0.2</v>
      </c>
      <c r="C186" s="5">
        <v>0.25962635456994299</v>
      </c>
      <c r="D186" s="5">
        <f t="shared" si="4"/>
        <v>-5.9626354569942974E-2</v>
      </c>
      <c r="E186" s="21">
        <v>0.438209834274772</v>
      </c>
      <c r="F186" s="21">
        <f t="shared" si="5"/>
        <v>-0.23820983427477199</v>
      </c>
    </row>
    <row r="187" spans="1:6" x14ac:dyDescent="0.25">
      <c r="B187" s="5">
        <v>0.22</v>
      </c>
      <c r="C187" s="5">
        <v>0.28188818438471502</v>
      </c>
      <c r="D187" s="5">
        <f t="shared" si="4"/>
        <v>-6.1888184384715023E-2</v>
      </c>
      <c r="E187" s="21">
        <v>0.475521236468607</v>
      </c>
      <c r="F187" s="21">
        <f t="shared" si="5"/>
        <v>-0.25552123646860703</v>
      </c>
    </row>
    <row r="188" spans="1:6" x14ac:dyDescent="0.25">
      <c r="A188" t="s">
        <v>61</v>
      </c>
      <c r="B188" s="5">
        <v>0.16</v>
      </c>
      <c r="C188" s="5">
        <v>0.16250526374056301</v>
      </c>
      <c r="D188" s="5">
        <f t="shared" si="4"/>
        <v>-2.5052637405630074E-3</v>
      </c>
      <c r="E188" s="21">
        <v>0.168972235980417</v>
      </c>
      <c r="F188" s="21">
        <f t="shared" si="5"/>
        <v>-8.9722359804169927E-3</v>
      </c>
    </row>
    <row r="189" spans="1:6" x14ac:dyDescent="0.25">
      <c r="B189" s="5">
        <v>0.2</v>
      </c>
      <c r="C189" s="5">
        <v>0.20529664584009599</v>
      </c>
      <c r="D189" s="5">
        <f t="shared" si="4"/>
        <v>-5.2966458400959815E-3</v>
      </c>
      <c r="E189" s="21">
        <v>0.224457901760169</v>
      </c>
      <c r="F189" s="21">
        <f t="shared" si="5"/>
        <v>-2.4457901760168987E-2</v>
      </c>
    </row>
    <row r="190" spans="1:6" x14ac:dyDescent="0.25">
      <c r="B190" s="5">
        <v>0.23</v>
      </c>
      <c r="C190" s="5">
        <v>0.24794297240708699</v>
      </c>
      <c r="D190" s="5">
        <f t="shared" si="4"/>
        <v>-1.7942972407086977E-2</v>
      </c>
      <c r="E190" s="21">
        <v>0.279755480537276</v>
      </c>
      <c r="F190" s="21">
        <f t="shared" si="5"/>
        <v>-4.9755480537275992E-2</v>
      </c>
    </row>
    <row r="191" spans="1:6" x14ac:dyDescent="0.25">
      <c r="A191" t="s">
        <v>62</v>
      </c>
      <c r="B191" s="5">
        <v>0.14000000000000001</v>
      </c>
      <c r="C191" s="5">
        <v>0.16250526374056301</v>
      </c>
      <c r="D191" s="5">
        <f t="shared" si="4"/>
        <v>-2.2505263740562997E-2</v>
      </c>
      <c r="E191" s="21">
        <v>0.168972235980417</v>
      </c>
      <c r="F191" s="21">
        <f t="shared" si="5"/>
        <v>-2.8972235980416983E-2</v>
      </c>
    </row>
    <row r="192" spans="1:6" x14ac:dyDescent="0.25">
      <c r="B192" s="5">
        <v>0.17</v>
      </c>
      <c r="C192" s="5">
        <v>0.20471642370993301</v>
      </c>
      <c r="D192" s="5">
        <f t="shared" si="4"/>
        <v>-3.4716423709932998E-2</v>
      </c>
      <c r="E192" s="21">
        <v>0.223705553749596</v>
      </c>
      <c r="F192" s="21">
        <f t="shared" si="5"/>
        <v>-5.3705553749595986E-2</v>
      </c>
    </row>
    <row r="193" spans="1:6" x14ac:dyDescent="0.25">
      <c r="B193" s="5">
        <v>0.21</v>
      </c>
      <c r="C193" s="5">
        <v>0.24721769474438299</v>
      </c>
      <c r="D193" s="5">
        <f t="shared" si="4"/>
        <v>-3.7217694744382995E-2</v>
      </c>
      <c r="E193" s="21">
        <v>0.27881504552406</v>
      </c>
      <c r="F193" s="21">
        <f t="shared" si="5"/>
        <v>-6.8815045524060009E-2</v>
      </c>
    </row>
    <row r="194" spans="1:6" x14ac:dyDescent="0.25">
      <c r="A194" t="s">
        <v>63</v>
      </c>
      <c r="B194" s="5">
        <v>0.21</v>
      </c>
      <c r="C194" s="5">
        <v>7.6052166346253294E-2</v>
      </c>
      <c r="D194" s="5">
        <f t="shared" si="4"/>
        <v>0.13394783365374668</v>
      </c>
      <c r="E194" s="21">
        <v>7.6052166346253294E-2</v>
      </c>
      <c r="F194" s="21">
        <f t="shared" si="5"/>
        <v>0.13394783365374668</v>
      </c>
    </row>
    <row r="195" spans="1:6" x14ac:dyDescent="0.25">
      <c r="B195" s="5">
        <v>0.25</v>
      </c>
      <c r="C195" s="5">
        <v>0.12014904823865299</v>
      </c>
      <c r="D195" s="5">
        <f t="shared" ref="D195:D258" si="6">B195-C195</f>
        <v>0.12985095176134701</v>
      </c>
      <c r="E195" s="21">
        <v>0.12014904823865299</v>
      </c>
      <c r="F195" s="21">
        <f t="shared" ref="F195:F258" si="7">B195-E195</f>
        <v>0.12985095176134701</v>
      </c>
    </row>
    <row r="196" spans="1:6" x14ac:dyDescent="0.25">
      <c r="B196" s="5">
        <v>0.28999999999999998</v>
      </c>
      <c r="C196" s="5">
        <v>0.16177998607785901</v>
      </c>
      <c r="D196" s="5">
        <f t="shared" si="6"/>
        <v>0.12822001392214097</v>
      </c>
      <c r="E196" s="21">
        <v>0.16803180096720099</v>
      </c>
      <c r="F196" s="21">
        <f t="shared" si="7"/>
        <v>0.12196819903279899</v>
      </c>
    </row>
    <row r="197" spans="1:6" x14ac:dyDescent="0.25">
      <c r="B197" s="5">
        <v>0.33</v>
      </c>
      <c r="C197" s="5">
        <v>0.20355597944960599</v>
      </c>
      <c r="D197" s="5">
        <f t="shared" si="6"/>
        <v>0.12644402055039403</v>
      </c>
      <c r="E197" s="21">
        <v>0.22220085772845</v>
      </c>
      <c r="F197" s="21">
        <f t="shared" si="7"/>
        <v>0.10779914227155002</v>
      </c>
    </row>
    <row r="198" spans="1:6" x14ac:dyDescent="0.25">
      <c r="B198" s="5">
        <v>0.37</v>
      </c>
      <c r="C198" s="5">
        <v>0.26259358119370702</v>
      </c>
      <c r="D198" s="5">
        <f t="shared" si="6"/>
        <v>0.10740641880629298</v>
      </c>
      <c r="E198" s="21">
        <v>0.29875226780424202</v>
      </c>
      <c r="F198" s="21">
        <f t="shared" si="7"/>
        <v>7.1247732195757973E-2</v>
      </c>
    </row>
    <row r="199" spans="1:6" x14ac:dyDescent="0.25">
      <c r="A199" t="s">
        <v>64</v>
      </c>
      <c r="B199" s="5">
        <v>0.15</v>
      </c>
      <c r="C199" s="5">
        <v>0.111129674723574</v>
      </c>
      <c r="D199" s="5">
        <f t="shared" si="6"/>
        <v>3.887032527642599E-2</v>
      </c>
      <c r="E199" s="21">
        <v>0.111129674723574</v>
      </c>
      <c r="F199" s="21">
        <f t="shared" si="7"/>
        <v>3.887032527642599E-2</v>
      </c>
    </row>
    <row r="200" spans="1:6" x14ac:dyDescent="0.25">
      <c r="B200" s="5">
        <v>0.23</v>
      </c>
      <c r="C200" s="5">
        <v>0.158125712265201</v>
      </c>
      <c r="D200" s="5">
        <f t="shared" si="6"/>
        <v>7.1874287734799008E-2</v>
      </c>
      <c r="E200" s="21">
        <v>0.174471933181406</v>
      </c>
      <c r="F200" s="21">
        <f t="shared" si="7"/>
        <v>5.5528066818594013E-2</v>
      </c>
    </row>
    <row r="201" spans="1:6" x14ac:dyDescent="0.25">
      <c r="B201" s="5">
        <v>0.28000000000000003</v>
      </c>
      <c r="C201" s="5">
        <v>0.22825608951794199</v>
      </c>
      <c r="D201" s="5">
        <f t="shared" si="6"/>
        <v>5.1743910482058036E-2</v>
      </c>
      <c r="E201" s="21">
        <v>0.27340361669998903</v>
      </c>
      <c r="F201" s="21">
        <f t="shared" si="7"/>
        <v>6.5963833000109995E-3</v>
      </c>
    </row>
    <row r="202" spans="1:6" x14ac:dyDescent="0.25">
      <c r="A202" t="s">
        <v>65</v>
      </c>
      <c r="B202" s="5">
        <v>0.18</v>
      </c>
      <c r="C202" s="5">
        <v>0.117948216713536</v>
      </c>
      <c r="D202" s="5">
        <f t="shared" si="6"/>
        <v>6.2051783286463991E-2</v>
      </c>
      <c r="E202" s="21">
        <v>0.117948216713536</v>
      </c>
      <c r="F202" s="21">
        <f t="shared" si="7"/>
        <v>6.2051783286463991E-2</v>
      </c>
    </row>
    <row r="203" spans="1:6" x14ac:dyDescent="0.25">
      <c r="B203" s="5">
        <v>0.26</v>
      </c>
      <c r="C203" s="5">
        <v>0.17512939694084201</v>
      </c>
      <c r="D203" s="5">
        <f t="shared" si="6"/>
        <v>8.4870603059158001E-2</v>
      </c>
      <c r="E203" s="21">
        <v>0.183096151984949</v>
      </c>
      <c r="F203" s="21">
        <f t="shared" si="7"/>
        <v>7.6903848015051013E-2</v>
      </c>
    </row>
    <row r="204" spans="1:6" x14ac:dyDescent="0.25">
      <c r="B204" s="5">
        <v>0.34</v>
      </c>
      <c r="C204" s="5">
        <v>0.23231057716814801</v>
      </c>
      <c r="D204" s="5">
        <f t="shared" si="6"/>
        <v>0.10768942283185201</v>
      </c>
      <c r="E204" s="21">
        <v>0.256757858163567</v>
      </c>
      <c r="F204" s="21">
        <f t="shared" si="7"/>
        <v>8.3242141836433026E-2</v>
      </c>
    </row>
    <row r="205" spans="1:6" x14ac:dyDescent="0.25">
      <c r="A205" t="s">
        <v>66</v>
      </c>
      <c r="B205" s="5">
        <v>0.15</v>
      </c>
      <c r="C205" s="5">
        <v>0.11752778194930601</v>
      </c>
      <c r="D205" s="5">
        <f t="shared" si="6"/>
        <v>3.2472218050693988E-2</v>
      </c>
      <c r="E205" s="21">
        <v>0.131790213495005</v>
      </c>
      <c r="F205" s="21">
        <f t="shared" si="7"/>
        <v>1.8209786504994996E-2</v>
      </c>
    </row>
    <row r="206" spans="1:6" x14ac:dyDescent="0.25">
      <c r="B206" s="5">
        <v>0.19</v>
      </c>
      <c r="C206" s="5">
        <v>0.18941639586178199</v>
      </c>
      <c r="D206" s="5">
        <f t="shared" si="6"/>
        <v>5.8360413821800794E-4</v>
      </c>
      <c r="E206" s="21">
        <v>0.22950476895125499</v>
      </c>
      <c r="F206" s="21">
        <f t="shared" si="7"/>
        <v>-3.9504768951254987E-2</v>
      </c>
    </row>
    <row r="207" spans="1:6" x14ac:dyDescent="0.25">
      <c r="B207" s="5">
        <v>0.22</v>
      </c>
      <c r="C207" s="5">
        <v>0.23254956420926701</v>
      </c>
      <c r="D207" s="5">
        <f t="shared" si="6"/>
        <v>-1.2549564209267006E-2</v>
      </c>
      <c r="E207" s="21">
        <v>0.288133502225005</v>
      </c>
      <c r="F207" s="21">
        <f t="shared" si="7"/>
        <v>-6.8133502225004999E-2</v>
      </c>
    </row>
    <row r="208" spans="1:6" x14ac:dyDescent="0.25">
      <c r="B208" s="5">
        <v>0.22</v>
      </c>
      <c r="C208" s="5">
        <v>0.26849387116550399</v>
      </c>
      <c r="D208" s="5">
        <f t="shared" si="6"/>
        <v>-4.8493871165503993E-2</v>
      </c>
      <c r="E208" s="21">
        <v>0.33699077995312998</v>
      </c>
      <c r="F208" s="21">
        <f t="shared" si="7"/>
        <v>-0.11699077995312998</v>
      </c>
    </row>
    <row r="209" spans="1:6" x14ac:dyDescent="0.25">
      <c r="B209" s="5">
        <v>0.25</v>
      </c>
      <c r="C209" s="5">
        <v>0.32600476229548497</v>
      </c>
      <c r="D209" s="5">
        <f t="shared" si="6"/>
        <v>-7.6004762295484973E-2</v>
      </c>
      <c r="E209" s="21">
        <v>0.41516242431813</v>
      </c>
      <c r="F209" s="21">
        <f t="shared" si="7"/>
        <v>-0.16516242431813</v>
      </c>
    </row>
    <row r="210" spans="1:6" x14ac:dyDescent="0.25">
      <c r="B210" s="5">
        <v>0.28999999999999998</v>
      </c>
      <c r="C210" s="5">
        <v>0.37632679203421798</v>
      </c>
      <c r="D210" s="5">
        <f t="shared" si="6"/>
        <v>-8.6326792034218003E-2</v>
      </c>
      <c r="E210" s="21">
        <v>0.46727599043109003</v>
      </c>
      <c r="F210" s="21">
        <f t="shared" si="7"/>
        <v>-0.17727599043109005</v>
      </c>
    </row>
    <row r="211" spans="1:6" x14ac:dyDescent="0.25">
      <c r="A211" t="s">
        <v>67</v>
      </c>
      <c r="B211" s="5">
        <v>0.17</v>
      </c>
      <c r="C211" s="5">
        <v>0.15128120300738601</v>
      </c>
      <c r="D211" s="5">
        <f t="shared" si="6"/>
        <v>1.8718796992614001E-2</v>
      </c>
      <c r="E211" s="21">
        <v>0.16752621909578599</v>
      </c>
      <c r="F211" s="21">
        <f t="shared" si="7"/>
        <v>2.473780904214018E-3</v>
      </c>
    </row>
    <row r="212" spans="1:6" x14ac:dyDescent="0.25">
      <c r="B212" s="5">
        <v>0.19</v>
      </c>
      <c r="C212" s="5">
        <v>0.17990644867800401</v>
      </c>
      <c r="D212" s="5">
        <f t="shared" si="6"/>
        <v>1.0093551321995992E-2</v>
      </c>
      <c r="E212" s="21">
        <v>0.20362194551252</v>
      </c>
      <c r="F212" s="21">
        <f t="shared" si="7"/>
        <v>-1.3621945512519995E-2</v>
      </c>
    </row>
    <row r="213" spans="1:6" x14ac:dyDescent="0.25">
      <c r="B213" s="5">
        <v>0.21</v>
      </c>
      <c r="C213" s="5">
        <v>0.21671033596879799</v>
      </c>
      <c r="D213" s="5">
        <f t="shared" si="6"/>
        <v>-6.710335968797998E-3</v>
      </c>
      <c r="E213" s="21">
        <v>0.250030736619751</v>
      </c>
      <c r="F213" s="21">
        <f t="shared" si="7"/>
        <v>-4.0030736619751012E-2</v>
      </c>
    </row>
    <row r="214" spans="1:6" x14ac:dyDescent="0.25">
      <c r="B214" s="5">
        <v>0.23</v>
      </c>
      <c r="C214" s="5">
        <v>0.23306761920915001</v>
      </c>
      <c r="D214" s="5">
        <f t="shared" si="6"/>
        <v>-3.0676192091499965E-3</v>
      </c>
      <c r="E214" s="21">
        <v>0.27065686600074201</v>
      </c>
      <c r="F214" s="21">
        <f t="shared" si="7"/>
        <v>-4.0656866000742004E-2</v>
      </c>
    </row>
    <row r="215" spans="1:6" x14ac:dyDescent="0.25">
      <c r="B215" s="5">
        <v>0.25</v>
      </c>
      <c r="C215" s="5">
        <v>0.26987150649994401</v>
      </c>
      <c r="D215" s="5">
        <f t="shared" si="6"/>
        <v>-1.9871506499944014E-2</v>
      </c>
      <c r="E215" s="21">
        <v>0.31706565710797302</v>
      </c>
      <c r="F215" s="21">
        <f t="shared" si="7"/>
        <v>-6.706565710797302E-2</v>
      </c>
    </row>
    <row r="216" spans="1:6" x14ac:dyDescent="0.25">
      <c r="B216" s="5">
        <v>0.25</v>
      </c>
      <c r="C216" s="5">
        <v>0.34756860189161998</v>
      </c>
      <c r="D216" s="5">
        <f t="shared" si="6"/>
        <v>-9.7568601891619977E-2</v>
      </c>
      <c r="E216" s="21">
        <v>0.404842760198733</v>
      </c>
      <c r="F216" s="21">
        <f t="shared" si="7"/>
        <v>-0.154842760198733</v>
      </c>
    </row>
    <row r="217" spans="1:6" x14ac:dyDescent="0.25">
      <c r="A217" t="s">
        <v>68</v>
      </c>
      <c r="B217" s="5">
        <v>0.18</v>
      </c>
      <c r="C217" s="5">
        <v>0.127038496444004</v>
      </c>
      <c r="D217" s="5">
        <f t="shared" si="6"/>
        <v>5.2961503555995992E-2</v>
      </c>
      <c r="E217" s="21">
        <v>0.13419966539766801</v>
      </c>
      <c r="F217" s="21">
        <f t="shared" si="7"/>
        <v>4.5800334602331988E-2</v>
      </c>
    </row>
    <row r="218" spans="1:6" x14ac:dyDescent="0.25">
      <c r="B218" s="5">
        <v>0.19</v>
      </c>
      <c r="C218" s="5">
        <v>0.150996277788399</v>
      </c>
      <c r="D218" s="5">
        <f t="shared" si="6"/>
        <v>3.9003722211601005E-2</v>
      </c>
      <c r="E218" s="21">
        <v>0.16272765949974599</v>
      </c>
      <c r="F218" s="21">
        <f t="shared" si="7"/>
        <v>2.7272340500254011E-2</v>
      </c>
    </row>
    <row r="219" spans="1:6" x14ac:dyDescent="0.25">
      <c r="B219" s="5">
        <v>0.21</v>
      </c>
      <c r="C219" s="5">
        <v>0.17255828099835399</v>
      </c>
      <c r="D219" s="5">
        <f t="shared" si="6"/>
        <v>3.7441719001646001E-2</v>
      </c>
      <c r="E219" s="21">
        <v>0.18840285419161701</v>
      </c>
      <c r="F219" s="21">
        <f t="shared" si="7"/>
        <v>2.1597145808382984E-2</v>
      </c>
    </row>
    <row r="220" spans="1:6" x14ac:dyDescent="0.25">
      <c r="B220" s="5">
        <v>0.23</v>
      </c>
      <c r="C220" s="5">
        <v>0.19891184047718799</v>
      </c>
      <c r="D220" s="5">
        <f t="shared" si="6"/>
        <v>3.108815952281202E-2</v>
      </c>
      <c r="E220" s="21">
        <v>0.21978364770390299</v>
      </c>
      <c r="F220" s="21">
        <f t="shared" si="7"/>
        <v>1.021635229609702E-2</v>
      </c>
    </row>
    <row r="221" spans="1:6" x14ac:dyDescent="0.25">
      <c r="B221" s="5">
        <v>0.25</v>
      </c>
      <c r="C221" s="5">
        <v>0.22526539995602299</v>
      </c>
      <c r="D221" s="5">
        <f t="shared" si="6"/>
        <v>2.4734600043977012E-2</v>
      </c>
      <c r="E221" s="21">
        <v>0.25116444121618903</v>
      </c>
      <c r="F221" s="21">
        <f t="shared" si="7"/>
        <v>-1.1644412161890272E-3</v>
      </c>
    </row>
    <row r="222" spans="1:6" x14ac:dyDescent="0.25">
      <c r="B222" s="5">
        <v>0.28999999999999998</v>
      </c>
      <c r="C222" s="5">
        <v>0.24922318130041701</v>
      </c>
      <c r="D222" s="5">
        <f t="shared" si="6"/>
        <v>4.0776818699582967E-2</v>
      </c>
      <c r="E222" s="21">
        <v>0.27969243531826798</v>
      </c>
      <c r="F222" s="21">
        <f t="shared" si="7"/>
        <v>1.0307564681731995E-2</v>
      </c>
    </row>
    <row r="223" spans="1:6" x14ac:dyDescent="0.25">
      <c r="B223" s="5">
        <v>0.31</v>
      </c>
      <c r="C223" s="5">
        <v>0.27318096264481201</v>
      </c>
      <c r="D223" s="5">
        <f t="shared" si="6"/>
        <v>3.6819037355187989E-2</v>
      </c>
      <c r="E223" s="21">
        <v>0.308220429420346</v>
      </c>
      <c r="F223" s="21">
        <f t="shared" si="7"/>
        <v>1.7795705796539996E-3</v>
      </c>
    </row>
    <row r="224" spans="1:6" x14ac:dyDescent="0.25">
      <c r="B224" s="5">
        <v>0.37</v>
      </c>
      <c r="C224" s="5">
        <v>0.294742965854767</v>
      </c>
      <c r="D224" s="5">
        <f t="shared" si="6"/>
        <v>7.5257034145232993E-2</v>
      </c>
      <c r="E224" s="21">
        <v>0.330617382552647</v>
      </c>
      <c r="F224" s="21">
        <f t="shared" si="7"/>
        <v>3.9382617447352997E-2</v>
      </c>
    </row>
    <row r="225" spans="1:6" x14ac:dyDescent="0.25">
      <c r="A225" t="s">
        <v>69</v>
      </c>
      <c r="B225" s="5">
        <v>0.16</v>
      </c>
      <c r="C225" s="5">
        <v>0.25056522044372098</v>
      </c>
      <c r="D225" s="5">
        <f t="shared" si="6"/>
        <v>-9.0565220443720978E-2</v>
      </c>
      <c r="E225" s="21">
        <v>0.30018318832296098</v>
      </c>
      <c r="F225" s="21">
        <f t="shared" si="7"/>
        <v>-0.14018318832296098</v>
      </c>
    </row>
    <row r="226" spans="1:6" x14ac:dyDescent="0.25">
      <c r="B226" s="5">
        <v>0.2</v>
      </c>
      <c r="C226" s="5">
        <v>0.31490001064532802</v>
      </c>
      <c r="D226" s="5">
        <f t="shared" si="6"/>
        <v>-0.11490001064532801</v>
      </c>
      <c r="E226" s="21">
        <v>0.38443328188181702</v>
      </c>
      <c r="F226" s="21">
        <f t="shared" si="7"/>
        <v>-0.18443328188181701</v>
      </c>
    </row>
    <row r="227" spans="1:6" x14ac:dyDescent="0.25">
      <c r="B227" s="5">
        <v>0.26</v>
      </c>
      <c r="C227" s="5">
        <v>0.38638311086933602</v>
      </c>
      <c r="D227" s="5">
        <f t="shared" si="6"/>
        <v>-0.12638311086933601</v>
      </c>
      <c r="E227" s="21">
        <v>0.46464015145605198</v>
      </c>
      <c r="F227" s="21">
        <f t="shared" si="7"/>
        <v>-0.20464015145605197</v>
      </c>
    </row>
    <row r="228" spans="1:6" x14ac:dyDescent="0.25">
      <c r="A228" t="s">
        <v>70</v>
      </c>
      <c r="B228" s="5">
        <v>0.17</v>
      </c>
      <c r="C228" s="5">
        <v>0.154143497430964</v>
      </c>
      <c r="D228" s="5">
        <f t="shared" si="6"/>
        <v>1.5856502569036007E-2</v>
      </c>
      <c r="E228" s="21">
        <v>0.16693000107002401</v>
      </c>
      <c r="F228" s="21">
        <f t="shared" si="7"/>
        <v>3.0699989299760033E-3</v>
      </c>
    </row>
    <row r="229" spans="1:6" x14ac:dyDescent="0.25">
      <c r="B229" s="5">
        <v>0.19</v>
      </c>
      <c r="C229" s="5">
        <v>0.18259499046457001</v>
      </c>
      <c r="D229" s="5">
        <f t="shared" si="6"/>
        <v>7.4050095354299961E-3</v>
      </c>
      <c r="E229" s="21">
        <v>0.201752540208612</v>
      </c>
      <c r="F229" s="21">
        <f t="shared" si="7"/>
        <v>-1.1752540208611995E-2</v>
      </c>
    </row>
    <row r="230" spans="1:6" x14ac:dyDescent="0.25">
      <c r="B230" s="5">
        <v>0.23</v>
      </c>
      <c r="C230" s="5">
        <v>0.21917548150777699</v>
      </c>
      <c r="D230" s="5">
        <f t="shared" si="6"/>
        <v>1.0824518492223018E-2</v>
      </c>
      <c r="E230" s="21">
        <v>0.246524376243939</v>
      </c>
      <c r="F230" s="21">
        <f t="shared" si="7"/>
        <v>-1.6524376243938987E-2</v>
      </c>
    </row>
    <row r="231" spans="1:6" x14ac:dyDescent="0.25">
      <c r="B231" s="5">
        <v>0.25</v>
      </c>
      <c r="C231" s="5">
        <v>0.23543347752698099</v>
      </c>
      <c r="D231" s="5">
        <f t="shared" si="6"/>
        <v>1.4566522473019011E-2</v>
      </c>
      <c r="E231" s="21">
        <v>0.26642297003741799</v>
      </c>
      <c r="F231" s="21">
        <f t="shared" si="7"/>
        <v>-1.6422970037417994E-2</v>
      </c>
    </row>
    <row r="232" spans="1:6" x14ac:dyDescent="0.25">
      <c r="B232" s="5">
        <v>0.3</v>
      </c>
      <c r="C232" s="5">
        <v>0.25982047155578503</v>
      </c>
      <c r="D232" s="5">
        <f t="shared" si="6"/>
        <v>4.0179528444214963E-2</v>
      </c>
      <c r="E232" s="21">
        <v>0.29627086072763698</v>
      </c>
      <c r="F232" s="21">
        <f t="shared" si="7"/>
        <v>3.7291392723630135E-3</v>
      </c>
    </row>
    <row r="233" spans="1:6" x14ac:dyDescent="0.25">
      <c r="B233" s="5">
        <v>0.32</v>
      </c>
      <c r="C233" s="5">
        <v>0.27607846757498899</v>
      </c>
      <c r="D233" s="5">
        <f t="shared" si="6"/>
        <v>4.3921532425011012E-2</v>
      </c>
      <c r="E233" s="21">
        <v>0.316169454521116</v>
      </c>
      <c r="F233" s="21">
        <f t="shared" si="7"/>
        <v>3.8305454788840065E-3</v>
      </c>
    </row>
    <row r="234" spans="1:6" x14ac:dyDescent="0.25">
      <c r="B234" s="5">
        <v>0.36</v>
      </c>
      <c r="C234" s="5">
        <v>0.31591055782203697</v>
      </c>
      <c r="D234" s="5">
        <f t="shared" si="6"/>
        <v>4.4089442177963012E-2</v>
      </c>
      <c r="E234" s="21">
        <v>0.36492100931513899</v>
      </c>
      <c r="F234" s="21">
        <f t="shared" si="7"/>
        <v>-4.9210093151390022E-3</v>
      </c>
    </row>
    <row r="235" spans="1:6" x14ac:dyDescent="0.25">
      <c r="B235" s="5">
        <v>0.47</v>
      </c>
      <c r="C235" s="5">
        <v>0.35574264806908501</v>
      </c>
      <c r="D235" s="5">
        <f t="shared" si="6"/>
        <v>0.11425735193091496</v>
      </c>
      <c r="E235" s="21">
        <v>0.40482410087816201</v>
      </c>
      <c r="F235" s="21">
        <f t="shared" si="7"/>
        <v>6.5175899121837966E-2</v>
      </c>
    </row>
    <row r="236" spans="1:6" x14ac:dyDescent="0.25">
      <c r="A236" t="s">
        <v>71</v>
      </c>
      <c r="B236" s="5">
        <v>0.16</v>
      </c>
      <c r="C236" s="5">
        <v>0.16920059472353</v>
      </c>
      <c r="D236" s="5">
        <f t="shared" si="6"/>
        <v>-9.2005947235299923E-3</v>
      </c>
      <c r="E236" s="21">
        <v>0.18134808592282201</v>
      </c>
      <c r="F236" s="21">
        <f t="shared" si="7"/>
        <v>-2.1348085922822002E-2</v>
      </c>
    </row>
    <row r="237" spans="1:6" x14ac:dyDescent="0.25">
      <c r="B237" s="5">
        <v>0.18</v>
      </c>
      <c r="C237" s="5">
        <v>0.17871200070263199</v>
      </c>
      <c r="D237" s="5">
        <f t="shared" si="6"/>
        <v>1.2879992973680032E-3</v>
      </c>
      <c r="E237" s="21">
        <v>0.192407433731655</v>
      </c>
      <c r="F237" s="21">
        <f t="shared" si="7"/>
        <v>-1.240743373165501E-2</v>
      </c>
    </row>
    <row r="238" spans="1:6" x14ac:dyDescent="0.25">
      <c r="B238" s="5">
        <v>0.18</v>
      </c>
      <c r="C238" s="5">
        <v>0.202490515650387</v>
      </c>
      <c r="D238" s="5">
        <f t="shared" si="6"/>
        <v>-2.2490515650387011E-2</v>
      </c>
      <c r="E238" s="21">
        <v>0.220055803253739</v>
      </c>
      <c r="F238" s="21">
        <f t="shared" si="7"/>
        <v>-4.0055803253739003E-2</v>
      </c>
    </row>
    <row r="239" spans="1:6" x14ac:dyDescent="0.25">
      <c r="B239" s="5">
        <v>0.2</v>
      </c>
      <c r="C239" s="5">
        <v>0.228646882092917</v>
      </c>
      <c r="D239" s="5">
        <f t="shared" si="6"/>
        <v>-2.8646882092916992E-2</v>
      </c>
      <c r="E239" s="21">
        <v>0.25046900972803199</v>
      </c>
      <c r="F239" s="21">
        <f t="shared" si="7"/>
        <v>-5.0469009728031977E-2</v>
      </c>
    </row>
    <row r="240" spans="1:6" x14ac:dyDescent="0.25">
      <c r="B240" s="5">
        <v>0.2</v>
      </c>
      <c r="C240" s="5">
        <v>0.25242539704067202</v>
      </c>
      <c r="D240" s="5">
        <f t="shared" si="6"/>
        <v>-5.2425397040672006E-2</v>
      </c>
      <c r="E240" s="21">
        <v>0.27811737925011598</v>
      </c>
      <c r="F240" s="21">
        <f t="shared" si="7"/>
        <v>-7.811737925011597E-2</v>
      </c>
    </row>
    <row r="241" spans="1:6" x14ac:dyDescent="0.25">
      <c r="B241" s="5">
        <v>0.2</v>
      </c>
      <c r="C241" s="5">
        <v>0.27382606049365099</v>
      </c>
      <c r="D241" s="5">
        <f t="shared" si="6"/>
        <v>-7.382606049365098E-2</v>
      </c>
      <c r="E241" s="21">
        <v>0.303000911819991</v>
      </c>
      <c r="F241" s="21">
        <f t="shared" si="7"/>
        <v>-0.10300091181999099</v>
      </c>
    </row>
    <row r="242" spans="1:6" x14ac:dyDescent="0.25">
      <c r="B242" s="5">
        <v>0.22</v>
      </c>
      <c r="C242" s="5">
        <v>0.29998242693618099</v>
      </c>
      <c r="D242" s="5">
        <f t="shared" si="6"/>
        <v>-7.9982426936180989E-2</v>
      </c>
      <c r="E242" s="21">
        <v>0.33052135777379099</v>
      </c>
      <c r="F242" s="21">
        <f t="shared" si="7"/>
        <v>-0.11052135777379099</v>
      </c>
    </row>
    <row r="243" spans="1:6" x14ac:dyDescent="0.25">
      <c r="A243" t="s">
        <v>72</v>
      </c>
      <c r="B243" s="5">
        <v>0.22</v>
      </c>
      <c r="C243" s="5">
        <v>6.76476530429682E-2</v>
      </c>
      <c r="D243" s="5">
        <f t="shared" si="6"/>
        <v>0.15235234695703181</v>
      </c>
      <c r="E243" s="21">
        <v>6.76476530429682E-2</v>
      </c>
      <c r="F243" s="21">
        <f t="shared" si="7"/>
        <v>0.15235234695703181</v>
      </c>
    </row>
    <row r="244" spans="1:6" x14ac:dyDescent="0.25">
      <c r="B244" s="5">
        <v>0.25</v>
      </c>
      <c r="C244" s="5">
        <v>0.10459254586081899</v>
      </c>
      <c r="D244" s="5">
        <f t="shared" si="6"/>
        <v>0.14540745413918099</v>
      </c>
      <c r="E244" s="21">
        <v>0.10634972385684199</v>
      </c>
      <c r="F244" s="21">
        <f t="shared" si="7"/>
        <v>0.14365027614315801</v>
      </c>
    </row>
    <row r="245" spans="1:6" x14ac:dyDescent="0.25">
      <c r="B245" s="5">
        <v>0.28999999999999998</v>
      </c>
      <c r="C245" s="5">
        <v>0.12574902294454501</v>
      </c>
      <c r="D245" s="5">
        <f t="shared" si="6"/>
        <v>0.16425097705545497</v>
      </c>
      <c r="E245" s="21">
        <v>0.13185876427251</v>
      </c>
      <c r="F245" s="21">
        <f t="shared" si="7"/>
        <v>0.15814123572748998</v>
      </c>
    </row>
    <row r="246" spans="1:6" x14ac:dyDescent="0.25">
      <c r="B246" s="5">
        <v>0.31</v>
      </c>
      <c r="C246" s="5">
        <v>0.15006318317509601</v>
      </c>
      <c r="D246" s="5">
        <f t="shared" si="6"/>
        <v>0.15993681682490399</v>
      </c>
      <c r="E246" s="21">
        <v>0.16117512415320401</v>
      </c>
      <c r="F246" s="21">
        <f t="shared" si="7"/>
        <v>0.14882487584679599</v>
      </c>
    </row>
    <row r="247" spans="1:6" x14ac:dyDescent="0.25">
      <c r="B247" s="5">
        <v>0.33</v>
      </c>
      <c r="C247" s="5">
        <v>0.18795538093699399</v>
      </c>
      <c r="D247" s="5">
        <f t="shared" si="6"/>
        <v>0.14204461906300603</v>
      </c>
      <c r="E247" s="21">
        <v>0.20686295773350699</v>
      </c>
      <c r="F247" s="21">
        <f t="shared" si="7"/>
        <v>0.12313704226649302</v>
      </c>
    </row>
    <row r="248" spans="1:6" x14ac:dyDescent="0.25">
      <c r="B248" s="5">
        <v>0.34</v>
      </c>
      <c r="C248" s="5">
        <v>0.20721724813262599</v>
      </c>
      <c r="D248" s="5">
        <f t="shared" si="6"/>
        <v>0.13278275186737404</v>
      </c>
      <c r="E248" s="21">
        <v>0.23008760647015999</v>
      </c>
      <c r="F248" s="21">
        <f t="shared" si="7"/>
        <v>0.10991239352984003</v>
      </c>
    </row>
    <row r="249" spans="1:6" x14ac:dyDescent="0.25">
      <c r="B249" s="5">
        <v>0.37</v>
      </c>
      <c r="C249" s="5">
        <v>0.23532062813936599</v>
      </c>
      <c r="D249" s="5">
        <f t="shared" si="6"/>
        <v>0.134679371860634</v>
      </c>
      <c r="E249" s="21">
        <v>0.26397274970888401</v>
      </c>
      <c r="F249" s="21">
        <f t="shared" si="7"/>
        <v>0.10602725029111598</v>
      </c>
    </row>
    <row r="250" spans="1:6" x14ac:dyDescent="0.25">
      <c r="A250" t="s">
        <v>73</v>
      </c>
      <c r="B250" s="5">
        <v>0.2</v>
      </c>
      <c r="C250" s="5">
        <v>0.267289298730918</v>
      </c>
      <c r="D250" s="5">
        <f t="shared" si="6"/>
        <v>-6.728929873091799E-2</v>
      </c>
      <c r="E250" s="21">
        <v>0.31773914093066102</v>
      </c>
      <c r="F250" s="21">
        <f t="shared" si="7"/>
        <v>-0.11773914093066101</v>
      </c>
    </row>
    <row r="251" spans="1:6" x14ac:dyDescent="0.25">
      <c r="B251" s="5">
        <v>0.35</v>
      </c>
      <c r="C251" s="5">
        <v>0.29702172941567501</v>
      </c>
      <c r="D251" s="5">
        <f t="shared" si="6"/>
        <v>5.2978270584324971E-2</v>
      </c>
      <c r="E251" s="21">
        <v>0.356474413156604</v>
      </c>
      <c r="F251" s="21">
        <f t="shared" si="7"/>
        <v>-6.4744131566040197E-3</v>
      </c>
    </row>
    <row r="252" spans="1:6" x14ac:dyDescent="0.25">
      <c r="A252" t="s">
        <v>74</v>
      </c>
      <c r="B252" s="5">
        <v>0.2</v>
      </c>
      <c r="C252" s="5">
        <v>0.268584746984175</v>
      </c>
      <c r="D252" s="5">
        <f t="shared" si="6"/>
        <v>-6.8584746984174993E-2</v>
      </c>
      <c r="E252" s="21">
        <v>0.31942684488182999</v>
      </c>
      <c r="F252" s="21">
        <f t="shared" si="7"/>
        <v>-0.11942684488182997</v>
      </c>
    </row>
    <row r="253" spans="1:6" x14ac:dyDescent="0.25">
      <c r="B253" s="5">
        <v>0.25</v>
      </c>
      <c r="C253" s="5">
        <v>0.29702172941567501</v>
      </c>
      <c r="D253" s="5">
        <f t="shared" si="6"/>
        <v>-4.7021729415675007E-2</v>
      </c>
      <c r="E253" s="21">
        <v>0.356474413156604</v>
      </c>
      <c r="F253" s="21">
        <f t="shared" si="7"/>
        <v>-0.106474413156604</v>
      </c>
    </row>
    <row r="254" spans="1:6" x14ac:dyDescent="0.25">
      <c r="A254" t="s">
        <v>75</v>
      </c>
      <c r="B254" s="5">
        <v>0.2</v>
      </c>
      <c r="C254" s="5">
        <v>0.268584746984175</v>
      </c>
      <c r="D254" s="5">
        <f t="shared" si="6"/>
        <v>-6.8584746984174993E-2</v>
      </c>
      <c r="E254" s="21">
        <v>0.31942684488182999</v>
      </c>
      <c r="F254" s="21">
        <f t="shared" si="7"/>
        <v>-0.11942684488182997</v>
      </c>
    </row>
    <row r="255" spans="1:6" x14ac:dyDescent="0.25">
      <c r="B255" s="5">
        <v>0.25</v>
      </c>
      <c r="C255" s="5">
        <v>0.29702172941567501</v>
      </c>
      <c r="D255" s="5">
        <f t="shared" si="6"/>
        <v>-4.7021729415675007E-2</v>
      </c>
      <c r="E255" s="21">
        <v>0.356474413156604</v>
      </c>
      <c r="F255" s="21">
        <f t="shared" si="7"/>
        <v>-0.106474413156604</v>
      </c>
    </row>
    <row r="256" spans="1:6" x14ac:dyDescent="0.25">
      <c r="A256" t="s">
        <v>76</v>
      </c>
      <c r="B256" s="5">
        <v>0.2</v>
      </c>
      <c r="C256" s="5">
        <v>0.26988019523743301</v>
      </c>
      <c r="D256" s="5">
        <f t="shared" si="6"/>
        <v>-6.9880195237432996E-2</v>
      </c>
      <c r="E256" s="21">
        <v>0.321114548833</v>
      </c>
      <c r="F256" s="21">
        <f t="shared" si="7"/>
        <v>-0.12111454883299999</v>
      </c>
    </row>
    <row r="257" spans="1:6" x14ac:dyDescent="0.25">
      <c r="B257" s="5">
        <v>0.3</v>
      </c>
      <c r="C257" s="5">
        <v>0.29702172941567501</v>
      </c>
      <c r="D257" s="5">
        <f t="shared" si="6"/>
        <v>2.9782705843249824E-3</v>
      </c>
      <c r="E257" s="21">
        <v>0.356474413156604</v>
      </c>
      <c r="F257" s="21">
        <f t="shared" si="7"/>
        <v>-5.6474413156604009E-2</v>
      </c>
    </row>
    <row r="258" spans="1:6" x14ac:dyDescent="0.25">
      <c r="A258" t="s">
        <v>77</v>
      </c>
      <c r="B258" s="5">
        <v>0.15</v>
      </c>
      <c r="C258" s="5">
        <v>0.21302068526037099</v>
      </c>
      <c r="D258" s="5">
        <f t="shared" si="6"/>
        <v>-6.3020685260370995E-2</v>
      </c>
      <c r="E258" s="21">
        <v>0.26705922088184098</v>
      </c>
      <c r="F258" s="21">
        <f t="shared" si="7"/>
        <v>-0.11705922088184098</v>
      </c>
    </row>
    <row r="259" spans="1:6" x14ac:dyDescent="0.25">
      <c r="B259" s="5">
        <v>0.2</v>
      </c>
      <c r="C259" s="5">
        <v>0.29227907742116799</v>
      </c>
      <c r="D259" s="5">
        <f t="shared" ref="D259:D322" si="8">B259-C259</f>
        <v>-9.2279077421167977E-2</v>
      </c>
      <c r="E259" s="21">
        <v>0.37829420906230998</v>
      </c>
      <c r="F259" s="21">
        <f t="shared" ref="F259:F322" si="9">B259-E259</f>
        <v>-0.17829420906230997</v>
      </c>
    </row>
    <row r="260" spans="1:6" x14ac:dyDescent="0.25">
      <c r="A260" t="s">
        <v>78</v>
      </c>
      <c r="B260" s="5">
        <v>0.15</v>
      </c>
      <c r="C260" s="5">
        <v>0.21516317296122101</v>
      </c>
      <c r="D260" s="5">
        <f t="shared" si="8"/>
        <v>-6.5163172961221011E-2</v>
      </c>
      <c r="E260" s="21">
        <v>0.27006608977715402</v>
      </c>
      <c r="F260" s="21">
        <f t="shared" si="9"/>
        <v>-0.12006608977715402</v>
      </c>
    </row>
    <row r="261" spans="1:6" x14ac:dyDescent="0.25">
      <c r="B261" s="5">
        <v>0.2</v>
      </c>
      <c r="C261" s="5">
        <v>0.29227907742116799</v>
      </c>
      <c r="D261" s="5">
        <f t="shared" si="8"/>
        <v>-9.2279077421167977E-2</v>
      </c>
      <c r="E261" s="21">
        <v>0.37829420906230998</v>
      </c>
      <c r="F261" s="21">
        <f t="shared" si="9"/>
        <v>-0.17829420906230997</v>
      </c>
    </row>
    <row r="262" spans="1:6" x14ac:dyDescent="0.25">
      <c r="A262" t="s">
        <v>79</v>
      </c>
      <c r="B262" s="5">
        <v>0.15</v>
      </c>
      <c r="C262" s="5">
        <v>0.16593842049260599</v>
      </c>
      <c r="D262" s="5">
        <f t="shared" si="8"/>
        <v>-1.5938420492605992E-2</v>
      </c>
      <c r="E262" s="21">
        <v>0.18715407179110799</v>
      </c>
      <c r="F262" s="21">
        <f t="shared" si="9"/>
        <v>-3.7154071791107995E-2</v>
      </c>
    </row>
    <row r="263" spans="1:6" x14ac:dyDescent="0.25">
      <c r="B263" s="5">
        <v>0.25</v>
      </c>
      <c r="C263" s="5">
        <v>0.26816066312683401</v>
      </c>
      <c r="D263" s="5">
        <f t="shared" si="8"/>
        <v>-1.8160663126834009E-2</v>
      </c>
      <c r="E263" s="21">
        <v>0.32130197860869097</v>
      </c>
      <c r="F263" s="21">
        <f t="shared" si="9"/>
        <v>-7.1301978608690975E-2</v>
      </c>
    </row>
    <row r="264" spans="1:6" x14ac:dyDescent="0.25">
      <c r="B264" s="5">
        <v>0.3</v>
      </c>
      <c r="C264" s="5">
        <v>0.29428835920144603</v>
      </c>
      <c r="D264" s="5">
        <f t="shared" si="8"/>
        <v>5.711640798553963E-3</v>
      </c>
      <c r="E264" s="21">
        <v>0.35558977789828999</v>
      </c>
      <c r="F264" s="21">
        <f t="shared" si="9"/>
        <v>-5.5589777898290005E-2</v>
      </c>
    </row>
    <row r="265" spans="1:6" x14ac:dyDescent="0.25">
      <c r="A265" t="s">
        <v>80</v>
      </c>
      <c r="B265" s="5">
        <v>0.15</v>
      </c>
      <c r="C265" s="5">
        <v>0.16723237293101401</v>
      </c>
      <c r="D265" s="5">
        <f t="shared" si="8"/>
        <v>-1.7232372931014012E-2</v>
      </c>
      <c r="E265" s="21">
        <v>0.18885214656095101</v>
      </c>
      <c r="F265" s="21">
        <f t="shared" si="9"/>
        <v>-3.8852146560951012E-2</v>
      </c>
    </row>
    <row r="266" spans="1:6" x14ac:dyDescent="0.25">
      <c r="B266" s="5">
        <v>0.25</v>
      </c>
      <c r="C266" s="5">
        <v>0.26945461556524197</v>
      </c>
      <c r="D266" s="5">
        <f t="shared" si="8"/>
        <v>-1.9454615565241973E-2</v>
      </c>
      <c r="E266" s="21">
        <v>0.32300005337853399</v>
      </c>
      <c r="F266" s="21">
        <f t="shared" si="9"/>
        <v>-7.3000053378533991E-2</v>
      </c>
    </row>
    <row r="267" spans="1:6" x14ac:dyDescent="0.25">
      <c r="A267" t="s">
        <v>81</v>
      </c>
      <c r="B267" s="5">
        <v>0.15</v>
      </c>
      <c r="C267" s="5">
        <v>0.102474345140568</v>
      </c>
      <c r="D267" s="5">
        <f t="shared" si="8"/>
        <v>4.7525654859431998E-2</v>
      </c>
      <c r="E267" s="21">
        <v>0.102474345140568</v>
      </c>
      <c r="F267" s="21">
        <f t="shared" si="9"/>
        <v>4.7525654859431998E-2</v>
      </c>
    </row>
    <row r="268" spans="1:6" x14ac:dyDescent="0.25">
      <c r="B268" s="5">
        <v>0.2</v>
      </c>
      <c r="C268" s="5">
        <v>0.169135103328064</v>
      </c>
      <c r="D268" s="5">
        <f t="shared" si="8"/>
        <v>3.086489667193601E-2</v>
      </c>
      <c r="E268" s="21">
        <v>0.18555915799</v>
      </c>
      <c r="F268" s="21">
        <f t="shared" si="9"/>
        <v>1.444084201000001E-2</v>
      </c>
    </row>
    <row r="269" spans="1:6" x14ac:dyDescent="0.25">
      <c r="B269" s="5">
        <v>0.3</v>
      </c>
      <c r="C269" s="5">
        <v>0.23665048662052801</v>
      </c>
      <c r="D269" s="5">
        <f t="shared" si="8"/>
        <v>6.3349513379471978E-2</v>
      </c>
      <c r="E269" s="21">
        <v>0.270411044845979</v>
      </c>
      <c r="F269" s="21">
        <f t="shared" si="9"/>
        <v>2.9588955154020991E-2</v>
      </c>
    </row>
    <row r="270" spans="1:6" x14ac:dyDescent="0.25">
      <c r="B270" s="5">
        <v>0.33</v>
      </c>
      <c r="C270" s="5">
        <v>0.28726286639158199</v>
      </c>
      <c r="D270" s="5">
        <f t="shared" si="8"/>
        <v>4.2737133608418021E-2</v>
      </c>
      <c r="E270" s="21">
        <v>0.33401959911045198</v>
      </c>
      <c r="F270" s="21">
        <f t="shared" si="9"/>
        <v>-4.0195991104519657E-3</v>
      </c>
    </row>
    <row r="271" spans="1:6" x14ac:dyDescent="0.25">
      <c r="A271" t="s">
        <v>82</v>
      </c>
      <c r="B271" s="5">
        <v>0.15</v>
      </c>
      <c r="C271" s="5">
        <v>0.10161972003560001</v>
      </c>
      <c r="D271" s="5">
        <f t="shared" si="8"/>
        <v>4.8380279964399989E-2</v>
      </c>
      <c r="E271" s="21">
        <v>0.10161972003560001</v>
      </c>
      <c r="F271" s="21">
        <f t="shared" si="9"/>
        <v>4.8380279964399989E-2</v>
      </c>
    </row>
    <row r="272" spans="1:6" x14ac:dyDescent="0.25">
      <c r="B272" s="5">
        <v>0.25</v>
      </c>
      <c r="C272" s="5">
        <v>0.16742585311812799</v>
      </c>
      <c r="D272" s="5">
        <f t="shared" si="8"/>
        <v>8.2574146881872007E-2</v>
      </c>
      <c r="E272" s="21">
        <v>0.183411008955672</v>
      </c>
      <c r="F272" s="21">
        <f t="shared" si="9"/>
        <v>6.6588991044328E-2</v>
      </c>
    </row>
    <row r="273" spans="1:6" x14ac:dyDescent="0.25">
      <c r="B273" s="5">
        <v>0.28000000000000003</v>
      </c>
      <c r="C273" s="5">
        <v>0.234086611305624</v>
      </c>
      <c r="D273" s="5">
        <f t="shared" si="8"/>
        <v>4.5913388694376028E-2</v>
      </c>
      <c r="E273" s="21">
        <v>0.26718882129448601</v>
      </c>
      <c r="F273" s="21">
        <f t="shared" si="9"/>
        <v>1.2811178705514015E-2</v>
      </c>
    </row>
    <row r="274" spans="1:6" x14ac:dyDescent="0.25">
      <c r="A274" t="s">
        <v>83</v>
      </c>
      <c r="B274" s="5">
        <v>0.2</v>
      </c>
      <c r="C274" s="5">
        <v>0.25593185375688199</v>
      </c>
      <c r="D274" s="5">
        <f t="shared" si="8"/>
        <v>-5.5931853756881977E-2</v>
      </c>
      <c r="E274" s="21">
        <v>0.31638565265359397</v>
      </c>
      <c r="F274" s="21">
        <f t="shared" si="9"/>
        <v>-0.11638565265359396</v>
      </c>
    </row>
    <row r="275" spans="1:6" x14ac:dyDescent="0.25">
      <c r="B275" s="5">
        <v>0.22</v>
      </c>
      <c r="C275" s="5">
        <v>0.28192769917035498</v>
      </c>
      <c r="D275" s="5">
        <f t="shared" si="8"/>
        <v>-6.1927699170354983E-2</v>
      </c>
      <c r="E275" s="21">
        <v>0.35162528560688699</v>
      </c>
      <c r="F275" s="21">
        <f t="shared" si="9"/>
        <v>-0.13162528560688699</v>
      </c>
    </row>
    <row r="276" spans="1:6" x14ac:dyDescent="0.25">
      <c r="A276" t="s">
        <v>84</v>
      </c>
      <c r="B276" s="5">
        <v>0.17</v>
      </c>
      <c r="C276" s="5">
        <v>0.25593185375688199</v>
      </c>
      <c r="D276" s="5">
        <f t="shared" si="8"/>
        <v>-8.5931853756881976E-2</v>
      </c>
      <c r="E276" s="21">
        <v>0.31638565265359397</v>
      </c>
      <c r="F276" s="21">
        <f t="shared" si="9"/>
        <v>-0.14638565265359396</v>
      </c>
    </row>
    <row r="277" spans="1:6" x14ac:dyDescent="0.25">
      <c r="B277" s="5">
        <v>0.21</v>
      </c>
      <c r="C277" s="5">
        <v>0.28192769917035498</v>
      </c>
      <c r="D277" s="5">
        <f t="shared" si="8"/>
        <v>-7.1927699170354992E-2</v>
      </c>
      <c r="E277" s="21">
        <v>0.35162528560688699</v>
      </c>
      <c r="F277" s="21">
        <f t="shared" si="9"/>
        <v>-0.141625285606887</v>
      </c>
    </row>
    <row r="278" spans="1:6" x14ac:dyDescent="0.25">
      <c r="A278" t="s">
        <v>85</v>
      </c>
      <c r="B278" s="5">
        <v>0.17</v>
      </c>
      <c r="C278" s="5">
        <v>0.124185684451845</v>
      </c>
      <c r="D278" s="5">
        <f t="shared" si="8"/>
        <v>4.5814315548155016E-2</v>
      </c>
      <c r="E278" s="21">
        <v>0.13239376928063301</v>
      </c>
      <c r="F278" s="21">
        <f t="shared" si="9"/>
        <v>3.7606230719367001E-2</v>
      </c>
    </row>
    <row r="279" spans="1:6" x14ac:dyDescent="0.25">
      <c r="B279" s="5">
        <v>0.18</v>
      </c>
      <c r="C279" s="5">
        <v>0.15819691921097201</v>
      </c>
      <c r="D279" s="5">
        <f t="shared" si="8"/>
        <v>2.1803080789027984E-2</v>
      </c>
      <c r="E279" s="21">
        <v>0.17633003721722099</v>
      </c>
      <c r="F279" s="21">
        <f t="shared" si="9"/>
        <v>3.6699627827790071E-3</v>
      </c>
    </row>
    <row r="280" spans="1:6" x14ac:dyDescent="0.25">
      <c r="B280" s="5">
        <v>0.2</v>
      </c>
      <c r="C280" s="5">
        <v>0.19135787310112101</v>
      </c>
      <c r="D280" s="5">
        <f t="shared" si="8"/>
        <v>8.642126898878999E-3</v>
      </c>
      <c r="E280" s="21">
        <v>0.219167898455395</v>
      </c>
      <c r="F280" s="21">
        <f t="shared" si="9"/>
        <v>-1.9167898455394988E-2</v>
      </c>
    </row>
    <row r="281" spans="1:6" x14ac:dyDescent="0.25">
      <c r="B281" s="5">
        <v>0.2</v>
      </c>
      <c r="C281" s="5">
        <v>0.225369107860247</v>
      </c>
      <c r="D281" s="5">
        <f t="shared" si="8"/>
        <v>-2.5369107860246987E-2</v>
      </c>
      <c r="E281" s="21">
        <v>0.26310416639198297</v>
      </c>
      <c r="F281" s="21">
        <f t="shared" si="9"/>
        <v>-6.3104166391982963E-2</v>
      </c>
    </row>
    <row r="282" spans="1:6" x14ac:dyDescent="0.25">
      <c r="B282" s="5">
        <v>0.25</v>
      </c>
      <c r="C282" s="5">
        <v>0.25767978088141802</v>
      </c>
      <c r="D282" s="5">
        <f t="shared" si="8"/>
        <v>-7.6797808814180191E-3</v>
      </c>
      <c r="E282" s="21">
        <v>0.304843620931742</v>
      </c>
      <c r="F282" s="21">
        <f t="shared" si="9"/>
        <v>-5.4843620931741999E-2</v>
      </c>
    </row>
    <row r="283" spans="1:6" x14ac:dyDescent="0.25">
      <c r="B283" s="5">
        <v>0.27</v>
      </c>
      <c r="C283" s="5">
        <v>0.27791169117888298</v>
      </c>
      <c r="D283" s="5">
        <f t="shared" si="8"/>
        <v>-7.9116911788829625E-3</v>
      </c>
      <c r="E283" s="21">
        <v>0.33097953272659097</v>
      </c>
      <c r="F283" s="21">
        <f t="shared" si="9"/>
        <v>-6.0979532726590957E-2</v>
      </c>
    </row>
    <row r="284" spans="1:6" x14ac:dyDescent="0.25">
      <c r="A284" t="s">
        <v>86</v>
      </c>
      <c r="B284" s="5">
        <v>0.18</v>
      </c>
      <c r="C284" s="5">
        <v>0.19135787310112101</v>
      </c>
      <c r="D284" s="5">
        <f t="shared" si="8"/>
        <v>-1.1357873101121019E-2</v>
      </c>
      <c r="E284" s="21">
        <v>0.219167898455395</v>
      </c>
      <c r="F284" s="21">
        <f t="shared" si="9"/>
        <v>-3.9167898455395006E-2</v>
      </c>
    </row>
    <row r="285" spans="1:6" x14ac:dyDescent="0.25">
      <c r="B285" s="5">
        <v>0.19</v>
      </c>
      <c r="C285" s="5">
        <v>0.22366854612229101</v>
      </c>
      <c r="D285" s="5">
        <f t="shared" si="8"/>
        <v>-3.3668546122291004E-2</v>
      </c>
      <c r="E285" s="21">
        <v>0.260907352995153</v>
      </c>
      <c r="F285" s="21">
        <f t="shared" si="9"/>
        <v>-7.0907352995152995E-2</v>
      </c>
    </row>
    <row r="286" spans="1:6" x14ac:dyDescent="0.25">
      <c r="B286" s="5">
        <v>0.21</v>
      </c>
      <c r="C286" s="5">
        <v>0.25767978088141802</v>
      </c>
      <c r="D286" s="5">
        <f t="shared" si="8"/>
        <v>-4.7679780881418027E-2</v>
      </c>
      <c r="E286" s="21">
        <v>0.304843620931742</v>
      </c>
      <c r="F286" s="21">
        <f t="shared" si="9"/>
        <v>-9.4843620931742006E-2</v>
      </c>
    </row>
    <row r="287" spans="1:6" x14ac:dyDescent="0.25">
      <c r="B287" s="5">
        <v>0.26</v>
      </c>
      <c r="C287" s="5">
        <v>0.27791169117888298</v>
      </c>
      <c r="D287" s="5">
        <f t="shared" si="8"/>
        <v>-1.7911691178882971E-2</v>
      </c>
      <c r="E287" s="21">
        <v>0.33097953272659097</v>
      </c>
      <c r="F287" s="21">
        <f t="shared" si="9"/>
        <v>-7.0979532726590966E-2</v>
      </c>
    </row>
    <row r="288" spans="1:6" x14ac:dyDescent="0.25">
      <c r="A288" t="s">
        <v>87</v>
      </c>
      <c r="B288" s="5">
        <v>0.17</v>
      </c>
      <c r="C288" s="5">
        <v>0.13127422971881</v>
      </c>
      <c r="D288" s="5">
        <f t="shared" si="8"/>
        <v>3.8725770281190008E-2</v>
      </c>
      <c r="E288" s="21">
        <v>0.13479155649448901</v>
      </c>
      <c r="F288" s="21">
        <f t="shared" si="9"/>
        <v>3.5208443505511E-2</v>
      </c>
    </row>
    <row r="289" spans="1:6" x14ac:dyDescent="0.25">
      <c r="B289" s="5">
        <v>0.23</v>
      </c>
      <c r="C289" s="5">
        <v>0.17385097621224299</v>
      </c>
      <c r="D289" s="5">
        <f t="shared" si="8"/>
        <v>5.6149023787757019E-2</v>
      </c>
      <c r="E289" s="21">
        <v>0.18859175010146001</v>
      </c>
      <c r="F289" s="21">
        <f t="shared" si="9"/>
        <v>4.140824989854E-2</v>
      </c>
    </row>
    <row r="290" spans="1:6" x14ac:dyDescent="0.25">
      <c r="B290" s="5">
        <v>0.27</v>
      </c>
      <c r="C290" s="5">
        <v>0.205980118431288</v>
      </c>
      <c r="D290" s="5">
        <f t="shared" si="8"/>
        <v>6.4019881568712023E-2</v>
      </c>
      <c r="E290" s="21">
        <v>0.22919029776355501</v>
      </c>
      <c r="F290" s="21">
        <f t="shared" si="9"/>
        <v>4.0809702236445006E-2</v>
      </c>
    </row>
    <row r="291" spans="1:6" x14ac:dyDescent="0.25">
      <c r="A291" t="s">
        <v>88</v>
      </c>
      <c r="B291" s="5">
        <v>0.16</v>
      </c>
      <c r="C291" s="5">
        <v>0.20732569988657901</v>
      </c>
      <c r="D291" s="5">
        <f t="shared" si="8"/>
        <v>-4.7325699886579004E-2</v>
      </c>
      <c r="E291" s="21">
        <v>0.23014130586856801</v>
      </c>
      <c r="F291" s="21">
        <f t="shared" si="9"/>
        <v>-7.014130586856801E-2</v>
      </c>
    </row>
    <row r="292" spans="1:6" x14ac:dyDescent="0.25">
      <c r="A292" t="s">
        <v>89</v>
      </c>
      <c r="B292" s="5">
        <v>0.16</v>
      </c>
      <c r="C292" s="5">
        <v>0.205276239077366</v>
      </c>
      <c r="D292" s="5">
        <f t="shared" si="8"/>
        <v>-4.5276239077365998E-2</v>
      </c>
      <c r="E292" s="21">
        <v>0.223160977177881</v>
      </c>
      <c r="F292" s="21">
        <f t="shared" si="9"/>
        <v>-6.3160977177880995E-2</v>
      </c>
    </row>
    <row r="293" spans="1:6" x14ac:dyDescent="0.25">
      <c r="B293" s="5">
        <v>0.2</v>
      </c>
      <c r="C293" s="5">
        <v>0.23559597544973301</v>
      </c>
      <c r="D293" s="5">
        <f t="shared" si="8"/>
        <v>-3.5595975449733003E-2</v>
      </c>
      <c r="E293" s="21">
        <v>0.26128303111942902</v>
      </c>
      <c r="F293" s="21">
        <f t="shared" si="9"/>
        <v>-6.128303111942901E-2</v>
      </c>
    </row>
    <row r="294" spans="1:6" x14ac:dyDescent="0.25">
      <c r="A294" t="s">
        <v>90</v>
      </c>
      <c r="B294" s="5">
        <v>0.17</v>
      </c>
      <c r="C294" s="5">
        <v>0.11891617173496501</v>
      </c>
      <c r="D294" s="5">
        <f t="shared" si="8"/>
        <v>5.1083828265035006E-2</v>
      </c>
      <c r="E294" s="21">
        <v>0.124331141033773</v>
      </c>
      <c r="F294" s="21">
        <f t="shared" si="9"/>
        <v>4.5668858966227008E-2</v>
      </c>
    </row>
    <row r="295" spans="1:6" x14ac:dyDescent="0.25">
      <c r="A295" t="s">
        <v>91</v>
      </c>
      <c r="B295" s="5">
        <v>0.15</v>
      </c>
      <c r="C295" s="5">
        <v>0.154918924089883</v>
      </c>
      <c r="D295" s="5">
        <f t="shared" si="8"/>
        <v>-4.9189240898830089E-3</v>
      </c>
      <c r="E295" s="21">
        <v>0.15601234248965001</v>
      </c>
      <c r="F295" s="21">
        <f t="shared" si="9"/>
        <v>-6.0123424896500188E-3</v>
      </c>
    </row>
    <row r="296" spans="1:6" x14ac:dyDescent="0.25">
      <c r="B296" s="5">
        <v>0.19</v>
      </c>
      <c r="C296" s="5">
        <v>0.19018496513522101</v>
      </c>
      <c r="D296" s="5">
        <f t="shared" si="8"/>
        <v>-1.8496513522101021E-4</v>
      </c>
      <c r="E296" s="21">
        <v>0.198117066913921</v>
      </c>
      <c r="F296" s="21">
        <f t="shared" si="9"/>
        <v>-8.1170669139210005E-3</v>
      </c>
    </row>
    <row r="297" spans="1:6" x14ac:dyDescent="0.25">
      <c r="B297" s="5">
        <v>0.22</v>
      </c>
      <c r="C297" s="5">
        <v>0.22781332471948099</v>
      </c>
      <c r="D297" s="5">
        <f t="shared" si="8"/>
        <v>-7.8133247194809852E-3</v>
      </c>
      <c r="E297" s="21">
        <v>0.243042203500584</v>
      </c>
      <c r="F297" s="21">
        <f t="shared" si="9"/>
        <v>-2.3042203500584002E-2</v>
      </c>
    </row>
    <row r="298" spans="1:6" x14ac:dyDescent="0.25">
      <c r="B298" s="5">
        <v>0.27</v>
      </c>
      <c r="C298" s="5">
        <v>0.24430562575555101</v>
      </c>
      <c r="D298" s="5">
        <f t="shared" si="8"/>
        <v>2.5694374244449009E-2</v>
      </c>
      <c r="E298" s="21">
        <v>0.26273264137403601</v>
      </c>
      <c r="F298" s="21">
        <f t="shared" si="9"/>
        <v>7.2673586259640044E-3</v>
      </c>
    </row>
    <row r="299" spans="1:6" x14ac:dyDescent="0.25">
      <c r="A299" t="s">
        <v>92</v>
      </c>
      <c r="B299" s="5">
        <v>0.17</v>
      </c>
      <c r="C299" s="5">
        <v>0.21486544798031201</v>
      </c>
      <c r="D299" s="5">
        <f t="shared" si="8"/>
        <v>-4.4865447980312001E-2</v>
      </c>
      <c r="E299" s="21">
        <v>0.232509472706563</v>
      </c>
      <c r="F299" s="21">
        <f t="shared" si="9"/>
        <v>-6.2509472706562985E-2</v>
      </c>
    </row>
    <row r="300" spans="1:6" x14ac:dyDescent="0.25">
      <c r="B300" s="5">
        <v>0.2</v>
      </c>
      <c r="C300" s="5">
        <v>0.23274471188871701</v>
      </c>
      <c r="D300" s="5">
        <f t="shared" si="8"/>
        <v>-3.2744711888716999E-2</v>
      </c>
      <c r="E300" s="21">
        <v>0.254486890270819</v>
      </c>
      <c r="F300" s="21">
        <f t="shared" si="9"/>
        <v>-5.4486890270818988E-2</v>
      </c>
    </row>
    <row r="301" spans="1:6" x14ac:dyDescent="0.25">
      <c r="A301" t="s">
        <v>93</v>
      </c>
      <c r="B301" s="5">
        <v>0.15</v>
      </c>
      <c r="C301" s="5">
        <v>0.14325409277470799</v>
      </c>
      <c r="D301" s="5">
        <f t="shared" si="8"/>
        <v>6.7459072252920027E-3</v>
      </c>
      <c r="E301" s="21">
        <v>0.14430524158949401</v>
      </c>
      <c r="F301" s="21">
        <f t="shared" si="9"/>
        <v>5.6947584105059845E-3</v>
      </c>
    </row>
    <row r="302" spans="1:6" x14ac:dyDescent="0.25">
      <c r="B302" s="5">
        <v>0.18</v>
      </c>
      <c r="C302" s="5">
        <v>0.178298285681843</v>
      </c>
      <c r="D302" s="5">
        <f t="shared" si="8"/>
        <v>1.7017143181569938E-3</v>
      </c>
      <c r="E302" s="21">
        <v>0.18730209693616101</v>
      </c>
      <c r="F302" s="21">
        <f t="shared" si="9"/>
        <v>-7.3020969361610177E-3</v>
      </c>
    </row>
    <row r="303" spans="1:6" x14ac:dyDescent="0.25">
      <c r="B303" s="5">
        <v>0.22</v>
      </c>
      <c r="C303" s="5">
        <v>0.215689936487064</v>
      </c>
      <c r="D303" s="5">
        <f t="shared" si="8"/>
        <v>4.3100635129360021E-3</v>
      </c>
      <c r="E303" s="21">
        <v>0.233179124411313</v>
      </c>
      <c r="F303" s="21">
        <f t="shared" si="9"/>
        <v>-1.3179124411312998E-2</v>
      </c>
    </row>
    <row r="304" spans="1:6" x14ac:dyDescent="0.25">
      <c r="B304" s="5">
        <v>0.25</v>
      </c>
      <c r="C304" s="5">
        <v>0.23348798376539201</v>
      </c>
      <c r="D304" s="5">
        <f t="shared" si="8"/>
        <v>1.651201623460799E-2</v>
      </c>
      <c r="E304" s="21">
        <v>0.25501612508949401</v>
      </c>
      <c r="F304" s="21">
        <f t="shared" si="9"/>
        <v>-5.0161250894940057E-3</v>
      </c>
    </row>
    <row r="305" spans="1:6" x14ac:dyDescent="0.25">
      <c r="A305" t="s">
        <v>94</v>
      </c>
      <c r="B305" s="5">
        <v>0.2</v>
      </c>
      <c r="C305" s="5">
        <v>0.14523639043966599</v>
      </c>
      <c r="D305" s="5">
        <f t="shared" si="8"/>
        <v>5.476360956033402E-2</v>
      </c>
      <c r="E305" s="21">
        <v>0.14629649491431801</v>
      </c>
      <c r="F305" s="21">
        <f t="shared" si="9"/>
        <v>5.3703505085682002E-2</v>
      </c>
    </row>
    <row r="306" spans="1:6" x14ac:dyDescent="0.25">
      <c r="B306" s="5">
        <v>0.25</v>
      </c>
      <c r="C306" s="5">
        <v>0.18031567133788301</v>
      </c>
      <c r="D306" s="5">
        <f t="shared" si="8"/>
        <v>6.968432866211699E-2</v>
      </c>
      <c r="E306" s="21">
        <v>0.18913767848311999</v>
      </c>
      <c r="F306" s="21">
        <f t="shared" si="9"/>
        <v>6.0862321516880008E-2</v>
      </c>
    </row>
    <row r="307" spans="1:6" x14ac:dyDescent="0.25">
      <c r="B307" s="5">
        <v>0.3</v>
      </c>
      <c r="C307" s="5">
        <v>0.217744760525933</v>
      </c>
      <c r="D307" s="5">
        <f t="shared" si="8"/>
        <v>8.2255239474066988E-2</v>
      </c>
      <c r="E307" s="21">
        <v>0.23484860640581301</v>
      </c>
      <c r="F307" s="21">
        <f t="shared" si="9"/>
        <v>6.5151393594186979E-2</v>
      </c>
    </row>
    <row r="308" spans="1:6" x14ac:dyDescent="0.25">
      <c r="B308" s="5">
        <v>0.35</v>
      </c>
      <c r="C308" s="5">
        <v>0.23533649443840499</v>
      </c>
      <c r="D308" s="5">
        <f t="shared" si="8"/>
        <v>0.11466350556159499</v>
      </c>
      <c r="E308" s="21">
        <v>0.25633281824083998</v>
      </c>
      <c r="F308" s="21">
        <f t="shared" si="9"/>
        <v>9.3667181759160001E-2</v>
      </c>
    </row>
    <row r="309" spans="1:6" x14ac:dyDescent="0.25">
      <c r="A309" t="s">
        <v>95</v>
      </c>
      <c r="B309" s="5">
        <v>0.17</v>
      </c>
      <c r="C309" s="5">
        <v>0.134837869496894</v>
      </c>
      <c r="D309" s="5">
        <f t="shared" si="8"/>
        <v>3.5162130503106015E-2</v>
      </c>
      <c r="E309" s="21">
        <v>0.138648828196445</v>
      </c>
      <c r="F309" s="21">
        <f t="shared" si="9"/>
        <v>3.1351171803555011E-2</v>
      </c>
    </row>
    <row r="310" spans="1:6" x14ac:dyDescent="0.25">
      <c r="B310" s="5">
        <v>0.2</v>
      </c>
      <c r="C310" s="5">
        <v>0.162583158045426</v>
      </c>
      <c r="D310" s="5">
        <f t="shared" si="8"/>
        <v>3.7416841954574009E-2</v>
      </c>
      <c r="E310" s="21">
        <v>0.169914612673841</v>
      </c>
      <c r="F310" s="21">
        <f t="shared" si="9"/>
        <v>3.0085387326159008E-2</v>
      </c>
    </row>
    <row r="311" spans="1:6" x14ac:dyDescent="0.25">
      <c r="A311" t="s">
        <v>96</v>
      </c>
      <c r="B311" s="5">
        <v>0.17</v>
      </c>
      <c r="C311" s="5">
        <v>0.13588745970060401</v>
      </c>
      <c r="D311" s="5">
        <f t="shared" si="8"/>
        <v>3.4112540299396005E-2</v>
      </c>
      <c r="E311" s="21">
        <v>0.13588745970060401</v>
      </c>
      <c r="F311" s="21">
        <f t="shared" si="9"/>
        <v>3.4112540299396005E-2</v>
      </c>
    </row>
    <row r="312" spans="1:6" x14ac:dyDescent="0.25">
      <c r="B312" s="5">
        <v>0.2</v>
      </c>
      <c r="C312" s="5">
        <v>0.170118894178651</v>
      </c>
      <c r="D312" s="5">
        <f t="shared" si="8"/>
        <v>2.9881105821349008E-2</v>
      </c>
      <c r="E312" s="21">
        <v>0.17401832817903201</v>
      </c>
      <c r="F312" s="21">
        <f t="shared" si="9"/>
        <v>2.5981671820968E-2</v>
      </c>
    </row>
    <row r="313" spans="1:6" x14ac:dyDescent="0.25">
      <c r="B313" s="5">
        <v>0.25</v>
      </c>
      <c r="C313" s="5">
        <v>0.20357012502187</v>
      </c>
      <c r="D313" s="5">
        <f t="shared" si="8"/>
        <v>4.6429874978130004E-2</v>
      </c>
      <c r="E313" s="21">
        <v>0.213045974149526</v>
      </c>
      <c r="F313" s="21">
        <f t="shared" si="9"/>
        <v>3.6954025850473998E-2</v>
      </c>
    </row>
    <row r="314" spans="1:6" x14ac:dyDescent="0.25">
      <c r="B314" s="5">
        <v>0.28999999999999998</v>
      </c>
      <c r="C314" s="5">
        <v>0.23504357802551901</v>
      </c>
      <c r="D314" s="5">
        <f t="shared" si="8"/>
        <v>5.4956421974480973E-2</v>
      </c>
      <c r="E314" s="21">
        <v>0.24976614110100201</v>
      </c>
      <c r="F314" s="21">
        <f t="shared" si="9"/>
        <v>4.0233858898997971E-2</v>
      </c>
    </row>
    <row r="315" spans="1:6" x14ac:dyDescent="0.25">
      <c r="A315" t="s">
        <v>97</v>
      </c>
      <c r="B315" s="5">
        <v>0.17</v>
      </c>
      <c r="C315" s="5">
        <v>0.17172528363860701</v>
      </c>
      <c r="D315" s="5">
        <f t="shared" si="8"/>
        <v>-1.7252836386069947E-3</v>
      </c>
      <c r="E315" s="21">
        <v>0.17555386359826999</v>
      </c>
      <c r="F315" s="21">
        <f t="shared" si="9"/>
        <v>-5.5538635982699813E-3</v>
      </c>
    </row>
    <row r="316" spans="1:6" x14ac:dyDescent="0.25">
      <c r="A316" t="s">
        <v>98</v>
      </c>
      <c r="B316" s="5">
        <v>0.15</v>
      </c>
      <c r="C316" s="5">
        <v>0.13588745970060401</v>
      </c>
      <c r="D316" s="5">
        <f t="shared" si="8"/>
        <v>1.4112540299395987E-2</v>
      </c>
      <c r="E316" s="21">
        <v>0.13588745970060401</v>
      </c>
      <c r="F316" s="21">
        <f t="shared" si="9"/>
        <v>1.4112540299395987E-2</v>
      </c>
    </row>
    <row r="317" spans="1:6" x14ac:dyDescent="0.25">
      <c r="B317" s="5">
        <v>0.16</v>
      </c>
      <c r="C317" s="5">
        <v>0.170118894178651</v>
      </c>
      <c r="D317" s="5">
        <f t="shared" si="8"/>
        <v>-1.0118894178651E-2</v>
      </c>
      <c r="E317" s="21">
        <v>0.17401832817903201</v>
      </c>
      <c r="F317" s="21">
        <f t="shared" si="9"/>
        <v>-1.4018328179032008E-2</v>
      </c>
    </row>
    <row r="318" spans="1:6" x14ac:dyDescent="0.25">
      <c r="B318" s="5">
        <v>0.22</v>
      </c>
      <c r="C318" s="5">
        <v>0.20357012502187</v>
      </c>
      <c r="D318" s="5">
        <f t="shared" si="8"/>
        <v>1.6429874978130005E-2</v>
      </c>
      <c r="E318" s="21">
        <v>0.213045974149526</v>
      </c>
      <c r="F318" s="21">
        <f t="shared" si="9"/>
        <v>6.9540258504739993E-3</v>
      </c>
    </row>
    <row r="319" spans="1:6" x14ac:dyDescent="0.25">
      <c r="B319" s="5">
        <v>0.26</v>
      </c>
      <c r="C319" s="5">
        <v>0.23504357802551901</v>
      </c>
      <c r="D319" s="5">
        <f t="shared" si="8"/>
        <v>2.4956421974481002E-2</v>
      </c>
      <c r="E319" s="21">
        <v>0.24976614110100201</v>
      </c>
      <c r="F319" s="21">
        <f t="shared" si="9"/>
        <v>1.0233858898997999E-2</v>
      </c>
    </row>
    <row r="320" spans="1:6" x14ac:dyDescent="0.25">
      <c r="A320" t="s">
        <v>99</v>
      </c>
      <c r="B320" s="5">
        <v>0.17</v>
      </c>
      <c r="C320" s="5">
        <v>0.175324609891476</v>
      </c>
      <c r="D320" s="5">
        <f t="shared" si="8"/>
        <v>-5.3246098914759843E-3</v>
      </c>
      <c r="E320" s="21">
        <v>0.17899338062495501</v>
      </c>
      <c r="F320" s="21">
        <f t="shared" si="9"/>
        <v>-8.9933806249549997E-3</v>
      </c>
    </row>
    <row r="321" spans="1:6" x14ac:dyDescent="0.25">
      <c r="B321" s="5">
        <v>0.2</v>
      </c>
      <c r="C321" s="5">
        <v>0.208922974031405</v>
      </c>
      <c r="D321" s="5">
        <f t="shared" si="8"/>
        <v>-8.9229740314049899E-3</v>
      </c>
      <c r="E321" s="21">
        <v>0.21770102562207599</v>
      </c>
      <c r="F321" s="21">
        <f t="shared" si="9"/>
        <v>-1.7701025622075983E-2</v>
      </c>
    </row>
    <row r="322" spans="1:6" x14ac:dyDescent="0.25">
      <c r="B322" s="5">
        <v>0.24</v>
      </c>
      <c r="C322" s="5">
        <v>0.239618693852614</v>
      </c>
      <c r="D322" s="5">
        <f t="shared" si="8"/>
        <v>3.8130614738599022E-4</v>
      </c>
      <c r="E322" s="21">
        <v>0.25306462311218098</v>
      </c>
      <c r="F322" s="21">
        <f t="shared" si="9"/>
        <v>-1.3064623112180984E-2</v>
      </c>
    </row>
    <row r="323" spans="1:6" x14ac:dyDescent="0.25">
      <c r="A323" t="s">
        <v>100</v>
      </c>
      <c r="B323" s="5">
        <v>0.17</v>
      </c>
      <c r="C323" s="5">
        <v>0.143016253459017</v>
      </c>
      <c r="D323" s="5">
        <f t="shared" ref="D323:D342" si="10">B323-C323</f>
        <v>2.6983746540983011E-2</v>
      </c>
      <c r="E323" s="21">
        <v>0.143016253459017</v>
      </c>
      <c r="F323" s="21">
        <f t="shared" ref="F323:F342" si="11">B323-E323</f>
        <v>2.6983746540983011E-2</v>
      </c>
    </row>
    <row r="324" spans="1:6" x14ac:dyDescent="0.25">
      <c r="B324" s="5">
        <v>0.23</v>
      </c>
      <c r="C324" s="5">
        <v>0.196050625318856</v>
      </c>
      <c r="D324" s="5">
        <f t="shared" si="10"/>
        <v>3.3949374681144007E-2</v>
      </c>
      <c r="E324" s="21">
        <v>0.20219818495855699</v>
      </c>
      <c r="F324" s="21">
        <f t="shared" si="11"/>
        <v>2.7801815041443023E-2</v>
      </c>
    </row>
    <row r="325" spans="1:6" x14ac:dyDescent="0.25">
      <c r="B325" s="5">
        <v>0.27</v>
      </c>
      <c r="C325" s="5">
        <v>0.24297322941789601</v>
      </c>
      <c r="D325" s="5">
        <f t="shared" si="10"/>
        <v>2.7026770582104009E-2</v>
      </c>
      <c r="E325" s="21">
        <v>0.25973057252738202</v>
      </c>
      <c r="F325" s="21">
        <f t="shared" si="11"/>
        <v>1.0269427472617998E-2</v>
      </c>
    </row>
    <row r="326" spans="1:6" x14ac:dyDescent="0.25">
      <c r="B326" s="5">
        <v>0.31</v>
      </c>
      <c r="C326" s="5">
        <v>0.27648937520292399</v>
      </c>
      <c r="D326" s="5">
        <f t="shared" si="10"/>
        <v>3.3510624797076005E-2</v>
      </c>
      <c r="E326" s="21">
        <v>0.30082513507654302</v>
      </c>
      <c r="F326" s="21">
        <f t="shared" si="11"/>
        <v>9.1748649234569823E-3</v>
      </c>
    </row>
    <row r="327" spans="1:6" x14ac:dyDescent="0.25">
      <c r="B327" s="5">
        <v>0.35</v>
      </c>
      <c r="C327" s="5">
        <v>0.28420837788544501</v>
      </c>
      <c r="D327" s="5">
        <f t="shared" si="10"/>
        <v>6.5791622114554971E-2</v>
      </c>
      <c r="E327" s="21">
        <v>0.31028950011984302</v>
      </c>
      <c r="F327" s="21">
        <f t="shared" si="11"/>
        <v>3.9710499880156958E-2</v>
      </c>
    </row>
    <row r="328" spans="1:6" x14ac:dyDescent="0.25">
      <c r="A328" t="s">
        <v>101</v>
      </c>
      <c r="B328" s="5">
        <v>0.19</v>
      </c>
      <c r="C328" s="5">
        <v>0.133769063769031</v>
      </c>
      <c r="D328" s="5">
        <f t="shared" si="10"/>
        <v>5.6230936230969003E-2</v>
      </c>
      <c r="E328" s="21">
        <v>0.133769063769031</v>
      </c>
      <c r="F328" s="21">
        <f t="shared" si="11"/>
        <v>5.6230936230969003E-2</v>
      </c>
    </row>
    <row r="329" spans="1:6" x14ac:dyDescent="0.25">
      <c r="B329" s="5">
        <v>0.24</v>
      </c>
      <c r="C329" s="5">
        <v>0.186626082364968</v>
      </c>
      <c r="D329" s="5">
        <f t="shared" si="10"/>
        <v>5.3373917635031992E-2</v>
      </c>
      <c r="E329" s="21">
        <v>0.193179679982976</v>
      </c>
      <c r="F329" s="21">
        <f t="shared" si="11"/>
        <v>4.6820320017023992E-2</v>
      </c>
    </row>
    <row r="330" spans="1:6" x14ac:dyDescent="0.25">
      <c r="B330" s="5">
        <v>0.28999999999999998</v>
      </c>
      <c r="C330" s="5">
        <v>0.23339177168033201</v>
      </c>
      <c r="D330" s="5">
        <f t="shared" si="10"/>
        <v>5.6608228319667969E-2</v>
      </c>
      <c r="E330" s="21">
        <v>0.25156072272697799</v>
      </c>
      <c r="F330" s="21">
        <f t="shared" si="11"/>
        <v>3.8439277273021988E-2</v>
      </c>
    </row>
    <row r="331" spans="1:6" x14ac:dyDescent="0.25">
      <c r="B331" s="5">
        <v>0.36</v>
      </c>
      <c r="C331" s="5">
        <v>0.26679583547702101</v>
      </c>
      <c r="D331" s="5">
        <f t="shared" si="10"/>
        <v>9.3204164522978972E-2</v>
      </c>
      <c r="E331" s="21">
        <v>0.29326146754412202</v>
      </c>
      <c r="F331" s="21">
        <f t="shared" si="11"/>
        <v>6.6738532455877964E-2</v>
      </c>
    </row>
    <row r="332" spans="1:6" x14ac:dyDescent="0.25">
      <c r="B332" s="5">
        <v>0.42</v>
      </c>
      <c r="C332" s="5">
        <v>0.275521082842547</v>
      </c>
      <c r="D332" s="5">
        <f t="shared" si="10"/>
        <v>0.14447891715745298</v>
      </c>
      <c r="E332" s="21">
        <v>0.30415383429539</v>
      </c>
      <c r="F332" s="21">
        <f t="shared" si="11"/>
        <v>0.11584616570460998</v>
      </c>
    </row>
    <row r="333" spans="1:6" x14ac:dyDescent="0.25">
      <c r="A333" t="s">
        <v>102</v>
      </c>
      <c r="B333" s="5">
        <v>0.18</v>
      </c>
      <c r="C333" s="5">
        <v>0.14859881244269199</v>
      </c>
      <c r="D333" s="5">
        <f t="shared" si="10"/>
        <v>3.1401187557308002E-2</v>
      </c>
      <c r="E333" s="21">
        <v>0.14859881244269199</v>
      </c>
      <c r="F333" s="21">
        <f t="shared" si="11"/>
        <v>3.1401187557308002E-2</v>
      </c>
    </row>
    <row r="334" spans="1:6" x14ac:dyDescent="0.25">
      <c r="B334" s="5">
        <v>0.22</v>
      </c>
      <c r="C334" s="5">
        <v>0.18772668752404401</v>
      </c>
      <c r="D334" s="5">
        <f t="shared" si="10"/>
        <v>3.2273312475955995E-2</v>
      </c>
      <c r="E334" s="21">
        <v>0.19264787851086501</v>
      </c>
      <c r="F334" s="21">
        <f t="shared" si="11"/>
        <v>2.735212148913499E-2</v>
      </c>
    </row>
    <row r="335" spans="1:6" x14ac:dyDescent="0.25">
      <c r="B335" s="5">
        <v>0.27</v>
      </c>
      <c r="C335" s="5">
        <v>0.21791104830108701</v>
      </c>
      <c r="D335" s="5">
        <f t="shared" si="10"/>
        <v>5.2088951698913005E-2</v>
      </c>
      <c r="E335" s="21">
        <v>0.22749210319479099</v>
      </c>
      <c r="F335" s="21">
        <f t="shared" si="11"/>
        <v>4.2507896805209028E-2</v>
      </c>
    </row>
    <row r="336" spans="1:6" x14ac:dyDescent="0.25">
      <c r="B336" s="5">
        <v>0.32</v>
      </c>
      <c r="C336" s="5">
        <v>0.247400034312454</v>
      </c>
      <c r="D336" s="5">
        <f t="shared" si="10"/>
        <v>7.2599965687546009E-2</v>
      </c>
      <c r="E336" s="21">
        <v>0.26153360110395701</v>
      </c>
      <c r="F336" s="21">
        <f t="shared" si="11"/>
        <v>5.8466398896042993E-2</v>
      </c>
    </row>
    <row r="337" spans="1:6" x14ac:dyDescent="0.25">
      <c r="A337" t="s">
        <v>103</v>
      </c>
      <c r="B337" s="5">
        <v>0.16</v>
      </c>
      <c r="C337" s="5">
        <v>0.18772668752404401</v>
      </c>
      <c r="D337" s="5">
        <f t="shared" si="10"/>
        <v>-2.7726687524044002E-2</v>
      </c>
      <c r="E337" s="21">
        <v>0.19264787851086501</v>
      </c>
      <c r="F337" s="21">
        <f t="shared" si="11"/>
        <v>-3.2647878510865008E-2</v>
      </c>
    </row>
    <row r="338" spans="1:6" x14ac:dyDescent="0.25">
      <c r="B338" s="5">
        <v>0.19</v>
      </c>
      <c r="C338" s="5">
        <v>0.21791104830108701</v>
      </c>
      <c r="D338" s="5">
        <f t="shared" si="10"/>
        <v>-2.791104830108701E-2</v>
      </c>
      <c r="E338" s="21">
        <v>0.22749210319479099</v>
      </c>
      <c r="F338" s="21">
        <f t="shared" si="11"/>
        <v>-3.7492103194790988E-2</v>
      </c>
    </row>
    <row r="339" spans="1:6" x14ac:dyDescent="0.25">
      <c r="B339" s="5">
        <v>0.22</v>
      </c>
      <c r="C339" s="5">
        <v>0.247400034312454</v>
      </c>
      <c r="D339" s="5">
        <f t="shared" si="10"/>
        <v>-2.7400034312453997E-2</v>
      </c>
      <c r="E339" s="21">
        <v>0.26153360110395701</v>
      </c>
      <c r="F339" s="21">
        <f t="shared" si="11"/>
        <v>-4.1533601103957013E-2</v>
      </c>
    </row>
    <row r="340" spans="1:6" x14ac:dyDescent="0.25">
      <c r="A340" t="s">
        <v>104</v>
      </c>
      <c r="B340" s="5">
        <v>0.17</v>
      </c>
      <c r="C340" s="5">
        <v>0.15062208841314201</v>
      </c>
      <c r="D340" s="5">
        <f t="shared" si="10"/>
        <v>1.9377911586858004E-2</v>
      </c>
      <c r="E340" s="21">
        <v>0.15062208841314201</v>
      </c>
      <c r="F340" s="21">
        <f t="shared" si="11"/>
        <v>1.9377911586858004E-2</v>
      </c>
    </row>
    <row r="341" spans="1:6" x14ac:dyDescent="0.25">
      <c r="A341" t="s">
        <v>105</v>
      </c>
      <c r="B341" s="5">
        <v>0.19</v>
      </c>
      <c r="C341" s="5">
        <v>0.10806100229525099</v>
      </c>
      <c r="D341" s="5">
        <f t="shared" si="10"/>
        <v>8.1938997704749009E-2</v>
      </c>
      <c r="E341" s="21">
        <v>0.10806100229525099</v>
      </c>
      <c r="F341" s="21">
        <f t="shared" si="11"/>
        <v>8.1938997704749009E-2</v>
      </c>
    </row>
    <row r="342" spans="1:6" x14ac:dyDescent="0.25">
      <c r="B342" s="5">
        <v>0.25</v>
      </c>
      <c r="C342" s="5">
        <v>0.14780512821168501</v>
      </c>
      <c r="D342" s="5">
        <f t="shared" si="10"/>
        <v>0.10219487178831499</v>
      </c>
      <c r="E342" s="21">
        <v>0.14780512821168501</v>
      </c>
      <c r="F342" s="21">
        <f t="shared" si="11"/>
        <v>0.10219487178831499</v>
      </c>
    </row>
    <row r="344" spans="1:6" x14ac:dyDescent="0.25">
      <c r="C344" s="10"/>
      <c r="D344" s="10"/>
      <c r="E344" s="10"/>
      <c r="F344" s="10"/>
    </row>
    <row r="345" spans="1:6" x14ac:dyDescent="0.25">
      <c r="C345" s="10"/>
      <c r="D345" s="10"/>
      <c r="E345" s="10"/>
      <c r="F345" s="10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Com TS variável MC2010</vt:lpstr>
      <vt:lpstr>Sem TS MC2010</vt:lpstr>
      <vt:lpstr>Com TS variável MC2020</vt:lpstr>
      <vt:lpstr>Sem TS MC2020</vt:lpstr>
      <vt:lpstr>Modelos normativos</vt:lpstr>
      <vt:lpstr>Dataset_1</vt:lpstr>
      <vt:lpstr>Dataset_2</vt:lpstr>
      <vt:lpstr>Modelos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Lima Araujo</dc:creator>
  <dc:description/>
  <cp:lastModifiedBy>wanderlei malaquias pereira junior</cp:lastModifiedBy>
  <cp:revision>1</cp:revision>
  <dcterms:created xsi:type="dcterms:W3CDTF">2025-09-13T23:04:03Z</dcterms:created>
  <dcterms:modified xsi:type="dcterms:W3CDTF">2026-10-05T19:04:47Z</dcterms:modified>
  <dc:language>en-US</dc:language>
</cp:coreProperties>
</file>