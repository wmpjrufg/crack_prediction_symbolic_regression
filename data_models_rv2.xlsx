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om TS variável MC2010" sheetId="1" state="visible" r:id="rId3"/>
    <sheet name="Sem TS MC2010" sheetId="2" state="visible" r:id="rId4"/>
    <sheet name="Com TS variável MC2020" sheetId="3" state="visible" r:id="rId5"/>
    <sheet name="Sem TS MC2020" sheetId="4" state="visible" r:id="rId6"/>
    <sheet name="Modelos normativos" sheetId="5" state="visible" r:id="rId7"/>
    <sheet name="Dataset_1" sheetId="6" state="visible" r:id="rId8"/>
    <sheet name="Dataset_2" sheetId="7" state="visible" r:id="rId9"/>
    <sheet name="Modelo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<sst xmlns="http://schemas.openxmlformats.org/spreadsheetml/2006/main" count="868" uniqueCount="153">
  <si>
    <t xml:space="preserve">Opção 3 de equação</t>
  </si>
  <si>
    <t xml:space="preserve">Opção 4 de equação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</si>
  <si>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</si>
  <si>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</si>
  <si>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</si>
  <si>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</si>
  <si>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</si>
  <si>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A6</t>
  </si>
  <si>
    <t xml:space="preserve">Autor</t>
  </si>
  <si>
    <t xml:space="preserve">Inputs</t>
  </si>
  <si>
    <t xml:space="preserve">Output</t>
  </si>
  <si>
    <t xml:space="preserve">Diâmetro da armadura (mm)</t>
  </si>
  <si>
    <r>
      <rPr>
        <sz val="11"/>
        <color theme="1"/>
        <rFont val="Aptos Narrow"/>
        <family val="2"/>
        <charset val="1"/>
      </rPr>
      <t xml:space="preserve">Resistência do aço - f</t>
    </r>
    <r>
      <rPr>
        <vertAlign val="subscript"/>
        <sz val="11"/>
        <color theme="1"/>
        <rFont val="Aptos Narrow"/>
        <family val="2"/>
        <charset val="1"/>
      </rPr>
      <t xml:space="preserve">y</t>
    </r>
    <r>
      <rPr>
        <sz val="11"/>
        <color theme="1"/>
        <rFont val="Aptos Narrow"/>
        <family val="2"/>
        <charset val="1"/>
      </rPr>
      <t xml:space="preserve"> (MPa)</t>
    </r>
  </si>
  <si>
    <t xml:space="preserve">Número de barras em uma camada</t>
  </si>
  <si>
    <t xml:space="preserve">Espaçamento entre as barras (mm)</t>
  </si>
  <si>
    <t xml:space="preserve">Resistência à tração do concreto (MPa)</t>
  </si>
  <si>
    <t xml:space="preserve">Cobrimento (mm)</t>
  </si>
  <si>
    <t xml:space="preserve">Distância ao centro de gravidade da armadura  (mm)</t>
  </si>
  <si>
    <t xml:space="preserve">Taxa de armadura</t>
  </si>
  <si>
    <t xml:space="preserve">Tensão na armadura menos tension stiffening (MPa)</t>
  </si>
  <si>
    <t xml:space="preserve">w (mm)</t>
  </si>
  <si>
    <t xml:space="preserve">Deformação na armadura menos tension stiffening (MPa)</t>
  </si>
  <si>
    <t xml:space="preserve">Viga S200-1.76-20 - Sokolov et al  (2021)</t>
  </si>
  <si>
    <t xml:space="preserve">Viga S600-0.37-10 - Sokolov et al  (2021)</t>
  </si>
  <si>
    <t xml:space="preserve">Viga V1 - Oliveira (2007)</t>
  </si>
  <si>
    <t xml:space="preserve">Viga V2 - Oliveira (2007)</t>
  </si>
  <si>
    <t xml:space="preserve">Viga T1F000 - Silva Neto (2017)</t>
  </si>
  <si>
    <t xml:space="preserve">Viga 12-20-00 - Caldentey et al (2013)</t>
  </si>
  <si>
    <t xml:space="preserve">Viga 25-20-00 - Caldentey et al (2013)</t>
  </si>
  <si>
    <t xml:space="preserve">Viga 12-20-10 - Caldentey et al (2013)</t>
  </si>
  <si>
    <t xml:space="preserve">Viga 12-20-30 - Caldentey et al (2013)</t>
  </si>
  <si>
    <t xml:space="preserve">Viga 12-70-00 - Caldentey et al (2013)</t>
  </si>
  <si>
    <t xml:space="preserve">Viga 12-70-10 - Caldentey et al (2013)</t>
  </si>
  <si>
    <t xml:space="preserve">Viga 12-70-30 - Caldentey et al (2013)</t>
  </si>
  <si>
    <t xml:space="preserve">Viga 25-20-10 - Caldentey et al (2013)</t>
  </si>
  <si>
    <t xml:space="preserve">Viga 25-20-30 - Caldentey et al (2013)</t>
  </si>
  <si>
    <t xml:space="preserve">Viga 25-70-00 - Caldentey et al (2013)</t>
  </si>
  <si>
    <t xml:space="preserve">Viga 25-70-10 - Caldentey et al (2013)</t>
  </si>
  <si>
    <t xml:space="preserve">Viga 25-70-30 - Caldentey et al (2013)</t>
  </si>
  <si>
    <t xml:space="preserve">Viga RS1 - Harajlí e Naamam (1985)</t>
  </si>
  <si>
    <t xml:space="preserve">Viga RS2 - Harajlí e Naamam (1985)</t>
  </si>
  <si>
    <t xml:space="preserve">Viga RS3 - Harajlí e Naamam (1985)</t>
  </si>
  <si>
    <t xml:space="preserve">Viga B1-a - Gilbert e Nejadi (2004)</t>
  </si>
  <si>
    <t xml:space="preserve">Viga B1-b - Gilbert e Nejadi (2004)</t>
  </si>
  <si>
    <t xml:space="preserve">Viga B2-a - Gilbert e Nejadi (2004)</t>
  </si>
  <si>
    <t xml:space="preserve">Viga B2-b - Gilbert e Nejadi (2004)</t>
  </si>
  <si>
    <t xml:space="preserve">Viga B3-a - Gilbert e Nejadi (2004)</t>
  </si>
  <si>
    <t xml:space="preserve">Viga B3-b - Gilbert e Nejadi (2004)</t>
  </si>
  <si>
    <t xml:space="preserve">Laje S1-a - Gilbert e Nejadi (2004)</t>
  </si>
  <si>
    <t xml:space="preserve">Laje S1-b - Gilbert e Nejadi (2004)</t>
  </si>
  <si>
    <t xml:space="preserve">Laje S2-a - Gilbert e Nejadi (2004)</t>
  </si>
  <si>
    <t xml:space="preserve">Laje S2-b - Gilbert e Nejadi (2004)</t>
  </si>
  <si>
    <t xml:space="preserve">Laje S3-a - Gilbert e Nejadi (2004)</t>
  </si>
  <si>
    <t xml:space="preserve">Laje S3-b - Gilbert e Nejadi (2004)</t>
  </si>
  <si>
    <t xml:space="preserve">Viga 250-10-1 - Cornelissen (2022)</t>
  </si>
  <si>
    <t xml:space="preserve">Viga 250-10-2 - Cornelissen (2022)</t>
  </si>
  <si>
    <t xml:space="preserve">Viga 250-20-2 - Cornelissen (2022)</t>
  </si>
  <si>
    <t xml:space="preserve">Viga 250-20-3 - Cornelissen (2022)</t>
  </si>
  <si>
    <t xml:space="preserve">Viga 350-10-1 - Cornelissen (2022)</t>
  </si>
  <si>
    <t xml:space="preserve">Viga 350-10-2 - Cornelissen (2022)</t>
  </si>
  <si>
    <t xml:space="preserve">Viga 350-10-3 - Cornelissen (2022)</t>
  </si>
  <si>
    <t xml:space="preserve">Viga 350-20-1 - Cornelissen (2022)</t>
  </si>
  <si>
    <t xml:space="preserve">Viga 350-20-2 - Cornelissen (2022)</t>
  </si>
  <si>
    <t xml:space="preserve">Viga 350-20-3 - Cornelissen (2022)</t>
  </si>
  <si>
    <t xml:space="preserve">Viga G2 - Makhlouf e Malhas (1996)</t>
  </si>
  <si>
    <t xml:space="preserve">Viga G3 - Makhlouf e Malhas (1996)</t>
  </si>
  <si>
    <t xml:space="preserve">Viga C1 - Kumar et al. (2007)</t>
  </si>
  <si>
    <t xml:space="preserve">Viga C2 - Kumar et al. (2007)</t>
  </si>
  <si>
    <t xml:space="preserve">Viga C3 - Kumar et al. (2007)</t>
  </si>
  <si>
    <t xml:space="preserve">Viga CS1 - Kumar et al. (2007)</t>
  </si>
  <si>
    <t xml:space="preserve">Viga CS2 - Kumar et al. (2007)</t>
  </si>
  <si>
    <t xml:space="preserve">Viga CS3 - Kumar et al. (2007)</t>
  </si>
  <si>
    <t xml:space="preserve">Viga B6 - Maghsoudi e Sharifi (2008)</t>
  </si>
  <si>
    <t xml:space="preserve">Viga F29-2D16-10A - Hong et al (2013)</t>
  </si>
  <si>
    <t xml:space="preserve">Viga F29-2D16-10B - Hong et al (2013)</t>
  </si>
  <si>
    <t xml:space="preserve">Viga F29-2D16-10C - Hong et al (2013)</t>
  </si>
  <si>
    <t xml:space="preserve">Viga F29-2D16-10D - Hong et al (2013)</t>
  </si>
  <si>
    <t xml:space="preserve">Viga F30-2D13-10 - Hong et al (2013)</t>
  </si>
  <si>
    <t xml:space="preserve">Viga F30-2D13-20 - Hong et al (2013)</t>
  </si>
  <si>
    <t xml:space="preserve">Viga F30-2D16-10 - Hong et al (2013)</t>
  </si>
  <si>
    <t xml:space="preserve">Viga F30-2D16-20 - Hong et al (2013)</t>
  </si>
  <si>
    <t xml:space="preserve">Viga F30-2D19-10 - Hong et al (2013)</t>
  </si>
  <si>
    <t xml:space="preserve">Viga F30-2D19-20 - Hong et al (2013)</t>
  </si>
  <si>
    <t xml:space="preserve">Viga F37-2D16-10 - Hong et al (2013)</t>
  </si>
  <si>
    <t xml:space="preserve">Viga F37-2D16-20 - Hong et al (2013)</t>
  </si>
  <si>
    <t xml:space="preserve">Viga F37-2D19-10 - Hong et al (2013)</t>
  </si>
  <si>
    <t xml:space="preserve">Viga F37-2D19-20 - Hong et al (2013)</t>
  </si>
  <si>
    <t xml:space="preserve">Viga 15-6-6-1 - Clark (1956)</t>
  </si>
  <si>
    <t xml:space="preserve">Viga 15-6-6-2 - Clark (1956)</t>
  </si>
  <si>
    <t xml:space="preserve">Viga 15-6-6-3 - Clark (1956)</t>
  </si>
  <si>
    <t xml:space="preserve">Viga 15-6-7-1 - Clark (1956)</t>
  </si>
  <si>
    <t xml:space="preserve">Viga 15-6-7-2 - Clark (1956)</t>
  </si>
  <si>
    <t xml:space="preserve">Viga 15-6-7-3 - Clark (1956)</t>
  </si>
  <si>
    <t xml:space="preserve">Viga 15-6-7-4 - Clark (1956)</t>
  </si>
  <si>
    <t xml:space="preserve">Viga 15-6-7-5 - Clark (1956)</t>
  </si>
  <si>
    <t xml:space="preserve">Viga 15-6-9-1 - Clark (1956)</t>
  </si>
  <si>
    <t xml:space="preserve">Viga 15-6-9-2 - Clark (1956)</t>
  </si>
  <si>
    <t xml:space="preserve">Viga 15-6-9-3 - Clark (1956)</t>
  </si>
  <si>
    <t xml:space="preserve">Viga 15-6-9-4 - Clark (1956)</t>
  </si>
  <si>
    <t xml:space="preserve">Viga 15-6-9-5 - Clark (1956)</t>
  </si>
  <si>
    <t xml:space="preserve">Viga 15-6-10-1 - Clark (1956)</t>
  </si>
  <si>
    <t xml:space="preserve">Viga 15-6-10-2 - Clark (1956)</t>
  </si>
  <si>
    <t xml:space="preserve">Viga 23-6-9-1 - Clark (1956)</t>
  </si>
  <si>
    <t xml:space="preserve">Viga 23-6-9-2 - Clark (1956)</t>
  </si>
  <si>
    <t xml:space="preserve">Viga 23-6-11-2 - Clark (1956)</t>
  </si>
  <si>
    <t xml:space="preserve">Viga 23-6-11-3 - Clark (1956)</t>
  </si>
  <si>
    <t xml:space="preserve">média</t>
  </si>
  <si>
    <t xml:space="preserve">DevioPad</t>
  </si>
  <si>
    <t xml:space="preserve">CoV</t>
  </si>
  <si>
    <t xml:space="preserve">Diâmetro da armadura f (mm)</t>
  </si>
  <si>
    <t xml:space="preserve">Resistência à tração do concreto fctm (MPa)</t>
  </si>
  <si>
    <t xml:space="preserve">Cobrimento c (mm)</t>
  </si>
  <si>
    <t xml:space="preserve">Distância ao centro de gravidade da armadura d' (mm)</t>
  </si>
  <si>
    <t xml:space="preserve">Taxa de armadura r</t>
  </si>
  <si>
    <t xml:space="preserve">Tensão na armadura (MPa)</t>
  </si>
  <si>
    <t xml:space="preserve">wexp (mm)</t>
  </si>
  <si>
    <t xml:space="preserve">Equações (13) e (15) do artigo Flexural cracking behavior and parametric analysis of steel-UHPC composite decks without longitudinal ribs (sem Tension stiffening). w=A1*(A2+A3*ft/(ro*Sigmas))*eps*(A4*c+A5*fi/ro)*(h-xii)/(h-xii-dl)</t>
  </si>
  <si>
    <t xml:space="preserve">Equações (13) e (15) do artigo Flexural cracking behavior and parametric analysis of steel-UHPC composite decks without longitudinal ribs (sem Tension stiffening) + proposta de correção por fy. w=A1*(A2+A3*ft/(ro*Sigmas))*(A4*c+A5*fi/ro)*(Sigmas**A6/200000)*(h-xii)/(h-xii-dl)+(Sigmas-fy/A7)*(A4*c+A5*fi/ro)/200000</t>
  </si>
  <si>
    <t xml:space="preserve">A7</t>
  </si>
  <si>
    <t xml:space="preserve">Largura da viga - b (mm)</t>
  </si>
  <si>
    <t xml:space="preserve">Altura da viga - h (mm)</t>
  </si>
  <si>
    <r>
      <rPr>
        <sz val="10"/>
        <rFont val="Arial"/>
        <family val="2"/>
        <charset val="1"/>
      </rPr>
      <t xml:space="preserve">Área de aço tracionada - A</t>
    </r>
    <r>
      <rPr>
        <vertAlign val="subscript"/>
        <sz val="10"/>
        <rFont val="Arial"/>
        <family val="2"/>
        <charset val="1"/>
      </rPr>
      <t xml:space="preserve">s</t>
    </r>
    <r>
      <rPr>
        <sz val="10"/>
        <rFont val="Arial"/>
        <family val="2"/>
        <charset val="1"/>
      </rPr>
      <t xml:space="preserve"> (mm</t>
    </r>
    <r>
      <rPr>
        <vertAlign val="superscript"/>
        <sz val="10"/>
        <rFont val="Arial"/>
        <family val="2"/>
        <charset val="1"/>
      </rPr>
      <t xml:space="preserve">2</t>
    </r>
    <r>
      <rPr>
        <sz val="10"/>
        <rFont val="Arial"/>
        <family val="2"/>
        <charset val="1"/>
      </rPr>
      <t xml:space="preserve">)</t>
    </r>
  </si>
  <si>
    <r>
      <rPr>
        <sz val="10"/>
        <rFont val="Arial"/>
        <family val="2"/>
        <charset val="1"/>
      </rPr>
      <t xml:space="preserve">Área de concreto efetiva - A</t>
    </r>
    <r>
      <rPr>
        <vertAlign val="subscript"/>
        <sz val="10"/>
        <rFont val="Arial"/>
        <family val="2"/>
        <charset val="1"/>
      </rPr>
      <t xml:space="preserve">ce</t>
    </r>
    <r>
      <rPr>
        <sz val="10"/>
        <rFont val="Arial"/>
        <family val="2"/>
        <charset val="1"/>
      </rPr>
      <t xml:space="preserve"> (mm</t>
    </r>
    <r>
      <rPr>
        <vertAlign val="superscript"/>
        <sz val="10"/>
        <rFont val="Arial"/>
        <family val="2"/>
        <charset val="1"/>
      </rPr>
      <t xml:space="preserve">2</t>
    </r>
    <r>
      <rPr>
        <sz val="10"/>
        <rFont val="Arial"/>
        <family val="2"/>
        <charset val="1"/>
      </rPr>
      <t xml:space="preserve">)</t>
    </r>
  </si>
  <si>
    <r>
      <rPr>
        <sz val="10"/>
        <rFont val="Arial"/>
        <family val="2"/>
        <charset val="1"/>
      </rPr>
      <t xml:space="preserve">Linha neutra no Estádio II - X</t>
    </r>
    <r>
      <rPr>
        <vertAlign val="subscript"/>
        <sz val="10"/>
        <rFont val="Arial"/>
        <family val="2"/>
        <charset val="1"/>
      </rPr>
      <t xml:space="preserve">II</t>
    </r>
    <r>
      <rPr>
        <sz val="10"/>
        <rFont val="Arial"/>
        <family val="2"/>
        <charset val="1"/>
      </rPr>
      <t xml:space="preserve"> (mm)</t>
    </r>
  </si>
  <si>
    <r>
      <rPr>
        <sz val="11"/>
        <color theme="1"/>
        <rFont val="Aptos Narrow"/>
        <family val="2"/>
        <charset val="1"/>
      </rPr>
      <t xml:space="preserve">Momento fletor - M</t>
    </r>
    <r>
      <rPr>
        <vertAlign val="subscript"/>
        <sz val="11"/>
        <color theme="1"/>
        <rFont val="Aptos Narrow"/>
        <family val="2"/>
        <charset val="1"/>
      </rPr>
      <t xml:space="preserve">s</t>
    </r>
    <r>
      <rPr>
        <sz val="11"/>
        <color theme="1"/>
        <rFont val="Aptos Narrow"/>
        <family val="2"/>
        <charset val="1"/>
      </rPr>
      <t xml:space="preserve"> (kNm)</t>
    </r>
  </si>
  <si>
    <t xml:space="preserve">Deformação na armadura menos tension stiffening</t>
  </si>
  <si>
    <t xml:space="preserve">resíduo</t>
  </si>
  <si>
    <t xml:space="preserve">Erro</t>
  </si>
  <si>
    <r>
      <rPr>
        <sz val="11"/>
        <color theme="1"/>
        <rFont val="Aptos Narrow"/>
        <family val="2"/>
        <charset val="1"/>
      </rPr>
      <t xml:space="preserve">w</t>
    </r>
    <r>
      <rPr>
        <vertAlign val="subscript"/>
        <sz val="11"/>
        <color theme="1"/>
        <rFont val="Aptos Narrow"/>
        <family val="2"/>
        <charset val="1"/>
      </rPr>
      <t xml:space="preserve">pred</t>
    </r>
    <r>
      <rPr>
        <sz val="11"/>
        <color theme="1"/>
        <rFont val="Aptos Narrow"/>
        <family val="2"/>
        <charset val="1"/>
      </rPr>
      <t xml:space="preserve">*Erro/w</t>
    </r>
    <r>
      <rPr>
        <vertAlign val="subscript"/>
        <sz val="11"/>
        <color theme="1"/>
        <rFont val="Aptos Narrow"/>
        <family val="2"/>
        <charset val="1"/>
      </rPr>
      <t xml:space="preserve">obs</t>
    </r>
  </si>
  <si>
    <r>
      <rPr>
        <sz val="11"/>
        <color theme="1"/>
        <rFont val="Aptos Narrow"/>
        <family val="2"/>
        <charset val="1"/>
      </rPr>
      <t xml:space="preserve">Momento fletor  - M</t>
    </r>
    <r>
      <rPr>
        <vertAlign val="subscript"/>
        <sz val="11"/>
        <color theme="1"/>
        <rFont val="Aptos Narrow"/>
        <family val="2"/>
        <charset val="1"/>
      </rPr>
      <t xml:space="preserve">s</t>
    </r>
    <r>
      <rPr>
        <sz val="11"/>
        <color theme="1"/>
        <rFont val="Aptos Narrow"/>
        <family val="2"/>
        <charset val="1"/>
      </rPr>
      <t xml:space="preserve"> (kNm)</t>
    </r>
  </si>
  <si>
    <t xml:space="preserve">Deformação na armadura</t>
  </si>
  <si>
    <t xml:space="preserve">Altura efetiva - d (mm)</t>
  </si>
  <si>
    <t xml:space="preserve">Linha neutra no Estádio I - Xg (mm)</t>
  </si>
  <si>
    <t xml:space="preserve">Altura efetiva da fib 2020 - hc,ef (mm)</t>
  </si>
  <si>
    <t xml:space="preserve">fib Model Code 2010 - wmax</t>
  </si>
  <si>
    <r>
      <rPr>
        <sz val="11"/>
        <color theme="1"/>
        <rFont val="Aptos Narrow"/>
        <family val="2"/>
        <charset val="1"/>
      </rPr>
      <t xml:space="preserve">Tensão na armadura </t>
    </r>
    <r>
      <rPr>
        <sz val="11"/>
        <color theme="1"/>
        <rFont val="Symbol"/>
        <family val="1"/>
        <charset val="2"/>
      </rPr>
      <t xml:space="preserve"> s</t>
    </r>
    <r>
      <rPr>
        <vertAlign val="subscript"/>
        <sz val="13.2"/>
        <color theme="1"/>
        <rFont val="Aptos Narrow"/>
        <family val="2"/>
        <charset val="1"/>
      </rPr>
      <t xml:space="preserve">s </t>
    </r>
    <r>
      <rPr>
        <sz val="11"/>
        <color theme="1"/>
        <rFont val="Aptos Narrow"/>
        <family val="2"/>
        <charset val="1"/>
      </rPr>
      <t xml:space="preserve">(MPa)</t>
    </r>
  </si>
  <si>
    <r>
      <rPr>
        <sz val="11"/>
        <color theme="1"/>
        <rFont val="Aptos Narrow"/>
        <family val="2"/>
        <charset val="1"/>
      </rPr>
      <t xml:space="preserve">tensão na armadura no instante da fissuração do concreto </t>
    </r>
    <r>
      <rPr>
        <sz val="11"/>
        <color theme="1"/>
        <rFont val="Symbol"/>
        <family val="1"/>
        <charset val="2"/>
      </rPr>
      <t xml:space="preserve"> s</t>
    </r>
    <r>
      <rPr>
        <vertAlign val="subscript"/>
        <sz val="11"/>
        <color theme="1"/>
        <rFont val="Aptos Narrow"/>
        <family val="2"/>
        <charset val="1"/>
      </rPr>
      <t xml:space="preserve">sr</t>
    </r>
    <r>
      <rPr>
        <sz val="11"/>
        <color theme="1"/>
        <rFont val="Aptos Narrow"/>
        <family val="2"/>
        <charset val="1"/>
      </rPr>
      <t xml:space="preserve"> ( MPa)</t>
    </r>
  </si>
  <si>
    <t xml:space="preserve">wk/wexp</t>
  </si>
  <si>
    <t xml:space="preserve">fib Model Code 2020 - wmax</t>
  </si>
  <si>
    <r>
      <rPr>
        <sz val="11"/>
        <color theme="1"/>
        <rFont val="Aptos Narrow"/>
        <family val="2"/>
        <charset val="1"/>
      </rPr>
      <t xml:space="preserve">k</t>
    </r>
    <r>
      <rPr>
        <vertAlign val="subscript"/>
        <sz val="11"/>
        <color theme="1"/>
        <rFont val="Aptos Narrow"/>
        <family val="2"/>
        <charset val="1"/>
      </rPr>
      <t xml:space="preserve">1/r</t>
    </r>
  </si>
  <si>
    <r>
      <rPr>
        <sz val="11"/>
        <color theme="1"/>
        <rFont val="Aptos Narrow"/>
        <family val="2"/>
        <charset val="1"/>
      </rPr>
      <t xml:space="preserve">k</t>
    </r>
    <r>
      <rPr>
        <vertAlign val="subscript"/>
        <sz val="11"/>
        <color theme="1"/>
        <rFont val="Aptos Narrow"/>
        <family val="2"/>
        <charset val="1"/>
      </rPr>
      <t xml:space="preserve">fl</t>
    </r>
  </si>
  <si>
    <t xml:space="preserve">Eurocode 2 - wmax</t>
  </si>
  <si>
    <t xml:space="preserve">tensão na armadura no instante da fissuração do concreto (Sigmasr)  MPa</t>
  </si>
  <si>
    <t xml:space="preserve">NBR 6118 - wk1 - fissuração estabilizada</t>
  </si>
  <si>
    <t xml:space="preserve">NBR 6118 - wk2 - fissuração não estabilizada</t>
  </si>
  <si>
    <t xml:space="preserve">Taxa de armadura conforme MC2020</t>
  </si>
  <si>
    <t xml:space="preserve">Tensão na armadura menos tension stiffening variável (MPa)</t>
  </si>
  <si>
    <t xml:space="preserve">Output: w_exp (mm)</t>
  </si>
  <si>
    <t xml:space="preserve">fib Model Code 2020 (mm)</t>
  </si>
  <si>
    <t xml:space="preserve">w_menos_fib2020</t>
  </si>
  <si>
    <t xml:space="preserve">fib Model Code 2020  com TS variável (mm)</t>
  </si>
  <si>
    <t xml:space="preserve">w_menos_fib2020_comTS</t>
  </si>
  <si>
    <t xml:space="preserve">Norma Chinesa (mm)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</si>
</sst>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"/>
    <numFmt numFmtId="166" formatCode="0"/>
    <numFmt numFmtId="167" formatCode="0.00"/>
    <numFmt numFmtId="168" formatCode="0.00000"/>
    <numFmt numFmtId="169" formatCode="0%"/>
    <numFmt numFmtId="170" formatCode="0.0000"/>
    <numFmt numFmtId="171" formatCode="0.000000"/>
    <numFmt numFmtId="172" formatCode="0.000000E+00"/>
    <numFmt numFmtId="173" formatCode="0.E+00"/>
  </numFmts>
  <fonts count="1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vertAlign val="subscript"/>
      <sz val="11"/>
      <color theme="1"/>
      <name val="Aptos Narrow"/>
      <family val="2"/>
      <charset val="1"/>
    </font>
    <font>
      <sz val="10"/>
      <name val="Arial"/>
      <family val="2"/>
      <charset val="1"/>
    </font>
    <font>
      <vertAlign val="subscript"/>
      <sz val="10"/>
      <name val="Arial"/>
      <family val="2"/>
      <charset val="1"/>
    </font>
    <font>
      <vertAlign val="superscript"/>
      <sz val="10"/>
      <name val="Arial"/>
      <family val="2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0"/>
      <color rgb="FF595959"/>
      <name val="Aptos Narrow"/>
      <family val="2"/>
    </font>
    <font>
      <sz val="11"/>
      <color theme="1"/>
      <name val="Symbol"/>
      <family val="1"/>
      <charset val="2"/>
    </font>
    <font>
      <vertAlign val="subscript"/>
      <sz val="13.2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'Sem TS MC2020'!$R$3:$R$343</c:f>
              <c:numCache>
                <c:formatCode>0.000000</c:formatCode>
                <c:ptCount val="341"/>
                <c:pt idx="0">
                  <c:v>0.00115905502469367</c:v>
                </c:pt>
                <c:pt idx="1">
                  <c:v>0.00152125971991044</c:v>
                </c:pt>
                <c:pt idx="2">
                  <c:v>0.00157141113924815</c:v>
                </c:pt>
                <c:pt idx="3">
                  <c:v>0.00181659585601027</c:v>
                </c:pt>
                <c:pt idx="4">
                  <c:v>0.00229582052968169</c:v>
                </c:pt>
                <c:pt idx="5">
                  <c:v>0.0025</c:v>
                </c:pt>
                <c:pt idx="6">
                  <c:v>0.00161459857818906</c:v>
                </c:pt>
                <c:pt idx="7">
                  <c:v>0.00183910466620392</c:v>
                </c:pt>
                <c:pt idx="8">
                  <c:v>0.0025</c:v>
                </c:pt>
                <c:pt idx="9">
                  <c:v>0.00142524016092358</c:v>
                </c:pt>
                <c:pt idx="10">
                  <c:v>0.00162499823072232</c:v>
                </c:pt>
                <c:pt idx="11">
                  <c:v>0.00183822313668727</c:v>
                </c:pt>
                <c:pt idx="12">
                  <c:v>0.00205369251534658</c:v>
                </c:pt>
                <c:pt idx="13">
                  <c:v>0.00219284982239739</c:v>
                </c:pt>
                <c:pt idx="14">
                  <c:v>0.00249136469074831</c:v>
                </c:pt>
                <c:pt idx="15">
                  <c:v>0.00251380941769199</c:v>
                </c:pt>
                <c:pt idx="16">
                  <c:v>0.00269336723324142</c:v>
                </c:pt>
                <c:pt idx="17">
                  <c:v>0.00314</c:v>
                </c:pt>
                <c:pt idx="18">
                  <c:v>0.00314</c:v>
                </c:pt>
                <c:pt idx="19">
                  <c:v>0.00160735938221297</c:v>
                </c:pt>
                <c:pt idx="20">
                  <c:v>0.00178595486912552</c:v>
                </c:pt>
                <c:pt idx="21">
                  <c:v>0.00185292817671773</c:v>
                </c:pt>
                <c:pt idx="22">
                  <c:v>0.00196455035603807</c:v>
                </c:pt>
                <c:pt idx="23">
                  <c:v>0.00212082140708655</c:v>
                </c:pt>
                <c:pt idx="24">
                  <c:v>0.00245568794504759</c:v>
                </c:pt>
                <c:pt idx="25">
                  <c:v>0.000700209827987956</c:v>
                </c:pt>
                <c:pt idx="26">
                  <c:v>0.00100799436776288</c:v>
                </c:pt>
                <c:pt idx="27">
                  <c:v>0.00121959623885814</c:v>
                </c:pt>
                <c:pt idx="28">
                  <c:v>0.00156970115285212</c:v>
                </c:pt>
                <c:pt idx="29">
                  <c:v>0.00208139295022793</c:v>
                </c:pt>
                <c:pt idx="30">
                  <c:v>0.00150216478124621</c:v>
                </c:pt>
                <c:pt idx="31">
                  <c:v>0.00193135471874512</c:v>
                </c:pt>
                <c:pt idx="32">
                  <c:v>0.0025</c:v>
                </c:pt>
                <c:pt idx="33">
                  <c:v>0.0025</c:v>
                </c:pt>
                <c:pt idx="34">
                  <c:v>0.0025</c:v>
                </c:pt>
                <c:pt idx="35">
                  <c:v>0.000532563276129973</c:v>
                </c:pt>
                <c:pt idx="36">
                  <c:v>0.000958613897033951</c:v>
                </c:pt>
                <c:pt idx="37">
                  <c:v>0.00138466451793793</c:v>
                </c:pt>
                <c:pt idx="38">
                  <c:v>0.00181071513884191</c:v>
                </c:pt>
                <c:pt idx="39">
                  <c:v>0.00213025310451989</c:v>
                </c:pt>
                <c:pt idx="40">
                  <c:v>0.0025</c:v>
                </c:pt>
                <c:pt idx="41">
                  <c:v>0.00106235563563045</c:v>
                </c:pt>
                <c:pt idx="42">
                  <c:v>0.00127482676275654</c:v>
                </c:pt>
                <c:pt idx="43">
                  <c:v>0.00148729788988263</c:v>
                </c:pt>
                <c:pt idx="44">
                  <c:v>0.00191224014413481</c:v>
                </c:pt>
                <c:pt idx="45">
                  <c:v>0.0025</c:v>
                </c:pt>
                <c:pt idx="46">
                  <c:v>0.00106235563563045</c:v>
                </c:pt>
                <c:pt idx="47">
                  <c:v>0.00148729788988263</c:v>
                </c:pt>
                <c:pt idx="48">
                  <c:v>0.00191224014413481</c:v>
                </c:pt>
                <c:pt idx="49">
                  <c:v>0.0025</c:v>
                </c:pt>
                <c:pt idx="50">
                  <c:v>0.00122597385242733</c:v>
                </c:pt>
                <c:pt idx="51">
                  <c:v>0.0014711686229128</c:v>
                </c:pt>
                <c:pt idx="52">
                  <c:v>0.000969729074552072</c:v>
                </c:pt>
                <c:pt idx="53">
                  <c:v>0.00121216134319009</c:v>
                </c:pt>
                <c:pt idx="54">
                  <c:v>0.00145459361182811</c:v>
                </c:pt>
                <c:pt idx="55">
                  <c:v>0.000969729074552072</c:v>
                </c:pt>
                <c:pt idx="56">
                  <c:v>0.00121216134319009</c:v>
                </c:pt>
                <c:pt idx="57">
                  <c:v>0.00145459361182811</c:v>
                </c:pt>
                <c:pt idx="58">
                  <c:v>0.00105418774634295</c:v>
                </c:pt>
                <c:pt idx="59">
                  <c:v>0.00158128161951442</c:v>
                </c:pt>
                <c:pt idx="60">
                  <c:v>0.00210837549268589</c:v>
                </c:pt>
                <c:pt idx="61">
                  <c:v>0.0025</c:v>
                </c:pt>
                <c:pt idx="62">
                  <c:v>0.00105418774634295</c:v>
                </c:pt>
                <c:pt idx="63">
                  <c:v>0.00158128161951442</c:v>
                </c:pt>
                <c:pt idx="64">
                  <c:v>0.00210837549268589</c:v>
                </c:pt>
                <c:pt idx="65">
                  <c:v>0.0025</c:v>
                </c:pt>
                <c:pt idx="66">
                  <c:v>0.000611703829148615</c:v>
                </c:pt>
                <c:pt idx="67">
                  <c:v>0.00122340765829723</c:v>
                </c:pt>
                <c:pt idx="68">
                  <c:v>0.0006045335685648</c:v>
                </c:pt>
                <c:pt idx="69">
                  <c:v>0.0012090671371296</c:v>
                </c:pt>
                <c:pt idx="70">
                  <c:v>0.0006045335685648</c:v>
                </c:pt>
                <c:pt idx="71">
                  <c:v>0.0012090671371296</c:v>
                </c:pt>
                <c:pt idx="72">
                  <c:v>0.0014773531582663</c:v>
                </c:pt>
                <c:pt idx="73">
                  <c:v>0.00171933341694785</c:v>
                </c:pt>
                <c:pt idx="74">
                  <c:v>0.00151628012615649</c:v>
                </c:pt>
                <c:pt idx="75">
                  <c:v>0.00173905113995199</c:v>
                </c:pt>
                <c:pt idx="76">
                  <c:v>0.0020552422563069</c:v>
                </c:pt>
                <c:pt idx="77">
                  <c:v>0.00144867461457827</c:v>
                </c:pt>
                <c:pt idx="78">
                  <c:v>0.00189990113387314</c:v>
                </c:pt>
                <c:pt idx="79">
                  <c:v>0.000926369822350829</c:v>
                </c:pt>
                <c:pt idx="80">
                  <c:v>0.00105883798499845</c:v>
                </c:pt>
                <c:pt idx="81">
                  <c:v>0.00119130614764607</c:v>
                </c:pt>
                <c:pt idx="82">
                  <c:v>0.00132354748124806</c:v>
                </c:pt>
                <c:pt idx="83">
                  <c:v>0.00145578881485005</c:v>
                </c:pt>
                <c:pt idx="84">
                  <c:v>0.00158825697749767</c:v>
                </c:pt>
                <c:pt idx="85">
                  <c:v>0.0017207251401453</c:v>
                </c:pt>
                <c:pt idx="86">
                  <c:v>0.00185273964470166</c:v>
                </c:pt>
                <c:pt idx="87">
                  <c:v>0.00105883798499845</c:v>
                </c:pt>
                <c:pt idx="88">
                  <c:v>0.00119130614764607</c:v>
                </c:pt>
                <c:pt idx="89">
                  <c:v>0.00132354748124806</c:v>
                </c:pt>
                <c:pt idx="90">
                  <c:v>0.00145578881485005</c:v>
                </c:pt>
                <c:pt idx="91">
                  <c:v>0.00158825697749767</c:v>
                </c:pt>
                <c:pt idx="92">
                  <c:v>0.0017207251401453</c:v>
                </c:pt>
                <c:pt idx="93">
                  <c:v>0.00185273964470166</c:v>
                </c:pt>
                <c:pt idx="94">
                  <c:v>0.00105883798499845</c:v>
                </c:pt>
                <c:pt idx="95">
                  <c:v>0.00119130614764607</c:v>
                </c:pt>
                <c:pt idx="96">
                  <c:v>0.00132354748124806</c:v>
                </c:pt>
                <c:pt idx="97">
                  <c:v>0.00145578881485005</c:v>
                </c:pt>
                <c:pt idx="98">
                  <c:v>0.00158825697749767</c:v>
                </c:pt>
                <c:pt idx="99">
                  <c:v>0.0017207251401453</c:v>
                </c:pt>
                <c:pt idx="100">
                  <c:v>0.00185273964470166</c:v>
                </c:pt>
                <c:pt idx="101">
                  <c:v>0.000926369822350829</c:v>
                </c:pt>
                <c:pt idx="102">
                  <c:v>0.00105883798499845</c:v>
                </c:pt>
                <c:pt idx="103">
                  <c:v>0.00119130614764607</c:v>
                </c:pt>
                <c:pt idx="104">
                  <c:v>0.00132354748124806</c:v>
                </c:pt>
                <c:pt idx="105">
                  <c:v>0.00145578881485005</c:v>
                </c:pt>
                <c:pt idx="106">
                  <c:v>0.00158825697749767</c:v>
                </c:pt>
                <c:pt idx="107">
                  <c:v>0.0017207251401453</c:v>
                </c:pt>
                <c:pt idx="108">
                  <c:v>0.00185273964470166</c:v>
                </c:pt>
                <c:pt idx="109">
                  <c:v>0.00116652346032186</c:v>
                </c:pt>
                <c:pt idx="110">
                  <c:v>0.001256019460046</c:v>
                </c:pt>
                <c:pt idx="111">
                  <c:v>0.00134582300616095</c:v>
                </c:pt>
                <c:pt idx="112">
                  <c:v>0.00143562655227589</c:v>
                </c:pt>
                <c:pt idx="113">
                  <c:v>0.00152543009839084</c:v>
                </c:pt>
                <c:pt idx="114">
                  <c:v>0.001256019460046</c:v>
                </c:pt>
                <c:pt idx="115">
                  <c:v>0.00134582300616095</c:v>
                </c:pt>
                <c:pt idx="116">
                  <c:v>0.00143562655227589</c:v>
                </c:pt>
                <c:pt idx="117">
                  <c:v>0.00152543009839084</c:v>
                </c:pt>
                <c:pt idx="118">
                  <c:v>0.000881430867601341</c:v>
                </c:pt>
                <c:pt idx="119">
                  <c:v>0.00121173151391876</c:v>
                </c:pt>
                <c:pt idx="120">
                  <c:v>0.00154203216023618</c:v>
                </c:pt>
                <c:pt idx="121">
                  <c:v>0.00121173151391876</c:v>
                </c:pt>
                <c:pt idx="122">
                  <c:v>0.00154203216023618</c:v>
                </c:pt>
                <c:pt idx="123">
                  <c:v>0.00104389869644652</c:v>
                </c:pt>
                <c:pt idx="124">
                  <c:v>0.00126750000841487</c:v>
                </c:pt>
                <c:pt idx="125">
                  <c:v>0.00149110132038322</c:v>
                </c:pt>
                <c:pt idx="126">
                  <c:v>0.00104389869644652</c:v>
                </c:pt>
                <c:pt idx="127">
                  <c:v>0.00126750000841487</c:v>
                </c:pt>
                <c:pt idx="128">
                  <c:v>0.00149110132038322</c:v>
                </c:pt>
                <c:pt idx="129">
                  <c:v>0.0011322765133288</c:v>
                </c:pt>
                <c:pt idx="130">
                  <c:v>0.00130206947805248</c:v>
                </c:pt>
                <c:pt idx="131">
                  <c:v>0.00147186244277617</c:v>
                </c:pt>
                <c:pt idx="132">
                  <c:v>0.0011322765133288</c:v>
                </c:pt>
                <c:pt idx="133">
                  <c:v>0.00130206947805248</c:v>
                </c:pt>
                <c:pt idx="134">
                  <c:v>0.00147186244277617</c:v>
                </c:pt>
                <c:pt idx="135">
                  <c:v>0.00137071816106366</c:v>
                </c:pt>
                <c:pt idx="136">
                  <c:v>0.00147101461187319</c:v>
                </c:pt>
                <c:pt idx="137">
                  <c:v>0.00158468392279067</c:v>
                </c:pt>
                <c:pt idx="138">
                  <c:v>0.0016849803736002</c:v>
                </c:pt>
                <c:pt idx="139">
                  <c:v>0.00179864968451768</c:v>
                </c:pt>
                <c:pt idx="140">
                  <c:v>0.00189894613532721</c:v>
                </c:pt>
                <c:pt idx="141">
                  <c:v>0.00201930187629866</c:v>
                </c:pt>
                <c:pt idx="142">
                  <c:v>0.00125704885014618</c:v>
                </c:pt>
                <c:pt idx="143">
                  <c:v>0.00137071816106366</c:v>
                </c:pt>
                <c:pt idx="144">
                  <c:v>0.00147770104192716</c:v>
                </c:pt>
                <c:pt idx="145">
                  <c:v>0.00157465427770971</c:v>
                </c:pt>
                <c:pt idx="146">
                  <c:v>0.0016849803736002</c:v>
                </c:pt>
                <c:pt idx="147">
                  <c:v>0.00179530646949069</c:v>
                </c:pt>
                <c:pt idx="148">
                  <c:v>0.00188891649024626</c:v>
                </c:pt>
                <c:pt idx="149">
                  <c:v>0.00197918329597484</c:v>
                </c:pt>
                <c:pt idx="150">
                  <c:v>0.0010066634269548</c:v>
                </c:pt>
                <c:pt idx="151">
                  <c:v>0.00117640739525105</c:v>
                </c:pt>
                <c:pt idx="152">
                  <c:v>0.00134070503301374</c:v>
                </c:pt>
                <c:pt idx="153">
                  <c:v>0.00150409494902083</c:v>
                </c:pt>
                <c:pt idx="154">
                  <c:v>0.00166566942151673</c:v>
                </c:pt>
                <c:pt idx="155">
                  <c:v>0.00183178250279061</c:v>
                </c:pt>
                <c:pt idx="156">
                  <c:v>0.000848719841481277</c:v>
                </c:pt>
                <c:pt idx="157">
                  <c:v>0.00100938659222158</c:v>
                </c:pt>
                <c:pt idx="158">
                  <c:v>0.00117368422998427</c:v>
                </c:pt>
                <c:pt idx="159">
                  <c:v>0.00133616642423577</c:v>
                </c:pt>
                <c:pt idx="160">
                  <c:v>0.00150500267077643</c:v>
                </c:pt>
                <c:pt idx="161">
                  <c:v>0.00166566942151673</c:v>
                </c:pt>
                <c:pt idx="162">
                  <c:v>0.0017437334924979</c:v>
                </c:pt>
                <c:pt idx="163">
                  <c:v>0.00155154926787369</c:v>
                </c:pt>
                <c:pt idx="164">
                  <c:v>0.00165143441387414</c:v>
                </c:pt>
                <c:pt idx="165">
                  <c:v>0.00167141144307423</c:v>
                </c:pt>
                <c:pt idx="166">
                  <c:v>0.00175575889969684</c:v>
                </c:pt>
                <c:pt idx="167">
                  <c:v>0.00181347031738599</c:v>
                </c:pt>
                <c:pt idx="168">
                  <c:v>0.0018778407448085</c:v>
                </c:pt>
                <c:pt idx="169">
                  <c:v>0.00193555216249765</c:v>
                </c:pt>
                <c:pt idx="170">
                  <c:v>0.00200436192974241</c:v>
                </c:pt>
                <c:pt idx="171">
                  <c:v>0.00154489025814033</c:v>
                </c:pt>
                <c:pt idx="172">
                  <c:v>0.00161148035547396</c:v>
                </c:pt>
                <c:pt idx="173">
                  <c:v>0.00167363111298536</c:v>
                </c:pt>
                <c:pt idx="174">
                  <c:v>0.00173800154040787</c:v>
                </c:pt>
                <c:pt idx="175">
                  <c:v>0.00180681130765263</c:v>
                </c:pt>
                <c:pt idx="176">
                  <c:v>0.0018778407448085</c:v>
                </c:pt>
                <c:pt idx="177">
                  <c:v>0.00194221117223102</c:v>
                </c:pt>
                <c:pt idx="178">
                  <c:v>0.00199992258992017</c:v>
                </c:pt>
                <c:pt idx="179">
                  <c:v>0.00161813936520733</c:v>
                </c:pt>
                <c:pt idx="180">
                  <c:v>0.00168250979262984</c:v>
                </c:pt>
                <c:pt idx="181">
                  <c:v>0.00177351625898581</c:v>
                </c:pt>
                <c:pt idx="182">
                  <c:v>0.00182678833685272</c:v>
                </c:pt>
                <c:pt idx="183">
                  <c:v>0.0018778407448085</c:v>
                </c:pt>
                <c:pt idx="184">
                  <c:v>0.00193333249258653</c:v>
                </c:pt>
                <c:pt idx="185">
                  <c:v>0.00200658159965353</c:v>
                </c:pt>
                <c:pt idx="186">
                  <c:v>0.00112468244711666</c:v>
                </c:pt>
                <c:pt idx="187">
                  <c:v>0.00129948820154206</c:v>
                </c:pt>
                <c:pt idx="188">
                  <c:v>0.00147370139408806</c:v>
                </c:pt>
                <c:pt idx="189">
                  <c:v>0.00112468244711666</c:v>
                </c:pt>
                <c:pt idx="190">
                  <c:v>0.00129711795402443</c:v>
                </c:pt>
                <c:pt idx="191">
                  <c:v>0.00147073858469102</c:v>
                </c:pt>
                <c:pt idx="192">
                  <c:v>0.000771515566989405</c:v>
                </c:pt>
                <c:pt idx="193">
                  <c:v>0.000951654378329481</c:v>
                </c:pt>
                <c:pt idx="194">
                  <c:v>0.00112171963771962</c:v>
                </c:pt>
                <c:pt idx="195">
                  <c:v>0.00129237745898916</c:v>
                </c:pt>
                <c:pt idx="196">
                  <c:v>0.00153355014390828</c:v>
                </c:pt>
                <c:pt idx="197">
                  <c:v>0.000899440201314778</c:v>
                </c:pt>
                <c:pt idx="198">
                  <c:v>0.00112648335892822</c:v>
                </c:pt>
                <c:pt idx="199">
                  <c:v>0.00135352651654166</c:v>
                </c:pt>
                <c:pt idx="200">
                  <c:v>0.000884197868667605</c:v>
                </c:pt>
                <c:pt idx="201">
                  <c:v>0.00110376378236359</c:v>
                </c:pt>
                <c:pt idx="202">
                  <c:v>0.00132332969605957</c:v>
                </c:pt>
                <c:pt idx="203">
                  <c:v>0.00117361172711607</c:v>
                </c:pt>
                <c:pt idx="204">
                  <c:v>0.00157830542612161</c:v>
                </c:pt>
                <c:pt idx="205">
                  <c:v>0.00182112164552494</c:v>
                </c:pt>
                <c:pt idx="206">
                  <c:v>0.00202346849502771</c:v>
                </c:pt>
                <c:pt idx="207">
                  <c:v>0.00234722345423214</c:v>
                </c:pt>
                <c:pt idx="208">
                  <c:v>0.00263050904353602</c:v>
                </c:pt>
                <c:pt idx="209">
                  <c:v>0.00135435066655363</c:v>
                </c:pt>
                <c:pt idx="210">
                  <c:v>0.00154024193451197</c:v>
                </c:pt>
                <c:pt idx="211">
                  <c:v>0.00177924499331555</c:v>
                </c:pt>
                <c:pt idx="212">
                  <c:v>0.00188546857500603</c:v>
                </c:pt>
                <c:pt idx="213">
                  <c:v>0.00212447163380962</c:v>
                </c:pt>
                <c:pt idx="214">
                  <c:v>0.0026290336468394</c:v>
                </c:pt>
                <c:pt idx="215">
                  <c:v>0.00123460956472699</c:v>
                </c:pt>
                <c:pt idx="216">
                  <c:v>0.0014161697948339</c:v>
                </c:pt>
                <c:pt idx="217">
                  <c:v>0.00157957400193012</c:v>
                </c:pt>
                <c:pt idx="218">
                  <c:v>0.00177929025504772</c:v>
                </c:pt>
                <c:pt idx="219">
                  <c:v>0.00197900650816532</c:v>
                </c:pt>
                <c:pt idx="220">
                  <c:v>0.00216056673827224</c:v>
                </c:pt>
                <c:pt idx="221">
                  <c:v>0.00234212696837915</c:v>
                </c:pt>
                <c:pt idx="222">
                  <c:v>0.00250553117547537</c:v>
                </c:pt>
                <c:pt idx="223">
                  <c:v>0.00185373642024366</c:v>
                </c:pt>
                <c:pt idx="224">
                  <c:v>0.00221642398072612</c:v>
                </c:pt>
                <c:pt idx="225">
                  <c:v>0.00261941015903996</c:v>
                </c:pt>
                <c:pt idx="226">
                  <c:v>0.00132140047154737</c:v>
                </c:pt>
                <c:pt idx="227">
                  <c:v>0.001506396537564</c:v>
                </c:pt>
                <c:pt idx="228">
                  <c:v>0.00174424862244253</c:v>
                </c:pt>
                <c:pt idx="229">
                  <c:v>0.00184996066016631</c:v>
                </c:pt>
                <c:pt idx="230">
                  <c:v>0.002008528716752</c:v>
                </c:pt>
                <c:pt idx="231">
                  <c:v>0.00211424075447579</c:v>
                </c:pt>
                <c:pt idx="232">
                  <c:v>0.00237323524689907</c:v>
                </c:pt>
                <c:pt idx="233">
                  <c:v>0.00263222973932236</c:v>
                </c:pt>
                <c:pt idx="234">
                  <c:v>0.00151701284157095</c:v>
                </c:pt>
                <c:pt idx="235">
                  <c:v>0.00158925154831243</c:v>
                </c:pt>
                <c:pt idx="236">
                  <c:v>0.00176984831516611</c:v>
                </c:pt>
                <c:pt idx="237">
                  <c:v>0.00196850475870517</c:v>
                </c:pt>
                <c:pt idx="238">
                  <c:v>0.00214910152555885</c:v>
                </c:pt>
                <c:pt idx="239">
                  <c:v>0.00231163861572717</c:v>
                </c:pt>
                <c:pt idx="240">
                  <c:v>0.00251029505926622</c:v>
                </c:pt>
                <c:pt idx="241">
                  <c:v>0.000755859849887294</c:v>
                </c:pt>
                <c:pt idx="242">
                  <c:v>0.00100853299970676</c:v>
                </c:pt>
                <c:pt idx="243">
                  <c:v>0.0011532261709709</c:v>
                </c:pt>
                <c:pt idx="244">
                  <c:v>0.0013195153379461</c:v>
                </c:pt>
                <c:pt idx="245">
                  <c:v>0.00157866728647889</c:v>
                </c:pt>
                <c:pt idx="246">
                  <c:v>0.00171040286031639</c:v>
                </c:pt>
                <c:pt idx="247">
                  <c:v>0.00190260722214487</c:v>
                </c:pt>
                <c:pt idx="248">
                  <c:v>0.00180834787254514</c:v>
                </c:pt>
                <c:pt idx="249">
                  <c:v>0.0019615</c:v>
                </c:pt>
                <c:pt idx="250">
                  <c:v>0.00181502074292354</c:v>
                </c:pt>
                <c:pt idx="251">
                  <c:v>0.0019615</c:v>
                </c:pt>
                <c:pt idx="252">
                  <c:v>0.00181502074292354</c:v>
                </c:pt>
                <c:pt idx="253">
                  <c:v>0.0019615</c:v>
                </c:pt>
                <c:pt idx="254">
                  <c:v>0.00182169361330193</c:v>
                </c:pt>
                <c:pt idx="255">
                  <c:v>0.0019615</c:v>
                </c:pt>
                <c:pt idx="256">
                  <c:v>0.00158551348970394</c:v>
                </c:pt>
                <c:pt idx="257">
                  <c:v>0.0019615</c:v>
                </c:pt>
                <c:pt idx="258">
                  <c:v>0.00159567703771486</c:v>
                </c:pt>
                <c:pt idx="259">
                  <c:v>0.0019615</c:v>
                </c:pt>
                <c:pt idx="260">
                  <c:v>0.00130014511123404</c:v>
                </c:pt>
                <c:pt idx="261">
                  <c:v>0.0018268705665545</c:v>
                </c:pt>
                <c:pt idx="262">
                  <c:v>0.0019615</c:v>
                </c:pt>
                <c:pt idx="263">
                  <c:v>0.00130681252206088</c:v>
                </c:pt>
                <c:pt idx="264">
                  <c:v>0.00183353797738134</c:v>
                </c:pt>
                <c:pt idx="265">
                  <c:v>0.000935128695206929</c:v>
                </c:pt>
                <c:pt idx="266">
                  <c:v>0.00130538269635485</c:v>
                </c:pt>
                <c:pt idx="267">
                  <c:v>0.00168038354367133</c:v>
                </c:pt>
                <c:pt idx="268">
                  <c:v>0.0019615</c:v>
                </c:pt>
                <c:pt idx="269">
                  <c:v>0.000930381849038365</c:v>
                </c:pt>
                <c:pt idx="270">
                  <c:v>0.00129588900401772</c:v>
                </c:pt>
                <c:pt idx="271">
                  <c:v>0.00166614300516564</c:v>
                </c:pt>
                <c:pt idx="272">
                  <c:v>0.00182736345758125</c:v>
                </c:pt>
                <c:pt idx="273">
                  <c:v>0.0019615</c:v>
                </c:pt>
                <c:pt idx="274">
                  <c:v>0.00182736345758125</c:v>
                </c:pt>
                <c:pt idx="275">
                  <c:v>0.0019615</c:v>
                </c:pt>
                <c:pt idx="276">
                  <c:v>0.00110655065900749</c:v>
                </c:pt>
                <c:pt idx="277">
                  <c:v>0.00129570461781219</c:v>
                </c:pt>
                <c:pt idx="278">
                  <c:v>0.00148012972764677</c:v>
                </c:pt>
                <c:pt idx="279">
                  <c:v>0.00166928368645147</c:v>
                </c:pt>
                <c:pt idx="280">
                  <c:v>0.00184897994731593</c:v>
                </c:pt>
                <c:pt idx="281">
                  <c:v>0.0019615</c:v>
                </c:pt>
                <c:pt idx="282">
                  <c:v>0.00148012972764677</c:v>
                </c:pt>
                <c:pt idx="283">
                  <c:v>0.00165982598851124</c:v>
                </c:pt>
                <c:pt idx="284">
                  <c:v>0.00184897994731593</c:v>
                </c:pt>
                <c:pt idx="285">
                  <c:v>0.0019615</c:v>
                </c:pt>
                <c:pt idx="286">
                  <c:v>0.00101511246568692</c:v>
                </c:pt>
                <c:pt idx="287">
                  <c:v>0.00122250103394554</c:v>
                </c:pt>
                <c:pt idx="288">
                  <c:v>0.001379</c:v>
                </c:pt>
                <c:pt idx="289">
                  <c:v>0.001379</c:v>
                </c:pt>
                <c:pt idx="290">
                  <c:v>0.00124872942173031</c:v>
                </c:pt>
                <c:pt idx="291">
                  <c:v>0.001379</c:v>
                </c:pt>
                <c:pt idx="292">
                  <c:v>0.00135644718780187</c:v>
                </c:pt>
                <c:pt idx="293">
                  <c:v>0.000975567629900153</c:v>
                </c:pt>
                <c:pt idx="294">
                  <c:v>0.00113473518231946</c:v>
                </c:pt>
                <c:pt idx="295">
                  <c:v>0.00130456467604915</c:v>
                </c:pt>
                <c:pt idx="296">
                  <c:v>0.001379</c:v>
                </c:pt>
                <c:pt idx="297">
                  <c:v>0.00129816075883082</c:v>
                </c:pt>
                <c:pt idx="298">
                  <c:v>0.001379</c:v>
                </c:pt>
                <c:pt idx="299">
                  <c:v>0.00097105963453005</c:v>
                </c:pt>
                <c:pt idx="300">
                  <c:v>0.00112949169043698</c:v>
                </c:pt>
                <c:pt idx="301">
                  <c:v>0.00129853641994534</c:v>
                </c:pt>
                <c:pt idx="302">
                  <c:v>0.001379</c:v>
                </c:pt>
                <c:pt idx="303">
                  <c:v>0.000971772980162513</c:v>
                </c:pt>
                <c:pt idx="304">
                  <c:v>0.00113032142111018</c:v>
                </c:pt>
                <c:pt idx="305">
                  <c:v>0.00129949033178641</c:v>
                </c:pt>
                <c:pt idx="306">
                  <c:v>0.001379</c:v>
                </c:pt>
                <c:pt idx="307">
                  <c:v>0.00117057909144943</c:v>
                </c:pt>
                <c:pt idx="308">
                  <c:v>0.00137423642375703</c:v>
                </c:pt>
                <c:pt idx="309">
                  <c:v>0.000897478001613021</c:v>
                </c:pt>
                <c:pt idx="310">
                  <c:v>0.00106371271325744</c:v>
                </c:pt>
                <c:pt idx="311">
                  <c:v>0.00122615859956523</c:v>
                </c:pt>
                <c:pt idx="312">
                  <c:v>0.001379</c:v>
                </c:pt>
                <c:pt idx="313">
                  <c:v>0.00106473745794132</c:v>
                </c:pt>
                <c:pt idx="314">
                  <c:v>0.000897478001613021</c:v>
                </c:pt>
                <c:pt idx="315">
                  <c:v>0.00106371271325744</c:v>
                </c:pt>
                <c:pt idx="316">
                  <c:v>0.00122615859956523</c:v>
                </c:pt>
                <c:pt idx="317">
                  <c:v>0.001379</c:v>
                </c:pt>
                <c:pt idx="318">
                  <c:v>0.00106714057072437</c:v>
                </c:pt>
                <c:pt idx="319">
                  <c:v>0.00123010994550551</c:v>
                </c:pt>
                <c:pt idx="320">
                  <c:v>0.001379</c:v>
                </c:pt>
                <c:pt idx="321">
                  <c:v>0.00085401649577341</c:v>
                </c:pt>
                <c:pt idx="322">
                  <c:v>0.00105121000423954</c:v>
                </c:pt>
                <c:pt idx="323">
                  <c:v>0.00122567861024304</c:v>
                </c:pt>
                <c:pt idx="324">
                  <c:v>0.00135029904310268</c:v>
                </c:pt>
                <c:pt idx="325">
                  <c:v>0.001379</c:v>
                </c:pt>
                <c:pt idx="326">
                  <c:v>0.000851638642096009</c:v>
                </c:pt>
                <c:pt idx="327">
                  <c:v>0.00104828310108642</c:v>
                </c:pt>
                <c:pt idx="328">
                  <c:v>0.00122226593097384</c:v>
                </c:pt>
                <c:pt idx="329">
                  <c:v>0.00134653938089343</c:v>
                </c:pt>
                <c:pt idx="330">
                  <c:v>0.001379</c:v>
                </c:pt>
                <c:pt idx="331">
                  <c:v>0.000916151527387567</c:v>
                </c:pt>
                <c:pt idx="332">
                  <c:v>0.0010994516614876</c:v>
                </c:pt>
                <c:pt idx="333">
                  <c:v>0.00124085462207905</c:v>
                </c:pt>
                <c:pt idx="334">
                  <c:v>0.001379</c:v>
                </c:pt>
                <c:pt idx="335">
                  <c:v>0.0010994516614876</c:v>
                </c:pt>
                <c:pt idx="336">
                  <c:v>0.00124085462207905</c:v>
                </c:pt>
                <c:pt idx="337">
                  <c:v>0.001379</c:v>
                </c:pt>
                <c:pt idx="338">
                  <c:v>0.000920432403567281</c:v>
                </c:pt>
                <c:pt idx="339">
                  <c:v>0.000718964384934785</c:v>
                </c:pt>
                <c:pt idx="340">
                  <c:v>0.000918214951472588</c:v>
                </c:pt>
              </c:numCache>
            </c:numRef>
          </c:xVal>
          <c:yVal>
            <c:numRef>
              <c:f>'Com TS variável MC2020'!$AD$11:$AD$351</c:f>
              <c:numCache>
                <c:formatCode>0.00</c:formatCode>
                <c:ptCount val="341"/>
                <c:pt idx="0">
                  <c:v>0.0226977333170769</c:v>
                </c:pt>
                <c:pt idx="1">
                  <c:v>0.0572641352646093</c:v>
                </c:pt>
                <c:pt idx="2">
                  <c:v>0.0617425601496522</c:v>
                </c:pt>
                <c:pt idx="3">
                  <c:v>0.102525970698751</c:v>
                </c:pt>
                <c:pt idx="4">
                  <c:v>0.160875364044717</c:v>
                </c:pt>
                <c:pt idx="5">
                  <c:v>0.169820796957897</c:v>
                </c:pt>
                <c:pt idx="6">
                  <c:v>-0.00680483544766694</c:v>
                </c:pt>
                <c:pt idx="7">
                  <c:v>0.0142621307111863</c:v>
                </c:pt>
                <c:pt idx="8">
                  <c:v>0.0551540252140711</c:v>
                </c:pt>
                <c:pt idx="9">
                  <c:v>-0.0218263951012075</c:v>
                </c:pt>
                <c:pt idx="10">
                  <c:v>-0.0324378656776967</c:v>
                </c:pt>
                <c:pt idx="11">
                  <c:v>-0.00106808707956726</c:v>
                </c:pt>
                <c:pt idx="12">
                  <c:v>-0.00936810028566812</c:v>
                </c:pt>
                <c:pt idx="13">
                  <c:v>-0.0488951921479415</c:v>
                </c:pt>
                <c:pt idx="14">
                  <c:v>-0.0249775021105605</c:v>
                </c:pt>
                <c:pt idx="15">
                  <c:v>-0.0816754201528626</c:v>
                </c:pt>
                <c:pt idx="16">
                  <c:v>-0.0952587644912799</c:v>
                </c:pt>
                <c:pt idx="17">
                  <c:v>-0.0495498786344364</c:v>
                </c:pt>
                <c:pt idx="18">
                  <c:v>-0.109549878634436</c:v>
                </c:pt>
                <c:pt idx="19">
                  <c:v>-0.0807624740231329</c:v>
                </c:pt>
                <c:pt idx="20">
                  <c:v>-0.114521228874278</c:v>
                </c:pt>
                <c:pt idx="21">
                  <c:v>-0.104680761943457</c:v>
                </c:pt>
                <c:pt idx="22">
                  <c:v>-0.0882799837254225</c:v>
                </c:pt>
                <c:pt idx="23">
                  <c:v>-0.145318894220174</c:v>
                </c:pt>
                <c:pt idx="24">
                  <c:v>-0.156116559566071</c:v>
                </c:pt>
                <c:pt idx="25">
                  <c:v>-0.102989383118342</c:v>
                </c:pt>
                <c:pt idx="26">
                  <c:v>-0.0660485031832228</c:v>
                </c:pt>
                <c:pt idx="27">
                  <c:v>-0.0869016482278285</c:v>
                </c:pt>
                <c:pt idx="28">
                  <c:v>-0.202131397301631</c:v>
                </c:pt>
                <c:pt idx="29">
                  <c:v>-0.267467184409495</c:v>
                </c:pt>
                <c:pt idx="30">
                  <c:v>-0.151158814919034</c:v>
                </c:pt>
                <c:pt idx="31">
                  <c:v>-0.126429882608723</c:v>
                </c:pt>
                <c:pt idx="32">
                  <c:v>-0.130920974663491</c:v>
                </c:pt>
                <c:pt idx="33">
                  <c:v>-0.280920974663491</c:v>
                </c:pt>
                <c:pt idx="34">
                  <c:v>-0.360920974663491</c:v>
                </c:pt>
                <c:pt idx="35">
                  <c:v>-0.139444814105335</c:v>
                </c:pt>
                <c:pt idx="36">
                  <c:v>-0.111077247449529</c:v>
                </c:pt>
                <c:pt idx="37">
                  <c:v>-0.142709680793723</c:v>
                </c:pt>
                <c:pt idx="38">
                  <c:v>-0.174342114137917</c:v>
                </c:pt>
                <c:pt idx="39">
                  <c:v>-0.215566439146062</c:v>
                </c:pt>
                <c:pt idx="40">
                  <c:v>-0.357555355355516</c:v>
                </c:pt>
                <c:pt idx="41">
                  <c:v>-0.0986602829864568</c:v>
                </c:pt>
                <c:pt idx="42">
                  <c:v>-0.153948105103661</c:v>
                </c:pt>
                <c:pt idx="43">
                  <c:v>-0.179235927220865</c:v>
                </c:pt>
                <c:pt idx="44">
                  <c:v>-0.229811571455273</c:v>
                </c:pt>
                <c:pt idx="45">
                  <c:v>-0.32612406820117</c:v>
                </c:pt>
                <c:pt idx="46">
                  <c:v>-0.0586602829864568</c:v>
                </c:pt>
                <c:pt idx="47">
                  <c:v>-0.159235927220865</c:v>
                </c:pt>
                <c:pt idx="48">
                  <c:v>-0.269811571455273</c:v>
                </c:pt>
                <c:pt idx="49">
                  <c:v>-0.36612406820117</c:v>
                </c:pt>
                <c:pt idx="50">
                  <c:v>-0.0943958873848732</c:v>
                </c:pt>
                <c:pt idx="51">
                  <c:v>-0.12743162939992</c:v>
                </c:pt>
                <c:pt idx="52">
                  <c:v>-0.0272422146972284</c:v>
                </c:pt>
                <c:pt idx="53">
                  <c:v>-0.102639181842481</c:v>
                </c:pt>
                <c:pt idx="54">
                  <c:v>-0.0980361489877332</c:v>
                </c:pt>
                <c:pt idx="55">
                  <c:v>-0.137242214697228</c:v>
                </c:pt>
                <c:pt idx="56">
                  <c:v>-0.232639181842481</c:v>
                </c:pt>
                <c:pt idx="57">
                  <c:v>-0.258036148987733</c:v>
                </c:pt>
                <c:pt idx="58">
                  <c:v>-0.0842074284107605</c:v>
                </c:pt>
                <c:pt idx="59">
                  <c:v>-0.115788383422276</c:v>
                </c:pt>
                <c:pt idx="60">
                  <c:v>-0.167369338433792</c:v>
                </c:pt>
                <c:pt idx="61">
                  <c:v>-0.281675034831947</c:v>
                </c:pt>
                <c:pt idx="62">
                  <c:v>-0.12420742841076</c:v>
                </c:pt>
                <c:pt idx="63">
                  <c:v>-0.165788383422276</c:v>
                </c:pt>
                <c:pt idx="64">
                  <c:v>-0.207369338433792</c:v>
                </c:pt>
                <c:pt idx="65">
                  <c:v>-0.331675034831947</c:v>
                </c:pt>
                <c:pt idx="66">
                  <c:v>-0.171806196460829</c:v>
                </c:pt>
                <c:pt idx="67">
                  <c:v>-0.200612870269252</c:v>
                </c:pt>
                <c:pt idx="68">
                  <c:v>-0.136171925393905</c:v>
                </c:pt>
                <c:pt idx="69">
                  <c:v>-0.244535824274964</c:v>
                </c:pt>
                <c:pt idx="70">
                  <c:v>-0.146171925393905</c:v>
                </c:pt>
                <c:pt idx="71">
                  <c:v>-0.234535824274964</c:v>
                </c:pt>
                <c:pt idx="72">
                  <c:v>-0.023998120811565</c:v>
                </c:pt>
                <c:pt idx="73">
                  <c:v>-0.0162137981945877</c:v>
                </c:pt>
                <c:pt idx="74">
                  <c:v>-0.0204145675028399</c:v>
                </c:pt>
                <c:pt idx="75">
                  <c:v>-0.016989153352813</c:v>
                </c:pt>
                <c:pt idx="76">
                  <c:v>-0.013740178430194</c:v>
                </c:pt>
                <c:pt idx="77">
                  <c:v>-0.0464102905969329</c:v>
                </c:pt>
                <c:pt idx="78">
                  <c:v>-0.0559081338984642</c:v>
                </c:pt>
                <c:pt idx="79">
                  <c:v>-0.0732496377077738</c:v>
                </c:pt>
                <c:pt idx="80">
                  <c:v>-0.075957230430423</c:v>
                </c:pt>
                <c:pt idx="81">
                  <c:v>-0.0786648231530721</c:v>
                </c:pt>
                <c:pt idx="82">
                  <c:v>-0.0614533960251688</c:v>
                </c:pt>
                <c:pt idx="83">
                  <c:v>-0.0142419688972653</c:v>
                </c:pt>
                <c:pt idx="84">
                  <c:v>0.0130504383800855</c:v>
                </c:pt>
                <c:pt idx="85">
                  <c:v>0.0303428456574364</c:v>
                </c:pt>
                <c:pt idx="86">
                  <c:v>0.0774732926358924</c:v>
                </c:pt>
                <c:pt idx="87">
                  <c:v>-0.025957230430423</c:v>
                </c:pt>
                <c:pt idx="88">
                  <c:v>-0.0086648231530721</c:v>
                </c:pt>
                <c:pt idx="89">
                  <c:v>0.0185466039748313</c:v>
                </c:pt>
                <c:pt idx="90">
                  <c:v>0.0157580311027348</c:v>
                </c:pt>
                <c:pt idx="91">
                  <c:v>0.0130504383800855</c:v>
                </c:pt>
                <c:pt idx="92">
                  <c:v>0.0303428456574364</c:v>
                </c:pt>
                <c:pt idx="93">
                  <c:v>0.0274732926358924</c:v>
                </c:pt>
                <c:pt idx="94">
                  <c:v>-0.0227274599789665</c:v>
                </c:pt>
                <c:pt idx="95">
                  <c:v>-0.0186059776051293</c:v>
                </c:pt>
                <c:pt idx="96">
                  <c:v>-0.00454292242713783</c:v>
                </c:pt>
                <c:pt idx="97">
                  <c:v>-0.000479867249146226</c:v>
                </c:pt>
                <c:pt idx="98">
                  <c:v>0.013641615124691</c:v>
                </c:pt>
                <c:pt idx="99">
                  <c:v>-0.00223690250147196</c:v>
                </c:pt>
                <c:pt idx="100">
                  <c:v>0.0317677254806741</c:v>
                </c:pt>
                <c:pt idx="101">
                  <c:v>-0.0568489423528037</c:v>
                </c:pt>
                <c:pt idx="102">
                  <c:v>-0.0527274599789665</c:v>
                </c:pt>
                <c:pt idx="103">
                  <c:v>-0.0186059776051293</c:v>
                </c:pt>
                <c:pt idx="104">
                  <c:v>-0.0545429224271378</c:v>
                </c:pt>
                <c:pt idx="105">
                  <c:v>-0.0504798672491462</c:v>
                </c:pt>
                <c:pt idx="106">
                  <c:v>-0.066358384875309</c:v>
                </c:pt>
                <c:pt idx="107">
                  <c:v>-0.082236902501472</c:v>
                </c:pt>
                <c:pt idx="108">
                  <c:v>-0.0982322745193259</c:v>
                </c:pt>
                <c:pt idx="109">
                  <c:v>0.00145217968812747</c:v>
                </c:pt>
                <c:pt idx="110">
                  <c:v>-0.0104231750198672</c:v>
                </c:pt>
                <c:pt idx="111">
                  <c:v>0.00776375427657786</c:v>
                </c:pt>
                <c:pt idx="112">
                  <c:v>0.00595068357302289</c:v>
                </c:pt>
                <c:pt idx="113">
                  <c:v>0.0241376128694681</c:v>
                </c:pt>
                <c:pt idx="114">
                  <c:v>0.0195768249801328</c:v>
                </c:pt>
                <c:pt idx="115">
                  <c:v>0.00776375427657786</c:v>
                </c:pt>
                <c:pt idx="116">
                  <c:v>0.00595068357302289</c:v>
                </c:pt>
                <c:pt idx="117">
                  <c:v>0.0241376128694681</c:v>
                </c:pt>
                <c:pt idx="118">
                  <c:v>-0.16365198304243</c:v>
                </c:pt>
                <c:pt idx="119">
                  <c:v>-0.11604989007137</c:v>
                </c:pt>
                <c:pt idx="120">
                  <c:v>-0.0984477971003096</c:v>
                </c:pt>
                <c:pt idx="121">
                  <c:v>-0.0960498900713699</c:v>
                </c:pt>
                <c:pt idx="122">
                  <c:v>-0.0484477971003096</c:v>
                </c:pt>
                <c:pt idx="123">
                  <c:v>-0.0945088417801033</c:v>
                </c:pt>
                <c:pt idx="124">
                  <c:v>-0.0775470270233631</c:v>
                </c:pt>
                <c:pt idx="125">
                  <c:v>-0.0305852122666231</c:v>
                </c:pt>
                <c:pt idx="126">
                  <c:v>-0.0945088417801033</c:v>
                </c:pt>
                <c:pt idx="127">
                  <c:v>-0.0775470270233631</c:v>
                </c:pt>
                <c:pt idx="128">
                  <c:v>-0.0305852122666231</c:v>
                </c:pt>
                <c:pt idx="129">
                  <c:v>-0.032902296652517</c:v>
                </c:pt>
                <c:pt idx="130">
                  <c:v>0.017225187493648</c:v>
                </c:pt>
                <c:pt idx="131">
                  <c:v>0.0373526716398132</c:v>
                </c:pt>
                <c:pt idx="132">
                  <c:v>-0.062902296652517</c:v>
                </c:pt>
                <c:pt idx="133">
                  <c:v>-0.032774812506352</c:v>
                </c:pt>
                <c:pt idx="134">
                  <c:v>-0.0126473283601868</c:v>
                </c:pt>
                <c:pt idx="135">
                  <c:v>0.00156340102515137</c:v>
                </c:pt>
                <c:pt idx="136">
                  <c:v>0.0176557134346021</c:v>
                </c:pt>
                <c:pt idx="137">
                  <c:v>0.0385603341653127</c:v>
                </c:pt>
                <c:pt idx="138">
                  <c:v>0.0546526465747633</c:v>
                </c:pt>
                <c:pt idx="139">
                  <c:v>0.0755572673054739</c:v>
                </c:pt>
                <c:pt idx="140">
                  <c:v>0.0916495797149244</c:v>
                </c:pt>
                <c:pt idx="141">
                  <c:v>0.114960354606265</c:v>
                </c:pt>
                <c:pt idx="142">
                  <c:v>-0.0293412197055592</c:v>
                </c:pt>
                <c:pt idx="143">
                  <c:v>-0.00843659897484864</c:v>
                </c:pt>
                <c:pt idx="144">
                  <c:v>0.010061867595232</c:v>
                </c:pt>
                <c:pt idx="145">
                  <c:v>0.0349511029243677</c:v>
                </c:pt>
                <c:pt idx="146">
                  <c:v>0.0546526465747633</c:v>
                </c:pt>
                <c:pt idx="147">
                  <c:v>0.074354190225159</c:v>
                </c:pt>
                <c:pt idx="148">
                  <c:v>0.0880403484739795</c:v>
                </c:pt>
                <c:pt idx="149">
                  <c:v>0.090523429642485</c:v>
                </c:pt>
                <c:pt idx="150">
                  <c:v>0.0401604880980324</c:v>
                </c:pt>
                <c:pt idx="151">
                  <c:v>0.0655567388876214</c:v>
                </c:pt>
                <c:pt idx="152">
                  <c:v>0.0791755698657797</c:v>
                </c:pt>
                <c:pt idx="153">
                  <c:v>0.102498164208699</c:v>
                </c:pt>
                <c:pt idx="154">
                  <c:v>0.105228285281143</c:v>
                </c:pt>
                <c:pt idx="155">
                  <c:v>0.139439589529778</c:v>
                </c:pt>
                <c:pt idx="156">
                  <c:v>-0.00138468643345699</c:v>
                </c:pt>
                <c:pt idx="157">
                  <c:v>0.0110491980037477</c:v>
                </c:pt>
                <c:pt idx="158">
                  <c:v>0.024668028981906</c:v>
                </c:pt>
                <c:pt idx="159">
                  <c:v>0.0476943866895875</c:v>
                </c:pt>
                <c:pt idx="160">
                  <c:v>0.0827944008439379</c:v>
                </c:pt>
                <c:pt idx="161">
                  <c:v>0.105228285281143</c:v>
                </c:pt>
                <c:pt idx="162">
                  <c:v>0.120704635911649</c:v>
                </c:pt>
                <c:pt idx="163">
                  <c:v>0.0590589126893842</c:v>
                </c:pt>
                <c:pt idx="164">
                  <c:v>0.052215410878619</c:v>
                </c:pt>
                <c:pt idx="165">
                  <c:v>0.048846710516466</c:v>
                </c:pt>
                <c:pt idx="166">
                  <c:v>0.0468455312095974</c:v>
                </c:pt>
                <c:pt idx="167">
                  <c:v>0.0460026190522662</c:v>
                </c:pt>
                <c:pt idx="168">
                  <c:v>0.0373701401075509</c:v>
                </c:pt>
                <c:pt idx="169">
                  <c:v>0.0265272279502198</c:v>
                </c:pt>
                <c:pt idx="170">
                  <c:v>-0.000631628852752197</c:v>
                </c:pt>
                <c:pt idx="171">
                  <c:v>0.0468484794767687</c:v>
                </c:pt>
                <c:pt idx="172">
                  <c:v>0.0489528116029251</c:v>
                </c:pt>
                <c:pt idx="173">
                  <c:v>0.0495835215873378</c:v>
                </c:pt>
                <c:pt idx="174">
                  <c:v>0.0409510426426223</c:v>
                </c:pt>
                <c:pt idx="175">
                  <c:v>0.0537921858396507</c:v>
                </c:pt>
                <c:pt idx="176">
                  <c:v>0.0673701401075509</c:v>
                </c:pt>
                <c:pt idx="177">
                  <c:v>0.0687376611628354</c:v>
                </c:pt>
                <c:pt idx="178">
                  <c:v>0.0678947490055044</c:v>
                </c:pt>
                <c:pt idx="179">
                  <c:v>0.0811632448155408</c:v>
                </c:pt>
                <c:pt idx="180">
                  <c:v>0.0925307658708253</c:v>
                </c:pt>
                <c:pt idx="181">
                  <c:v>0.102740019776573</c:v>
                </c:pt>
                <c:pt idx="182">
                  <c:v>0.120423485477498</c:v>
                </c:pt>
                <c:pt idx="183">
                  <c:v>0.127370140107551</c:v>
                </c:pt>
                <c:pt idx="184">
                  <c:v>0.135790416879348</c:v>
                </c:pt>
                <c:pt idx="185">
                  <c:v>0.14010518221812</c:v>
                </c:pt>
                <c:pt idx="186">
                  <c:v>0.0610414004530898</c:v>
                </c:pt>
                <c:pt idx="187">
                  <c:v>0.0717499435425509</c:v>
                </c:pt>
                <c:pt idx="188">
                  <c:v>0.0922865932656072</c:v>
                </c:pt>
                <c:pt idx="189">
                  <c:v>0.0810414004530898</c:v>
                </c:pt>
                <c:pt idx="190">
                  <c:v>0.101062370076931</c:v>
                </c:pt>
                <c:pt idx="191">
                  <c:v>0.111427126433582</c:v>
                </c:pt>
                <c:pt idx="192">
                  <c:v>-0.0914070459242623</c:v>
                </c:pt>
                <c:pt idx="193">
                  <c:v>-0.0791514625371565</c:v>
                </c:pt>
                <c:pt idx="194">
                  <c:v>-0.069818066378935</c:v>
                </c:pt>
                <c:pt idx="195">
                  <c:v>-0.0603127768543086</c:v>
                </c:pt>
                <c:pt idx="196">
                  <c:v>-0.0303521767274927</c:v>
                </c:pt>
                <c:pt idx="197">
                  <c:v>-0.0160850376126092</c:v>
                </c:pt>
                <c:pt idx="198">
                  <c:v>-0.0202494271575085</c:v>
                </c:pt>
                <c:pt idx="199">
                  <c:v>0.00558618329759208</c:v>
                </c:pt>
                <c:pt idx="200">
                  <c:v>-0.0392615081238096</c:v>
                </c:pt>
                <c:pt idx="201">
                  <c:v>-0.063266060317363</c:v>
                </c:pt>
                <c:pt idx="202">
                  <c:v>-0.0872706125109166</c:v>
                </c:pt>
                <c:pt idx="203">
                  <c:v>0.0125672327201733</c:v>
                </c:pt>
                <c:pt idx="204">
                  <c:v>0.0575220189184168</c:v>
                </c:pt>
                <c:pt idx="205">
                  <c:v>0.0784948906373628</c:v>
                </c:pt>
                <c:pt idx="206">
                  <c:v>0.120972283736484</c:v>
                </c:pt>
                <c:pt idx="207">
                  <c:v>0.158936112695079</c:v>
                </c:pt>
                <c:pt idx="208">
                  <c:v>0.17840446303385</c:v>
                </c:pt>
                <c:pt idx="209">
                  <c:v>0.0319058675661795</c:v>
                </c:pt>
                <c:pt idx="210">
                  <c:v>0.0465893048363224</c:v>
                </c:pt>
                <c:pt idx="211">
                  <c:v>0.0711822956122208</c:v>
                </c:pt>
                <c:pt idx="212">
                  <c:v>0.071001402623731</c:v>
                </c:pt>
                <c:pt idx="213">
                  <c:v>0.0955943933996293</c:v>
                </c:pt>
                <c:pt idx="214">
                  <c:v>0.189735151704303</c:v>
                </c:pt>
                <c:pt idx="215">
                  <c:v>-0.0296078843966976</c:v>
                </c:pt>
                <c:pt idx="216">
                  <c:v>-0.0136804338985179</c:v>
                </c:pt>
                <c:pt idx="217">
                  <c:v>-0.0103457284501562</c:v>
                </c:pt>
                <c:pt idx="218">
                  <c:v>-0.00182553290215862</c:v>
                </c:pt>
                <c:pt idx="219">
                  <c:v>0.00669466264583907</c:v>
                </c:pt>
                <c:pt idx="220">
                  <c:v>-0.00737788685598118</c:v>
                </c:pt>
                <c:pt idx="221">
                  <c:v>-0.00145043635780151</c:v>
                </c:pt>
                <c:pt idx="222">
                  <c:v>-0.0381157309094399</c:v>
                </c:pt>
                <c:pt idx="223">
                  <c:v>0.154986434559002</c:v>
                </c:pt>
                <c:pt idx="224">
                  <c:v>0.190849401161328</c:v>
                </c:pt>
                <c:pt idx="225">
                  <c:v>0.215141586275024</c:v>
                </c:pt>
                <c:pt idx="226">
                  <c:v>0.0313192170118291</c:v>
                </c:pt>
                <c:pt idx="227">
                  <c:v>0.0456696211031399</c:v>
                </c:pt>
                <c:pt idx="228">
                  <c:v>0.0498344263633967</c:v>
                </c:pt>
                <c:pt idx="229">
                  <c:v>0.0494632287012887</c:v>
                </c:pt>
                <c:pt idx="230">
                  <c:v>0.0289064322081266</c:v>
                </c:pt>
                <c:pt idx="231">
                  <c:v>0.0285352345460186</c:v>
                </c:pt>
                <c:pt idx="232">
                  <c:v>0.0366258002738538</c:v>
                </c:pt>
                <c:pt idx="233">
                  <c:v>-0.0252836339983109</c:v>
                </c:pt>
                <c:pt idx="234">
                  <c:v>0.0328282640606708</c:v>
                </c:pt>
                <c:pt idx="235">
                  <c:v>0.0230790310591528</c:v>
                </c:pt>
                <c:pt idx="236">
                  <c:v>0.048705948555358</c:v>
                </c:pt>
                <c:pt idx="237">
                  <c:v>0.0568955578011837</c:v>
                </c:pt>
                <c:pt idx="238">
                  <c:v>0.0825224752973888</c:v>
                </c:pt>
                <c:pt idx="239">
                  <c:v>0.105586701043973</c:v>
                </c:pt>
                <c:pt idx="240">
                  <c:v>0.113776310289799</c:v>
                </c:pt>
                <c:pt idx="241">
                  <c:v>-0.137056965908814</c:v>
                </c:pt>
                <c:pt idx="242">
                  <c:v>-0.130627215095178</c:v>
                </c:pt>
                <c:pt idx="243">
                  <c:v>-0.149765733860019</c:v>
                </c:pt>
                <c:pt idx="244">
                  <c:v>-0.145790598709164</c:v>
                </c:pt>
                <c:pt idx="245">
                  <c:v>-0.12842675172082</c:v>
                </c:pt>
                <c:pt idx="246">
                  <c:v>-0.119433462835078</c:v>
                </c:pt>
                <c:pt idx="247">
                  <c:v>-0.121721942985389</c:v>
                </c:pt>
                <c:pt idx="248">
                  <c:v>0.121832912882017</c:v>
                </c:pt>
                <c:pt idx="249">
                  <c:v>0.00542588929908133</c:v>
                </c:pt>
                <c:pt idx="250">
                  <c:v>0.123296565924131</c:v>
                </c:pt>
                <c:pt idx="251">
                  <c:v>0.105425889299081</c:v>
                </c:pt>
                <c:pt idx="252">
                  <c:v>0.123296565924131</c:v>
                </c:pt>
                <c:pt idx="253">
                  <c:v>0.105425889299081</c:v>
                </c:pt>
                <c:pt idx="254">
                  <c:v>0.124760218966245</c:v>
                </c:pt>
                <c:pt idx="255">
                  <c:v>0.0554258892990813</c:v>
                </c:pt>
                <c:pt idx="256">
                  <c:v>0.100260491829465</c:v>
                </c:pt>
                <c:pt idx="257">
                  <c:v>0.134636113843871</c:v>
                </c:pt>
                <c:pt idx="258">
                  <c:v>0.102541306863546</c:v>
                </c:pt>
                <c:pt idx="259">
                  <c:v>0.134636113843871</c:v>
                </c:pt>
                <c:pt idx="260">
                  <c:v>0.0577037733731467</c:v>
                </c:pt>
                <c:pt idx="261">
                  <c:v>0.0731583594470963</c:v>
                </c:pt>
                <c:pt idx="262">
                  <c:v>0.0526682024873646</c:v>
                </c:pt>
                <c:pt idx="263">
                  <c:v>0.0591652238297791</c:v>
                </c:pt>
                <c:pt idx="264">
                  <c:v>0.0746198099037286</c:v>
                </c:pt>
                <c:pt idx="265">
                  <c:v>-0.0074151993140166</c:v>
                </c:pt>
                <c:pt idx="266">
                  <c:v>0.0232659447414641</c:v>
                </c:pt>
                <c:pt idx="267">
                  <c:v>0.00498146243868197</c:v>
                </c:pt>
                <c:pt idx="268">
                  <c:v>0.0362388620592149</c:v>
                </c:pt>
                <c:pt idx="269">
                  <c:v>-0.00844957295575352</c:v>
                </c:pt>
                <c:pt idx="270">
                  <c:v>-0.0288028025420097</c:v>
                </c:pt>
                <c:pt idx="271">
                  <c:v>0.0218783415134711</c:v>
                </c:pt>
                <c:pt idx="272">
                  <c:v>0.110939199162914</c:v>
                </c:pt>
                <c:pt idx="273">
                  <c:v>0.120258873261634</c:v>
                </c:pt>
                <c:pt idx="274">
                  <c:v>0.140939199162914</c:v>
                </c:pt>
                <c:pt idx="275">
                  <c:v>0.130258873261634</c:v>
                </c:pt>
                <c:pt idx="276">
                  <c:v>0.00023976588773128</c:v>
                </c:pt>
                <c:pt idx="277">
                  <c:v>0.0313062139753402</c:v>
                </c:pt>
                <c:pt idx="278">
                  <c:v>0.051346000860759</c:v>
                </c:pt>
                <c:pt idx="279">
                  <c:v>0.0924124489483679</c:v>
                </c:pt>
                <c:pt idx="280">
                  <c:v>0.0814255746315965</c:v>
                </c:pt>
                <c:pt idx="281">
                  <c:v>0.0858543464720852</c:v>
                </c:pt>
                <c:pt idx="282">
                  <c:v>0.071346000860759</c:v>
                </c:pt>
                <c:pt idx="283">
                  <c:v>0.100359126543987</c:v>
                </c:pt>
                <c:pt idx="284">
                  <c:v>0.121425574631597</c:v>
                </c:pt>
                <c:pt idx="285">
                  <c:v>0.0958543464720852</c:v>
                </c:pt>
                <c:pt idx="286">
                  <c:v>-0.0208484376858197</c:v>
                </c:pt>
                <c:pt idx="287">
                  <c:v>-0.0382018924207936</c:v>
                </c:pt>
                <c:pt idx="288">
                  <c:v>-0.0460200788530913</c:v>
                </c:pt>
                <c:pt idx="289">
                  <c:v>0.0651406061286582</c:v>
                </c:pt>
                <c:pt idx="290">
                  <c:v>0.061157719842859</c:v>
                </c:pt>
                <c:pt idx="291">
                  <c:v>0.051002060217717</c:v>
                </c:pt>
                <c:pt idx="292">
                  <c:v>-0.0527397167312922</c:v>
                </c:pt>
                <c:pt idx="293">
                  <c:v>0.0239153542494923</c:v>
                </c:pt>
                <c:pt idx="294">
                  <c:v>0.0198149322444428</c:v>
                </c:pt>
                <c:pt idx="295">
                  <c:v>0.0281192666601076</c:v>
                </c:pt>
                <c:pt idx="296">
                  <c:v>-0.00509215628925491</c:v>
                </c:pt>
                <c:pt idx="297">
                  <c:v>0.0664754419619796</c:v>
                </c:pt>
                <c:pt idx="298">
                  <c:v>0.0546384050204468</c:v>
                </c:pt>
                <c:pt idx="299">
                  <c:v>0.0136189557598094</c:v>
                </c:pt>
                <c:pt idx="300">
                  <c:v>0.0192234049304001</c:v>
                </c:pt>
                <c:pt idx="301">
                  <c:v>0.0172128411267718</c:v>
                </c:pt>
                <c:pt idx="302">
                  <c:v>0.005295428200078</c:v>
                </c:pt>
                <c:pt idx="303">
                  <c:v>-0.0346369796245919</c:v>
                </c:pt>
                <c:pt idx="304">
                  <c:v>-0.0489861588574473</c:v>
                </c:pt>
                <c:pt idx="305">
                  <c:v>-0.0609472448331733</c:v>
                </c:pt>
                <c:pt idx="306">
                  <c:v>-0.0930688922376181</c:v>
                </c:pt>
                <c:pt idx="307">
                  <c:v>-0.0302589738731663</c:v>
                </c:pt>
                <c:pt idx="308">
                  <c:v>-0.0333177958355225</c:v>
                </c:pt>
                <c:pt idx="309">
                  <c:v>-0.0117231790828728</c:v>
                </c:pt>
                <c:pt idx="310">
                  <c:v>-0.00578076781144074</c:v>
                </c:pt>
                <c:pt idx="311">
                  <c:v>-0.0206575567969074</c:v>
                </c:pt>
                <c:pt idx="312">
                  <c:v>-0.0276109781408266</c:v>
                </c:pt>
                <c:pt idx="313">
                  <c:v>0.0257339215473218</c:v>
                </c:pt>
                <c:pt idx="314">
                  <c:v>0.00827682091712723</c:v>
                </c:pt>
                <c:pt idx="315">
                  <c:v>0.0342192321885593</c:v>
                </c:pt>
                <c:pt idx="316">
                  <c:v>0.0093424432030926</c:v>
                </c:pt>
                <c:pt idx="317">
                  <c:v>0.00238902185917333</c:v>
                </c:pt>
                <c:pt idx="318">
                  <c:v>0.0291507033874944</c:v>
                </c:pt>
                <c:pt idx="319">
                  <c:v>0.0345025338675113</c:v>
                </c:pt>
                <c:pt idx="320">
                  <c:v>0.0268002338109391</c:v>
                </c:pt>
                <c:pt idx="321">
                  <c:v>0.0359834324551171</c:v>
                </c:pt>
                <c:pt idx="322">
                  <c:v>0.042637671995831</c:v>
                </c:pt>
                <c:pt idx="323">
                  <c:v>0.061610567946351</c:v>
                </c:pt>
                <c:pt idx="324">
                  <c:v>0.0637340650538653</c:v>
                </c:pt>
                <c:pt idx="325">
                  <c:v>0.0334354009191397</c:v>
                </c:pt>
                <c:pt idx="326">
                  <c:v>0.00581756126252064</c:v>
                </c:pt>
                <c:pt idx="327">
                  <c:v>0.022123650238331</c:v>
                </c:pt>
                <c:pt idx="328">
                  <c:v>0.0307885170645126</c:v>
                </c:pt>
                <c:pt idx="329">
                  <c:v>0.00269199336892811</c:v>
                </c:pt>
                <c:pt idx="330">
                  <c:v>-0.0463626857726034</c:v>
                </c:pt>
                <c:pt idx="331">
                  <c:v>-0.0317316437786681</c:v>
                </c:pt>
                <c:pt idx="332">
                  <c:v>-0.0361859589468441</c:v>
                </c:pt>
                <c:pt idx="333">
                  <c:v>-0.0587650020765799</c:v>
                </c:pt>
                <c:pt idx="334">
                  <c:v>-0.0819757578206438</c:v>
                </c:pt>
                <c:pt idx="335">
                  <c:v>0.0238140410531559</c:v>
                </c:pt>
                <c:pt idx="336">
                  <c:v>0.0212349979234202</c:v>
                </c:pt>
                <c:pt idx="337">
                  <c:v>0.0180242421793562</c:v>
                </c:pt>
                <c:pt idx="338">
                  <c:v>-0.0234657810462068</c:v>
                </c:pt>
                <c:pt idx="339">
                  <c:v>-0.0812633960783642</c:v>
                </c:pt>
                <c:pt idx="340">
                  <c:v>-0.10561991467794</c:v>
                </c:pt>
              </c:numCache>
            </c:numRef>
          </c:yVal>
          <c:smooth val="0"/>
        </c:ser>
        <c:axId val="22546009"/>
        <c:axId val="72410593"/>
      </c:scatterChart>
      <c:valAx>
        <c:axId val="2254600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pt-BR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pt-BR" sz="1000" spc="-1" strike="noStrike">
                    <a:solidFill>
                      <a:srgbClr val="595959"/>
                    </a:solidFill>
                    <a:latin typeface="Aptos Narrow"/>
                  </a:rPr>
                  <a:t>Deformação sem TS MC2020</a:t>
                </a:r>
              </a:p>
            </c:rich>
          </c:tx>
          <c:layout>
            <c:manualLayout>
              <c:xMode val="edge"/>
              <c:yMode val="edge"/>
              <c:x val="0.39742923915866"/>
              <c:y val="0.873913624816152"/>
            </c:manualLayout>
          </c:layout>
          <c:overlay val="0"/>
          <c:spPr>
            <a:noFill/>
            <a:ln w="0">
              <a:noFill/>
            </a:ln>
          </c:spPr>
        </c:title>
        <c:numFmt formatCode="0.000000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2410593"/>
        <c:crosses val="autoZero"/>
        <c:crossBetween val="midCat"/>
        <c:majorUnit val="0.0008"/>
      </c:valAx>
      <c:valAx>
        <c:axId val="724105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t-BR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pt-BR" sz="1000" spc="-1" strike="noStrike">
                    <a:solidFill>
                      <a:srgbClr val="595959"/>
                    </a:solidFill>
                    <a:latin typeface="Aptos Narrow"/>
                  </a:rPr>
                  <a:t>Resíduo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2546009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'Sem TS MC2020'!$R$3:$R$343</c:f>
              <c:numCache>
                <c:formatCode>0.000000</c:formatCode>
                <c:ptCount val="341"/>
                <c:pt idx="0">
                  <c:v>0.00115905502469367</c:v>
                </c:pt>
                <c:pt idx="1">
                  <c:v>0.00152125971991044</c:v>
                </c:pt>
                <c:pt idx="2">
                  <c:v>0.00157141113924815</c:v>
                </c:pt>
                <c:pt idx="3">
                  <c:v>0.00181659585601027</c:v>
                </c:pt>
                <c:pt idx="4">
                  <c:v>0.00229582052968169</c:v>
                </c:pt>
                <c:pt idx="5">
                  <c:v>0.0025</c:v>
                </c:pt>
                <c:pt idx="6">
                  <c:v>0.00161459857818906</c:v>
                </c:pt>
                <c:pt idx="7">
                  <c:v>0.00183910466620392</c:v>
                </c:pt>
                <c:pt idx="8">
                  <c:v>0.0025</c:v>
                </c:pt>
                <c:pt idx="9">
                  <c:v>0.00142524016092358</c:v>
                </c:pt>
                <c:pt idx="10">
                  <c:v>0.00162499823072232</c:v>
                </c:pt>
                <c:pt idx="11">
                  <c:v>0.00183822313668727</c:v>
                </c:pt>
                <c:pt idx="12">
                  <c:v>0.00205369251534658</c:v>
                </c:pt>
                <c:pt idx="13">
                  <c:v>0.00219284982239739</c:v>
                </c:pt>
                <c:pt idx="14">
                  <c:v>0.00249136469074831</c:v>
                </c:pt>
                <c:pt idx="15">
                  <c:v>0.00251380941769199</c:v>
                </c:pt>
                <c:pt idx="16">
                  <c:v>0.00269336723324142</c:v>
                </c:pt>
                <c:pt idx="17">
                  <c:v>0.00314</c:v>
                </c:pt>
                <c:pt idx="18">
                  <c:v>0.00314</c:v>
                </c:pt>
                <c:pt idx="19">
                  <c:v>0.00160735938221297</c:v>
                </c:pt>
                <c:pt idx="20">
                  <c:v>0.00178595486912552</c:v>
                </c:pt>
                <c:pt idx="21">
                  <c:v>0.00185292817671773</c:v>
                </c:pt>
                <c:pt idx="22">
                  <c:v>0.00196455035603807</c:v>
                </c:pt>
                <c:pt idx="23">
                  <c:v>0.00212082140708655</c:v>
                </c:pt>
                <c:pt idx="24">
                  <c:v>0.00245568794504759</c:v>
                </c:pt>
                <c:pt idx="25">
                  <c:v>0.000700209827987956</c:v>
                </c:pt>
                <c:pt idx="26">
                  <c:v>0.00100799436776288</c:v>
                </c:pt>
                <c:pt idx="27">
                  <c:v>0.00121959623885814</c:v>
                </c:pt>
                <c:pt idx="28">
                  <c:v>0.00156970115285212</c:v>
                </c:pt>
                <c:pt idx="29">
                  <c:v>0.00208139295022793</c:v>
                </c:pt>
                <c:pt idx="30">
                  <c:v>0.00150216478124621</c:v>
                </c:pt>
                <c:pt idx="31">
                  <c:v>0.00193135471874512</c:v>
                </c:pt>
                <c:pt idx="32">
                  <c:v>0.0025</c:v>
                </c:pt>
                <c:pt idx="33">
                  <c:v>0.0025</c:v>
                </c:pt>
                <c:pt idx="34">
                  <c:v>0.0025</c:v>
                </c:pt>
                <c:pt idx="35">
                  <c:v>0.000532563276129973</c:v>
                </c:pt>
                <c:pt idx="36">
                  <c:v>0.000958613897033951</c:v>
                </c:pt>
                <c:pt idx="37">
                  <c:v>0.00138466451793793</c:v>
                </c:pt>
                <c:pt idx="38">
                  <c:v>0.00181071513884191</c:v>
                </c:pt>
                <c:pt idx="39">
                  <c:v>0.00213025310451989</c:v>
                </c:pt>
                <c:pt idx="40">
                  <c:v>0.0025</c:v>
                </c:pt>
                <c:pt idx="41">
                  <c:v>0.00106235563563045</c:v>
                </c:pt>
                <c:pt idx="42">
                  <c:v>0.00127482676275654</c:v>
                </c:pt>
                <c:pt idx="43">
                  <c:v>0.00148729788988263</c:v>
                </c:pt>
                <c:pt idx="44">
                  <c:v>0.00191224014413481</c:v>
                </c:pt>
                <c:pt idx="45">
                  <c:v>0.0025</c:v>
                </c:pt>
                <c:pt idx="46">
                  <c:v>0.00106235563563045</c:v>
                </c:pt>
                <c:pt idx="47">
                  <c:v>0.00148729788988263</c:v>
                </c:pt>
                <c:pt idx="48">
                  <c:v>0.00191224014413481</c:v>
                </c:pt>
                <c:pt idx="49">
                  <c:v>0.0025</c:v>
                </c:pt>
                <c:pt idx="50">
                  <c:v>0.00122597385242733</c:v>
                </c:pt>
                <c:pt idx="51">
                  <c:v>0.0014711686229128</c:v>
                </c:pt>
                <c:pt idx="52">
                  <c:v>0.000969729074552072</c:v>
                </c:pt>
                <c:pt idx="53">
                  <c:v>0.00121216134319009</c:v>
                </c:pt>
                <c:pt idx="54">
                  <c:v>0.00145459361182811</c:v>
                </c:pt>
                <c:pt idx="55">
                  <c:v>0.000969729074552072</c:v>
                </c:pt>
                <c:pt idx="56">
                  <c:v>0.00121216134319009</c:v>
                </c:pt>
                <c:pt idx="57">
                  <c:v>0.00145459361182811</c:v>
                </c:pt>
                <c:pt idx="58">
                  <c:v>0.00105418774634295</c:v>
                </c:pt>
                <c:pt idx="59">
                  <c:v>0.00158128161951442</c:v>
                </c:pt>
                <c:pt idx="60">
                  <c:v>0.00210837549268589</c:v>
                </c:pt>
                <c:pt idx="61">
                  <c:v>0.0025</c:v>
                </c:pt>
                <c:pt idx="62">
                  <c:v>0.00105418774634295</c:v>
                </c:pt>
                <c:pt idx="63">
                  <c:v>0.00158128161951442</c:v>
                </c:pt>
                <c:pt idx="64">
                  <c:v>0.00210837549268589</c:v>
                </c:pt>
                <c:pt idx="65">
                  <c:v>0.0025</c:v>
                </c:pt>
                <c:pt idx="66">
                  <c:v>0.000611703829148615</c:v>
                </c:pt>
                <c:pt idx="67">
                  <c:v>0.00122340765829723</c:v>
                </c:pt>
                <c:pt idx="68">
                  <c:v>0.0006045335685648</c:v>
                </c:pt>
                <c:pt idx="69">
                  <c:v>0.0012090671371296</c:v>
                </c:pt>
                <c:pt idx="70">
                  <c:v>0.0006045335685648</c:v>
                </c:pt>
                <c:pt idx="71">
                  <c:v>0.0012090671371296</c:v>
                </c:pt>
                <c:pt idx="72">
                  <c:v>0.0014773531582663</c:v>
                </c:pt>
                <c:pt idx="73">
                  <c:v>0.00171933341694785</c:v>
                </c:pt>
                <c:pt idx="74">
                  <c:v>0.00151628012615649</c:v>
                </c:pt>
                <c:pt idx="75">
                  <c:v>0.00173905113995199</c:v>
                </c:pt>
                <c:pt idx="76">
                  <c:v>0.0020552422563069</c:v>
                </c:pt>
                <c:pt idx="77">
                  <c:v>0.00144867461457827</c:v>
                </c:pt>
                <c:pt idx="78">
                  <c:v>0.00189990113387314</c:v>
                </c:pt>
                <c:pt idx="79">
                  <c:v>0.000926369822350829</c:v>
                </c:pt>
                <c:pt idx="80">
                  <c:v>0.00105883798499845</c:v>
                </c:pt>
                <c:pt idx="81">
                  <c:v>0.00119130614764607</c:v>
                </c:pt>
                <c:pt idx="82">
                  <c:v>0.00132354748124806</c:v>
                </c:pt>
                <c:pt idx="83">
                  <c:v>0.00145578881485005</c:v>
                </c:pt>
                <c:pt idx="84">
                  <c:v>0.00158825697749767</c:v>
                </c:pt>
                <c:pt idx="85">
                  <c:v>0.0017207251401453</c:v>
                </c:pt>
                <c:pt idx="86">
                  <c:v>0.00185273964470166</c:v>
                </c:pt>
                <c:pt idx="87">
                  <c:v>0.00105883798499845</c:v>
                </c:pt>
                <c:pt idx="88">
                  <c:v>0.00119130614764607</c:v>
                </c:pt>
                <c:pt idx="89">
                  <c:v>0.00132354748124806</c:v>
                </c:pt>
                <c:pt idx="90">
                  <c:v>0.00145578881485005</c:v>
                </c:pt>
                <c:pt idx="91">
                  <c:v>0.00158825697749767</c:v>
                </c:pt>
                <c:pt idx="92">
                  <c:v>0.0017207251401453</c:v>
                </c:pt>
                <c:pt idx="93">
                  <c:v>0.00185273964470166</c:v>
                </c:pt>
                <c:pt idx="94">
                  <c:v>0.00105883798499845</c:v>
                </c:pt>
                <c:pt idx="95">
                  <c:v>0.00119130614764607</c:v>
                </c:pt>
                <c:pt idx="96">
                  <c:v>0.00132354748124806</c:v>
                </c:pt>
                <c:pt idx="97">
                  <c:v>0.00145578881485005</c:v>
                </c:pt>
                <c:pt idx="98">
                  <c:v>0.00158825697749767</c:v>
                </c:pt>
                <c:pt idx="99">
                  <c:v>0.0017207251401453</c:v>
                </c:pt>
                <c:pt idx="100">
                  <c:v>0.00185273964470166</c:v>
                </c:pt>
                <c:pt idx="101">
                  <c:v>0.000926369822350829</c:v>
                </c:pt>
                <c:pt idx="102">
                  <c:v>0.00105883798499845</c:v>
                </c:pt>
                <c:pt idx="103">
                  <c:v>0.00119130614764607</c:v>
                </c:pt>
                <c:pt idx="104">
                  <c:v>0.00132354748124806</c:v>
                </c:pt>
                <c:pt idx="105">
                  <c:v>0.00145578881485005</c:v>
                </c:pt>
                <c:pt idx="106">
                  <c:v>0.00158825697749767</c:v>
                </c:pt>
                <c:pt idx="107">
                  <c:v>0.0017207251401453</c:v>
                </c:pt>
                <c:pt idx="108">
                  <c:v>0.00185273964470166</c:v>
                </c:pt>
                <c:pt idx="109">
                  <c:v>0.00116652346032186</c:v>
                </c:pt>
                <c:pt idx="110">
                  <c:v>0.001256019460046</c:v>
                </c:pt>
                <c:pt idx="111">
                  <c:v>0.00134582300616095</c:v>
                </c:pt>
                <c:pt idx="112">
                  <c:v>0.00143562655227589</c:v>
                </c:pt>
                <c:pt idx="113">
                  <c:v>0.00152543009839084</c:v>
                </c:pt>
                <c:pt idx="114">
                  <c:v>0.001256019460046</c:v>
                </c:pt>
                <c:pt idx="115">
                  <c:v>0.00134582300616095</c:v>
                </c:pt>
                <c:pt idx="116">
                  <c:v>0.00143562655227589</c:v>
                </c:pt>
                <c:pt idx="117">
                  <c:v>0.00152543009839084</c:v>
                </c:pt>
                <c:pt idx="118">
                  <c:v>0.000881430867601341</c:v>
                </c:pt>
                <c:pt idx="119">
                  <c:v>0.00121173151391876</c:v>
                </c:pt>
                <c:pt idx="120">
                  <c:v>0.00154203216023618</c:v>
                </c:pt>
                <c:pt idx="121">
                  <c:v>0.00121173151391876</c:v>
                </c:pt>
                <c:pt idx="122">
                  <c:v>0.00154203216023618</c:v>
                </c:pt>
                <c:pt idx="123">
                  <c:v>0.00104389869644652</c:v>
                </c:pt>
                <c:pt idx="124">
                  <c:v>0.00126750000841487</c:v>
                </c:pt>
                <c:pt idx="125">
                  <c:v>0.00149110132038322</c:v>
                </c:pt>
                <c:pt idx="126">
                  <c:v>0.00104389869644652</c:v>
                </c:pt>
                <c:pt idx="127">
                  <c:v>0.00126750000841487</c:v>
                </c:pt>
                <c:pt idx="128">
                  <c:v>0.00149110132038322</c:v>
                </c:pt>
                <c:pt idx="129">
                  <c:v>0.0011322765133288</c:v>
                </c:pt>
                <c:pt idx="130">
                  <c:v>0.00130206947805248</c:v>
                </c:pt>
                <c:pt idx="131">
                  <c:v>0.00147186244277617</c:v>
                </c:pt>
                <c:pt idx="132">
                  <c:v>0.0011322765133288</c:v>
                </c:pt>
                <c:pt idx="133">
                  <c:v>0.00130206947805248</c:v>
                </c:pt>
                <c:pt idx="134">
                  <c:v>0.00147186244277617</c:v>
                </c:pt>
                <c:pt idx="135">
                  <c:v>0.00137071816106366</c:v>
                </c:pt>
                <c:pt idx="136">
                  <c:v>0.00147101461187319</c:v>
                </c:pt>
                <c:pt idx="137">
                  <c:v>0.00158468392279067</c:v>
                </c:pt>
                <c:pt idx="138">
                  <c:v>0.0016849803736002</c:v>
                </c:pt>
                <c:pt idx="139">
                  <c:v>0.00179864968451768</c:v>
                </c:pt>
                <c:pt idx="140">
                  <c:v>0.00189894613532721</c:v>
                </c:pt>
                <c:pt idx="141">
                  <c:v>0.00201930187629866</c:v>
                </c:pt>
                <c:pt idx="142">
                  <c:v>0.00125704885014618</c:v>
                </c:pt>
                <c:pt idx="143">
                  <c:v>0.00137071816106366</c:v>
                </c:pt>
                <c:pt idx="144">
                  <c:v>0.00147770104192716</c:v>
                </c:pt>
                <c:pt idx="145">
                  <c:v>0.00157465427770971</c:v>
                </c:pt>
                <c:pt idx="146">
                  <c:v>0.0016849803736002</c:v>
                </c:pt>
                <c:pt idx="147">
                  <c:v>0.00179530646949069</c:v>
                </c:pt>
                <c:pt idx="148">
                  <c:v>0.00188891649024626</c:v>
                </c:pt>
                <c:pt idx="149">
                  <c:v>0.00197918329597484</c:v>
                </c:pt>
                <c:pt idx="150">
                  <c:v>0.0010066634269548</c:v>
                </c:pt>
                <c:pt idx="151">
                  <c:v>0.00117640739525105</c:v>
                </c:pt>
                <c:pt idx="152">
                  <c:v>0.00134070503301374</c:v>
                </c:pt>
                <c:pt idx="153">
                  <c:v>0.00150409494902083</c:v>
                </c:pt>
                <c:pt idx="154">
                  <c:v>0.00166566942151673</c:v>
                </c:pt>
                <c:pt idx="155">
                  <c:v>0.00183178250279061</c:v>
                </c:pt>
                <c:pt idx="156">
                  <c:v>0.000848719841481277</c:v>
                </c:pt>
                <c:pt idx="157">
                  <c:v>0.00100938659222158</c:v>
                </c:pt>
                <c:pt idx="158">
                  <c:v>0.00117368422998427</c:v>
                </c:pt>
                <c:pt idx="159">
                  <c:v>0.00133616642423577</c:v>
                </c:pt>
                <c:pt idx="160">
                  <c:v>0.00150500267077643</c:v>
                </c:pt>
                <c:pt idx="161">
                  <c:v>0.00166566942151673</c:v>
                </c:pt>
                <c:pt idx="162">
                  <c:v>0.0017437334924979</c:v>
                </c:pt>
                <c:pt idx="163">
                  <c:v>0.00155154926787369</c:v>
                </c:pt>
                <c:pt idx="164">
                  <c:v>0.00165143441387414</c:v>
                </c:pt>
                <c:pt idx="165">
                  <c:v>0.00167141144307423</c:v>
                </c:pt>
                <c:pt idx="166">
                  <c:v>0.00175575889969684</c:v>
                </c:pt>
                <c:pt idx="167">
                  <c:v>0.00181347031738599</c:v>
                </c:pt>
                <c:pt idx="168">
                  <c:v>0.0018778407448085</c:v>
                </c:pt>
                <c:pt idx="169">
                  <c:v>0.00193555216249765</c:v>
                </c:pt>
                <c:pt idx="170">
                  <c:v>0.00200436192974241</c:v>
                </c:pt>
                <c:pt idx="171">
                  <c:v>0.00154489025814033</c:v>
                </c:pt>
                <c:pt idx="172">
                  <c:v>0.00161148035547396</c:v>
                </c:pt>
                <c:pt idx="173">
                  <c:v>0.00167363111298536</c:v>
                </c:pt>
                <c:pt idx="174">
                  <c:v>0.00173800154040787</c:v>
                </c:pt>
                <c:pt idx="175">
                  <c:v>0.00180681130765263</c:v>
                </c:pt>
                <c:pt idx="176">
                  <c:v>0.0018778407448085</c:v>
                </c:pt>
                <c:pt idx="177">
                  <c:v>0.00194221117223102</c:v>
                </c:pt>
                <c:pt idx="178">
                  <c:v>0.00199992258992017</c:v>
                </c:pt>
                <c:pt idx="179">
                  <c:v>0.00161813936520733</c:v>
                </c:pt>
                <c:pt idx="180">
                  <c:v>0.00168250979262984</c:v>
                </c:pt>
                <c:pt idx="181">
                  <c:v>0.00177351625898581</c:v>
                </c:pt>
                <c:pt idx="182">
                  <c:v>0.00182678833685272</c:v>
                </c:pt>
                <c:pt idx="183">
                  <c:v>0.0018778407448085</c:v>
                </c:pt>
                <c:pt idx="184">
                  <c:v>0.00193333249258653</c:v>
                </c:pt>
                <c:pt idx="185">
                  <c:v>0.00200658159965353</c:v>
                </c:pt>
                <c:pt idx="186">
                  <c:v>0.00112468244711666</c:v>
                </c:pt>
                <c:pt idx="187">
                  <c:v>0.00129948820154206</c:v>
                </c:pt>
                <c:pt idx="188">
                  <c:v>0.00147370139408806</c:v>
                </c:pt>
                <c:pt idx="189">
                  <c:v>0.00112468244711666</c:v>
                </c:pt>
                <c:pt idx="190">
                  <c:v>0.00129711795402443</c:v>
                </c:pt>
                <c:pt idx="191">
                  <c:v>0.00147073858469102</c:v>
                </c:pt>
                <c:pt idx="192">
                  <c:v>0.000771515566989405</c:v>
                </c:pt>
                <c:pt idx="193">
                  <c:v>0.000951654378329481</c:v>
                </c:pt>
                <c:pt idx="194">
                  <c:v>0.00112171963771962</c:v>
                </c:pt>
                <c:pt idx="195">
                  <c:v>0.00129237745898916</c:v>
                </c:pt>
                <c:pt idx="196">
                  <c:v>0.00153355014390828</c:v>
                </c:pt>
                <c:pt idx="197">
                  <c:v>0.000899440201314778</c:v>
                </c:pt>
                <c:pt idx="198">
                  <c:v>0.00112648335892822</c:v>
                </c:pt>
                <c:pt idx="199">
                  <c:v>0.00135352651654166</c:v>
                </c:pt>
                <c:pt idx="200">
                  <c:v>0.000884197868667605</c:v>
                </c:pt>
                <c:pt idx="201">
                  <c:v>0.00110376378236359</c:v>
                </c:pt>
                <c:pt idx="202">
                  <c:v>0.00132332969605957</c:v>
                </c:pt>
                <c:pt idx="203">
                  <c:v>0.00117361172711607</c:v>
                </c:pt>
                <c:pt idx="204">
                  <c:v>0.00157830542612161</c:v>
                </c:pt>
                <c:pt idx="205">
                  <c:v>0.00182112164552494</c:v>
                </c:pt>
                <c:pt idx="206">
                  <c:v>0.00202346849502771</c:v>
                </c:pt>
                <c:pt idx="207">
                  <c:v>0.00234722345423214</c:v>
                </c:pt>
                <c:pt idx="208">
                  <c:v>0.00263050904353602</c:v>
                </c:pt>
                <c:pt idx="209">
                  <c:v>0.00135435066655363</c:v>
                </c:pt>
                <c:pt idx="210">
                  <c:v>0.00154024193451197</c:v>
                </c:pt>
                <c:pt idx="211">
                  <c:v>0.00177924499331555</c:v>
                </c:pt>
                <c:pt idx="212">
                  <c:v>0.00188546857500603</c:v>
                </c:pt>
                <c:pt idx="213">
                  <c:v>0.00212447163380962</c:v>
                </c:pt>
                <c:pt idx="214">
                  <c:v>0.0026290336468394</c:v>
                </c:pt>
                <c:pt idx="215">
                  <c:v>0.00123460956472699</c:v>
                </c:pt>
                <c:pt idx="216">
                  <c:v>0.0014161697948339</c:v>
                </c:pt>
                <c:pt idx="217">
                  <c:v>0.00157957400193012</c:v>
                </c:pt>
                <c:pt idx="218">
                  <c:v>0.00177929025504772</c:v>
                </c:pt>
                <c:pt idx="219">
                  <c:v>0.00197900650816532</c:v>
                </c:pt>
                <c:pt idx="220">
                  <c:v>0.00216056673827224</c:v>
                </c:pt>
                <c:pt idx="221">
                  <c:v>0.00234212696837915</c:v>
                </c:pt>
                <c:pt idx="222">
                  <c:v>0.00250553117547537</c:v>
                </c:pt>
                <c:pt idx="223">
                  <c:v>0.00185373642024366</c:v>
                </c:pt>
                <c:pt idx="224">
                  <c:v>0.00221642398072612</c:v>
                </c:pt>
                <c:pt idx="225">
                  <c:v>0.00261941015903996</c:v>
                </c:pt>
                <c:pt idx="226">
                  <c:v>0.00132140047154737</c:v>
                </c:pt>
                <c:pt idx="227">
                  <c:v>0.001506396537564</c:v>
                </c:pt>
                <c:pt idx="228">
                  <c:v>0.00174424862244253</c:v>
                </c:pt>
                <c:pt idx="229">
                  <c:v>0.00184996066016631</c:v>
                </c:pt>
                <c:pt idx="230">
                  <c:v>0.002008528716752</c:v>
                </c:pt>
                <c:pt idx="231">
                  <c:v>0.00211424075447579</c:v>
                </c:pt>
                <c:pt idx="232">
                  <c:v>0.00237323524689907</c:v>
                </c:pt>
                <c:pt idx="233">
                  <c:v>0.00263222973932236</c:v>
                </c:pt>
                <c:pt idx="234">
                  <c:v>0.00151701284157095</c:v>
                </c:pt>
                <c:pt idx="235">
                  <c:v>0.00158925154831243</c:v>
                </c:pt>
                <c:pt idx="236">
                  <c:v>0.00176984831516611</c:v>
                </c:pt>
                <c:pt idx="237">
                  <c:v>0.00196850475870517</c:v>
                </c:pt>
                <c:pt idx="238">
                  <c:v>0.00214910152555885</c:v>
                </c:pt>
                <c:pt idx="239">
                  <c:v>0.00231163861572717</c:v>
                </c:pt>
                <c:pt idx="240">
                  <c:v>0.00251029505926622</c:v>
                </c:pt>
                <c:pt idx="241">
                  <c:v>0.000755859849887294</c:v>
                </c:pt>
                <c:pt idx="242">
                  <c:v>0.00100853299970676</c:v>
                </c:pt>
                <c:pt idx="243">
                  <c:v>0.0011532261709709</c:v>
                </c:pt>
                <c:pt idx="244">
                  <c:v>0.0013195153379461</c:v>
                </c:pt>
                <c:pt idx="245">
                  <c:v>0.00157866728647889</c:v>
                </c:pt>
                <c:pt idx="246">
                  <c:v>0.00171040286031639</c:v>
                </c:pt>
                <c:pt idx="247">
                  <c:v>0.00190260722214487</c:v>
                </c:pt>
                <c:pt idx="248">
                  <c:v>0.00180834787254514</c:v>
                </c:pt>
                <c:pt idx="249">
                  <c:v>0.0019615</c:v>
                </c:pt>
                <c:pt idx="250">
                  <c:v>0.00181502074292354</c:v>
                </c:pt>
                <c:pt idx="251">
                  <c:v>0.0019615</c:v>
                </c:pt>
                <c:pt idx="252">
                  <c:v>0.00181502074292354</c:v>
                </c:pt>
                <c:pt idx="253">
                  <c:v>0.0019615</c:v>
                </c:pt>
                <c:pt idx="254">
                  <c:v>0.00182169361330193</c:v>
                </c:pt>
                <c:pt idx="255">
                  <c:v>0.0019615</c:v>
                </c:pt>
                <c:pt idx="256">
                  <c:v>0.00158551348970394</c:v>
                </c:pt>
                <c:pt idx="257">
                  <c:v>0.0019615</c:v>
                </c:pt>
                <c:pt idx="258">
                  <c:v>0.00159567703771486</c:v>
                </c:pt>
                <c:pt idx="259">
                  <c:v>0.0019615</c:v>
                </c:pt>
                <c:pt idx="260">
                  <c:v>0.00130014511123404</c:v>
                </c:pt>
                <c:pt idx="261">
                  <c:v>0.0018268705665545</c:v>
                </c:pt>
                <c:pt idx="262">
                  <c:v>0.0019615</c:v>
                </c:pt>
                <c:pt idx="263">
                  <c:v>0.00130681252206088</c:v>
                </c:pt>
                <c:pt idx="264">
                  <c:v>0.00183353797738134</c:v>
                </c:pt>
                <c:pt idx="265">
                  <c:v>0.000935128695206929</c:v>
                </c:pt>
                <c:pt idx="266">
                  <c:v>0.00130538269635485</c:v>
                </c:pt>
                <c:pt idx="267">
                  <c:v>0.00168038354367133</c:v>
                </c:pt>
                <c:pt idx="268">
                  <c:v>0.0019615</c:v>
                </c:pt>
                <c:pt idx="269">
                  <c:v>0.000930381849038365</c:v>
                </c:pt>
                <c:pt idx="270">
                  <c:v>0.00129588900401772</c:v>
                </c:pt>
                <c:pt idx="271">
                  <c:v>0.00166614300516564</c:v>
                </c:pt>
                <c:pt idx="272">
                  <c:v>0.00182736345758125</c:v>
                </c:pt>
                <c:pt idx="273">
                  <c:v>0.0019615</c:v>
                </c:pt>
                <c:pt idx="274">
                  <c:v>0.00182736345758125</c:v>
                </c:pt>
                <c:pt idx="275">
                  <c:v>0.0019615</c:v>
                </c:pt>
                <c:pt idx="276">
                  <c:v>0.00110655065900749</c:v>
                </c:pt>
                <c:pt idx="277">
                  <c:v>0.00129570461781219</c:v>
                </c:pt>
                <c:pt idx="278">
                  <c:v>0.00148012972764677</c:v>
                </c:pt>
                <c:pt idx="279">
                  <c:v>0.00166928368645147</c:v>
                </c:pt>
                <c:pt idx="280">
                  <c:v>0.00184897994731593</c:v>
                </c:pt>
                <c:pt idx="281">
                  <c:v>0.0019615</c:v>
                </c:pt>
                <c:pt idx="282">
                  <c:v>0.00148012972764677</c:v>
                </c:pt>
                <c:pt idx="283">
                  <c:v>0.00165982598851124</c:v>
                </c:pt>
                <c:pt idx="284">
                  <c:v>0.00184897994731593</c:v>
                </c:pt>
                <c:pt idx="285">
                  <c:v>0.0019615</c:v>
                </c:pt>
                <c:pt idx="286">
                  <c:v>0.00101511246568692</c:v>
                </c:pt>
                <c:pt idx="287">
                  <c:v>0.00122250103394554</c:v>
                </c:pt>
                <c:pt idx="288">
                  <c:v>0.001379</c:v>
                </c:pt>
                <c:pt idx="289">
                  <c:v>0.001379</c:v>
                </c:pt>
                <c:pt idx="290">
                  <c:v>0.00124872942173031</c:v>
                </c:pt>
                <c:pt idx="291">
                  <c:v>0.001379</c:v>
                </c:pt>
                <c:pt idx="292">
                  <c:v>0.00135644718780187</c:v>
                </c:pt>
                <c:pt idx="293">
                  <c:v>0.000975567629900153</c:v>
                </c:pt>
                <c:pt idx="294">
                  <c:v>0.00113473518231946</c:v>
                </c:pt>
                <c:pt idx="295">
                  <c:v>0.00130456467604915</c:v>
                </c:pt>
                <c:pt idx="296">
                  <c:v>0.001379</c:v>
                </c:pt>
                <c:pt idx="297">
                  <c:v>0.00129816075883082</c:v>
                </c:pt>
                <c:pt idx="298">
                  <c:v>0.001379</c:v>
                </c:pt>
                <c:pt idx="299">
                  <c:v>0.00097105963453005</c:v>
                </c:pt>
                <c:pt idx="300">
                  <c:v>0.00112949169043698</c:v>
                </c:pt>
                <c:pt idx="301">
                  <c:v>0.00129853641994534</c:v>
                </c:pt>
                <c:pt idx="302">
                  <c:v>0.001379</c:v>
                </c:pt>
                <c:pt idx="303">
                  <c:v>0.000971772980162513</c:v>
                </c:pt>
                <c:pt idx="304">
                  <c:v>0.00113032142111018</c:v>
                </c:pt>
                <c:pt idx="305">
                  <c:v>0.00129949033178641</c:v>
                </c:pt>
                <c:pt idx="306">
                  <c:v>0.001379</c:v>
                </c:pt>
                <c:pt idx="307">
                  <c:v>0.00117057909144943</c:v>
                </c:pt>
                <c:pt idx="308">
                  <c:v>0.00137423642375703</c:v>
                </c:pt>
                <c:pt idx="309">
                  <c:v>0.000897478001613021</c:v>
                </c:pt>
                <c:pt idx="310">
                  <c:v>0.00106371271325744</c:v>
                </c:pt>
                <c:pt idx="311">
                  <c:v>0.00122615859956523</c:v>
                </c:pt>
                <c:pt idx="312">
                  <c:v>0.001379</c:v>
                </c:pt>
                <c:pt idx="313">
                  <c:v>0.00106473745794132</c:v>
                </c:pt>
                <c:pt idx="314">
                  <c:v>0.000897478001613021</c:v>
                </c:pt>
                <c:pt idx="315">
                  <c:v>0.00106371271325744</c:v>
                </c:pt>
                <c:pt idx="316">
                  <c:v>0.00122615859956523</c:v>
                </c:pt>
                <c:pt idx="317">
                  <c:v>0.001379</c:v>
                </c:pt>
                <c:pt idx="318">
                  <c:v>0.00106714057072437</c:v>
                </c:pt>
                <c:pt idx="319">
                  <c:v>0.00123010994550551</c:v>
                </c:pt>
                <c:pt idx="320">
                  <c:v>0.001379</c:v>
                </c:pt>
                <c:pt idx="321">
                  <c:v>0.00085401649577341</c:v>
                </c:pt>
                <c:pt idx="322">
                  <c:v>0.00105121000423954</c:v>
                </c:pt>
                <c:pt idx="323">
                  <c:v>0.00122567861024304</c:v>
                </c:pt>
                <c:pt idx="324">
                  <c:v>0.00135029904310268</c:v>
                </c:pt>
                <c:pt idx="325">
                  <c:v>0.001379</c:v>
                </c:pt>
                <c:pt idx="326">
                  <c:v>0.000851638642096009</c:v>
                </c:pt>
                <c:pt idx="327">
                  <c:v>0.00104828310108642</c:v>
                </c:pt>
                <c:pt idx="328">
                  <c:v>0.00122226593097384</c:v>
                </c:pt>
                <c:pt idx="329">
                  <c:v>0.00134653938089343</c:v>
                </c:pt>
                <c:pt idx="330">
                  <c:v>0.001379</c:v>
                </c:pt>
                <c:pt idx="331">
                  <c:v>0.000916151527387567</c:v>
                </c:pt>
                <c:pt idx="332">
                  <c:v>0.0010994516614876</c:v>
                </c:pt>
                <c:pt idx="333">
                  <c:v>0.00124085462207905</c:v>
                </c:pt>
                <c:pt idx="334">
                  <c:v>0.001379</c:v>
                </c:pt>
                <c:pt idx="335">
                  <c:v>0.0010994516614876</c:v>
                </c:pt>
                <c:pt idx="336">
                  <c:v>0.00124085462207905</c:v>
                </c:pt>
                <c:pt idx="337">
                  <c:v>0.001379</c:v>
                </c:pt>
                <c:pt idx="338">
                  <c:v>0.000920432403567281</c:v>
                </c:pt>
                <c:pt idx="339">
                  <c:v>0.000718964384934785</c:v>
                </c:pt>
                <c:pt idx="340">
                  <c:v>0.000918214951472588</c:v>
                </c:pt>
              </c:numCache>
            </c:numRef>
          </c:xVal>
          <c:yVal>
            <c:numRef>
              <c:f>'Com TS variável MC2020'!$AQ$11:$AQ$351</c:f>
              <c:numCache>
                <c:formatCode>0.00</c:formatCode>
                <c:ptCount val="341"/>
                <c:pt idx="0">
                  <c:v>0.037309262613594</c:v>
                </c:pt>
                <c:pt idx="1">
                  <c:v>0.0742025267931178</c:v>
                </c:pt>
                <c:pt idx="2">
                  <c:v>0.0784862082674819</c:v>
                </c:pt>
                <c:pt idx="3">
                  <c:v>0.11687098192123</c:v>
                </c:pt>
                <c:pt idx="4">
                  <c:v>0.164902948058779</c:v>
                </c:pt>
                <c:pt idx="5">
                  <c:v>0.167643688313119</c:v>
                </c:pt>
                <c:pt idx="6">
                  <c:v>0.000141138955641551</c:v>
                </c:pt>
                <c:pt idx="7">
                  <c:v>0.0209293848451462</c:v>
                </c:pt>
                <c:pt idx="8">
                  <c:v>0.0546564899374533</c:v>
                </c:pt>
                <c:pt idx="9">
                  <c:v>-0.0184810151104173</c:v>
                </c:pt>
                <c:pt idx="10">
                  <c:v>-0.0295949145534179</c:v>
                </c:pt>
                <c:pt idx="11">
                  <c:v>0.000372787895428328</c:v>
                </c:pt>
                <c:pt idx="12">
                  <c:v>-0.010103448743911</c:v>
                </c:pt>
                <c:pt idx="13">
                  <c:v>-0.0513873443861785</c:v>
                </c:pt>
                <c:pt idx="14">
                  <c:v>-0.0320426197254626</c:v>
                </c:pt>
                <c:pt idx="15">
                  <c:v>-0.0891247110331845</c:v>
                </c:pt>
                <c:pt idx="16">
                  <c:v>-0.105966061058113</c:v>
                </c:pt>
                <c:pt idx="17">
                  <c:v>-0.0696374167090894</c:v>
                </c:pt>
                <c:pt idx="18">
                  <c:v>-0.129637416709089</c:v>
                </c:pt>
                <c:pt idx="19">
                  <c:v>-0.0780828649186895</c:v>
                </c:pt>
                <c:pt idx="20">
                  <c:v>-0.112791999653288</c:v>
                </c:pt>
                <c:pt idx="21">
                  <c:v>-0.103456153694652</c:v>
                </c:pt>
                <c:pt idx="22">
                  <c:v>-0.0880592496631673</c:v>
                </c:pt>
                <c:pt idx="23">
                  <c:v>-0.146817886559314</c:v>
                </c:pt>
                <c:pt idx="24">
                  <c:v>-0.162376720436536</c:v>
                </c:pt>
                <c:pt idx="25">
                  <c:v>-0.0989181477842865</c:v>
                </c:pt>
                <c:pt idx="26">
                  <c:v>-0.0600439126191366</c:v>
                </c:pt>
                <c:pt idx="27">
                  <c:v>-0.0820139882104915</c:v>
                </c:pt>
                <c:pt idx="28">
                  <c:v>-0.20206394663039</c:v>
                </c:pt>
                <c:pt idx="29">
                  <c:v>-0.27916768376372</c:v>
                </c:pt>
                <c:pt idx="30">
                  <c:v>-0.136746645704725</c:v>
                </c:pt>
                <c:pt idx="31">
                  <c:v>-0.113338371503256</c:v>
                </c:pt>
                <c:pt idx="32">
                  <c:v>-0.126383302203892</c:v>
                </c:pt>
                <c:pt idx="33">
                  <c:v>-0.276383302203892</c:v>
                </c:pt>
                <c:pt idx="34">
                  <c:v>-0.356383302203892</c:v>
                </c:pt>
                <c:pt idx="35">
                  <c:v>-0.133297611304972</c:v>
                </c:pt>
                <c:pt idx="36">
                  <c:v>-0.0959394895664358</c:v>
                </c:pt>
                <c:pt idx="37">
                  <c:v>-0.126794706587629</c:v>
                </c:pt>
                <c:pt idx="38">
                  <c:v>-0.16240166013772</c:v>
                </c:pt>
                <c:pt idx="39">
                  <c:v>-0.208808298749005</c:v>
                </c:pt>
                <c:pt idx="40">
                  <c:v>-0.358618530280319</c:v>
                </c:pt>
                <c:pt idx="41">
                  <c:v>-0.089759132900572</c:v>
                </c:pt>
                <c:pt idx="42">
                  <c:v>-0.141568622024993</c:v>
                </c:pt>
                <c:pt idx="43">
                  <c:v>-0.165334958872692</c:v>
                </c:pt>
                <c:pt idx="44">
                  <c:v>-0.217199356170403</c:v>
                </c:pt>
                <c:pt idx="45">
                  <c:v>-0.322072853813262</c:v>
                </c:pt>
                <c:pt idx="46">
                  <c:v>-0.049759132900572</c:v>
                </c:pt>
                <c:pt idx="47">
                  <c:v>-0.145334958872692</c:v>
                </c:pt>
                <c:pt idx="48">
                  <c:v>-0.257199356170403</c:v>
                </c:pt>
                <c:pt idx="49">
                  <c:v>-0.362072853813262</c:v>
                </c:pt>
                <c:pt idx="50">
                  <c:v>-0.0875093692708304</c:v>
                </c:pt>
                <c:pt idx="51">
                  <c:v>-0.119341020636153</c:v>
                </c:pt>
                <c:pt idx="52">
                  <c:v>-0.0277060749270445</c:v>
                </c:pt>
                <c:pt idx="53">
                  <c:v>-0.0960698631556773</c:v>
                </c:pt>
                <c:pt idx="54">
                  <c:v>-0.0899262812603468</c:v>
                </c:pt>
                <c:pt idx="55">
                  <c:v>-0.137706074927044</c:v>
                </c:pt>
                <c:pt idx="56">
                  <c:v>-0.226069863155677</c:v>
                </c:pt>
                <c:pt idx="57">
                  <c:v>-0.249926281260347</c:v>
                </c:pt>
                <c:pt idx="58">
                  <c:v>-0.0698209479684901</c:v>
                </c:pt>
                <c:pt idx="59">
                  <c:v>-0.102989976093481</c:v>
                </c:pt>
                <c:pt idx="60">
                  <c:v>-0.161629690176456</c:v>
                </c:pt>
                <c:pt idx="61">
                  <c:v>-0.283635083662991</c:v>
                </c:pt>
                <c:pt idx="62">
                  <c:v>-0.10982094796849</c:v>
                </c:pt>
                <c:pt idx="63">
                  <c:v>-0.152989976093482</c:v>
                </c:pt>
                <c:pt idx="64">
                  <c:v>-0.201629690176456</c:v>
                </c:pt>
                <c:pt idx="65">
                  <c:v>-0.333635083662991</c:v>
                </c:pt>
                <c:pt idx="66">
                  <c:v>-0.163578867553087</c:v>
                </c:pt>
                <c:pt idx="67">
                  <c:v>-0.183697339645323</c:v>
                </c:pt>
                <c:pt idx="68">
                  <c:v>-0.128469899538929</c:v>
                </c:pt>
                <c:pt idx="69">
                  <c:v>-0.228116644533984</c:v>
                </c:pt>
                <c:pt idx="70">
                  <c:v>-0.138469899538929</c:v>
                </c:pt>
                <c:pt idx="71">
                  <c:v>-0.218116644533984</c:v>
                </c:pt>
                <c:pt idx="72">
                  <c:v>-0.0178968504951748</c:v>
                </c:pt>
                <c:pt idx="73">
                  <c:v>-0.0116079654419508</c:v>
                </c:pt>
                <c:pt idx="74">
                  <c:v>-0.0147776350893817</c:v>
                </c:pt>
                <c:pt idx="75">
                  <c:v>-0.0130136616779018</c:v>
                </c:pt>
                <c:pt idx="76">
                  <c:v>-0.0130484552620888</c:v>
                </c:pt>
                <c:pt idx="77">
                  <c:v>-0.0430952562237494</c:v>
                </c:pt>
                <c:pt idx="78">
                  <c:v>-0.0563724804026043</c:v>
                </c:pt>
                <c:pt idx="79">
                  <c:v>-0.0753832630692791</c:v>
                </c:pt>
                <c:pt idx="80">
                  <c:v>-0.0712413843835952</c:v>
                </c:pt>
                <c:pt idx="81">
                  <c:v>-0.0690512914466035</c:v>
                </c:pt>
                <c:pt idx="82">
                  <c:v>-0.0485488998639779</c:v>
                </c:pt>
                <c:pt idx="83">
                  <c:v>0.00061035680379179</c:v>
                </c:pt>
                <c:pt idx="84">
                  <c:v>0.0286995841083491</c:v>
                </c:pt>
                <c:pt idx="85">
                  <c:v>0.0457830565376991</c:v>
                </c:pt>
                <c:pt idx="86">
                  <c:v>0.091822973518821</c:v>
                </c:pt>
                <c:pt idx="87">
                  <c:v>-0.0212413843835952</c:v>
                </c:pt>
                <c:pt idx="88">
                  <c:v>0.000948708553396488</c:v>
                </c:pt>
                <c:pt idx="89">
                  <c:v>0.0314511001360221</c:v>
                </c:pt>
                <c:pt idx="90">
                  <c:v>0.0306103568037918</c:v>
                </c:pt>
                <c:pt idx="91">
                  <c:v>0.0286995841083491</c:v>
                </c:pt>
                <c:pt idx="92">
                  <c:v>0.0457830565376991</c:v>
                </c:pt>
                <c:pt idx="93">
                  <c:v>0.041822973518821</c:v>
                </c:pt>
                <c:pt idx="94">
                  <c:v>-0.0132593096361245</c:v>
                </c:pt>
                <c:pt idx="95">
                  <c:v>-0.0061135837259077</c:v>
                </c:pt>
                <c:pt idx="96">
                  <c:v>0.0099192026455045</c:v>
                </c:pt>
                <c:pt idx="97">
                  <c:v>0.0150649014820553</c:v>
                </c:pt>
                <c:pt idx="98">
                  <c:v>0.0295044175999805</c:v>
                </c:pt>
                <c:pt idx="99">
                  <c:v>0.0132729483757408</c:v>
                </c:pt>
                <c:pt idx="100">
                  <c:v>0.0463346816601984</c:v>
                </c:pt>
                <c:pt idx="101">
                  <c:v>-0.0516777284227425</c:v>
                </c:pt>
                <c:pt idx="102">
                  <c:v>-0.0432593096361245</c:v>
                </c:pt>
                <c:pt idx="103">
                  <c:v>-0.0061135837259077</c:v>
                </c:pt>
                <c:pt idx="104">
                  <c:v>-0.0400807973544955</c:v>
                </c:pt>
                <c:pt idx="105">
                  <c:v>-0.0349350985179447</c:v>
                </c:pt>
                <c:pt idx="106">
                  <c:v>-0.0504955824000196</c:v>
                </c:pt>
                <c:pt idx="107">
                  <c:v>-0.0667270516242592</c:v>
                </c:pt>
                <c:pt idx="108">
                  <c:v>-0.0836653183398016</c:v>
                </c:pt>
                <c:pt idx="109">
                  <c:v>0.013221605761795</c:v>
                </c:pt>
                <c:pt idx="110">
                  <c:v>0.00195398997542623</c:v>
                </c:pt>
                <c:pt idx="111">
                  <c:v>0.0204413752888317</c:v>
                </c:pt>
                <c:pt idx="112">
                  <c:v>0.01864940119234</c:v>
                </c:pt>
                <c:pt idx="113">
                  <c:v>0.0366036929112528</c:v>
                </c:pt>
                <c:pt idx="114">
                  <c:v>0.0319539899754262</c:v>
                </c:pt>
                <c:pt idx="115">
                  <c:v>0.0204413752888317</c:v>
                </c:pt>
                <c:pt idx="116">
                  <c:v>0.01864940119234</c:v>
                </c:pt>
                <c:pt idx="117">
                  <c:v>0.0366036929112528</c:v>
                </c:pt>
                <c:pt idx="118">
                  <c:v>-0.16950443204327</c:v>
                </c:pt>
                <c:pt idx="119">
                  <c:v>-0.10807653411008</c:v>
                </c:pt>
                <c:pt idx="120">
                  <c:v>-0.0851835303467915</c:v>
                </c:pt>
                <c:pt idx="121">
                  <c:v>-0.0880765341100799</c:v>
                </c:pt>
                <c:pt idx="122">
                  <c:v>-0.0351835303467915</c:v>
                </c:pt>
                <c:pt idx="123">
                  <c:v>-0.0921393374435103</c:v>
                </c:pt>
                <c:pt idx="124">
                  <c:v>-0.0680633426398499</c:v>
                </c:pt>
                <c:pt idx="125">
                  <c:v>-0.0176025264528123</c:v>
                </c:pt>
                <c:pt idx="126">
                  <c:v>-0.0921393374435103</c:v>
                </c:pt>
                <c:pt idx="127">
                  <c:v>-0.0680633426398499</c:v>
                </c:pt>
                <c:pt idx="128">
                  <c:v>-0.0176025264528123</c:v>
                </c:pt>
                <c:pt idx="129">
                  <c:v>-0.0264683876087009</c:v>
                </c:pt>
                <c:pt idx="130">
                  <c:v>0.0278720755702755</c:v>
                </c:pt>
                <c:pt idx="131">
                  <c:v>0.0502861137816256</c:v>
                </c:pt>
                <c:pt idx="132">
                  <c:v>-0.0564683876087009</c:v>
                </c:pt>
                <c:pt idx="133">
                  <c:v>-0.0221279244297245</c:v>
                </c:pt>
                <c:pt idx="134">
                  <c:v>0.000286113781625574</c:v>
                </c:pt>
                <c:pt idx="135">
                  <c:v>0.0066567372072314</c:v>
                </c:pt>
                <c:pt idx="136">
                  <c:v>0.0248597284456673</c:v>
                </c:pt>
                <c:pt idx="137">
                  <c:v>0.0472722069628958</c:v>
                </c:pt>
                <c:pt idx="138">
                  <c:v>0.0639984288280163</c:v>
                </c:pt>
                <c:pt idx="139">
                  <c:v>0.0849138346471646</c:v>
                </c:pt>
                <c:pt idx="140">
                  <c:v>0.100449255551958</c:v>
                </c:pt>
                <c:pt idx="141">
                  <c:v>0.122455406248479</c:v>
                </c:pt>
                <c:pt idx="142">
                  <c:v>-0.0276456245679164</c:v>
                </c:pt>
                <c:pt idx="143">
                  <c:v>-0.00334326279276861</c:v>
                </c:pt>
                <c:pt idx="144">
                  <c:v>0.0173795453175886</c:v>
                </c:pt>
                <c:pt idx="145">
                  <c:v>0.0435649613969618</c:v>
                </c:pt>
                <c:pt idx="146">
                  <c:v>0.0639984288280163</c:v>
                </c:pt>
                <c:pt idx="147">
                  <c:v>0.0837204772641394</c:v>
                </c:pt>
                <c:pt idx="148">
                  <c:v>0.0969182017306843</c:v>
                </c:pt>
                <c:pt idx="149">
                  <c:v>0.098526702838581</c:v>
                </c:pt>
                <c:pt idx="150">
                  <c:v>0.0530911480613137</c:v>
                </c:pt>
                <c:pt idx="151">
                  <c:v>0.0800462446821462</c:v>
                </c:pt>
                <c:pt idx="152">
                  <c:v>0.0933853033669777</c:v>
                </c:pt>
                <c:pt idx="153">
                  <c:v>0.114996860919814</c:v>
                </c:pt>
                <c:pt idx="154">
                  <c:v>0.114847055123442</c:v>
                </c:pt>
                <c:pt idx="155">
                  <c:v>0.145036131311996</c:v>
                </c:pt>
                <c:pt idx="156">
                  <c:v>0.00797448286405258</c:v>
                </c:pt>
                <c:pt idx="157">
                  <c:v>0.0240219914175955</c:v>
                </c:pt>
                <c:pt idx="158">
                  <c:v>0.0391484012783851</c:v>
                </c:pt>
                <c:pt idx="159">
                  <c:v>0.0619324444815654</c:v>
                </c:pt>
                <c:pt idx="160">
                  <c:v>0.0952800442621221</c:v>
                </c:pt>
                <c:pt idx="161">
                  <c:v>0.114847055123442</c:v>
                </c:pt>
                <c:pt idx="162">
                  <c:v>0.128558319839606</c:v>
                </c:pt>
                <c:pt idx="163">
                  <c:v>0.0671856749877479</c:v>
                </c:pt>
                <c:pt idx="164">
                  <c:v>0.0612940282480549</c:v>
                </c:pt>
                <c:pt idx="165">
                  <c:v>0.0580472778386866</c:v>
                </c:pt>
                <c:pt idx="166">
                  <c:v>0.0563258660180115</c:v>
                </c:pt>
                <c:pt idx="167">
                  <c:v>0.0554661237389252</c:v>
                </c:pt>
                <c:pt idx="168">
                  <c:v>0.0466273460314315</c:v>
                </c:pt>
                <c:pt idx="169">
                  <c:v>0.0354398806512164</c:v>
                </c:pt>
                <c:pt idx="170">
                  <c:v>0.00768322220313844</c:v>
                </c:pt>
                <c:pt idx="171">
                  <c:v>0.0548906211183791</c:v>
                </c:pt>
                <c:pt idx="172">
                  <c:v>0.0577204909514452</c:v>
                </c:pt>
                <c:pt idx="173">
                  <c:v>0.058796287518489</c:v>
                </c:pt>
                <c:pt idx="174">
                  <c:v>0.050403216832245</c:v>
                </c:pt>
                <c:pt idx="175">
                  <c:v>0.0632659154825361</c:v>
                </c:pt>
                <c:pt idx="176">
                  <c:v>0.0766273460314316</c:v>
                </c:pt>
                <c:pt idx="177">
                  <c:v>0.0776011948565545</c:v>
                </c:pt>
                <c:pt idx="178">
                  <c:v>0.0762541049874861</c:v>
                </c:pt>
                <c:pt idx="179">
                  <c:v>0.0899890649613589</c:v>
                </c:pt>
                <c:pt idx="180">
                  <c:v>0.101789650639827</c:v>
                </c:pt>
                <c:pt idx="181">
                  <c:v>0.112232635994298</c:v>
                </c:pt>
                <c:pt idx="182">
                  <c:v>0.129860193963445</c:v>
                </c:pt>
                <c:pt idx="183">
                  <c:v>0.136627346031432</c:v>
                </c:pt>
                <c:pt idx="184">
                  <c:v>0.144719018684666</c:v>
                </c:pt>
                <c:pt idx="185">
                  <c:v>0.148397479491127</c:v>
                </c:pt>
                <c:pt idx="186">
                  <c:v>0.0729167893023258</c:v>
                </c:pt>
                <c:pt idx="187">
                  <c:v>0.0841635449293921</c:v>
                </c:pt>
                <c:pt idx="188">
                  <c:v>0.103721016040442</c:v>
                </c:pt>
                <c:pt idx="189">
                  <c:v>0.0929167893023258</c:v>
                </c:pt>
                <c:pt idx="190">
                  <c:v>0.113479542523006</c:v>
                </c:pt>
                <c:pt idx="191">
                  <c:v>0.122889322980335</c:v>
                </c:pt>
                <c:pt idx="192">
                  <c:v>-0.0869770203015871</c:v>
                </c:pt>
                <c:pt idx="193">
                  <c:v>-0.0696702387026708</c:v>
                </c:pt>
                <c:pt idx="194">
                  <c:v>-0.0579668503696685</c:v>
                </c:pt>
                <c:pt idx="195">
                  <c:v>-0.0478893004300673</c:v>
                </c:pt>
                <c:pt idx="196">
                  <c:v>-0.0195549096308618</c:v>
                </c:pt>
                <c:pt idx="197">
                  <c:v>-0.00543559245128825</c:v>
                </c:pt>
                <c:pt idx="198">
                  <c:v>-0.00390768630399055</c:v>
                </c:pt>
                <c:pt idx="199">
                  <c:v>0.0235079661166258</c:v>
                </c:pt>
                <c:pt idx="200">
                  <c:v>-0.0276181147326626</c:v>
                </c:pt>
                <c:pt idx="201">
                  <c:v>-0.0501781737641176</c:v>
                </c:pt>
                <c:pt idx="202">
                  <c:v>-0.0753149920355255</c:v>
                </c:pt>
                <c:pt idx="203">
                  <c:v>0.0234239258219313</c:v>
                </c:pt>
                <c:pt idx="204">
                  <c:v>0.0675023031427354</c:v>
                </c:pt>
                <c:pt idx="205">
                  <c:v>0.0856152174045762</c:v>
                </c:pt>
                <c:pt idx="206">
                  <c:v>0.124674215667988</c:v>
                </c:pt>
                <c:pt idx="207">
                  <c:v>0.155545399385632</c:v>
                </c:pt>
                <c:pt idx="208">
                  <c:v>0.167426120185758</c:v>
                </c:pt>
                <c:pt idx="209">
                  <c:v>0.0430909342494858</c:v>
                </c:pt>
                <c:pt idx="210">
                  <c:v>0.056254396017291</c:v>
                </c:pt>
                <c:pt idx="211">
                  <c:v>0.0777230927909595</c:v>
                </c:pt>
                <c:pt idx="212">
                  <c:v>0.0757901197645353</c:v>
                </c:pt>
                <c:pt idx="213">
                  <c:v>0.0957336427001082</c:v>
                </c:pt>
                <c:pt idx="214">
                  <c:v>0.177367964801487</c:v>
                </c:pt>
                <c:pt idx="215">
                  <c:v>-0.0222091698969202</c:v>
                </c:pt>
                <c:pt idx="216">
                  <c:v>-0.00778490381026337</c:v>
                </c:pt>
                <c:pt idx="217">
                  <c:v>-0.00632225820633053</c:v>
                </c:pt>
                <c:pt idx="218">
                  <c:v>-0.000658303065760452</c:v>
                </c:pt>
                <c:pt idx="219">
                  <c:v>0.004466035040815</c:v>
                </c:pt>
                <c:pt idx="220">
                  <c:v>-0.0131025160185017</c:v>
                </c:pt>
                <c:pt idx="221">
                  <c:v>-0.0110170519518746</c:v>
                </c:pt>
                <c:pt idx="222">
                  <c:v>-0.0514075718156616</c:v>
                </c:pt>
                <c:pt idx="223">
                  <c:v>0.161860019998145</c:v>
                </c:pt>
                <c:pt idx="224">
                  <c:v>0.190483935514498</c:v>
                </c:pt>
                <c:pt idx="225">
                  <c:v>0.204163524401072</c:v>
                </c:pt>
                <c:pt idx="226">
                  <c:v>0.0431663711917511</c:v>
                </c:pt>
                <c:pt idx="227">
                  <c:v>0.0560165193077409</c:v>
                </c:pt>
                <c:pt idx="228">
                  <c:v>0.0570951457287007</c:v>
                </c:pt>
                <c:pt idx="229">
                  <c:v>0.0549929644963812</c:v>
                </c:pt>
                <c:pt idx="230">
                  <c:v>0.0314747984042348</c:v>
                </c:pt>
                <c:pt idx="231">
                  <c:v>0.0289060028964683</c:v>
                </c:pt>
                <c:pt idx="232">
                  <c:v>0.0309362323273756</c:v>
                </c:pt>
                <c:pt idx="233">
                  <c:v>-0.0378860270035304</c:v>
                </c:pt>
                <c:pt idx="234">
                  <c:v>0.0377292087664546</c:v>
                </c:pt>
                <c:pt idx="235">
                  <c:v>0.0270662569302957</c:v>
                </c:pt>
                <c:pt idx="236">
                  <c:v>0.0500699915499197</c:v>
                </c:pt>
                <c:pt idx="237">
                  <c:v>0.0548751068804908</c:v>
                </c:pt>
                <c:pt idx="238">
                  <c:v>0.0770266850644796</c:v>
                </c:pt>
                <c:pt idx="239">
                  <c:v>0.0966734358692843</c:v>
                </c:pt>
                <c:pt idx="240">
                  <c:v>0.100349998868577</c:v>
                </c:pt>
                <c:pt idx="241">
                  <c:v>-0.128176457266617</c:v>
                </c:pt>
                <c:pt idx="242">
                  <c:v>-0.121455437332651</c:v>
                </c:pt>
                <c:pt idx="243">
                  <c:v>-0.141309223235698</c:v>
                </c:pt>
                <c:pt idx="244">
                  <c:v>-0.138772939956734</c:v>
                </c:pt>
                <c:pt idx="245">
                  <c:v>-0.124724216059727</c:v>
                </c:pt>
                <c:pt idx="246">
                  <c:v>-0.117836987837654</c:v>
                </c:pt>
                <c:pt idx="247">
                  <c:v>-0.123632101662784</c:v>
                </c:pt>
                <c:pt idx="248">
                  <c:v>0.133598977027061</c:v>
                </c:pt>
                <c:pt idx="249">
                  <c:v>0.0143344198425902</c:v>
                </c:pt>
                <c:pt idx="250">
                  <c:v>0.134948913861544</c:v>
                </c:pt>
                <c:pt idx="251">
                  <c:v>0.11433441984259</c:v>
                </c:pt>
                <c:pt idx="252">
                  <c:v>0.134948913861544</c:v>
                </c:pt>
                <c:pt idx="253">
                  <c:v>0.11433441984259</c:v>
                </c:pt>
                <c:pt idx="254">
                  <c:v>0.136297833156856</c:v>
                </c:pt>
                <c:pt idx="255">
                  <c:v>0.0643344198425902</c:v>
                </c:pt>
                <c:pt idx="256">
                  <c:v>0.115005921722085</c:v>
                </c:pt>
                <c:pt idx="257">
                  <c:v>0.144689099882611</c:v>
                </c:pt>
                <c:pt idx="258">
                  <c:v>0.117211379651566</c:v>
                </c:pt>
                <c:pt idx="259">
                  <c:v>0.144689099882611</c:v>
                </c:pt>
                <c:pt idx="260">
                  <c:v>0.0744238484667959</c:v>
                </c:pt>
                <c:pt idx="261">
                  <c:v>0.0845504983177415</c:v>
                </c:pt>
                <c:pt idx="262">
                  <c:v>0.0615566843691874</c:v>
                </c:pt>
                <c:pt idx="263">
                  <c:v>0.0758719099421669</c:v>
                </c:pt>
                <c:pt idx="264">
                  <c:v>0.0858973450497539</c:v>
                </c:pt>
                <c:pt idx="265">
                  <c:v>0.00915605804521399</c:v>
                </c:pt>
                <c:pt idx="266">
                  <c:v>0.0406792556603989</c:v>
                </c:pt>
                <c:pt idx="267">
                  <c:v>0.0183140922740558</c:v>
                </c:pt>
                <c:pt idx="268">
                  <c:v>0.0441923955673139</c:v>
                </c:pt>
                <c:pt idx="269">
                  <c:v>0.00806877409975634</c:v>
                </c:pt>
                <c:pt idx="270">
                  <c:v>-0.0113420429890583</c:v>
                </c:pt>
                <c:pt idx="271">
                  <c:v>0.0354358788972942</c:v>
                </c:pt>
                <c:pt idx="272">
                  <c:v>0.122070068101845</c:v>
                </c:pt>
                <c:pt idx="273">
                  <c:v>0.129054691889379</c:v>
                </c:pt>
                <c:pt idx="274">
                  <c:v>0.152070068101845</c:v>
                </c:pt>
                <c:pt idx="275">
                  <c:v>0.139054691889379</c:v>
                </c:pt>
                <c:pt idx="276">
                  <c:v>0.0168281230864532</c:v>
                </c:pt>
                <c:pt idx="277">
                  <c:v>0.0479455696863186</c:v>
                </c:pt>
                <c:pt idx="278">
                  <c:v>0.0667859304445371</c:v>
                </c:pt>
                <c:pt idx="279">
                  <c:v>0.105568955177351</c:v>
                </c:pt>
                <c:pt idx="280">
                  <c:v>0.0915766593046241</c:v>
                </c:pt>
                <c:pt idx="281">
                  <c:v>0.0937592379230148</c:v>
                </c:pt>
                <c:pt idx="282">
                  <c:v>0.0867859304445371</c:v>
                </c:pt>
                <c:pt idx="283">
                  <c:v>0.113652385935247</c:v>
                </c:pt>
                <c:pt idx="284">
                  <c:v>0.131576659304624</c:v>
                </c:pt>
                <c:pt idx="285">
                  <c:v>0.103759237923015</c:v>
                </c:pt>
                <c:pt idx="286">
                  <c:v>-0.000787173045832867</c:v>
                </c:pt>
                <c:pt idx="287">
                  <c:v>-0.0174099644947139</c:v>
                </c:pt>
                <c:pt idx="288">
                  <c:v>-0.0257299673292906</c:v>
                </c:pt>
                <c:pt idx="289">
                  <c:v>0.0855135755789209</c:v>
                </c:pt>
                <c:pt idx="290">
                  <c:v>0.0827792643398273</c:v>
                </c:pt>
                <c:pt idx="291">
                  <c:v>0.0718415534299137</c:v>
                </c:pt>
                <c:pt idx="292">
                  <c:v>-0.0405684416136965</c:v>
                </c:pt>
                <c:pt idx="293">
                  <c:v>0.0465428609619931</c:v>
                </c:pt>
                <c:pt idx="294">
                  <c:v>0.0425461310425015</c:v>
                </c:pt>
                <c:pt idx="295">
                  <c:v>0.0498380916729233</c:v>
                </c:pt>
                <c:pt idx="296">
                  <c:v>0.0158707123356721</c:v>
                </c:pt>
                <c:pt idx="297">
                  <c:v>0.0874969958950165</c:v>
                </c:pt>
                <c:pt idx="298">
                  <c:v>0.0749626789806175</c:v>
                </c:pt>
                <c:pt idx="299">
                  <c:v>0.0350010203114932</c:v>
                </c:pt>
                <c:pt idx="300">
                  <c:v>0.0410143566710259</c:v>
                </c:pt>
                <c:pt idx="301">
                  <c:v>0.0382800335273786</c:v>
                </c:pt>
                <c:pt idx="302">
                  <c:v>0.0256607051018413</c:v>
                </c:pt>
                <c:pt idx="303">
                  <c:v>-0.0130412113794502</c:v>
                </c:pt>
                <c:pt idx="304">
                  <c:v>-0.0270333271150409</c:v>
                </c:pt>
                <c:pt idx="305">
                  <c:v>-0.0397669993917912</c:v>
                </c:pt>
                <c:pt idx="306">
                  <c:v>-0.0726016168081591</c:v>
                </c:pt>
                <c:pt idx="307">
                  <c:v>-0.0152731368386964</c:v>
                </c:pt>
                <c:pt idx="308">
                  <c:v>-0.0194977408189989</c:v>
                </c:pt>
                <c:pt idx="309">
                  <c:v>0.00965269055045256</c:v>
                </c:pt>
                <c:pt idx="310">
                  <c:v>0.0156766659070515</c:v>
                </c:pt>
                <c:pt idx="311">
                  <c:v>-0.000200173163045131</c:v>
                </c:pt>
                <c:pt idx="312">
                  <c:v>-0.00889804092468655</c:v>
                </c:pt>
                <c:pt idx="313">
                  <c:v>0.0473245508754948</c:v>
                </c:pt>
                <c:pt idx="314">
                  <c:v>0.0296526905504526</c:v>
                </c:pt>
                <c:pt idx="315">
                  <c:v>0.0556766659070515</c:v>
                </c:pt>
                <c:pt idx="316">
                  <c:v>0.0297998268369549</c:v>
                </c:pt>
                <c:pt idx="317">
                  <c:v>0.0211019590753134</c:v>
                </c:pt>
                <c:pt idx="318">
                  <c:v>0.051036726143124</c:v>
                </c:pt>
                <c:pt idx="319">
                  <c:v>0.0552535376371589</c:v>
                </c:pt>
                <c:pt idx="320">
                  <c:v>0.0457524165536561</c:v>
                </c:pt>
                <c:pt idx="321">
                  <c:v>0.0707483275125974</c:v>
                </c:pt>
                <c:pt idx="322">
                  <c:v>0.0808356059302388</c:v>
                </c:pt>
                <c:pt idx="323">
                  <c:v>0.100491691724592</c:v>
                </c:pt>
                <c:pt idx="324">
                  <c:v>0.102011223086678</c:v>
                </c:pt>
                <c:pt idx="325">
                  <c:v>0.0714596651299826</c:v>
                </c:pt>
                <c:pt idx="326">
                  <c:v>0.0388222995739388</c:v>
                </c:pt>
                <c:pt idx="327">
                  <c:v>0.05898152666542</c:v>
                </c:pt>
                <c:pt idx="328">
                  <c:v>0.0686455701531197</c:v>
                </c:pt>
                <c:pt idx="329">
                  <c:v>0.0401483412312464</c:v>
                </c:pt>
                <c:pt idx="330">
                  <c:v>-0.00914561813171327</c:v>
                </c:pt>
                <c:pt idx="331">
                  <c:v>-0.0118080525482774</c:v>
                </c:pt>
                <c:pt idx="332">
                  <c:v>-0.0162305538715221</c:v>
                </c:pt>
                <c:pt idx="333">
                  <c:v>-0.0395810809383769</c:v>
                </c:pt>
                <c:pt idx="334">
                  <c:v>-0.064104192008955</c:v>
                </c:pt>
                <c:pt idx="335">
                  <c:v>0.0437694461284779</c:v>
                </c:pt>
                <c:pt idx="336">
                  <c:v>0.0404189190616231</c:v>
                </c:pt>
                <c:pt idx="337">
                  <c:v>0.0358958079910451</c:v>
                </c:pt>
                <c:pt idx="338">
                  <c:v>-0.00516040765340775</c:v>
                </c:pt>
                <c:pt idx="339">
                  <c:v>-0.0640394362634496</c:v>
                </c:pt>
                <c:pt idx="340">
                  <c:v>-0.0875372079861103</c:v>
                </c:pt>
              </c:numCache>
            </c:numRef>
          </c:yVal>
          <c:smooth val="0"/>
        </c:ser>
        <c:axId val="24333330"/>
        <c:axId val="79940688"/>
      </c:scatterChart>
      <c:valAx>
        <c:axId val="2433333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pt-BR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pt-BR" sz="1000" spc="-1" strike="noStrike">
                    <a:solidFill>
                      <a:srgbClr val="595959"/>
                    </a:solidFill>
                    <a:latin typeface="Aptos Narrow"/>
                  </a:rPr>
                  <a:t>Deformação sem TS MC2020</a:t>
                </a:r>
              </a:p>
            </c:rich>
          </c:tx>
          <c:layout>
            <c:manualLayout>
              <c:xMode val="edge"/>
              <c:yMode val="edge"/>
              <c:x val="0.397478285233959"/>
              <c:y val="0.873949579831933"/>
            </c:manualLayout>
          </c:layout>
          <c:overlay val="0"/>
          <c:spPr>
            <a:noFill/>
            <a:ln w="0">
              <a:noFill/>
            </a:ln>
          </c:spPr>
        </c:title>
        <c:numFmt formatCode="0.000000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9940688"/>
        <c:crosses val="autoZero"/>
        <c:crossBetween val="midCat"/>
        <c:majorUnit val="0.0008"/>
      </c:valAx>
      <c:valAx>
        <c:axId val="799406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t-BR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pt-BR" sz="1000" spc="-1" strike="noStrike">
                    <a:solidFill>
                      <a:srgbClr val="595959"/>
                    </a:solidFill>
                    <a:latin typeface="Aptos Narrow"/>
                  </a:rPr>
                  <a:t>Resíduo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4333330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spPr>
            <a:solidFill>
              <a:srgbClr val="156082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1560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cap="rnd" w="19080">
                <a:solidFill>
                  <a:srgbClr val="156082"/>
                </a:solidFill>
                <a:prstDash val="sysDot"/>
                <a:round/>
              </a:ln>
            </c:spPr>
            <c:trendlineType val="power"/>
            <c:forward val="0"/>
            <c:backward val="0"/>
            <c:dispRSqr val="1"/>
            <c:dispEq val="1"/>
          </c:trendline>
          <c:xVal>
            <c:numRef>
              <c:f>'Sem TS MC2020'!$P$3:$P$343</c:f>
              <c:numCache>
                <c:formatCode>0</c:formatCode>
                <c:ptCount val="341"/>
                <c:pt idx="0">
                  <c:v>231.811004938734</c:v>
                </c:pt>
                <c:pt idx="1">
                  <c:v>304.251943982088</c:v>
                </c:pt>
                <c:pt idx="2">
                  <c:v>314.282227849629</c:v>
                </c:pt>
                <c:pt idx="3">
                  <c:v>363.319171202054</c:v>
                </c:pt>
                <c:pt idx="4">
                  <c:v>459.164105936338</c:v>
                </c:pt>
                <c:pt idx="5">
                  <c:v>500</c:v>
                </c:pt>
                <c:pt idx="6">
                  <c:v>322.919715637812</c:v>
                </c:pt>
                <c:pt idx="7">
                  <c:v>367.820933240784</c:v>
                </c:pt>
                <c:pt idx="8">
                  <c:v>500</c:v>
                </c:pt>
                <c:pt idx="9">
                  <c:v>285.048032184717</c:v>
                </c:pt>
                <c:pt idx="10">
                  <c:v>324.999646144464</c:v>
                </c:pt>
                <c:pt idx="11">
                  <c:v>367.644627337453</c:v>
                </c:pt>
                <c:pt idx="12">
                  <c:v>410.738503069316</c:v>
                </c:pt>
                <c:pt idx="13">
                  <c:v>438.569964479477</c:v>
                </c:pt>
                <c:pt idx="14">
                  <c:v>498.272938149662</c:v>
                </c:pt>
                <c:pt idx="15">
                  <c:v>502.761883538398</c:v>
                </c:pt>
                <c:pt idx="16">
                  <c:v>538.673446648283</c:v>
                </c:pt>
                <c:pt idx="17">
                  <c:v>628</c:v>
                </c:pt>
                <c:pt idx="18">
                  <c:v>628</c:v>
                </c:pt>
                <c:pt idx="19">
                  <c:v>321.471876442594</c:v>
                </c:pt>
                <c:pt idx="20">
                  <c:v>357.190973825104</c:v>
                </c:pt>
                <c:pt idx="21">
                  <c:v>370.585635343545</c:v>
                </c:pt>
                <c:pt idx="22">
                  <c:v>392.910071207614</c:v>
                </c:pt>
                <c:pt idx="23">
                  <c:v>424.164281417311</c:v>
                </c:pt>
                <c:pt idx="24">
                  <c:v>491.137589009518</c:v>
                </c:pt>
                <c:pt idx="25">
                  <c:v>140.041965597591</c:v>
                </c:pt>
                <c:pt idx="26">
                  <c:v>201.598873552576</c:v>
                </c:pt>
                <c:pt idx="27">
                  <c:v>243.919247771628</c:v>
                </c:pt>
                <c:pt idx="28">
                  <c:v>313.940230570424</c:v>
                </c:pt>
                <c:pt idx="29">
                  <c:v>416.278590045587</c:v>
                </c:pt>
                <c:pt idx="30">
                  <c:v>300.432956249241</c:v>
                </c:pt>
                <c:pt idx="31">
                  <c:v>386.270943749024</c:v>
                </c:pt>
                <c:pt idx="32">
                  <c:v>500</c:v>
                </c:pt>
                <c:pt idx="33">
                  <c:v>500</c:v>
                </c:pt>
                <c:pt idx="34">
                  <c:v>500</c:v>
                </c:pt>
                <c:pt idx="35">
                  <c:v>106.512655225995</c:v>
                </c:pt>
                <c:pt idx="36">
                  <c:v>191.72277940679</c:v>
                </c:pt>
                <c:pt idx="37">
                  <c:v>276.932903587586</c:v>
                </c:pt>
                <c:pt idx="38">
                  <c:v>362.143027768382</c:v>
                </c:pt>
                <c:pt idx="39">
                  <c:v>426.050620903978</c:v>
                </c:pt>
                <c:pt idx="40">
                  <c:v>500</c:v>
                </c:pt>
                <c:pt idx="41">
                  <c:v>212.47112712609</c:v>
                </c:pt>
                <c:pt idx="42">
                  <c:v>254.965352551308</c:v>
                </c:pt>
                <c:pt idx="43">
                  <c:v>297.459577976525</c:v>
                </c:pt>
                <c:pt idx="44">
                  <c:v>382.448028826961</c:v>
                </c:pt>
                <c:pt idx="45">
                  <c:v>500</c:v>
                </c:pt>
                <c:pt idx="46">
                  <c:v>212.47112712609</c:v>
                </c:pt>
                <c:pt idx="47">
                  <c:v>297.459577976525</c:v>
                </c:pt>
                <c:pt idx="48">
                  <c:v>382.448028826961</c:v>
                </c:pt>
                <c:pt idx="49">
                  <c:v>500</c:v>
                </c:pt>
                <c:pt idx="50">
                  <c:v>245.194770485466</c:v>
                </c:pt>
                <c:pt idx="51">
                  <c:v>294.23372458256</c:v>
                </c:pt>
                <c:pt idx="52">
                  <c:v>193.945814910414</c:v>
                </c:pt>
                <c:pt idx="53">
                  <c:v>242.432268638018</c:v>
                </c:pt>
                <c:pt idx="54">
                  <c:v>290.918722365622</c:v>
                </c:pt>
                <c:pt idx="55">
                  <c:v>193.945814910414</c:v>
                </c:pt>
                <c:pt idx="56">
                  <c:v>242.432268638018</c:v>
                </c:pt>
                <c:pt idx="57">
                  <c:v>290.918722365622</c:v>
                </c:pt>
                <c:pt idx="58">
                  <c:v>210.837549268589</c:v>
                </c:pt>
                <c:pt idx="59">
                  <c:v>316.256323902884</c:v>
                </c:pt>
                <c:pt idx="60">
                  <c:v>421.675098537179</c:v>
                </c:pt>
                <c:pt idx="61">
                  <c:v>500</c:v>
                </c:pt>
                <c:pt idx="62">
                  <c:v>210.837549268589</c:v>
                </c:pt>
                <c:pt idx="63">
                  <c:v>316.256323902884</c:v>
                </c:pt>
                <c:pt idx="64">
                  <c:v>421.675098537179</c:v>
                </c:pt>
                <c:pt idx="65">
                  <c:v>500</c:v>
                </c:pt>
                <c:pt idx="66">
                  <c:v>122.340765829723</c:v>
                </c:pt>
                <c:pt idx="67">
                  <c:v>244.681531659446</c:v>
                </c:pt>
                <c:pt idx="68">
                  <c:v>120.90671371296</c:v>
                </c:pt>
                <c:pt idx="69">
                  <c:v>241.81342742592</c:v>
                </c:pt>
                <c:pt idx="70">
                  <c:v>120.90671371296</c:v>
                </c:pt>
                <c:pt idx="71">
                  <c:v>241.81342742592</c:v>
                </c:pt>
                <c:pt idx="72">
                  <c:v>295.47063165326</c:v>
                </c:pt>
                <c:pt idx="73">
                  <c:v>343.866683389569</c:v>
                </c:pt>
                <c:pt idx="74">
                  <c:v>303.256025231297</c:v>
                </c:pt>
                <c:pt idx="75">
                  <c:v>347.810227990398</c:v>
                </c:pt>
                <c:pt idx="76">
                  <c:v>411.048451261379</c:v>
                </c:pt>
                <c:pt idx="77">
                  <c:v>289.734922915654</c:v>
                </c:pt>
                <c:pt idx="78">
                  <c:v>379.980226774629</c:v>
                </c:pt>
                <c:pt idx="79">
                  <c:v>185.273964470166</c:v>
                </c:pt>
                <c:pt idx="80">
                  <c:v>211.76759699969</c:v>
                </c:pt>
                <c:pt idx="81">
                  <c:v>238.261229529214</c:v>
                </c:pt>
                <c:pt idx="82">
                  <c:v>264.709496249612</c:v>
                </c:pt>
                <c:pt idx="83">
                  <c:v>291.157762970011</c:v>
                </c:pt>
                <c:pt idx="84">
                  <c:v>317.651395499535</c:v>
                </c:pt>
                <c:pt idx="85">
                  <c:v>344.145028029059</c:v>
                </c:pt>
                <c:pt idx="86">
                  <c:v>370.547928940332</c:v>
                </c:pt>
                <c:pt idx="87">
                  <c:v>211.76759699969</c:v>
                </c:pt>
                <c:pt idx="88">
                  <c:v>238.261229529214</c:v>
                </c:pt>
                <c:pt idx="89">
                  <c:v>264.709496249612</c:v>
                </c:pt>
                <c:pt idx="90">
                  <c:v>291.157762970011</c:v>
                </c:pt>
                <c:pt idx="91">
                  <c:v>317.651395499535</c:v>
                </c:pt>
                <c:pt idx="92">
                  <c:v>344.145028029059</c:v>
                </c:pt>
                <c:pt idx="93">
                  <c:v>370.547928940332</c:v>
                </c:pt>
                <c:pt idx="94">
                  <c:v>211.76759699969</c:v>
                </c:pt>
                <c:pt idx="95">
                  <c:v>238.261229529214</c:v>
                </c:pt>
                <c:pt idx="96">
                  <c:v>264.709496249612</c:v>
                </c:pt>
                <c:pt idx="97">
                  <c:v>291.157762970011</c:v>
                </c:pt>
                <c:pt idx="98">
                  <c:v>317.651395499535</c:v>
                </c:pt>
                <c:pt idx="99">
                  <c:v>344.145028029059</c:v>
                </c:pt>
                <c:pt idx="100">
                  <c:v>370.547928940332</c:v>
                </c:pt>
                <c:pt idx="101">
                  <c:v>185.273964470166</c:v>
                </c:pt>
                <c:pt idx="102">
                  <c:v>211.76759699969</c:v>
                </c:pt>
                <c:pt idx="103">
                  <c:v>238.261229529214</c:v>
                </c:pt>
                <c:pt idx="104">
                  <c:v>264.709496249612</c:v>
                </c:pt>
                <c:pt idx="105">
                  <c:v>291.157762970011</c:v>
                </c:pt>
                <c:pt idx="106">
                  <c:v>317.651395499535</c:v>
                </c:pt>
                <c:pt idx="107">
                  <c:v>344.145028029059</c:v>
                </c:pt>
                <c:pt idx="108">
                  <c:v>370.547928940332</c:v>
                </c:pt>
                <c:pt idx="109">
                  <c:v>233.304692064372</c:v>
                </c:pt>
                <c:pt idx="110">
                  <c:v>251.2038920092</c:v>
                </c:pt>
                <c:pt idx="111">
                  <c:v>269.164601232189</c:v>
                </c:pt>
                <c:pt idx="112">
                  <c:v>287.125310455178</c:v>
                </c:pt>
                <c:pt idx="113">
                  <c:v>305.086019678167</c:v>
                </c:pt>
                <c:pt idx="114">
                  <c:v>251.2038920092</c:v>
                </c:pt>
                <c:pt idx="115">
                  <c:v>269.164601232189</c:v>
                </c:pt>
                <c:pt idx="116">
                  <c:v>287.125310455178</c:v>
                </c:pt>
                <c:pt idx="117">
                  <c:v>305.086019678167</c:v>
                </c:pt>
                <c:pt idx="118">
                  <c:v>176.286173520268</c:v>
                </c:pt>
                <c:pt idx="119">
                  <c:v>242.346302783752</c:v>
                </c:pt>
                <c:pt idx="120">
                  <c:v>308.406432047236</c:v>
                </c:pt>
                <c:pt idx="121">
                  <c:v>242.346302783752</c:v>
                </c:pt>
                <c:pt idx="122">
                  <c:v>308.406432047236</c:v>
                </c:pt>
                <c:pt idx="123">
                  <c:v>208.779739289304</c:v>
                </c:pt>
                <c:pt idx="124">
                  <c:v>253.500001682973</c:v>
                </c:pt>
                <c:pt idx="125">
                  <c:v>298.220264076643</c:v>
                </c:pt>
                <c:pt idx="126">
                  <c:v>208.779739289304</c:v>
                </c:pt>
                <c:pt idx="127">
                  <c:v>253.500001682973</c:v>
                </c:pt>
                <c:pt idx="128">
                  <c:v>298.220264076643</c:v>
                </c:pt>
                <c:pt idx="129">
                  <c:v>226.45530266576</c:v>
                </c:pt>
                <c:pt idx="130">
                  <c:v>260.413895610496</c:v>
                </c:pt>
                <c:pt idx="131">
                  <c:v>294.372488555233</c:v>
                </c:pt>
                <c:pt idx="132">
                  <c:v>226.45530266576</c:v>
                </c:pt>
                <c:pt idx="133">
                  <c:v>260.413895610496</c:v>
                </c:pt>
                <c:pt idx="134">
                  <c:v>294.372488555233</c:v>
                </c:pt>
                <c:pt idx="135">
                  <c:v>274.143632212731</c:v>
                </c:pt>
                <c:pt idx="136">
                  <c:v>294.202922374639</c:v>
                </c:pt>
                <c:pt idx="137">
                  <c:v>316.936784558133</c:v>
                </c:pt>
                <c:pt idx="138">
                  <c:v>336.996074720041</c:v>
                </c:pt>
                <c:pt idx="139">
                  <c:v>359.729936903535</c:v>
                </c:pt>
                <c:pt idx="140">
                  <c:v>379.789227065442</c:v>
                </c:pt>
                <c:pt idx="141">
                  <c:v>403.860375259731</c:v>
                </c:pt>
                <c:pt idx="142">
                  <c:v>251.409770029237</c:v>
                </c:pt>
                <c:pt idx="143">
                  <c:v>274.143632212731</c:v>
                </c:pt>
                <c:pt idx="144">
                  <c:v>295.540208385432</c:v>
                </c:pt>
                <c:pt idx="145">
                  <c:v>314.930855541943</c:v>
                </c:pt>
                <c:pt idx="146">
                  <c:v>336.996074720041</c:v>
                </c:pt>
                <c:pt idx="147">
                  <c:v>359.061293898138</c:v>
                </c:pt>
                <c:pt idx="148">
                  <c:v>377.783298049252</c:v>
                </c:pt>
                <c:pt idx="149">
                  <c:v>395.836659194968</c:v>
                </c:pt>
                <c:pt idx="150">
                  <c:v>201.33268539096</c:v>
                </c:pt>
                <c:pt idx="151">
                  <c:v>235.281479050211</c:v>
                </c:pt>
                <c:pt idx="152">
                  <c:v>268.141006602748</c:v>
                </c:pt>
                <c:pt idx="153">
                  <c:v>300.818989804166</c:v>
                </c:pt>
                <c:pt idx="154">
                  <c:v>333.133884303346</c:v>
                </c:pt>
                <c:pt idx="155">
                  <c:v>366.356500558121</c:v>
                </c:pt>
                <c:pt idx="156">
                  <c:v>169.743968296255</c:v>
                </c:pt>
                <c:pt idx="157">
                  <c:v>201.877318444317</c:v>
                </c:pt>
                <c:pt idx="158">
                  <c:v>234.736845996854</c:v>
                </c:pt>
                <c:pt idx="159">
                  <c:v>267.233284847153</c:v>
                </c:pt>
                <c:pt idx="160">
                  <c:v>301.000534155285</c:v>
                </c:pt>
                <c:pt idx="161">
                  <c:v>333.133884303346</c:v>
                </c:pt>
                <c:pt idx="162">
                  <c:v>348.746698499579</c:v>
                </c:pt>
                <c:pt idx="163">
                  <c:v>310.309853574738</c:v>
                </c:pt>
                <c:pt idx="164">
                  <c:v>330.286882774829</c:v>
                </c:pt>
                <c:pt idx="165">
                  <c:v>334.282288614847</c:v>
                </c:pt>
                <c:pt idx="166">
                  <c:v>351.151779939368</c:v>
                </c:pt>
                <c:pt idx="167">
                  <c:v>362.694063477198</c:v>
                </c:pt>
                <c:pt idx="168">
                  <c:v>375.568148961701</c:v>
                </c:pt>
                <c:pt idx="169">
                  <c:v>387.110432499531</c:v>
                </c:pt>
                <c:pt idx="170">
                  <c:v>400.872385948482</c:v>
                </c:pt>
                <c:pt idx="171">
                  <c:v>308.978051628066</c:v>
                </c:pt>
                <c:pt idx="172">
                  <c:v>322.296071094793</c:v>
                </c:pt>
                <c:pt idx="173">
                  <c:v>334.726222597071</c:v>
                </c:pt>
                <c:pt idx="174">
                  <c:v>347.600308081574</c:v>
                </c:pt>
                <c:pt idx="175">
                  <c:v>361.362261530525</c:v>
                </c:pt>
                <c:pt idx="176">
                  <c:v>375.568148961701</c:v>
                </c:pt>
                <c:pt idx="177">
                  <c:v>388.442234446203</c:v>
                </c:pt>
                <c:pt idx="178">
                  <c:v>399.984517984033</c:v>
                </c:pt>
                <c:pt idx="179">
                  <c:v>323.627873041465</c:v>
                </c:pt>
                <c:pt idx="180">
                  <c:v>336.501958525968</c:v>
                </c:pt>
                <c:pt idx="181">
                  <c:v>354.703251797162</c:v>
                </c:pt>
                <c:pt idx="182">
                  <c:v>365.357667370543</c:v>
                </c:pt>
                <c:pt idx="183">
                  <c:v>375.568148961701</c:v>
                </c:pt>
                <c:pt idx="184">
                  <c:v>386.666498517306</c:v>
                </c:pt>
                <c:pt idx="185">
                  <c:v>401.316319930706</c:v>
                </c:pt>
                <c:pt idx="186">
                  <c:v>224.936489423332</c:v>
                </c:pt>
                <c:pt idx="187">
                  <c:v>259.897640308412</c:v>
                </c:pt>
                <c:pt idx="188">
                  <c:v>294.740278817611</c:v>
                </c:pt>
                <c:pt idx="189">
                  <c:v>224.936489423332</c:v>
                </c:pt>
                <c:pt idx="190">
                  <c:v>259.423590804886</c:v>
                </c:pt>
                <c:pt idx="191">
                  <c:v>294.147716938203</c:v>
                </c:pt>
                <c:pt idx="192">
                  <c:v>154.303113397881</c:v>
                </c:pt>
                <c:pt idx="193">
                  <c:v>190.330875665896</c:v>
                </c:pt>
                <c:pt idx="194">
                  <c:v>224.343927543924</c:v>
                </c:pt>
                <c:pt idx="195">
                  <c:v>258.475491797833</c:v>
                </c:pt>
                <c:pt idx="196">
                  <c:v>306.710028781656</c:v>
                </c:pt>
                <c:pt idx="197">
                  <c:v>179.888040262956</c:v>
                </c:pt>
                <c:pt idx="198">
                  <c:v>225.296671785643</c:v>
                </c:pt>
                <c:pt idx="199">
                  <c:v>270.705303308331</c:v>
                </c:pt>
                <c:pt idx="200">
                  <c:v>176.839573733521</c:v>
                </c:pt>
                <c:pt idx="201">
                  <c:v>220.752756472718</c:v>
                </c:pt>
                <c:pt idx="202">
                  <c:v>264.665939211914</c:v>
                </c:pt>
                <c:pt idx="203">
                  <c:v>234.722345423214</c:v>
                </c:pt>
                <c:pt idx="204">
                  <c:v>315.661085224322</c:v>
                </c:pt>
                <c:pt idx="205">
                  <c:v>364.224329104987</c:v>
                </c:pt>
                <c:pt idx="206">
                  <c:v>404.693699005541</c:v>
                </c:pt>
                <c:pt idx="207">
                  <c:v>469.444690846428</c:v>
                </c:pt>
                <c:pt idx="208">
                  <c:v>526.101808707204</c:v>
                </c:pt>
                <c:pt idx="209">
                  <c:v>270.870133310726</c:v>
                </c:pt>
                <c:pt idx="210">
                  <c:v>308.048386902394</c:v>
                </c:pt>
                <c:pt idx="211">
                  <c:v>355.848998663111</c:v>
                </c:pt>
                <c:pt idx="212">
                  <c:v>377.093715001207</c:v>
                </c:pt>
                <c:pt idx="213">
                  <c:v>424.894326761923</c:v>
                </c:pt>
                <c:pt idx="214">
                  <c:v>525.80672936788</c:v>
                </c:pt>
                <c:pt idx="215">
                  <c:v>246.921912945398</c:v>
                </c:pt>
                <c:pt idx="216">
                  <c:v>283.23395896678</c:v>
                </c:pt>
                <c:pt idx="217">
                  <c:v>315.914800386024</c:v>
                </c:pt>
                <c:pt idx="218">
                  <c:v>355.858051009545</c:v>
                </c:pt>
                <c:pt idx="219">
                  <c:v>395.801301633065</c:v>
                </c:pt>
                <c:pt idx="220">
                  <c:v>432.113347654447</c:v>
                </c:pt>
                <c:pt idx="221">
                  <c:v>468.425393675829</c:v>
                </c:pt>
                <c:pt idx="222">
                  <c:v>501.106235095073</c:v>
                </c:pt>
                <c:pt idx="223">
                  <c:v>370.747284048733</c:v>
                </c:pt>
                <c:pt idx="224">
                  <c:v>443.284796145224</c:v>
                </c:pt>
                <c:pt idx="225">
                  <c:v>523.882031807992</c:v>
                </c:pt>
                <c:pt idx="226">
                  <c:v>264.280094309474</c:v>
                </c:pt>
                <c:pt idx="227">
                  <c:v>301.2793075128</c:v>
                </c:pt>
                <c:pt idx="228">
                  <c:v>348.849724488505</c:v>
                </c:pt>
                <c:pt idx="229">
                  <c:v>369.992132033263</c:v>
                </c:pt>
                <c:pt idx="230">
                  <c:v>401.7057433504</c:v>
                </c:pt>
                <c:pt idx="231">
                  <c:v>422.848150895158</c:v>
                </c:pt>
                <c:pt idx="232">
                  <c:v>474.647049379814</c:v>
                </c:pt>
                <c:pt idx="233">
                  <c:v>526.445947864471</c:v>
                </c:pt>
                <c:pt idx="234">
                  <c:v>303.402568314191</c:v>
                </c:pt>
                <c:pt idx="235">
                  <c:v>317.850309662485</c:v>
                </c:pt>
                <c:pt idx="236">
                  <c:v>353.969663033222</c:v>
                </c:pt>
                <c:pt idx="237">
                  <c:v>393.700951741033</c:v>
                </c:pt>
                <c:pt idx="238">
                  <c:v>429.82030511177</c:v>
                </c:pt>
                <c:pt idx="239">
                  <c:v>462.327723145433</c:v>
                </c:pt>
                <c:pt idx="240">
                  <c:v>502.059011853244</c:v>
                </c:pt>
                <c:pt idx="241">
                  <c:v>151.171969977459</c:v>
                </c:pt>
                <c:pt idx="242">
                  <c:v>201.706599941352</c:v>
                </c:pt>
                <c:pt idx="243">
                  <c:v>230.64523419418</c:v>
                </c:pt>
                <c:pt idx="244">
                  <c:v>263.903067589221</c:v>
                </c:pt>
                <c:pt idx="245">
                  <c:v>315.733457295778</c:v>
                </c:pt>
                <c:pt idx="246">
                  <c:v>342.080572063278</c:v>
                </c:pt>
                <c:pt idx="247">
                  <c:v>380.521444428975</c:v>
                </c:pt>
                <c:pt idx="248">
                  <c:v>361.669574509028</c:v>
                </c:pt>
                <c:pt idx="249">
                  <c:v>392.3</c:v>
                </c:pt>
                <c:pt idx="250">
                  <c:v>363.004148584707</c:v>
                </c:pt>
                <c:pt idx="251">
                  <c:v>392.3</c:v>
                </c:pt>
                <c:pt idx="252">
                  <c:v>363.004148584707</c:v>
                </c:pt>
                <c:pt idx="253">
                  <c:v>392.3</c:v>
                </c:pt>
                <c:pt idx="254">
                  <c:v>364.338722660386</c:v>
                </c:pt>
                <c:pt idx="255">
                  <c:v>392.3</c:v>
                </c:pt>
                <c:pt idx="256">
                  <c:v>317.102697940788</c:v>
                </c:pt>
                <c:pt idx="257">
                  <c:v>392.3</c:v>
                </c:pt>
                <c:pt idx="258">
                  <c:v>319.135407542973</c:v>
                </c:pt>
                <c:pt idx="259">
                  <c:v>392.3</c:v>
                </c:pt>
                <c:pt idx="260">
                  <c:v>260.029022246808</c:v>
                </c:pt>
                <c:pt idx="261">
                  <c:v>365.3741133109</c:v>
                </c:pt>
                <c:pt idx="262">
                  <c:v>392.3</c:v>
                </c:pt>
                <c:pt idx="263">
                  <c:v>261.362504412177</c:v>
                </c:pt>
                <c:pt idx="264">
                  <c:v>366.707595476268</c:v>
                </c:pt>
                <c:pt idx="265">
                  <c:v>187.025739041386</c:v>
                </c:pt>
                <c:pt idx="266">
                  <c:v>261.07653927097</c:v>
                </c:pt>
                <c:pt idx="267">
                  <c:v>336.076708734267</c:v>
                </c:pt>
                <c:pt idx="268">
                  <c:v>392.3</c:v>
                </c:pt>
                <c:pt idx="269">
                  <c:v>186.076369807673</c:v>
                </c:pt>
                <c:pt idx="270">
                  <c:v>259.177800803545</c:v>
                </c:pt>
                <c:pt idx="271">
                  <c:v>333.228601033129</c:v>
                </c:pt>
                <c:pt idx="272">
                  <c:v>365.472691516251</c:v>
                </c:pt>
                <c:pt idx="273">
                  <c:v>392.3</c:v>
                </c:pt>
                <c:pt idx="274">
                  <c:v>365.472691516251</c:v>
                </c:pt>
                <c:pt idx="275">
                  <c:v>392.3</c:v>
                </c:pt>
                <c:pt idx="276">
                  <c:v>221.310131801498</c:v>
                </c:pt>
                <c:pt idx="277">
                  <c:v>259.140923562438</c:v>
                </c:pt>
                <c:pt idx="278">
                  <c:v>296.025945529354</c:v>
                </c:pt>
                <c:pt idx="279">
                  <c:v>333.856737290294</c:v>
                </c:pt>
                <c:pt idx="280">
                  <c:v>369.795989463187</c:v>
                </c:pt>
                <c:pt idx="281">
                  <c:v>392.3</c:v>
                </c:pt>
                <c:pt idx="282">
                  <c:v>296.025945529354</c:v>
                </c:pt>
                <c:pt idx="283">
                  <c:v>331.965197702247</c:v>
                </c:pt>
                <c:pt idx="284">
                  <c:v>369.795989463187</c:v>
                </c:pt>
                <c:pt idx="285">
                  <c:v>392.3</c:v>
                </c:pt>
                <c:pt idx="286">
                  <c:v>203.022493137384</c:v>
                </c:pt>
                <c:pt idx="287">
                  <c:v>244.500206789107</c:v>
                </c:pt>
                <c:pt idx="288">
                  <c:v>275.8</c:v>
                </c:pt>
                <c:pt idx="289">
                  <c:v>275.8</c:v>
                </c:pt>
                <c:pt idx="290">
                  <c:v>249.745884346061</c:v>
                </c:pt>
                <c:pt idx="291">
                  <c:v>275.8</c:v>
                </c:pt>
                <c:pt idx="292">
                  <c:v>271.289437560374</c:v>
                </c:pt>
                <c:pt idx="293">
                  <c:v>195.113525980031</c:v>
                </c:pt>
                <c:pt idx="294">
                  <c:v>226.947036463892</c:v>
                </c:pt>
                <c:pt idx="295">
                  <c:v>260.91293520983</c:v>
                </c:pt>
                <c:pt idx="296">
                  <c:v>275.8</c:v>
                </c:pt>
                <c:pt idx="297">
                  <c:v>259.632151766165</c:v>
                </c:pt>
                <c:pt idx="298">
                  <c:v>275.8</c:v>
                </c:pt>
                <c:pt idx="299">
                  <c:v>194.21192690601</c:v>
                </c:pt>
                <c:pt idx="300">
                  <c:v>225.898338087397</c:v>
                </c:pt>
                <c:pt idx="301">
                  <c:v>259.707283989067</c:v>
                </c:pt>
                <c:pt idx="302">
                  <c:v>275.8</c:v>
                </c:pt>
                <c:pt idx="303">
                  <c:v>194.354596032503</c:v>
                </c:pt>
                <c:pt idx="304">
                  <c:v>226.064284222037</c:v>
                </c:pt>
                <c:pt idx="305">
                  <c:v>259.898066357281</c:v>
                </c:pt>
                <c:pt idx="306">
                  <c:v>275.8</c:v>
                </c:pt>
                <c:pt idx="307">
                  <c:v>234.115818289886</c:v>
                </c:pt>
                <c:pt idx="308">
                  <c:v>274.847284751406</c:v>
                </c:pt>
                <c:pt idx="309">
                  <c:v>179.495600322604</c:v>
                </c:pt>
                <c:pt idx="310">
                  <c:v>212.742542651488</c:v>
                </c:pt>
                <c:pt idx="311">
                  <c:v>245.231719913046</c:v>
                </c:pt>
                <c:pt idx="312">
                  <c:v>275.8</c:v>
                </c:pt>
                <c:pt idx="313">
                  <c:v>212.947491588265</c:v>
                </c:pt>
                <c:pt idx="314">
                  <c:v>179.495600322604</c:v>
                </c:pt>
                <c:pt idx="315">
                  <c:v>212.742542651488</c:v>
                </c:pt>
                <c:pt idx="316">
                  <c:v>245.231719913046</c:v>
                </c:pt>
                <c:pt idx="317">
                  <c:v>275.8</c:v>
                </c:pt>
                <c:pt idx="318">
                  <c:v>213.428114144873</c:v>
                </c:pt>
                <c:pt idx="319">
                  <c:v>246.021989101103</c:v>
                </c:pt>
                <c:pt idx="320">
                  <c:v>275.8</c:v>
                </c:pt>
                <c:pt idx="321">
                  <c:v>170.803299154682</c:v>
                </c:pt>
                <c:pt idx="322">
                  <c:v>210.242000847909</c:v>
                </c:pt>
                <c:pt idx="323">
                  <c:v>245.135722048608</c:v>
                </c:pt>
                <c:pt idx="324">
                  <c:v>270.059808620536</c:v>
                </c:pt>
                <c:pt idx="325">
                  <c:v>275.8</c:v>
                </c:pt>
                <c:pt idx="326">
                  <c:v>170.327728419202</c:v>
                </c:pt>
                <c:pt idx="327">
                  <c:v>209.656620217284</c:v>
                </c:pt>
                <c:pt idx="328">
                  <c:v>244.453186194769</c:v>
                </c:pt>
                <c:pt idx="329">
                  <c:v>269.307876178686</c:v>
                </c:pt>
                <c:pt idx="330">
                  <c:v>275.8</c:v>
                </c:pt>
                <c:pt idx="331">
                  <c:v>183.230305477513</c:v>
                </c:pt>
                <c:pt idx="332">
                  <c:v>219.890332297519</c:v>
                </c:pt>
                <c:pt idx="333">
                  <c:v>248.170924415809</c:v>
                </c:pt>
                <c:pt idx="334">
                  <c:v>275.8</c:v>
                </c:pt>
                <c:pt idx="335">
                  <c:v>219.890332297519</c:v>
                </c:pt>
                <c:pt idx="336">
                  <c:v>248.170924415809</c:v>
                </c:pt>
                <c:pt idx="337">
                  <c:v>275.8</c:v>
                </c:pt>
                <c:pt idx="338">
                  <c:v>184.086480713456</c:v>
                </c:pt>
                <c:pt idx="339">
                  <c:v>143.792876986957</c:v>
                </c:pt>
                <c:pt idx="340">
                  <c:v>183.642990294518</c:v>
                </c:pt>
              </c:numCache>
            </c:numRef>
          </c:xVal>
          <c:yVal>
            <c:numRef>
              <c:f>'Com TS variável MC2020'!$AE$11:$AE$351</c:f>
              <c:numCache>
                <c:formatCode>0.00</c:formatCode>
                <c:ptCount val="341"/>
                <c:pt idx="0">
                  <c:v>0.875763465123651</c:v>
                </c:pt>
                <c:pt idx="1">
                  <c:v>0.800656858149517</c:v>
                </c:pt>
                <c:pt idx="2">
                  <c:v>0.795380008312283</c:v>
                </c:pt>
                <c:pt idx="3">
                  <c:v>0.724781682988593</c:v>
                </c:pt>
                <c:pt idx="4">
                  <c:v>0.685098606495662</c:v>
                </c:pt>
                <c:pt idx="5">
                  <c:v>0.701975080824499</c:v>
                </c:pt>
                <c:pt idx="6">
                  <c:v>1.04441938795883</c:v>
                </c:pt>
                <c:pt idx="7">
                  <c:v>0.926583062488952</c:v>
                </c:pt>
                <c:pt idx="8">
                  <c:v>0.824993429239537</c:v>
                </c:pt>
                <c:pt idx="9">
                  <c:v>1.15796356414957</c:v>
                </c:pt>
                <c:pt idx="10">
                  <c:v>1.19358708820993</c:v>
                </c:pt>
                <c:pt idx="11">
                  <c:v>1.0053691087764</c:v>
                </c:pt>
                <c:pt idx="12">
                  <c:v>1.04061927381803</c:v>
                </c:pt>
                <c:pt idx="13">
                  <c:v>1.19472025472626</c:v>
                </c:pt>
                <c:pt idx="14">
                  <c:v>1.08466304193493</c:v>
                </c:pt>
                <c:pt idx="15">
                  <c:v>1.27378039112538</c:v>
                </c:pt>
                <c:pt idx="16">
                  <c:v>1.29333744555739</c:v>
                </c:pt>
                <c:pt idx="17">
                  <c:v>1.12690450309284</c:v>
                </c:pt>
                <c:pt idx="18">
                  <c:v>1.28057329896914</c:v>
                </c:pt>
                <c:pt idx="19">
                  <c:v>1.50718242152836</c:v>
                </c:pt>
                <c:pt idx="20">
                  <c:v>1.61743577542172</c:v>
                </c:pt>
                <c:pt idx="21">
                  <c:v>1.53594701159521</c:v>
                </c:pt>
                <c:pt idx="22">
                  <c:v>1.41696569497205</c:v>
                </c:pt>
                <c:pt idx="23">
                  <c:v>1.61921855079595</c:v>
                </c:pt>
                <c:pt idx="24">
                  <c:v>1.54993189925921</c:v>
                </c:pt>
                <c:pt idx="25">
                  <c:v>2.33734006152171</c:v>
                </c:pt>
                <c:pt idx="26">
                  <c:v>1.49307775390943</c:v>
                </c:pt>
                <c:pt idx="27">
                  <c:v>1.50203625475421</c:v>
                </c:pt>
                <c:pt idx="28">
                  <c:v>1.84976072927937</c:v>
                </c:pt>
                <c:pt idx="29">
                  <c:v>1.80433320222707</c:v>
                </c:pt>
                <c:pt idx="30">
                  <c:v>1.72379791783135</c:v>
                </c:pt>
                <c:pt idx="31">
                  <c:v>1.41647670625553</c:v>
                </c:pt>
                <c:pt idx="32">
                  <c:v>1.30512089133421</c:v>
                </c:pt>
                <c:pt idx="33">
                  <c:v>1.65470684437016</c:v>
                </c:pt>
                <c:pt idx="34">
                  <c:v>1.84115268598934</c:v>
                </c:pt>
                <c:pt idx="35">
                  <c:v>3.30277245532524</c:v>
                </c:pt>
                <c:pt idx="36">
                  <c:v>1.79956123392512</c:v>
                </c:pt>
                <c:pt idx="37">
                  <c:v>1.65676962192801</c:v>
                </c:pt>
                <c:pt idx="38">
                  <c:v>1.58967517010266</c:v>
                </c:pt>
                <c:pt idx="39">
                  <c:v>1.60819985169209</c:v>
                </c:pt>
                <c:pt idx="40">
                  <c:v>1.84639575832811</c:v>
                </c:pt>
                <c:pt idx="41">
                  <c:v>1.88611939775683</c:v>
                </c:pt>
                <c:pt idx="42">
                  <c:v>1.98651865269514</c:v>
                </c:pt>
                <c:pt idx="43">
                  <c:v>1.89276893390206</c:v>
                </c:pt>
                <c:pt idx="44">
                  <c:v>1.79193912937108</c:v>
                </c:pt>
                <c:pt idx="45">
                  <c:v>1.78797543694734</c:v>
                </c:pt>
                <c:pt idx="46">
                  <c:v>1.52685856008886</c:v>
                </c:pt>
                <c:pt idx="47">
                  <c:v>1.79314951632827</c:v>
                </c:pt>
                <c:pt idx="48">
                  <c:v>1.92978060086116</c:v>
                </c:pt>
                <c:pt idx="49">
                  <c:v>1.88462275786341</c:v>
                </c:pt>
                <c:pt idx="50">
                  <c:v>1.43782043969346</c:v>
                </c:pt>
                <c:pt idx="51">
                  <c:v>1.40769201680666</c:v>
                </c:pt>
                <c:pt idx="52">
                  <c:v>1.24159941261775</c:v>
                </c:pt>
                <c:pt idx="53">
                  <c:v>1.49497866932851</c:v>
                </c:pt>
                <c:pt idx="54">
                  <c:v>1.32466187147597</c:v>
                </c:pt>
                <c:pt idx="55">
                  <c:v>2.21714180824599</c:v>
                </c:pt>
                <c:pt idx="56">
                  <c:v>2.12190520807918</c:v>
                </c:pt>
                <c:pt idx="57">
                  <c:v>1.85452662006636</c:v>
                </c:pt>
                <c:pt idx="58">
                  <c:v>1.57758380617642</c:v>
                </c:pt>
                <c:pt idx="59">
                  <c:v>1.49437506607983</c:v>
                </c:pt>
                <c:pt idx="60">
                  <c:v>1.51876451426315</c:v>
                </c:pt>
                <c:pt idx="61">
                  <c:v>1.72535906804253</c:v>
                </c:pt>
                <c:pt idx="62">
                  <c:v>1.85194620725057</c:v>
                </c:pt>
                <c:pt idx="63">
                  <c:v>1.70785721837695</c:v>
                </c:pt>
                <c:pt idx="64">
                  <c:v>1.64274529093769</c:v>
                </c:pt>
                <c:pt idx="65">
                  <c:v>1.85411720744869</c:v>
                </c:pt>
                <c:pt idx="66">
                  <c:v>2.34020671606277</c:v>
                </c:pt>
                <c:pt idx="67">
                  <c:v>1.54309653510528</c:v>
                </c:pt>
                <c:pt idx="68">
                  <c:v>2.09968539708848</c:v>
                </c:pt>
                <c:pt idx="69">
                  <c:v>1.68793380873385</c:v>
                </c:pt>
                <c:pt idx="70">
                  <c:v>2.18044252774573</c:v>
                </c:pt>
                <c:pt idx="71">
                  <c:v>1.65980157858829</c:v>
                </c:pt>
                <c:pt idx="72">
                  <c:v>1.19045843574822</c:v>
                </c:pt>
                <c:pt idx="73">
                  <c:v>1.10543077339997</c:v>
                </c:pt>
                <c:pt idx="74">
                  <c:v>1.15753751875842</c:v>
                </c:pt>
                <c:pt idx="75">
                  <c:v>1.1110323465629</c:v>
                </c:pt>
                <c:pt idx="76">
                  <c:v>1.07376888002142</c:v>
                </c:pt>
                <c:pt idx="77">
                  <c:v>1.40857830203833</c:v>
                </c:pt>
                <c:pt idx="78">
                  <c:v>1.36282339433559</c:v>
                </c:pt>
                <c:pt idx="79">
                  <c:v>1.95438816860403</c:v>
                </c:pt>
                <c:pt idx="80">
                  <c:v>1.61234710168107</c:v>
                </c:pt>
                <c:pt idx="81">
                  <c:v>1.45912826893307</c:v>
                </c:pt>
                <c:pt idx="82">
                  <c:v>1.28119126496354</c:v>
                </c:pt>
                <c:pt idx="83">
                  <c:v>1.05358998498811</c:v>
                </c:pt>
                <c:pt idx="84">
                  <c:v>0.958312026497658</c:v>
                </c:pt>
                <c:pt idx="85">
                  <c:v>0.915794510635901</c:v>
                </c:pt>
                <c:pt idx="86">
                  <c:v>0.809869029366986</c:v>
                </c:pt>
                <c:pt idx="87">
                  <c:v>1.2092603262608</c:v>
                </c:pt>
                <c:pt idx="88">
                  <c:v>1.05057235363181</c:v>
                </c:pt>
                <c:pt idx="89">
                  <c:v>0.915136617831101</c:v>
                </c:pt>
                <c:pt idx="90">
                  <c:v>0.940705343739384</c:v>
                </c:pt>
                <c:pt idx="91">
                  <c:v>0.958312026497658</c:v>
                </c:pt>
                <c:pt idx="92">
                  <c:v>0.915794510635901</c:v>
                </c:pt>
                <c:pt idx="93">
                  <c:v>0.932576458058954</c:v>
                </c:pt>
                <c:pt idx="94">
                  <c:v>1.17857316256288</c:v>
                </c:pt>
                <c:pt idx="95">
                  <c:v>1.11528294127032</c:v>
                </c:pt>
                <c:pt idx="96">
                  <c:v>1.02324255782165</c:v>
                </c:pt>
                <c:pt idx="97">
                  <c:v>1.00209074142383</c:v>
                </c:pt>
                <c:pt idx="98">
                  <c:v>0.948256973322519</c:v>
                </c:pt>
                <c:pt idx="99">
                  <c:v>1.00751235636741</c:v>
                </c:pt>
                <c:pt idx="100">
                  <c:v>0.904247089029989</c:v>
                </c:pt>
                <c:pt idx="101">
                  <c:v>1.61028767454381</c:v>
                </c:pt>
                <c:pt idx="102">
                  <c:v>1.41428779507545</c:v>
                </c:pt>
                <c:pt idx="103">
                  <c:v>1.11528294127032</c:v>
                </c:pt>
                <c:pt idx="104">
                  <c:v>1.27905319727706</c:v>
                </c:pt>
                <c:pt idx="105">
                  <c:v>1.21993655477684</c:v>
                </c:pt>
                <c:pt idx="106">
                  <c:v>1.25169920478573</c:v>
                </c:pt>
                <c:pt idx="107">
                  <c:v>1.27618231806538</c:v>
                </c:pt>
                <c:pt idx="108">
                  <c:v>1.29608749427632</c:v>
                </c:pt>
                <c:pt idx="109">
                  <c:v>0.990411628996573</c:v>
                </c:pt>
                <c:pt idx="110">
                  <c:v>1.06146579888548</c:v>
                </c:pt>
                <c:pt idx="111">
                  <c:v>0.958651475059762</c:v>
                </c:pt>
                <c:pt idx="112">
                  <c:v>0.971106269375829</c:v>
                </c:pt>
                <c:pt idx="113">
                  <c:v>0.892308958945123</c:v>
                </c:pt>
                <c:pt idx="114">
                  <c:v>0.884554832404567</c:v>
                </c:pt>
                <c:pt idx="115">
                  <c:v>0.958651475059762</c:v>
                </c:pt>
                <c:pt idx="116">
                  <c:v>0.971106269375829</c:v>
                </c:pt>
                <c:pt idx="117">
                  <c:v>0.892308958945123</c:v>
                </c:pt>
                <c:pt idx="118">
                  <c:v>5.50236345034903</c:v>
                </c:pt>
                <c:pt idx="119">
                  <c:v>1.86636651610963</c:v>
                </c:pt>
                <c:pt idx="120">
                  <c:v>1.42516458866495</c:v>
                </c:pt>
                <c:pt idx="121">
                  <c:v>1.71705719482086</c:v>
                </c:pt>
                <c:pt idx="122">
                  <c:v>1.20923056007935</c:v>
                </c:pt>
                <c:pt idx="123">
                  <c:v>2.10548089121698</c:v>
                </c:pt>
                <c:pt idx="124">
                  <c:v>1.50866195331755</c:v>
                </c:pt>
                <c:pt idx="125">
                  <c:v>1.13939448923465</c:v>
                </c:pt>
                <c:pt idx="126">
                  <c:v>2.10548089121698</c:v>
                </c:pt>
                <c:pt idx="127">
                  <c:v>1.50866195331755</c:v>
                </c:pt>
                <c:pt idx="128">
                  <c:v>1.13939448923465</c:v>
                </c:pt>
                <c:pt idx="129">
                  <c:v>1.28098157104654</c:v>
                </c:pt>
                <c:pt idx="130">
                  <c:v>0.896994060812147</c:v>
                </c:pt>
                <c:pt idx="131">
                  <c:v>0.828147170412001</c:v>
                </c:pt>
                <c:pt idx="132">
                  <c:v>1.53717788525584</c:v>
                </c:pt>
                <c:pt idx="133">
                  <c:v>1.19599208108286</c:v>
                </c:pt>
                <c:pt idx="134">
                  <c:v>1.058188051082</c:v>
                </c:pt>
                <c:pt idx="135">
                  <c:v>0.990323297137648</c:v>
                </c:pt>
                <c:pt idx="136">
                  <c:v>0.910674408911312</c:v>
                </c:pt>
                <c:pt idx="137">
                  <c:v>0.838362340075396</c:v>
                </c:pt>
                <c:pt idx="138">
                  <c:v>0.801011760649879</c:v>
                </c:pt>
                <c:pt idx="139">
                  <c:v>0.760559254582684</c:v>
                </c:pt>
                <c:pt idx="140">
                  <c:v>0.73937241787912</c:v>
                </c:pt>
                <c:pt idx="141">
                  <c:v>0.708931913632524</c:v>
                </c:pt>
                <c:pt idx="142">
                  <c:v>1.24317517244877</c:v>
                </c:pt>
                <c:pt idx="143">
                  <c:v>1.05221850320875</c:v>
                </c:pt>
                <c:pt idx="144">
                  <c:v>0.949706219800021</c:v>
                </c:pt>
                <c:pt idx="145">
                  <c:v>0.851240949757879</c:v>
                </c:pt>
                <c:pt idx="146">
                  <c:v>0.801011760649879</c:v>
                </c:pt>
                <c:pt idx="147">
                  <c:v>0.763470020323565</c:v>
                </c:pt>
                <c:pt idx="148">
                  <c:v>0.747039822078096</c:v>
                </c:pt>
                <c:pt idx="149">
                  <c:v>0.762108131613512</c:v>
                </c:pt>
                <c:pt idx="150">
                  <c:v>0.808905620359528</c:v>
                </c:pt>
                <c:pt idx="151">
                  <c:v>0.753134719298674</c:v>
                </c:pt>
                <c:pt idx="152">
                  <c:v>0.751937249147625</c:v>
                </c:pt>
                <c:pt idx="153">
                  <c:v>0.724835786972435</c:v>
                </c:pt>
                <c:pt idx="154">
                  <c:v>0.752536957386148</c:v>
                </c:pt>
                <c:pt idx="155">
                  <c:v>0.709161294613704</c:v>
                </c:pt>
                <c:pt idx="156">
                  <c:v>1.00872984078474</c:v>
                </c:pt>
                <c:pt idx="157">
                  <c:v>0.94764633977168</c:v>
                </c:pt>
                <c:pt idx="158">
                  <c:v>0.906796340015845</c:v>
                </c:pt>
                <c:pt idx="159">
                  <c:v>0.849873373003003</c:v>
                </c:pt>
                <c:pt idx="160">
                  <c:v>0.777908679270647</c:v>
                </c:pt>
                <c:pt idx="161">
                  <c:v>0.752536957386148</c:v>
                </c:pt>
                <c:pt idx="162">
                  <c:v>0.732186833029802</c:v>
                </c:pt>
                <c:pt idx="163">
                  <c:v>0.717501100863694</c:v>
                </c:pt>
                <c:pt idx="164">
                  <c:v>0.784425727953431</c:v>
                </c:pt>
                <c:pt idx="165">
                  <c:v>0.803707630231127</c:v>
                </c:pt>
                <c:pt idx="166">
                  <c:v>0.830788198007318</c:v>
                </c:pt>
                <c:pt idx="167">
                  <c:v>0.844587121561437</c:v>
                </c:pt>
                <c:pt idx="168">
                  <c:v>0.882250610927396</c:v>
                </c:pt>
                <c:pt idx="169">
                  <c:v>0.921173605738244</c:v>
                </c:pt>
                <c:pt idx="170">
                  <c:v>1.00175760835806</c:v>
                </c:pt>
                <c:pt idx="171">
                  <c:v>0.773513058470269</c:v>
                </c:pt>
                <c:pt idx="172">
                  <c:v>0.786188205070727</c:v>
                </c:pt>
                <c:pt idx="173">
                  <c:v>0.80133495484001</c:v>
                </c:pt>
                <c:pt idx="174">
                  <c:v>0.848861837757769</c:v>
                </c:pt>
                <c:pt idx="175">
                  <c:v>0.816903959899702</c:v>
                </c:pt>
                <c:pt idx="176">
                  <c:v>0.787723759756604</c:v>
                </c:pt>
                <c:pt idx="177">
                  <c:v>0.797077003699945</c:v>
                </c:pt>
                <c:pt idx="178">
                  <c:v>0.81029409010843</c:v>
                </c:pt>
                <c:pt idx="179">
                  <c:v>0.648892085416495</c:v>
                </c:pt>
                <c:pt idx="180">
                  <c:v>0.633586167009224</c:v>
                </c:pt>
                <c:pt idx="181">
                  <c:v>0.636627245560215</c:v>
                </c:pt>
                <c:pt idx="182">
                  <c:v>0.599154222959318</c:v>
                </c:pt>
                <c:pt idx="183">
                  <c:v>0.598670057415019</c:v>
                </c:pt>
                <c:pt idx="184">
                  <c:v>0.595609612265562</c:v>
                </c:pt>
                <c:pt idx="185">
                  <c:v>0.610932613201727</c:v>
                </c:pt>
                <c:pt idx="186">
                  <c:v>0.723846300611707</c:v>
                </c:pt>
                <c:pt idx="187">
                  <c:v>0.735970714079224</c:v>
                </c:pt>
                <c:pt idx="188">
                  <c:v>0.713650535908111</c:v>
                </c:pt>
                <c:pt idx="189">
                  <c:v>0.633365513035244</c:v>
                </c:pt>
                <c:pt idx="190">
                  <c:v>0.62716193307006</c:v>
                </c:pt>
                <c:pt idx="191">
                  <c:v>0.653336270432648</c:v>
                </c:pt>
                <c:pt idx="192">
                  <c:v>1.77076287235316</c:v>
                </c:pt>
                <c:pt idx="193">
                  <c:v>1.46328440215282</c:v>
                </c:pt>
                <c:pt idx="194">
                  <c:v>1.31709262077375</c:v>
                </c:pt>
                <c:pt idx="195">
                  <c:v>1.22363972660924</c:v>
                </c:pt>
                <c:pt idx="196">
                  <c:v>1.0893636721562</c:v>
                </c:pt>
                <c:pt idx="197">
                  <c:v>1.12011381944071</c:v>
                </c:pt>
                <c:pt idx="198">
                  <c:v>1.09654050943982</c:v>
                </c:pt>
                <c:pt idx="199">
                  <c:v>0.980439588382429</c:v>
                </c:pt>
                <c:pt idx="200">
                  <c:v>1.27896780475912</c:v>
                </c:pt>
                <c:pt idx="201">
                  <c:v>1.32158182985316</c:v>
                </c:pt>
                <c:pt idx="202">
                  <c:v>1.34531248375176</c:v>
                </c:pt>
                <c:pt idx="203">
                  <c:v>0.922695167347744</c:v>
                </c:pt>
                <c:pt idx="204">
                  <c:v>0.76760847713764</c:v>
                </c:pt>
                <c:pt idx="205">
                  <c:v>0.73703104106822</c:v>
                </c:pt>
                <c:pt idx="206">
                  <c:v>0.645213732885174</c:v>
                </c:pt>
                <c:pt idx="207">
                  <c:v>0.611342437703493</c:v>
                </c:pt>
                <c:pt idx="208">
                  <c:v>0.619123050454459</c:v>
                </c:pt>
                <c:pt idx="209">
                  <c:v>0.841976521283011</c:v>
                </c:pt>
                <c:pt idx="210">
                  <c:v>0.803079412788529</c:v>
                </c:pt>
                <c:pt idx="211">
                  <c:v>0.746846452557637</c:v>
                </c:pt>
                <c:pt idx="212">
                  <c:v>0.764116040640227</c:v>
                </c:pt>
                <c:pt idx="213">
                  <c:v>0.723391365064513</c:v>
                </c:pt>
                <c:pt idx="214">
                  <c:v>0.568524028681952</c:v>
                </c:pt>
                <c:pt idx="215">
                  <c:v>1.19687125404098</c:v>
                </c:pt>
                <c:pt idx="216">
                  <c:v>1.07758885868993</c:v>
                </c:pt>
                <c:pt idx="217">
                  <c:v>1.05181821741076</c:v>
                </c:pt>
                <c:pt idx="218">
                  <c:v>1.00800060114253</c:v>
                </c:pt>
                <c:pt idx="219">
                  <c:v>0.973919743492775</c:v>
                </c:pt>
                <c:pt idx="220">
                  <c:v>1.0261051294745</c:v>
                </c:pt>
                <c:pt idx="221">
                  <c:v>1.00470082129004</c:v>
                </c:pt>
                <c:pt idx="222">
                  <c:v>1.11484645239103</c:v>
                </c:pt>
                <c:pt idx="223">
                  <c:v>0.507958383109447</c:v>
                </c:pt>
                <c:pt idx="224">
                  <c:v>0.511706041779113</c:v>
                </c:pt>
                <c:pt idx="225">
                  <c:v>0.547205312080398</c:v>
                </c:pt>
                <c:pt idx="226">
                  <c:v>0.844430067448609</c:v>
                </c:pt>
                <c:pt idx="227">
                  <c:v>0.806213372392394</c:v>
                </c:pt>
                <c:pt idx="228">
                  <c:v>0.821914597817636</c:v>
                </c:pt>
                <c:pt idx="229">
                  <c:v>0.834827037310054</c:v>
                </c:pt>
                <c:pt idx="230">
                  <c:v>0.912113508957359</c:v>
                </c:pt>
                <c:pt idx="231">
                  <c:v>0.91812812101139</c:v>
                </c:pt>
                <c:pt idx="232">
                  <c:v>0.907656536088764</c:v>
                </c:pt>
                <c:pt idx="233">
                  <c:v>1.05685339225455</c:v>
                </c:pt>
                <c:pt idx="234">
                  <c:v>0.829753878558271</c:v>
                </c:pt>
                <c:pt idx="235">
                  <c:v>0.886354435813561</c:v>
                </c:pt>
                <c:pt idx="236">
                  <c:v>0.787036809217191</c:v>
                </c:pt>
                <c:pt idx="237">
                  <c:v>0.77852650202221</c:v>
                </c:pt>
                <c:pt idx="238">
                  <c:v>0.707908281595919</c:v>
                </c:pt>
                <c:pt idx="239">
                  <c:v>0.654478743075997</c:v>
                </c:pt>
                <c:pt idx="240">
                  <c:v>0.659124069677044</c:v>
                </c:pt>
                <c:pt idx="241">
                  <c:v>2.65242286360222</c:v>
                </c:pt>
                <c:pt idx="242">
                  <c:v>2.09427969867109</c:v>
                </c:pt>
                <c:pt idx="243">
                  <c:v>2.06796817912195</c:v>
                </c:pt>
                <c:pt idx="244">
                  <c:v>1.88783344658173</c:v>
                </c:pt>
                <c:pt idx="245">
                  <c:v>1.63712200312885</c:v>
                </c:pt>
                <c:pt idx="246">
                  <c:v>1.54148496127395</c:v>
                </c:pt>
                <c:pt idx="247">
                  <c:v>1.49026460271608</c:v>
                </c:pt>
                <c:pt idx="248">
                  <c:v>0.621440480431283</c:v>
                </c:pt>
                <c:pt idx="249">
                  <c:v>0.984734119088</c:v>
                </c:pt>
                <c:pt idx="250">
                  <c:v>0.618627047362249</c:v>
                </c:pt>
                <c:pt idx="251">
                  <c:v>0.703381513634286</c:v>
                </c:pt>
                <c:pt idx="252">
                  <c:v>0.618627047362249</c:v>
                </c:pt>
                <c:pt idx="253">
                  <c:v>0.703381513634286</c:v>
                </c:pt>
                <c:pt idx="254">
                  <c:v>0.615838973863937</c:v>
                </c:pt>
                <c:pt idx="255">
                  <c:v>0.844057816361143</c:v>
                </c:pt>
                <c:pt idx="256">
                  <c:v>0.59937547034877</c:v>
                </c:pt>
                <c:pt idx="257">
                  <c:v>0.597664124480338</c:v>
                </c:pt>
                <c:pt idx="258">
                  <c:v>0.593962238743972</c:v>
                </c:pt>
                <c:pt idx="259">
                  <c:v>0.597664124480338</c:v>
                </c:pt>
                <c:pt idx="260">
                  <c:v>0.722182354051508</c:v>
                </c:pt>
                <c:pt idx="261">
                  <c:v>0.773614522699442</c:v>
                </c:pt>
                <c:pt idx="262">
                  <c:v>0.850657921196477</c:v>
                </c:pt>
                <c:pt idx="263">
                  <c:v>0.717136420928518</c:v>
                </c:pt>
                <c:pt idx="264">
                  <c:v>0.770131681347918</c:v>
                </c:pt>
                <c:pt idx="265">
                  <c:v>1.05200553830662</c:v>
                </c:pt>
                <c:pt idx="266">
                  <c:v>0.895792684511713</c:v>
                </c:pt>
                <c:pt idx="267">
                  <c:v>0.983666343525113</c:v>
                </c:pt>
                <c:pt idx="268">
                  <c:v>0.901051292439425</c:v>
                </c:pt>
                <c:pt idx="269">
                  <c:v>1.05969302341357</c:v>
                </c:pt>
                <c:pt idx="270">
                  <c:v>1.13021323449399</c:v>
                </c:pt>
                <c:pt idx="271">
                  <c:v>0.927525964917576</c:v>
                </c:pt>
                <c:pt idx="272">
                  <c:v>0.643212565473971</c:v>
                </c:pt>
                <c:pt idx="273">
                  <c:v>0.646566532978659</c:v>
                </c:pt>
                <c:pt idx="274">
                  <c:v>0.546730680652876</c:v>
                </c:pt>
                <c:pt idx="275">
                  <c:v>0.617177145115993</c:v>
                </c:pt>
                <c:pt idx="276">
                  <c:v>0.99859159881664</c:v>
                </c:pt>
                <c:pt idx="277">
                  <c:v>0.851844328728573</c:v>
                </c:pt>
                <c:pt idx="278">
                  <c:v>0.795715863053641</c:v>
                </c:pt>
                <c:pt idx="279">
                  <c:v>0.683965408173558</c:v>
                </c:pt>
                <c:pt idx="280">
                  <c:v>0.754317165408533</c:v>
                </c:pt>
                <c:pt idx="281">
                  <c:v>0.758737395444965</c:v>
                </c:pt>
                <c:pt idx="282">
                  <c:v>0.716144276748277</c:v>
                </c:pt>
                <c:pt idx="283">
                  <c:v>0.654362073138474</c:v>
                </c:pt>
                <c:pt idx="284">
                  <c:v>0.633626418943168</c:v>
                </c:pt>
                <c:pt idx="285">
                  <c:v>0.730636010428485</c:v>
                </c:pt>
                <c:pt idx="286">
                  <c:v>1.13978021659541</c:v>
                </c:pt>
                <c:pt idx="287">
                  <c:v>1.19917762955517</c:v>
                </c:pt>
                <c:pt idx="288">
                  <c:v>1.20546519802954</c:v>
                </c:pt>
                <c:pt idx="289">
                  <c:v>0.710667003839222</c:v>
                </c:pt>
                <c:pt idx="290">
                  <c:v>0.723465588782911</c:v>
                </c:pt>
                <c:pt idx="291">
                  <c:v>0.796806208787776</c:v>
                </c:pt>
                <c:pt idx="292">
                  <c:v>1.4497662402063</c:v>
                </c:pt>
                <c:pt idx="293">
                  <c:v>0.86248854017119</c:v>
                </c:pt>
                <c:pt idx="294">
                  <c:v>0.905559952132684</c:v>
                </c:pt>
                <c:pt idx="295">
                  <c:v>0.886670362045574</c:v>
                </c:pt>
                <c:pt idx="296">
                  <c:v>1.01922236887336</c:v>
                </c:pt>
                <c:pt idx="297">
                  <c:v>0.718890716894537</c:v>
                </c:pt>
                <c:pt idx="298">
                  <c:v>0.785427476990129</c:v>
                </c:pt>
                <c:pt idx="299">
                  <c:v>0.916764193387214</c:v>
                </c:pt>
                <c:pt idx="300">
                  <c:v>0.903508300457389</c:v>
                </c:pt>
                <c:pt idx="301">
                  <c:v>0.927437144443741</c:v>
                </c:pt>
                <c:pt idx="302">
                  <c:v>0.97925764578938</c:v>
                </c:pt>
                <c:pt idx="303">
                  <c:v>1.20946025021773</c:v>
                </c:pt>
                <c:pt idx="304">
                  <c:v>1.24369545191024</c:v>
                </c:pt>
                <c:pt idx="305">
                  <c:v>1.25495311606277</c:v>
                </c:pt>
                <c:pt idx="306">
                  <c:v>1.36223286875675</c:v>
                </c:pt>
                <c:pt idx="307">
                  <c:v>1.21653607900161</c:v>
                </c:pt>
                <c:pt idx="308">
                  <c:v>1.19988814044387</c:v>
                </c:pt>
                <c:pt idx="309">
                  <c:v>1.07406756728461</c:v>
                </c:pt>
                <c:pt idx="310">
                  <c:v>1.02976413687924</c:v>
                </c:pt>
                <c:pt idx="311">
                  <c:v>1.09007297780731</c:v>
                </c:pt>
                <c:pt idx="312">
                  <c:v>1.10522916677378</c:v>
                </c:pt>
                <c:pt idx="313">
                  <c:v>0.86852600027686</c:v>
                </c:pt>
                <c:pt idx="314">
                  <c:v>0.947706677015828</c:v>
                </c:pt>
                <c:pt idx="315">
                  <c:v>0.82381130950339</c:v>
                </c:pt>
                <c:pt idx="316">
                  <c:v>0.959264220470437</c:v>
                </c:pt>
                <c:pt idx="317">
                  <c:v>0.990895115038557</c:v>
                </c:pt>
                <c:pt idx="318">
                  <c:v>0.853624903695294</c:v>
                </c:pt>
                <c:pt idx="319">
                  <c:v>0.852869249220973</c:v>
                </c:pt>
                <c:pt idx="320">
                  <c:v>0.899549436564848</c:v>
                </c:pt>
                <c:pt idx="321">
                  <c:v>0.825309093909979</c:v>
                </c:pt>
                <c:pt idx="322">
                  <c:v>0.843610489762094</c:v>
                </c:pt>
                <c:pt idx="323">
                  <c:v>0.814208068434301</c:v>
                </c:pt>
                <c:pt idx="324">
                  <c:v>0.829466802699188</c:v>
                </c:pt>
                <c:pt idx="325">
                  <c:v>0.912800433035158</c:v>
                </c:pt>
                <c:pt idx="326">
                  <c:v>0.970290911473862</c:v>
                </c:pt>
                <c:pt idx="327">
                  <c:v>0.915598419989133</c:v>
                </c:pt>
                <c:pt idx="328">
                  <c:v>0.904022384135649</c:v>
                </c:pt>
                <c:pt idx="329">
                  <c:v>0.992577742497365</c:v>
                </c:pt>
                <c:pt idx="330">
                  <c:v>1.12408473138844</c:v>
                </c:pt>
                <c:pt idx="331">
                  <c:v>1.21401494281963</c:v>
                </c:pt>
                <c:pt idx="332">
                  <c:v>1.19686177802043</c:v>
                </c:pt>
                <c:pt idx="333">
                  <c:v>1.27819728101062</c:v>
                </c:pt>
                <c:pt idx="334">
                  <c:v>1.3444008772807</c:v>
                </c:pt>
                <c:pt idx="335">
                  <c:v>0.870444929469402</c:v>
                </c:pt>
                <c:pt idx="336">
                  <c:v>0.899472160711178</c:v>
                </c:pt>
                <c:pt idx="337">
                  <c:v>0.92427560313048</c:v>
                </c:pt>
                <c:pt idx="338">
                  <c:v>1.16013857523345</c:v>
                </c:pt>
                <c:pt idx="339">
                  <c:v>1.74734167840049</c:v>
                </c:pt>
                <c:pt idx="340">
                  <c:v>1.73154074152498</c:v>
                </c:pt>
              </c:numCache>
            </c:numRef>
          </c:yVal>
          <c:smooth val="0"/>
        </c:ser>
        <c:axId val="13838743"/>
        <c:axId val="33329424"/>
      </c:scatterChart>
      <c:valAx>
        <c:axId val="13838743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lang="pt-BR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pt-BR" sz="1000" spc="-1" strike="noStrike">
                    <a:solidFill>
                      <a:srgbClr val="595959"/>
                    </a:solidFill>
                    <a:latin typeface="Aptos Narrow"/>
                  </a:rPr>
                  <a:t>Tensão sem TS MC2020</a:t>
                </a:r>
              </a:p>
            </c:rich>
          </c:tx>
          <c:layout>
            <c:manualLayout>
              <c:xMode val="edge"/>
              <c:yMode val="edge"/>
              <c:x val="0.39742923915866"/>
              <c:y val="0.873949579831933"/>
            </c:manualLayout>
          </c:layout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3329424"/>
        <c:crosses val="autoZero"/>
        <c:crossBetween val="midCat"/>
        <c:majorUnit val="100"/>
        <c:minorUnit val="50"/>
      </c:valAx>
      <c:valAx>
        <c:axId val="333294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pt-BR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pt-BR" sz="1000" spc="-1" strike="noStrike">
                    <a:solidFill>
                      <a:srgbClr val="595959"/>
                    </a:solidFill>
                    <a:latin typeface="Aptos Narrow"/>
                  </a:rPr>
                  <a:t>Erro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E+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3838743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32</xdr:col>
      <xdr:colOff>138600</xdr:colOff>
      <xdr:row>9</xdr:row>
      <xdr:rowOff>104760</xdr:rowOff>
    </xdr:from>
    <xdr:to>
      <xdr:col>40</xdr:col>
      <xdr:colOff>158400</xdr:colOff>
      <xdr:row>24</xdr:row>
      <xdr:rowOff>54720</xdr:rowOff>
    </xdr:to>
    <xdr:graphicFrame>
      <xdr:nvGraphicFramePr>
        <xdr:cNvPr id="0" name="Gráfico 1"/>
        <xdr:cNvGraphicFramePr/>
      </xdr:nvGraphicFramePr>
      <xdr:xfrm>
        <a:off x="55596240" y="2333520"/>
        <a:ext cx="5545080" cy="269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44</xdr:col>
      <xdr:colOff>0</xdr:colOff>
      <xdr:row>10</xdr:row>
      <xdr:rowOff>1080</xdr:rowOff>
    </xdr:from>
    <xdr:to>
      <xdr:col>53</xdr:col>
      <xdr:colOff>234720</xdr:colOff>
      <xdr:row>24</xdr:row>
      <xdr:rowOff>165960</xdr:rowOff>
    </xdr:to>
    <xdr:graphicFrame>
      <xdr:nvGraphicFramePr>
        <xdr:cNvPr id="1" name="Gráfico 2"/>
        <xdr:cNvGraphicFramePr/>
      </xdr:nvGraphicFramePr>
      <xdr:xfrm>
        <a:off x="70234920" y="2438280"/>
        <a:ext cx="642384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32</xdr:col>
      <xdr:colOff>0</xdr:colOff>
      <xdr:row>29</xdr:row>
      <xdr:rowOff>1440</xdr:rowOff>
    </xdr:from>
    <xdr:to>
      <xdr:col>40</xdr:col>
      <xdr:colOff>19800</xdr:colOff>
      <xdr:row>43</xdr:row>
      <xdr:rowOff>166320</xdr:rowOff>
    </xdr:to>
    <xdr:graphicFrame>
      <xdr:nvGraphicFramePr>
        <xdr:cNvPr id="2" name="Gráfico 3"/>
        <xdr:cNvGraphicFramePr/>
      </xdr:nvGraphicFramePr>
      <xdr:xfrm>
        <a:off x="55457640" y="5877000"/>
        <a:ext cx="5545080" cy="269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5"/>
  <sheetViews>
    <sheetView showFormulas="false" showGridLines="true" showRowColHeaders="true" showZeros="true" rightToLeft="false" tabSelected="false" showOutlineSymbols="true" defaultGridColor="true" view="normal" topLeftCell="A27" colorId="64" zoomScale="120" zoomScaleNormal="120" zoomScalePageLayoutView="100" workbookViewId="0">
      <selection pane="topLeft" activeCell="B43" activeCellId="0" sqref="B4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32.89"/>
    <col collapsed="false" customWidth="true" hidden="false" outlineLevel="0" max="2" min="2" style="2" width="24.78"/>
    <col collapsed="false" customWidth="true" hidden="false" outlineLevel="0" max="3" min="3" style="3" width="24.78"/>
    <col collapsed="false" customWidth="true" hidden="false" outlineLevel="0" max="4" min="4" style="3" width="29.66"/>
    <col collapsed="false" customWidth="true" hidden="false" outlineLevel="0" max="5" min="5" style="2" width="29.33"/>
    <col collapsed="false" customWidth="true" hidden="false" outlineLevel="0" max="6" min="6" style="4" width="36.78"/>
    <col collapsed="false" customWidth="true" hidden="false" outlineLevel="0" max="7" min="7" style="2" width="16.45"/>
    <col collapsed="false" customWidth="true" hidden="false" outlineLevel="0" max="8" min="8" style="2" width="44.55"/>
    <col collapsed="false" customWidth="true" hidden="false" outlineLevel="0" max="9" min="9" style="5" width="16.33"/>
    <col collapsed="false" customWidth="true" hidden="false" outlineLevel="0" max="10" min="10" style="4" width="42.89"/>
    <col collapsed="false" customWidth="true" hidden="false" outlineLevel="0" max="11" min="11" style="4" width="9.66"/>
    <col collapsed="false" customWidth="true" hidden="false" outlineLevel="0" max="12" min="12" style="6" width="50.78"/>
    <col collapsed="false" customWidth="true" hidden="false" outlineLevel="0" max="17" min="16" style="1" width="8.89"/>
    <col collapsed="false" customWidth="true" hidden="false" outlineLevel="0" max="22" min="22" style="0" width="13.89"/>
  </cols>
  <sheetData>
    <row r="1" customFormat="false" ht="14.25" hidden="false" customHeight="false" outlineLevel="0" collapsed="false">
      <c r="P1" s="7" t="s">
        <v>0</v>
      </c>
      <c r="S1" s="8" t="s">
        <v>1</v>
      </c>
    </row>
    <row r="2" customFormat="false" ht="14.25" hidden="false" customHeight="false" outlineLevel="0" collapsed="false">
      <c r="P2" s="1" t="s">
        <v>2</v>
      </c>
      <c r="Q2" s="1" t="n">
        <v>1.728</v>
      </c>
      <c r="S2" s="1" t="s">
        <v>2</v>
      </c>
      <c r="T2" s="1" t="n">
        <v>0.392</v>
      </c>
      <c r="V2" s="1"/>
      <c r="W2" s="4"/>
    </row>
    <row r="3" customFormat="false" ht="14.25" hidden="false" customHeight="false" outlineLevel="0" collapsed="false">
      <c r="P3" s="1" t="s">
        <v>3</v>
      </c>
      <c r="Q3" s="1" t="n">
        <v>0.011</v>
      </c>
      <c r="S3" s="1" t="s">
        <v>3</v>
      </c>
      <c r="T3" s="1" t="n">
        <v>1.148</v>
      </c>
      <c r="V3" s="1"/>
      <c r="W3" s="4"/>
    </row>
    <row r="4" customFormat="false" ht="14.25" hidden="false" customHeight="false" outlineLevel="0" collapsed="false">
      <c r="P4" s="1" t="s">
        <v>4</v>
      </c>
      <c r="Q4" s="1" t="n">
        <v>0.339</v>
      </c>
      <c r="S4" s="1" t="s">
        <v>4</v>
      </c>
      <c r="T4" s="1" t="n">
        <v>0.854</v>
      </c>
      <c r="V4" s="1"/>
      <c r="W4" s="4"/>
    </row>
    <row r="5" customFormat="false" ht="14.25" hidden="false" customHeight="false" outlineLevel="0" collapsed="false">
      <c r="P5" s="1" t="s">
        <v>5</v>
      </c>
      <c r="Q5" s="1" t="n">
        <v>1.102</v>
      </c>
      <c r="S5" s="1" t="s">
        <v>5</v>
      </c>
      <c r="T5" s="1" t="n">
        <v>0.555</v>
      </c>
      <c r="V5" s="1"/>
      <c r="W5" s="4"/>
    </row>
    <row r="6" customFormat="false" ht="14.25" hidden="false" customHeight="false" outlineLevel="0" collapsed="false">
      <c r="P6" s="1" t="s">
        <v>6</v>
      </c>
      <c r="Q6" s="1" t="n">
        <v>-0.495</v>
      </c>
      <c r="S6" s="1" t="s">
        <v>6</v>
      </c>
      <c r="T6" s="1" t="n">
        <v>-0.686</v>
      </c>
      <c r="V6" s="1"/>
      <c r="W6" s="4"/>
    </row>
    <row r="7" customFormat="false" ht="14.25" hidden="false" customHeight="false" outlineLevel="0" collapsed="false">
      <c r="P7" s="1" t="s">
        <v>7</v>
      </c>
      <c r="Q7" s="1" t="n">
        <v>0.838</v>
      </c>
      <c r="S7" s="1" t="s">
        <v>7</v>
      </c>
      <c r="T7" s="1" t="n">
        <v>1.952</v>
      </c>
      <c r="V7" s="1"/>
      <c r="W7" s="4"/>
    </row>
    <row r="8" customFormat="false" ht="14.25" hidden="false" customHeight="false" outlineLevel="0" collapsed="false">
      <c r="S8" s="1"/>
      <c r="T8" s="1"/>
      <c r="V8" s="1"/>
      <c r="W8" s="4"/>
    </row>
    <row r="9" customFormat="false" ht="14.25" hidden="false" customHeight="false" outlineLevel="0" collapsed="false">
      <c r="A9" s="1" t="s">
        <v>8</v>
      </c>
      <c r="B9" s="9" t="s">
        <v>9</v>
      </c>
      <c r="C9" s="9"/>
      <c r="D9" s="9"/>
      <c r="E9" s="9"/>
      <c r="F9" s="9"/>
      <c r="G9" s="9"/>
      <c r="H9" s="9"/>
      <c r="I9" s="9"/>
      <c r="J9" s="9"/>
      <c r="K9" s="4" t="s">
        <v>10</v>
      </c>
    </row>
    <row r="10" customFormat="false" ht="16.4" hidden="false" customHeight="false" outlineLevel="0" collapsed="false">
      <c r="B10" s="2" t="s">
        <v>11</v>
      </c>
      <c r="C10" s="3" t="s">
        <v>12</v>
      </c>
      <c r="D10" s="3" t="s">
        <v>13</v>
      </c>
      <c r="E10" s="2" t="s">
        <v>14</v>
      </c>
      <c r="F10" s="4" t="s">
        <v>15</v>
      </c>
      <c r="G10" s="2" t="s">
        <v>16</v>
      </c>
      <c r="H10" s="2" t="s">
        <v>17</v>
      </c>
      <c r="I10" s="5" t="s">
        <v>18</v>
      </c>
      <c r="J10" s="4" t="s">
        <v>19</v>
      </c>
      <c r="K10" s="4" t="s">
        <v>20</v>
      </c>
      <c r="L10" s="4" t="s">
        <v>21</v>
      </c>
    </row>
    <row r="11" customFormat="false" ht="14.25" hidden="false" customHeight="false" outlineLevel="0" collapsed="false">
      <c r="A11" s="1" t="s">
        <v>22</v>
      </c>
      <c r="B11" s="2" t="n">
        <v>20</v>
      </c>
      <c r="C11" s="3" t="n">
        <v>500</v>
      </c>
      <c r="D11" s="3" t="n">
        <v>2</v>
      </c>
      <c r="E11" s="2" t="n">
        <v>126</v>
      </c>
      <c r="F11" s="4" t="n">
        <v>4.12034052390144</v>
      </c>
      <c r="G11" s="2" t="n">
        <v>25</v>
      </c>
      <c r="H11" s="2" t="n">
        <v>39</v>
      </c>
      <c r="I11" s="5" t="n">
        <v>0.0607235456892252</v>
      </c>
      <c r="J11" s="4" t="n">
        <v>185.314362471347</v>
      </c>
      <c r="K11" s="4" t="n">
        <v>0.16</v>
      </c>
      <c r="L11" s="6" t="n">
        <f aca="false">J11/200000</f>
        <v>0.000926571812356735</v>
      </c>
      <c r="P11" s="4" t="n">
        <f aca="false">$Q$2*($Q$3*$G11+$Q$4*$B11^$Q$5*$I11^$Q$6)*$L11^$Q$7</f>
        <v>0.184158733112587</v>
      </c>
      <c r="Q11" s="4" t="n">
        <f aca="false">P11/$K11</f>
        <v>1.15099208195367</v>
      </c>
      <c r="S11" s="4" t="n">
        <f aca="false">$T$2*$B11^$T$3*$L11^$T$4*($T$5*$I11^$T$6+$T$7)</f>
        <v>0.180229210313065</v>
      </c>
      <c r="T11" s="4" t="n">
        <f aca="false">S11/$K11</f>
        <v>1.12643256445665</v>
      </c>
      <c r="V11" s="4"/>
      <c r="W11" s="4"/>
    </row>
    <row r="12" customFormat="false" ht="14.25" hidden="false" customHeight="false" outlineLevel="0" collapsed="false">
      <c r="B12" s="2" t="n">
        <v>20</v>
      </c>
      <c r="C12" s="3" t="n">
        <v>500</v>
      </c>
      <c r="D12" s="3" t="n">
        <v>2</v>
      </c>
      <c r="E12" s="2" t="n">
        <v>126</v>
      </c>
      <c r="F12" s="4" t="n">
        <v>4.12034052390144</v>
      </c>
      <c r="G12" s="2" t="n">
        <v>25</v>
      </c>
      <c r="H12" s="2" t="n">
        <v>39</v>
      </c>
      <c r="I12" s="5" t="n">
        <v>0.0607235456892252</v>
      </c>
      <c r="J12" s="4" t="n">
        <v>270.657364910614</v>
      </c>
      <c r="K12" s="4" t="n">
        <v>0.23</v>
      </c>
      <c r="L12" s="6" t="n">
        <f aca="false">J12/200000</f>
        <v>0.00135328682455307</v>
      </c>
      <c r="P12" s="4" t="n">
        <f aca="false">$Q$2*($Q$3*$G12+$Q$4*$B12^$Q$5*$I12^$Q$6)*$L12^$Q$7</f>
        <v>0.252960285874699</v>
      </c>
      <c r="Q12" s="4" t="n">
        <f aca="false">P12/$K12</f>
        <v>1.09982732989</v>
      </c>
      <c r="S12" s="4" t="n">
        <f aca="false">$T$2*$B12^$T$3*$L12^$T$4*($T$5*$I12^$T$6+$T$7)</f>
        <v>0.249067680824817</v>
      </c>
      <c r="T12" s="4" t="n">
        <f aca="false">S12/$K12</f>
        <v>1.0829029601079</v>
      </c>
      <c r="V12" s="4"/>
      <c r="W12" s="4"/>
    </row>
    <row r="13" customFormat="false" ht="14.25" hidden="false" customHeight="false" outlineLevel="0" collapsed="false">
      <c r="B13" s="2" t="n">
        <v>20</v>
      </c>
      <c r="C13" s="3" t="n">
        <v>500</v>
      </c>
      <c r="D13" s="3" t="n">
        <v>2</v>
      </c>
      <c r="E13" s="2" t="n">
        <v>126</v>
      </c>
      <c r="F13" s="4" t="n">
        <v>4.12034052390144</v>
      </c>
      <c r="G13" s="2" t="n">
        <v>25</v>
      </c>
      <c r="H13" s="2" t="n">
        <v>39</v>
      </c>
      <c r="I13" s="5" t="n">
        <v>0.0607235456892252</v>
      </c>
      <c r="J13" s="4" t="n">
        <v>284.102900853544</v>
      </c>
      <c r="K13" s="4" t="n">
        <v>0.24</v>
      </c>
      <c r="L13" s="6" t="n">
        <f aca="false">J13/200000</f>
        <v>0.00142051450426772</v>
      </c>
      <c r="P13" s="4" t="n">
        <f aca="false">$Q$2*($Q$3*$G13+$Q$4*$B13^$Q$5*$I13^$Q$6)*$L13^$Q$7</f>
        <v>0.263449342857023</v>
      </c>
      <c r="Q13" s="4" t="n">
        <f aca="false">P13/$K13</f>
        <v>1.09770559523759</v>
      </c>
      <c r="S13" s="4" t="n">
        <f aca="false">$T$2*$B13^$T$3*$L13^$T$4*($T$5*$I13^$T$6+$T$7)</f>
        <v>0.259596627552112</v>
      </c>
      <c r="T13" s="4" t="n">
        <f aca="false">S13/$K13</f>
        <v>1.08165261480047</v>
      </c>
      <c r="V13" s="4"/>
      <c r="W13" s="4"/>
    </row>
    <row r="14" customFormat="false" ht="14.25" hidden="false" customHeight="false" outlineLevel="0" collapsed="false">
      <c r="B14" s="2" t="n">
        <v>20</v>
      </c>
      <c r="C14" s="3" t="n">
        <v>500</v>
      </c>
      <c r="D14" s="3" t="n">
        <v>2</v>
      </c>
      <c r="E14" s="2" t="n">
        <v>126</v>
      </c>
      <c r="F14" s="4" t="n">
        <v>4.12034052390144</v>
      </c>
      <c r="G14" s="2" t="n">
        <v>25</v>
      </c>
      <c r="H14" s="2" t="n">
        <v>39</v>
      </c>
      <c r="I14" s="5" t="n">
        <v>0.0607235456892252</v>
      </c>
      <c r="J14" s="4" t="n">
        <v>347.370061186755</v>
      </c>
      <c r="K14" s="4" t="n">
        <v>0.27</v>
      </c>
      <c r="L14" s="6" t="n">
        <f aca="false">J14/200000</f>
        <v>0.00173685030593378</v>
      </c>
      <c r="P14" s="4" t="n">
        <f aca="false">$Q$2*($Q$3*$G14+$Q$4*$B14^$Q$5*$I14^$Q$6)*$L14^$Q$7</f>
        <v>0.311794556303122</v>
      </c>
      <c r="Q14" s="4" t="n">
        <f aca="false">P14/$K14</f>
        <v>1.15479465297453</v>
      </c>
      <c r="S14" s="4" t="n">
        <f aca="false">$T$2*$B14^$T$3*$L14^$T$4*($T$5*$I14^$T$6+$T$7)</f>
        <v>0.30822475959762</v>
      </c>
      <c r="T14" s="4" t="n">
        <f aca="false">S14/$K14</f>
        <v>1.14157318369489</v>
      </c>
      <c r="V14" s="4"/>
      <c r="W14" s="4"/>
    </row>
    <row r="15" customFormat="false" ht="14.25" hidden="false" customHeight="false" outlineLevel="0" collapsed="false">
      <c r="B15" s="2" t="n">
        <v>20</v>
      </c>
      <c r="C15" s="3" t="n">
        <v>500</v>
      </c>
      <c r="D15" s="3" t="n">
        <v>2</v>
      </c>
      <c r="E15" s="2" t="n">
        <v>126</v>
      </c>
      <c r="F15" s="4" t="n">
        <v>4.12034052390144</v>
      </c>
      <c r="G15" s="2" t="n">
        <v>25</v>
      </c>
      <c r="H15" s="2" t="n">
        <v>39</v>
      </c>
      <c r="I15" s="5" t="n">
        <v>0.0607235456892252</v>
      </c>
      <c r="J15" s="4" t="n">
        <v>454.409433279258</v>
      </c>
      <c r="K15" s="4" t="n">
        <v>0.35</v>
      </c>
      <c r="L15" s="6" t="n">
        <f aca="false">J15/200000</f>
        <v>0.00227204716639629</v>
      </c>
      <c r="P15" s="4" t="n">
        <f aca="false">$Q$2*($Q$3*$G15+$Q$4*$B15^$Q$5*$I15^$Q$6)*$L15^$Q$7</f>
        <v>0.390503903416848</v>
      </c>
      <c r="Q15" s="4" t="n">
        <f aca="false">P15/$K15</f>
        <v>1.11572543833385</v>
      </c>
      <c r="S15" s="4" t="n">
        <f aca="false">$T$2*$B15^$T$3*$L15^$T$4*($T$5*$I15^$T$6+$T$7)</f>
        <v>0.387695582597804</v>
      </c>
      <c r="T15" s="4" t="n">
        <f aca="false">S15/$K15</f>
        <v>1.10770166456516</v>
      </c>
      <c r="V15" s="4"/>
      <c r="W15" s="4"/>
    </row>
    <row r="16" customFormat="false" ht="14.25" hidden="false" customHeight="false" outlineLevel="0" collapsed="false">
      <c r="B16" s="2" t="n">
        <v>20</v>
      </c>
      <c r="C16" s="3" t="n">
        <v>500</v>
      </c>
      <c r="D16" s="3" t="n">
        <v>2</v>
      </c>
      <c r="E16" s="2" t="n">
        <v>126</v>
      </c>
      <c r="F16" s="4" t="n">
        <v>4.12034052390144</v>
      </c>
      <c r="G16" s="2" t="n">
        <v>25</v>
      </c>
      <c r="H16" s="2" t="n">
        <v>39</v>
      </c>
      <c r="I16" s="5" t="n">
        <v>0.0607235456892252</v>
      </c>
      <c r="J16" s="4" t="n">
        <v>500</v>
      </c>
      <c r="K16" s="4" t="n">
        <v>0.4</v>
      </c>
      <c r="L16" s="6" t="n">
        <f aca="false">J16/200000</f>
        <v>0.0025</v>
      </c>
      <c r="P16" s="4" t="n">
        <f aca="false">$Q$2*($Q$3*$G16+$Q$4*$B16^$Q$5*$I16^$Q$6)*$L16^$Q$7</f>
        <v>0.423078906646986</v>
      </c>
      <c r="Q16" s="4" t="n">
        <f aca="false">P16/$K16</f>
        <v>1.05769726661746</v>
      </c>
      <c r="S16" s="4" t="n">
        <f aca="false">$T$2*$B16^$T$3*$L16^$T$4*($T$5*$I16^$T$6+$T$7)</f>
        <v>0.420679364624747</v>
      </c>
      <c r="T16" s="4" t="n">
        <f aca="false">S16/$K16</f>
        <v>1.05169841156187</v>
      </c>
      <c r="V16" s="4"/>
      <c r="W16" s="4"/>
    </row>
    <row r="17" customFormat="false" ht="14.25" hidden="false" customHeight="false" outlineLevel="0" collapsed="false">
      <c r="A17" s="1" t="s">
        <v>23</v>
      </c>
      <c r="B17" s="2" t="n">
        <v>10</v>
      </c>
      <c r="C17" s="3" t="n">
        <v>500</v>
      </c>
      <c r="D17" s="3" t="n">
        <v>8</v>
      </c>
      <c r="E17" s="2" t="n">
        <v>87.7</v>
      </c>
      <c r="F17" s="4" t="n">
        <v>4.13112676332901</v>
      </c>
      <c r="G17" s="2" t="n">
        <v>25</v>
      </c>
      <c r="H17" s="2" t="n">
        <v>53</v>
      </c>
      <c r="I17" s="5" t="n">
        <v>0.015388385199706</v>
      </c>
      <c r="J17" s="4" t="n">
        <v>230.461149794345</v>
      </c>
      <c r="K17" s="4" t="n">
        <v>0.16</v>
      </c>
      <c r="L17" s="6" t="n">
        <f aca="false">J17/200000</f>
        <v>0.00115230574897173</v>
      </c>
      <c r="P17" s="4" t="n">
        <f aca="false">$Q$2*($Q$3*$G17+$Q$4*$B17^$Q$5*$I17^$Q$6)*$L17^$Q$7</f>
        <v>0.203324998678365</v>
      </c>
      <c r="Q17" s="4" t="n">
        <f aca="false">P17/$K17</f>
        <v>1.27078124173978</v>
      </c>
      <c r="S17" s="4" t="n">
        <f aca="false">$T$2*$B17^$T$3*$L17^$T$4*($T$5*$I17^$T$6+$T$7)</f>
        <v>0.199153057191498</v>
      </c>
      <c r="T17" s="4" t="n">
        <f aca="false">S17/$K17</f>
        <v>1.24470660744687</v>
      </c>
      <c r="V17" s="4"/>
      <c r="W17" s="4"/>
    </row>
    <row r="18" customFormat="false" ht="14.25" hidden="false" customHeight="false" outlineLevel="0" collapsed="false">
      <c r="B18" s="2" t="n">
        <v>10</v>
      </c>
      <c r="C18" s="3" t="n">
        <v>500</v>
      </c>
      <c r="D18" s="3" t="n">
        <v>8</v>
      </c>
      <c r="E18" s="2" t="n">
        <v>87.7</v>
      </c>
      <c r="F18" s="4" t="n">
        <v>4.13112676332901</v>
      </c>
      <c r="G18" s="2" t="n">
        <v>25</v>
      </c>
      <c r="H18" s="2" t="n">
        <v>53</v>
      </c>
      <c r="I18" s="5" t="n">
        <v>0.015388385199706</v>
      </c>
      <c r="J18" s="4" t="n">
        <v>305.353683750309</v>
      </c>
      <c r="K18" s="4" t="n">
        <v>0.18</v>
      </c>
      <c r="L18" s="6" t="n">
        <f aca="false">J18/200000</f>
        <v>0.00152676841875155</v>
      </c>
      <c r="P18" s="4" t="n">
        <f aca="false">$Q$2*($Q$3*$G18+$Q$4*$B18^$Q$5*$I18^$Q$6)*$L18^$Q$7</f>
        <v>0.257394306580557</v>
      </c>
      <c r="Q18" s="4" t="n">
        <f aca="false">P18/$K18</f>
        <v>1.42996836989199</v>
      </c>
      <c r="S18" s="4" t="n">
        <f aca="false">$T$2*$B18^$T$3*$L18^$T$4*($T$5*$I18^$T$6+$T$7)</f>
        <v>0.253250564939557</v>
      </c>
      <c r="T18" s="4" t="n">
        <f aca="false">S18/$K18</f>
        <v>1.40694758299754</v>
      </c>
      <c r="V18" s="4"/>
      <c r="W18" s="4"/>
    </row>
    <row r="19" customFormat="false" ht="14.25" hidden="false" customHeight="false" outlineLevel="0" collapsed="false">
      <c r="B19" s="2" t="n">
        <v>10</v>
      </c>
      <c r="C19" s="3" t="n">
        <v>500</v>
      </c>
      <c r="D19" s="3" t="n">
        <v>8</v>
      </c>
      <c r="E19" s="2" t="n">
        <v>87.7</v>
      </c>
      <c r="F19" s="4" t="n">
        <v>4.13112676332901</v>
      </c>
      <c r="G19" s="2" t="n">
        <v>25</v>
      </c>
      <c r="H19" s="2" t="n">
        <v>53</v>
      </c>
      <c r="I19" s="5" t="n">
        <v>0.015388385199706</v>
      </c>
      <c r="J19" s="4" t="n">
        <v>497.515383215509</v>
      </c>
      <c r="K19" s="4" t="n">
        <v>0.26</v>
      </c>
      <c r="L19" s="6" t="n">
        <f aca="false">J19/200000</f>
        <v>0.00248757691607755</v>
      </c>
      <c r="P19" s="4" t="n">
        <f aca="false">$Q$2*($Q$3*$G19+$Q$4*$B19^$Q$5*$I19^$Q$6)*$L19^$Q$7</f>
        <v>0.387487541544124</v>
      </c>
      <c r="Q19" s="4" t="n">
        <f aca="false">P19/$K19</f>
        <v>1.49033669824663</v>
      </c>
      <c r="S19" s="4" t="n">
        <f aca="false">$T$2*$B19^$T$3*$L19^$T$4*($T$5*$I19^$T$6+$T$7)</f>
        <v>0.384238858826796</v>
      </c>
      <c r="T19" s="4" t="n">
        <f aca="false">S19/$K19</f>
        <v>1.47784176471845</v>
      </c>
      <c r="V19" s="4"/>
      <c r="W19" s="4"/>
    </row>
    <row r="20" customFormat="false" ht="14.25" hidden="false" customHeight="false" outlineLevel="0" collapsed="false">
      <c r="A20" s="1" t="s">
        <v>24</v>
      </c>
      <c r="B20" s="2" t="n">
        <v>10</v>
      </c>
      <c r="C20" s="3" t="n">
        <v>628</v>
      </c>
      <c r="D20" s="3" t="n">
        <v>4</v>
      </c>
      <c r="E20" s="2" t="n">
        <v>32.4666666666667</v>
      </c>
      <c r="F20" s="4" t="n">
        <v>3.262</v>
      </c>
      <c r="G20" s="2" t="n">
        <v>25</v>
      </c>
      <c r="H20" s="2" t="n">
        <v>36</v>
      </c>
      <c r="I20" s="5" t="n">
        <v>0.0174444444444444</v>
      </c>
      <c r="J20" s="4" t="n">
        <v>173.650302050044</v>
      </c>
      <c r="K20" s="4" t="n">
        <v>0.16</v>
      </c>
      <c r="L20" s="6" t="n">
        <f aca="false">J20/200000</f>
        <v>0.000868251510250219</v>
      </c>
      <c r="P20" s="4" t="n">
        <f aca="false">$Q$2*($Q$3*$G20+$Q$4*$B20^$Q$5*$I20^$Q$6)*$L20^$Q$7</f>
        <v>0.150815632177574</v>
      </c>
      <c r="Q20" s="4" t="n">
        <f aca="false">P20/$K20</f>
        <v>0.942597701109839</v>
      </c>
      <c r="S20" s="4" t="n">
        <f aca="false">$T$2*$B20^$T$3*$L20^$T$4*($T$5*$I20^$T$6+$T$7)</f>
        <v>0.1456541860647</v>
      </c>
      <c r="T20" s="4" t="n">
        <f aca="false">S20/$K20</f>
        <v>0.910338662904377</v>
      </c>
      <c r="V20" s="4"/>
      <c r="W20" s="4"/>
    </row>
    <row r="21" customFormat="false" ht="14.25" hidden="false" customHeight="false" outlineLevel="0" collapsed="false">
      <c r="B21" s="2" t="n">
        <v>10</v>
      </c>
      <c r="C21" s="3" t="n">
        <v>628</v>
      </c>
      <c r="D21" s="3" t="n">
        <v>4</v>
      </c>
      <c r="E21" s="2" t="n">
        <v>32.4666666666667</v>
      </c>
      <c r="F21" s="4" t="n">
        <v>3.262</v>
      </c>
      <c r="G21" s="2" t="n">
        <v>25</v>
      </c>
      <c r="H21" s="2" t="n">
        <v>36</v>
      </c>
      <c r="I21" s="5" t="n">
        <v>0.0174444444444444</v>
      </c>
      <c r="J21" s="4" t="n">
        <v>238.739128185323</v>
      </c>
      <c r="K21" s="4" t="n">
        <v>0.2</v>
      </c>
      <c r="L21" s="6" t="n">
        <f aca="false">J21/200000</f>
        <v>0.00119369564092662</v>
      </c>
      <c r="P21" s="4" t="n">
        <f aca="false">$Q$2*($Q$3*$G21+$Q$4*$B21^$Q$5*$I21^$Q$6)*$L21^$Q$7</f>
        <v>0.196923811759979</v>
      </c>
      <c r="Q21" s="4" t="n">
        <f aca="false">P21/$K21</f>
        <v>0.984619058799897</v>
      </c>
      <c r="S21" s="4" t="n">
        <f aca="false">$T$2*$B21^$T$3*$L21^$T$4*($T$5*$I21^$T$6+$T$7)</f>
        <v>0.1911555070994</v>
      </c>
      <c r="T21" s="4" t="n">
        <f aca="false">S21/$K21</f>
        <v>0.955777535496999</v>
      </c>
      <c r="V21" s="4"/>
      <c r="W21" s="4"/>
    </row>
    <row r="22" customFormat="false" ht="14.25" hidden="false" customHeight="false" outlineLevel="0" collapsed="false">
      <c r="B22" s="2" t="n">
        <v>10</v>
      </c>
      <c r="C22" s="3" t="n">
        <v>628</v>
      </c>
      <c r="D22" s="3" t="n">
        <v>4</v>
      </c>
      <c r="E22" s="2" t="n">
        <v>32.4666666666667</v>
      </c>
      <c r="F22" s="4" t="n">
        <v>3.262</v>
      </c>
      <c r="G22" s="2" t="n">
        <v>25</v>
      </c>
      <c r="H22" s="2" t="n">
        <v>36</v>
      </c>
      <c r="I22" s="5" t="n">
        <v>0.0174444444444444</v>
      </c>
      <c r="J22" s="4" t="n">
        <v>305.648501686638</v>
      </c>
      <c r="K22" s="4" t="n">
        <v>0.2</v>
      </c>
      <c r="L22" s="6" t="n">
        <f aca="false">J22/200000</f>
        <v>0.00152824250843319</v>
      </c>
      <c r="P22" s="4" t="n">
        <f aca="false">$Q$2*($Q$3*$G22+$Q$4*$B22^$Q$5*$I22^$Q$6)*$L22^$Q$7</f>
        <v>0.242222519431396</v>
      </c>
      <c r="Q22" s="4" t="n">
        <f aca="false">P22/$K22</f>
        <v>1.21111259715698</v>
      </c>
      <c r="S22" s="4" t="n">
        <f aca="false">$T$2*$B22^$T$3*$L22^$T$4*($T$5*$I22^$T$6+$T$7)</f>
        <v>0.236058626828606</v>
      </c>
      <c r="T22" s="4" t="n">
        <f aca="false">S22/$K22</f>
        <v>1.18029313414303</v>
      </c>
      <c r="V22" s="4"/>
      <c r="W22" s="4"/>
    </row>
    <row r="23" customFormat="false" ht="14.25" hidden="false" customHeight="false" outlineLevel="0" collapsed="false">
      <c r="B23" s="2" t="n">
        <v>10</v>
      </c>
      <c r="C23" s="3" t="n">
        <v>628</v>
      </c>
      <c r="D23" s="3" t="n">
        <v>4</v>
      </c>
      <c r="E23" s="2" t="n">
        <v>32.4666666666667</v>
      </c>
      <c r="F23" s="4" t="n">
        <v>3.262</v>
      </c>
      <c r="G23" s="2" t="n">
        <v>25</v>
      </c>
      <c r="H23" s="2" t="n">
        <v>36</v>
      </c>
      <c r="I23" s="5" t="n">
        <v>0.0174444444444444</v>
      </c>
      <c r="J23" s="4" t="n">
        <v>366.547902709502</v>
      </c>
      <c r="K23" s="4" t="n">
        <v>0.24</v>
      </c>
      <c r="L23" s="6" t="n">
        <f aca="false">J23/200000</f>
        <v>0.00183273951354751</v>
      </c>
      <c r="P23" s="4" t="n">
        <f aca="false">$Q$2*($Q$3*$G23+$Q$4*$B23^$Q$5*$I23^$Q$6)*$L23^$Q$7</f>
        <v>0.282058903343015</v>
      </c>
      <c r="Q23" s="4" t="n">
        <f aca="false">P23/$K23</f>
        <v>1.1752454305959</v>
      </c>
      <c r="S23" s="4" t="n">
        <f aca="false">$T$2*$B23^$T$3*$L23^$T$4*($T$5*$I23^$T$6+$T$7)</f>
        <v>0.275681553824477</v>
      </c>
      <c r="T23" s="4" t="n">
        <f aca="false">S23/$K23</f>
        <v>1.14867314093532</v>
      </c>
      <c r="V23" s="4"/>
      <c r="W23" s="4"/>
    </row>
    <row r="24" customFormat="false" ht="14.25" hidden="false" customHeight="false" outlineLevel="0" collapsed="false">
      <c r="B24" s="2" t="n">
        <v>10</v>
      </c>
      <c r="C24" s="3" t="n">
        <v>628</v>
      </c>
      <c r="D24" s="3" t="n">
        <v>4</v>
      </c>
      <c r="E24" s="2" t="n">
        <v>32.4666666666667</v>
      </c>
      <c r="F24" s="4" t="n">
        <v>3.262</v>
      </c>
      <c r="G24" s="2" t="n">
        <v>25</v>
      </c>
      <c r="H24" s="2" t="n">
        <v>36</v>
      </c>
      <c r="I24" s="5" t="n">
        <v>0.0174444444444444</v>
      </c>
      <c r="J24" s="4" t="n">
        <v>399.441719349458</v>
      </c>
      <c r="K24" s="4" t="n">
        <v>0.3</v>
      </c>
      <c r="L24" s="6" t="n">
        <f aca="false">J24/200000</f>
        <v>0.00199720859674729</v>
      </c>
      <c r="P24" s="4" t="n">
        <f aca="false">$Q$2*($Q$3*$G24+$Q$4*$B24^$Q$5*$I24^$Q$6)*$L24^$Q$7</f>
        <v>0.303121137339186</v>
      </c>
      <c r="Q24" s="4" t="n">
        <f aca="false">P24/$K24</f>
        <v>1.01040379113062</v>
      </c>
      <c r="S24" s="4" t="n">
        <f aca="false">$T$2*$B24^$T$3*$L24^$T$4*($T$5*$I24^$T$6+$T$7)</f>
        <v>0.296675224465326</v>
      </c>
      <c r="T24" s="4" t="n">
        <f aca="false">S24/$K24</f>
        <v>0.98891741488442</v>
      </c>
      <c r="V24" s="4"/>
      <c r="W24" s="4"/>
    </row>
    <row r="25" customFormat="false" ht="14.25" hidden="false" customHeight="false" outlineLevel="0" collapsed="false">
      <c r="B25" s="2" t="n">
        <v>10</v>
      </c>
      <c r="C25" s="3" t="n">
        <v>628</v>
      </c>
      <c r="D25" s="3" t="n">
        <v>4</v>
      </c>
      <c r="E25" s="2" t="n">
        <v>32.4666666666667</v>
      </c>
      <c r="F25" s="4" t="n">
        <v>3.262</v>
      </c>
      <c r="G25" s="2" t="n">
        <v>25</v>
      </c>
      <c r="H25" s="2" t="n">
        <v>36</v>
      </c>
      <c r="I25" s="5" t="n">
        <v>0.0174444444444444</v>
      </c>
      <c r="J25" s="4" t="n">
        <v>498.048742565297</v>
      </c>
      <c r="K25" s="4" t="n">
        <v>0.32</v>
      </c>
      <c r="L25" s="6" t="n">
        <f aca="false">J25/200000</f>
        <v>0.00249024371282649</v>
      </c>
      <c r="P25" s="4" t="n">
        <f aca="false">$Q$2*($Q$3*$G25+$Q$4*$B25^$Q$5*$I25^$Q$6)*$L25^$Q$7</f>
        <v>0.364680097625478</v>
      </c>
      <c r="Q25" s="4" t="n">
        <f aca="false">P25/$K25</f>
        <v>1.13962530507962</v>
      </c>
      <c r="S25" s="4" t="n">
        <f aca="false">$T$2*$B25^$T$3*$L25^$T$4*($T$5*$I25^$T$6+$T$7)</f>
        <v>0.358187326172172</v>
      </c>
      <c r="T25" s="4" t="n">
        <f aca="false">S25/$K25</f>
        <v>1.11933539428804</v>
      </c>
      <c r="V25" s="4"/>
      <c r="W25" s="4"/>
    </row>
    <row r="26" customFormat="false" ht="14.25" hidden="false" customHeight="false" outlineLevel="0" collapsed="false">
      <c r="B26" s="2" t="n">
        <v>10</v>
      </c>
      <c r="C26" s="3" t="n">
        <v>628</v>
      </c>
      <c r="D26" s="3" t="n">
        <v>4</v>
      </c>
      <c r="E26" s="2" t="n">
        <v>32.4666666666667</v>
      </c>
      <c r="F26" s="4" t="n">
        <v>3.262</v>
      </c>
      <c r="G26" s="2" t="n">
        <v>25</v>
      </c>
      <c r="H26" s="2" t="n">
        <v>36</v>
      </c>
      <c r="I26" s="5" t="n">
        <v>0.0174444444444444</v>
      </c>
      <c r="J26" s="4" t="n">
        <v>502.761883538398</v>
      </c>
      <c r="K26" s="4" t="n">
        <v>0.38</v>
      </c>
      <c r="L26" s="6" t="n">
        <f aca="false">J26/200000</f>
        <v>0.00251380941769199</v>
      </c>
      <c r="P26" s="4" t="n">
        <f aca="false">$Q$2*($Q$3*$G26+$Q$4*$B26^$Q$5*$I26^$Q$6)*$L26^$Q$7</f>
        <v>0.367569864808681</v>
      </c>
      <c r="Q26" s="4" t="n">
        <f aca="false">P26/$K26</f>
        <v>0.967289117917581</v>
      </c>
      <c r="S26" s="4" t="n">
        <f aca="false">$T$2*$B26^$T$3*$L26^$T$4*($T$5*$I26^$T$6+$T$7)</f>
        <v>0.361080054356177</v>
      </c>
      <c r="T26" s="4" t="n">
        <f aca="false">S26/$K26</f>
        <v>0.950210669358361</v>
      </c>
      <c r="V26" s="4"/>
      <c r="W26" s="4"/>
    </row>
    <row r="27" customFormat="false" ht="14.25" hidden="false" customHeight="false" outlineLevel="0" collapsed="false">
      <c r="B27" s="2" t="n">
        <v>10</v>
      </c>
      <c r="C27" s="3" t="n">
        <v>628</v>
      </c>
      <c r="D27" s="3" t="n">
        <v>4</v>
      </c>
      <c r="E27" s="2" t="n">
        <v>32.4666666666667</v>
      </c>
      <c r="F27" s="4" t="n">
        <v>3.262</v>
      </c>
      <c r="G27" s="2" t="n">
        <v>25</v>
      </c>
      <c r="H27" s="2" t="n">
        <v>36</v>
      </c>
      <c r="I27" s="5" t="n">
        <v>0.0174444444444444</v>
      </c>
      <c r="J27" s="4" t="n">
        <v>538.673446648283</v>
      </c>
      <c r="K27" s="4" t="n">
        <v>0.42</v>
      </c>
      <c r="L27" s="6" t="n">
        <f aca="false">J27/200000</f>
        <v>0.00269336723324142</v>
      </c>
      <c r="P27" s="4" t="n">
        <f aca="false">$Q$2*($Q$3*$G27+$Q$4*$B27^$Q$5*$I27^$Q$6)*$L27^$Q$7</f>
        <v>0.389447642996397</v>
      </c>
      <c r="Q27" s="4" t="n">
        <f aca="false">P27/$K27</f>
        <v>0.927256292848564</v>
      </c>
      <c r="S27" s="4" t="n">
        <f aca="false">$T$2*$B27^$T$3*$L27^$T$4*($T$5*$I27^$T$6+$T$7)</f>
        <v>0.382994107221474</v>
      </c>
      <c r="T27" s="4" t="n">
        <f aca="false">S27/$K27</f>
        <v>0.9118907314797</v>
      </c>
      <c r="V27" s="4"/>
      <c r="W27" s="4"/>
    </row>
    <row r="28" customFormat="false" ht="14.25" hidden="false" customHeight="false" outlineLevel="0" collapsed="false">
      <c r="B28" s="2" t="n">
        <v>10</v>
      </c>
      <c r="C28" s="3" t="n">
        <v>628</v>
      </c>
      <c r="D28" s="3" t="n">
        <v>4</v>
      </c>
      <c r="E28" s="2" t="n">
        <v>32.4666666666667</v>
      </c>
      <c r="F28" s="4" t="n">
        <v>3.262</v>
      </c>
      <c r="G28" s="2" t="n">
        <v>25</v>
      </c>
      <c r="H28" s="2" t="n">
        <v>36</v>
      </c>
      <c r="I28" s="5" t="n">
        <v>0.0174444444444444</v>
      </c>
      <c r="J28" s="4" t="n">
        <v>628</v>
      </c>
      <c r="K28" s="4" t="n">
        <v>0.44</v>
      </c>
      <c r="L28" s="6" t="n">
        <f aca="false">J28/200000</f>
        <v>0.00314</v>
      </c>
      <c r="P28" s="4" t="n">
        <f aca="false">$Q$2*($Q$3*$G28+$Q$4*$B28^$Q$5*$I28^$Q$6)*$L28^$Q$7</f>
        <v>0.442882413602766</v>
      </c>
      <c r="Q28" s="4" t="n">
        <f aca="false">P28/$K28</f>
        <v>1.00655094000629</v>
      </c>
      <c r="S28" s="4" t="n">
        <f aca="false">$T$2*$B28^$T$3*$L28^$T$4*($T$5*$I28^$T$6+$T$7)</f>
        <v>0.436613935064325</v>
      </c>
      <c r="T28" s="4" t="n">
        <f aca="false">S28/$K28</f>
        <v>0.992304397873465</v>
      </c>
      <c r="V28" s="4"/>
      <c r="W28" s="4"/>
    </row>
    <row r="29" customFormat="false" ht="14.25" hidden="false" customHeight="false" outlineLevel="0" collapsed="false">
      <c r="B29" s="2" t="n">
        <v>10</v>
      </c>
      <c r="C29" s="3" t="n">
        <v>628</v>
      </c>
      <c r="D29" s="3" t="n">
        <v>4</v>
      </c>
      <c r="E29" s="2" t="n">
        <v>32.4666666666667</v>
      </c>
      <c r="F29" s="4" t="n">
        <v>3.262</v>
      </c>
      <c r="G29" s="2" t="n">
        <v>25</v>
      </c>
      <c r="H29" s="2" t="n">
        <v>36</v>
      </c>
      <c r="I29" s="5" t="n">
        <v>0.0174444444444444</v>
      </c>
      <c r="J29" s="4" t="n">
        <v>628</v>
      </c>
      <c r="K29" s="4" t="n">
        <v>0.5</v>
      </c>
      <c r="L29" s="6" t="n">
        <f aca="false">J29/200000</f>
        <v>0.00314</v>
      </c>
      <c r="P29" s="4" t="n">
        <f aca="false">$Q$2*($Q$3*$G29+$Q$4*$B29^$Q$5*$I29^$Q$6)*$L29^$Q$7</f>
        <v>0.442882413602766</v>
      </c>
      <c r="Q29" s="4" t="n">
        <f aca="false">P29/$K29</f>
        <v>0.885764827205532</v>
      </c>
      <c r="S29" s="4" t="n">
        <f aca="false">$T$2*$B29^$T$3*$L29^$T$4*($T$5*$I29^$T$6+$T$7)</f>
        <v>0.436613935064325</v>
      </c>
      <c r="T29" s="4" t="n">
        <f aca="false">S29/$K29</f>
        <v>0.873227870128649</v>
      </c>
      <c r="V29" s="4"/>
      <c r="W29" s="4"/>
    </row>
    <row r="30" customFormat="false" ht="14.25" hidden="false" customHeight="false" outlineLevel="0" collapsed="false">
      <c r="A30" s="1" t="s">
        <v>25</v>
      </c>
      <c r="B30" s="2" t="n">
        <v>10</v>
      </c>
      <c r="C30" s="3" t="n">
        <v>628</v>
      </c>
      <c r="D30" s="3" t="n">
        <v>4</v>
      </c>
      <c r="E30" s="2" t="n">
        <v>32.4666666666667</v>
      </c>
      <c r="F30" s="4" t="n">
        <v>3.514</v>
      </c>
      <c r="G30" s="2" t="n">
        <v>25</v>
      </c>
      <c r="H30" s="2" t="n">
        <v>36</v>
      </c>
      <c r="I30" s="5" t="n">
        <v>0.0174444444444444</v>
      </c>
      <c r="J30" s="4" t="n">
        <v>246.62969130956</v>
      </c>
      <c r="K30" s="4" t="n">
        <v>0.24</v>
      </c>
      <c r="L30" s="6" t="n">
        <f aca="false">J30/200000</f>
        <v>0.0012331484565478</v>
      </c>
      <c r="P30" s="4" t="n">
        <f aca="false">$Q$2*($Q$3*$G30+$Q$4*$B30^$Q$5*$I30^$Q$6)*$L30^$Q$7</f>
        <v>0.202363538553218</v>
      </c>
      <c r="Q30" s="4" t="n">
        <f aca="false">P30/$K30</f>
        <v>0.843181410638408</v>
      </c>
      <c r="S30" s="4" t="n">
        <f aca="false">$T$2*$B30^$T$3*$L30^$T$4*($T$5*$I30^$T$6+$T$7)</f>
        <v>0.196538118326208</v>
      </c>
      <c r="T30" s="4" t="n">
        <f aca="false">S30/$K30</f>
        <v>0.818908826359201</v>
      </c>
      <c r="V30" s="4"/>
      <c r="W30" s="4"/>
    </row>
    <row r="31" customFormat="false" ht="14.25" hidden="false" customHeight="false" outlineLevel="0" collapsed="false">
      <c r="B31" s="2" t="n">
        <v>10</v>
      </c>
      <c r="C31" s="3" t="n">
        <v>628</v>
      </c>
      <c r="D31" s="3" t="n">
        <v>4</v>
      </c>
      <c r="E31" s="2" t="n">
        <v>32.4666666666667</v>
      </c>
      <c r="F31" s="4" t="n">
        <v>3.514</v>
      </c>
      <c r="G31" s="2" t="n">
        <v>25</v>
      </c>
      <c r="H31" s="2" t="n">
        <v>36</v>
      </c>
      <c r="I31" s="5" t="n">
        <v>0.0174444444444444</v>
      </c>
      <c r="J31" s="4" t="n">
        <v>335.696077111432</v>
      </c>
      <c r="K31" s="4" t="n">
        <v>0.3</v>
      </c>
      <c r="L31" s="6" t="n">
        <f aca="false">J31/200000</f>
        <v>0.00167848038555716</v>
      </c>
      <c r="P31" s="4" t="n">
        <f aca="false">$Q$2*($Q$3*$G31+$Q$4*$B31^$Q$5*$I31^$Q$6)*$L31^$Q$7</f>
        <v>0.262024092104871</v>
      </c>
      <c r="Q31" s="4" t="n">
        <f aca="false">P31/$K31</f>
        <v>0.873413640349569</v>
      </c>
      <c r="S31" s="4" t="n">
        <f aca="false">$T$2*$B31^$T$3*$L31^$T$4*($T$5*$I31^$T$6+$T$7)</f>
        <v>0.255739709902471</v>
      </c>
      <c r="T31" s="4" t="n">
        <f aca="false">S31/$K31</f>
        <v>0.852465699674904</v>
      </c>
      <c r="V31" s="4"/>
      <c r="W31" s="4"/>
    </row>
    <row r="32" customFormat="false" ht="14.25" hidden="false" customHeight="false" outlineLevel="0" collapsed="false">
      <c r="B32" s="2" t="n">
        <v>10</v>
      </c>
      <c r="C32" s="3" t="n">
        <v>628</v>
      </c>
      <c r="D32" s="3" t="n">
        <v>4</v>
      </c>
      <c r="E32" s="2" t="n">
        <v>32.4666666666667</v>
      </c>
      <c r="F32" s="4" t="n">
        <v>3.514</v>
      </c>
      <c r="G32" s="2" t="n">
        <v>25</v>
      </c>
      <c r="H32" s="2" t="n">
        <v>36</v>
      </c>
      <c r="I32" s="5" t="n">
        <v>0.0174444444444444</v>
      </c>
      <c r="J32" s="4" t="n">
        <v>361.508718117534</v>
      </c>
      <c r="K32" s="4" t="n">
        <v>0.3</v>
      </c>
      <c r="L32" s="6" t="n">
        <f aca="false">J32/200000</f>
        <v>0.00180754359058767</v>
      </c>
      <c r="P32" s="4" t="n">
        <f aca="false">$Q$2*($Q$3*$G32+$Q$4*$B32^$Q$5*$I32^$Q$6)*$L32^$Q$7</f>
        <v>0.27880578923804</v>
      </c>
      <c r="Q32" s="4" t="n">
        <f aca="false">P32/$K32</f>
        <v>0.929352630793467</v>
      </c>
      <c r="S32" s="4" t="n">
        <f aca="false">$T$2*$B32^$T$3*$L32^$T$4*($T$5*$I32^$T$6+$T$7)</f>
        <v>0.272441643111866</v>
      </c>
      <c r="T32" s="4" t="n">
        <f aca="false">S32/$K32</f>
        <v>0.908138810372886</v>
      </c>
      <c r="V32" s="4"/>
      <c r="W32" s="4"/>
    </row>
    <row r="33" customFormat="false" ht="14.25" hidden="false" customHeight="false" outlineLevel="0" collapsed="false">
      <c r="B33" s="2" t="n">
        <v>10</v>
      </c>
      <c r="C33" s="3" t="n">
        <v>628</v>
      </c>
      <c r="D33" s="3" t="n">
        <v>4</v>
      </c>
      <c r="E33" s="2" t="n">
        <v>32.4666666666667</v>
      </c>
      <c r="F33" s="4" t="n">
        <v>3.514</v>
      </c>
      <c r="G33" s="2" t="n">
        <v>25</v>
      </c>
      <c r="H33" s="2" t="n">
        <v>36</v>
      </c>
      <c r="I33" s="5" t="n">
        <v>0.0174444444444444</v>
      </c>
      <c r="J33" s="4" t="n">
        <v>392.910071207614</v>
      </c>
      <c r="K33" s="4" t="n">
        <v>0.3</v>
      </c>
      <c r="L33" s="6" t="n">
        <f aca="false">J33/200000</f>
        <v>0.00196455035603807</v>
      </c>
      <c r="P33" s="4" t="n">
        <f aca="false">$Q$2*($Q$3*$G33+$Q$4*$B33^$Q$5*$I33^$Q$6)*$L33^$Q$7</f>
        <v>0.298961953509699</v>
      </c>
      <c r="Q33" s="4" t="n">
        <f aca="false">P33/$K33</f>
        <v>0.99653984503233</v>
      </c>
      <c r="S33" s="4" t="n">
        <f aca="false">$T$2*$B33^$T$3*$L33^$T$4*($T$5*$I33^$T$6+$T$7)</f>
        <v>0.292527309190688</v>
      </c>
      <c r="T33" s="4" t="n">
        <f aca="false">S33/$K33</f>
        <v>0.975091030635626</v>
      </c>
      <c r="V33" s="4"/>
      <c r="W33" s="4"/>
    </row>
    <row r="34" customFormat="false" ht="14.25" hidden="false" customHeight="false" outlineLevel="0" collapsed="false">
      <c r="B34" s="2" t="n">
        <v>10</v>
      </c>
      <c r="C34" s="3" t="n">
        <v>628</v>
      </c>
      <c r="D34" s="3" t="n">
        <v>4</v>
      </c>
      <c r="E34" s="2" t="n">
        <v>32.4666666666667</v>
      </c>
      <c r="F34" s="4" t="n">
        <v>3.514</v>
      </c>
      <c r="G34" s="2" t="n">
        <v>25</v>
      </c>
      <c r="H34" s="2" t="n">
        <v>36</v>
      </c>
      <c r="I34" s="5" t="n">
        <v>0.0174444444444444</v>
      </c>
      <c r="J34" s="4" t="n">
        <v>424.164281417311</v>
      </c>
      <c r="K34" s="4" t="n">
        <v>0.38</v>
      </c>
      <c r="L34" s="6" t="n">
        <f aca="false">J34/200000</f>
        <v>0.00212082140708655</v>
      </c>
      <c r="P34" s="4" t="n">
        <f aca="false">$Q$2*($Q$3*$G34+$Q$4*$B34^$Q$5*$I34^$Q$6)*$L34^$Q$7</f>
        <v>0.318765876588022</v>
      </c>
      <c r="Q34" s="4" t="n">
        <f aca="false">P34/$K34</f>
        <v>0.838857569968478</v>
      </c>
      <c r="S34" s="4" t="n">
        <f aca="false">$T$2*$B34^$T$3*$L34^$T$4*($T$5*$I34^$T$6+$T$7)</f>
        <v>0.312287192415409</v>
      </c>
      <c r="T34" s="4" t="n">
        <f aca="false">S34/$K34</f>
        <v>0.82180840109318</v>
      </c>
      <c r="V34" s="4"/>
      <c r="W34" s="4"/>
    </row>
    <row r="35" customFormat="false" ht="14.25" hidden="false" customHeight="false" outlineLevel="0" collapsed="false">
      <c r="B35" s="2" t="n">
        <v>10</v>
      </c>
      <c r="C35" s="3" t="n">
        <v>628</v>
      </c>
      <c r="D35" s="3" t="n">
        <v>4</v>
      </c>
      <c r="E35" s="2" t="n">
        <v>32.4666666666667</v>
      </c>
      <c r="F35" s="4" t="n">
        <v>3.514</v>
      </c>
      <c r="G35" s="2" t="n">
        <v>25</v>
      </c>
      <c r="H35" s="2" t="n">
        <v>36</v>
      </c>
      <c r="I35" s="5" t="n">
        <v>0.0174444444444444</v>
      </c>
      <c r="J35" s="4" t="n">
        <v>491.137589009518</v>
      </c>
      <c r="K35" s="4" t="n">
        <v>0.44</v>
      </c>
      <c r="L35" s="6" t="n">
        <f aca="false">J35/200000</f>
        <v>0.00245568794504759</v>
      </c>
      <c r="P35" s="4" t="n">
        <f aca="false">$Q$2*($Q$3*$G35+$Q$4*$B35^$Q$5*$I35^$Q$6)*$L35^$Q$7</f>
        <v>0.360434632418585</v>
      </c>
      <c r="Q35" s="4" t="n">
        <f aca="false">P35/$K35</f>
        <v>0.819169619133147</v>
      </c>
      <c r="S35" s="4" t="n">
        <f aca="false">$T$2*$B35^$T$3*$L35^$T$4*($T$5*$I35^$T$6+$T$7)</f>
        <v>0.353938305568504</v>
      </c>
      <c r="T35" s="4" t="n">
        <f aca="false">S35/$K35</f>
        <v>0.804405239928419</v>
      </c>
      <c r="V35" s="4"/>
      <c r="W35" s="4"/>
    </row>
    <row r="36" customFormat="false" ht="14.25" hidden="false" customHeight="false" outlineLevel="0" collapsed="false">
      <c r="A36" s="1" t="s">
        <v>26</v>
      </c>
      <c r="B36" s="2" t="n">
        <v>16</v>
      </c>
      <c r="C36" s="3" t="n">
        <v>571</v>
      </c>
      <c r="D36" s="3" t="n">
        <v>4</v>
      </c>
      <c r="E36" s="2" t="n">
        <v>37</v>
      </c>
      <c r="F36" s="4" t="n">
        <v>4.2588</v>
      </c>
      <c r="G36" s="2" t="n">
        <v>33</v>
      </c>
      <c r="H36" s="2" t="n">
        <v>59</v>
      </c>
      <c r="I36" s="5" t="n">
        <v>0.1168</v>
      </c>
      <c r="J36" s="4" t="n">
        <v>104.269215088094</v>
      </c>
      <c r="K36" s="4" t="n">
        <v>0.18</v>
      </c>
      <c r="L36" s="6" t="n">
        <f aca="false">J36/200000</f>
        <v>0.000521346075440468</v>
      </c>
      <c r="P36" s="4" t="n">
        <f aca="false">$Q$2*($Q$3*$G36+$Q$4*$B36^$Q$5*$I36^$Q$6)*$L36^$Q$7</f>
        <v>0.0649760280035904</v>
      </c>
      <c r="Q36" s="4" t="n">
        <f aca="false">P36/$K36</f>
        <v>0.36097793335328</v>
      </c>
      <c r="S36" s="4" t="n">
        <f aca="false">$T$2*$B36^$T$3*$L36^$T$4*($T$5*$I36^$T$6+$T$7)</f>
        <v>0.0649888603060876</v>
      </c>
      <c r="T36" s="4" t="n">
        <f aca="false">S36/$K36</f>
        <v>0.361049223922709</v>
      </c>
      <c r="V36" s="4"/>
      <c r="W36" s="4"/>
    </row>
    <row r="37" customFormat="false" ht="14.25" hidden="false" customHeight="false" outlineLevel="0" collapsed="false">
      <c r="B37" s="2" t="n">
        <v>16</v>
      </c>
      <c r="C37" s="3" t="n">
        <v>571</v>
      </c>
      <c r="D37" s="3" t="n">
        <v>4</v>
      </c>
      <c r="E37" s="2" t="n">
        <v>37</v>
      </c>
      <c r="F37" s="4" t="n">
        <v>4.2588</v>
      </c>
      <c r="G37" s="2" t="n">
        <v>33</v>
      </c>
      <c r="H37" s="2" t="n">
        <v>59</v>
      </c>
      <c r="I37" s="5" t="n">
        <v>0.1168</v>
      </c>
      <c r="J37" s="4" t="n">
        <v>166.904922809943</v>
      </c>
      <c r="K37" s="4" t="n">
        <v>0.2</v>
      </c>
      <c r="L37" s="6" t="n">
        <f aca="false">J37/200000</f>
        <v>0.000834524614049714</v>
      </c>
      <c r="P37" s="4" t="n">
        <f aca="false">$Q$2*($Q$3*$G37+$Q$4*$B37^$Q$5*$I37^$Q$6)*$L37^$Q$7</f>
        <v>0.0963756873559762</v>
      </c>
      <c r="Q37" s="4" t="n">
        <f aca="false">P37/$K37</f>
        <v>0.481878436779881</v>
      </c>
      <c r="S37" s="4" t="n">
        <f aca="false">$T$2*$B37^$T$3*$L37^$T$4*($T$5*$I37^$T$6+$T$7)</f>
        <v>0.097123038024751</v>
      </c>
      <c r="T37" s="4" t="n">
        <f aca="false">S37/$K37</f>
        <v>0.485615190123755</v>
      </c>
      <c r="V37" s="4"/>
      <c r="W37" s="4"/>
    </row>
    <row r="38" customFormat="false" ht="14.25" hidden="false" customHeight="false" outlineLevel="0" collapsed="false">
      <c r="B38" s="2" t="n">
        <v>16</v>
      </c>
      <c r="C38" s="3" t="n">
        <v>571</v>
      </c>
      <c r="D38" s="3" t="n">
        <v>4</v>
      </c>
      <c r="E38" s="2" t="n">
        <v>37</v>
      </c>
      <c r="F38" s="4" t="n">
        <v>4.2588</v>
      </c>
      <c r="G38" s="2" t="n">
        <v>33</v>
      </c>
      <c r="H38" s="2" t="n">
        <v>59</v>
      </c>
      <c r="I38" s="5" t="n">
        <v>0.1168</v>
      </c>
      <c r="J38" s="4" t="n">
        <v>214.45812720403</v>
      </c>
      <c r="K38" s="4" t="n">
        <v>0.26</v>
      </c>
      <c r="L38" s="6" t="n">
        <f aca="false">J38/200000</f>
        <v>0.00107229063602015</v>
      </c>
      <c r="P38" s="4" t="n">
        <f aca="false">$Q$2*($Q$3*$G38+$Q$4*$B38^$Q$5*$I38^$Q$6)*$L38^$Q$7</f>
        <v>0.118905889627085</v>
      </c>
      <c r="Q38" s="4" t="n">
        <f aca="false">P38/$K38</f>
        <v>0.457330344719558</v>
      </c>
      <c r="S38" s="4" t="n">
        <f aca="false">$T$2*$B38^$T$3*$L38^$T$4*($T$5*$I38^$T$6+$T$7)</f>
        <v>0.120309552284261</v>
      </c>
      <c r="T38" s="4" t="n">
        <f aca="false">S38/$K38</f>
        <v>0.462729047247157</v>
      </c>
      <c r="V38" s="4"/>
      <c r="W38" s="4"/>
    </row>
    <row r="39" customFormat="false" ht="14.25" hidden="false" customHeight="false" outlineLevel="0" collapsed="false">
      <c r="B39" s="2" t="n">
        <v>16</v>
      </c>
      <c r="C39" s="3" t="n">
        <v>571</v>
      </c>
      <c r="D39" s="3" t="n">
        <v>4</v>
      </c>
      <c r="E39" s="2" t="n">
        <v>37</v>
      </c>
      <c r="F39" s="4" t="n">
        <v>4.2588</v>
      </c>
      <c r="G39" s="2" t="n">
        <v>33</v>
      </c>
      <c r="H39" s="2" t="n">
        <v>59</v>
      </c>
      <c r="I39" s="5" t="n">
        <v>0.1168</v>
      </c>
      <c r="J39" s="4" t="n">
        <v>293.137065383337</v>
      </c>
      <c r="K39" s="4" t="n">
        <v>0.44</v>
      </c>
      <c r="L39" s="6" t="n">
        <f aca="false">J39/200000</f>
        <v>0.00146568532691669</v>
      </c>
      <c r="P39" s="4" t="n">
        <f aca="false">$Q$2*($Q$3*$G39+$Q$4*$B39^$Q$5*$I39^$Q$6)*$L39^$Q$7</f>
        <v>0.154505384981828</v>
      </c>
      <c r="Q39" s="4" t="n">
        <f aca="false">P39/$K39</f>
        <v>0.351148602231428</v>
      </c>
      <c r="S39" s="4" t="n">
        <f aca="false">$T$2*$B39^$T$3*$L39^$T$4*($T$5*$I39^$T$6+$T$7)</f>
        <v>0.157112961961898</v>
      </c>
      <c r="T39" s="4" t="n">
        <f aca="false">S39/$K39</f>
        <v>0.357074913549768</v>
      </c>
      <c r="V39" s="4"/>
      <c r="W39" s="4"/>
    </row>
    <row r="40" customFormat="false" ht="14.25" hidden="false" customHeight="false" outlineLevel="0" collapsed="false">
      <c r="B40" s="2" t="n">
        <v>16</v>
      </c>
      <c r="C40" s="3" t="n">
        <v>571</v>
      </c>
      <c r="D40" s="3" t="n">
        <v>4</v>
      </c>
      <c r="E40" s="2" t="n">
        <v>37</v>
      </c>
      <c r="F40" s="4" t="n">
        <v>4.2588</v>
      </c>
      <c r="G40" s="2" t="n">
        <v>33</v>
      </c>
      <c r="H40" s="2" t="n">
        <v>59</v>
      </c>
      <c r="I40" s="5" t="n">
        <v>0.1168</v>
      </c>
      <c r="J40" s="4" t="n">
        <v>408.129359645403</v>
      </c>
      <c r="K40" s="4" t="n">
        <v>0.6</v>
      </c>
      <c r="L40" s="6" t="n">
        <f aca="false">J40/200000</f>
        <v>0.00204064679822701</v>
      </c>
      <c r="P40" s="4" t="n">
        <f aca="false">$Q$2*($Q$3*$G40+$Q$4*$B40^$Q$5*$I40^$Q$6)*$L40^$Q$7</f>
        <v>0.203885777647649</v>
      </c>
      <c r="Q40" s="4" t="n">
        <f aca="false">P40/$K40</f>
        <v>0.339809629412749</v>
      </c>
      <c r="S40" s="4" t="n">
        <f aca="false">$T$2*$B40^$T$3*$L40^$T$4*($T$5*$I40^$T$6+$T$7)</f>
        <v>0.208427472134515</v>
      </c>
      <c r="T40" s="4" t="n">
        <f aca="false">S40/$K40</f>
        <v>0.347379120224191</v>
      </c>
      <c r="V40" s="4"/>
      <c r="W40" s="4"/>
    </row>
    <row r="41" customFormat="false" ht="14.25" hidden="false" customHeight="false" outlineLevel="0" collapsed="false">
      <c r="A41" s="1" t="s">
        <v>27</v>
      </c>
      <c r="B41" s="2" t="n">
        <v>12</v>
      </c>
      <c r="C41" s="3" t="n">
        <v>500</v>
      </c>
      <c r="D41" s="3" t="n">
        <v>4</v>
      </c>
      <c r="E41" s="2" t="n">
        <v>79.3</v>
      </c>
      <c r="F41" s="4" t="n">
        <v>2.69332921131829</v>
      </c>
      <c r="G41" s="2" t="n">
        <v>20</v>
      </c>
      <c r="H41" s="2" t="n">
        <v>38</v>
      </c>
      <c r="I41" s="5" t="n">
        <v>0.013593984962406</v>
      </c>
      <c r="J41" s="4" t="n">
        <v>220.981845886367</v>
      </c>
      <c r="K41" s="4" t="n">
        <v>0.36</v>
      </c>
      <c r="L41" s="6" t="n">
        <f aca="false">J41/200000</f>
        <v>0.00110490922943184</v>
      </c>
      <c r="P41" s="4" t="n">
        <f aca="false">$Q$2*($Q$3*$G41+$Q$4*$B41^$Q$5*$I41^$Q$6)*$L41^$Q$7</f>
        <v>0.254371396311852</v>
      </c>
      <c r="Q41" s="4" t="n">
        <f aca="false">P41/$K41</f>
        <v>0.706587211977365</v>
      </c>
      <c r="S41" s="4" t="n">
        <f aca="false">$T$2*$B41^$T$3*$L41^$T$4*($T$5*$I41^$T$6+$T$7)</f>
        <v>0.254382514629118</v>
      </c>
      <c r="T41" s="4" t="n">
        <f aca="false">S41/$K41</f>
        <v>0.706618096191995</v>
      </c>
      <c r="V41" s="4"/>
      <c r="W41" s="4"/>
    </row>
    <row r="42" customFormat="false" ht="14.25" hidden="false" customHeight="false" outlineLevel="0" collapsed="false">
      <c r="B42" s="2" t="n">
        <v>12</v>
      </c>
      <c r="C42" s="3" t="n">
        <v>500</v>
      </c>
      <c r="D42" s="3" t="n">
        <v>4</v>
      </c>
      <c r="E42" s="2" t="n">
        <v>79.3</v>
      </c>
      <c r="F42" s="4" t="n">
        <v>2.69332921131829</v>
      </c>
      <c r="G42" s="2" t="n">
        <v>20</v>
      </c>
      <c r="H42" s="2" t="n">
        <v>38</v>
      </c>
      <c r="I42" s="5" t="n">
        <v>0.013593984962406</v>
      </c>
      <c r="J42" s="4" t="n">
        <v>345.874193986727</v>
      </c>
      <c r="K42" s="4" t="n">
        <v>0.43</v>
      </c>
      <c r="L42" s="6" t="n">
        <f aca="false">J42/200000</f>
        <v>0.00172937096993364</v>
      </c>
      <c r="P42" s="4" t="n">
        <f aca="false">$Q$2*($Q$3*$G42+$Q$4*$B42^$Q$5*$I42^$Q$6)*$L42^$Q$7</f>
        <v>0.37026346739676</v>
      </c>
      <c r="Q42" s="4" t="n">
        <f aca="false">P42/$K42</f>
        <v>0.861077831155256</v>
      </c>
      <c r="S42" s="4" t="n">
        <f aca="false">$T$2*$B42^$T$3*$L42^$T$4*($T$5*$I42^$T$6+$T$7)</f>
        <v>0.372943318583435</v>
      </c>
      <c r="T42" s="4" t="n">
        <f aca="false">S42/$K42</f>
        <v>0.867310043217291</v>
      </c>
      <c r="V42" s="4"/>
      <c r="W42" s="4"/>
    </row>
    <row r="43" customFormat="false" ht="14.25" hidden="false" customHeight="false" outlineLevel="0" collapsed="false">
      <c r="B43" s="2" t="n">
        <v>12</v>
      </c>
      <c r="C43" s="3" t="n">
        <v>500</v>
      </c>
      <c r="D43" s="3" t="n">
        <v>4</v>
      </c>
      <c r="E43" s="2" t="n">
        <v>79.3</v>
      </c>
      <c r="F43" s="4" t="n">
        <v>2.69332921131829</v>
      </c>
      <c r="G43" s="2" t="n">
        <v>20</v>
      </c>
      <c r="H43" s="2" t="n">
        <v>38</v>
      </c>
      <c r="I43" s="5" t="n">
        <v>0.013593984962406</v>
      </c>
      <c r="J43" s="4" t="n">
        <v>500</v>
      </c>
      <c r="K43" s="4" t="n">
        <v>0.56</v>
      </c>
      <c r="L43" s="6" t="n">
        <f aca="false">J43/200000</f>
        <v>0.0025</v>
      </c>
      <c r="P43" s="4" t="n">
        <f aca="false">$Q$2*($Q$3*$G43+$Q$4*$B43^$Q$5*$I43^$Q$6)*$L43^$Q$7</f>
        <v>0.504236534502655</v>
      </c>
      <c r="Q43" s="4" t="n">
        <f aca="false">P43/$K43</f>
        <v>0.900422383040455</v>
      </c>
      <c r="S43" s="4" t="n">
        <f aca="false">$T$2*$B43^$T$3*$L43^$T$4*($T$5*$I43^$T$6+$T$7)</f>
        <v>0.510889651772369</v>
      </c>
      <c r="T43" s="4" t="n">
        <f aca="false">S43/$K43</f>
        <v>0.912302949593516</v>
      </c>
      <c r="V43" s="4"/>
      <c r="W43" s="4"/>
    </row>
    <row r="44" customFormat="false" ht="14.25" hidden="false" customHeight="false" outlineLevel="0" collapsed="false">
      <c r="B44" s="2" t="n">
        <v>12</v>
      </c>
      <c r="C44" s="3" t="n">
        <v>500</v>
      </c>
      <c r="D44" s="3" t="n">
        <v>4</v>
      </c>
      <c r="E44" s="2" t="n">
        <v>79.3</v>
      </c>
      <c r="F44" s="4" t="n">
        <v>2.69332921131829</v>
      </c>
      <c r="G44" s="2" t="n">
        <v>20</v>
      </c>
      <c r="H44" s="2" t="n">
        <v>38</v>
      </c>
      <c r="I44" s="5" t="n">
        <v>0.013593984962406</v>
      </c>
      <c r="J44" s="4" t="n">
        <v>500</v>
      </c>
      <c r="K44" s="4" t="n">
        <v>0.71</v>
      </c>
      <c r="L44" s="6" t="n">
        <f aca="false">J44/200000</f>
        <v>0.0025</v>
      </c>
      <c r="P44" s="4" t="n">
        <f aca="false">$Q$2*($Q$3*$G44+$Q$4*$B44^$Q$5*$I44^$Q$6)*$L44^$Q$7</f>
        <v>0.504236534502655</v>
      </c>
      <c r="Q44" s="4" t="n">
        <f aca="false">P44/$K44</f>
        <v>0.710192302116416</v>
      </c>
      <c r="S44" s="4" t="n">
        <f aca="false">$T$2*$B44^$T$3*$L44^$T$4*($T$5*$I44^$T$6+$T$7)</f>
        <v>0.510889651772369</v>
      </c>
      <c r="T44" s="4" t="n">
        <f aca="false">S44/$K44</f>
        <v>0.719562889820238</v>
      </c>
      <c r="V44" s="4"/>
      <c r="W44" s="4"/>
    </row>
    <row r="45" customFormat="false" ht="14.25" hidden="false" customHeight="false" outlineLevel="0" collapsed="false">
      <c r="B45" s="2" t="n">
        <v>12</v>
      </c>
      <c r="C45" s="3" t="n">
        <v>500</v>
      </c>
      <c r="D45" s="3" t="n">
        <v>4</v>
      </c>
      <c r="E45" s="2" t="n">
        <v>79.3</v>
      </c>
      <c r="F45" s="4" t="n">
        <v>2.69332921131829</v>
      </c>
      <c r="G45" s="2" t="n">
        <v>20</v>
      </c>
      <c r="H45" s="2" t="n">
        <v>38</v>
      </c>
      <c r="I45" s="5" t="n">
        <v>0.013593984962406</v>
      </c>
      <c r="J45" s="4" t="n">
        <v>500</v>
      </c>
      <c r="K45" s="4" t="n">
        <v>0.79</v>
      </c>
      <c r="L45" s="6" t="n">
        <f aca="false">J45/200000</f>
        <v>0.0025</v>
      </c>
      <c r="P45" s="4" t="n">
        <f aca="false">$Q$2*($Q$3*$G45+$Q$4*$B45^$Q$5*$I45^$Q$6)*$L45^$Q$7</f>
        <v>0.504236534502655</v>
      </c>
      <c r="Q45" s="4" t="n">
        <f aca="false">P45/$K45</f>
        <v>0.638274094307158</v>
      </c>
      <c r="S45" s="4" t="n">
        <f aca="false">$T$2*$B45^$T$3*$L45^$T$4*($T$5*$I45^$T$6+$T$7)</f>
        <v>0.510889651772369</v>
      </c>
      <c r="T45" s="4" t="n">
        <f aca="false">S45/$K45</f>
        <v>0.646695761737176</v>
      </c>
      <c r="V45" s="4"/>
      <c r="W45" s="4"/>
    </row>
    <row r="46" customFormat="false" ht="14.25" hidden="false" customHeight="false" outlineLevel="0" collapsed="false">
      <c r="A46" s="1" t="s">
        <v>28</v>
      </c>
      <c r="B46" s="2" t="n">
        <v>25</v>
      </c>
      <c r="C46" s="3" t="n">
        <v>500</v>
      </c>
      <c r="D46" s="3" t="n">
        <v>4</v>
      </c>
      <c r="E46" s="2" t="n">
        <v>62</v>
      </c>
      <c r="F46" s="4" t="n">
        <v>2.69332921131829</v>
      </c>
      <c r="G46" s="2" t="n">
        <v>20</v>
      </c>
      <c r="H46" s="2" t="n">
        <v>44.5</v>
      </c>
      <c r="I46" s="5" t="n">
        <v>0.0544670511994589</v>
      </c>
      <c r="J46" s="4" t="n">
        <v>66.0344882356234</v>
      </c>
      <c r="K46" s="4" t="n">
        <v>0.2</v>
      </c>
      <c r="L46" s="6" t="n">
        <f aca="false">J46/200000</f>
        <v>0.000330172441178117</v>
      </c>
      <c r="P46" s="4" t="n">
        <f aca="false">$Q$2*($Q$3*$G46+$Q$4*$B46^$Q$5*$I46^$Q$6)*$L46^$Q$7</f>
        <v>0.104354244142493</v>
      </c>
      <c r="Q46" s="4" t="n">
        <f aca="false">P46/$K46</f>
        <v>0.521771220712464</v>
      </c>
      <c r="S46" s="4" t="n">
        <f aca="false">$T$2*$B46^$T$3*$L46^$T$4*($T$5*$I46^$T$6+$T$7)</f>
        <v>0.101396639496071</v>
      </c>
      <c r="T46" s="4" t="n">
        <f aca="false">S46/$K46</f>
        <v>0.506983197480356</v>
      </c>
      <c r="V46" s="4"/>
      <c r="W46" s="4"/>
    </row>
    <row r="47" customFormat="false" ht="14.25" hidden="false" customHeight="false" outlineLevel="0" collapsed="false">
      <c r="B47" s="2" t="n">
        <v>25</v>
      </c>
      <c r="C47" s="3" t="n">
        <v>500</v>
      </c>
      <c r="D47" s="3" t="n">
        <v>4</v>
      </c>
      <c r="E47" s="2" t="n">
        <v>62</v>
      </c>
      <c r="F47" s="4" t="n">
        <v>2.69332921131829</v>
      </c>
      <c r="G47" s="2" t="n">
        <v>20</v>
      </c>
      <c r="H47" s="2" t="n">
        <v>44.5</v>
      </c>
      <c r="I47" s="5" t="n">
        <v>0.0544670511994589</v>
      </c>
      <c r="J47" s="4" t="n">
        <v>151.485892694246</v>
      </c>
      <c r="K47" s="4" t="n">
        <v>0.25</v>
      </c>
      <c r="L47" s="6" t="n">
        <f aca="false">J47/200000</f>
        <v>0.000757429463471228</v>
      </c>
      <c r="P47" s="4" t="n">
        <f aca="false">$Q$2*($Q$3*$G47+$Q$4*$B47^$Q$5*$I47^$Q$6)*$L47^$Q$7</f>
        <v>0.209263781149537</v>
      </c>
      <c r="Q47" s="4" t="n">
        <f aca="false">P47/$K47</f>
        <v>0.837055124598148</v>
      </c>
      <c r="S47" s="4" t="n">
        <f aca="false">$T$2*$B47^$T$3*$L47^$T$4*($T$5*$I47^$T$6+$T$7)</f>
        <v>0.206052142805407</v>
      </c>
      <c r="T47" s="4" t="n">
        <f aca="false">S47/$K47</f>
        <v>0.824208571221628</v>
      </c>
      <c r="V47" s="4"/>
      <c r="W47" s="4"/>
    </row>
    <row r="48" customFormat="false" ht="14.25" hidden="false" customHeight="false" outlineLevel="0" collapsed="false">
      <c r="B48" s="2" t="n">
        <v>25</v>
      </c>
      <c r="C48" s="3" t="n">
        <v>500</v>
      </c>
      <c r="D48" s="3" t="n">
        <v>4</v>
      </c>
      <c r="E48" s="2" t="n">
        <v>62</v>
      </c>
      <c r="F48" s="4" t="n">
        <v>2.69332921131829</v>
      </c>
      <c r="G48" s="2" t="n">
        <v>20</v>
      </c>
      <c r="H48" s="2" t="n">
        <v>44.5</v>
      </c>
      <c r="I48" s="5" t="n">
        <v>0.0544670511994589</v>
      </c>
      <c r="J48" s="4" t="n">
        <v>248.796783514185</v>
      </c>
      <c r="K48" s="4" t="n">
        <v>0.36</v>
      </c>
      <c r="L48" s="6" t="n">
        <f aca="false">J48/200000</f>
        <v>0.00124398391757093</v>
      </c>
      <c r="P48" s="4" t="n">
        <f aca="false">$Q$2*($Q$3*$G48+$Q$4*$B48^$Q$5*$I48^$Q$6)*$L48^$Q$7</f>
        <v>0.317146616644219</v>
      </c>
      <c r="Q48" s="4" t="n">
        <f aca="false">P48/$K48</f>
        <v>0.88096282401172</v>
      </c>
      <c r="S48" s="4" t="n">
        <f aca="false">$T$2*$B48^$T$3*$L48^$T$4*($T$5*$I48^$T$6+$T$7)</f>
        <v>0.31476809871263</v>
      </c>
      <c r="T48" s="4" t="n">
        <f aca="false">S48/$K48</f>
        <v>0.874355829757305</v>
      </c>
      <c r="V48" s="4"/>
      <c r="W48" s="4"/>
    </row>
    <row r="49" customFormat="false" ht="14.25" hidden="false" customHeight="false" outlineLevel="0" collapsed="false">
      <c r="B49" s="2" t="n">
        <v>25</v>
      </c>
      <c r="C49" s="3" t="n">
        <v>500</v>
      </c>
      <c r="D49" s="3" t="n">
        <v>4</v>
      </c>
      <c r="E49" s="2" t="n">
        <v>62</v>
      </c>
      <c r="F49" s="4" t="n">
        <v>2.69332921131829</v>
      </c>
      <c r="G49" s="2" t="n">
        <v>20</v>
      </c>
      <c r="H49" s="2" t="n">
        <v>44.5</v>
      </c>
      <c r="I49" s="5" t="n">
        <v>0.0544670511994589</v>
      </c>
      <c r="J49" s="4" t="n">
        <v>346.107674334125</v>
      </c>
      <c r="K49" s="4" t="n">
        <v>0.47</v>
      </c>
      <c r="L49" s="6" t="n">
        <f aca="false">J49/200000</f>
        <v>0.00173053837167062</v>
      </c>
      <c r="P49" s="4" t="n">
        <f aca="false">$Q$2*($Q$3*$G49+$Q$4*$B49^$Q$5*$I49^$Q$6)*$L49^$Q$7</f>
        <v>0.41821651871981</v>
      </c>
      <c r="Q49" s="4" t="n">
        <f aca="false">P49/$K49</f>
        <v>0.889822380254915</v>
      </c>
      <c r="S49" s="4" t="n">
        <f aca="false">$T$2*$B49^$T$3*$L49^$T$4*($T$5*$I49^$T$6+$T$7)</f>
        <v>0.417278178769153</v>
      </c>
      <c r="T49" s="4" t="n">
        <f aca="false">S49/$K49</f>
        <v>0.887825912274794</v>
      </c>
      <c r="V49" s="4"/>
      <c r="W49" s="4"/>
    </row>
    <row r="50" customFormat="false" ht="14.25" hidden="false" customHeight="false" outlineLevel="0" collapsed="false">
      <c r="B50" s="2" t="n">
        <v>25</v>
      </c>
      <c r="C50" s="3" t="n">
        <v>500</v>
      </c>
      <c r="D50" s="3" t="n">
        <v>4</v>
      </c>
      <c r="E50" s="2" t="n">
        <v>62</v>
      </c>
      <c r="F50" s="4" t="n">
        <v>2.69332921131829</v>
      </c>
      <c r="G50" s="2" t="n">
        <v>20</v>
      </c>
      <c r="H50" s="2" t="n">
        <v>44.5</v>
      </c>
      <c r="I50" s="5" t="n">
        <v>0.0544670511994589</v>
      </c>
      <c r="J50" s="4" t="n">
        <v>419.09084244908</v>
      </c>
      <c r="K50" s="4" t="n">
        <v>0.57</v>
      </c>
      <c r="L50" s="6" t="n">
        <f aca="false">J50/200000</f>
        <v>0.0020954542122454</v>
      </c>
      <c r="P50" s="4" t="n">
        <f aca="false">$Q$2*($Q$3*$G50+$Q$4*$B50^$Q$5*$I50^$Q$6)*$L50^$Q$7</f>
        <v>0.490949045513908</v>
      </c>
      <c r="Q50" s="4" t="n">
        <f aca="false">P50/$K50</f>
        <v>0.86131411493668</v>
      </c>
      <c r="S50" s="4" t="n">
        <f aca="false">$T$2*$B50^$T$3*$L50^$T$4*($T$5*$I50^$T$6+$T$7)</f>
        <v>0.491349436962208</v>
      </c>
      <c r="T50" s="4" t="n">
        <f aca="false">S50/$K50</f>
        <v>0.862016556074049</v>
      </c>
      <c r="V50" s="4"/>
      <c r="W50" s="4"/>
    </row>
    <row r="51" customFormat="false" ht="14.25" hidden="false" customHeight="false" outlineLevel="0" collapsed="false">
      <c r="B51" s="2" t="n">
        <v>25</v>
      </c>
      <c r="C51" s="3" t="n">
        <v>500</v>
      </c>
      <c r="D51" s="3" t="n">
        <v>4</v>
      </c>
      <c r="E51" s="2" t="n">
        <v>62</v>
      </c>
      <c r="F51" s="4" t="n">
        <v>2.69332921131829</v>
      </c>
      <c r="G51" s="2" t="n">
        <v>20</v>
      </c>
      <c r="H51" s="2" t="n">
        <v>44.5</v>
      </c>
      <c r="I51" s="5" t="n">
        <v>0.0544670511994589</v>
      </c>
      <c r="J51" s="4" t="n">
        <v>500</v>
      </c>
      <c r="K51" s="4" t="n">
        <v>0.78</v>
      </c>
      <c r="L51" s="6" t="n">
        <f aca="false">J51/200000</f>
        <v>0.0025</v>
      </c>
      <c r="P51" s="4" t="n">
        <f aca="false">$Q$2*($Q$3*$G51+$Q$4*$B51^$Q$5*$I51^$Q$6)*$L51^$Q$7</f>
        <v>0.569218538925957</v>
      </c>
      <c r="Q51" s="4" t="n">
        <f aca="false">P51/$K51</f>
        <v>0.729767357597381</v>
      </c>
      <c r="S51" s="4" t="n">
        <f aca="false">$T$2*$B51^$T$3*$L51^$T$4*($T$5*$I51^$T$6+$T$7)</f>
        <v>0.571294007016179</v>
      </c>
      <c r="T51" s="4" t="n">
        <f aca="false">S51/$K51</f>
        <v>0.732428214123306</v>
      </c>
      <c r="V51" s="4"/>
      <c r="W51" s="4"/>
    </row>
    <row r="52" customFormat="false" ht="14.25" hidden="false" customHeight="false" outlineLevel="0" collapsed="false">
      <c r="A52" s="1" t="s">
        <v>29</v>
      </c>
      <c r="B52" s="2" t="n">
        <v>12</v>
      </c>
      <c r="C52" s="3" t="n">
        <v>500</v>
      </c>
      <c r="D52" s="3" t="n">
        <v>4</v>
      </c>
      <c r="E52" s="2" t="n">
        <v>79.3</v>
      </c>
      <c r="F52" s="4" t="n">
        <v>2.69332921131829</v>
      </c>
      <c r="G52" s="2" t="n">
        <v>20</v>
      </c>
      <c r="H52" s="2" t="n">
        <v>34</v>
      </c>
      <c r="I52" s="5" t="n">
        <v>0.0151932773109244</v>
      </c>
      <c r="J52" s="4" t="n">
        <v>104.527156235258</v>
      </c>
      <c r="K52" s="4" t="n">
        <v>0.21</v>
      </c>
      <c r="L52" s="6" t="n">
        <f aca="false">J52/200000</f>
        <v>0.000522635781176292</v>
      </c>
      <c r="P52" s="4" t="n">
        <f aca="false">$Q$2*($Q$3*$G52+$Q$4*$B52^$Q$5*$I52^$Q$6)*$L52^$Q$7</f>
        <v>0.128594656541964</v>
      </c>
      <c r="Q52" s="4" t="n">
        <f aca="false">P52/$K52</f>
        <v>0.612355507342684</v>
      </c>
      <c r="S52" s="4" t="n">
        <f aca="false">$T$2*$B52^$T$3*$L52^$T$4*($T$5*$I52^$T$6+$T$7)</f>
        <v>0.125897936307243</v>
      </c>
      <c r="T52" s="4" t="n">
        <f aca="false">S52/$K52</f>
        <v>0.599513982415442</v>
      </c>
      <c r="V52" s="4"/>
      <c r="W52" s="4"/>
    </row>
    <row r="53" customFormat="false" ht="14.25" hidden="false" customHeight="false" outlineLevel="0" collapsed="false">
      <c r="B53" s="2" t="n">
        <v>12</v>
      </c>
      <c r="C53" s="3" t="n">
        <v>500</v>
      </c>
      <c r="D53" s="3" t="n">
        <v>4</v>
      </c>
      <c r="E53" s="2" t="n">
        <v>79.3</v>
      </c>
      <c r="F53" s="4" t="n">
        <v>2.69332921131829</v>
      </c>
      <c r="G53" s="2" t="n">
        <v>20</v>
      </c>
      <c r="H53" s="2" t="n">
        <v>34</v>
      </c>
      <c r="I53" s="5" t="n">
        <v>0.0151932773109244</v>
      </c>
      <c r="J53" s="4" t="n">
        <v>164.489776913513</v>
      </c>
      <c r="K53" s="4" t="n">
        <v>0.31</v>
      </c>
      <c r="L53" s="6" t="n">
        <f aca="false">J53/200000</f>
        <v>0.000822448884567563</v>
      </c>
      <c r="P53" s="4" t="n">
        <f aca="false">$Q$2*($Q$3*$G53+$Q$4*$B53^$Q$5*$I53^$Q$6)*$L53^$Q$7</f>
        <v>0.188032671121256</v>
      </c>
      <c r="Q53" s="4" t="n">
        <f aca="false">P53/$K53</f>
        <v>0.606557003616954</v>
      </c>
      <c r="S53" s="4" t="n">
        <f aca="false">$T$2*$B53^$T$3*$L53^$T$4*($T$5*$I53^$T$6+$T$7)</f>
        <v>0.185429813022709</v>
      </c>
      <c r="T53" s="4" t="n">
        <f aca="false">S53/$K53</f>
        <v>0.598160687170029</v>
      </c>
      <c r="V53" s="4"/>
      <c r="W53" s="4"/>
    </row>
    <row r="54" customFormat="false" ht="14.25" hidden="false" customHeight="false" outlineLevel="0" collapsed="false">
      <c r="B54" s="2" t="n">
        <v>12</v>
      </c>
      <c r="C54" s="3" t="n">
        <v>500</v>
      </c>
      <c r="D54" s="3" t="n">
        <v>4</v>
      </c>
      <c r="E54" s="2" t="n">
        <v>79.3</v>
      </c>
      <c r="F54" s="4" t="n">
        <v>2.69332921131829</v>
      </c>
      <c r="G54" s="2" t="n">
        <v>20</v>
      </c>
      <c r="H54" s="2" t="n">
        <v>34</v>
      </c>
      <c r="I54" s="5" t="n">
        <v>0.0151932773109244</v>
      </c>
      <c r="J54" s="4" t="n">
        <v>224.452397591767</v>
      </c>
      <c r="K54" s="4" t="n">
        <v>0.38</v>
      </c>
      <c r="L54" s="6" t="n">
        <f aca="false">J54/200000</f>
        <v>0.00112226198795883</v>
      </c>
      <c r="P54" s="4" t="n">
        <f aca="false">$Q$2*($Q$3*$G54+$Q$4*$B54^$Q$5*$I54^$Q$6)*$L54^$Q$7</f>
        <v>0.243978202960003</v>
      </c>
      <c r="Q54" s="4" t="n">
        <f aca="false">P54/$K54</f>
        <v>0.642047902526324</v>
      </c>
      <c r="S54" s="4" t="n">
        <f aca="false">$T$2*$B54^$T$3*$L54^$T$4*($T$5*$I54^$T$6+$T$7)</f>
        <v>0.241800413067388</v>
      </c>
      <c r="T54" s="4" t="n">
        <f aca="false">S54/$K54</f>
        <v>0.636316876493125</v>
      </c>
      <c r="V54" s="4"/>
      <c r="W54" s="4"/>
    </row>
    <row r="55" customFormat="false" ht="14.25" hidden="false" customHeight="false" outlineLevel="0" collapsed="false">
      <c r="B55" s="2" t="n">
        <v>12</v>
      </c>
      <c r="C55" s="3" t="n">
        <v>500</v>
      </c>
      <c r="D55" s="3" t="n">
        <v>4</v>
      </c>
      <c r="E55" s="2" t="n">
        <v>79.3</v>
      </c>
      <c r="F55" s="4" t="n">
        <v>2.69332921131829</v>
      </c>
      <c r="G55" s="2" t="n">
        <v>20</v>
      </c>
      <c r="H55" s="2" t="n">
        <v>34</v>
      </c>
      <c r="I55" s="5" t="n">
        <v>0.0151932773109244</v>
      </c>
      <c r="J55" s="4" t="n">
        <v>344.377638948275</v>
      </c>
      <c r="K55" s="4" t="n">
        <v>0.52</v>
      </c>
      <c r="L55" s="6" t="n">
        <f aca="false">J55/200000</f>
        <v>0.00172188819474137</v>
      </c>
      <c r="P55" s="4" t="n">
        <f aca="false">$Q$2*($Q$3*$G55+$Q$4*$B55^$Q$5*$I55^$Q$6)*$L55^$Q$7</f>
        <v>0.349256253370432</v>
      </c>
      <c r="Q55" s="4" t="n">
        <f aca="false">P55/$K55</f>
        <v>0.671646641096984</v>
      </c>
      <c r="S55" s="4" t="n">
        <f aca="false">$T$2*$B55^$T$3*$L55^$T$4*($T$5*$I55^$T$6+$T$7)</f>
        <v>0.348517646171521</v>
      </c>
      <c r="T55" s="4" t="n">
        <f aca="false">S55/$K55</f>
        <v>0.67022624263754</v>
      </c>
      <c r="V55" s="4"/>
      <c r="W55" s="4"/>
    </row>
    <row r="56" customFormat="false" ht="14.25" hidden="false" customHeight="false" outlineLevel="0" collapsed="false">
      <c r="B56" s="2" t="n">
        <v>12</v>
      </c>
      <c r="C56" s="3" t="n">
        <v>500</v>
      </c>
      <c r="D56" s="3" t="n">
        <v>4</v>
      </c>
      <c r="E56" s="2" t="n">
        <v>79.3</v>
      </c>
      <c r="F56" s="4" t="n">
        <v>2.69332921131829</v>
      </c>
      <c r="G56" s="2" t="n">
        <v>20</v>
      </c>
      <c r="H56" s="2" t="n">
        <v>34</v>
      </c>
      <c r="I56" s="5" t="n">
        <v>0.0151932773109244</v>
      </c>
      <c r="J56" s="4" t="n">
        <v>500</v>
      </c>
      <c r="K56" s="4" t="n">
        <v>0.74</v>
      </c>
      <c r="L56" s="6" t="n">
        <f aca="false">J56/200000</f>
        <v>0.0025</v>
      </c>
      <c r="P56" s="4" t="n">
        <f aca="false">$Q$2*($Q$3*$G56+$Q$4*$B56^$Q$5*$I56^$Q$6)*$L56^$Q$7</f>
        <v>0.47735972124261</v>
      </c>
      <c r="Q56" s="4" t="n">
        <f aca="false">P56/$K56</f>
        <v>0.645080704381906</v>
      </c>
      <c r="S56" s="4" t="n">
        <f aca="false">$T$2*$B56^$T$3*$L56^$T$4*($T$5*$I56^$T$6+$T$7)</f>
        <v>0.479200556343991</v>
      </c>
      <c r="T56" s="4" t="n">
        <f aca="false">S56/$K56</f>
        <v>0.647568319383772</v>
      </c>
      <c r="V56" s="4"/>
      <c r="W56" s="4"/>
    </row>
    <row r="57" customFormat="false" ht="14.25" hidden="false" customHeight="false" outlineLevel="0" collapsed="false">
      <c r="A57" s="1" t="s">
        <v>30</v>
      </c>
      <c r="B57" s="2" t="n">
        <v>12</v>
      </c>
      <c r="C57" s="3" t="n">
        <v>500</v>
      </c>
      <c r="D57" s="3" t="n">
        <v>4</v>
      </c>
      <c r="E57" s="2" t="n">
        <v>79.3</v>
      </c>
      <c r="F57" s="4" t="n">
        <v>2.69332921131829</v>
      </c>
      <c r="G57" s="2" t="n">
        <v>20</v>
      </c>
      <c r="H57" s="2" t="n">
        <v>34</v>
      </c>
      <c r="I57" s="5" t="n">
        <v>0.0151932773109244</v>
      </c>
      <c r="J57" s="4" t="n">
        <v>104.527156235258</v>
      </c>
      <c r="K57" s="4" t="n">
        <v>0.17</v>
      </c>
      <c r="L57" s="6" t="n">
        <f aca="false">J57/200000</f>
        <v>0.000522635781176292</v>
      </c>
      <c r="P57" s="4" t="n">
        <f aca="false">$Q$2*($Q$3*$G57+$Q$4*$B57^$Q$5*$I57^$Q$6)*$L57^$Q$7</f>
        <v>0.128594656541964</v>
      </c>
      <c r="Q57" s="4" t="n">
        <f aca="false">P57/$K57</f>
        <v>0.756439156129198</v>
      </c>
      <c r="S57" s="4" t="n">
        <f aca="false">$T$2*$B57^$T$3*$L57^$T$4*($T$5*$I57^$T$6+$T$7)</f>
        <v>0.125897936307243</v>
      </c>
      <c r="T57" s="4" t="n">
        <f aca="false">S57/$K57</f>
        <v>0.740576095924958</v>
      </c>
      <c r="V57" s="4"/>
      <c r="W57" s="4"/>
    </row>
    <row r="58" customFormat="false" ht="14.25" hidden="false" customHeight="false" outlineLevel="0" collapsed="false">
      <c r="B58" s="2" t="n">
        <v>12</v>
      </c>
      <c r="C58" s="3" t="n">
        <v>500</v>
      </c>
      <c r="D58" s="3" t="n">
        <v>4</v>
      </c>
      <c r="E58" s="2" t="n">
        <v>79.3</v>
      </c>
      <c r="F58" s="4" t="n">
        <v>2.69332921131829</v>
      </c>
      <c r="G58" s="2" t="n">
        <v>20</v>
      </c>
      <c r="H58" s="2" t="n">
        <v>34</v>
      </c>
      <c r="I58" s="5" t="n">
        <v>0.0151932773109244</v>
      </c>
      <c r="J58" s="4" t="n">
        <v>224.452397591767</v>
      </c>
      <c r="K58" s="4" t="n">
        <v>0.36</v>
      </c>
      <c r="L58" s="6" t="n">
        <f aca="false">J58/200000</f>
        <v>0.00112226198795883</v>
      </c>
      <c r="P58" s="4" t="n">
        <f aca="false">$Q$2*($Q$3*$G58+$Q$4*$B58^$Q$5*$I58^$Q$6)*$L58^$Q$7</f>
        <v>0.243978202960003</v>
      </c>
      <c r="Q58" s="4" t="n">
        <f aca="false">P58/$K58</f>
        <v>0.677717230444453</v>
      </c>
      <c r="S58" s="4" t="n">
        <f aca="false">$T$2*$B58^$T$3*$L58^$T$4*($T$5*$I58^$T$6+$T$7)</f>
        <v>0.241800413067388</v>
      </c>
      <c r="T58" s="4" t="n">
        <f aca="false">S58/$K58</f>
        <v>0.671667814076077</v>
      </c>
      <c r="V58" s="4"/>
      <c r="W58" s="4"/>
    </row>
    <row r="59" customFormat="false" ht="14.25" hidden="false" customHeight="false" outlineLevel="0" collapsed="false">
      <c r="B59" s="2" t="n">
        <v>12</v>
      </c>
      <c r="C59" s="3" t="n">
        <v>500</v>
      </c>
      <c r="D59" s="3" t="n">
        <v>4</v>
      </c>
      <c r="E59" s="2" t="n">
        <v>79.3</v>
      </c>
      <c r="F59" s="4" t="n">
        <v>2.69332921131829</v>
      </c>
      <c r="G59" s="2" t="n">
        <v>20</v>
      </c>
      <c r="H59" s="2" t="n">
        <v>34</v>
      </c>
      <c r="I59" s="5" t="n">
        <v>0.0151932773109244</v>
      </c>
      <c r="J59" s="4" t="n">
        <v>344.377638948275</v>
      </c>
      <c r="K59" s="4" t="n">
        <v>0.56</v>
      </c>
      <c r="L59" s="6" t="n">
        <f aca="false">J59/200000</f>
        <v>0.00172188819474137</v>
      </c>
      <c r="P59" s="4" t="n">
        <f aca="false">$Q$2*($Q$3*$G59+$Q$4*$B59^$Q$5*$I59^$Q$6)*$L59^$Q$7</f>
        <v>0.349256253370432</v>
      </c>
      <c r="Q59" s="4" t="n">
        <f aca="false">P59/$K59</f>
        <v>0.623671881018628</v>
      </c>
      <c r="S59" s="4" t="n">
        <f aca="false">$T$2*$B59^$T$3*$L59^$T$4*($T$5*$I59^$T$6+$T$7)</f>
        <v>0.348517646171521</v>
      </c>
      <c r="T59" s="4" t="n">
        <f aca="false">S59/$K59</f>
        <v>0.622352939592001</v>
      </c>
      <c r="V59" s="4"/>
      <c r="W59" s="4"/>
    </row>
    <row r="60" customFormat="false" ht="14.25" hidden="false" customHeight="false" outlineLevel="0" collapsed="false">
      <c r="B60" s="2" t="n">
        <v>12</v>
      </c>
      <c r="C60" s="3" t="n">
        <v>500</v>
      </c>
      <c r="D60" s="3" t="n">
        <v>4</v>
      </c>
      <c r="E60" s="2" t="n">
        <v>79.3</v>
      </c>
      <c r="F60" s="4" t="n">
        <v>2.69332921131829</v>
      </c>
      <c r="G60" s="2" t="n">
        <v>20</v>
      </c>
      <c r="H60" s="2" t="n">
        <v>34</v>
      </c>
      <c r="I60" s="5" t="n">
        <v>0.0151932773109244</v>
      </c>
      <c r="J60" s="4" t="n">
        <v>500</v>
      </c>
      <c r="K60" s="4" t="n">
        <v>0.78</v>
      </c>
      <c r="L60" s="6" t="n">
        <f aca="false">J60/200000</f>
        <v>0.0025</v>
      </c>
      <c r="P60" s="4" t="n">
        <f aca="false">$Q$2*($Q$3*$G60+$Q$4*$B60^$Q$5*$I60^$Q$6)*$L60^$Q$7</f>
        <v>0.47735972124261</v>
      </c>
      <c r="Q60" s="4" t="n">
        <f aca="false">P60/$K60</f>
        <v>0.611999642618731</v>
      </c>
      <c r="S60" s="4" t="n">
        <f aca="false">$T$2*$B60^$T$3*$L60^$T$4*($T$5*$I60^$T$6+$T$7)</f>
        <v>0.479200556343991</v>
      </c>
      <c r="T60" s="4" t="n">
        <f aca="false">S60/$K60</f>
        <v>0.614359687620502</v>
      </c>
      <c r="V60" s="4"/>
      <c r="W60" s="4"/>
    </row>
    <row r="61" customFormat="false" ht="14.25" hidden="false" customHeight="false" outlineLevel="0" collapsed="false">
      <c r="A61" s="1" t="s">
        <v>31</v>
      </c>
      <c r="B61" s="2" t="n">
        <v>12</v>
      </c>
      <c r="C61" s="3" t="n">
        <v>500</v>
      </c>
      <c r="D61" s="3" t="n">
        <v>4</v>
      </c>
      <c r="E61" s="2" t="n">
        <v>46</v>
      </c>
      <c r="F61" s="4" t="n">
        <v>2.69332921131829</v>
      </c>
      <c r="G61" s="2" t="n">
        <v>70</v>
      </c>
      <c r="H61" s="2" t="n">
        <v>88</v>
      </c>
      <c r="I61" s="5" t="n">
        <v>0.0102200677657071</v>
      </c>
      <c r="J61" s="4" t="n">
        <v>108.963432678732</v>
      </c>
      <c r="K61" s="4" t="n">
        <v>0.31</v>
      </c>
      <c r="L61" s="6" t="n">
        <f aca="false">J61/200000</f>
        <v>0.000544817163393661</v>
      </c>
      <c r="P61" s="4" t="n">
        <f aca="false">$Q$2*($Q$3*$G61+$Q$4*$B61^$Q$5*$I61^$Q$6)*$L61^$Q$7</f>
        <v>0.163624886281398</v>
      </c>
      <c r="Q61" s="4" t="n">
        <f aca="false">P61/$K61</f>
        <v>0.527822213810961</v>
      </c>
      <c r="S61" s="4" t="n">
        <f aca="false">$T$2*$B61^$T$3*$L61^$T$4*($T$5*$I61^$T$6+$T$7)</f>
        <v>0.164456138503124</v>
      </c>
      <c r="T61" s="4" t="n">
        <f aca="false">S61/$K61</f>
        <v>0.530503672590724</v>
      </c>
      <c r="V61" s="4"/>
      <c r="W61" s="4"/>
    </row>
    <row r="62" customFormat="false" ht="14.25" hidden="false" customHeight="false" outlineLevel="0" collapsed="false">
      <c r="B62" s="2" t="n">
        <v>12</v>
      </c>
      <c r="C62" s="3" t="n">
        <v>500</v>
      </c>
      <c r="D62" s="3" t="n">
        <v>4</v>
      </c>
      <c r="E62" s="2" t="n">
        <v>46</v>
      </c>
      <c r="F62" s="4" t="n">
        <v>2.69332921131829</v>
      </c>
      <c r="G62" s="2" t="n">
        <v>70</v>
      </c>
      <c r="H62" s="2" t="n">
        <v>88</v>
      </c>
      <c r="I62" s="5" t="n">
        <v>0.0102200677657071</v>
      </c>
      <c r="J62" s="4" t="n">
        <v>187.065765714343</v>
      </c>
      <c r="K62" s="4" t="n">
        <v>0.44</v>
      </c>
      <c r="L62" s="6" t="n">
        <f aca="false">J62/200000</f>
        <v>0.000935328828571715</v>
      </c>
      <c r="P62" s="4" t="n">
        <f aca="false">$Q$2*($Q$3*$G62+$Q$4*$B62^$Q$5*$I62^$Q$6)*$L62^$Q$7</f>
        <v>0.257358966529511</v>
      </c>
      <c r="Q62" s="4" t="n">
        <f aca="false">P62/$K62</f>
        <v>0.584906742112526</v>
      </c>
      <c r="S62" s="4" t="n">
        <f aca="false">$T$2*$B62^$T$3*$L62^$T$4*($T$5*$I62^$T$6+$T$7)</f>
        <v>0.26091283963689</v>
      </c>
      <c r="T62" s="4" t="n">
        <f aca="false">S62/$K62</f>
        <v>0.592983726447477</v>
      </c>
      <c r="V62" s="4"/>
      <c r="W62" s="4"/>
    </row>
    <row r="63" customFormat="false" ht="14.25" hidden="false" customHeight="false" outlineLevel="0" collapsed="false">
      <c r="A63" s="1" t="s">
        <v>32</v>
      </c>
      <c r="B63" s="2" t="n">
        <v>12</v>
      </c>
      <c r="C63" s="3" t="n">
        <v>500</v>
      </c>
      <c r="D63" s="3" t="n">
        <v>4</v>
      </c>
      <c r="E63" s="2" t="n">
        <v>46</v>
      </c>
      <c r="F63" s="4" t="n">
        <v>2.69332921131829</v>
      </c>
      <c r="G63" s="2" t="n">
        <v>70</v>
      </c>
      <c r="H63" s="2" t="n">
        <v>84</v>
      </c>
      <c r="I63" s="5" t="n">
        <v>0.0102317587896877</v>
      </c>
      <c r="J63" s="4" t="n">
        <v>27.5195061171193</v>
      </c>
      <c r="K63" s="4" t="n">
        <v>0.14</v>
      </c>
      <c r="L63" s="6" t="n">
        <f aca="false">J63/200000</f>
        <v>0.000137597530585597</v>
      </c>
      <c r="P63" s="4" t="n">
        <f aca="false">$Q$2*($Q$3*$G63+$Q$4*$B63^$Q$5*$I63^$Q$6)*$L63^$Q$7</f>
        <v>0.0516160567467552</v>
      </c>
      <c r="Q63" s="4" t="n">
        <f aca="false">P63/$K63</f>
        <v>0.36868611961968</v>
      </c>
      <c r="S63" s="4" t="n">
        <f aca="false">$T$2*$B63^$T$3*$L63^$T$4*($T$5*$I63^$T$6+$T$7)</f>
        <v>0.0507422416272636</v>
      </c>
      <c r="T63" s="4" t="n">
        <f aca="false">S63/$K63</f>
        <v>0.362444583051883</v>
      </c>
      <c r="V63" s="4"/>
      <c r="W63" s="4"/>
    </row>
    <row r="64" customFormat="false" ht="14.25" hidden="false" customHeight="false" outlineLevel="0" collapsed="false">
      <c r="B64" s="2" t="n">
        <v>12</v>
      </c>
      <c r="C64" s="3" t="n">
        <v>500</v>
      </c>
      <c r="D64" s="3" t="n">
        <v>4</v>
      </c>
      <c r="E64" s="2" t="n">
        <v>46</v>
      </c>
      <c r="F64" s="4" t="n">
        <v>2.69332921131829</v>
      </c>
      <c r="G64" s="2" t="n">
        <v>70</v>
      </c>
      <c r="H64" s="2" t="n">
        <v>84</v>
      </c>
      <c r="I64" s="5" t="n">
        <v>0.0102317587896877</v>
      </c>
      <c r="J64" s="4" t="n">
        <v>104.711161062044</v>
      </c>
      <c r="K64" s="4" t="n">
        <v>0.31</v>
      </c>
      <c r="L64" s="6" t="n">
        <f aca="false">J64/200000</f>
        <v>0.000523555805310218</v>
      </c>
      <c r="P64" s="4" t="n">
        <f aca="false">$Q$2*($Q$3*$G64+$Q$4*$B64^$Q$5*$I64^$Q$6)*$L64^$Q$7</f>
        <v>0.158168531988718</v>
      </c>
      <c r="Q64" s="4" t="n">
        <f aca="false">P64/$K64</f>
        <v>0.510221070931348</v>
      </c>
      <c r="S64" s="4" t="n">
        <f aca="false">$T$2*$B64^$T$3*$L64^$T$4*($T$5*$I64^$T$6+$T$7)</f>
        <v>0.158851217253112</v>
      </c>
      <c r="T64" s="4" t="n">
        <f aca="false">S64/$K64</f>
        <v>0.512423281461653</v>
      </c>
      <c r="V64" s="4"/>
      <c r="W64" s="4"/>
    </row>
    <row r="65" customFormat="false" ht="14.25" hidden="false" customHeight="false" outlineLevel="0" collapsed="false">
      <c r="B65" s="2" t="n">
        <v>12</v>
      </c>
      <c r="C65" s="3" t="n">
        <v>500</v>
      </c>
      <c r="D65" s="3" t="n">
        <v>4</v>
      </c>
      <c r="E65" s="2" t="n">
        <v>46</v>
      </c>
      <c r="F65" s="4" t="n">
        <v>2.69332921131829</v>
      </c>
      <c r="G65" s="2" t="n">
        <v>70</v>
      </c>
      <c r="H65" s="2" t="n">
        <v>84</v>
      </c>
      <c r="I65" s="5" t="n">
        <v>0.0102317587896877</v>
      </c>
      <c r="J65" s="4" t="n">
        <v>181.902816006968</v>
      </c>
      <c r="K65" s="4" t="n">
        <v>0.4</v>
      </c>
      <c r="L65" s="6" t="n">
        <f aca="false">J65/200000</f>
        <v>0.000909514080034839</v>
      </c>
      <c r="P65" s="4" t="n">
        <f aca="false">$Q$2*($Q$3*$G65+$Q$4*$B65^$Q$5*$I65^$Q$6)*$L65^$Q$7</f>
        <v>0.251253087098948</v>
      </c>
      <c r="Q65" s="4" t="n">
        <f aca="false">P65/$K65</f>
        <v>0.628132717747371</v>
      </c>
      <c r="S65" s="4" t="n">
        <f aca="false">$T$2*$B65^$T$3*$L65^$T$4*($T$5*$I65^$T$6+$T$7)</f>
        <v>0.254577145758227</v>
      </c>
      <c r="T65" s="4" t="n">
        <f aca="false">S65/$K65</f>
        <v>0.636442864395568</v>
      </c>
      <c r="V65" s="4"/>
      <c r="W65" s="4"/>
    </row>
    <row r="66" customFormat="false" ht="14.25" hidden="false" customHeight="false" outlineLevel="0" collapsed="false">
      <c r="A66" s="1" t="s">
        <v>33</v>
      </c>
      <c r="B66" s="2" t="n">
        <v>12</v>
      </c>
      <c r="C66" s="3" t="n">
        <v>500</v>
      </c>
      <c r="D66" s="3" t="n">
        <v>4</v>
      </c>
      <c r="E66" s="2" t="n">
        <v>46</v>
      </c>
      <c r="F66" s="4" t="n">
        <v>2.69332921131829</v>
      </c>
      <c r="G66" s="2" t="n">
        <v>70</v>
      </c>
      <c r="H66" s="2" t="n">
        <v>84</v>
      </c>
      <c r="I66" s="5" t="n">
        <v>0.0102317587896877</v>
      </c>
      <c r="J66" s="4" t="n">
        <v>27.5195061171193</v>
      </c>
      <c r="K66" s="4" t="n">
        <v>0.25</v>
      </c>
      <c r="L66" s="6" t="n">
        <f aca="false">J66/200000</f>
        <v>0.000137597530585597</v>
      </c>
      <c r="P66" s="4" t="n">
        <f aca="false">$Q$2*($Q$3*$G66+$Q$4*$B66^$Q$5*$I66^$Q$6)*$L66^$Q$7</f>
        <v>0.0516160567467552</v>
      </c>
      <c r="Q66" s="4" t="n">
        <f aca="false">P66/$K66</f>
        <v>0.206464226987021</v>
      </c>
      <c r="S66" s="4" t="n">
        <f aca="false">$T$2*$B66^$T$3*$L66^$T$4*($T$5*$I66^$T$6+$T$7)</f>
        <v>0.0507422416272636</v>
      </c>
      <c r="T66" s="4" t="n">
        <f aca="false">S66/$K66</f>
        <v>0.202968966509054</v>
      </c>
      <c r="V66" s="4"/>
      <c r="W66" s="4"/>
    </row>
    <row r="67" customFormat="false" ht="14.25" hidden="false" customHeight="false" outlineLevel="0" collapsed="false">
      <c r="B67" s="2" t="n">
        <v>12</v>
      </c>
      <c r="C67" s="3" t="n">
        <v>500</v>
      </c>
      <c r="D67" s="3" t="n">
        <v>4</v>
      </c>
      <c r="E67" s="2" t="n">
        <v>46</v>
      </c>
      <c r="F67" s="4" t="n">
        <v>2.69332921131829</v>
      </c>
      <c r="G67" s="2" t="n">
        <v>70</v>
      </c>
      <c r="H67" s="2" t="n">
        <v>84</v>
      </c>
      <c r="I67" s="5" t="n">
        <v>0.0102317587896877</v>
      </c>
      <c r="J67" s="4" t="n">
        <v>104.711161062044</v>
      </c>
      <c r="K67" s="4" t="n">
        <v>0.44</v>
      </c>
      <c r="L67" s="6" t="n">
        <f aca="false">J67/200000</f>
        <v>0.000523555805310218</v>
      </c>
      <c r="P67" s="4" t="n">
        <f aca="false">$Q$2*($Q$3*$G67+$Q$4*$B67^$Q$5*$I67^$Q$6)*$L67^$Q$7</f>
        <v>0.158168531988718</v>
      </c>
      <c r="Q67" s="4" t="n">
        <f aca="false">P67/$K67</f>
        <v>0.359473936337995</v>
      </c>
      <c r="S67" s="4" t="n">
        <f aca="false">$T$2*$B67^$T$3*$L67^$T$4*($T$5*$I67^$T$6+$T$7)</f>
        <v>0.158851217253112</v>
      </c>
      <c r="T67" s="4" t="n">
        <f aca="false">S67/$K67</f>
        <v>0.361025493757074</v>
      </c>
      <c r="V67" s="4"/>
      <c r="W67" s="4"/>
    </row>
    <row r="68" customFormat="false" ht="14.25" hidden="false" customHeight="false" outlineLevel="0" collapsed="false">
      <c r="B68" s="2" t="n">
        <v>12</v>
      </c>
      <c r="C68" s="3" t="n">
        <v>500</v>
      </c>
      <c r="D68" s="3" t="n">
        <v>4</v>
      </c>
      <c r="E68" s="2" t="n">
        <v>46</v>
      </c>
      <c r="F68" s="4" t="n">
        <v>2.69332921131829</v>
      </c>
      <c r="G68" s="2" t="n">
        <v>70</v>
      </c>
      <c r="H68" s="2" t="n">
        <v>84</v>
      </c>
      <c r="I68" s="5" t="n">
        <v>0.0102317587896877</v>
      </c>
      <c r="J68" s="4" t="n">
        <v>181.902816006968</v>
      </c>
      <c r="K68" s="4" t="n">
        <v>0.56</v>
      </c>
      <c r="L68" s="6" t="n">
        <f aca="false">J68/200000</f>
        <v>0.000909514080034839</v>
      </c>
      <c r="P68" s="4" t="n">
        <f aca="false">$Q$2*($Q$3*$G68+$Q$4*$B68^$Q$5*$I68^$Q$6)*$L68^$Q$7</f>
        <v>0.251253087098948</v>
      </c>
      <c r="Q68" s="4" t="n">
        <f aca="false">P68/$K68</f>
        <v>0.448666226962408</v>
      </c>
      <c r="S68" s="4" t="n">
        <f aca="false">$T$2*$B68^$T$3*$L68^$T$4*($T$5*$I68^$T$6+$T$7)</f>
        <v>0.254577145758227</v>
      </c>
      <c r="T68" s="4" t="n">
        <f aca="false">S68/$K68</f>
        <v>0.454602045996834</v>
      </c>
      <c r="V68" s="4"/>
      <c r="W68" s="4"/>
    </row>
    <row r="69" customFormat="false" ht="14.25" hidden="false" customHeight="false" outlineLevel="0" collapsed="false">
      <c r="A69" s="1" t="s">
        <v>34</v>
      </c>
      <c r="B69" s="2" t="n">
        <v>25</v>
      </c>
      <c r="C69" s="3" t="n">
        <v>500</v>
      </c>
      <c r="D69" s="3" t="n">
        <v>4</v>
      </c>
      <c r="E69" s="2" t="n">
        <v>62</v>
      </c>
      <c r="F69" s="4" t="n">
        <v>2.69332921131829</v>
      </c>
      <c r="G69" s="2" t="n">
        <v>20</v>
      </c>
      <c r="H69" s="2" t="n">
        <v>40.5</v>
      </c>
      <c r="I69" s="5" t="n">
        <v>0.0554215167548501</v>
      </c>
      <c r="J69" s="4" t="n">
        <v>173.788819028999</v>
      </c>
      <c r="K69" s="4" t="n">
        <v>0.23</v>
      </c>
      <c r="L69" s="6" t="n">
        <f aca="false">J69/200000</f>
        <v>0.000868944095144993</v>
      </c>
      <c r="P69" s="4" t="n">
        <f aca="false">$Q$2*($Q$3*$G69+$Q$4*$B69^$Q$5*$I69^$Q$6)*$L69^$Q$7</f>
        <v>0.232788996511658</v>
      </c>
      <c r="Q69" s="4" t="n">
        <f aca="false">P69/$K69</f>
        <v>1.01212607178982</v>
      </c>
      <c r="S69" s="4" t="n">
        <f aca="false">$T$2*$B69^$T$3*$L69^$T$4*($T$5*$I69^$T$6+$T$7)</f>
        <v>0.229838243997235</v>
      </c>
      <c r="T69" s="4" t="n">
        <f aca="false">S69/$K69</f>
        <v>0.999296713031454</v>
      </c>
      <c r="V69" s="4"/>
      <c r="W69" s="4"/>
    </row>
    <row r="70" customFormat="false" ht="14.25" hidden="false" customHeight="false" outlineLevel="0" collapsed="false">
      <c r="B70" s="2" t="n">
        <v>25</v>
      </c>
      <c r="C70" s="3" t="n">
        <v>500</v>
      </c>
      <c r="D70" s="3" t="n">
        <v>4</v>
      </c>
      <c r="E70" s="2" t="n">
        <v>62</v>
      </c>
      <c r="F70" s="4" t="n">
        <v>2.69332921131829</v>
      </c>
      <c r="G70" s="2" t="n">
        <v>20</v>
      </c>
      <c r="H70" s="2" t="n">
        <v>40.5</v>
      </c>
      <c r="I70" s="5" t="n">
        <v>0.0554215167548501</v>
      </c>
      <c r="J70" s="4" t="n">
        <v>293.989232625486</v>
      </c>
      <c r="K70" s="4" t="n">
        <v>0.35</v>
      </c>
      <c r="L70" s="6" t="n">
        <f aca="false">J70/200000</f>
        <v>0.00146994616312743</v>
      </c>
      <c r="P70" s="4" t="n">
        <f aca="false">$Q$2*($Q$3*$G70+$Q$4*$B70^$Q$5*$I70^$Q$6)*$L70^$Q$7</f>
        <v>0.361647849390213</v>
      </c>
      <c r="Q70" s="4" t="n">
        <f aca="false">P70/$K70</f>
        <v>1.03327956968632</v>
      </c>
      <c r="S70" s="4" t="n">
        <f aca="false">$T$2*$B70^$T$3*$L70^$T$4*($T$5*$I70^$T$6+$T$7)</f>
        <v>0.360079740562899</v>
      </c>
      <c r="T70" s="4" t="n">
        <f aca="false">S70/$K70</f>
        <v>1.02879925875114</v>
      </c>
      <c r="V70" s="4"/>
      <c r="W70" s="4"/>
    </row>
    <row r="71" customFormat="false" ht="14.25" hidden="false" customHeight="false" outlineLevel="0" collapsed="false">
      <c r="B71" s="2" t="n">
        <v>25</v>
      </c>
      <c r="C71" s="3" t="n">
        <v>500</v>
      </c>
      <c r="D71" s="3" t="n">
        <v>4</v>
      </c>
      <c r="E71" s="2" t="n">
        <v>62</v>
      </c>
      <c r="F71" s="4" t="n">
        <v>2.69332921131829</v>
      </c>
      <c r="G71" s="2" t="n">
        <v>20</v>
      </c>
      <c r="H71" s="2" t="n">
        <v>40.5</v>
      </c>
      <c r="I71" s="5" t="n">
        <v>0.0554215167548501</v>
      </c>
      <c r="J71" s="4" t="n">
        <v>414.189646221972</v>
      </c>
      <c r="K71" s="4" t="n">
        <v>0.49</v>
      </c>
      <c r="L71" s="6" t="n">
        <f aca="false">J71/200000</f>
        <v>0.00207094823110986</v>
      </c>
      <c r="P71" s="4" t="n">
        <f aca="false">$Q$2*($Q$3*$G71+$Q$4*$B71^$Q$5*$I71^$Q$6)*$L71^$Q$7</f>
        <v>0.481988986531181</v>
      </c>
      <c r="Q71" s="4" t="n">
        <f aca="false">P71/$K71</f>
        <v>0.983650992920778</v>
      </c>
      <c r="S71" s="4" t="n">
        <f aca="false">$T$2*$B71^$T$3*$L71^$T$4*($T$5*$I71^$T$6+$T$7)</f>
        <v>0.482538311199423</v>
      </c>
      <c r="T71" s="4" t="n">
        <f aca="false">S71/$K71</f>
        <v>0.984772063672292</v>
      </c>
      <c r="V71" s="4"/>
      <c r="W71" s="4"/>
    </row>
    <row r="72" customFormat="false" ht="14.25" hidden="false" customHeight="false" outlineLevel="0" collapsed="false">
      <c r="B72" s="2" t="n">
        <v>25</v>
      </c>
      <c r="C72" s="3" t="n">
        <v>500</v>
      </c>
      <c r="D72" s="3" t="n">
        <v>4</v>
      </c>
      <c r="E72" s="2" t="n">
        <v>62</v>
      </c>
      <c r="F72" s="4" t="n">
        <v>2.69332921131829</v>
      </c>
      <c r="G72" s="2" t="n">
        <v>20</v>
      </c>
      <c r="H72" s="2" t="n">
        <v>40.5</v>
      </c>
      <c r="I72" s="5" t="n">
        <v>0.0554215167548501</v>
      </c>
      <c r="J72" s="4" t="n">
        <v>500</v>
      </c>
      <c r="K72" s="4" t="n">
        <v>0.67</v>
      </c>
      <c r="L72" s="6" t="n">
        <f aca="false">J72/200000</f>
        <v>0.0025</v>
      </c>
      <c r="P72" s="4" t="n">
        <f aca="false">$Q$2*($Q$3*$G72+$Q$4*$B72^$Q$5*$I72^$Q$6)*$L72^$Q$7</f>
        <v>0.564366226935314</v>
      </c>
      <c r="Q72" s="4" t="n">
        <f aca="false">P72/$K72</f>
        <v>0.842337652142259</v>
      </c>
      <c r="S72" s="4" t="n">
        <f aca="false">$T$2*$B72^$T$3*$L72^$T$4*($T$5*$I72^$T$6+$T$7)</f>
        <v>0.566714120802871</v>
      </c>
      <c r="T72" s="4" t="n">
        <f aca="false">S72/$K72</f>
        <v>0.845841971347569</v>
      </c>
      <c r="V72" s="4"/>
      <c r="W72" s="4"/>
    </row>
    <row r="73" customFormat="false" ht="14.25" hidden="false" customHeight="false" outlineLevel="0" collapsed="false">
      <c r="A73" s="1" t="s">
        <v>35</v>
      </c>
      <c r="B73" s="2" t="n">
        <v>25</v>
      </c>
      <c r="C73" s="3" t="n">
        <v>500</v>
      </c>
      <c r="D73" s="3" t="n">
        <v>4</v>
      </c>
      <c r="E73" s="2" t="n">
        <v>62</v>
      </c>
      <c r="F73" s="4" t="n">
        <v>2.69332921131829</v>
      </c>
      <c r="G73" s="2" t="n">
        <v>20</v>
      </c>
      <c r="H73" s="2" t="n">
        <v>40.5</v>
      </c>
      <c r="I73" s="5" t="n">
        <v>0.0554215167548501</v>
      </c>
      <c r="J73" s="4" t="n">
        <v>173.788819028999</v>
      </c>
      <c r="K73" s="4" t="n">
        <v>0.27</v>
      </c>
      <c r="L73" s="6" t="n">
        <f aca="false">J73/200000</f>
        <v>0.000868944095144993</v>
      </c>
      <c r="P73" s="4" t="n">
        <f aca="false">$Q$2*($Q$3*$G73+$Q$4*$B73^$Q$5*$I73^$Q$6)*$L73^$Q$7</f>
        <v>0.232788996511658</v>
      </c>
      <c r="Q73" s="4" t="n">
        <f aca="false">P73/$K73</f>
        <v>0.862181468561697</v>
      </c>
      <c r="S73" s="4" t="n">
        <f aca="false">$T$2*$B73^$T$3*$L73^$T$4*($T$5*$I73^$T$6+$T$7)</f>
        <v>0.229838243997235</v>
      </c>
      <c r="T73" s="4" t="n">
        <f aca="false">S73/$K73</f>
        <v>0.851252755545313</v>
      </c>
      <c r="V73" s="4"/>
      <c r="W73" s="4"/>
    </row>
    <row r="74" customFormat="false" ht="14.25" hidden="false" customHeight="false" outlineLevel="0" collapsed="false">
      <c r="B74" s="2" t="n">
        <v>25</v>
      </c>
      <c r="C74" s="3" t="n">
        <v>500</v>
      </c>
      <c r="D74" s="3" t="n">
        <v>4</v>
      </c>
      <c r="E74" s="2" t="n">
        <v>62</v>
      </c>
      <c r="F74" s="4" t="n">
        <v>2.69332921131829</v>
      </c>
      <c r="G74" s="2" t="n">
        <v>20</v>
      </c>
      <c r="H74" s="2" t="n">
        <v>40.5</v>
      </c>
      <c r="I74" s="5" t="n">
        <v>0.0554215167548501</v>
      </c>
      <c r="J74" s="4" t="n">
        <v>293.989232625486</v>
      </c>
      <c r="K74" s="4" t="n">
        <v>0.4</v>
      </c>
      <c r="L74" s="6" t="n">
        <f aca="false">J74/200000</f>
        <v>0.00146994616312743</v>
      </c>
      <c r="P74" s="4" t="n">
        <f aca="false">$Q$2*($Q$3*$G74+$Q$4*$B74^$Q$5*$I74^$Q$6)*$L74^$Q$7</f>
        <v>0.361647849390213</v>
      </c>
      <c r="Q74" s="4" t="n">
        <f aca="false">P74/$K74</f>
        <v>0.904119623475533</v>
      </c>
      <c r="S74" s="4" t="n">
        <f aca="false">$T$2*$B74^$T$3*$L74^$T$4*($T$5*$I74^$T$6+$T$7)</f>
        <v>0.360079740562899</v>
      </c>
      <c r="T74" s="4" t="n">
        <f aca="false">S74/$K74</f>
        <v>0.900199351407248</v>
      </c>
      <c r="V74" s="4"/>
      <c r="W74" s="4"/>
    </row>
    <row r="75" customFormat="false" ht="14.25" hidden="false" customHeight="false" outlineLevel="0" collapsed="false">
      <c r="B75" s="2" t="n">
        <v>25</v>
      </c>
      <c r="C75" s="3" t="n">
        <v>500</v>
      </c>
      <c r="D75" s="3" t="n">
        <v>4</v>
      </c>
      <c r="E75" s="2" t="n">
        <v>62</v>
      </c>
      <c r="F75" s="4" t="n">
        <v>2.69332921131829</v>
      </c>
      <c r="G75" s="2" t="n">
        <v>20</v>
      </c>
      <c r="H75" s="2" t="n">
        <v>40.5</v>
      </c>
      <c r="I75" s="5" t="n">
        <v>0.0554215167548501</v>
      </c>
      <c r="J75" s="4" t="n">
        <v>414.189646221972</v>
      </c>
      <c r="K75" s="4" t="n">
        <v>0.53</v>
      </c>
      <c r="L75" s="6" t="n">
        <f aca="false">J75/200000</f>
        <v>0.00207094823110986</v>
      </c>
      <c r="P75" s="4" t="n">
        <f aca="false">$Q$2*($Q$3*$G75+$Q$4*$B75^$Q$5*$I75^$Q$6)*$L75^$Q$7</f>
        <v>0.481988986531181</v>
      </c>
      <c r="Q75" s="4" t="n">
        <f aca="false">P75/$K75</f>
        <v>0.909413182134304</v>
      </c>
      <c r="S75" s="4" t="n">
        <f aca="false">$T$2*$B75^$T$3*$L75^$T$4*($T$5*$I75^$T$6+$T$7)</f>
        <v>0.482538311199423</v>
      </c>
      <c r="T75" s="4" t="n">
        <f aca="false">S75/$K75</f>
        <v>0.910449643772497</v>
      </c>
      <c r="V75" s="4"/>
      <c r="W75" s="4"/>
    </row>
    <row r="76" customFormat="false" ht="14.25" hidden="false" customHeight="false" outlineLevel="0" collapsed="false">
      <c r="B76" s="2" t="n">
        <v>25</v>
      </c>
      <c r="C76" s="3" t="n">
        <v>500</v>
      </c>
      <c r="D76" s="3" t="n">
        <v>4</v>
      </c>
      <c r="E76" s="2" t="n">
        <v>62</v>
      </c>
      <c r="F76" s="4" t="n">
        <v>2.69332921131829</v>
      </c>
      <c r="G76" s="2" t="n">
        <v>20</v>
      </c>
      <c r="H76" s="2" t="n">
        <v>40.5</v>
      </c>
      <c r="I76" s="5" t="n">
        <v>0.0554215167548501</v>
      </c>
      <c r="J76" s="4" t="n">
        <v>500</v>
      </c>
      <c r="K76" s="4" t="n">
        <v>0.72</v>
      </c>
      <c r="L76" s="6" t="n">
        <f aca="false">J76/200000</f>
        <v>0.0025</v>
      </c>
      <c r="P76" s="4" t="n">
        <f aca="false">$Q$2*($Q$3*$G76+$Q$4*$B76^$Q$5*$I76^$Q$6)*$L76^$Q$7</f>
        <v>0.564366226935314</v>
      </c>
      <c r="Q76" s="4" t="n">
        <f aca="false">P76/$K76</f>
        <v>0.783841981854603</v>
      </c>
      <c r="S76" s="4" t="n">
        <f aca="false">$T$2*$B76^$T$3*$L76^$T$4*($T$5*$I76^$T$6+$T$7)</f>
        <v>0.566714120802871</v>
      </c>
      <c r="T76" s="4" t="n">
        <f aca="false">S76/$K76</f>
        <v>0.787102945559544</v>
      </c>
      <c r="V76" s="4"/>
      <c r="W76" s="4"/>
    </row>
    <row r="77" customFormat="false" ht="14.25" hidden="false" customHeight="false" outlineLevel="0" collapsed="false">
      <c r="A77" s="1" t="s">
        <v>36</v>
      </c>
      <c r="B77" s="2" t="n">
        <v>25</v>
      </c>
      <c r="C77" s="3" t="n">
        <v>500</v>
      </c>
      <c r="D77" s="3" t="n">
        <v>4</v>
      </c>
      <c r="E77" s="2" t="n">
        <v>28.7</v>
      </c>
      <c r="F77" s="4" t="n">
        <v>2.69332921131829</v>
      </c>
      <c r="G77" s="2" t="n">
        <v>70</v>
      </c>
      <c r="H77" s="2" t="n">
        <v>94.5</v>
      </c>
      <c r="I77" s="5" t="n">
        <v>0.0526205961457496</v>
      </c>
      <c r="J77" s="4" t="n">
        <v>80.8215051720388</v>
      </c>
      <c r="K77" s="4" t="n">
        <v>0.3</v>
      </c>
      <c r="L77" s="6" t="n">
        <f aca="false">J77/200000</f>
        <v>0.000404107525860194</v>
      </c>
      <c r="P77" s="4" t="n">
        <f aca="false">$Q$2*($Q$3*$G77+$Q$4*$B77^$Q$5*$I77^$Q$6)*$L77^$Q$7</f>
        <v>0.127089771845834</v>
      </c>
      <c r="Q77" s="4" t="n">
        <f aca="false">P77/$K77</f>
        <v>0.423632572819447</v>
      </c>
      <c r="S77" s="4" t="n">
        <f aca="false">$T$2*$B77^$T$3*$L77^$T$4*($T$5*$I77^$T$6+$T$7)</f>
        <v>0.122446692897195</v>
      </c>
      <c r="T77" s="4" t="n">
        <f aca="false">S77/$K77</f>
        <v>0.40815564299065</v>
      </c>
      <c r="V77" s="4"/>
      <c r="W77" s="4"/>
    </row>
    <row r="78" customFormat="false" ht="14.25" hidden="false" customHeight="false" outlineLevel="0" collapsed="false">
      <c r="B78" s="2" t="n">
        <v>25</v>
      </c>
      <c r="C78" s="3" t="n">
        <v>500</v>
      </c>
      <c r="D78" s="3" t="n">
        <v>4</v>
      </c>
      <c r="E78" s="2" t="n">
        <v>28.7</v>
      </c>
      <c r="F78" s="4" t="n">
        <v>2.69332921131829</v>
      </c>
      <c r="G78" s="2" t="n">
        <v>70</v>
      </c>
      <c r="H78" s="2" t="n">
        <v>94.5</v>
      </c>
      <c r="I78" s="5" t="n">
        <v>0.0526205961457496</v>
      </c>
      <c r="J78" s="4" t="n">
        <v>211.123909217879</v>
      </c>
      <c r="K78" s="4" t="n">
        <v>0.57</v>
      </c>
      <c r="L78" s="6" t="n">
        <f aca="false">J78/200000</f>
        <v>0.0010556195460894</v>
      </c>
      <c r="P78" s="4" t="n">
        <f aca="false">$Q$2*($Q$3*$G78+$Q$4*$B78^$Q$5*$I78^$Q$6)*$L78^$Q$7</f>
        <v>0.284161597813791</v>
      </c>
      <c r="Q78" s="4" t="n">
        <f aca="false">P78/$K78</f>
        <v>0.498529118971564</v>
      </c>
      <c r="S78" s="4" t="n">
        <f aca="false">$T$2*$B78^$T$3*$L78^$T$4*($T$5*$I78^$T$6+$T$7)</f>
        <v>0.27801870352877</v>
      </c>
      <c r="T78" s="4" t="n">
        <f aca="false">S78/$K78</f>
        <v>0.487752111453982</v>
      </c>
      <c r="V78" s="4"/>
      <c r="W78" s="4"/>
    </row>
    <row r="79" customFormat="false" ht="14.25" hidden="false" customHeight="false" outlineLevel="0" collapsed="false">
      <c r="A79" s="1" t="s">
        <v>37</v>
      </c>
      <c r="B79" s="2" t="n">
        <v>25</v>
      </c>
      <c r="C79" s="3" t="n">
        <v>500</v>
      </c>
      <c r="D79" s="3" t="n">
        <v>4</v>
      </c>
      <c r="E79" s="2" t="n">
        <v>28.7</v>
      </c>
      <c r="F79" s="4" t="n">
        <v>2.69332921131829</v>
      </c>
      <c r="G79" s="2" t="n">
        <v>70</v>
      </c>
      <c r="H79" s="2" t="n">
        <v>90.5</v>
      </c>
      <c r="I79" s="5" t="n">
        <v>0.0527679417075151</v>
      </c>
      <c r="J79" s="4" t="n">
        <v>79.4732065509</v>
      </c>
      <c r="K79" s="4" t="n">
        <v>0.26</v>
      </c>
      <c r="L79" s="6" t="n">
        <f aca="false">J79/200000</f>
        <v>0.0003973660327545</v>
      </c>
      <c r="P79" s="4" t="n">
        <f aca="false">$Q$2*($Q$3*$G79+$Q$4*$B79^$Q$5*$I79^$Q$6)*$L79^$Q$7</f>
        <v>0.125139929922852</v>
      </c>
      <c r="Q79" s="4" t="n">
        <f aca="false">P79/$K79</f>
        <v>0.481307422780199</v>
      </c>
      <c r="S79" s="4" t="n">
        <f aca="false">$T$2*$B79^$T$3*$L79^$T$4*($T$5*$I79^$T$6+$T$7)</f>
        <v>0.120542360616375</v>
      </c>
      <c r="T79" s="4" t="n">
        <f aca="false">S79/$K79</f>
        <v>0.463624463909135</v>
      </c>
      <c r="V79" s="4"/>
      <c r="W79" s="4"/>
    </row>
    <row r="80" customFormat="false" ht="14.25" hidden="false" customHeight="false" outlineLevel="0" collapsed="false">
      <c r="B80" s="2" t="n">
        <v>25</v>
      </c>
      <c r="C80" s="3" t="n">
        <v>500</v>
      </c>
      <c r="D80" s="3" t="n">
        <v>4</v>
      </c>
      <c r="E80" s="2" t="n">
        <v>28.7</v>
      </c>
      <c r="F80" s="4" t="n">
        <v>2.69332921131829</v>
      </c>
      <c r="G80" s="2" t="n">
        <v>70</v>
      </c>
      <c r="H80" s="2" t="n">
        <v>90.5</v>
      </c>
      <c r="I80" s="5" t="n">
        <v>0.0527679417075151</v>
      </c>
      <c r="J80" s="4" t="n">
        <v>207.908199628932</v>
      </c>
      <c r="K80" s="4" t="n">
        <v>0.6</v>
      </c>
      <c r="L80" s="6" t="n">
        <f aca="false">J80/200000</f>
        <v>0.00103954099814466</v>
      </c>
      <c r="P80" s="4" t="n">
        <f aca="false">$Q$2*($Q$3*$G80+$Q$4*$B80^$Q$5*$I80^$Q$6)*$L80^$Q$7</f>
        <v>0.280147883795045</v>
      </c>
      <c r="Q80" s="4" t="n">
        <f aca="false">P80/$K80</f>
        <v>0.466913139658408</v>
      </c>
      <c r="S80" s="4" t="n">
        <f aca="false">$T$2*$B80^$T$3*$L80^$T$4*($T$5*$I80^$T$6+$T$7)</f>
        <v>0.274039738862921</v>
      </c>
      <c r="T80" s="4" t="n">
        <f aca="false">S80/$K80</f>
        <v>0.456732898104869</v>
      </c>
      <c r="V80" s="4"/>
      <c r="W80" s="4"/>
    </row>
    <row r="81" customFormat="false" ht="14.25" hidden="false" customHeight="false" outlineLevel="0" collapsed="false">
      <c r="A81" s="1" t="s">
        <v>38</v>
      </c>
      <c r="B81" s="2" t="n">
        <v>25</v>
      </c>
      <c r="C81" s="3" t="n">
        <v>500</v>
      </c>
      <c r="D81" s="3" t="n">
        <v>4</v>
      </c>
      <c r="E81" s="2" t="n">
        <v>28.7</v>
      </c>
      <c r="F81" s="4" t="n">
        <v>2.69332921131829</v>
      </c>
      <c r="G81" s="2" t="n">
        <v>70</v>
      </c>
      <c r="H81" s="2" t="n">
        <v>90.5</v>
      </c>
      <c r="I81" s="5" t="n">
        <v>0.0527679417075151</v>
      </c>
      <c r="J81" s="4" t="n">
        <v>79.4732065509</v>
      </c>
      <c r="K81" s="4" t="n">
        <v>0.27</v>
      </c>
      <c r="L81" s="6" t="n">
        <f aca="false">J81/200000</f>
        <v>0.0003973660327545</v>
      </c>
      <c r="P81" s="4" t="n">
        <f aca="false">$Q$2*($Q$3*$G81+$Q$4*$B81^$Q$5*$I81^$Q$6)*$L81^$Q$7</f>
        <v>0.125139929922852</v>
      </c>
      <c r="Q81" s="4" t="n">
        <f aca="false">P81/$K81</f>
        <v>0.463481221936488</v>
      </c>
      <c r="S81" s="4" t="n">
        <f aca="false">$T$2*$B81^$T$3*$L81^$T$4*($T$5*$I81^$T$6+$T$7)</f>
        <v>0.120542360616375</v>
      </c>
      <c r="T81" s="4" t="n">
        <f aca="false">S81/$K81</f>
        <v>0.446453187468056</v>
      </c>
      <c r="V81" s="4"/>
      <c r="W81" s="4"/>
    </row>
    <row r="82" customFormat="false" ht="14.25" hidden="false" customHeight="false" outlineLevel="0" collapsed="false">
      <c r="B82" s="2" t="n">
        <v>25</v>
      </c>
      <c r="C82" s="3" t="n">
        <v>500</v>
      </c>
      <c r="D82" s="3" t="n">
        <v>4</v>
      </c>
      <c r="E82" s="2" t="n">
        <v>28.7</v>
      </c>
      <c r="F82" s="4" t="n">
        <v>2.69332921131829</v>
      </c>
      <c r="G82" s="2" t="n">
        <v>70</v>
      </c>
      <c r="H82" s="2" t="n">
        <v>90.5</v>
      </c>
      <c r="I82" s="5" t="n">
        <v>0.0527679417075151</v>
      </c>
      <c r="J82" s="4" t="n">
        <v>207.908199628932</v>
      </c>
      <c r="K82" s="4" t="n">
        <v>0.59</v>
      </c>
      <c r="L82" s="6" t="n">
        <f aca="false">J82/200000</f>
        <v>0.00103954099814466</v>
      </c>
      <c r="P82" s="4" t="n">
        <f aca="false">$Q$2*($Q$3*$G82+$Q$4*$B82^$Q$5*$I82^$Q$6)*$L82^$Q$7</f>
        <v>0.280147883795045</v>
      </c>
      <c r="Q82" s="4" t="n">
        <f aca="false">P82/$K82</f>
        <v>0.474826921686516</v>
      </c>
      <c r="S82" s="4" t="n">
        <f aca="false">$T$2*$B82^$T$3*$L82^$T$4*($T$5*$I82^$T$6+$T$7)</f>
        <v>0.274039738862921</v>
      </c>
      <c r="T82" s="4" t="n">
        <f aca="false">S82/$K82</f>
        <v>0.464474133665968</v>
      </c>
      <c r="V82" s="4"/>
      <c r="W82" s="4"/>
    </row>
    <row r="83" customFormat="false" ht="14.25" hidden="false" customHeight="false" outlineLevel="0" collapsed="false">
      <c r="A83" s="1" t="s">
        <v>39</v>
      </c>
      <c r="B83" s="2" t="n">
        <v>9.52</v>
      </c>
      <c r="C83" s="3" t="n">
        <v>434</v>
      </c>
      <c r="D83" s="3" t="n">
        <v>3</v>
      </c>
      <c r="E83" s="2" t="n">
        <v>22.2</v>
      </c>
      <c r="F83" s="4" t="n">
        <v>3.56416000199951</v>
      </c>
      <c r="G83" s="2" t="n">
        <v>20.64</v>
      </c>
      <c r="H83" s="2" t="n">
        <v>25.4</v>
      </c>
      <c r="I83" s="5" t="n">
        <v>0.0324485100999475</v>
      </c>
      <c r="J83" s="4" t="n">
        <v>246.112947502542</v>
      </c>
      <c r="K83" s="4" t="n">
        <v>0.15</v>
      </c>
      <c r="L83" s="6" t="n">
        <f aca="false">J83/200000</f>
        <v>0.00123056473751271</v>
      </c>
      <c r="P83" s="4" t="n">
        <f aca="false">$Q$2*($Q$3*$G83+$Q$4*$B83^$Q$5*$I83^$Q$6)*$L83^$Q$7</f>
        <v>0.140959365949466</v>
      </c>
      <c r="Q83" s="4" t="n">
        <f aca="false">P83/$K83</f>
        <v>0.93972910632977</v>
      </c>
      <c r="S83" s="4" t="n">
        <f aca="false">$T$2*$B83^$T$3*$L83^$T$4*($T$5*$I83^$T$6+$T$7)</f>
        <v>0.132666229996104</v>
      </c>
      <c r="T83" s="4" t="n">
        <f aca="false">S83/$K83</f>
        <v>0.884441533307357</v>
      </c>
      <c r="V83" s="4"/>
      <c r="W83" s="4"/>
    </row>
    <row r="84" customFormat="false" ht="14.25" hidden="false" customHeight="false" outlineLevel="0" collapsed="false">
      <c r="B84" s="2" t="n">
        <v>9.52</v>
      </c>
      <c r="C84" s="3" t="n">
        <v>434</v>
      </c>
      <c r="D84" s="3" t="n">
        <v>3</v>
      </c>
      <c r="E84" s="2" t="n">
        <v>22.2</v>
      </c>
      <c r="F84" s="4" t="n">
        <v>3.56416000199951</v>
      </c>
      <c r="G84" s="2" t="n">
        <v>20.64</v>
      </c>
      <c r="H84" s="2" t="n">
        <v>25.4</v>
      </c>
      <c r="I84" s="5" t="n">
        <v>0.0324485100999475</v>
      </c>
      <c r="J84" s="4" t="n">
        <v>307.810038560674</v>
      </c>
      <c r="K84" s="4" t="n">
        <v>0.17</v>
      </c>
      <c r="L84" s="6" t="n">
        <f aca="false">J84/200000</f>
        <v>0.00153905019280337</v>
      </c>
      <c r="P84" s="4" t="n">
        <f aca="false">$Q$2*($Q$3*$G84+$Q$4*$B84^$Q$5*$I84^$Q$6)*$L84^$Q$7</f>
        <v>0.170021650478674</v>
      </c>
      <c r="Q84" s="4" t="n">
        <f aca="false">P84/$K84</f>
        <v>1.0001273557569</v>
      </c>
      <c r="S84" s="4" t="n">
        <f aca="false">$T$2*$B84^$T$3*$L84^$T$4*($T$5*$I84^$T$6+$T$7)</f>
        <v>0.160592423152447</v>
      </c>
      <c r="T84" s="4" t="n">
        <f aca="false">S84/$K84</f>
        <v>0.944661312661452</v>
      </c>
      <c r="V84" s="4"/>
      <c r="W84" s="4"/>
    </row>
    <row r="85" customFormat="false" ht="14.25" hidden="false" customHeight="false" outlineLevel="0" collapsed="false">
      <c r="A85" s="1" t="s">
        <v>40</v>
      </c>
      <c r="B85" s="2" t="n">
        <v>12.7</v>
      </c>
      <c r="C85" s="3" t="n">
        <v>434</v>
      </c>
      <c r="D85" s="3" t="n">
        <v>3</v>
      </c>
      <c r="E85" s="2" t="n">
        <v>19.05</v>
      </c>
      <c r="F85" s="4" t="n">
        <v>3.97660816382294</v>
      </c>
      <c r="G85" s="2" t="n">
        <v>19.05</v>
      </c>
      <c r="H85" s="2" t="n">
        <v>25.4</v>
      </c>
      <c r="I85" s="5" t="n">
        <v>0.0642124745559393</v>
      </c>
      <c r="J85" s="4" t="n">
        <v>272.943318773327</v>
      </c>
      <c r="K85" s="4" t="n">
        <v>0.15</v>
      </c>
      <c r="L85" s="6" t="n">
        <f aca="false">J85/200000</f>
        <v>0.00136471659386664</v>
      </c>
      <c r="P85" s="4" t="n">
        <f aca="false">$Q$2*($Q$3*$G85+$Q$4*$B85^$Q$5*$I85^$Q$6)*$L85^$Q$7</f>
        <v>0.150556463154011</v>
      </c>
      <c r="Q85" s="4" t="n">
        <f aca="false">P85/$K85</f>
        <v>1.00370975436007</v>
      </c>
      <c r="S85" s="4" t="n">
        <f aca="false">$T$2*$B85^$T$3*$L85^$T$4*($T$5*$I85^$T$6+$T$7)</f>
        <v>0.145246159119859</v>
      </c>
      <c r="T85" s="4" t="n">
        <f aca="false">S85/$K85</f>
        <v>0.968307727465729</v>
      </c>
      <c r="V85" s="4"/>
      <c r="W85" s="4"/>
    </row>
    <row r="86" customFormat="false" ht="14.25" hidden="false" customHeight="false" outlineLevel="0" collapsed="false">
      <c r="B86" s="2" t="n">
        <v>12.7</v>
      </c>
      <c r="C86" s="3" t="n">
        <v>434</v>
      </c>
      <c r="D86" s="3" t="n">
        <v>3</v>
      </c>
      <c r="E86" s="2" t="n">
        <v>19.05</v>
      </c>
      <c r="F86" s="4" t="n">
        <v>3.97660816382294</v>
      </c>
      <c r="G86" s="2" t="n">
        <v>19.05</v>
      </c>
      <c r="H86" s="2" t="n">
        <v>25.4</v>
      </c>
      <c r="I86" s="5" t="n">
        <v>0.0642124745559393</v>
      </c>
      <c r="J86" s="4" t="n">
        <v>325.358593002644</v>
      </c>
      <c r="K86" s="4" t="n">
        <v>0.17</v>
      </c>
      <c r="L86" s="6" t="n">
        <f aca="false">J86/200000</f>
        <v>0.00162679296501322</v>
      </c>
      <c r="P86" s="4" t="n">
        <f aca="false">$Q$2*($Q$3*$G86+$Q$4*$B86^$Q$5*$I86^$Q$6)*$L86^$Q$7</f>
        <v>0.174433649606217</v>
      </c>
      <c r="Q86" s="4" t="n">
        <f aca="false">P86/$K86</f>
        <v>1.02608029180128</v>
      </c>
      <c r="S86" s="4" t="n">
        <f aca="false">$T$2*$B86^$T$3*$L86^$T$4*($T$5*$I86^$T$6+$T$7)</f>
        <v>0.168754808861436</v>
      </c>
      <c r="T86" s="4" t="n">
        <f aca="false">S86/$K86</f>
        <v>0.992675346243743</v>
      </c>
      <c r="V86" s="4"/>
      <c r="W86" s="4"/>
    </row>
    <row r="87" customFormat="false" ht="14.25" hidden="false" customHeight="false" outlineLevel="0" collapsed="false">
      <c r="B87" s="2" t="n">
        <v>12.7</v>
      </c>
      <c r="C87" s="3" t="n">
        <v>434</v>
      </c>
      <c r="D87" s="3" t="n">
        <v>3</v>
      </c>
      <c r="E87" s="2" t="n">
        <v>19.05</v>
      </c>
      <c r="F87" s="4" t="n">
        <v>3.97660816382294</v>
      </c>
      <c r="G87" s="2" t="n">
        <v>19.05</v>
      </c>
      <c r="H87" s="2" t="n">
        <v>25.4</v>
      </c>
      <c r="I87" s="5" t="n">
        <v>0.0642124745559393</v>
      </c>
      <c r="J87" s="4" t="n">
        <v>399.754466102319</v>
      </c>
      <c r="K87" s="4" t="n">
        <v>0.2</v>
      </c>
      <c r="L87" s="6" t="n">
        <f aca="false">J87/200000</f>
        <v>0.0019987723305116</v>
      </c>
      <c r="P87" s="4" t="n">
        <f aca="false">$Q$2*($Q$3*$G87+$Q$4*$B87^$Q$5*$I87^$Q$6)*$L87^$Q$7</f>
        <v>0.207287675571588</v>
      </c>
      <c r="Q87" s="4" t="n">
        <f aca="false">P87/$K87</f>
        <v>1.03643837785794</v>
      </c>
      <c r="S87" s="4" t="n">
        <f aca="false">$T$2*$B87^$T$3*$L87^$T$4*($T$5*$I87^$T$6+$T$7)</f>
        <v>0.201201061764908</v>
      </c>
      <c r="T87" s="4" t="n">
        <f aca="false">S87/$K87</f>
        <v>1.00600530882454</v>
      </c>
      <c r="V87" s="4"/>
      <c r="W87" s="4"/>
    </row>
    <row r="88" customFormat="false" ht="14.25" hidden="false" customHeight="false" outlineLevel="0" collapsed="false">
      <c r="A88" s="1" t="s">
        <v>41</v>
      </c>
      <c r="B88" s="2" t="n">
        <v>15.9</v>
      </c>
      <c r="C88" s="3" t="n">
        <v>540</v>
      </c>
      <c r="D88" s="3" t="n">
        <v>3</v>
      </c>
      <c r="E88" s="2" t="n">
        <v>15.9</v>
      </c>
      <c r="F88" s="4" t="n">
        <v>3.97660816382294</v>
      </c>
      <c r="G88" s="2" t="n">
        <v>17.46</v>
      </c>
      <c r="H88" s="2" t="n">
        <v>25.4</v>
      </c>
      <c r="I88" s="5" t="n">
        <v>0.108350675635655</v>
      </c>
      <c r="J88" s="4" t="n">
        <v>266.878073760297</v>
      </c>
      <c r="K88" s="4" t="n">
        <v>0.16</v>
      </c>
      <c r="L88" s="6" t="n">
        <f aca="false">J88/200000</f>
        <v>0.00133439036880149</v>
      </c>
      <c r="P88" s="4" t="n">
        <f aca="false">$Q$2*($Q$3*$G88+$Q$4*$B88^$Q$5*$I88^$Q$6)*$L88^$Q$7</f>
        <v>0.145980756805842</v>
      </c>
      <c r="Q88" s="4" t="n">
        <f aca="false">P88/$K88</f>
        <v>0.912379730036515</v>
      </c>
      <c r="S88" s="4" t="n">
        <f aca="false">$T$2*$B88^$T$3*$L88^$T$4*($T$5*$I88^$T$6+$T$7)</f>
        <v>0.148185872497074</v>
      </c>
      <c r="T88" s="4" t="n">
        <f aca="false">S88/$K88</f>
        <v>0.926161703106715</v>
      </c>
      <c r="V88" s="4"/>
      <c r="W88" s="4"/>
    </row>
    <row r="89" customFormat="false" ht="14.25" hidden="false" customHeight="false" outlineLevel="0" collapsed="false">
      <c r="B89" s="2" t="n">
        <v>15.9</v>
      </c>
      <c r="C89" s="3" t="n">
        <v>540</v>
      </c>
      <c r="D89" s="3" t="n">
        <v>3</v>
      </c>
      <c r="E89" s="2" t="n">
        <v>15.9</v>
      </c>
      <c r="F89" s="4" t="n">
        <v>3.97660816382294</v>
      </c>
      <c r="G89" s="2" t="n">
        <v>17.46</v>
      </c>
      <c r="H89" s="2" t="n">
        <v>25.4</v>
      </c>
      <c r="I89" s="5" t="n">
        <v>0.108350675635655</v>
      </c>
      <c r="J89" s="4" t="n">
        <v>368.253712507443</v>
      </c>
      <c r="K89" s="4" t="n">
        <v>0.21</v>
      </c>
      <c r="L89" s="6" t="n">
        <f aca="false">J89/200000</f>
        <v>0.00184126856253721</v>
      </c>
      <c r="P89" s="4" t="n">
        <f aca="false">$Q$2*($Q$3*$G89+$Q$4*$B89^$Q$5*$I89^$Q$6)*$L89^$Q$7</f>
        <v>0.191195076061432</v>
      </c>
      <c r="Q89" s="4" t="n">
        <f aca="false">P89/$K89</f>
        <v>0.910452743149675</v>
      </c>
      <c r="S89" s="4" t="n">
        <f aca="false">$T$2*$B89^$T$3*$L89^$T$4*($T$5*$I89^$T$6+$T$7)</f>
        <v>0.195085612748329</v>
      </c>
      <c r="T89" s="4" t="n">
        <f aca="false">S89/$K89</f>
        <v>0.928979108325374</v>
      </c>
      <c r="V89" s="4"/>
      <c r="W89" s="4"/>
    </row>
    <row r="90" customFormat="false" ht="14.25" hidden="false" customHeight="false" outlineLevel="0" collapsed="false">
      <c r="A90" s="1" t="s">
        <v>42</v>
      </c>
      <c r="B90" s="2" t="n">
        <v>16</v>
      </c>
      <c r="C90" s="3" t="n">
        <v>500</v>
      </c>
      <c r="D90" s="3" t="n">
        <v>2</v>
      </c>
      <c r="E90" s="2" t="n">
        <v>138</v>
      </c>
      <c r="F90" s="4" t="n">
        <v>3.269</v>
      </c>
      <c r="G90" s="2" t="n">
        <v>40</v>
      </c>
      <c r="H90" s="2" t="n">
        <v>48</v>
      </c>
      <c r="I90" s="5" t="n">
        <v>0.0174790978884179</v>
      </c>
      <c r="J90" s="4" t="n">
        <v>58.4932810293596</v>
      </c>
      <c r="K90" s="4" t="n">
        <v>0.15</v>
      </c>
      <c r="L90" s="6" t="n">
        <f aca="false">J90/200000</f>
        <v>0.000292466405146798</v>
      </c>
      <c r="P90" s="4" t="n">
        <f aca="false">$Q$2*($Q$3*$G90+$Q$4*$B90^$Q$5*$I90^$Q$6)*$L90^$Q$7</f>
        <v>0.101572439099965</v>
      </c>
      <c r="Q90" s="4" t="n">
        <f aca="false">P90/$K90</f>
        <v>0.677149593999764</v>
      </c>
      <c r="S90" s="4" t="n">
        <f aca="false">$T$2*$B90^$T$3*$L90^$T$4*($T$5*$I90^$T$6+$T$7)</f>
        <v>0.0985356181393677</v>
      </c>
      <c r="T90" s="4" t="n">
        <f aca="false">S90/$K90</f>
        <v>0.656904120929118</v>
      </c>
      <c r="V90" s="4"/>
      <c r="W90" s="4"/>
    </row>
    <row r="91" customFormat="false" ht="14.25" hidden="false" customHeight="false" outlineLevel="0" collapsed="false">
      <c r="B91" s="2" t="n">
        <v>16</v>
      </c>
      <c r="C91" s="3" t="n">
        <v>500</v>
      </c>
      <c r="D91" s="3" t="n">
        <v>2</v>
      </c>
      <c r="E91" s="2" t="n">
        <v>138</v>
      </c>
      <c r="F91" s="4" t="n">
        <v>3.269</v>
      </c>
      <c r="G91" s="2" t="n">
        <v>40</v>
      </c>
      <c r="H91" s="2" t="n">
        <v>48</v>
      </c>
      <c r="I91" s="5" t="n">
        <v>0.0174790978884179</v>
      </c>
      <c r="J91" s="4" t="n">
        <v>94.6583339778309</v>
      </c>
      <c r="K91" s="4" t="n">
        <v>0.2</v>
      </c>
      <c r="L91" s="6" t="n">
        <f aca="false">J91/200000</f>
        <v>0.000473291669889155</v>
      </c>
      <c r="P91" s="4" t="n">
        <f aca="false">$Q$2*($Q$3*$G91+$Q$4*$B91^$Q$5*$I91^$Q$6)*$L91^$Q$7</f>
        <v>0.15204151544277</v>
      </c>
      <c r="Q91" s="4" t="n">
        <f aca="false">P91/$K91</f>
        <v>0.760207577213849</v>
      </c>
      <c r="S91" s="4" t="n">
        <f aca="false">$T$2*$B91^$T$3*$L91^$T$4*($T$5*$I91^$T$6+$T$7)</f>
        <v>0.148636133558417</v>
      </c>
      <c r="T91" s="4" t="n">
        <f aca="false">S91/$K91</f>
        <v>0.743180667792086</v>
      </c>
      <c r="V91" s="4"/>
      <c r="W91" s="4"/>
    </row>
    <row r="92" customFormat="false" ht="14.25" hidden="false" customHeight="false" outlineLevel="0" collapsed="false">
      <c r="B92" s="2" t="n">
        <v>16</v>
      </c>
      <c r="C92" s="3" t="n">
        <v>500</v>
      </c>
      <c r="D92" s="3" t="n">
        <v>2</v>
      </c>
      <c r="E92" s="2" t="n">
        <v>138</v>
      </c>
      <c r="F92" s="4" t="n">
        <v>3.269</v>
      </c>
      <c r="G92" s="2" t="n">
        <v>40</v>
      </c>
      <c r="H92" s="2" t="n">
        <v>48</v>
      </c>
      <c r="I92" s="5" t="n">
        <v>0.0174790978884179</v>
      </c>
      <c r="J92" s="4" t="n">
        <v>132.936040117242</v>
      </c>
      <c r="K92" s="4" t="n">
        <v>0.25</v>
      </c>
      <c r="L92" s="6" t="n">
        <f aca="false">J92/200000</f>
        <v>0.000664680200586211</v>
      </c>
      <c r="P92" s="4" t="n">
        <f aca="false">$Q$2*($Q$3*$G92+$Q$4*$B92^$Q$5*$I92^$Q$6)*$L92^$Q$7</f>
        <v>0.202094122147539</v>
      </c>
      <c r="Q92" s="4" t="n">
        <f aca="false">P92/$K92</f>
        <v>0.808376488590158</v>
      </c>
      <c r="S92" s="4" t="n">
        <f aca="false">$T$2*$B92^$T$3*$L92^$T$4*($T$5*$I92^$T$6+$T$7)</f>
        <v>0.198644083491613</v>
      </c>
      <c r="T92" s="4" t="n">
        <f aca="false">S92/$K92</f>
        <v>0.794576333966452</v>
      </c>
      <c r="V92" s="4"/>
      <c r="W92" s="4"/>
    </row>
    <row r="93" customFormat="false" ht="14.25" hidden="false" customHeight="false" outlineLevel="0" collapsed="false">
      <c r="B93" s="2" t="n">
        <v>16</v>
      </c>
      <c r="C93" s="3" t="n">
        <v>500</v>
      </c>
      <c r="D93" s="3" t="n">
        <v>2</v>
      </c>
      <c r="E93" s="2" t="n">
        <v>138</v>
      </c>
      <c r="F93" s="4" t="n">
        <v>3.269</v>
      </c>
      <c r="G93" s="2" t="n">
        <v>40</v>
      </c>
      <c r="H93" s="2" t="n">
        <v>48</v>
      </c>
      <c r="I93" s="5" t="n">
        <v>0.0174790978884179</v>
      </c>
      <c r="J93" s="4" t="n">
        <v>171.148202239291</v>
      </c>
      <c r="K93" s="4" t="n">
        <v>0.28</v>
      </c>
      <c r="L93" s="6" t="n">
        <f aca="false">J93/200000</f>
        <v>0.000855741011196456</v>
      </c>
      <c r="P93" s="4" t="n">
        <f aca="false">$Q$2*($Q$3*$G93+$Q$4*$B93^$Q$5*$I93^$Q$6)*$L93^$Q$7</f>
        <v>0.249750916298487</v>
      </c>
      <c r="Q93" s="4" t="n">
        <f aca="false">P93/$K93</f>
        <v>0.891967558208884</v>
      </c>
      <c r="S93" s="4" t="n">
        <f aca="false">$T$2*$B93^$T$3*$L93^$T$4*($T$5*$I93^$T$6+$T$7)</f>
        <v>0.246481719998407</v>
      </c>
      <c r="T93" s="4" t="n">
        <f aca="false">S93/$K93</f>
        <v>0.880291857137167</v>
      </c>
      <c r="V93" s="4"/>
      <c r="W93" s="4"/>
    </row>
    <row r="94" customFormat="false" ht="14.25" hidden="false" customHeight="false" outlineLevel="0" collapsed="false">
      <c r="B94" s="2" t="n">
        <v>16</v>
      </c>
      <c r="C94" s="3" t="n">
        <v>500</v>
      </c>
      <c r="D94" s="3" t="n">
        <v>2</v>
      </c>
      <c r="E94" s="2" t="n">
        <v>138</v>
      </c>
      <c r="F94" s="4" t="n">
        <v>3.269</v>
      </c>
      <c r="G94" s="2" t="n">
        <v>40</v>
      </c>
      <c r="H94" s="2" t="n">
        <v>48</v>
      </c>
      <c r="I94" s="5" t="n">
        <v>0.0174790978884179</v>
      </c>
      <c r="J94" s="4" t="n">
        <v>209.360364361341</v>
      </c>
      <c r="K94" s="4" t="n">
        <v>0.28</v>
      </c>
      <c r="L94" s="6" t="n">
        <f aca="false">J94/200000</f>
        <v>0.0010468018218067</v>
      </c>
      <c r="P94" s="4" t="n">
        <f aca="false">$Q$2*($Q$3*$G94+$Q$4*$B94^$Q$5*$I94^$Q$6)*$L94^$Q$7</f>
        <v>0.295699527143125</v>
      </c>
      <c r="Q94" s="4" t="n">
        <f aca="false">P94/$K94</f>
        <v>1.05606973979688</v>
      </c>
      <c r="S94" s="4" t="n">
        <f aca="false">$T$2*$B94^$T$3*$L94^$T$4*($T$5*$I94^$T$6+$T$7)</f>
        <v>0.292771373169119</v>
      </c>
      <c r="T94" s="4" t="n">
        <f aca="false">S94/$K94</f>
        <v>1.04561204703257</v>
      </c>
      <c r="V94" s="4"/>
      <c r="W94" s="4"/>
    </row>
    <row r="95" customFormat="false" ht="14.25" hidden="false" customHeight="false" outlineLevel="0" collapsed="false">
      <c r="B95" s="2" t="n">
        <v>16</v>
      </c>
      <c r="C95" s="3" t="n">
        <v>500</v>
      </c>
      <c r="D95" s="3" t="n">
        <v>2</v>
      </c>
      <c r="E95" s="2" t="n">
        <v>138</v>
      </c>
      <c r="F95" s="4" t="n">
        <v>3.269</v>
      </c>
      <c r="G95" s="2" t="n">
        <v>40</v>
      </c>
      <c r="H95" s="2" t="n">
        <v>48</v>
      </c>
      <c r="I95" s="5" t="n">
        <v>0.0174790978884179</v>
      </c>
      <c r="J95" s="4" t="n">
        <v>247.638070500752</v>
      </c>
      <c r="K95" s="4" t="n">
        <v>0.3</v>
      </c>
      <c r="L95" s="6" t="n">
        <f aca="false">J95/200000</f>
        <v>0.00123819035250376</v>
      </c>
      <c r="P95" s="4" t="n">
        <f aca="false">$Q$2*($Q$3*$G95+$Q$4*$B95^$Q$5*$I95^$Q$6)*$L95^$Q$7</f>
        <v>0.340376884494914</v>
      </c>
      <c r="Q95" s="4" t="n">
        <f aca="false">P95/$K95</f>
        <v>1.13458961498305</v>
      </c>
      <c r="S95" s="4" t="n">
        <f aca="false">$T$2*$B95^$T$3*$L95^$T$4*($T$5*$I95^$T$6+$T$7)</f>
        <v>0.337912926520236</v>
      </c>
      <c r="T95" s="4" t="n">
        <f aca="false">S95/$K95</f>
        <v>1.12637642173412</v>
      </c>
      <c r="V95" s="4"/>
      <c r="W95" s="4"/>
    </row>
    <row r="96" customFormat="false" ht="14.25" hidden="false" customHeight="false" outlineLevel="0" collapsed="false">
      <c r="B96" s="2" t="n">
        <v>16</v>
      </c>
      <c r="C96" s="3" t="n">
        <v>500</v>
      </c>
      <c r="D96" s="3" t="n">
        <v>2</v>
      </c>
      <c r="E96" s="2" t="n">
        <v>138</v>
      </c>
      <c r="F96" s="4" t="n">
        <v>3.269</v>
      </c>
      <c r="G96" s="2" t="n">
        <v>40</v>
      </c>
      <c r="H96" s="2" t="n">
        <v>48</v>
      </c>
      <c r="I96" s="5" t="n">
        <v>0.0174790978884179</v>
      </c>
      <c r="J96" s="4" t="n">
        <v>285.915776640163</v>
      </c>
      <c r="K96" s="4" t="n">
        <v>0.33</v>
      </c>
      <c r="L96" s="6" t="n">
        <f aca="false">J96/200000</f>
        <v>0.00142957888320081</v>
      </c>
      <c r="P96" s="4" t="n">
        <f aca="false">$Q$2*($Q$3*$G96+$Q$4*$B96^$Q$5*$I96^$Q$6)*$L96^$Q$7</f>
        <v>0.383944643148079</v>
      </c>
      <c r="Q96" s="4" t="n">
        <f aca="false">P96/$K96</f>
        <v>1.16346861560024</v>
      </c>
      <c r="S96" s="4" t="n">
        <f aca="false">$T$2*$B96^$T$3*$L96^$T$4*($T$5*$I96^$T$6+$T$7)</f>
        <v>0.382042862787618</v>
      </c>
      <c r="T96" s="4" t="n">
        <f aca="false">S96/$K96</f>
        <v>1.15770564481096</v>
      </c>
      <c r="V96" s="4"/>
      <c r="W96" s="4"/>
    </row>
    <row r="97" customFormat="false" ht="14.25" hidden="false" customHeight="false" outlineLevel="0" collapsed="false">
      <c r="B97" s="2" t="n">
        <v>16</v>
      </c>
      <c r="C97" s="3" t="n">
        <v>500</v>
      </c>
      <c r="D97" s="3" t="n">
        <v>2</v>
      </c>
      <c r="E97" s="2" t="n">
        <v>138</v>
      </c>
      <c r="F97" s="4" t="n">
        <v>3.269</v>
      </c>
      <c r="G97" s="2" t="n">
        <v>40</v>
      </c>
      <c r="H97" s="2" t="n">
        <v>48</v>
      </c>
      <c r="I97" s="5" t="n">
        <v>0.0174790978884179</v>
      </c>
      <c r="J97" s="4" t="n">
        <v>324.06239474485</v>
      </c>
      <c r="K97" s="4" t="n">
        <v>0.33</v>
      </c>
      <c r="L97" s="6" t="n">
        <f aca="false">J97/200000</f>
        <v>0.00162031197372425</v>
      </c>
      <c r="P97" s="4" t="n">
        <f aca="false">$Q$2*($Q$3*$G97+$Q$4*$B97^$Q$5*$I97^$Q$6)*$L97^$Q$7</f>
        <v>0.426430113339339</v>
      </c>
      <c r="Q97" s="4" t="n">
        <f aca="false">P97/$K97</f>
        <v>1.29221246466466</v>
      </c>
      <c r="S97" s="4" t="n">
        <f aca="false">$T$2*$B97^$T$3*$L97^$T$4*($T$5*$I97^$T$6+$T$7)</f>
        <v>0.425169000520165</v>
      </c>
      <c r="T97" s="4" t="n">
        <f aca="false">S97/$K97</f>
        <v>1.28839091066717</v>
      </c>
      <c r="V97" s="4"/>
      <c r="W97" s="4"/>
    </row>
    <row r="98" customFormat="false" ht="14.25" hidden="false" customHeight="false" outlineLevel="0" collapsed="false">
      <c r="A98" s="1" t="s">
        <v>43</v>
      </c>
      <c r="B98" s="2" t="n">
        <v>16</v>
      </c>
      <c r="C98" s="3" t="n">
        <v>500</v>
      </c>
      <c r="D98" s="3" t="n">
        <v>2</v>
      </c>
      <c r="E98" s="2" t="n">
        <v>138</v>
      </c>
      <c r="F98" s="4" t="n">
        <v>3.269</v>
      </c>
      <c r="G98" s="2" t="n">
        <v>40</v>
      </c>
      <c r="H98" s="2" t="n">
        <v>48</v>
      </c>
      <c r="I98" s="5" t="n">
        <v>0.0174790978884179</v>
      </c>
      <c r="J98" s="4" t="n">
        <v>94.6583339778309</v>
      </c>
      <c r="K98" s="4" t="n">
        <v>0.15</v>
      </c>
      <c r="L98" s="6" t="n">
        <f aca="false">J98/200000</f>
        <v>0.000473291669889155</v>
      </c>
      <c r="P98" s="4" t="n">
        <f aca="false">$Q$2*($Q$3*$G98+$Q$4*$B98^$Q$5*$I98^$Q$6)*$L98^$Q$7</f>
        <v>0.15204151544277</v>
      </c>
      <c r="Q98" s="4" t="n">
        <f aca="false">P98/$K98</f>
        <v>1.0136101029518</v>
      </c>
      <c r="S98" s="4" t="n">
        <f aca="false">$T$2*$B98^$T$3*$L98^$T$4*($T$5*$I98^$T$6+$T$7)</f>
        <v>0.148636133558417</v>
      </c>
      <c r="T98" s="4" t="n">
        <f aca="false">S98/$K98</f>
        <v>0.990907557056114</v>
      </c>
      <c r="V98" s="4"/>
      <c r="W98" s="4"/>
    </row>
    <row r="99" customFormat="false" ht="14.25" hidden="false" customHeight="false" outlineLevel="0" collapsed="false">
      <c r="B99" s="2" t="n">
        <v>16</v>
      </c>
      <c r="C99" s="3" t="n">
        <v>500</v>
      </c>
      <c r="D99" s="3" t="n">
        <v>2</v>
      </c>
      <c r="E99" s="2" t="n">
        <v>138</v>
      </c>
      <c r="F99" s="4" t="n">
        <v>3.269</v>
      </c>
      <c r="G99" s="2" t="n">
        <v>40</v>
      </c>
      <c r="H99" s="2" t="n">
        <v>48</v>
      </c>
      <c r="I99" s="5" t="n">
        <v>0.0174790978884179</v>
      </c>
      <c r="J99" s="4" t="n">
        <v>132.936040117242</v>
      </c>
      <c r="K99" s="4" t="n">
        <v>0.18</v>
      </c>
      <c r="L99" s="6" t="n">
        <f aca="false">J99/200000</f>
        <v>0.000664680200586211</v>
      </c>
      <c r="P99" s="4" t="n">
        <f aca="false">$Q$2*($Q$3*$G99+$Q$4*$B99^$Q$5*$I99^$Q$6)*$L99^$Q$7</f>
        <v>0.202094122147539</v>
      </c>
      <c r="Q99" s="4" t="n">
        <f aca="false">P99/$K99</f>
        <v>1.12274512304189</v>
      </c>
      <c r="S99" s="4" t="n">
        <f aca="false">$T$2*$B99^$T$3*$L99^$T$4*($T$5*$I99^$T$6+$T$7)</f>
        <v>0.198644083491613</v>
      </c>
      <c r="T99" s="4" t="n">
        <f aca="false">S99/$K99</f>
        <v>1.10357824162007</v>
      </c>
      <c r="V99" s="4"/>
      <c r="W99" s="4"/>
    </row>
    <row r="100" customFormat="false" ht="14.25" hidden="false" customHeight="false" outlineLevel="0" collapsed="false">
      <c r="B100" s="2" t="n">
        <v>16</v>
      </c>
      <c r="C100" s="3" t="n">
        <v>500</v>
      </c>
      <c r="D100" s="3" t="n">
        <v>2</v>
      </c>
      <c r="E100" s="2" t="n">
        <v>138</v>
      </c>
      <c r="F100" s="4" t="n">
        <v>3.269</v>
      </c>
      <c r="G100" s="2" t="n">
        <v>40</v>
      </c>
      <c r="H100" s="2" t="n">
        <v>48</v>
      </c>
      <c r="I100" s="5" t="n">
        <v>0.0174790978884179</v>
      </c>
      <c r="J100" s="4" t="n">
        <v>171.148202239291</v>
      </c>
      <c r="K100" s="4" t="n">
        <v>0.2</v>
      </c>
      <c r="L100" s="6" t="n">
        <f aca="false">J100/200000</f>
        <v>0.000855741011196456</v>
      </c>
      <c r="P100" s="4" t="n">
        <f aca="false">$Q$2*($Q$3*$G100+$Q$4*$B100^$Q$5*$I100^$Q$6)*$L100^$Q$7</f>
        <v>0.249750916298487</v>
      </c>
      <c r="Q100" s="4" t="n">
        <f aca="false">P100/$K100</f>
        <v>1.24875458149244</v>
      </c>
      <c r="S100" s="4" t="n">
        <f aca="false">$T$2*$B100^$T$3*$L100^$T$4*($T$5*$I100^$T$6+$T$7)</f>
        <v>0.246481719998407</v>
      </c>
      <c r="T100" s="4" t="n">
        <f aca="false">S100/$K100</f>
        <v>1.23240859999203</v>
      </c>
      <c r="V100" s="4"/>
      <c r="W100" s="4"/>
    </row>
    <row r="101" customFormat="false" ht="14.25" hidden="false" customHeight="false" outlineLevel="0" collapsed="false">
      <c r="B101" s="2" t="n">
        <v>16</v>
      </c>
      <c r="C101" s="3" t="n">
        <v>500</v>
      </c>
      <c r="D101" s="3" t="n">
        <v>2</v>
      </c>
      <c r="E101" s="2" t="n">
        <v>138</v>
      </c>
      <c r="F101" s="4" t="n">
        <v>3.269</v>
      </c>
      <c r="G101" s="2" t="n">
        <v>40</v>
      </c>
      <c r="H101" s="2" t="n">
        <v>48</v>
      </c>
      <c r="I101" s="5" t="n">
        <v>0.0174790978884179</v>
      </c>
      <c r="J101" s="4" t="n">
        <v>209.360364361341</v>
      </c>
      <c r="K101" s="4" t="n">
        <v>0.25</v>
      </c>
      <c r="L101" s="6" t="n">
        <f aca="false">J101/200000</f>
        <v>0.0010468018218067</v>
      </c>
      <c r="P101" s="4" t="n">
        <f aca="false">$Q$2*($Q$3*$G101+$Q$4*$B101^$Q$5*$I101^$Q$6)*$L101^$Q$7</f>
        <v>0.295699527143125</v>
      </c>
      <c r="Q101" s="4" t="n">
        <f aca="false">P101/$K101</f>
        <v>1.1827981085725</v>
      </c>
      <c r="S101" s="4" t="n">
        <f aca="false">$T$2*$B101^$T$3*$L101^$T$4*($T$5*$I101^$T$6+$T$7)</f>
        <v>0.292771373169119</v>
      </c>
      <c r="T101" s="4" t="n">
        <f aca="false">S101/$K101</f>
        <v>1.17108549267647</v>
      </c>
      <c r="V101" s="4"/>
      <c r="W101" s="4"/>
    </row>
    <row r="102" customFormat="false" ht="14.25" hidden="false" customHeight="false" outlineLevel="0" collapsed="false">
      <c r="B102" s="2" t="n">
        <v>16</v>
      </c>
      <c r="C102" s="3" t="n">
        <v>500</v>
      </c>
      <c r="D102" s="3" t="n">
        <v>2</v>
      </c>
      <c r="E102" s="2" t="n">
        <v>138</v>
      </c>
      <c r="F102" s="4" t="n">
        <v>3.269</v>
      </c>
      <c r="G102" s="2" t="n">
        <v>40</v>
      </c>
      <c r="H102" s="2" t="n">
        <v>48</v>
      </c>
      <c r="I102" s="5" t="n">
        <v>0.0174790978884179</v>
      </c>
      <c r="J102" s="4" t="n">
        <v>247.638070500752</v>
      </c>
      <c r="K102" s="4" t="n">
        <v>0.3</v>
      </c>
      <c r="L102" s="6" t="n">
        <f aca="false">J102/200000</f>
        <v>0.00123819035250376</v>
      </c>
      <c r="P102" s="4" t="n">
        <f aca="false">$Q$2*($Q$3*$G102+$Q$4*$B102^$Q$5*$I102^$Q$6)*$L102^$Q$7</f>
        <v>0.340376884494914</v>
      </c>
      <c r="Q102" s="4" t="n">
        <f aca="false">P102/$K102</f>
        <v>1.13458961498305</v>
      </c>
      <c r="S102" s="4" t="n">
        <f aca="false">$T$2*$B102^$T$3*$L102^$T$4*($T$5*$I102^$T$6+$T$7)</f>
        <v>0.337912926520236</v>
      </c>
      <c r="T102" s="4" t="n">
        <f aca="false">S102/$K102</f>
        <v>1.12637642173412</v>
      </c>
      <c r="V102" s="4"/>
      <c r="W102" s="4"/>
    </row>
    <row r="103" customFormat="false" ht="14.25" hidden="false" customHeight="false" outlineLevel="0" collapsed="false">
      <c r="B103" s="2" t="n">
        <v>16</v>
      </c>
      <c r="C103" s="3" t="n">
        <v>500</v>
      </c>
      <c r="D103" s="3" t="n">
        <v>2</v>
      </c>
      <c r="E103" s="2" t="n">
        <v>138</v>
      </c>
      <c r="F103" s="4" t="n">
        <v>3.269</v>
      </c>
      <c r="G103" s="2" t="n">
        <v>40</v>
      </c>
      <c r="H103" s="2" t="n">
        <v>48</v>
      </c>
      <c r="I103" s="5" t="n">
        <v>0.0174790978884179</v>
      </c>
      <c r="J103" s="4" t="n">
        <v>285.915776640163</v>
      </c>
      <c r="K103" s="4" t="n">
        <v>0.33</v>
      </c>
      <c r="L103" s="6" t="n">
        <f aca="false">J103/200000</f>
        <v>0.00142957888320081</v>
      </c>
      <c r="P103" s="4" t="n">
        <f aca="false">$Q$2*($Q$3*$G103+$Q$4*$B103^$Q$5*$I103^$Q$6)*$L103^$Q$7</f>
        <v>0.383944643148079</v>
      </c>
      <c r="Q103" s="4" t="n">
        <f aca="false">P103/$K103</f>
        <v>1.16346861560024</v>
      </c>
      <c r="S103" s="4" t="n">
        <f aca="false">$T$2*$B103^$T$3*$L103^$T$4*($T$5*$I103^$T$6+$T$7)</f>
        <v>0.382042862787618</v>
      </c>
      <c r="T103" s="4" t="n">
        <f aca="false">S103/$K103</f>
        <v>1.15770564481096</v>
      </c>
      <c r="V103" s="4"/>
      <c r="W103" s="4"/>
    </row>
    <row r="104" customFormat="false" ht="14.25" hidden="false" customHeight="false" outlineLevel="0" collapsed="false">
      <c r="B104" s="2" t="n">
        <v>16</v>
      </c>
      <c r="C104" s="3" t="n">
        <v>500</v>
      </c>
      <c r="D104" s="3" t="n">
        <v>2</v>
      </c>
      <c r="E104" s="2" t="n">
        <v>138</v>
      </c>
      <c r="F104" s="4" t="n">
        <v>3.269</v>
      </c>
      <c r="G104" s="2" t="n">
        <v>40</v>
      </c>
      <c r="H104" s="2" t="n">
        <v>48</v>
      </c>
      <c r="I104" s="5" t="n">
        <v>0.0174790978884179</v>
      </c>
      <c r="J104" s="4" t="n">
        <v>324.06239474485</v>
      </c>
      <c r="K104" s="4" t="n">
        <v>0.38</v>
      </c>
      <c r="L104" s="6" t="n">
        <f aca="false">J104/200000</f>
        <v>0.00162031197372425</v>
      </c>
      <c r="P104" s="4" t="n">
        <f aca="false">$Q$2*($Q$3*$G104+$Q$4*$B104^$Q$5*$I104^$Q$6)*$L104^$Q$7</f>
        <v>0.426430113339339</v>
      </c>
      <c r="Q104" s="4" t="n">
        <f aca="false">P104/$K104</f>
        <v>1.12218450878773</v>
      </c>
      <c r="S104" s="4" t="n">
        <f aca="false">$T$2*$B104^$T$3*$L104^$T$4*($T$5*$I104^$T$6+$T$7)</f>
        <v>0.425169000520165</v>
      </c>
      <c r="T104" s="4" t="n">
        <f aca="false">S104/$K104</f>
        <v>1.11886579084254</v>
      </c>
      <c r="V104" s="4"/>
      <c r="W104" s="4"/>
    </row>
    <row r="105" customFormat="false" ht="14.25" hidden="false" customHeight="false" outlineLevel="0" collapsed="false">
      <c r="A105" s="1" t="s">
        <v>44</v>
      </c>
      <c r="B105" s="2" t="n">
        <v>16</v>
      </c>
      <c r="C105" s="3" t="n">
        <v>500</v>
      </c>
      <c r="D105" s="3" t="n">
        <v>2</v>
      </c>
      <c r="E105" s="2" t="n">
        <v>168</v>
      </c>
      <c r="F105" s="4" t="n">
        <v>3.269</v>
      </c>
      <c r="G105" s="2" t="n">
        <v>25</v>
      </c>
      <c r="H105" s="2" t="n">
        <v>33</v>
      </c>
      <c r="I105" s="5" t="n">
        <v>0.0193939393939394</v>
      </c>
      <c r="J105" s="4" t="n">
        <v>104.892491898491</v>
      </c>
      <c r="K105" s="4" t="n">
        <v>0.15</v>
      </c>
      <c r="L105" s="6" t="n">
        <f aca="false">J105/200000</f>
        <v>0.000524462459492457</v>
      </c>
      <c r="P105" s="4" t="n">
        <f aca="false">$Q$2*($Q$3*$G105+$Q$4*$B105^$Q$5*$I105^$Q$6)*$L105^$Q$7</f>
        <v>0.156949644576352</v>
      </c>
      <c r="Q105" s="4" t="n">
        <f aca="false">P105/$K105</f>
        <v>1.04633096384234</v>
      </c>
      <c r="S105" s="4" t="n">
        <f aca="false">$T$2*$B105^$T$3*$L105^$T$4*($T$5*$I105^$T$6+$T$7)</f>
        <v>0.153094685163422</v>
      </c>
      <c r="T105" s="4" t="n">
        <f aca="false">S105/$K105</f>
        <v>1.02063123442281</v>
      </c>
      <c r="V105" s="4"/>
      <c r="W105" s="4"/>
    </row>
    <row r="106" customFormat="false" ht="14.25" hidden="false" customHeight="false" outlineLevel="0" collapsed="false">
      <c r="B106" s="2" t="n">
        <v>16</v>
      </c>
      <c r="C106" s="3" t="n">
        <v>500</v>
      </c>
      <c r="D106" s="3" t="n">
        <v>2</v>
      </c>
      <c r="E106" s="2" t="n">
        <v>168</v>
      </c>
      <c r="F106" s="4" t="n">
        <v>3.269</v>
      </c>
      <c r="G106" s="2" t="n">
        <v>25</v>
      </c>
      <c r="H106" s="2" t="n">
        <v>33</v>
      </c>
      <c r="I106" s="5" t="n">
        <v>0.0193939393939394</v>
      </c>
      <c r="J106" s="4" t="n">
        <v>142.140389915468</v>
      </c>
      <c r="K106" s="4" t="n">
        <v>0.18</v>
      </c>
      <c r="L106" s="6" t="n">
        <f aca="false">J106/200000</f>
        <v>0.000710701949577338</v>
      </c>
      <c r="P106" s="4" t="n">
        <f aca="false">$Q$2*($Q$3*$G106+$Q$4*$B106^$Q$5*$I106^$Q$6)*$L106^$Q$7</f>
        <v>0.202466788381497</v>
      </c>
      <c r="Q106" s="4" t="n">
        <f aca="false">P106/$K106</f>
        <v>1.12481549100832</v>
      </c>
      <c r="S106" s="4" t="n">
        <f aca="false">$T$2*$B106^$T$3*$L106^$T$4*($T$5*$I106^$T$6+$T$7)</f>
        <v>0.198456414618374</v>
      </c>
      <c r="T106" s="4" t="n">
        <f aca="false">S106/$K106</f>
        <v>1.10253563676875</v>
      </c>
      <c r="V106" s="4"/>
      <c r="W106" s="4"/>
    </row>
    <row r="107" customFormat="false" ht="14.25" hidden="false" customHeight="false" outlineLevel="0" collapsed="false">
      <c r="B107" s="2" t="n">
        <v>16</v>
      </c>
      <c r="C107" s="3" t="n">
        <v>500</v>
      </c>
      <c r="D107" s="3" t="n">
        <v>2</v>
      </c>
      <c r="E107" s="2" t="n">
        <v>168</v>
      </c>
      <c r="F107" s="4" t="n">
        <v>3.269</v>
      </c>
      <c r="G107" s="2" t="n">
        <v>25</v>
      </c>
      <c r="H107" s="2" t="n">
        <v>33</v>
      </c>
      <c r="I107" s="5" t="n">
        <v>0.0193939393939394</v>
      </c>
      <c r="J107" s="4" t="n">
        <v>179.324507285155</v>
      </c>
      <c r="K107" s="4" t="n">
        <v>0.2</v>
      </c>
      <c r="L107" s="6" t="n">
        <f aca="false">J107/200000</f>
        <v>0.000896622536425773</v>
      </c>
      <c r="P107" s="4" t="n">
        <f aca="false">$Q$2*($Q$3*$G107+$Q$4*$B107^$Q$5*$I107^$Q$6)*$L107^$Q$7</f>
        <v>0.245995153241955</v>
      </c>
      <c r="Q107" s="4" t="n">
        <f aca="false">P107/$K107</f>
        <v>1.22997576620977</v>
      </c>
      <c r="S107" s="4" t="n">
        <f aca="false">$T$2*$B107^$T$3*$L107^$T$4*($T$5*$I107^$T$6+$T$7)</f>
        <v>0.242020777486712</v>
      </c>
      <c r="T107" s="4" t="n">
        <f aca="false">S107/$K107</f>
        <v>1.21010388743356</v>
      </c>
      <c r="V107" s="4"/>
      <c r="W107" s="4"/>
    </row>
    <row r="108" customFormat="false" ht="14.25" hidden="false" customHeight="false" outlineLevel="0" collapsed="false">
      <c r="B108" s="2" t="n">
        <v>16</v>
      </c>
      <c r="C108" s="3" t="n">
        <v>500</v>
      </c>
      <c r="D108" s="3" t="n">
        <v>2</v>
      </c>
      <c r="E108" s="2" t="n">
        <v>168</v>
      </c>
      <c r="F108" s="4" t="n">
        <v>3.269</v>
      </c>
      <c r="G108" s="2" t="n">
        <v>25</v>
      </c>
      <c r="H108" s="2" t="n">
        <v>33</v>
      </c>
      <c r="I108" s="5" t="n">
        <v>0.0193939393939394</v>
      </c>
      <c r="J108" s="4" t="n">
        <v>216.508624654842</v>
      </c>
      <c r="K108" s="4" t="n">
        <v>0.23</v>
      </c>
      <c r="L108" s="6" t="n">
        <f aca="false">J108/200000</f>
        <v>0.00108254312327421</v>
      </c>
      <c r="P108" s="4" t="n">
        <f aca="false">$Q$2*($Q$3*$G108+$Q$4*$B108^$Q$5*$I108^$Q$6)*$L108^$Q$7</f>
        <v>0.288074452734244</v>
      </c>
      <c r="Q108" s="4" t="n">
        <f aca="false">P108/$K108</f>
        <v>1.25249762058367</v>
      </c>
      <c r="S108" s="4" t="n">
        <f aca="false">$T$2*$B108^$T$3*$L108^$T$4*($T$5*$I108^$T$6+$T$7)</f>
        <v>0.284276012959543</v>
      </c>
      <c r="T108" s="4" t="n">
        <f aca="false">S108/$K108</f>
        <v>1.23598266504149</v>
      </c>
      <c r="V108" s="4"/>
      <c r="W108" s="4"/>
    </row>
    <row r="109" customFormat="false" ht="14.25" hidden="false" customHeight="false" outlineLevel="0" collapsed="false">
      <c r="B109" s="2" t="n">
        <v>16</v>
      </c>
      <c r="C109" s="3" t="n">
        <v>500</v>
      </c>
      <c r="D109" s="3" t="n">
        <v>2</v>
      </c>
      <c r="E109" s="2" t="n">
        <v>168</v>
      </c>
      <c r="F109" s="4" t="n">
        <v>3.269</v>
      </c>
      <c r="G109" s="2" t="n">
        <v>25</v>
      </c>
      <c r="H109" s="2" t="n">
        <v>33</v>
      </c>
      <c r="I109" s="5" t="n">
        <v>0.0193939393939394</v>
      </c>
      <c r="J109" s="4" t="n">
        <v>253.756522671818</v>
      </c>
      <c r="K109" s="4" t="n">
        <v>0.25</v>
      </c>
      <c r="L109" s="6" t="n">
        <f aca="false">J109/200000</f>
        <v>0.00126878261335909</v>
      </c>
      <c r="P109" s="4" t="n">
        <f aca="false">$Q$2*($Q$3*$G109+$Q$4*$B109^$Q$5*$I109^$Q$6)*$L109^$Q$7</f>
        <v>0.329062317896222</v>
      </c>
      <c r="Q109" s="4" t="n">
        <f aca="false">P109/$K109</f>
        <v>1.31624927158489</v>
      </c>
      <c r="S109" s="4" t="n">
        <f aca="false">$T$2*$B109^$T$3*$L109^$T$4*($T$5*$I109^$T$6+$T$7)</f>
        <v>0.325549246847364</v>
      </c>
      <c r="T109" s="4" t="n">
        <f aca="false">S109/$K109</f>
        <v>1.30219698738945</v>
      </c>
      <c r="V109" s="4"/>
      <c r="W109" s="4"/>
    </row>
    <row r="110" customFormat="false" ht="14.25" hidden="false" customHeight="false" outlineLevel="0" collapsed="false">
      <c r="B110" s="2" t="n">
        <v>16</v>
      </c>
      <c r="C110" s="3" t="n">
        <v>500</v>
      </c>
      <c r="D110" s="3" t="n">
        <v>2</v>
      </c>
      <c r="E110" s="2" t="n">
        <v>168</v>
      </c>
      <c r="F110" s="4" t="n">
        <v>3.269</v>
      </c>
      <c r="G110" s="2" t="n">
        <v>25</v>
      </c>
      <c r="H110" s="2" t="n">
        <v>33</v>
      </c>
      <c r="I110" s="5" t="n">
        <v>0.0193939393939394</v>
      </c>
      <c r="J110" s="4" t="n">
        <v>291.004420688794</v>
      </c>
      <c r="K110" s="4" t="n">
        <v>0.3</v>
      </c>
      <c r="L110" s="6" t="n">
        <f aca="false">J110/200000</f>
        <v>0.00145502210344397</v>
      </c>
      <c r="P110" s="4" t="n">
        <f aca="false">$Q$2*($Q$3*$G110+$Q$4*$B110^$Q$5*$I110^$Q$6)*$L110^$Q$7</f>
        <v>0.3690832875332</v>
      </c>
      <c r="Q110" s="4" t="n">
        <f aca="false">P110/$K110</f>
        <v>1.23027762511067</v>
      </c>
      <c r="S110" s="4" t="n">
        <f aca="false">$T$2*$B110^$T$3*$L110^$T$4*($T$5*$I110^$T$6+$T$7)</f>
        <v>0.365944008293074</v>
      </c>
      <c r="T110" s="4" t="n">
        <f aca="false">S110/$K110</f>
        <v>1.21981336097691</v>
      </c>
      <c r="V110" s="4"/>
      <c r="W110" s="4"/>
    </row>
    <row r="111" customFormat="false" ht="14.25" hidden="false" customHeight="false" outlineLevel="0" collapsed="false">
      <c r="B111" s="2" t="n">
        <v>16</v>
      </c>
      <c r="C111" s="3" t="n">
        <v>500</v>
      </c>
      <c r="D111" s="3" t="n">
        <v>2</v>
      </c>
      <c r="E111" s="2" t="n">
        <v>168</v>
      </c>
      <c r="F111" s="4" t="n">
        <v>3.269</v>
      </c>
      <c r="G111" s="2" t="n">
        <v>25</v>
      </c>
      <c r="H111" s="2" t="n">
        <v>33</v>
      </c>
      <c r="I111" s="5" t="n">
        <v>0.0193939393939394</v>
      </c>
      <c r="J111" s="4" t="n">
        <v>328.124757411192</v>
      </c>
      <c r="K111" s="4" t="n">
        <v>0.3</v>
      </c>
      <c r="L111" s="6" t="n">
        <f aca="false">J111/200000</f>
        <v>0.00164062378705596</v>
      </c>
      <c r="P111" s="4" t="n">
        <f aca="false">$Q$2*($Q$3*$G111+$Q$4*$B111^$Q$5*$I111^$Q$6)*$L111^$Q$7</f>
        <v>0.408147563833276</v>
      </c>
      <c r="Q111" s="4" t="n">
        <f aca="false">P111/$K111</f>
        <v>1.36049187944425</v>
      </c>
      <c r="S111" s="4" t="n">
        <f aca="false">$T$2*$B111^$T$3*$L111^$T$4*($T$5*$I111^$T$6+$T$7)</f>
        <v>0.405454102974071</v>
      </c>
      <c r="T111" s="4" t="n">
        <f aca="false">S111/$K111</f>
        <v>1.35151367658024</v>
      </c>
      <c r="V111" s="4"/>
      <c r="W111" s="4"/>
    </row>
    <row r="112" customFormat="false" ht="14.25" hidden="false" customHeight="false" outlineLevel="0" collapsed="false">
      <c r="A112" s="1" t="s">
        <v>45</v>
      </c>
      <c r="B112" s="2" t="n">
        <v>16</v>
      </c>
      <c r="C112" s="3" t="n">
        <v>500</v>
      </c>
      <c r="D112" s="3" t="n">
        <v>2</v>
      </c>
      <c r="E112" s="2" t="n">
        <v>168</v>
      </c>
      <c r="F112" s="4" t="n">
        <v>3.269</v>
      </c>
      <c r="G112" s="2" t="n">
        <v>25</v>
      </c>
      <c r="H112" s="2" t="n">
        <v>33</v>
      </c>
      <c r="I112" s="5" t="n">
        <v>0.0193939393939394</v>
      </c>
      <c r="J112" s="4" t="n">
        <v>69.5726226812686</v>
      </c>
      <c r="K112" s="4" t="n">
        <v>0.15</v>
      </c>
      <c r="L112" s="6" t="n">
        <f aca="false">J112/200000</f>
        <v>0.000347863113406343</v>
      </c>
      <c r="P112" s="4" t="n">
        <f aca="false">$Q$2*($Q$3*$G112+$Q$4*$B112^$Q$5*$I112^$Q$6)*$L112^$Q$7</f>
        <v>0.111260212574438</v>
      </c>
      <c r="Q112" s="4" t="n">
        <f aca="false">P112/$K112</f>
        <v>0.741734750496251</v>
      </c>
      <c r="S112" s="4" t="n">
        <f aca="false">$T$2*$B112^$T$3*$L112^$T$4*($T$5*$I112^$T$6+$T$7)</f>
        <v>0.107816881561674</v>
      </c>
      <c r="T112" s="4" t="n">
        <f aca="false">S112/$K112</f>
        <v>0.718779210411161</v>
      </c>
      <c r="V112" s="4"/>
      <c r="W112" s="4"/>
    </row>
    <row r="113" customFormat="false" ht="14.25" hidden="false" customHeight="false" outlineLevel="0" collapsed="false">
      <c r="B113" s="2" t="n">
        <v>16</v>
      </c>
      <c r="C113" s="3" t="n">
        <v>500</v>
      </c>
      <c r="D113" s="3" t="n">
        <v>2</v>
      </c>
      <c r="E113" s="2" t="n">
        <v>168</v>
      </c>
      <c r="F113" s="4" t="n">
        <v>3.269</v>
      </c>
      <c r="G113" s="2" t="n">
        <v>25</v>
      </c>
      <c r="H113" s="2" t="n">
        <v>33</v>
      </c>
      <c r="I113" s="5" t="n">
        <v>0.0193939393939394</v>
      </c>
      <c r="J113" s="4" t="n">
        <v>104.892491898491</v>
      </c>
      <c r="K113" s="4" t="n">
        <v>0.18</v>
      </c>
      <c r="L113" s="6" t="n">
        <f aca="false">J113/200000</f>
        <v>0.000524462459492457</v>
      </c>
      <c r="P113" s="4" t="n">
        <f aca="false">$Q$2*($Q$3*$G113+$Q$4*$B113^$Q$5*$I113^$Q$6)*$L113^$Q$7</f>
        <v>0.156949644576352</v>
      </c>
      <c r="Q113" s="4" t="n">
        <f aca="false">P113/$K113</f>
        <v>0.87194246986862</v>
      </c>
      <c r="S113" s="4" t="n">
        <f aca="false">$T$2*$B113^$T$3*$L113^$T$4*($T$5*$I113^$T$6+$T$7)</f>
        <v>0.153094685163422</v>
      </c>
      <c r="T113" s="4" t="n">
        <f aca="false">S113/$K113</f>
        <v>0.850526028685677</v>
      </c>
      <c r="V113" s="4"/>
      <c r="W113" s="4"/>
    </row>
    <row r="114" customFormat="false" ht="14.25" hidden="false" customHeight="false" outlineLevel="0" collapsed="false">
      <c r="B114" s="2" t="n">
        <v>16</v>
      </c>
      <c r="C114" s="3" t="n">
        <v>500</v>
      </c>
      <c r="D114" s="3" t="n">
        <v>2</v>
      </c>
      <c r="E114" s="2" t="n">
        <v>168</v>
      </c>
      <c r="F114" s="4" t="n">
        <v>3.269</v>
      </c>
      <c r="G114" s="2" t="n">
        <v>25</v>
      </c>
      <c r="H114" s="2" t="n">
        <v>33</v>
      </c>
      <c r="I114" s="5" t="n">
        <v>0.0193939393939394</v>
      </c>
      <c r="J114" s="4" t="n">
        <v>142.140389915468</v>
      </c>
      <c r="K114" s="4" t="n">
        <v>0.18</v>
      </c>
      <c r="L114" s="6" t="n">
        <f aca="false">J114/200000</f>
        <v>0.000710701949577338</v>
      </c>
      <c r="P114" s="4" t="n">
        <f aca="false">$Q$2*($Q$3*$G114+$Q$4*$B114^$Q$5*$I114^$Q$6)*$L114^$Q$7</f>
        <v>0.202466788381497</v>
      </c>
      <c r="Q114" s="4" t="n">
        <f aca="false">P114/$K114</f>
        <v>1.12481549100832</v>
      </c>
      <c r="S114" s="4" t="n">
        <f aca="false">$T$2*$B114^$T$3*$L114^$T$4*($T$5*$I114^$T$6+$T$7)</f>
        <v>0.198456414618374</v>
      </c>
      <c r="T114" s="4" t="n">
        <f aca="false">S114/$K114</f>
        <v>1.10253563676875</v>
      </c>
      <c r="V114" s="4"/>
      <c r="W114" s="4"/>
    </row>
    <row r="115" customFormat="false" ht="14.25" hidden="false" customHeight="false" outlineLevel="0" collapsed="false">
      <c r="B115" s="2" t="n">
        <v>16</v>
      </c>
      <c r="C115" s="3" t="n">
        <v>500</v>
      </c>
      <c r="D115" s="3" t="n">
        <v>2</v>
      </c>
      <c r="E115" s="2" t="n">
        <v>168</v>
      </c>
      <c r="F115" s="4" t="n">
        <v>3.269</v>
      </c>
      <c r="G115" s="2" t="n">
        <v>25</v>
      </c>
      <c r="H115" s="2" t="n">
        <v>33</v>
      </c>
      <c r="I115" s="5" t="n">
        <v>0.0193939393939394</v>
      </c>
      <c r="J115" s="4" t="n">
        <v>179.324507285155</v>
      </c>
      <c r="K115" s="4" t="n">
        <v>0.25</v>
      </c>
      <c r="L115" s="6" t="n">
        <f aca="false">J115/200000</f>
        <v>0.000896622536425773</v>
      </c>
      <c r="P115" s="4" t="n">
        <f aca="false">$Q$2*($Q$3*$G115+$Q$4*$B115^$Q$5*$I115^$Q$6)*$L115^$Q$7</f>
        <v>0.245995153241955</v>
      </c>
      <c r="Q115" s="4" t="n">
        <f aca="false">P115/$K115</f>
        <v>0.98398061296782</v>
      </c>
      <c r="S115" s="4" t="n">
        <f aca="false">$T$2*$B115^$T$3*$L115^$T$4*($T$5*$I115^$T$6+$T$7)</f>
        <v>0.242020777486712</v>
      </c>
      <c r="T115" s="4" t="n">
        <f aca="false">S115/$K115</f>
        <v>0.968083109946848</v>
      </c>
      <c r="V115" s="4"/>
      <c r="W115" s="4"/>
    </row>
    <row r="116" customFormat="false" ht="14.25" hidden="false" customHeight="false" outlineLevel="0" collapsed="false">
      <c r="B116" s="2" t="n">
        <v>16</v>
      </c>
      <c r="C116" s="3" t="n">
        <v>500</v>
      </c>
      <c r="D116" s="3" t="n">
        <v>2</v>
      </c>
      <c r="E116" s="2" t="n">
        <v>168</v>
      </c>
      <c r="F116" s="4" t="n">
        <v>3.269</v>
      </c>
      <c r="G116" s="2" t="n">
        <v>25</v>
      </c>
      <c r="H116" s="2" t="n">
        <v>33</v>
      </c>
      <c r="I116" s="5" t="n">
        <v>0.0193939393939394</v>
      </c>
      <c r="J116" s="4" t="n">
        <v>216.508624654842</v>
      </c>
      <c r="K116" s="4" t="n">
        <v>0.28</v>
      </c>
      <c r="L116" s="6" t="n">
        <f aca="false">J116/200000</f>
        <v>0.00108254312327421</v>
      </c>
      <c r="P116" s="4" t="n">
        <f aca="false">$Q$2*($Q$3*$G116+$Q$4*$B116^$Q$5*$I116^$Q$6)*$L116^$Q$7</f>
        <v>0.288074452734244</v>
      </c>
      <c r="Q116" s="4" t="n">
        <f aca="false">P116/$K116</f>
        <v>1.02883733119373</v>
      </c>
      <c r="S116" s="4" t="n">
        <f aca="false">$T$2*$B116^$T$3*$L116^$T$4*($T$5*$I116^$T$6+$T$7)</f>
        <v>0.284276012959543</v>
      </c>
      <c r="T116" s="4" t="n">
        <f aca="false">S116/$K116</f>
        <v>1.01527147485551</v>
      </c>
      <c r="V116" s="4"/>
      <c r="W116" s="4"/>
    </row>
    <row r="117" customFormat="false" ht="14.25" hidden="false" customHeight="false" outlineLevel="0" collapsed="false">
      <c r="B117" s="2" t="n">
        <v>16</v>
      </c>
      <c r="C117" s="3" t="n">
        <v>500</v>
      </c>
      <c r="D117" s="3" t="n">
        <v>2</v>
      </c>
      <c r="E117" s="2" t="n">
        <v>168</v>
      </c>
      <c r="F117" s="4" t="n">
        <v>3.269</v>
      </c>
      <c r="G117" s="2" t="n">
        <v>25</v>
      </c>
      <c r="H117" s="2" t="n">
        <v>33</v>
      </c>
      <c r="I117" s="5" t="n">
        <v>0.0193939393939394</v>
      </c>
      <c r="J117" s="4" t="n">
        <v>253.756522671818</v>
      </c>
      <c r="K117" s="4" t="n">
        <v>0.33</v>
      </c>
      <c r="L117" s="6" t="n">
        <f aca="false">J117/200000</f>
        <v>0.00126878261335909</v>
      </c>
      <c r="P117" s="4" t="n">
        <f aca="false">$Q$2*($Q$3*$G117+$Q$4*$B117^$Q$5*$I117^$Q$6)*$L117^$Q$7</f>
        <v>0.329062317896222</v>
      </c>
      <c r="Q117" s="4" t="n">
        <f aca="false">P117/$K117</f>
        <v>0.997158539079461</v>
      </c>
      <c r="S117" s="4" t="n">
        <f aca="false">$T$2*$B117^$T$3*$L117^$T$4*($T$5*$I117^$T$6+$T$7)</f>
        <v>0.325549246847364</v>
      </c>
      <c r="T117" s="4" t="n">
        <f aca="false">S117/$K117</f>
        <v>0.986512869234435</v>
      </c>
      <c r="V117" s="4"/>
      <c r="W117" s="4"/>
    </row>
    <row r="118" customFormat="false" ht="14.25" hidden="false" customHeight="false" outlineLevel="0" collapsed="false">
      <c r="B118" s="2" t="n">
        <v>16</v>
      </c>
      <c r="C118" s="3" t="n">
        <v>500</v>
      </c>
      <c r="D118" s="3" t="n">
        <v>2</v>
      </c>
      <c r="E118" s="2" t="n">
        <v>168</v>
      </c>
      <c r="F118" s="4" t="n">
        <v>3.269</v>
      </c>
      <c r="G118" s="2" t="n">
        <v>25</v>
      </c>
      <c r="H118" s="2" t="n">
        <v>33</v>
      </c>
      <c r="I118" s="5" t="n">
        <v>0.0193939393939394</v>
      </c>
      <c r="J118" s="4" t="n">
        <v>291.004420688794</v>
      </c>
      <c r="K118" s="4" t="n">
        <v>0.38</v>
      </c>
      <c r="L118" s="6" t="n">
        <f aca="false">J118/200000</f>
        <v>0.00145502210344397</v>
      </c>
      <c r="P118" s="4" t="n">
        <f aca="false">$Q$2*($Q$3*$G118+$Q$4*$B118^$Q$5*$I118^$Q$6)*$L118^$Q$7</f>
        <v>0.3690832875332</v>
      </c>
      <c r="Q118" s="4" t="n">
        <f aca="false">P118/$K118</f>
        <v>0.971271809297895</v>
      </c>
      <c r="S118" s="4" t="n">
        <f aca="false">$T$2*$B118^$T$3*$L118^$T$4*($T$5*$I118^$T$6+$T$7)</f>
        <v>0.365944008293074</v>
      </c>
      <c r="T118" s="4" t="n">
        <f aca="false">S118/$K118</f>
        <v>0.963010548139668</v>
      </c>
      <c r="V118" s="4"/>
      <c r="W118" s="4"/>
    </row>
    <row r="119" customFormat="false" ht="14.25" hidden="false" customHeight="false" outlineLevel="0" collapsed="false">
      <c r="B119" s="2" t="n">
        <v>16</v>
      </c>
      <c r="C119" s="3" t="n">
        <v>500</v>
      </c>
      <c r="D119" s="3" t="n">
        <v>2</v>
      </c>
      <c r="E119" s="2" t="n">
        <v>168</v>
      </c>
      <c r="F119" s="4" t="n">
        <v>3.269</v>
      </c>
      <c r="G119" s="2" t="n">
        <v>25</v>
      </c>
      <c r="H119" s="2" t="n">
        <v>33</v>
      </c>
      <c r="I119" s="5" t="n">
        <v>0.0193939393939394</v>
      </c>
      <c r="J119" s="4" t="n">
        <v>328.124757411192</v>
      </c>
      <c r="K119" s="4" t="n">
        <v>0.43</v>
      </c>
      <c r="L119" s="6" t="n">
        <f aca="false">J119/200000</f>
        <v>0.00164062378705596</v>
      </c>
      <c r="P119" s="4" t="n">
        <f aca="false">$Q$2*($Q$3*$G119+$Q$4*$B119^$Q$5*$I119^$Q$6)*$L119^$Q$7</f>
        <v>0.408147563833276</v>
      </c>
      <c r="Q119" s="4" t="n">
        <f aca="false">P119/$K119</f>
        <v>0.949180381007619</v>
      </c>
      <c r="S119" s="4" t="n">
        <f aca="false">$T$2*$B119^$T$3*$L119^$T$4*($T$5*$I119^$T$6+$T$7)</f>
        <v>0.405454102974071</v>
      </c>
      <c r="T119" s="4" t="n">
        <f aca="false">S119/$K119</f>
        <v>0.94291651854435</v>
      </c>
      <c r="V119" s="4"/>
      <c r="W119" s="4"/>
    </row>
    <row r="120" customFormat="false" ht="14.25" hidden="false" customHeight="false" outlineLevel="0" collapsed="false">
      <c r="A120" s="1" t="s">
        <v>46</v>
      </c>
      <c r="B120" s="2" t="n">
        <v>16</v>
      </c>
      <c r="C120" s="3" t="n">
        <v>500</v>
      </c>
      <c r="D120" s="3" t="n">
        <v>3</v>
      </c>
      <c r="E120" s="2" t="n">
        <v>76</v>
      </c>
      <c r="F120" s="4" t="n">
        <v>3.269</v>
      </c>
      <c r="G120" s="2" t="n">
        <v>25</v>
      </c>
      <c r="H120" s="2" t="n">
        <v>33</v>
      </c>
      <c r="I120" s="5" t="n">
        <v>0.0292819225138491</v>
      </c>
      <c r="J120" s="4" t="n">
        <v>164.137600096932</v>
      </c>
      <c r="K120" s="4" t="n">
        <v>0.15</v>
      </c>
      <c r="L120" s="6" t="n">
        <f aca="false">J120/200000</f>
        <v>0.000820688000484658</v>
      </c>
      <c r="P120" s="4" t="n">
        <f aca="false">$Q$2*($Q$3*$G120+$Q$4*$B120^$Q$5*$I120^$Q$6)*$L120^$Q$7</f>
        <v>0.186499995953445</v>
      </c>
      <c r="Q120" s="4" t="n">
        <f aca="false">P120/$K120</f>
        <v>1.2433333063563</v>
      </c>
      <c r="S120" s="4" t="n">
        <f aca="false">$T$2*$B120^$T$3*$L120^$T$4*($T$5*$I120^$T$6+$T$7)</f>
        <v>0.179676725868793</v>
      </c>
      <c r="T120" s="4" t="n">
        <f aca="false">S120/$K120</f>
        <v>1.19784483912529</v>
      </c>
      <c r="V120" s="4"/>
      <c r="W120" s="4"/>
    </row>
    <row r="121" customFormat="false" ht="14.25" hidden="false" customHeight="false" outlineLevel="0" collapsed="false">
      <c r="B121" s="2" t="n">
        <v>16</v>
      </c>
      <c r="C121" s="3" t="n">
        <v>500</v>
      </c>
      <c r="D121" s="3" t="n">
        <v>3</v>
      </c>
      <c r="E121" s="2" t="n">
        <v>76</v>
      </c>
      <c r="F121" s="4" t="n">
        <v>3.269</v>
      </c>
      <c r="G121" s="2" t="n">
        <v>25</v>
      </c>
      <c r="H121" s="2" t="n">
        <v>33</v>
      </c>
      <c r="I121" s="5" t="n">
        <v>0.0292819225138491</v>
      </c>
      <c r="J121" s="4" t="n">
        <v>187.157840741702</v>
      </c>
      <c r="K121" s="4" t="n">
        <v>0.18</v>
      </c>
      <c r="L121" s="6" t="n">
        <f aca="false">J121/200000</f>
        <v>0.00093578920370851</v>
      </c>
      <c r="P121" s="4" t="n">
        <f aca="false">$Q$2*($Q$3*$G121+$Q$4*$B121^$Q$5*$I121^$Q$6)*$L121^$Q$7</f>
        <v>0.208182769711345</v>
      </c>
      <c r="Q121" s="4" t="n">
        <f aca="false">P121/$K121</f>
        <v>1.15657094284081</v>
      </c>
      <c r="S121" s="4" t="n">
        <f aca="false">$T$2*$B121^$T$3*$L121^$T$4*($T$5*$I121^$T$6+$T$7)</f>
        <v>0.200987838545039</v>
      </c>
      <c r="T121" s="4" t="n">
        <f aca="false">S121/$K121</f>
        <v>1.116599103028</v>
      </c>
      <c r="V121" s="4"/>
      <c r="W121" s="4"/>
    </row>
    <row r="122" customFormat="false" ht="14.25" hidden="false" customHeight="false" outlineLevel="0" collapsed="false">
      <c r="B122" s="2" t="n">
        <v>16</v>
      </c>
      <c r="C122" s="3" t="n">
        <v>500</v>
      </c>
      <c r="D122" s="3" t="n">
        <v>3</v>
      </c>
      <c r="E122" s="2" t="n">
        <v>76</v>
      </c>
      <c r="F122" s="4" t="n">
        <v>3.269</v>
      </c>
      <c r="G122" s="2" t="n">
        <v>25</v>
      </c>
      <c r="H122" s="2" t="n">
        <v>33</v>
      </c>
      <c r="I122" s="5" t="n">
        <v>0.0292819225138491</v>
      </c>
      <c r="J122" s="4" t="n">
        <v>210.25718874264</v>
      </c>
      <c r="K122" s="4" t="n">
        <v>0.18</v>
      </c>
      <c r="L122" s="6" t="n">
        <f aca="false">J122/200000</f>
        <v>0.0010512859437132</v>
      </c>
      <c r="P122" s="4" t="n">
        <f aca="false">$Q$2*($Q$3*$G122+$Q$4*$B122^$Q$5*$I122^$Q$6)*$L122^$Q$7</f>
        <v>0.229508973987115</v>
      </c>
      <c r="Q122" s="4" t="n">
        <f aca="false">P122/$K122</f>
        <v>1.27504985548397</v>
      </c>
      <c r="S122" s="4" t="n">
        <f aca="false">$T$2*$B122^$T$3*$L122^$T$4*($T$5*$I122^$T$6+$T$7)</f>
        <v>0.221989970898739</v>
      </c>
      <c r="T122" s="4" t="n">
        <f aca="false">S122/$K122</f>
        <v>1.23327761610411</v>
      </c>
      <c r="V122" s="4"/>
      <c r="W122" s="4"/>
    </row>
    <row r="123" customFormat="false" ht="14.25" hidden="false" customHeight="false" outlineLevel="0" collapsed="false">
      <c r="B123" s="2" t="n">
        <v>16</v>
      </c>
      <c r="C123" s="3" t="n">
        <v>500</v>
      </c>
      <c r="D123" s="3" t="n">
        <v>3</v>
      </c>
      <c r="E123" s="2" t="n">
        <v>76</v>
      </c>
      <c r="F123" s="4" t="n">
        <v>3.269</v>
      </c>
      <c r="G123" s="2" t="n">
        <v>25</v>
      </c>
      <c r="H123" s="2" t="n">
        <v>33</v>
      </c>
      <c r="I123" s="5" t="n">
        <v>0.0292819225138491</v>
      </c>
      <c r="J123" s="4" t="n">
        <v>233.356536743578</v>
      </c>
      <c r="K123" s="4" t="n">
        <v>0.2</v>
      </c>
      <c r="L123" s="6" t="n">
        <f aca="false">J123/200000</f>
        <v>0.00116678268371789</v>
      </c>
      <c r="P123" s="4" t="n">
        <f aca="false">$Q$2*($Q$3*$G123+$Q$4*$B123^$Q$5*$I123^$Q$6)*$L123^$Q$7</f>
        <v>0.250458163560134</v>
      </c>
      <c r="Q123" s="4" t="n">
        <f aca="false">P123/$K123</f>
        <v>1.25229081780067</v>
      </c>
      <c r="S123" s="4" t="n">
        <f aca="false">$T$2*$B123^$T$3*$L123^$T$4*($T$5*$I123^$T$6+$T$7)</f>
        <v>0.242657199181016</v>
      </c>
      <c r="T123" s="4" t="n">
        <f aca="false">S123/$K123</f>
        <v>1.21328599590508</v>
      </c>
      <c r="V123" s="4"/>
      <c r="W123" s="4"/>
    </row>
    <row r="124" customFormat="false" ht="14.25" hidden="false" customHeight="false" outlineLevel="0" collapsed="false">
      <c r="B124" s="2" t="n">
        <v>16</v>
      </c>
      <c r="C124" s="3" t="n">
        <v>500</v>
      </c>
      <c r="D124" s="3" t="n">
        <v>3</v>
      </c>
      <c r="E124" s="2" t="n">
        <v>76</v>
      </c>
      <c r="F124" s="4" t="n">
        <v>3.269</v>
      </c>
      <c r="G124" s="2" t="n">
        <v>25</v>
      </c>
      <c r="H124" s="2" t="n">
        <v>33</v>
      </c>
      <c r="I124" s="5" t="n">
        <v>0.0292819225138491</v>
      </c>
      <c r="J124" s="4" t="n">
        <v>256.455884744516</v>
      </c>
      <c r="K124" s="4" t="n">
        <v>0.2</v>
      </c>
      <c r="L124" s="6" t="n">
        <f aca="false">J124/200000</f>
        <v>0.00128227942372258</v>
      </c>
      <c r="P124" s="4" t="n">
        <f aca="false">$Q$2*($Q$3*$G124+$Q$4*$B124^$Q$5*$I124^$Q$6)*$L124^$Q$7</f>
        <v>0.271073506079335</v>
      </c>
      <c r="Q124" s="4" t="n">
        <f aca="false">P124/$K124</f>
        <v>1.35536753039667</v>
      </c>
      <c r="S124" s="4" t="n">
        <f aca="false">$T$2*$B124^$T$3*$L124^$T$4*($T$5*$I124^$T$6+$T$7)</f>
        <v>0.263027371425308</v>
      </c>
      <c r="T124" s="4" t="n">
        <f aca="false">S124/$K124</f>
        <v>1.31513685712654</v>
      </c>
      <c r="V124" s="4"/>
      <c r="W124" s="4"/>
    </row>
    <row r="125" customFormat="false" ht="14.25" hidden="false" customHeight="false" outlineLevel="0" collapsed="false">
      <c r="A125" s="1" t="s">
        <v>47</v>
      </c>
      <c r="B125" s="2" t="n">
        <v>16</v>
      </c>
      <c r="C125" s="3" t="n">
        <v>500</v>
      </c>
      <c r="D125" s="3" t="n">
        <v>3</v>
      </c>
      <c r="E125" s="2" t="n">
        <v>76</v>
      </c>
      <c r="F125" s="4" t="n">
        <v>3.269</v>
      </c>
      <c r="G125" s="2" t="n">
        <v>25</v>
      </c>
      <c r="H125" s="2" t="n">
        <v>33</v>
      </c>
      <c r="I125" s="5" t="n">
        <v>0.0292819225138491</v>
      </c>
      <c r="J125" s="4" t="n">
        <v>187.157840741702</v>
      </c>
      <c r="K125" s="4" t="n">
        <v>0.15</v>
      </c>
      <c r="L125" s="6" t="n">
        <f aca="false">J125/200000</f>
        <v>0.00093578920370851</v>
      </c>
      <c r="P125" s="4" t="n">
        <f aca="false">$Q$2*($Q$3*$G125+$Q$4*$B125^$Q$5*$I125^$Q$6)*$L125^$Q$7</f>
        <v>0.208182769711345</v>
      </c>
      <c r="Q125" s="4" t="n">
        <f aca="false">P125/$K125</f>
        <v>1.38788513140897</v>
      </c>
      <c r="S125" s="4" t="n">
        <f aca="false">$T$2*$B125^$T$3*$L125^$T$4*($T$5*$I125^$T$6+$T$7)</f>
        <v>0.200987838545039</v>
      </c>
      <c r="T125" s="4" t="n">
        <f aca="false">S125/$K125</f>
        <v>1.3399189236336</v>
      </c>
      <c r="V125" s="4"/>
      <c r="W125" s="4"/>
    </row>
    <row r="126" customFormat="false" ht="14.25" hidden="false" customHeight="false" outlineLevel="0" collapsed="false">
      <c r="B126" s="2" t="n">
        <v>16</v>
      </c>
      <c r="C126" s="3" t="n">
        <v>500</v>
      </c>
      <c r="D126" s="3" t="n">
        <v>3</v>
      </c>
      <c r="E126" s="2" t="n">
        <v>76</v>
      </c>
      <c r="F126" s="4" t="n">
        <v>3.269</v>
      </c>
      <c r="G126" s="2" t="n">
        <v>25</v>
      </c>
      <c r="H126" s="2" t="n">
        <v>33</v>
      </c>
      <c r="I126" s="5" t="n">
        <v>0.0292819225138491</v>
      </c>
      <c r="J126" s="4" t="n">
        <v>210.25718874264</v>
      </c>
      <c r="K126" s="4" t="n">
        <v>0.18</v>
      </c>
      <c r="L126" s="6" t="n">
        <f aca="false">J126/200000</f>
        <v>0.0010512859437132</v>
      </c>
      <c r="P126" s="4" t="n">
        <f aca="false">$Q$2*($Q$3*$G126+$Q$4*$B126^$Q$5*$I126^$Q$6)*$L126^$Q$7</f>
        <v>0.229508973987115</v>
      </c>
      <c r="Q126" s="4" t="n">
        <f aca="false">P126/$K126</f>
        <v>1.27504985548397</v>
      </c>
      <c r="S126" s="4" t="n">
        <f aca="false">$T$2*$B126^$T$3*$L126^$T$4*($T$5*$I126^$T$6+$T$7)</f>
        <v>0.221989970898739</v>
      </c>
      <c r="T126" s="4" t="n">
        <f aca="false">S126/$K126</f>
        <v>1.23327761610411</v>
      </c>
      <c r="V126" s="4"/>
      <c r="W126" s="4"/>
    </row>
    <row r="127" customFormat="false" ht="14.25" hidden="false" customHeight="false" outlineLevel="0" collapsed="false">
      <c r="B127" s="2" t="n">
        <v>16</v>
      </c>
      <c r="C127" s="3" t="n">
        <v>500</v>
      </c>
      <c r="D127" s="3" t="n">
        <v>3</v>
      </c>
      <c r="E127" s="2" t="n">
        <v>76</v>
      </c>
      <c r="F127" s="4" t="n">
        <v>3.269</v>
      </c>
      <c r="G127" s="2" t="n">
        <v>25</v>
      </c>
      <c r="H127" s="2" t="n">
        <v>33</v>
      </c>
      <c r="I127" s="5" t="n">
        <v>0.0292819225138491</v>
      </c>
      <c r="J127" s="4" t="n">
        <v>233.356536743578</v>
      </c>
      <c r="K127" s="4" t="n">
        <v>0.2</v>
      </c>
      <c r="L127" s="6" t="n">
        <f aca="false">J127/200000</f>
        <v>0.00116678268371789</v>
      </c>
      <c r="P127" s="4" t="n">
        <f aca="false">$Q$2*($Q$3*$G127+$Q$4*$B127^$Q$5*$I127^$Q$6)*$L127^$Q$7</f>
        <v>0.250458163560134</v>
      </c>
      <c r="Q127" s="4" t="n">
        <f aca="false">P127/$K127</f>
        <v>1.25229081780067</v>
      </c>
      <c r="S127" s="4" t="n">
        <f aca="false">$T$2*$B127^$T$3*$L127^$T$4*($T$5*$I127^$T$6+$T$7)</f>
        <v>0.242657199181016</v>
      </c>
      <c r="T127" s="4" t="n">
        <f aca="false">S127/$K127</f>
        <v>1.21328599590508</v>
      </c>
      <c r="V127" s="4"/>
      <c r="W127" s="4"/>
    </row>
    <row r="128" customFormat="false" ht="14.25" hidden="false" customHeight="false" outlineLevel="0" collapsed="false">
      <c r="B128" s="2" t="n">
        <v>16</v>
      </c>
      <c r="C128" s="3" t="n">
        <v>500</v>
      </c>
      <c r="D128" s="3" t="n">
        <v>3</v>
      </c>
      <c r="E128" s="2" t="n">
        <v>76</v>
      </c>
      <c r="F128" s="4" t="n">
        <v>3.269</v>
      </c>
      <c r="G128" s="2" t="n">
        <v>25</v>
      </c>
      <c r="H128" s="2" t="n">
        <v>33</v>
      </c>
      <c r="I128" s="5" t="n">
        <v>0.0292819225138491</v>
      </c>
      <c r="J128" s="4" t="n">
        <v>256.455884744516</v>
      </c>
      <c r="K128" s="4" t="n">
        <v>0.2</v>
      </c>
      <c r="L128" s="6" t="n">
        <f aca="false">J128/200000</f>
        <v>0.00128227942372258</v>
      </c>
      <c r="P128" s="4" t="n">
        <f aca="false">$Q$2*($Q$3*$G128+$Q$4*$B128^$Q$5*$I128^$Q$6)*$L128^$Q$7</f>
        <v>0.271073506079335</v>
      </c>
      <c r="Q128" s="4" t="n">
        <f aca="false">P128/$K128</f>
        <v>1.35536753039667</v>
      </c>
      <c r="S128" s="4" t="n">
        <f aca="false">$T$2*$B128^$T$3*$L128^$T$4*($T$5*$I128^$T$6+$T$7)</f>
        <v>0.263027371425308</v>
      </c>
      <c r="T128" s="4" t="n">
        <f aca="false">S128/$K128</f>
        <v>1.31513685712654</v>
      </c>
      <c r="V128" s="4"/>
      <c r="W128" s="4"/>
    </row>
    <row r="129" customFormat="false" ht="14.25" hidden="false" customHeight="false" outlineLevel="0" collapsed="false">
      <c r="A129" s="1" t="s">
        <v>48</v>
      </c>
      <c r="B129" s="2" t="n">
        <v>12</v>
      </c>
      <c r="C129" s="3" t="n">
        <v>500</v>
      </c>
      <c r="D129" s="3" t="n">
        <v>2</v>
      </c>
      <c r="E129" s="2" t="n">
        <v>296</v>
      </c>
      <c r="F129" s="4" t="n">
        <v>3.269</v>
      </c>
      <c r="G129" s="2" t="n">
        <v>25</v>
      </c>
      <c r="H129" s="2" t="n">
        <v>31</v>
      </c>
      <c r="I129" s="5" t="n">
        <v>0.0124772064696725</v>
      </c>
      <c r="J129" s="4" t="n">
        <v>4.52087025754429</v>
      </c>
      <c r="K129" s="4" t="n">
        <v>0.2</v>
      </c>
      <c r="L129" s="6" t="n">
        <f aca="false">J129/200000</f>
        <v>2.26043512877214E-005</v>
      </c>
      <c r="P129" s="4" t="n">
        <f aca="false">$Q$2*($Q$3*$G129+$Q$4*$B129^$Q$5*$I129^$Q$6)*$L129^$Q$7</f>
        <v>0.0102053953404998</v>
      </c>
      <c r="Q129" s="4" t="n">
        <f aca="false">P129/$K129</f>
        <v>0.0510269767024992</v>
      </c>
      <c r="S129" s="4" t="n">
        <f aca="false">$T$2*$B129^$T$3*$L129^$T$4*($T$5*$I129^$T$6+$T$7)</f>
        <v>0.00965222902828745</v>
      </c>
      <c r="T129" s="4" t="n">
        <f aca="false">S129/$K129</f>
        <v>0.0482611451414372</v>
      </c>
      <c r="V129" s="4"/>
      <c r="W129" s="4"/>
    </row>
    <row r="130" customFormat="false" ht="14.25" hidden="false" customHeight="false" outlineLevel="0" collapsed="false">
      <c r="B130" s="2" t="n">
        <v>12</v>
      </c>
      <c r="C130" s="3" t="n">
        <v>500</v>
      </c>
      <c r="D130" s="3" t="n">
        <v>2</v>
      </c>
      <c r="E130" s="2" t="n">
        <v>296</v>
      </c>
      <c r="F130" s="4" t="n">
        <v>3.269</v>
      </c>
      <c r="G130" s="2" t="n">
        <v>25</v>
      </c>
      <c r="H130" s="2" t="n">
        <v>31</v>
      </c>
      <c r="I130" s="5" t="n">
        <v>0.0124772064696725</v>
      </c>
      <c r="J130" s="4" t="n">
        <v>102.11108807036</v>
      </c>
      <c r="K130" s="4" t="n">
        <v>0.25</v>
      </c>
      <c r="L130" s="6" t="n">
        <f aca="false">J130/200000</f>
        <v>0.000510555440351798</v>
      </c>
      <c r="P130" s="4" t="n">
        <f aca="false">$Q$2*($Q$3*$G130+$Q$4*$B130^$Q$5*$I130^$Q$6)*$L130^$Q$7</f>
        <v>0.139109520688893</v>
      </c>
      <c r="Q130" s="4" t="n">
        <f aca="false">P130/$K130</f>
        <v>0.556438082755573</v>
      </c>
      <c r="S130" s="4" t="n">
        <f aca="false">$T$2*$B130^$T$3*$L130^$T$4*($T$5*$I130^$T$6+$T$7)</f>
        <v>0.138298112557878</v>
      </c>
      <c r="T130" s="4" t="n">
        <f aca="false">S130/$K130</f>
        <v>0.55319245023151</v>
      </c>
      <c r="V130" s="4"/>
      <c r="W130" s="4"/>
    </row>
    <row r="131" customFormat="false" ht="14.25" hidden="false" customHeight="false" outlineLevel="0" collapsed="false">
      <c r="B131" s="2" t="n">
        <v>12</v>
      </c>
      <c r="C131" s="3" t="n">
        <v>500</v>
      </c>
      <c r="D131" s="3" t="n">
        <v>2</v>
      </c>
      <c r="E131" s="2" t="n">
        <v>296</v>
      </c>
      <c r="F131" s="4" t="n">
        <v>3.269</v>
      </c>
      <c r="G131" s="2" t="n">
        <v>25</v>
      </c>
      <c r="H131" s="2" t="n">
        <v>31</v>
      </c>
      <c r="I131" s="5" t="n">
        <v>0.0124772064696725</v>
      </c>
      <c r="J131" s="4" t="n">
        <v>207.979707796124</v>
      </c>
      <c r="K131" s="4" t="n">
        <v>0.33</v>
      </c>
      <c r="L131" s="6" t="n">
        <f aca="false">J131/200000</f>
        <v>0.00103989853898062</v>
      </c>
      <c r="P131" s="4" t="n">
        <f aca="false">$Q$2*($Q$3*$G131+$Q$4*$B131^$Q$5*$I131^$Q$6)*$L131^$Q$7</f>
        <v>0.252496480122213</v>
      </c>
      <c r="Q131" s="4" t="n">
        <f aca="false">P131/$K131</f>
        <v>0.765140848855191</v>
      </c>
      <c r="S131" s="4" t="n">
        <f aca="false">$T$2*$B131^$T$3*$L131^$T$4*($T$5*$I131^$T$6+$T$7)</f>
        <v>0.253897191009672</v>
      </c>
      <c r="T131" s="4" t="n">
        <f aca="false">S131/$K131</f>
        <v>0.769385427302036</v>
      </c>
      <c r="V131" s="4"/>
      <c r="W131" s="4"/>
    </row>
    <row r="132" customFormat="false" ht="14.25" hidden="false" customHeight="false" outlineLevel="0" collapsed="false">
      <c r="A132" s="1" t="s">
        <v>49</v>
      </c>
      <c r="B132" s="2" t="n">
        <v>12</v>
      </c>
      <c r="C132" s="3" t="n">
        <v>500</v>
      </c>
      <c r="D132" s="3" t="n">
        <v>2</v>
      </c>
      <c r="E132" s="2" t="n">
        <v>296</v>
      </c>
      <c r="F132" s="4" t="n">
        <v>3.269</v>
      </c>
      <c r="G132" s="2" t="n">
        <v>25</v>
      </c>
      <c r="H132" s="2" t="n">
        <v>31</v>
      </c>
      <c r="I132" s="5" t="n">
        <v>0.0124772064696725</v>
      </c>
      <c r="J132" s="4" t="n">
        <v>102.11108807036</v>
      </c>
      <c r="K132" s="4" t="n">
        <v>0.23</v>
      </c>
      <c r="L132" s="6" t="n">
        <f aca="false">J132/200000</f>
        <v>0.000510555440351798</v>
      </c>
      <c r="P132" s="4" t="n">
        <f aca="false">$Q$2*($Q$3*$G132+$Q$4*$B132^$Q$5*$I132^$Q$6)*$L132^$Q$7</f>
        <v>0.139109520688893</v>
      </c>
      <c r="Q132" s="4" t="n">
        <f aca="false">P132/$K132</f>
        <v>0.604824002995188</v>
      </c>
      <c r="S132" s="4" t="n">
        <f aca="false">$T$2*$B132^$T$3*$L132^$T$4*($T$5*$I132^$T$6+$T$7)</f>
        <v>0.138298112557878</v>
      </c>
      <c r="T132" s="4" t="n">
        <f aca="false">S132/$K132</f>
        <v>0.601296141555989</v>
      </c>
      <c r="V132" s="4"/>
      <c r="W132" s="4"/>
    </row>
    <row r="133" customFormat="false" ht="14.25" hidden="false" customHeight="false" outlineLevel="0" collapsed="false">
      <c r="B133" s="2" t="n">
        <v>12</v>
      </c>
      <c r="C133" s="3" t="n">
        <v>500</v>
      </c>
      <c r="D133" s="3" t="n">
        <v>2</v>
      </c>
      <c r="E133" s="2" t="n">
        <v>296</v>
      </c>
      <c r="F133" s="4" t="n">
        <v>3.269</v>
      </c>
      <c r="G133" s="2" t="n">
        <v>25</v>
      </c>
      <c r="H133" s="2" t="n">
        <v>31</v>
      </c>
      <c r="I133" s="5" t="n">
        <v>0.0124772064696725</v>
      </c>
      <c r="J133" s="4" t="n">
        <v>207.979707796124</v>
      </c>
      <c r="K133" s="4" t="n">
        <v>0.28</v>
      </c>
      <c r="L133" s="6" t="n">
        <f aca="false">J133/200000</f>
        <v>0.00103989853898062</v>
      </c>
      <c r="P133" s="4" t="n">
        <f aca="false">$Q$2*($Q$3*$G133+$Q$4*$B133^$Q$5*$I133^$Q$6)*$L133^$Q$7</f>
        <v>0.252496480122213</v>
      </c>
      <c r="Q133" s="4" t="n">
        <f aca="false">P133/$K133</f>
        <v>0.901773143293618</v>
      </c>
      <c r="S133" s="4" t="n">
        <f aca="false">$T$2*$B133^$T$3*$L133^$T$4*($T$5*$I133^$T$6+$T$7)</f>
        <v>0.253897191009672</v>
      </c>
      <c r="T133" s="4" t="n">
        <f aca="false">S133/$K133</f>
        <v>0.906775682177399</v>
      </c>
      <c r="V133" s="4"/>
      <c r="W133" s="4"/>
    </row>
    <row r="134" customFormat="false" ht="14.25" hidden="false" customHeight="false" outlineLevel="0" collapsed="false">
      <c r="A134" s="1" t="s">
        <v>50</v>
      </c>
      <c r="B134" s="2" t="n">
        <v>12</v>
      </c>
      <c r="C134" s="3" t="n">
        <v>500</v>
      </c>
      <c r="D134" s="3" t="n">
        <v>3</v>
      </c>
      <c r="E134" s="2" t="n">
        <v>142</v>
      </c>
      <c r="F134" s="4" t="n">
        <v>3.269</v>
      </c>
      <c r="G134" s="2" t="n">
        <v>25</v>
      </c>
      <c r="H134" s="2" t="n">
        <v>31</v>
      </c>
      <c r="I134" s="5" t="n">
        <v>0.0195271179121459</v>
      </c>
      <c r="J134" s="4" t="n">
        <v>101.336175860561</v>
      </c>
      <c r="K134" s="4" t="n">
        <v>0.18</v>
      </c>
      <c r="L134" s="6" t="n">
        <f aca="false">J134/200000</f>
        <v>0.000506680879302803</v>
      </c>
      <c r="P134" s="4" t="n">
        <f aca="false">$Q$2*($Q$3*$G134+$Q$4*$B134^$Q$5*$I134^$Q$6)*$L134^$Q$7</f>
        <v>0.110901661418895</v>
      </c>
      <c r="Q134" s="4" t="n">
        <f aca="false">P134/$K134</f>
        <v>0.616120341216084</v>
      </c>
      <c r="S134" s="4" t="n">
        <f aca="false">$T$2*$B134^$T$3*$L134^$T$4*($T$5*$I134^$T$6+$T$7)</f>
        <v>0.106435812393634</v>
      </c>
      <c r="T134" s="4" t="n">
        <f aca="false">S134/$K134</f>
        <v>0.591310068853525</v>
      </c>
      <c r="V134" s="4"/>
      <c r="W134" s="4"/>
    </row>
    <row r="135" customFormat="false" ht="14.25" hidden="false" customHeight="false" outlineLevel="0" collapsed="false">
      <c r="B135" s="2" t="n">
        <v>12</v>
      </c>
      <c r="C135" s="3" t="n">
        <v>500</v>
      </c>
      <c r="D135" s="3" t="n">
        <v>3</v>
      </c>
      <c r="E135" s="2" t="n">
        <v>142</v>
      </c>
      <c r="F135" s="4" t="n">
        <v>3.269</v>
      </c>
      <c r="G135" s="2" t="n">
        <v>25</v>
      </c>
      <c r="H135" s="2" t="n">
        <v>31</v>
      </c>
      <c r="I135" s="5" t="n">
        <v>0.0195271179121459</v>
      </c>
      <c r="J135" s="4" t="n">
        <v>164.101018352437</v>
      </c>
      <c r="K135" s="4" t="n">
        <v>0.23</v>
      </c>
      <c r="L135" s="6" t="n">
        <f aca="false">J135/200000</f>
        <v>0.000820505091762185</v>
      </c>
      <c r="P135" s="4" t="n">
        <f aca="false">$Q$2*($Q$3*$G135+$Q$4*$B135^$Q$5*$I135^$Q$6)*$L135^$Q$7</f>
        <v>0.166100385869393</v>
      </c>
      <c r="Q135" s="4" t="n">
        <f aca="false">P135/$K135</f>
        <v>0.72217559073649</v>
      </c>
      <c r="S135" s="4" t="n">
        <f aca="false">$T$2*$B135^$T$3*$L135^$T$4*($T$5*$I135^$T$6+$T$7)</f>
        <v>0.16064600009885</v>
      </c>
      <c r="T135" s="4" t="n">
        <f aca="false">S135/$K135</f>
        <v>0.698460869994998</v>
      </c>
      <c r="V135" s="4"/>
      <c r="W135" s="4"/>
    </row>
    <row r="136" customFormat="false" ht="14.25" hidden="false" customHeight="false" outlineLevel="0" collapsed="false">
      <c r="B136" s="2" t="n">
        <v>12</v>
      </c>
      <c r="C136" s="3" t="n">
        <v>500</v>
      </c>
      <c r="D136" s="3" t="n">
        <v>3</v>
      </c>
      <c r="E136" s="2" t="n">
        <v>142</v>
      </c>
      <c r="F136" s="4" t="n">
        <v>3.269</v>
      </c>
      <c r="G136" s="2" t="n">
        <v>25</v>
      </c>
      <c r="H136" s="2" t="n">
        <v>31</v>
      </c>
      <c r="I136" s="5" t="n">
        <v>0.0195271179121459</v>
      </c>
      <c r="J136" s="4" t="n">
        <v>226.865860844313</v>
      </c>
      <c r="K136" s="4" t="n">
        <v>0.25</v>
      </c>
      <c r="L136" s="6" t="n">
        <f aca="false">J136/200000</f>
        <v>0.00113432930422157</v>
      </c>
      <c r="P136" s="4" t="n">
        <f aca="false">$Q$2*($Q$3*$G136+$Q$4*$B136^$Q$5*$I136^$Q$6)*$L136^$Q$7</f>
        <v>0.217892327263245</v>
      </c>
      <c r="Q136" s="4" t="n">
        <f aca="false">P136/$K136</f>
        <v>0.87156930905298</v>
      </c>
      <c r="S136" s="4" t="n">
        <f aca="false">$T$2*$B136^$T$3*$L136^$T$4*($T$5*$I136^$T$6+$T$7)</f>
        <v>0.211832083932718</v>
      </c>
      <c r="T136" s="4" t="n">
        <f aca="false">S136/$K136</f>
        <v>0.847328335730873</v>
      </c>
      <c r="V136" s="4"/>
      <c r="W136" s="4"/>
    </row>
    <row r="137" customFormat="false" ht="14.25" hidden="false" customHeight="false" outlineLevel="0" collapsed="false">
      <c r="A137" s="1" t="s">
        <v>51</v>
      </c>
      <c r="B137" s="2" t="n">
        <v>12</v>
      </c>
      <c r="C137" s="3" t="n">
        <v>500</v>
      </c>
      <c r="D137" s="3" t="n">
        <v>3</v>
      </c>
      <c r="E137" s="2" t="n">
        <v>142</v>
      </c>
      <c r="F137" s="4" t="n">
        <v>3.269</v>
      </c>
      <c r="G137" s="2" t="n">
        <v>25</v>
      </c>
      <c r="H137" s="2" t="n">
        <v>31</v>
      </c>
      <c r="I137" s="5" t="n">
        <v>0.0195271179121459</v>
      </c>
      <c r="J137" s="4" t="n">
        <v>101.336175860561</v>
      </c>
      <c r="K137" s="4" t="n">
        <v>0.18</v>
      </c>
      <c r="L137" s="6" t="n">
        <f aca="false">J137/200000</f>
        <v>0.000506680879302803</v>
      </c>
      <c r="P137" s="4" t="n">
        <f aca="false">$Q$2*($Q$3*$G137+$Q$4*$B137^$Q$5*$I137^$Q$6)*$L137^$Q$7</f>
        <v>0.110901661418895</v>
      </c>
      <c r="Q137" s="4" t="n">
        <f aca="false">P137/$K137</f>
        <v>0.616120341216084</v>
      </c>
      <c r="S137" s="4" t="n">
        <f aca="false">$T$2*$B137^$T$3*$L137^$T$4*($T$5*$I137^$T$6+$T$7)</f>
        <v>0.106435812393634</v>
      </c>
      <c r="T137" s="4" t="n">
        <f aca="false">S137/$K137</f>
        <v>0.591310068853525</v>
      </c>
      <c r="V137" s="4"/>
      <c r="W137" s="4"/>
    </row>
    <row r="138" customFormat="false" ht="14.25" hidden="false" customHeight="false" outlineLevel="0" collapsed="false">
      <c r="B138" s="2" t="n">
        <v>12</v>
      </c>
      <c r="C138" s="3" t="n">
        <v>500</v>
      </c>
      <c r="D138" s="3" t="n">
        <v>3</v>
      </c>
      <c r="E138" s="2" t="n">
        <v>142</v>
      </c>
      <c r="F138" s="4" t="n">
        <v>3.269</v>
      </c>
      <c r="G138" s="2" t="n">
        <v>25</v>
      </c>
      <c r="H138" s="2" t="n">
        <v>31</v>
      </c>
      <c r="I138" s="5" t="n">
        <v>0.0195271179121459</v>
      </c>
      <c r="J138" s="4" t="n">
        <v>164.101018352437</v>
      </c>
      <c r="K138" s="4" t="n">
        <v>0.23</v>
      </c>
      <c r="L138" s="6" t="n">
        <f aca="false">J138/200000</f>
        <v>0.000820505091762185</v>
      </c>
      <c r="P138" s="4" t="n">
        <f aca="false">$Q$2*($Q$3*$G138+$Q$4*$B138^$Q$5*$I138^$Q$6)*$L138^$Q$7</f>
        <v>0.166100385869393</v>
      </c>
      <c r="Q138" s="4" t="n">
        <f aca="false">P138/$K138</f>
        <v>0.72217559073649</v>
      </c>
      <c r="S138" s="4" t="n">
        <f aca="false">$T$2*$B138^$T$3*$L138^$T$4*($T$5*$I138^$T$6+$T$7)</f>
        <v>0.16064600009885</v>
      </c>
      <c r="T138" s="4" t="n">
        <f aca="false">S138/$K138</f>
        <v>0.698460869994998</v>
      </c>
      <c r="V138" s="4"/>
      <c r="W138" s="4"/>
    </row>
    <row r="139" customFormat="false" ht="14.25" hidden="false" customHeight="false" outlineLevel="0" collapsed="false">
      <c r="B139" s="2" t="n">
        <v>12</v>
      </c>
      <c r="C139" s="3" t="n">
        <v>500</v>
      </c>
      <c r="D139" s="3" t="n">
        <v>3</v>
      </c>
      <c r="E139" s="2" t="n">
        <v>142</v>
      </c>
      <c r="F139" s="4" t="n">
        <v>3.269</v>
      </c>
      <c r="G139" s="2" t="n">
        <v>25</v>
      </c>
      <c r="H139" s="2" t="n">
        <v>31</v>
      </c>
      <c r="I139" s="5" t="n">
        <v>0.0195271179121459</v>
      </c>
      <c r="J139" s="4" t="n">
        <v>226.865860844313</v>
      </c>
      <c r="K139" s="4" t="n">
        <v>0.25</v>
      </c>
      <c r="L139" s="6" t="n">
        <f aca="false">J139/200000</f>
        <v>0.00113432930422157</v>
      </c>
      <c r="P139" s="4" t="n">
        <f aca="false">$Q$2*($Q$3*$G139+$Q$4*$B139^$Q$5*$I139^$Q$6)*$L139^$Q$7</f>
        <v>0.217892327263245</v>
      </c>
      <c r="Q139" s="4" t="n">
        <f aca="false">P139/$K139</f>
        <v>0.87156930905298</v>
      </c>
      <c r="S139" s="4" t="n">
        <f aca="false">$T$2*$B139^$T$3*$L139^$T$4*($T$5*$I139^$T$6+$T$7)</f>
        <v>0.211832083932718</v>
      </c>
      <c r="T139" s="4" t="n">
        <f aca="false">S139/$K139</f>
        <v>0.847328335730873</v>
      </c>
      <c r="V139" s="4"/>
      <c r="W139" s="4"/>
    </row>
    <row r="140" customFormat="false" ht="14.25" hidden="false" customHeight="false" outlineLevel="0" collapsed="false">
      <c r="A140" s="1" t="s">
        <v>52</v>
      </c>
      <c r="B140" s="2" t="n">
        <v>12</v>
      </c>
      <c r="C140" s="3" t="n">
        <v>500</v>
      </c>
      <c r="D140" s="3" t="n">
        <v>4</v>
      </c>
      <c r="E140" s="2" t="n">
        <v>90.67</v>
      </c>
      <c r="F140" s="4" t="n">
        <v>3.269</v>
      </c>
      <c r="G140" s="2" t="n">
        <v>25</v>
      </c>
      <c r="H140" s="2" t="n">
        <v>31</v>
      </c>
      <c r="I140" s="5" t="n">
        <v>0.026968773854658</v>
      </c>
      <c r="J140" s="4" t="n">
        <v>150.317643485149</v>
      </c>
      <c r="K140" s="4" t="n">
        <v>0.15</v>
      </c>
      <c r="L140" s="6" t="n">
        <f aca="false">J140/200000</f>
        <v>0.000751588217425745</v>
      </c>
      <c r="P140" s="4" t="n">
        <f aca="false">$Q$2*($Q$3*$G140+$Q$4*$B140^$Q$5*$I140^$Q$6)*$L140^$Q$7</f>
        <v>0.131701148837012</v>
      </c>
      <c r="Q140" s="4" t="n">
        <f aca="false">P140/$K140</f>
        <v>0.878007658913414</v>
      </c>
      <c r="S140" s="4" t="n">
        <f aca="false">$T$2*$B140^$T$3*$L140^$T$4*($T$5*$I140^$T$6+$T$7)</f>
        <v>0.125097987610724</v>
      </c>
      <c r="T140" s="4" t="n">
        <f aca="false">S140/$K140</f>
        <v>0.833986584071494</v>
      </c>
      <c r="V140" s="4"/>
      <c r="W140" s="4"/>
    </row>
    <row r="141" customFormat="false" ht="14.25" hidden="false" customHeight="false" outlineLevel="0" collapsed="false">
      <c r="B141" s="2" t="n">
        <v>12</v>
      </c>
      <c r="C141" s="3" t="n">
        <v>500</v>
      </c>
      <c r="D141" s="3" t="n">
        <v>4</v>
      </c>
      <c r="E141" s="2" t="n">
        <v>90.67</v>
      </c>
      <c r="F141" s="4" t="n">
        <v>3.269</v>
      </c>
      <c r="G141" s="2" t="n">
        <v>25</v>
      </c>
      <c r="H141" s="2" t="n">
        <v>31</v>
      </c>
      <c r="I141" s="5" t="n">
        <v>0.026968773854658</v>
      </c>
      <c r="J141" s="4" t="n">
        <v>194.676418833997</v>
      </c>
      <c r="K141" s="4" t="n">
        <v>0.15</v>
      </c>
      <c r="L141" s="6" t="n">
        <f aca="false">J141/200000</f>
        <v>0.000973382094169985</v>
      </c>
      <c r="P141" s="4" t="n">
        <f aca="false">$Q$2*($Q$3*$G141+$Q$4*$B141^$Q$5*$I141^$Q$6)*$L141^$Q$7</f>
        <v>0.163568550100682</v>
      </c>
      <c r="Q141" s="4" t="n">
        <f aca="false">P141/$K141</f>
        <v>1.09045700067121</v>
      </c>
      <c r="S141" s="4" t="n">
        <f aca="false">$T$2*$B141^$T$3*$L141^$T$4*($T$5*$I141^$T$6+$T$7)</f>
        <v>0.15601178950949</v>
      </c>
      <c r="T141" s="4" t="n">
        <f aca="false">S141/$K141</f>
        <v>1.04007859672993</v>
      </c>
      <c r="V141" s="4"/>
      <c r="W141" s="4"/>
    </row>
    <row r="142" customFormat="false" ht="14.25" hidden="false" customHeight="false" outlineLevel="0" collapsed="false">
      <c r="B142" s="2" t="n">
        <v>12</v>
      </c>
      <c r="C142" s="3" t="n">
        <v>500</v>
      </c>
      <c r="D142" s="3" t="n">
        <v>4</v>
      </c>
      <c r="E142" s="2" t="n">
        <v>90.67</v>
      </c>
      <c r="F142" s="4" t="n">
        <v>3.269</v>
      </c>
      <c r="G142" s="2" t="n">
        <v>25</v>
      </c>
      <c r="H142" s="2" t="n">
        <v>31</v>
      </c>
      <c r="I142" s="5" t="n">
        <v>0.026968773854658</v>
      </c>
      <c r="J142" s="4" t="n">
        <v>239.035194182845</v>
      </c>
      <c r="K142" s="4" t="n">
        <v>0.18</v>
      </c>
      <c r="L142" s="6" t="n">
        <f aca="false">J142/200000</f>
        <v>0.00119517597091423</v>
      </c>
      <c r="P142" s="4" t="n">
        <f aca="false">$Q$2*($Q$3*$G142+$Q$4*$B142^$Q$5*$I142^$Q$6)*$L142^$Q$7</f>
        <v>0.194270226774673</v>
      </c>
      <c r="Q142" s="4" t="n">
        <f aca="false">P142/$K142</f>
        <v>1.07927903763707</v>
      </c>
      <c r="S142" s="4" t="n">
        <f aca="false">$T$2*$B142^$T$3*$L142^$T$4*($T$5*$I142^$T$6+$T$7)</f>
        <v>0.185904643429305</v>
      </c>
      <c r="T142" s="4" t="n">
        <f aca="false">S142/$K142</f>
        <v>1.03280357460725</v>
      </c>
      <c r="V142" s="4"/>
      <c r="W142" s="4"/>
    </row>
    <row r="143" customFormat="false" ht="14.25" hidden="false" customHeight="false" outlineLevel="0" collapsed="false">
      <c r="A143" s="1" t="s">
        <v>53</v>
      </c>
      <c r="B143" s="2" t="n">
        <v>12</v>
      </c>
      <c r="C143" s="3" t="n">
        <v>500</v>
      </c>
      <c r="D143" s="3" t="n">
        <v>4</v>
      </c>
      <c r="E143" s="2" t="n">
        <v>90.67</v>
      </c>
      <c r="F143" s="4" t="n">
        <v>3.269</v>
      </c>
      <c r="G143" s="2" t="n">
        <v>25</v>
      </c>
      <c r="H143" s="2" t="n">
        <v>31</v>
      </c>
      <c r="I143" s="5" t="n">
        <v>0.026968773854658</v>
      </c>
      <c r="J143" s="4" t="n">
        <v>150.317643485149</v>
      </c>
      <c r="K143" s="4" t="n">
        <v>0.18</v>
      </c>
      <c r="L143" s="6" t="n">
        <f aca="false">J143/200000</f>
        <v>0.000751588217425745</v>
      </c>
      <c r="P143" s="4" t="n">
        <f aca="false">$Q$2*($Q$3*$G143+$Q$4*$B143^$Q$5*$I143^$Q$6)*$L143^$Q$7</f>
        <v>0.131701148837012</v>
      </c>
      <c r="Q143" s="4" t="n">
        <f aca="false">P143/$K143</f>
        <v>0.731673049094512</v>
      </c>
      <c r="S143" s="4" t="n">
        <f aca="false">$T$2*$B143^$T$3*$L143^$T$4*($T$5*$I143^$T$6+$T$7)</f>
        <v>0.125097987610724</v>
      </c>
      <c r="T143" s="4" t="n">
        <f aca="false">S143/$K143</f>
        <v>0.694988820059578</v>
      </c>
      <c r="V143" s="4"/>
      <c r="W143" s="4"/>
    </row>
    <row r="144" customFormat="false" ht="14.25" hidden="false" customHeight="false" outlineLevel="0" collapsed="false">
      <c r="B144" s="2" t="n">
        <v>12</v>
      </c>
      <c r="C144" s="3" t="n">
        <v>500</v>
      </c>
      <c r="D144" s="3" t="n">
        <v>4</v>
      </c>
      <c r="E144" s="2" t="n">
        <v>90.67</v>
      </c>
      <c r="F144" s="4" t="n">
        <v>3.269</v>
      </c>
      <c r="G144" s="2" t="n">
        <v>25</v>
      </c>
      <c r="H144" s="2" t="n">
        <v>31</v>
      </c>
      <c r="I144" s="5" t="n">
        <v>0.026968773854658</v>
      </c>
      <c r="J144" s="4" t="n">
        <v>194.676418833997</v>
      </c>
      <c r="K144" s="4" t="n">
        <v>0.2</v>
      </c>
      <c r="L144" s="6" t="n">
        <f aca="false">J144/200000</f>
        <v>0.000973382094169985</v>
      </c>
      <c r="P144" s="4" t="n">
        <f aca="false">$Q$2*($Q$3*$G144+$Q$4*$B144^$Q$5*$I144^$Q$6)*$L144^$Q$7</f>
        <v>0.163568550100682</v>
      </c>
      <c r="Q144" s="4" t="n">
        <f aca="false">P144/$K144</f>
        <v>0.81784275050341</v>
      </c>
      <c r="S144" s="4" t="n">
        <f aca="false">$T$2*$B144^$T$3*$L144^$T$4*($T$5*$I144^$T$6+$T$7)</f>
        <v>0.15601178950949</v>
      </c>
      <c r="T144" s="4" t="n">
        <f aca="false">S144/$K144</f>
        <v>0.780058947547448</v>
      </c>
      <c r="V144" s="4"/>
      <c r="W144" s="4"/>
    </row>
    <row r="145" customFormat="false" ht="14.25" hidden="false" customHeight="false" outlineLevel="0" collapsed="false">
      <c r="B145" s="2" t="n">
        <v>12</v>
      </c>
      <c r="C145" s="3" t="n">
        <v>500</v>
      </c>
      <c r="D145" s="3" t="n">
        <v>4</v>
      </c>
      <c r="E145" s="2" t="n">
        <v>90.67</v>
      </c>
      <c r="F145" s="4" t="n">
        <v>3.269</v>
      </c>
      <c r="G145" s="2" t="n">
        <v>25</v>
      </c>
      <c r="H145" s="2" t="n">
        <v>31</v>
      </c>
      <c r="I145" s="5" t="n">
        <v>0.026968773854658</v>
      </c>
      <c r="J145" s="4" t="n">
        <v>239.035194182845</v>
      </c>
      <c r="K145" s="4" t="n">
        <v>0.23</v>
      </c>
      <c r="L145" s="6" t="n">
        <f aca="false">J145/200000</f>
        <v>0.00119517597091423</v>
      </c>
      <c r="P145" s="4" t="n">
        <f aca="false">$Q$2*($Q$3*$G145+$Q$4*$B145^$Q$5*$I145^$Q$6)*$L145^$Q$7</f>
        <v>0.194270226774673</v>
      </c>
      <c r="Q145" s="4" t="n">
        <f aca="false">P145/$K145</f>
        <v>0.844653159889884</v>
      </c>
      <c r="S145" s="4" t="n">
        <f aca="false">$T$2*$B145^$T$3*$L145^$T$4*($T$5*$I145^$T$6+$T$7)</f>
        <v>0.185904643429305</v>
      </c>
      <c r="T145" s="4" t="n">
        <f aca="false">S145/$K145</f>
        <v>0.808281058388281</v>
      </c>
      <c r="V145" s="4"/>
      <c r="W145" s="4"/>
    </row>
    <row r="146" customFormat="false" ht="14.25" hidden="false" customHeight="false" outlineLevel="0" collapsed="false">
      <c r="A146" s="1" t="s">
        <v>54</v>
      </c>
      <c r="B146" s="2" t="n">
        <v>10</v>
      </c>
      <c r="C146" s="3" t="n">
        <v>528</v>
      </c>
      <c r="D146" s="3" t="n">
        <v>1</v>
      </c>
      <c r="E146" s="2" t="n">
        <v>45</v>
      </c>
      <c r="F146" s="4" t="n">
        <v>2.8</v>
      </c>
      <c r="G146" s="2" t="n">
        <v>40</v>
      </c>
      <c r="H146" s="2" t="n">
        <v>45</v>
      </c>
      <c r="I146" s="5" t="n">
        <v>0.0114013751634802</v>
      </c>
      <c r="J146" s="4" t="n">
        <v>144.993931194023</v>
      </c>
      <c r="K146" s="4" t="n">
        <v>0.16</v>
      </c>
      <c r="L146" s="6" t="n">
        <f aca="false">J146/200000</f>
        <v>0.000724969655970115</v>
      </c>
      <c r="P146" s="4" t="n">
        <f aca="false">$Q$2*($Q$3*$G146+$Q$4*$B146^$Q$5*$I146^$Q$6)*$L146^$Q$7</f>
        <v>0.160449074709197</v>
      </c>
      <c r="Q146" s="4" t="n">
        <f aca="false">P146/$K146</f>
        <v>1.00280671693248</v>
      </c>
      <c r="S146" s="4" t="n">
        <f aca="false">$T$2*$B146^$T$3*$L146^$T$4*($T$5*$I146^$T$6+$T$7)</f>
        <v>0.159569404728959</v>
      </c>
      <c r="T146" s="4" t="n">
        <f aca="false">S146/$K146</f>
        <v>0.997308779555994</v>
      </c>
      <c r="V146" s="4"/>
      <c r="W146" s="4"/>
    </row>
    <row r="147" customFormat="false" ht="14.25" hidden="false" customHeight="false" outlineLevel="0" collapsed="false">
      <c r="B147" s="2" t="n">
        <v>10</v>
      </c>
      <c r="C147" s="3" t="n">
        <v>528</v>
      </c>
      <c r="D147" s="3" t="n">
        <v>1</v>
      </c>
      <c r="E147" s="2" t="n">
        <v>45</v>
      </c>
      <c r="F147" s="4" t="n">
        <v>2.8</v>
      </c>
      <c r="G147" s="2" t="n">
        <v>40</v>
      </c>
      <c r="H147" s="2" t="n">
        <v>45</v>
      </c>
      <c r="I147" s="5" t="n">
        <v>0.0114013751634802</v>
      </c>
      <c r="J147" s="4" t="n">
        <v>175.097508106382</v>
      </c>
      <c r="K147" s="4" t="n">
        <v>0.18</v>
      </c>
      <c r="L147" s="6" t="n">
        <f aca="false">J147/200000</f>
        <v>0.000875487540531911</v>
      </c>
      <c r="P147" s="4" t="n">
        <f aca="false">$Q$2*($Q$3*$G147+$Q$4*$B147^$Q$5*$I147^$Q$6)*$L147^$Q$7</f>
        <v>0.187929377269987</v>
      </c>
      <c r="Q147" s="4" t="n">
        <f aca="false">P147/$K147</f>
        <v>1.04405209594437</v>
      </c>
      <c r="S147" s="4" t="n">
        <f aca="false">$T$2*$B147^$T$3*$L147^$T$4*($T$5*$I147^$T$6+$T$7)</f>
        <v>0.187464036862495</v>
      </c>
      <c r="T147" s="4" t="n">
        <f aca="false">S147/$K147</f>
        <v>1.04146687145831</v>
      </c>
      <c r="V147" s="4"/>
      <c r="W147" s="4"/>
    </row>
    <row r="148" customFormat="false" ht="14.25" hidden="false" customHeight="false" outlineLevel="0" collapsed="false">
      <c r="B148" s="2" t="n">
        <v>10</v>
      </c>
      <c r="C148" s="3" t="n">
        <v>528</v>
      </c>
      <c r="D148" s="3" t="n">
        <v>1</v>
      </c>
      <c r="E148" s="2" t="n">
        <v>45</v>
      </c>
      <c r="F148" s="4" t="n">
        <v>2.8</v>
      </c>
      <c r="G148" s="2" t="n">
        <v>40</v>
      </c>
      <c r="H148" s="2" t="n">
        <v>45</v>
      </c>
      <c r="I148" s="5" t="n">
        <v>0.0114013751634802</v>
      </c>
      <c r="J148" s="4" t="n">
        <v>209.214895273723</v>
      </c>
      <c r="K148" s="4" t="n">
        <v>0.2</v>
      </c>
      <c r="L148" s="6" t="n">
        <f aca="false">J148/200000</f>
        <v>0.00104607447636861</v>
      </c>
      <c r="P148" s="4" t="n">
        <f aca="false">$Q$2*($Q$3*$G148+$Q$4*$B148^$Q$5*$I148^$Q$6)*$L148^$Q$7</f>
        <v>0.218163786906593</v>
      </c>
      <c r="Q148" s="4" t="n">
        <f aca="false">P148/$K148</f>
        <v>1.09081893453296</v>
      </c>
      <c r="S148" s="4" t="n">
        <f aca="false">$T$2*$B148^$T$3*$L148^$T$4*($T$5*$I148^$T$6+$T$7)</f>
        <v>0.21824432317347</v>
      </c>
      <c r="T148" s="4" t="n">
        <f aca="false">S148/$K148</f>
        <v>1.09122161586735</v>
      </c>
      <c r="V148" s="4"/>
      <c r="W148" s="4"/>
    </row>
    <row r="149" customFormat="false" ht="14.25" hidden="false" customHeight="false" outlineLevel="0" collapsed="false">
      <c r="B149" s="2" t="n">
        <v>10</v>
      </c>
      <c r="C149" s="3" t="n">
        <v>528</v>
      </c>
      <c r="D149" s="3" t="n">
        <v>1</v>
      </c>
      <c r="E149" s="2" t="n">
        <v>45</v>
      </c>
      <c r="F149" s="4" t="n">
        <v>2.8</v>
      </c>
      <c r="G149" s="2" t="n">
        <v>40</v>
      </c>
      <c r="H149" s="2" t="n">
        <v>45</v>
      </c>
      <c r="I149" s="5" t="n">
        <v>0.0114013751634802</v>
      </c>
      <c r="J149" s="4" t="n">
        <v>239.318472186082</v>
      </c>
      <c r="K149" s="4" t="n">
        <v>0.22</v>
      </c>
      <c r="L149" s="6" t="n">
        <f aca="false">J149/200000</f>
        <v>0.00119659236093041</v>
      </c>
      <c r="P149" s="4" t="n">
        <f aca="false">$Q$2*($Q$3*$G149+$Q$4*$B149^$Q$5*$I149^$Q$6)*$L149^$Q$7</f>
        <v>0.244178902456973</v>
      </c>
      <c r="Q149" s="4" t="n">
        <f aca="false">P149/$K149</f>
        <v>1.10990410207715</v>
      </c>
      <c r="S149" s="4" t="n">
        <f aca="false">$T$2*$B149^$T$3*$L149^$T$4*($T$5*$I149^$T$6+$T$7)</f>
        <v>0.244795013911715</v>
      </c>
      <c r="T149" s="4" t="n">
        <f aca="false">S149/$K149</f>
        <v>1.11270460868961</v>
      </c>
      <c r="V149" s="4"/>
      <c r="W149" s="4"/>
    </row>
    <row r="150" customFormat="false" ht="14.25" hidden="false" customHeight="false" outlineLevel="0" collapsed="false">
      <c r="B150" s="2" t="n">
        <v>10</v>
      </c>
      <c r="C150" s="3" t="n">
        <v>528</v>
      </c>
      <c r="D150" s="3" t="n">
        <v>1</v>
      </c>
      <c r="E150" s="2" t="n">
        <v>45</v>
      </c>
      <c r="F150" s="4" t="n">
        <v>2.8</v>
      </c>
      <c r="G150" s="2" t="n">
        <v>40</v>
      </c>
      <c r="H150" s="2" t="n">
        <v>45</v>
      </c>
      <c r="I150" s="5" t="n">
        <v>0.0114013751634802</v>
      </c>
      <c r="J150" s="4" t="n">
        <v>273.435859353422</v>
      </c>
      <c r="K150" s="4" t="n">
        <v>0.24</v>
      </c>
      <c r="L150" s="6" t="n">
        <f aca="false">J150/200000</f>
        <v>0.00136717929676711</v>
      </c>
      <c r="P150" s="4" t="n">
        <f aca="false">$Q$2*($Q$3*$G150+$Q$4*$B150^$Q$5*$I150^$Q$6)*$L150^$Q$7</f>
        <v>0.273030363021376</v>
      </c>
      <c r="Q150" s="4" t="n">
        <f aca="false">P150/$K150</f>
        <v>1.13762651258906</v>
      </c>
      <c r="S150" s="4" t="n">
        <f aca="false">$T$2*$B150^$T$3*$L150^$T$4*($T$5*$I150^$T$6+$T$7)</f>
        <v>0.274303560489258</v>
      </c>
      <c r="T150" s="4" t="n">
        <f aca="false">S150/$K150</f>
        <v>1.14293150203858</v>
      </c>
      <c r="V150" s="4"/>
      <c r="W150" s="4"/>
    </row>
    <row r="151" customFormat="false" ht="14.25" hidden="false" customHeight="false" outlineLevel="0" collapsed="false">
      <c r="B151" s="2" t="n">
        <v>10</v>
      </c>
      <c r="C151" s="3" t="n">
        <v>528</v>
      </c>
      <c r="D151" s="3" t="n">
        <v>1</v>
      </c>
      <c r="E151" s="2" t="n">
        <v>45</v>
      </c>
      <c r="F151" s="4" t="n">
        <v>2.8</v>
      </c>
      <c r="G151" s="2" t="n">
        <v>40</v>
      </c>
      <c r="H151" s="2" t="n">
        <v>45</v>
      </c>
      <c r="I151" s="5" t="n">
        <v>0.0114013751634802</v>
      </c>
      <c r="J151" s="4" t="n">
        <v>303.539436265782</v>
      </c>
      <c r="K151" s="4" t="n">
        <v>0.26</v>
      </c>
      <c r="L151" s="6" t="n">
        <f aca="false">J151/200000</f>
        <v>0.00151769718132891</v>
      </c>
      <c r="P151" s="4" t="n">
        <f aca="false">$Q$2*($Q$3*$G151+$Q$4*$B151^$Q$5*$I151^$Q$6)*$L151^$Q$7</f>
        <v>0.298004166987488</v>
      </c>
      <c r="Q151" s="4" t="n">
        <f aca="false">P151/$K151</f>
        <v>1.1461698730288</v>
      </c>
      <c r="S151" s="4" t="n">
        <f aca="false">$T$2*$B151^$T$3*$L151^$T$4*($T$5*$I151^$T$6+$T$7)</f>
        <v>0.299894561221522</v>
      </c>
      <c r="T151" s="4" t="n">
        <f aca="false">S151/$K151</f>
        <v>1.15344062008278</v>
      </c>
      <c r="V151" s="4"/>
      <c r="W151" s="4"/>
    </row>
    <row r="152" customFormat="false" ht="14.25" hidden="false" customHeight="false" outlineLevel="0" collapsed="false">
      <c r="B152" s="2" t="n">
        <v>10</v>
      </c>
      <c r="C152" s="3" t="n">
        <v>528</v>
      </c>
      <c r="D152" s="3" t="n">
        <v>1</v>
      </c>
      <c r="E152" s="2" t="n">
        <v>45</v>
      </c>
      <c r="F152" s="4" t="n">
        <v>2.8</v>
      </c>
      <c r="G152" s="2" t="n">
        <v>40</v>
      </c>
      <c r="H152" s="2" t="n">
        <v>45</v>
      </c>
      <c r="I152" s="5" t="n">
        <v>0.0114013751634802</v>
      </c>
      <c r="J152" s="4" t="n">
        <v>339.663728560613</v>
      </c>
      <c r="K152" s="4" t="n">
        <v>0.28</v>
      </c>
      <c r="L152" s="6" t="n">
        <f aca="false">J152/200000</f>
        <v>0.00169831864280306</v>
      </c>
      <c r="P152" s="4" t="n">
        <f aca="false">$Q$2*($Q$3*$G152+$Q$4*$B152^$Q$5*$I152^$Q$6)*$L152^$Q$7</f>
        <v>0.327450207720344</v>
      </c>
      <c r="Q152" s="4" t="n">
        <f aca="false">P152/$K152</f>
        <v>1.16946502757266</v>
      </c>
      <c r="S152" s="4" t="n">
        <f aca="false">$T$2*$B152^$T$3*$L152^$T$4*($T$5*$I152^$T$6+$T$7)</f>
        <v>0.330120783990039</v>
      </c>
      <c r="T152" s="4" t="n">
        <f aca="false">S152/$K152</f>
        <v>1.17900279996442</v>
      </c>
      <c r="V152" s="4"/>
      <c r="W152" s="4"/>
    </row>
    <row r="153" customFormat="false" ht="14.25" hidden="false" customHeight="false" outlineLevel="0" collapsed="false">
      <c r="A153" s="1" t="s">
        <v>55</v>
      </c>
      <c r="B153" s="2" t="n">
        <v>10</v>
      </c>
      <c r="C153" s="3" t="n">
        <v>528</v>
      </c>
      <c r="D153" s="3" t="n">
        <v>1</v>
      </c>
      <c r="E153" s="2" t="n">
        <v>45</v>
      </c>
      <c r="F153" s="4" t="n">
        <v>2.8</v>
      </c>
      <c r="G153" s="2" t="n">
        <v>40</v>
      </c>
      <c r="H153" s="2" t="n">
        <v>45</v>
      </c>
      <c r="I153" s="5" t="n">
        <v>0.0114013751634802</v>
      </c>
      <c r="J153" s="4" t="n">
        <v>110.876544026683</v>
      </c>
      <c r="K153" s="4" t="n">
        <v>0.15</v>
      </c>
      <c r="L153" s="6" t="n">
        <f aca="false">J153/200000</f>
        <v>0.000554382720133413</v>
      </c>
      <c r="P153" s="4" t="n">
        <f aca="false">$Q$2*($Q$3*$G153+$Q$4*$B153^$Q$5*$I153^$Q$6)*$L153^$Q$7</f>
        <v>0.128145014933013</v>
      </c>
      <c r="Q153" s="4" t="n">
        <f aca="false">P153/$K153</f>
        <v>0.854300099553418</v>
      </c>
      <c r="S153" s="4" t="n">
        <f aca="false">$T$2*$B153^$T$3*$L153^$T$4*($T$5*$I153^$T$6+$T$7)</f>
        <v>0.126896592907224</v>
      </c>
      <c r="T153" s="4" t="n">
        <f aca="false">S153/$K153</f>
        <v>0.84597728604816</v>
      </c>
      <c r="V153" s="4"/>
      <c r="W153" s="4"/>
    </row>
    <row r="154" customFormat="false" ht="14.25" hidden="false" customHeight="false" outlineLevel="0" collapsed="false">
      <c r="B154" s="2" t="n">
        <v>10</v>
      </c>
      <c r="C154" s="3" t="n">
        <v>528</v>
      </c>
      <c r="D154" s="3" t="n">
        <v>1</v>
      </c>
      <c r="E154" s="2" t="n">
        <v>45</v>
      </c>
      <c r="F154" s="4" t="n">
        <v>2.8</v>
      </c>
      <c r="G154" s="2" t="n">
        <v>40</v>
      </c>
      <c r="H154" s="2" t="n">
        <v>45</v>
      </c>
      <c r="I154" s="5" t="n">
        <v>0.0114013751634802</v>
      </c>
      <c r="J154" s="4" t="n">
        <v>144.993931194023</v>
      </c>
      <c r="K154" s="4" t="n">
        <v>0.17</v>
      </c>
      <c r="L154" s="6" t="n">
        <f aca="false">J154/200000</f>
        <v>0.000724969655970115</v>
      </c>
      <c r="P154" s="4" t="n">
        <f aca="false">$Q$2*($Q$3*$G154+$Q$4*$B154^$Q$5*$I154^$Q$6)*$L154^$Q$7</f>
        <v>0.160449074709197</v>
      </c>
      <c r="Q154" s="4" t="n">
        <f aca="false">P154/$K154</f>
        <v>0.943818086524687</v>
      </c>
      <c r="S154" s="4" t="n">
        <f aca="false">$T$2*$B154^$T$3*$L154^$T$4*($T$5*$I154^$T$6+$T$7)</f>
        <v>0.159569404728959</v>
      </c>
      <c r="T154" s="4" t="n">
        <f aca="false">S154/$K154</f>
        <v>0.93864355722917</v>
      </c>
      <c r="V154" s="4"/>
      <c r="W154" s="4"/>
    </row>
    <row r="155" customFormat="false" ht="14.25" hidden="false" customHeight="false" outlineLevel="0" collapsed="false">
      <c r="B155" s="2" t="n">
        <v>10</v>
      </c>
      <c r="C155" s="3" t="n">
        <v>528</v>
      </c>
      <c r="D155" s="3" t="n">
        <v>1</v>
      </c>
      <c r="E155" s="2" t="n">
        <v>45</v>
      </c>
      <c r="F155" s="4" t="n">
        <v>2.8</v>
      </c>
      <c r="G155" s="2" t="n">
        <v>40</v>
      </c>
      <c r="H155" s="2" t="n">
        <v>45</v>
      </c>
      <c r="I155" s="5" t="n">
        <v>0.0114013751634802</v>
      </c>
      <c r="J155" s="4" t="n">
        <v>177.104413233873</v>
      </c>
      <c r="K155" s="4" t="n">
        <v>0.19</v>
      </c>
      <c r="L155" s="6" t="n">
        <f aca="false">J155/200000</f>
        <v>0.000885522066169364</v>
      </c>
      <c r="P155" s="4" t="n">
        <f aca="false">$Q$2*($Q$3*$G155+$Q$4*$B155^$Q$5*$I155^$Q$6)*$L155^$Q$7</f>
        <v>0.189732743645064</v>
      </c>
      <c r="Q155" s="4" t="n">
        <f aca="false">P155/$K155</f>
        <v>0.998593387605598</v>
      </c>
      <c r="S155" s="4" t="n">
        <f aca="false">$T$2*$B155^$T$3*$L155^$T$4*($T$5*$I155^$T$6+$T$7)</f>
        <v>0.189297451815229</v>
      </c>
      <c r="T155" s="4" t="n">
        <f aca="false">S155/$K155</f>
        <v>0.996302377974887</v>
      </c>
      <c r="V155" s="4"/>
      <c r="W155" s="4"/>
    </row>
    <row r="156" customFormat="false" ht="14.25" hidden="false" customHeight="false" outlineLevel="0" collapsed="false">
      <c r="B156" s="2" t="n">
        <v>10</v>
      </c>
      <c r="C156" s="3" t="n">
        <v>528</v>
      </c>
      <c r="D156" s="3" t="n">
        <v>1</v>
      </c>
      <c r="E156" s="2" t="n">
        <v>45</v>
      </c>
      <c r="F156" s="4" t="n">
        <v>2.8</v>
      </c>
      <c r="G156" s="2" t="n">
        <v>40</v>
      </c>
      <c r="H156" s="2" t="n">
        <v>45</v>
      </c>
      <c r="I156" s="5" t="n">
        <v>0.0114013751634802</v>
      </c>
      <c r="J156" s="4" t="n">
        <v>206.204537582487</v>
      </c>
      <c r="K156" s="4" t="n">
        <v>0.2</v>
      </c>
      <c r="L156" s="6" t="n">
        <f aca="false">J156/200000</f>
        <v>0.00103102268791243</v>
      </c>
      <c r="P156" s="4" t="n">
        <f aca="false">$Q$2*($Q$3*$G156+$Q$4*$B156^$Q$5*$I156^$Q$6)*$L156^$Q$7</f>
        <v>0.215530119702628</v>
      </c>
      <c r="Q156" s="4" t="n">
        <f aca="false">P156/$K156</f>
        <v>1.07765059851314</v>
      </c>
      <c r="S156" s="4" t="n">
        <f aca="false">$T$2*$B156^$T$3*$L156^$T$4*($T$5*$I156^$T$6+$T$7)</f>
        <v>0.215559691016126</v>
      </c>
      <c r="T156" s="4" t="n">
        <f aca="false">S156/$K156</f>
        <v>1.07779845508063</v>
      </c>
      <c r="V156" s="4"/>
      <c r="W156" s="4"/>
    </row>
    <row r="157" customFormat="false" ht="14.25" hidden="false" customHeight="false" outlineLevel="0" collapsed="false">
      <c r="B157" s="2" t="n">
        <v>10</v>
      </c>
      <c r="C157" s="3" t="n">
        <v>528</v>
      </c>
      <c r="D157" s="3" t="n">
        <v>1</v>
      </c>
      <c r="E157" s="2" t="n">
        <v>45</v>
      </c>
      <c r="F157" s="4" t="n">
        <v>2.8</v>
      </c>
      <c r="G157" s="2" t="n">
        <v>40</v>
      </c>
      <c r="H157" s="2" t="n">
        <v>45</v>
      </c>
      <c r="I157" s="5" t="n">
        <v>0.0114013751634802</v>
      </c>
      <c r="J157" s="4" t="n">
        <v>239.318472186082</v>
      </c>
      <c r="K157" s="4" t="n">
        <v>0.22</v>
      </c>
      <c r="L157" s="6" t="n">
        <f aca="false">J157/200000</f>
        <v>0.00119659236093041</v>
      </c>
      <c r="P157" s="4" t="n">
        <f aca="false">$Q$2*($Q$3*$G157+$Q$4*$B157^$Q$5*$I157^$Q$6)*$L157^$Q$7</f>
        <v>0.244178902456973</v>
      </c>
      <c r="Q157" s="4" t="n">
        <f aca="false">P157/$K157</f>
        <v>1.10990410207715</v>
      </c>
      <c r="S157" s="4" t="n">
        <f aca="false">$T$2*$B157^$T$3*$L157^$T$4*($T$5*$I157^$T$6+$T$7)</f>
        <v>0.244795013911715</v>
      </c>
      <c r="T157" s="4" t="n">
        <f aca="false">S157/$K157</f>
        <v>1.11270460868961</v>
      </c>
      <c r="V157" s="4"/>
      <c r="W157" s="4"/>
    </row>
    <row r="158" customFormat="false" ht="14.25" hidden="false" customHeight="false" outlineLevel="0" collapsed="false">
      <c r="B158" s="2" t="n">
        <v>10</v>
      </c>
      <c r="C158" s="3" t="n">
        <v>528</v>
      </c>
      <c r="D158" s="3" t="n">
        <v>1</v>
      </c>
      <c r="E158" s="2" t="n">
        <v>45</v>
      </c>
      <c r="F158" s="4" t="n">
        <v>2.8</v>
      </c>
      <c r="G158" s="2" t="n">
        <v>40</v>
      </c>
      <c r="H158" s="2" t="n">
        <v>45</v>
      </c>
      <c r="I158" s="5" t="n">
        <v>0.0114013751634802</v>
      </c>
      <c r="J158" s="4" t="n">
        <v>272.432406789677</v>
      </c>
      <c r="K158" s="4" t="n">
        <v>0.24</v>
      </c>
      <c r="L158" s="6" t="n">
        <f aca="false">J158/200000</f>
        <v>0.00136216203394839</v>
      </c>
      <c r="P158" s="4" t="n">
        <f aca="false">$Q$2*($Q$3*$G158+$Q$4*$B158^$Q$5*$I158^$Q$6)*$L158^$Q$7</f>
        <v>0.272190466846896</v>
      </c>
      <c r="Q158" s="4" t="n">
        <f aca="false">P158/$K158</f>
        <v>1.1341269451954</v>
      </c>
      <c r="S158" s="4" t="n">
        <f aca="false">$T$2*$B158^$T$3*$L158^$T$4*($T$5*$I158^$T$6+$T$7)</f>
        <v>0.27344366199884</v>
      </c>
      <c r="T158" s="4" t="n">
        <f aca="false">S158/$K158</f>
        <v>1.13934859166184</v>
      </c>
      <c r="V158" s="4"/>
      <c r="W158" s="4"/>
    </row>
    <row r="159" customFormat="false" ht="14.25" hidden="false" customHeight="false" outlineLevel="0" collapsed="false">
      <c r="B159" s="2" t="n">
        <v>10</v>
      </c>
      <c r="C159" s="3" t="n">
        <v>528</v>
      </c>
      <c r="D159" s="3" t="n">
        <v>1</v>
      </c>
      <c r="E159" s="2" t="n">
        <v>45</v>
      </c>
      <c r="F159" s="4" t="n">
        <v>2.8</v>
      </c>
      <c r="G159" s="2" t="n">
        <v>40</v>
      </c>
      <c r="H159" s="2" t="n">
        <v>45</v>
      </c>
      <c r="I159" s="5" t="n">
        <v>0.0114013751634802</v>
      </c>
      <c r="J159" s="4" t="n">
        <v>300.529078574546</v>
      </c>
      <c r="K159" s="4" t="n">
        <v>0.26</v>
      </c>
      <c r="L159" s="6" t="n">
        <f aca="false">J159/200000</f>
        <v>0.00150264539287273</v>
      </c>
      <c r="P159" s="4" t="n">
        <f aca="false">$Q$2*($Q$3*$G159+$Q$4*$B159^$Q$5*$I159^$Q$6)*$L159^$Q$7</f>
        <v>0.295525492954198</v>
      </c>
      <c r="Q159" s="4" t="n">
        <f aca="false">P159/$K159</f>
        <v>1.1366365113623</v>
      </c>
      <c r="S159" s="4" t="n">
        <f aca="false">$T$2*$B159^$T$3*$L159^$T$4*($T$5*$I159^$T$6+$T$7)</f>
        <v>0.297352740349186</v>
      </c>
      <c r="T159" s="4" t="n">
        <f aca="false">S159/$K159</f>
        <v>1.14366438595841</v>
      </c>
      <c r="V159" s="4"/>
      <c r="W159" s="4"/>
    </row>
    <row r="160" customFormat="false" ht="14.25" hidden="false" customHeight="false" outlineLevel="0" collapsed="false">
      <c r="B160" s="2" t="n">
        <v>10</v>
      </c>
      <c r="C160" s="3" t="n">
        <v>528</v>
      </c>
      <c r="D160" s="3" t="n">
        <v>1</v>
      </c>
      <c r="E160" s="2" t="n">
        <v>45</v>
      </c>
      <c r="F160" s="4" t="n">
        <v>2.8</v>
      </c>
      <c r="G160" s="2" t="n">
        <v>40</v>
      </c>
      <c r="H160" s="2" t="n">
        <v>45</v>
      </c>
      <c r="I160" s="5" t="n">
        <v>0.0114013751634802</v>
      </c>
      <c r="J160" s="4" t="n">
        <v>327.622297795669</v>
      </c>
      <c r="K160" s="4" t="n">
        <v>0.29</v>
      </c>
      <c r="L160" s="6" t="n">
        <f aca="false">J160/200000</f>
        <v>0.00163811148897834</v>
      </c>
      <c r="P160" s="4" t="n">
        <f aca="false">$Q$2*($Q$3*$G160+$Q$4*$B160^$Q$5*$I160^$Q$6)*$L160^$Q$7</f>
        <v>0.317694002591752</v>
      </c>
      <c r="Q160" s="4" t="n">
        <f aca="false">P160/$K160</f>
        <v>1.09549656066121</v>
      </c>
      <c r="S160" s="4" t="n">
        <f aca="false">$T$2*$B160^$T$3*$L160^$T$4*($T$5*$I160^$T$6+$T$7)</f>
        <v>0.32010009449657</v>
      </c>
      <c r="T160" s="4" t="n">
        <f aca="false">S160/$K160</f>
        <v>1.10379342929852</v>
      </c>
      <c r="V160" s="4"/>
      <c r="W160" s="4"/>
    </row>
    <row r="161" customFormat="false" ht="14.25" hidden="false" customHeight="false" outlineLevel="0" collapsed="false">
      <c r="A161" s="1" t="s">
        <v>56</v>
      </c>
      <c r="B161" s="2" t="n">
        <v>20</v>
      </c>
      <c r="C161" s="3" t="n">
        <v>598</v>
      </c>
      <c r="D161" s="3" t="n">
        <v>1</v>
      </c>
      <c r="E161" s="2" t="n">
        <v>40</v>
      </c>
      <c r="F161" s="4" t="n">
        <v>2.8</v>
      </c>
      <c r="G161" s="2" t="n">
        <v>40</v>
      </c>
      <c r="H161" s="2" t="n">
        <v>50</v>
      </c>
      <c r="I161" s="5" t="n">
        <v>0.0541238331858136</v>
      </c>
      <c r="J161" s="4" t="n">
        <v>158.125313408909</v>
      </c>
      <c r="K161" s="4" t="n">
        <v>0.17</v>
      </c>
      <c r="L161" s="6" t="n">
        <f aca="false">J161/200000</f>
        <v>0.000790626567044546</v>
      </c>
      <c r="P161" s="4" t="n">
        <f aca="false">$Q$2*($Q$3*$G161+$Q$4*$B161^$Q$5*$I161^$Q$6)*$L161^$Q$7</f>
        <v>0.17132677907286</v>
      </c>
      <c r="Q161" s="4" t="n">
        <f aca="false">P161/$K161</f>
        <v>1.00780458278153</v>
      </c>
      <c r="S161" s="4" t="n">
        <f aca="false">$T$2*$B161^$T$3*$L161^$T$4*($T$5*$I161^$T$6+$T$7)</f>
        <v>0.165923970266547</v>
      </c>
      <c r="T161" s="4" t="n">
        <f aca="false">S161/$K161</f>
        <v>0.976023354509103</v>
      </c>
      <c r="V161" s="4"/>
      <c r="W161" s="4"/>
    </row>
    <row r="162" customFormat="false" ht="14.25" hidden="false" customHeight="false" outlineLevel="0" collapsed="false">
      <c r="B162" s="2" t="n">
        <v>20</v>
      </c>
      <c r="C162" s="3" t="n">
        <v>598</v>
      </c>
      <c r="D162" s="3" t="n">
        <v>1</v>
      </c>
      <c r="E162" s="2" t="n">
        <v>40</v>
      </c>
      <c r="F162" s="4" t="n">
        <v>2.8</v>
      </c>
      <c r="G162" s="2" t="n">
        <v>40</v>
      </c>
      <c r="H162" s="2" t="n">
        <v>50</v>
      </c>
      <c r="I162" s="5" t="n">
        <v>0.0541238331858136</v>
      </c>
      <c r="J162" s="4" t="n">
        <v>195.989693456471</v>
      </c>
      <c r="K162" s="4" t="n">
        <v>0.2</v>
      </c>
      <c r="L162" s="6" t="n">
        <f aca="false">J162/200000</f>
        <v>0.000979948467282353</v>
      </c>
      <c r="P162" s="4" t="n">
        <f aca="false">$Q$2*($Q$3*$G162+$Q$4*$B162^$Q$5*$I162^$Q$6)*$L162^$Q$7</f>
        <v>0.20509427017991</v>
      </c>
      <c r="Q162" s="4" t="n">
        <f aca="false">P162/$K162</f>
        <v>1.02547135089955</v>
      </c>
      <c r="S162" s="4" t="n">
        <f aca="false">$T$2*$B162^$T$3*$L162^$T$4*($T$5*$I162^$T$6+$T$7)</f>
        <v>0.199310013052524</v>
      </c>
      <c r="T162" s="4" t="n">
        <f aca="false">S162/$K162</f>
        <v>0.996550065262621</v>
      </c>
      <c r="V162" s="4"/>
      <c r="W162" s="4"/>
    </row>
    <row r="163" customFormat="false" ht="14.25" hidden="false" customHeight="false" outlineLevel="0" collapsed="false">
      <c r="B163" s="2" t="n">
        <v>20</v>
      </c>
      <c r="C163" s="3" t="n">
        <v>598</v>
      </c>
      <c r="D163" s="3" t="n">
        <v>1</v>
      </c>
      <c r="E163" s="2" t="n">
        <v>40</v>
      </c>
      <c r="F163" s="4" t="n">
        <v>2.8</v>
      </c>
      <c r="G163" s="2" t="n">
        <v>40</v>
      </c>
      <c r="H163" s="2" t="n">
        <v>50</v>
      </c>
      <c r="I163" s="5" t="n">
        <v>0.0541238331858136</v>
      </c>
      <c r="J163" s="4" t="n">
        <v>233.418982342947</v>
      </c>
      <c r="K163" s="4" t="n">
        <v>0.24</v>
      </c>
      <c r="L163" s="6" t="n">
        <f aca="false">J163/200000</f>
        <v>0.00116709491171473</v>
      </c>
      <c r="P163" s="4" t="n">
        <f aca="false">$Q$2*($Q$3*$G163+$Q$4*$B163^$Q$5*$I163^$Q$6)*$L163^$Q$7</f>
        <v>0.237443447457113</v>
      </c>
      <c r="Q163" s="4" t="n">
        <f aca="false">P163/$K163</f>
        <v>0.989347697737971</v>
      </c>
      <c r="S163" s="4" t="n">
        <f aca="false">$T$2*$B163^$T$3*$L163^$T$4*($T$5*$I163^$T$6+$T$7)</f>
        <v>0.231393005125429</v>
      </c>
      <c r="T163" s="4" t="n">
        <f aca="false">S163/$K163</f>
        <v>0.964137521355955</v>
      </c>
      <c r="V163" s="4"/>
      <c r="W163" s="4"/>
    </row>
    <row r="164" customFormat="false" ht="14.25" hidden="false" customHeight="false" outlineLevel="0" collapsed="false">
      <c r="B164" s="2" t="n">
        <v>20</v>
      </c>
      <c r="C164" s="3" t="n">
        <v>598</v>
      </c>
      <c r="D164" s="3" t="n">
        <v>1</v>
      </c>
      <c r="E164" s="2" t="n">
        <v>40</v>
      </c>
      <c r="F164" s="4" t="n">
        <v>2.8</v>
      </c>
      <c r="G164" s="2" t="n">
        <v>40</v>
      </c>
      <c r="H164" s="2" t="n">
        <v>50</v>
      </c>
      <c r="I164" s="5" t="n">
        <v>0.0541238331858136</v>
      </c>
      <c r="J164" s="4" t="n">
        <v>270.641479578116</v>
      </c>
      <c r="K164" s="4" t="n">
        <v>0.27</v>
      </c>
      <c r="L164" s="6" t="n">
        <f aca="false">J164/200000</f>
        <v>0.00135320739789058</v>
      </c>
      <c r="P164" s="4" t="n">
        <f aca="false">$Q$2*($Q$3*$G164+$Q$4*$B164^$Q$5*$I164^$Q$6)*$L164^$Q$7</f>
        <v>0.268787179779101</v>
      </c>
      <c r="Q164" s="4" t="n">
        <f aca="false">P164/$K164</f>
        <v>0.995508073255929</v>
      </c>
      <c r="S164" s="4" t="n">
        <f aca="false">$T$2*$B164^$T$3*$L164^$T$4*($T$5*$I164^$T$6+$T$7)</f>
        <v>0.262558884561521</v>
      </c>
      <c r="T164" s="4" t="n">
        <f aca="false">S164/$K164</f>
        <v>0.972440313190818</v>
      </c>
      <c r="V164" s="4"/>
      <c r="W164" s="4"/>
    </row>
    <row r="165" customFormat="false" ht="14.25" hidden="false" customHeight="false" outlineLevel="0" collapsed="false">
      <c r="B165" s="2" t="n">
        <v>20</v>
      </c>
      <c r="C165" s="3" t="n">
        <v>598</v>
      </c>
      <c r="D165" s="3" t="n">
        <v>1</v>
      </c>
      <c r="E165" s="2" t="n">
        <v>40</v>
      </c>
      <c r="F165" s="4" t="n">
        <v>2.8</v>
      </c>
      <c r="G165" s="2" t="n">
        <v>40</v>
      </c>
      <c r="H165" s="2" t="n">
        <v>50</v>
      </c>
      <c r="I165" s="5" t="n">
        <v>0.0541238331858136</v>
      </c>
      <c r="J165" s="4" t="n">
        <v>307.450393510673</v>
      </c>
      <c r="K165" s="4" t="n">
        <v>0.32</v>
      </c>
      <c r="L165" s="6" t="n">
        <f aca="false">J165/200000</f>
        <v>0.00153725196755337</v>
      </c>
      <c r="P165" s="4" t="n">
        <f aca="false">$Q$2*($Q$3*$G165+$Q$4*$B165^$Q$5*$I165^$Q$6)*$L165^$Q$7</f>
        <v>0.2991007983691</v>
      </c>
      <c r="Q165" s="4" t="n">
        <f aca="false">P165/$K165</f>
        <v>0.934689994903438</v>
      </c>
      <c r="S165" s="4" t="n">
        <f aca="false">$T$2*$B165^$T$3*$L165^$T$4*($T$5*$I165^$T$6+$T$7)</f>
        <v>0.292766803847425</v>
      </c>
      <c r="T165" s="4" t="n">
        <f aca="false">S165/$K165</f>
        <v>0.914896262023202</v>
      </c>
      <c r="V165" s="4"/>
      <c r="W165" s="4"/>
    </row>
    <row r="166" customFormat="false" ht="14.25" hidden="false" customHeight="false" outlineLevel="0" collapsed="false">
      <c r="B166" s="2" t="n">
        <v>20</v>
      </c>
      <c r="C166" s="3" t="n">
        <v>598</v>
      </c>
      <c r="D166" s="3" t="n">
        <v>1</v>
      </c>
      <c r="E166" s="2" t="n">
        <v>40</v>
      </c>
      <c r="F166" s="4" t="n">
        <v>2.8</v>
      </c>
      <c r="G166" s="2" t="n">
        <v>40</v>
      </c>
      <c r="H166" s="2" t="n">
        <v>50</v>
      </c>
      <c r="I166" s="5" t="n">
        <v>0.0541238331858136</v>
      </c>
      <c r="J166" s="4" t="n">
        <v>345.293265699762</v>
      </c>
      <c r="K166" s="4" t="n">
        <v>0.34</v>
      </c>
      <c r="L166" s="6" t="n">
        <f aca="false">J166/200000</f>
        <v>0.00172646632849881</v>
      </c>
      <c r="P166" s="4" t="n">
        <f aca="false">$Q$2*($Q$3*$G166+$Q$4*$B166^$Q$5*$I166^$Q$6)*$L166^$Q$7</f>
        <v>0.329658070553288</v>
      </c>
      <c r="Q166" s="4" t="n">
        <f aca="false">P166/$K166</f>
        <v>0.969582560450846</v>
      </c>
      <c r="S166" s="4" t="n">
        <f aca="false">$T$2*$B166^$T$3*$L166^$T$4*($T$5*$I166^$T$6+$T$7)</f>
        <v>0.323276831294466</v>
      </c>
      <c r="T166" s="4" t="n">
        <f aca="false">S166/$K166</f>
        <v>0.950814209689607</v>
      </c>
      <c r="V166" s="4"/>
      <c r="W166" s="4"/>
    </row>
    <row r="167" customFormat="false" ht="14.25" hidden="false" customHeight="false" outlineLevel="0" collapsed="false">
      <c r="A167" s="1" t="s">
        <v>57</v>
      </c>
      <c r="B167" s="2" t="n">
        <v>20</v>
      </c>
      <c r="C167" s="3" t="n">
        <v>598</v>
      </c>
      <c r="D167" s="3" t="n">
        <v>1</v>
      </c>
      <c r="E167" s="2" t="n">
        <v>40</v>
      </c>
      <c r="F167" s="4" t="n">
        <v>2.8</v>
      </c>
      <c r="G167" s="2" t="n">
        <v>40</v>
      </c>
      <c r="H167" s="2" t="n">
        <v>50</v>
      </c>
      <c r="I167" s="5" t="n">
        <v>0.0541238331858136</v>
      </c>
      <c r="J167" s="4" t="n">
        <v>126.536596314205</v>
      </c>
      <c r="K167" s="4" t="n">
        <v>0.16</v>
      </c>
      <c r="L167" s="6" t="n">
        <f aca="false">J167/200000</f>
        <v>0.000632682981571025</v>
      </c>
      <c r="P167" s="4" t="n">
        <f aca="false">$Q$2*($Q$3*$G167+$Q$4*$B167^$Q$5*$I167^$Q$6)*$L167^$Q$7</f>
        <v>0.142140948747082</v>
      </c>
      <c r="Q167" s="4" t="n">
        <f aca="false">P167/$K167</f>
        <v>0.888380929669263</v>
      </c>
      <c r="S167" s="4" t="n">
        <f aca="false">$T$2*$B167^$T$3*$L167^$T$4*($T$5*$I167^$T$6+$T$7)</f>
        <v>0.137168543342066</v>
      </c>
      <c r="T167" s="4" t="n">
        <f aca="false">S167/$K167</f>
        <v>0.857303395887911</v>
      </c>
      <c r="V167" s="4"/>
      <c r="W167" s="4"/>
    </row>
    <row r="168" customFormat="false" ht="14.25" hidden="false" customHeight="false" outlineLevel="0" collapsed="false">
      <c r="B168" s="2" t="n">
        <v>20</v>
      </c>
      <c r="C168" s="3" t="n">
        <v>598</v>
      </c>
      <c r="D168" s="3" t="n">
        <v>1</v>
      </c>
      <c r="E168" s="2" t="n">
        <v>40</v>
      </c>
      <c r="F168" s="4" t="n">
        <v>2.8</v>
      </c>
      <c r="G168" s="2" t="n">
        <v>40</v>
      </c>
      <c r="H168" s="2" t="n">
        <v>50</v>
      </c>
      <c r="I168" s="5" t="n">
        <v>0.0541238331858136</v>
      </c>
      <c r="J168" s="4" t="n">
        <v>158.669946462266</v>
      </c>
      <c r="K168" s="4" t="n">
        <v>0.2</v>
      </c>
      <c r="L168" s="6" t="n">
        <f aca="false">J168/200000</f>
        <v>0.000793349732311331</v>
      </c>
      <c r="P168" s="4" t="n">
        <f aca="false">$Q$2*($Q$3*$G168+$Q$4*$B168^$Q$5*$I168^$Q$6)*$L168^$Q$7</f>
        <v>0.171821147635017</v>
      </c>
      <c r="Q168" s="4" t="n">
        <f aca="false">P168/$K168</f>
        <v>0.859105738175085</v>
      </c>
      <c r="S168" s="4" t="n">
        <f aca="false">$T$2*$B168^$T$3*$L168^$T$4*($T$5*$I168^$T$6+$T$7)</f>
        <v>0.166411903647177</v>
      </c>
      <c r="T168" s="4" t="n">
        <f aca="false">S168/$K168</f>
        <v>0.832059518235887</v>
      </c>
      <c r="V168" s="4"/>
      <c r="W168" s="4"/>
    </row>
    <row r="169" customFormat="false" ht="14.25" hidden="false" customHeight="false" outlineLevel="0" collapsed="false">
      <c r="B169" s="2" t="n">
        <v>20</v>
      </c>
      <c r="C169" s="3" t="n">
        <v>598</v>
      </c>
      <c r="D169" s="3" t="n">
        <v>1</v>
      </c>
      <c r="E169" s="2" t="n">
        <v>40</v>
      </c>
      <c r="F169" s="4" t="n">
        <v>2.8</v>
      </c>
      <c r="G169" s="2" t="n">
        <v>40</v>
      </c>
      <c r="H169" s="2" t="n">
        <v>50</v>
      </c>
      <c r="I169" s="5" t="n">
        <v>0.0541238331858136</v>
      </c>
      <c r="J169" s="4" t="n">
        <v>195.369318502551</v>
      </c>
      <c r="K169" s="4" t="n">
        <v>0.24</v>
      </c>
      <c r="L169" s="6" t="n">
        <f aca="false">J169/200000</f>
        <v>0.000976846592512755</v>
      </c>
      <c r="P169" s="4" t="n">
        <f aca="false">$Q$2*($Q$3*$G169+$Q$4*$B169^$Q$5*$I169^$Q$6)*$L169^$Q$7</f>
        <v>0.204550105886866</v>
      </c>
      <c r="Q169" s="4" t="n">
        <f aca="false">P169/$K169</f>
        <v>0.852292107861943</v>
      </c>
      <c r="S169" s="4" t="n">
        <f aca="false">$T$2*$B169^$T$3*$L169^$T$4*($T$5*$I169^$T$6+$T$7)</f>
        <v>0.198771112693398</v>
      </c>
      <c r="T169" s="4" t="n">
        <f aca="false">S169/$K169</f>
        <v>0.828212969555825</v>
      </c>
      <c r="V169" s="4"/>
      <c r="W169" s="4"/>
    </row>
    <row r="170" customFormat="false" ht="14.25" hidden="false" customHeight="false" outlineLevel="0" collapsed="false">
      <c r="B170" s="2" t="n">
        <v>20</v>
      </c>
      <c r="C170" s="3" t="n">
        <v>598</v>
      </c>
      <c r="D170" s="3" t="n">
        <v>1</v>
      </c>
      <c r="E170" s="2" t="n">
        <v>40</v>
      </c>
      <c r="F170" s="4" t="n">
        <v>2.8</v>
      </c>
      <c r="G170" s="2" t="n">
        <v>40</v>
      </c>
      <c r="H170" s="2" t="n">
        <v>50</v>
      </c>
      <c r="I170" s="5" t="n">
        <v>0.0541238331858136</v>
      </c>
      <c r="J170" s="4" t="n">
        <v>232.385024086414</v>
      </c>
      <c r="K170" s="4" t="n">
        <v>0.27</v>
      </c>
      <c r="L170" s="6" t="n">
        <f aca="false">J170/200000</f>
        <v>0.00116192512043207</v>
      </c>
      <c r="P170" s="4" t="n">
        <f aca="false">$Q$2*($Q$3*$G170+$Q$4*$B170^$Q$5*$I170^$Q$6)*$L170^$Q$7</f>
        <v>0.236561734736051</v>
      </c>
      <c r="Q170" s="4" t="n">
        <f aca="false">P170/$K170</f>
        <v>0.876154573096485</v>
      </c>
      <c r="S170" s="4" t="n">
        <f aca="false">$T$2*$B170^$T$3*$L170^$T$4*($T$5*$I170^$T$6+$T$7)</f>
        <v>0.230517385309761</v>
      </c>
      <c r="T170" s="4" t="n">
        <f aca="false">S170/$K170</f>
        <v>0.853768093739855</v>
      </c>
      <c r="V170" s="4"/>
      <c r="W170" s="4"/>
    </row>
    <row r="171" customFormat="false" ht="14.25" hidden="false" customHeight="false" outlineLevel="0" collapsed="false">
      <c r="B171" s="2" t="n">
        <v>20</v>
      </c>
      <c r="C171" s="3" t="n">
        <v>598</v>
      </c>
      <c r="D171" s="3" t="n">
        <v>1</v>
      </c>
      <c r="E171" s="2" t="n">
        <v>40</v>
      </c>
      <c r="F171" s="4" t="n">
        <v>2.8</v>
      </c>
      <c r="G171" s="2" t="n">
        <v>40</v>
      </c>
      <c r="H171" s="2" t="n">
        <v>50</v>
      </c>
      <c r="I171" s="5" t="n">
        <v>0.0541238331858136</v>
      </c>
      <c r="J171" s="4" t="n">
        <v>270.848271229423</v>
      </c>
      <c r="K171" s="4" t="n">
        <v>0.29</v>
      </c>
      <c r="L171" s="6" t="n">
        <f aca="false">J171/200000</f>
        <v>0.00135424135614711</v>
      </c>
      <c r="P171" s="4" t="n">
        <f aca="false">$Q$2*($Q$3*$G171+$Q$4*$B171^$Q$5*$I171^$Q$6)*$L171^$Q$7</f>
        <v>0.268959273228584</v>
      </c>
      <c r="Q171" s="4" t="n">
        <f aca="false">P171/$K171</f>
        <v>0.927445769753738</v>
      </c>
      <c r="S171" s="4" t="n">
        <f aca="false">$T$2*$B171^$T$3*$L171^$T$4*($T$5*$I171^$T$6+$T$7)</f>
        <v>0.262730200990824</v>
      </c>
      <c r="T171" s="4" t="n">
        <f aca="false">S171/$K171</f>
        <v>0.905966210313187</v>
      </c>
      <c r="V171" s="4"/>
      <c r="W171" s="4"/>
    </row>
    <row r="172" customFormat="false" ht="14.25" hidden="false" customHeight="false" outlineLevel="0" collapsed="false">
      <c r="B172" s="2" t="n">
        <v>20</v>
      </c>
      <c r="C172" s="3" t="n">
        <v>598</v>
      </c>
      <c r="D172" s="3" t="n">
        <v>1</v>
      </c>
      <c r="E172" s="2" t="n">
        <v>40</v>
      </c>
      <c r="F172" s="4" t="n">
        <v>2.8</v>
      </c>
      <c r="G172" s="2" t="n">
        <v>40</v>
      </c>
      <c r="H172" s="2" t="n">
        <v>50</v>
      </c>
      <c r="I172" s="5" t="n">
        <v>0.0541238331858136</v>
      </c>
      <c r="J172" s="4" t="n">
        <v>307.450393510673</v>
      </c>
      <c r="K172" s="4" t="n">
        <v>0.32</v>
      </c>
      <c r="L172" s="6" t="n">
        <f aca="false">J172/200000</f>
        <v>0.00153725196755337</v>
      </c>
      <c r="P172" s="4" t="n">
        <f aca="false">$Q$2*($Q$3*$G172+$Q$4*$B172^$Q$5*$I172^$Q$6)*$L172^$Q$7</f>
        <v>0.2991007983691</v>
      </c>
      <c r="Q172" s="4" t="n">
        <f aca="false">P172/$K172</f>
        <v>0.934689994903438</v>
      </c>
      <c r="S172" s="4" t="n">
        <f aca="false">$T$2*$B172^$T$3*$L172^$T$4*($T$5*$I172^$T$6+$T$7)</f>
        <v>0.292766803847425</v>
      </c>
      <c r="T172" s="4" t="n">
        <f aca="false">S172/$K172</f>
        <v>0.914896262023202</v>
      </c>
      <c r="V172" s="4"/>
      <c r="W172" s="4"/>
    </row>
    <row r="173" customFormat="false" ht="14.25" hidden="false" customHeight="false" outlineLevel="0" collapsed="false">
      <c r="B173" s="2" t="n">
        <v>20</v>
      </c>
      <c r="C173" s="3" t="n">
        <v>598</v>
      </c>
      <c r="D173" s="3" t="n">
        <v>1</v>
      </c>
      <c r="E173" s="2" t="n">
        <v>40</v>
      </c>
      <c r="F173" s="4" t="n">
        <v>2.8</v>
      </c>
      <c r="G173" s="2" t="n">
        <v>40</v>
      </c>
      <c r="H173" s="2" t="n">
        <v>50</v>
      </c>
      <c r="I173" s="5" t="n">
        <v>0.0541238331858136</v>
      </c>
      <c r="J173" s="4" t="n">
        <v>325.234475523032</v>
      </c>
      <c r="K173" s="4" t="n">
        <v>0.33</v>
      </c>
      <c r="L173" s="6" t="n">
        <f aca="false">J173/200000</f>
        <v>0.00162617237761516</v>
      </c>
      <c r="P173" s="4" t="n">
        <f aca="false">$Q$2*($Q$3*$G173+$Q$4*$B173^$Q$5*$I173^$Q$6)*$L173^$Q$7</f>
        <v>0.313532675073366</v>
      </c>
      <c r="Q173" s="4" t="n">
        <f aca="false">P173/$K173</f>
        <v>0.950099015373836</v>
      </c>
      <c r="S173" s="4" t="n">
        <f aca="false">$T$2*$B173^$T$3*$L173^$T$4*($T$5*$I173^$T$6+$T$7)</f>
        <v>0.307169302471799</v>
      </c>
      <c r="T173" s="4" t="n">
        <f aca="false">S173/$K173</f>
        <v>0.930816068096361</v>
      </c>
      <c r="V173" s="4"/>
      <c r="W173" s="4"/>
    </row>
    <row r="174" customFormat="false" ht="14.25" hidden="false" customHeight="false" outlineLevel="0" collapsed="false">
      <c r="A174" s="1" t="s">
        <v>58</v>
      </c>
      <c r="B174" s="2" t="n">
        <v>10</v>
      </c>
      <c r="C174" s="3" t="n">
        <v>528</v>
      </c>
      <c r="D174" s="3" t="n">
        <v>1</v>
      </c>
      <c r="E174" s="2" t="n">
        <v>45</v>
      </c>
      <c r="F174" s="4" t="n">
        <v>2.8</v>
      </c>
      <c r="G174" s="2" t="n">
        <v>40</v>
      </c>
      <c r="H174" s="2" t="n">
        <v>45</v>
      </c>
      <c r="I174" s="5" t="n">
        <v>0.00795980968315605</v>
      </c>
      <c r="J174" s="4" t="n">
        <v>155.014402652605</v>
      </c>
      <c r="K174" s="4" t="n">
        <v>0.15</v>
      </c>
      <c r="L174" s="6" t="n">
        <f aca="false">J174/200000</f>
        <v>0.000775072013263026</v>
      </c>
      <c r="P174" s="4" t="n">
        <f aca="false">$Q$2*($Q$3*$G174+$Q$4*$B174^$Q$5*$I174^$Q$6)*$L174^$Q$7</f>
        <v>0.202357785165298</v>
      </c>
      <c r="Q174" s="4" t="n">
        <f aca="false">P174/$K174</f>
        <v>1.34905190110199</v>
      </c>
      <c r="S174" s="4" t="n">
        <f aca="false">$T$2*$B174^$T$3*$L174^$T$4*($T$5*$I174^$T$6+$T$7)</f>
        <v>0.209533382091592</v>
      </c>
      <c r="T174" s="4" t="n">
        <f aca="false">S174/$K174</f>
        <v>1.39688921394394</v>
      </c>
      <c r="V174" s="4"/>
      <c r="W174" s="4"/>
    </row>
    <row r="175" customFormat="false" ht="14.25" hidden="false" customHeight="false" outlineLevel="0" collapsed="false">
      <c r="B175" s="2" t="n">
        <v>10</v>
      </c>
      <c r="C175" s="3" t="n">
        <v>528</v>
      </c>
      <c r="D175" s="3" t="n">
        <v>1</v>
      </c>
      <c r="E175" s="2" t="n">
        <v>45</v>
      </c>
      <c r="F175" s="4" t="n">
        <v>2.8</v>
      </c>
      <c r="G175" s="2" t="n">
        <v>40</v>
      </c>
      <c r="H175" s="2" t="n">
        <v>45</v>
      </c>
      <c r="I175" s="5" t="n">
        <v>0.00795980968315605</v>
      </c>
      <c r="J175" s="4" t="n">
        <v>188.981279243597</v>
      </c>
      <c r="K175" s="4" t="n">
        <v>0.19</v>
      </c>
      <c r="L175" s="6" t="n">
        <f aca="false">J175/200000</f>
        <v>0.000944906396217986</v>
      </c>
      <c r="P175" s="4" t="n">
        <f aca="false">$Q$2*($Q$3*$G175+$Q$4*$B175^$Q$5*$I175^$Q$6)*$L175^$Q$7</f>
        <v>0.238906012628405</v>
      </c>
      <c r="Q175" s="4" t="n">
        <f aca="false">P175/$K175</f>
        <v>1.25740006646529</v>
      </c>
      <c r="S175" s="4" t="n">
        <f aca="false">$T$2*$B175^$T$3*$L175^$T$4*($T$5*$I175^$T$6+$T$7)</f>
        <v>0.248163058695293</v>
      </c>
      <c r="T175" s="4" t="n">
        <f aca="false">S175/$K175</f>
        <v>1.30612136155417</v>
      </c>
      <c r="V175" s="4"/>
      <c r="W175" s="4"/>
    </row>
    <row r="176" customFormat="false" ht="14.25" hidden="false" customHeight="false" outlineLevel="0" collapsed="false">
      <c r="B176" s="2" t="n">
        <v>10</v>
      </c>
      <c r="C176" s="3" t="n">
        <v>528</v>
      </c>
      <c r="D176" s="3" t="n">
        <v>1</v>
      </c>
      <c r="E176" s="2" t="n">
        <v>45</v>
      </c>
      <c r="F176" s="4" t="n">
        <v>2.8</v>
      </c>
      <c r="G176" s="2" t="n">
        <v>40</v>
      </c>
      <c r="H176" s="2" t="n">
        <v>45</v>
      </c>
      <c r="I176" s="5" t="n">
        <v>0.00795980968315605</v>
      </c>
      <c r="J176" s="4" t="n">
        <v>195.774654561796</v>
      </c>
      <c r="K176" s="4" t="n">
        <v>0.2</v>
      </c>
      <c r="L176" s="6" t="n">
        <f aca="false">J176/200000</f>
        <v>0.000978873272808978</v>
      </c>
      <c r="P176" s="4" t="n">
        <f aca="false">$Q$2*($Q$3*$G176+$Q$4*$B176^$Q$5*$I176^$Q$6)*$L176^$Q$7</f>
        <v>0.246082118720914</v>
      </c>
      <c r="Q176" s="4" t="n">
        <f aca="false">P176/$K176</f>
        <v>1.23041059360457</v>
      </c>
      <c r="S176" s="4" t="n">
        <f aca="false">$T$2*$B176^$T$3*$L176^$T$4*($T$5*$I176^$T$6+$T$7)</f>
        <v>0.255761702180536</v>
      </c>
      <c r="T176" s="4" t="n">
        <f aca="false">S176/$K176</f>
        <v>1.27880851090268</v>
      </c>
      <c r="V176" s="4"/>
      <c r="W176" s="4"/>
    </row>
    <row r="177" customFormat="false" ht="14.25" hidden="false" customHeight="false" outlineLevel="0" collapsed="false">
      <c r="B177" s="2" t="n">
        <v>10</v>
      </c>
      <c r="C177" s="3" t="n">
        <v>528</v>
      </c>
      <c r="D177" s="3" t="n">
        <v>1</v>
      </c>
      <c r="E177" s="2" t="n">
        <v>45</v>
      </c>
      <c r="F177" s="4" t="n">
        <v>2.8</v>
      </c>
      <c r="G177" s="2" t="n">
        <v>40</v>
      </c>
      <c r="H177" s="2" t="n">
        <v>45</v>
      </c>
      <c r="I177" s="5" t="n">
        <v>0.00795980968315605</v>
      </c>
      <c r="J177" s="4" t="n">
        <v>224.457794794189</v>
      </c>
      <c r="K177" s="4" t="n">
        <v>0.23</v>
      </c>
      <c r="L177" s="6" t="n">
        <f aca="false">J177/200000</f>
        <v>0.00112228897397094</v>
      </c>
      <c r="P177" s="4" t="n">
        <f aca="false">$Q$2*($Q$3*$G177+$Q$4*$B177^$Q$5*$I177^$Q$6)*$L177^$Q$7</f>
        <v>0.27595547203891</v>
      </c>
      <c r="Q177" s="4" t="n">
        <f aca="false">P177/$K177</f>
        <v>1.19980640016917</v>
      </c>
      <c r="S177" s="4" t="n">
        <f aca="false">$T$2*$B177^$T$3*$L177^$T$4*($T$5*$I177^$T$6+$T$7)</f>
        <v>0.287438222280686</v>
      </c>
      <c r="T177" s="4" t="n">
        <f aca="false">S177/$K177</f>
        <v>1.24973140122038</v>
      </c>
      <c r="V177" s="4"/>
      <c r="W177" s="4"/>
    </row>
    <row r="178" customFormat="false" ht="14.25" hidden="false" customHeight="false" outlineLevel="0" collapsed="false">
      <c r="B178" s="2" t="n">
        <v>10</v>
      </c>
      <c r="C178" s="3" t="n">
        <v>528</v>
      </c>
      <c r="D178" s="3" t="n">
        <v>1</v>
      </c>
      <c r="E178" s="2" t="n">
        <v>45</v>
      </c>
      <c r="F178" s="4" t="n">
        <v>2.8</v>
      </c>
      <c r="G178" s="2" t="n">
        <v>40</v>
      </c>
      <c r="H178" s="2" t="n">
        <v>45</v>
      </c>
      <c r="I178" s="5" t="n">
        <v>0.00795980968315605</v>
      </c>
      <c r="J178" s="4" t="n">
        <v>244.083101268984</v>
      </c>
      <c r="K178" s="4" t="n">
        <v>0.25</v>
      </c>
      <c r="L178" s="6" t="n">
        <f aca="false">J178/200000</f>
        <v>0.00122041550634492</v>
      </c>
      <c r="P178" s="4" t="n">
        <f aca="false">$Q$2*($Q$3*$G178+$Q$4*$B178^$Q$5*$I178^$Q$6)*$L178^$Q$7</f>
        <v>0.296036146114265</v>
      </c>
      <c r="Q178" s="4" t="n">
        <f aca="false">P178/$K178</f>
        <v>1.18414458445706</v>
      </c>
      <c r="S178" s="4" t="n">
        <f aca="false">$T$2*$B178^$T$3*$L178^$T$4*($T$5*$I178^$T$6+$T$7)</f>
        <v>0.308768293869458</v>
      </c>
      <c r="T178" s="4" t="n">
        <f aca="false">S178/$K178</f>
        <v>1.23507317547783</v>
      </c>
      <c r="V178" s="4"/>
      <c r="W178" s="4"/>
    </row>
    <row r="179" customFormat="false" ht="14.25" hidden="false" customHeight="false" outlineLevel="0" collapsed="false">
      <c r="B179" s="2" t="n">
        <v>10</v>
      </c>
      <c r="C179" s="3" t="n">
        <v>528</v>
      </c>
      <c r="D179" s="3" t="n">
        <v>1</v>
      </c>
      <c r="E179" s="2" t="n">
        <v>45</v>
      </c>
      <c r="F179" s="4" t="n">
        <v>2.8</v>
      </c>
      <c r="G179" s="2" t="n">
        <v>40</v>
      </c>
      <c r="H179" s="2" t="n">
        <v>45</v>
      </c>
      <c r="I179" s="5" t="n">
        <v>0.00795980968315605</v>
      </c>
      <c r="J179" s="4" t="n">
        <v>265.972866183179</v>
      </c>
      <c r="K179" s="4" t="n">
        <v>0.28</v>
      </c>
      <c r="L179" s="6" t="n">
        <f aca="false">J179/200000</f>
        <v>0.0013298643309159</v>
      </c>
      <c r="P179" s="4" t="n">
        <f aca="false">$Q$2*($Q$3*$G179+$Q$4*$B179^$Q$5*$I179^$Q$6)*$L179^$Q$7</f>
        <v>0.318127947793885</v>
      </c>
      <c r="Q179" s="4" t="n">
        <f aca="false">P179/$K179</f>
        <v>1.13617124212102</v>
      </c>
      <c r="S179" s="4" t="n">
        <f aca="false">$T$2*$B179^$T$3*$L179^$T$4*($T$5*$I179^$T$6+$T$7)</f>
        <v>0.332266513265978</v>
      </c>
      <c r="T179" s="4" t="n">
        <f aca="false">S179/$K179</f>
        <v>1.18666611880707</v>
      </c>
      <c r="V179" s="4"/>
      <c r="W179" s="4"/>
    </row>
    <row r="180" customFormat="false" ht="14.25" hidden="false" customHeight="false" outlineLevel="0" collapsed="false">
      <c r="B180" s="2" t="n">
        <v>10</v>
      </c>
      <c r="C180" s="3" t="n">
        <v>528</v>
      </c>
      <c r="D180" s="3" t="n">
        <v>1</v>
      </c>
      <c r="E180" s="2" t="n">
        <v>45</v>
      </c>
      <c r="F180" s="4" t="n">
        <v>2.8</v>
      </c>
      <c r="G180" s="2" t="n">
        <v>40</v>
      </c>
      <c r="H180" s="2" t="n">
        <v>45</v>
      </c>
      <c r="I180" s="5" t="n">
        <v>0.00795980968315605</v>
      </c>
      <c r="J180" s="4" t="n">
        <v>285.598172657974</v>
      </c>
      <c r="K180" s="4" t="n">
        <v>0.31</v>
      </c>
      <c r="L180" s="6" t="n">
        <f aca="false">J180/200000</f>
        <v>0.00142799086328987</v>
      </c>
      <c r="P180" s="4" t="n">
        <f aca="false">$Q$2*($Q$3*$G180+$Q$4*$B180^$Q$5*$I180^$Q$6)*$L180^$Q$7</f>
        <v>0.337684544742832</v>
      </c>
      <c r="Q180" s="4" t="n">
        <f aca="false">P180/$K180</f>
        <v>1.08930498304139</v>
      </c>
      <c r="S180" s="4" t="n">
        <f aca="false">$T$2*$B180^$T$3*$L180^$T$4*($T$5*$I180^$T$6+$T$7)</f>
        <v>0.353094232517711</v>
      </c>
      <c r="T180" s="4" t="n">
        <f aca="false">S180/$K180</f>
        <v>1.13901365328294</v>
      </c>
      <c r="V180" s="4"/>
      <c r="W180" s="4"/>
    </row>
    <row r="181" customFormat="false" ht="14.25" hidden="false" customHeight="false" outlineLevel="0" collapsed="false">
      <c r="B181" s="2" t="n">
        <v>10</v>
      </c>
      <c r="C181" s="3" t="n">
        <v>528</v>
      </c>
      <c r="D181" s="3" t="n">
        <v>1</v>
      </c>
      <c r="E181" s="2" t="n">
        <v>45</v>
      </c>
      <c r="F181" s="4" t="n">
        <v>2.8</v>
      </c>
      <c r="G181" s="2" t="n">
        <v>40</v>
      </c>
      <c r="H181" s="2" t="n">
        <v>45</v>
      </c>
      <c r="I181" s="5" t="n">
        <v>0.00795980968315605</v>
      </c>
      <c r="J181" s="4" t="n">
        <v>308.997576531769</v>
      </c>
      <c r="K181" s="4" t="n">
        <v>0.36</v>
      </c>
      <c r="L181" s="6" t="n">
        <f aca="false">J181/200000</f>
        <v>0.00154498788265884</v>
      </c>
      <c r="P181" s="4" t="n">
        <f aca="false">$Q$2*($Q$3*$G181+$Q$4*$B181^$Q$5*$I181^$Q$6)*$L181^$Q$7</f>
        <v>0.360720222295559</v>
      </c>
      <c r="Q181" s="4" t="n">
        <f aca="false">P181/$K181</f>
        <v>1.00200061748766</v>
      </c>
      <c r="S181" s="4" t="n">
        <f aca="false">$T$2*$B181^$T$3*$L181^$T$4*($T$5*$I181^$T$6+$T$7)</f>
        <v>0.377656639174491</v>
      </c>
      <c r="T181" s="4" t="n">
        <f aca="false">S181/$K181</f>
        <v>1.04904621992914</v>
      </c>
      <c r="V181" s="4"/>
      <c r="W181" s="4"/>
    </row>
    <row r="182" customFormat="false" ht="14.25" hidden="false" customHeight="false" outlineLevel="0" collapsed="false">
      <c r="A182" s="1" t="s">
        <v>59</v>
      </c>
      <c r="B182" s="2" t="n">
        <v>10</v>
      </c>
      <c r="C182" s="3" t="n">
        <v>528</v>
      </c>
      <c r="D182" s="3" t="n">
        <v>1</v>
      </c>
      <c r="E182" s="2" t="n">
        <v>45</v>
      </c>
      <c r="F182" s="4" t="n">
        <v>2.8</v>
      </c>
      <c r="G182" s="2" t="n">
        <v>40</v>
      </c>
      <c r="H182" s="2" t="n">
        <v>45</v>
      </c>
      <c r="I182" s="5" t="n">
        <v>0.00795980968315605</v>
      </c>
      <c r="J182" s="4" t="n">
        <v>152.749944213206</v>
      </c>
      <c r="K182" s="4" t="n">
        <v>0.16</v>
      </c>
      <c r="L182" s="6" t="n">
        <f aca="false">J182/200000</f>
        <v>0.000763749721066029</v>
      </c>
      <c r="P182" s="4" t="n">
        <f aca="false">$Q$2*($Q$3*$G182+$Q$4*$B182^$Q$5*$I182^$Q$6)*$L182^$Q$7</f>
        <v>0.199877664890823</v>
      </c>
      <c r="Q182" s="4" t="n">
        <f aca="false">P182/$K182</f>
        <v>1.24923540556764</v>
      </c>
      <c r="S182" s="4" t="n">
        <f aca="false">$T$2*$B182^$T$3*$L182^$T$4*($T$5*$I182^$T$6+$T$7)</f>
        <v>0.206916592049117</v>
      </c>
      <c r="T182" s="4" t="n">
        <f aca="false">S182/$K182</f>
        <v>1.29322870030698</v>
      </c>
      <c r="V182" s="4"/>
      <c r="W182" s="4"/>
    </row>
    <row r="183" customFormat="false" ht="14.25" hidden="false" customHeight="false" outlineLevel="0" collapsed="false">
      <c r="B183" s="2" t="n">
        <v>10</v>
      </c>
      <c r="C183" s="3" t="n">
        <v>528</v>
      </c>
      <c r="D183" s="3" t="n">
        <v>1</v>
      </c>
      <c r="E183" s="2" t="n">
        <v>45</v>
      </c>
      <c r="F183" s="4" t="n">
        <v>2.8</v>
      </c>
      <c r="G183" s="2" t="n">
        <v>40</v>
      </c>
      <c r="H183" s="2" t="n">
        <v>45</v>
      </c>
      <c r="I183" s="5" t="n">
        <v>0.00795980968315605</v>
      </c>
      <c r="J183" s="4" t="n">
        <v>175.3945286072</v>
      </c>
      <c r="K183" s="4" t="n">
        <v>0.18</v>
      </c>
      <c r="L183" s="6" t="n">
        <f aca="false">J183/200000</f>
        <v>0.000876972643036002</v>
      </c>
      <c r="P183" s="4" t="n">
        <f aca="false">$Q$2*($Q$3*$G183+$Q$4*$B183^$Q$5*$I183^$Q$6)*$L183^$Q$7</f>
        <v>0.224426213080609</v>
      </c>
      <c r="Q183" s="4" t="n">
        <f aca="false">P183/$K183</f>
        <v>1.24681229489227</v>
      </c>
      <c r="S183" s="4" t="n">
        <f aca="false">$T$2*$B183^$T$3*$L183^$T$4*($T$5*$I183^$T$6+$T$7)</f>
        <v>0.232844074783117</v>
      </c>
      <c r="T183" s="4" t="n">
        <f aca="false">S183/$K183</f>
        <v>1.29357819323954</v>
      </c>
      <c r="V183" s="4"/>
      <c r="W183" s="4"/>
    </row>
    <row r="184" customFormat="false" ht="14.25" hidden="false" customHeight="false" outlineLevel="0" collapsed="false">
      <c r="B184" s="2" t="n">
        <v>10</v>
      </c>
      <c r="C184" s="3" t="n">
        <v>528</v>
      </c>
      <c r="D184" s="3" t="n">
        <v>1</v>
      </c>
      <c r="E184" s="2" t="n">
        <v>45</v>
      </c>
      <c r="F184" s="4" t="n">
        <v>2.8</v>
      </c>
      <c r="G184" s="2" t="n">
        <v>40</v>
      </c>
      <c r="H184" s="2" t="n">
        <v>45</v>
      </c>
      <c r="I184" s="5" t="n">
        <v>0.00795980968315605</v>
      </c>
      <c r="J184" s="4" t="n">
        <v>196.529474041595</v>
      </c>
      <c r="K184" s="4" t="n">
        <v>0.2</v>
      </c>
      <c r="L184" s="6" t="n">
        <f aca="false">J184/200000</f>
        <v>0.000982647370207978</v>
      </c>
      <c r="P184" s="4" t="n">
        <f aca="false">$Q$2*($Q$3*$G184+$Q$4*$B184^$Q$5*$I184^$Q$6)*$L184^$Q$7</f>
        <v>0.246876950568313</v>
      </c>
      <c r="Q184" s="4" t="n">
        <f aca="false">P184/$K184</f>
        <v>1.23438475284156</v>
      </c>
      <c r="S184" s="4" t="n">
        <f aca="false">$T$2*$B184^$T$3*$L184^$T$4*($T$5*$I184^$T$6+$T$7)</f>
        <v>0.256603597210225</v>
      </c>
      <c r="T184" s="4" t="n">
        <f aca="false">S184/$K184</f>
        <v>1.28301798605113</v>
      </c>
      <c r="V184" s="4"/>
      <c r="W184" s="4"/>
    </row>
    <row r="185" customFormat="false" ht="14.25" hidden="false" customHeight="false" outlineLevel="0" collapsed="false">
      <c r="B185" s="2" t="n">
        <v>10</v>
      </c>
      <c r="C185" s="3" t="n">
        <v>528</v>
      </c>
      <c r="D185" s="3" t="n">
        <v>1</v>
      </c>
      <c r="E185" s="2" t="n">
        <v>45</v>
      </c>
      <c r="F185" s="4" t="n">
        <v>2.8</v>
      </c>
      <c r="G185" s="2" t="n">
        <v>40</v>
      </c>
      <c r="H185" s="2" t="n">
        <v>45</v>
      </c>
      <c r="I185" s="5" t="n">
        <v>0.00795980968315605</v>
      </c>
      <c r="J185" s="4" t="n">
        <v>218.41923895579</v>
      </c>
      <c r="K185" s="4" t="n">
        <v>0.23</v>
      </c>
      <c r="L185" s="6" t="n">
        <f aca="false">J185/200000</f>
        <v>0.00109209619477895</v>
      </c>
      <c r="P185" s="4" t="n">
        <f aca="false">$Q$2*($Q$3*$G185+$Q$4*$B185^$Q$5*$I185^$Q$6)*$L185^$Q$7</f>
        <v>0.269720467636987</v>
      </c>
      <c r="Q185" s="4" t="n">
        <f aca="false">P185/$K185</f>
        <v>1.1726976853782</v>
      </c>
      <c r="S185" s="4" t="n">
        <f aca="false">$T$2*$B185^$T$3*$L185^$T$4*($T$5*$I185^$T$6+$T$7)</f>
        <v>0.280821213082777</v>
      </c>
      <c r="T185" s="4" t="n">
        <f aca="false">S185/$K185</f>
        <v>1.22096179601208</v>
      </c>
      <c r="V185" s="4"/>
      <c r="W185" s="4"/>
    </row>
    <row r="186" customFormat="false" ht="14.25" hidden="false" customHeight="false" outlineLevel="0" collapsed="false">
      <c r="B186" s="2" t="n">
        <v>10</v>
      </c>
      <c r="C186" s="3" t="n">
        <v>528</v>
      </c>
      <c r="D186" s="3" t="n">
        <v>1</v>
      </c>
      <c r="E186" s="2" t="n">
        <v>45</v>
      </c>
      <c r="F186" s="4" t="n">
        <v>2.8</v>
      </c>
      <c r="G186" s="2" t="n">
        <v>40</v>
      </c>
      <c r="H186" s="2" t="n">
        <v>45</v>
      </c>
      <c r="I186" s="5" t="n">
        <v>0.00795980968315605</v>
      </c>
      <c r="J186" s="4" t="n">
        <v>241.818642829585</v>
      </c>
      <c r="K186" s="4" t="n">
        <v>0.24</v>
      </c>
      <c r="L186" s="6" t="n">
        <f aca="false">J186/200000</f>
        <v>0.00120909321414792</v>
      </c>
      <c r="P186" s="4" t="n">
        <f aca="false">$Q$2*($Q$3*$G186+$Q$4*$B186^$Q$5*$I186^$Q$6)*$L186^$Q$7</f>
        <v>0.293732886903932</v>
      </c>
      <c r="Q186" s="4" t="n">
        <f aca="false">P186/$K186</f>
        <v>1.22388702876638</v>
      </c>
      <c r="S186" s="4" t="n">
        <f aca="false">$T$2*$B186^$T$3*$L186^$T$4*($T$5*$I186^$T$6+$T$7)</f>
        <v>0.306320288962995</v>
      </c>
      <c r="T186" s="4" t="n">
        <f aca="false">S186/$K186</f>
        <v>1.27633453734581</v>
      </c>
      <c r="V186" s="4"/>
      <c r="W186" s="4"/>
    </row>
    <row r="187" customFormat="false" ht="14.25" hidden="false" customHeight="false" outlineLevel="0" collapsed="false">
      <c r="B187" s="2" t="n">
        <v>10</v>
      </c>
      <c r="C187" s="3" t="n">
        <v>528</v>
      </c>
      <c r="D187" s="3" t="n">
        <v>1</v>
      </c>
      <c r="E187" s="2" t="n">
        <v>45</v>
      </c>
      <c r="F187" s="4" t="n">
        <v>2.8</v>
      </c>
      <c r="G187" s="2" t="n">
        <v>40</v>
      </c>
      <c r="H187" s="2" t="n">
        <v>45</v>
      </c>
      <c r="I187" s="5" t="n">
        <v>0.00795980968315605</v>
      </c>
      <c r="J187" s="4" t="n">
        <v>265.972866183179</v>
      </c>
      <c r="K187" s="4" t="n">
        <v>0.25</v>
      </c>
      <c r="L187" s="6" t="n">
        <f aca="false">J187/200000</f>
        <v>0.0013298643309159</v>
      </c>
      <c r="P187" s="4" t="n">
        <f aca="false">$Q$2*($Q$3*$G187+$Q$4*$B187^$Q$5*$I187^$Q$6)*$L187^$Q$7</f>
        <v>0.318127947793885</v>
      </c>
      <c r="Q187" s="4" t="n">
        <f aca="false">P187/$K187</f>
        <v>1.27251179117554</v>
      </c>
      <c r="S187" s="4" t="n">
        <f aca="false">$T$2*$B187^$T$3*$L187^$T$4*($T$5*$I187^$T$6+$T$7)</f>
        <v>0.332266513265978</v>
      </c>
      <c r="T187" s="4" t="n">
        <f aca="false">S187/$K187</f>
        <v>1.32906605306391</v>
      </c>
      <c r="V187" s="4"/>
      <c r="W187" s="4"/>
    </row>
    <row r="188" customFormat="false" ht="14.25" hidden="false" customHeight="false" outlineLevel="0" collapsed="false">
      <c r="B188" s="2" t="n">
        <v>10</v>
      </c>
      <c r="C188" s="3" t="n">
        <v>528</v>
      </c>
      <c r="D188" s="3" t="n">
        <v>1</v>
      </c>
      <c r="E188" s="2" t="n">
        <v>45</v>
      </c>
      <c r="F188" s="4" t="n">
        <v>2.8</v>
      </c>
      <c r="G188" s="2" t="n">
        <v>40</v>
      </c>
      <c r="H188" s="2" t="n">
        <v>45</v>
      </c>
      <c r="I188" s="5" t="n">
        <v>0.00795980968315605</v>
      </c>
      <c r="J188" s="4" t="n">
        <v>287.862631097374</v>
      </c>
      <c r="K188" s="4" t="n">
        <v>0.27</v>
      </c>
      <c r="L188" s="6" t="n">
        <f aca="false">J188/200000</f>
        <v>0.00143931315548687</v>
      </c>
      <c r="P188" s="4" t="n">
        <f aca="false">$Q$2*($Q$3*$G188+$Q$4*$B188^$Q$5*$I188^$Q$6)*$L188^$Q$7</f>
        <v>0.33992680478382</v>
      </c>
      <c r="Q188" s="4" t="n">
        <f aca="false">P188/$K188</f>
        <v>1.258988165866</v>
      </c>
      <c r="S188" s="4" t="n">
        <f aca="false">$T$2*$B188^$T$3*$L188^$T$4*($T$5*$I188^$T$6+$T$7)</f>
        <v>0.35548373088814</v>
      </c>
      <c r="T188" s="4" t="n">
        <f aca="false">S188/$K188</f>
        <v>1.31660641069682</v>
      </c>
      <c r="V188" s="4"/>
      <c r="W188" s="4"/>
    </row>
    <row r="189" customFormat="false" ht="14.25" hidden="false" customHeight="false" outlineLevel="0" collapsed="false">
      <c r="B189" s="2" t="n">
        <v>10</v>
      </c>
      <c r="C189" s="3" t="n">
        <v>528</v>
      </c>
      <c r="D189" s="3" t="n">
        <v>1</v>
      </c>
      <c r="E189" s="2" t="n">
        <v>45</v>
      </c>
      <c r="F189" s="4" t="n">
        <v>2.8</v>
      </c>
      <c r="G189" s="2" t="n">
        <v>40</v>
      </c>
      <c r="H189" s="2" t="n">
        <v>45</v>
      </c>
      <c r="I189" s="5" t="n">
        <v>0.00795980968315605</v>
      </c>
      <c r="J189" s="4" t="n">
        <v>307.487937572169</v>
      </c>
      <c r="K189" s="4" t="n">
        <v>0.29</v>
      </c>
      <c r="L189" s="6" t="n">
        <f aca="false">J189/200000</f>
        <v>0.00153743968786085</v>
      </c>
      <c r="P189" s="4" t="n">
        <f aca="false">$Q$2*($Q$3*$G189+$Q$4*$B189^$Q$5*$I189^$Q$6)*$L189^$Q$7</f>
        <v>0.359242799867806</v>
      </c>
      <c r="Q189" s="4" t="n">
        <f aca="false">P189/$K189</f>
        <v>1.23876827540623</v>
      </c>
      <c r="S189" s="4" t="n">
        <f aca="false">$T$2*$B189^$T$3*$L189^$T$4*($T$5*$I189^$T$6+$T$7)</f>
        <v>0.376080378032746</v>
      </c>
      <c r="T189" s="4" t="n">
        <f aca="false">S189/$K189</f>
        <v>1.29682888976809</v>
      </c>
      <c r="V189" s="4"/>
      <c r="W189" s="4"/>
    </row>
    <row r="190" customFormat="false" ht="14.25" hidden="false" customHeight="false" outlineLevel="0" collapsed="false">
      <c r="A190" s="1" t="s">
        <v>60</v>
      </c>
      <c r="B190" s="2" t="n">
        <v>10</v>
      </c>
      <c r="C190" s="3" t="n">
        <v>528</v>
      </c>
      <c r="D190" s="3" t="n">
        <v>1</v>
      </c>
      <c r="E190" s="2" t="n">
        <v>45</v>
      </c>
      <c r="F190" s="4" t="n">
        <v>2.8</v>
      </c>
      <c r="G190" s="2" t="n">
        <v>40</v>
      </c>
      <c r="H190" s="2" t="n">
        <v>45</v>
      </c>
      <c r="I190" s="5" t="n">
        <v>0.00795980968315605</v>
      </c>
      <c r="J190" s="4" t="n">
        <v>177.6589870466</v>
      </c>
      <c r="K190" s="4" t="n">
        <v>0.15</v>
      </c>
      <c r="L190" s="6" t="n">
        <f aca="false">J190/200000</f>
        <v>0.000888294935233</v>
      </c>
      <c r="P190" s="4" t="n">
        <f aca="false">$Q$2*($Q$3*$G190+$Q$4*$B190^$Q$5*$I190^$Q$6)*$L190^$Q$7</f>
        <v>0.226851782808109</v>
      </c>
      <c r="Q190" s="4" t="n">
        <f aca="false">P190/$K190</f>
        <v>1.51234521872072</v>
      </c>
      <c r="S190" s="4" t="n">
        <f aca="false">$T$2*$B190^$T$3*$L190^$T$4*($T$5*$I190^$T$6+$T$7)</f>
        <v>0.235408936025923</v>
      </c>
      <c r="T190" s="4" t="n">
        <f aca="false">S190/$K190</f>
        <v>1.56939290683949</v>
      </c>
      <c r="V190" s="4"/>
      <c r="W190" s="4"/>
    </row>
    <row r="191" customFormat="false" ht="14.25" hidden="false" customHeight="false" outlineLevel="0" collapsed="false">
      <c r="B191" s="2" t="n">
        <v>10</v>
      </c>
      <c r="C191" s="3" t="n">
        <v>528</v>
      </c>
      <c r="D191" s="3" t="n">
        <v>1</v>
      </c>
      <c r="E191" s="2" t="n">
        <v>45</v>
      </c>
      <c r="F191" s="4" t="n">
        <v>2.8</v>
      </c>
      <c r="G191" s="2" t="n">
        <v>40</v>
      </c>
      <c r="H191" s="2" t="n">
        <v>45</v>
      </c>
      <c r="I191" s="5" t="n">
        <v>0.00795980968315605</v>
      </c>
      <c r="J191" s="4" t="n">
        <v>199.548751960795</v>
      </c>
      <c r="K191" s="4" t="n">
        <v>0.16</v>
      </c>
      <c r="L191" s="6" t="n">
        <f aca="false">J191/200000</f>
        <v>0.000997743759803974</v>
      </c>
      <c r="P191" s="4" t="n">
        <f aca="false">$Q$2*($Q$3*$G191+$Q$4*$B191^$Q$5*$I191^$Q$6)*$L191^$Q$7</f>
        <v>0.250051355917544</v>
      </c>
      <c r="Q191" s="4" t="n">
        <f aca="false">P191/$K191</f>
        <v>1.56282097448465</v>
      </c>
      <c r="S191" s="4" t="n">
        <f aca="false">$T$2*$B191^$T$3*$L191^$T$4*($T$5*$I191^$T$6+$T$7)</f>
        <v>0.259966478328372</v>
      </c>
      <c r="T191" s="4" t="n">
        <f aca="false">S191/$K191</f>
        <v>1.62479048955233</v>
      </c>
      <c r="V191" s="4"/>
      <c r="W191" s="4"/>
    </row>
    <row r="192" customFormat="false" ht="14.25" hidden="false" customHeight="false" outlineLevel="0" collapsed="false">
      <c r="B192" s="2" t="n">
        <v>10</v>
      </c>
      <c r="C192" s="3" t="n">
        <v>528</v>
      </c>
      <c r="D192" s="3" t="n">
        <v>1</v>
      </c>
      <c r="E192" s="2" t="n">
        <v>45</v>
      </c>
      <c r="F192" s="4" t="n">
        <v>2.8</v>
      </c>
      <c r="G192" s="2" t="n">
        <v>40</v>
      </c>
      <c r="H192" s="2" t="n">
        <v>45</v>
      </c>
      <c r="I192" s="5" t="n">
        <v>0.00795980968315605</v>
      </c>
      <c r="J192" s="4" t="n">
        <v>230.496350632587</v>
      </c>
      <c r="K192" s="4" t="n">
        <v>0.18</v>
      </c>
      <c r="L192" s="6" t="n">
        <f aca="false">J192/200000</f>
        <v>0.00115248175316294</v>
      </c>
      <c r="P192" s="4" t="n">
        <f aca="false">$Q$2*($Q$3*$G192+$Q$4*$B192^$Q$5*$I192^$Q$6)*$L192^$Q$7</f>
        <v>0.282163358253641</v>
      </c>
      <c r="Q192" s="4" t="n">
        <f aca="false">P192/$K192</f>
        <v>1.56757421252023</v>
      </c>
      <c r="S192" s="4" t="n">
        <f aca="false">$T$2*$B192^$T$3*$L192^$T$4*($T$5*$I192^$T$6+$T$7)</f>
        <v>0.294029288701228</v>
      </c>
      <c r="T192" s="4" t="n">
        <f aca="false">S192/$K192</f>
        <v>1.63349604834016</v>
      </c>
      <c r="V192" s="4"/>
      <c r="W192" s="4"/>
    </row>
    <row r="193" customFormat="false" ht="14.25" hidden="false" customHeight="false" outlineLevel="0" collapsed="false">
      <c r="B193" s="2" t="n">
        <v>10</v>
      </c>
      <c r="C193" s="3" t="n">
        <v>528</v>
      </c>
      <c r="D193" s="3" t="n">
        <v>1</v>
      </c>
      <c r="E193" s="2" t="n">
        <v>45</v>
      </c>
      <c r="F193" s="4" t="n">
        <v>2.8</v>
      </c>
      <c r="G193" s="2" t="n">
        <v>40</v>
      </c>
      <c r="H193" s="2" t="n">
        <v>45</v>
      </c>
      <c r="I193" s="5" t="n">
        <v>0.00795980968315605</v>
      </c>
      <c r="J193" s="4" t="n">
        <v>248.612018147783</v>
      </c>
      <c r="K193" s="4" t="n">
        <v>0.18</v>
      </c>
      <c r="L193" s="6" t="n">
        <f aca="false">J193/200000</f>
        <v>0.00124306009073892</v>
      </c>
      <c r="P193" s="4" t="n">
        <f aca="false">$Q$2*($Q$3*$G193+$Q$4*$B193^$Q$5*$I193^$Q$6)*$L193^$Q$7</f>
        <v>0.300632324113939</v>
      </c>
      <c r="Q193" s="4" t="n">
        <f aca="false">P193/$K193</f>
        <v>1.67017957841077</v>
      </c>
      <c r="S193" s="4" t="n">
        <f aca="false">$T$2*$B193^$T$3*$L193^$T$4*($T$5*$I193^$T$6+$T$7)</f>
        <v>0.313654397668231</v>
      </c>
      <c r="T193" s="4" t="n">
        <f aca="false">S193/$K193</f>
        <v>1.74252443149017</v>
      </c>
      <c r="V193" s="4"/>
      <c r="W193" s="4"/>
    </row>
    <row r="194" customFormat="false" ht="14.25" hidden="false" customHeight="false" outlineLevel="0" collapsed="false">
      <c r="B194" s="2" t="n">
        <v>10</v>
      </c>
      <c r="C194" s="3" t="n">
        <v>528</v>
      </c>
      <c r="D194" s="3" t="n">
        <v>1</v>
      </c>
      <c r="E194" s="2" t="n">
        <v>45</v>
      </c>
      <c r="F194" s="4" t="n">
        <v>2.8</v>
      </c>
      <c r="G194" s="2" t="n">
        <v>40</v>
      </c>
      <c r="H194" s="2" t="n">
        <v>45</v>
      </c>
      <c r="I194" s="5" t="n">
        <v>0.00795980968315605</v>
      </c>
      <c r="J194" s="4" t="n">
        <v>265.972866183179</v>
      </c>
      <c r="K194" s="4" t="n">
        <v>0.19</v>
      </c>
      <c r="L194" s="6" t="n">
        <f aca="false">J194/200000</f>
        <v>0.0013298643309159</v>
      </c>
      <c r="P194" s="4" t="n">
        <f aca="false">$Q$2*($Q$3*$G194+$Q$4*$B194^$Q$5*$I194^$Q$6)*$L194^$Q$7</f>
        <v>0.318127947793885</v>
      </c>
      <c r="Q194" s="4" t="n">
        <f aca="false">P194/$K194</f>
        <v>1.67435761996782</v>
      </c>
      <c r="S194" s="4" t="n">
        <f aca="false">$T$2*$B194^$T$3*$L194^$T$4*($T$5*$I194^$T$6+$T$7)</f>
        <v>0.332266513265978</v>
      </c>
      <c r="T194" s="4" t="n">
        <f aca="false">S194/$K194</f>
        <v>1.74877112245252</v>
      </c>
      <c r="V194" s="4"/>
      <c r="W194" s="4"/>
    </row>
    <row r="195" customFormat="false" ht="14.25" hidden="false" customHeight="false" outlineLevel="0" collapsed="false">
      <c r="B195" s="2" t="n">
        <v>10</v>
      </c>
      <c r="C195" s="3" t="n">
        <v>528</v>
      </c>
      <c r="D195" s="3" t="n">
        <v>1</v>
      </c>
      <c r="E195" s="2" t="n">
        <v>45</v>
      </c>
      <c r="F195" s="4" t="n">
        <v>2.8</v>
      </c>
      <c r="G195" s="2" t="n">
        <v>40</v>
      </c>
      <c r="H195" s="2" t="n">
        <v>45</v>
      </c>
      <c r="I195" s="5" t="n">
        <v>0.00795980968315605</v>
      </c>
      <c r="J195" s="4" t="n">
        <v>284.843353178175</v>
      </c>
      <c r="K195" s="4" t="n">
        <v>0.2</v>
      </c>
      <c r="L195" s="6" t="n">
        <f aca="false">J195/200000</f>
        <v>0.00142421676589087</v>
      </c>
      <c r="P195" s="4" t="n">
        <f aca="false">$Q$2*($Q$3*$G195+$Q$4*$B195^$Q$5*$I195^$Q$6)*$L195^$Q$7</f>
        <v>0.336936485598128</v>
      </c>
      <c r="Q195" s="4" t="n">
        <f aca="false">P195/$K195</f>
        <v>1.68468242799064</v>
      </c>
      <c r="S195" s="4" t="n">
        <f aca="false">$T$2*$B195^$T$3*$L195^$T$4*($T$5*$I195^$T$6+$T$7)</f>
        <v>0.352297119251948</v>
      </c>
      <c r="T195" s="4" t="n">
        <f aca="false">S195/$K195</f>
        <v>1.76148559625974</v>
      </c>
      <c r="V195" s="4"/>
      <c r="W195" s="4"/>
    </row>
    <row r="196" customFormat="false" ht="14.25" hidden="false" customHeight="false" outlineLevel="0" collapsed="false">
      <c r="B196" s="2" t="n">
        <v>10</v>
      </c>
      <c r="C196" s="3" t="n">
        <v>528</v>
      </c>
      <c r="D196" s="3" t="n">
        <v>1</v>
      </c>
      <c r="E196" s="2" t="n">
        <v>45</v>
      </c>
      <c r="F196" s="4" t="n">
        <v>2.8</v>
      </c>
      <c r="G196" s="2" t="n">
        <v>40</v>
      </c>
      <c r="H196" s="2" t="n">
        <v>45</v>
      </c>
      <c r="I196" s="5" t="n">
        <v>0.00795980968315605</v>
      </c>
      <c r="J196" s="4" t="n">
        <v>309.752396011569</v>
      </c>
      <c r="K196" s="4" t="n">
        <v>0.22</v>
      </c>
      <c r="L196" s="6" t="n">
        <f aca="false">J196/200000</f>
        <v>0.00154876198005784</v>
      </c>
      <c r="P196" s="4" t="n">
        <f aca="false">$Q$2*($Q$3*$G196+$Q$4*$B196^$Q$5*$I196^$Q$6)*$L196^$Q$7</f>
        <v>0.361458494767456</v>
      </c>
      <c r="Q196" s="4" t="n">
        <f aca="false">P196/$K196</f>
        <v>1.64299315803389</v>
      </c>
      <c r="S196" s="4" t="n">
        <f aca="false">$T$2*$B196^$T$3*$L196^$T$4*($T$5*$I196^$T$6+$T$7)</f>
        <v>0.378444347872268</v>
      </c>
      <c r="T196" s="4" t="n">
        <f aca="false">S196/$K196</f>
        <v>1.72020158123758</v>
      </c>
      <c r="V196" s="4"/>
      <c r="W196" s="4"/>
    </row>
    <row r="197" customFormat="false" ht="14.25" hidden="false" customHeight="false" outlineLevel="0" collapsed="false">
      <c r="A197" s="1" t="s">
        <v>61</v>
      </c>
      <c r="B197" s="2" t="n">
        <v>20</v>
      </c>
      <c r="C197" s="3" t="n">
        <v>598</v>
      </c>
      <c r="D197" s="3" t="n">
        <v>1</v>
      </c>
      <c r="E197" s="2" t="n">
        <v>40</v>
      </c>
      <c r="F197" s="4" t="n">
        <v>2.8</v>
      </c>
      <c r="G197" s="2" t="n">
        <v>40</v>
      </c>
      <c r="H197" s="2" t="n">
        <v>50</v>
      </c>
      <c r="I197" s="5" t="n">
        <v>0.0372614852949054</v>
      </c>
      <c r="J197" s="4" t="n">
        <v>170.964442251315</v>
      </c>
      <c r="K197" s="4" t="n">
        <v>0.16</v>
      </c>
      <c r="L197" s="6" t="n">
        <f aca="false">J197/200000</f>
        <v>0.000854822211256574</v>
      </c>
      <c r="P197" s="4" t="n">
        <f aca="false">$Q$2*($Q$3*$G197+$Q$4*$B197^$Q$5*$I197^$Q$6)*$L197^$Q$7</f>
        <v>0.219620133479885</v>
      </c>
      <c r="Q197" s="4" t="n">
        <f aca="false">P197/$K197</f>
        <v>1.37262583424928</v>
      </c>
      <c r="S197" s="4" t="n">
        <f aca="false">$T$2*$B197^$T$3*$L197^$T$4*($T$5*$I197^$T$6+$T$7)</f>
        <v>0.212444343537323</v>
      </c>
      <c r="T197" s="4" t="n">
        <f aca="false">S197/$K197</f>
        <v>1.32777714710827</v>
      </c>
      <c r="V197" s="4"/>
      <c r="W197" s="4"/>
    </row>
    <row r="198" customFormat="false" ht="14.25" hidden="false" customHeight="false" outlineLevel="0" collapsed="false">
      <c r="B198" s="2" t="n">
        <v>20</v>
      </c>
      <c r="C198" s="3" t="n">
        <v>598</v>
      </c>
      <c r="D198" s="3" t="n">
        <v>1</v>
      </c>
      <c r="E198" s="2" t="n">
        <v>40</v>
      </c>
      <c r="F198" s="4" t="n">
        <v>2.8</v>
      </c>
      <c r="G198" s="2" t="n">
        <v>40</v>
      </c>
      <c r="H198" s="2" t="n">
        <v>50</v>
      </c>
      <c r="I198" s="5" t="n">
        <v>0.0372614852949054</v>
      </c>
      <c r="J198" s="4" t="n">
        <v>212.368287210888</v>
      </c>
      <c r="K198" s="4" t="n">
        <v>0.2</v>
      </c>
      <c r="L198" s="6" t="n">
        <f aca="false">J198/200000</f>
        <v>0.00106184143605444</v>
      </c>
      <c r="P198" s="4" t="n">
        <f aca="false">$Q$2*($Q$3*$G198+$Q$4*$B198^$Q$5*$I198^$Q$6)*$L198^$Q$7</f>
        <v>0.263389364681715</v>
      </c>
      <c r="Q198" s="4" t="n">
        <f aca="false">P198/$K198</f>
        <v>1.31694682340857</v>
      </c>
      <c r="S198" s="4" t="n">
        <f aca="false">$T$2*$B198^$T$3*$L198^$T$4*($T$5*$I198^$T$6+$T$7)</f>
        <v>0.255669073550516</v>
      </c>
      <c r="T198" s="4" t="n">
        <f aca="false">S198/$K198</f>
        <v>1.27834536775258</v>
      </c>
      <c r="V198" s="4"/>
      <c r="W198" s="4"/>
    </row>
    <row r="199" customFormat="false" ht="14.25" hidden="false" customHeight="false" outlineLevel="0" collapsed="false">
      <c r="B199" s="2" t="n">
        <v>20</v>
      </c>
      <c r="C199" s="3" t="n">
        <v>598</v>
      </c>
      <c r="D199" s="3" t="n">
        <v>1</v>
      </c>
      <c r="E199" s="2" t="n">
        <v>40</v>
      </c>
      <c r="F199" s="4" t="n">
        <v>2.8</v>
      </c>
      <c r="G199" s="2" t="n">
        <v>40</v>
      </c>
      <c r="H199" s="2" t="n">
        <v>50</v>
      </c>
      <c r="I199" s="5" t="n">
        <v>0.0372614852949054</v>
      </c>
      <c r="J199" s="4" t="n">
        <v>253.631780153648</v>
      </c>
      <c r="K199" s="4" t="n">
        <v>0.23</v>
      </c>
      <c r="L199" s="6" t="n">
        <f aca="false">J199/200000</f>
        <v>0.00126815890076824</v>
      </c>
      <c r="P199" s="4" t="n">
        <f aca="false">$Q$2*($Q$3*$G199+$Q$4*$B199^$Q$5*$I199^$Q$6)*$L199^$Q$7</f>
        <v>0.305646742336579</v>
      </c>
      <c r="Q199" s="4" t="n">
        <f aca="false">P199/$K199</f>
        <v>1.32889887972426</v>
      </c>
      <c r="S199" s="4" t="n">
        <f aca="false">$T$2*$B199^$T$3*$L199^$T$4*($T$5*$I199^$T$6+$T$7)</f>
        <v>0.297531915609505</v>
      </c>
      <c r="T199" s="4" t="n">
        <f aca="false">S199/$K199</f>
        <v>1.29361702438915</v>
      </c>
      <c r="V199" s="4"/>
      <c r="W199" s="4"/>
    </row>
    <row r="200" customFormat="false" ht="14.25" hidden="false" customHeight="false" outlineLevel="0" collapsed="false">
      <c r="A200" s="1" t="s">
        <v>62</v>
      </c>
      <c r="B200" s="2" t="n">
        <v>20</v>
      </c>
      <c r="C200" s="3" t="n">
        <v>598</v>
      </c>
      <c r="D200" s="3" t="n">
        <v>1</v>
      </c>
      <c r="E200" s="2" t="n">
        <v>40</v>
      </c>
      <c r="F200" s="4" t="n">
        <v>2.8</v>
      </c>
      <c r="G200" s="2" t="n">
        <v>40</v>
      </c>
      <c r="H200" s="2" t="n">
        <v>50</v>
      </c>
      <c r="I200" s="5" t="n">
        <v>0.0372614852949054</v>
      </c>
      <c r="J200" s="4" t="n">
        <v>179.908223573754</v>
      </c>
      <c r="K200" s="4" t="n">
        <v>0.14</v>
      </c>
      <c r="L200" s="6" t="n">
        <f aca="false">J200/200000</f>
        <v>0.000899541117868771</v>
      </c>
      <c r="P200" s="4" t="n">
        <f aca="false">$Q$2*($Q$3*$G200+$Q$4*$B200^$Q$5*$I200^$Q$6)*$L200^$Q$7</f>
        <v>0.229208039667994</v>
      </c>
      <c r="Q200" s="4" t="n">
        <f aca="false">P200/$K200</f>
        <v>1.63720028334281</v>
      </c>
      <c r="S200" s="4" t="n">
        <f aca="false">$T$2*$B200^$T$3*$L200^$T$4*($T$5*$I200^$T$6+$T$7)</f>
        <v>0.221899943378269</v>
      </c>
      <c r="T200" s="4" t="n">
        <f aca="false">S200/$K200</f>
        <v>1.58499959555906</v>
      </c>
      <c r="V200" s="4"/>
      <c r="W200" s="4"/>
    </row>
    <row r="201" customFormat="false" ht="14.25" hidden="false" customHeight="false" outlineLevel="0" collapsed="false">
      <c r="B201" s="2" t="n">
        <v>20</v>
      </c>
      <c r="C201" s="3" t="n">
        <v>598</v>
      </c>
      <c r="D201" s="3" t="n">
        <v>1</v>
      </c>
      <c r="E201" s="2" t="n">
        <v>40</v>
      </c>
      <c r="F201" s="4" t="n">
        <v>2.8</v>
      </c>
      <c r="G201" s="2" t="n">
        <v>40</v>
      </c>
      <c r="H201" s="2" t="n">
        <v>50</v>
      </c>
      <c r="I201" s="5" t="n">
        <v>0.0372614852949054</v>
      </c>
      <c r="J201" s="4" t="n">
        <v>219.748154934931</v>
      </c>
      <c r="K201" s="4" t="n">
        <v>0.17</v>
      </c>
      <c r="L201" s="6" t="n">
        <f aca="false">J201/200000</f>
        <v>0.00109874077467466</v>
      </c>
      <c r="P201" s="4" t="n">
        <f aca="false">$Q$2*($Q$3*$G201+$Q$4*$B201^$Q$5*$I201^$Q$6)*$L201^$Q$7</f>
        <v>0.271038162791773</v>
      </c>
      <c r="Q201" s="4" t="n">
        <f aca="false">P201/$K201</f>
        <v>1.59434213406925</v>
      </c>
      <c r="S201" s="4" t="n">
        <f aca="false">$T$2*$B201^$T$3*$L201^$T$4*($T$5*$I201^$T$6+$T$7)</f>
        <v>0.263237511752247</v>
      </c>
      <c r="T201" s="4" t="n">
        <f aca="false">S201/$K201</f>
        <v>1.54845595148381</v>
      </c>
      <c r="V201" s="4"/>
      <c r="W201" s="4"/>
    </row>
    <row r="202" customFormat="false" ht="14.25" hidden="false" customHeight="false" outlineLevel="0" collapsed="false">
      <c r="B202" s="2" t="n">
        <v>20</v>
      </c>
      <c r="C202" s="3" t="n">
        <v>598</v>
      </c>
      <c r="D202" s="3" t="n">
        <v>1</v>
      </c>
      <c r="E202" s="2" t="n">
        <v>40</v>
      </c>
      <c r="F202" s="4" t="n">
        <v>2.8</v>
      </c>
      <c r="G202" s="2" t="n">
        <v>40</v>
      </c>
      <c r="H202" s="2" t="n">
        <v>50</v>
      </c>
      <c r="I202" s="5" t="n">
        <v>0.0372614852949054</v>
      </c>
      <c r="J202" s="4" t="n">
        <v>259.219176711577</v>
      </c>
      <c r="K202" s="4" t="n">
        <v>0.21</v>
      </c>
      <c r="L202" s="6" t="n">
        <f aca="false">J202/200000</f>
        <v>0.00129609588355789</v>
      </c>
      <c r="P202" s="4" t="n">
        <f aca="false">$Q$2*($Q$3*$G202+$Q$4*$B202^$Q$5*$I202^$Q$6)*$L202^$Q$7</f>
        <v>0.311279233481409</v>
      </c>
      <c r="Q202" s="4" t="n">
        <f aca="false">P202/$K202</f>
        <v>1.48228206419719</v>
      </c>
      <c r="S202" s="4" t="n">
        <f aca="false">$T$2*$B202^$T$3*$L202^$T$4*($T$5*$I202^$T$6+$T$7)</f>
        <v>0.303120529386212</v>
      </c>
      <c r="T202" s="4" t="n">
        <f aca="false">S202/$K202</f>
        <v>1.4434310923153</v>
      </c>
      <c r="V202" s="4"/>
      <c r="W202" s="4"/>
    </row>
    <row r="203" customFormat="false" ht="14.25" hidden="false" customHeight="false" outlineLevel="0" collapsed="false">
      <c r="A203" s="1" t="s">
        <v>63</v>
      </c>
      <c r="B203" s="2" t="n">
        <v>20</v>
      </c>
      <c r="C203" s="3" t="n">
        <v>598</v>
      </c>
      <c r="D203" s="3" t="n">
        <v>1</v>
      </c>
      <c r="E203" s="2" t="n">
        <v>40</v>
      </c>
      <c r="F203" s="4" t="n">
        <v>2.8</v>
      </c>
      <c r="G203" s="2" t="n">
        <v>40</v>
      </c>
      <c r="H203" s="2" t="n">
        <v>50</v>
      </c>
      <c r="I203" s="5" t="n">
        <v>0.0372614852949054</v>
      </c>
      <c r="J203" s="4" t="n">
        <v>97.0489020030382</v>
      </c>
      <c r="K203" s="4" t="n">
        <v>0.21</v>
      </c>
      <c r="L203" s="6" t="n">
        <f aca="false">J203/200000</f>
        <v>0.000485244510015191</v>
      </c>
      <c r="P203" s="4" t="n">
        <f aca="false">$Q$2*($Q$3*$G203+$Q$4*$B203^$Q$5*$I203^$Q$6)*$L203^$Q$7</f>
        <v>0.136645470620531</v>
      </c>
      <c r="Q203" s="4" t="n">
        <f aca="false">P203/$K203</f>
        <v>0.650692717240623</v>
      </c>
      <c r="S203" s="4" t="n">
        <f aca="false">$T$2*$B203^$T$3*$L203^$T$4*($T$5*$I203^$T$6+$T$7)</f>
        <v>0.130988635790245</v>
      </c>
      <c r="T203" s="4" t="n">
        <f aca="false">S203/$K203</f>
        <v>0.623755408524976</v>
      </c>
      <c r="V203" s="4"/>
      <c r="W203" s="4"/>
    </row>
    <row r="204" customFormat="false" ht="14.25" hidden="false" customHeight="false" outlineLevel="0" collapsed="false">
      <c r="B204" s="2" t="n">
        <v>20</v>
      </c>
      <c r="C204" s="3" t="n">
        <v>598</v>
      </c>
      <c r="D204" s="3" t="n">
        <v>1</v>
      </c>
      <c r="E204" s="2" t="n">
        <v>40</v>
      </c>
      <c r="F204" s="4" t="n">
        <v>2.8</v>
      </c>
      <c r="G204" s="2" t="n">
        <v>40</v>
      </c>
      <c r="H204" s="2" t="n">
        <v>50</v>
      </c>
      <c r="I204" s="5" t="n">
        <v>0.0372614852949054</v>
      </c>
      <c r="J204" s="4" t="n">
        <v>133.076664271053</v>
      </c>
      <c r="K204" s="4" t="n">
        <v>0.25</v>
      </c>
      <c r="L204" s="6" t="n">
        <f aca="false">J204/200000</f>
        <v>0.000665383321355267</v>
      </c>
      <c r="P204" s="4" t="n">
        <f aca="false">$Q$2*($Q$3*$G204+$Q$4*$B204^$Q$5*$I204^$Q$6)*$L204^$Q$7</f>
        <v>0.178030533538369</v>
      </c>
      <c r="Q204" s="4" t="n">
        <f aca="false">P204/$K204</f>
        <v>0.712122134153477</v>
      </c>
      <c r="S204" s="4" t="n">
        <f aca="false">$T$2*$B204^$T$3*$L204^$T$4*($T$5*$I204^$T$6+$T$7)</f>
        <v>0.171524693610536</v>
      </c>
      <c r="T204" s="4" t="n">
        <f aca="false">S204/$K204</f>
        <v>0.686098774442143</v>
      </c>
      <c r="V204" s="4"/>
      <c r="W204" s="4"/>
    </row>
    <row r="205" customFormat="false" ht="14.25" hidden="false" customHeight="false" outlineLevel="0" collapsed="false">
      <c r="B205" s="2" t="n">
        <v>20</v>
      </c>
      <c r="C205" s="3" t="n">
        <v>598</v>
      </c>
      <c r="D205" s="3" t="n">
        <v>1</v>
      </c>
      <c r="E205" s="2" t="n">
        <v>40</v>
      </c>
      <c r="F205" s="4" t="n">
        <v>2.8</v>
      </c>
      <c r="G205" s="2" t="n">
        <v>40</v>
      </c>
      <c r="H205" s="2" t="n">
        <v>50</v>
      </c>
      <c r="I205" s="5" t="n">
        <v>0.0372614852949054</v>
      </c>
      <c r="J205" s="4" t="n">
        <v>170.262682167254</v>
      </c>
      <c r="K205" s="4" t="n">
        <v>0.29</v>
      </c>
      <c r="L205" s="6" t="n">
        <f aca="false">J205/200000</f>
        <v>0.000851313410836272</v>
      </c>
      <c r="P205" s="4" t="n">
        <f aca="false">$Q$2*($Q$3*$G205+$Q$4*$B205^$Q$5*$I205^$Q$6)*$L205^$Q$7</f>
        <v>0.218864443542899</v>
      </c>
      <c r="Q205" s="4" t="n">
        <f aca="false">P205/$K205</f>
        <v>0.754704977734133</v>
      </c>
      <c r="S205" s="4" t="n">
        <f aca="false">$T$2*$B205^$T$3*$L205^$T$4*($T$5*$I205^$T$6+$T$7)</f>
        <v>0.211699412224752</v>
      </c>
      <c r="T205" s="4" t="n">
        <f aca="false">S205/$K205</f>
        <v>0.7299979731888</v>
      </c>
      <c r="V205" s="4"/>
      <c r="W205" s="4"/>
    </row>
    <row r="206" customFormat="false" ht="14.25" hidden="false" customHeight="false" outlineLevel="0" collapsed="false">
      <c r="B206" s="2" t="n">
        <v>20</v>
      </c>
      <c r="C206" s="3" t="n">
        <v>598</v>
      </c>
      <c r="D206" s="3" t="n">
        <v>1</v>
      </c>
      <c r="E206" s="2" t="n">
        <v>40</v>
      </c>
      <c r="F206" s="4" t="n">
        <v>2.8</v>
      </c>
      <c r="G206" s="2" t="n">
        <v>40</v>
      </c>
      <c r="H206" s="2" t="n">
        <v>50</v>
      </c>
      <c r="I206" s="5" t="n">
        <v>0.0372614852949054</v>
      </c>
      <c r="J206" s="4" t="n">
        <v>210.684063009142</v>
      </c>
      <c r="K206" s="4" t="n">
        <v>0.33</v>
      </c>
      <c r="L206" s="6" t="n">
        <f aca="false">J206/200000</f>
        <v>0.00105342031504571</v>
      </c>
      <c r="P206" s="4" t="n">
        <f aca="false">$Q$2*($Q$3*$G206+$Q$4*$B206^$Q$5*$I206^$Q$6)*$L206^$Q$7</f>
        <v>0.261637775527333</v>
      </c>
      <c r="Q206" s="4" t="n">
        <f aca="false">P206/$K206</f>
        <v>0.79284174402222</v>
      </c>
      <c r="S206" s="4" t="n">
        <f aca="false">$T$2*$B206^$T$3*$L206^$T$4*($T$5*$I206^$T$6+$T$7)</f>
        <v>0.253936473073228</v>
      </c>
      <c r="T206" s="4" t="n">
        <f aca="false">S206/$K206</f>
        <v>0.769504463858266</v>
      </c>
      <c r="V206" s="4"/>
      <c r="W206" s="4"/>
    </row>
    <row r="207" customFormat="false" ht="14.25" hidden="false" customHeight="false" outlineLevel="0" collapsed="false">
      <c r="B207" s="2" t="n">
        <v>20</v>
      </c>
      <c r="C207" s="3" t="n">
        <v>598</v>
      </c>
      <c r="D207" s="3" t="n">
        <v>1</v>
      </c>
      <c r="E207" s="2" t="n">
        <v>40</v>
      </c>
      <c r="F207" s="4" t="n">
        <v>2.8</v>
      </c>
      <c r="G207" s="2" t="n">
        <v>40</v>
      </c>
      <c r="H207" s="2" t="n">
        <v>50</v>
      </c>
      <c r="I207" s="5" t="n">
        <v>0.0372614852949054</v>
      </c>
      <c r="J207" s="4" t="n">
        <v>267.807333851671</v>
      </c>
      <c r="K207" s="4" t="n">
        <v>0.37</v>
      </c>
      <c r="L207" s="6" t="n">
        <f aca="false">J207/200000</f>
        <v>0.00133903666925836</v>
      </c>
      <c r="P207" s="4" t="n">
        <f aca="false">$Q$2*($Q$3*$G207+$Q$4*$B207^$Q$5*$I207^$Q$6)*$L207^$Q$7</f>
        <v>0.319898587444325</v>
      </c>
      <c r="Q207" s="4" t="n">
        <f aca="false">P207/$K207</f>
        <v>0.864590776876554</v>
      </c>
      <c r="S207" s="4" t="n">
        <f aca="false">$T$2*$B207^$T$3*$L207^$T$4*($T$5*$I207^$T$6+$T$7)</f>
        <v>0.311676465506749</v>
      </c>
      <c r="T207" s="4" t="n">
        <f aca="false">S207/$K207</f>
        <v>0.842368825693915</v>
      </c>
      <c r="V207" s="4"/>
      <c r="W207" s="4"/>
    </row>
    <row r="208" customFormat="false" ht="14.25" hidden="false" customHeight="false" outlineLevel="0" collapsed="false">
      <c r="A208" s="1" t="s">
        <v>64</v>
      </c>
      <c r="B208" s="2" t="n">
        <v>20</v>
      </c>
      <c r="C208" s="3" t="n">
        <v>430</v>
      </c>
      <c r="D208" s="3" t="n">
        <v>6</v>
      </c>
      <c r="E208" s="2" t="n">
        <v>84</v>
      </c>
      <c r="F208" s="4" t="n">
        <v>3.50882128585544</v>
      </c>
      <c r="G208" s="2" t="n">
        <v>50</v>
      </c>
      <c r="H208" s="2" t="n">
        <v>64</v>
      </c>
      <c r="I208" s="5" t="n">
        <v>0.0310124488946994</v>
      </c>
      <c r="J208" s="4" t="n">
        <v>99.0485485987829</v>
      </c>
      <c r="K208" s="4" t="n">
        <v>0.15</v>
      </c>
      <c r="L208" s="6" t="n">
        <f aca="false">J208/200000</f>
        <v>0.000495242742993915</v>
      </c>
      <c r="P208" s="4" t="n">
        <f aca="false">$Q$2*($Q$3*$G208+$Q$4*$B208^$Q$5*$I208^$Q$6)*$L208^$Q$7</f>
        <v>0.152423435565229</v>
      </c>
      <c r="Q208" s="4" t="n">
        <f aca="false">P208/$K208</f>
        <v>1.01615623710152</v>
      </c>
      <c r="S208" s="4" t="n">
        <f aca="false">$T$2*$B208^$T$3*$L208^$T$4*($T$5*$I208^$T$6+$T$7)</f>
        <v>0.146364255287695</v>
      </c>
      <c r="T208" s="4" t="n">
        <f aca="false">S208/$K208</f>
        <v>0.975761701917967</v>
      </c>
      <c r="V208" s="4"/>
      <c r="W208" s="4"/>
    </row>
    <row r="209" customFormat="false" ht="14.25" hidden="false" customHeight="false" outlineLevel="0" collapsed="false">
      <c r="B209" s="2" t="n">
        <v>20</v>
      </c>
      <c r="C209" s="3" t="n">
        <v>430</v>
      </c>
      <c r="D209" s="3" t="n">
        <v>6</v>
      </c>
      <c r="E209" s="2" t="n">
        <v>84</v>
      </c>
      <c r="F209" s="4" t="n">
        <v>3.50882128585544</v>
      </c>
      <c r="G209" s="2" t="n">
        <v>50</v>
      </c>
      <c r="H209" s="2" t="n">
        <v>64</v>
      </c>
      <c r="I209" s="5" t="n">
        <v>0.0310124488946994</v>
      </c>
      <c r="J209" s="4" t="n">
        <v>151.418293656062</v>
      </c>
      <c r="K209" s="4" t="n">
        <v>0.23</v>
      </c>
      <c r="L209" s="6" t="n">
        <f aca="false">J209/200000</f>
        <v>0.000757091468280308</v>
      </c>
      <c r="P209" s="4" t="n">
        <f aca="false">$Q$2*($Q$3*$G209+$Q$4*$B209^$Q$5*$I209^$Q$6)*$L209^$Q$7</f>
        <v>0.217530661465276</v>
      </c>
      <c r="Q209" s="4" t="n">
        <f aca="false">P209/$K209</f>
        <v>0.945785484631634</v>
      </c>
      <c r="S209" s="4" t="n">
        <f aca="false">$T$2*$B209^$T$3*$L209^$T$4*($T$5*$I209^$T$6+$T$7)</f>
        <v>0.210306669261351</v>
      </c>
      <c r="T209" s="4" t="n">
        <f aca="false">S209/$K209</f>
        <v>0.914376822875439</v>
      </c>
      <c r="V209" s="4"/>
      <c r="W209" s="4"/>
    </row>
    <row r="210" customFormat="false" ht="14.25" hidden="false" customHeight="false" outlineLevel="0" collapsed="false">
      <c r="B210" s="2" t="n">
        <v>20</v>
      </c>
      <c r="C210" s="3" t="n">
        <v>430</v>
      </c>
      <c r="D210" s="3" t="n">
        <v>6</v>
      </c>
      <c r="E210" s="2" t="n">
        <v>84</v>
      </c>
      <c r="F210" s="4" t="n">
        <v>3.50882128585544</v>
      </c>
      <c r="G210" s="2" t="n">
        <v>50</v>
      </c>
      <c r="H210" s="2" t="n">
        <v>64</v>
      </c>
      <c r="I210" s="5" t="n">
        <v>0.0310124488946994</v>
      </c>
      <c r="J210" s="4" t="n">
        <v>209.092094228452</v>
      </c>
      <c r="K210" s="4" t="n">
        <v>0.28</v>
      </c>
      <c r="L210" s="6" t="n">
        <f aca="false">J210/200000</f>
        <v>0.00104546047114226</v>
      </c>
      <c r="P210" s="4" t="n">
        <f aca="false">$Q$2*($Q$3*$G210+$Q$4*$B210^$Q$5*$I210^$Q$6)*$L210^$Q$7</f>
        <v>0.28508472241092</v>
      </c>
      <c r="Q210" s="4" t="n">
        <f aca="false">P210/$K210</f>
        <v>1.01815972289614</v>
      </c>
      <c r="S210" s="4" t="n">
        <f aca="false">$T$2*$B210^$T$3*$L210^$T$4*($T$5*$I210^$T$6+$T$7)</f>
        <v>0.277044196687078</v>
      </c>
      <c r="T210" s="4" t="n">
        <f aca="false">S210/$K210</f>
        <v>0.989443559596706</v>
      </c>
      <c r="V210" s="4"/>
      <c r="W210" s="4"/>
    </row>
    <row r="211" customFormat="false" ht="14.25" hidden="false" customHeight="false" outlineLevel="0" collapsed="false">
      <c r="A211" s="1" t="s">
        <v>65</v>
      </c>
      <c r="B211" s="2" t="n">
        <v>20</v>
      </c>
      <c r="C211" s="3" t="n">
        <v>430</v>
      </c>
      <c r="D211" s="3" t="n">
        <v>9</v>
      </c>
      <c r="E211" s="2" t="n">
        <v>45</v>
      </c>
      <c r="F211" s="4" t="n">
        <v>3.50882128585544</v>
      </c>
      <c r="G211" s="2" t="n">
        <v>50</v>
      </c>
      <c r="H211" s="2" t="n">
        <v>64</v>
      </c>
      <c r="I211" s="5" t="n">
        <v>0.0493280379637779</v>
      </c>
      <c r="J211" s="4" t="n">
        <v>121.206056256298</v>
      </c>
      <c r="K211" s="4" t="n">
        <v>0.18</v>
      </c>
      <c r="L211" s="6" t="n">
        <f aca="false">J211/200000</f>
        <v>0.000606030281281491</v>
      </c>
      <c r="P211" s="4" t="n">
        <f aca="false">$Q$2*($Q$3*$G211+$Q$4*$B211^$Q$5*$I211^$Q$6)*$L211^$Q$7</f>
        <v>0.143860003544479</v>
      </c>
      <c r="Q211" s="4" t="n">
        <f aca="false">P211/$K211</f>
        <v>0.799222241913771</v>
      </c>
      <c r="S211" s="4" t="n">
        <f aca="false">$T$2*$B211^$T$3*$L211^$T$4*($T$5*$I211^$T$6+$T$7)</f>
        <v>0.138106632787361</v>
      </c>
      <c r="T211" s="4" t="n">
        <f aca="false">S211/$K211</f>
        <v>0.767259071040897</v>
      </c>
      <c r="V211" s="4"/>
      <c r="W211" s="4"/>
    </row>
    <row r="212" customFormat="false" ht="14.25" hidden="false" customHeight="false" outlineLevel="0" collapsed="false">
      <c r="B212" s="2" t="n">
        <v>20</v>
      </c>
      <c r="C212" s="3" t="n">
        <v>430</v>
      </c>
      <c r="D212" s="3" t="n">
        <v>9</v>
      </c>
      <c r="E212" s="2" t="n">
        <v>45</v>
      </c>
      <c r="F212" s="4" t="n">
        <v>3.50882128585544</v>
      </c>
      <c r="G212" s="2" t="n">
        <v>50</v>
      </c>
      <c r="H212" s="2" t="n">
        <v>64</v>
      </c>
      <c r="I212" s="5" t="n">
        <v>0.0493280379637779</v>
      </c>
      <c r="J212" s="4" t="n">
        <v>169.06520538521</v>
      </c>
      <c r="K212" s="4" t="n">
        <v>0.26</v>
      </c>
      <c r="L212" s="6" t="n">
        <f aca="false">J212/200000</f>
        <v>0.000845326026926048</v>
      </c>
      <c r="P212" s="4" t="n">
        <f aca="false">$Q$2*($Q$3*$G212+$Q$4*$B212^$Q$5*$I212^$Q$6)*$L212^$Q$7</f>
        <v>0.190132402581312</v>
      </c>
      <c r="Q212" s="4" t="n">
        <f aca="false">P212/$K212</f>
        <v>0.731278471466586</v>
      </c>
      <c r="S212" s="4" t="n">
        <f aca="false">$T$2*$B212^$T$3*$L212^$T$4*($T$5*$I212^$T$6+$T$7)</f>
        <v>0.183502964576213</v>
      </c>
      <c r="T212" s="4" t="n">
        <f aca="false">S212/$K212</f>
        <v>0.705780632985435</v>
      </c>
      <c r="V212" s="4"/>
      <c r="W212" s="4"/>
    </row>
    <row r="213" customFormat="false" ht="14.25" hidden="false" customHeight="false" outlineLevel="0" collapsed="false">
      <c r="B213" s="2" t="n">
        <v>20</v>
      </c>
      <c r="C213" s="3" t="n">
        <v>430</v>
      </c>
      <c r="D213" s="3" t="n">
        <v>9</v>
      </c>
      <c r="E213" s="2" t="n">
        <v>45</v>
      </c>
      <c r="F213" s="4" t="n">
        <v>3.50882128585544</v>
      </c>
      <c r="G213" s="2" t="n">
        <v>50</v>
      </c>
      <c r="H213" s="2" t="n">
        <v>64</v>
      </c>
      <c r="I213" s="5" t="n">
        <v>0.0493280379637779</v>
      </c>
      <c r="J213" s="4" t="n">
        <v>221.141260100343</v>
      </c>
      <c r="K213" s="4" t="n">
        <v>0.34</v>
      </c>
      <c r="L213" s="6" t="n">
        <f aca="false">J213/200000</f>
        <v>0.00110570630050172</v>
      </c>
      <c r="P213" s="4" t="n">
        <f aca="false">$Q$2*($Q$3*$G213+$Q$4*$B213^$Q$5*$I213^$Q$6)*$L213^$Q$7</f>
        <v>0.238111275591184</v>
      </c>
      <c r="Q213" s="4" t="n">
        <f aca="false">P213/$K213</f>
        <v>0.70032728115054</v>
      </c>
      <c r="S213" s="4" t="n">
        <f aca="false">$T$2*$B213^$T$3*$L213^$T$4*($T$5*$I213^$T$6+$T$7)</f>
        <v>0.230798381543651</v>
      </c>
      <c r="T213" s="4" t="n">
        <f aca="false">S213/$K213</f>
        <v>0.678818769246033</v>
      </c>
      <c r="V213" s="4"/>
      <c r="W213" s="4"/>
    </row>
    <row r="214" customFormat="false" ht="14.25" hidden="false" customHeight="false" outlineLevel="0" collapsed="false">
      <c r="A214" s="1" t="s">
        <v>66</v>
      </c>
      <c r="B214" s="2" t="n">
        <v>16</v>
      </c>
      <c r="C214" s="3" t="n">
        <v>528</v>
      </c>
      <c r="D214" s="3" t="n">
        <v>2</v>
      </c>
      <c r="E214" s="2" t="n">
        <v>52</v>
      </c>
      <c r="F214" s="4" t="n">
        <v>3.42</v>
      </c>
      <c r="G214" s="2" t="n">
        <v>27</v>
      </c>
      <c r="H214" s="2" t="n">
        <v>35</v>
      </c>
      <c r="I214" s="5" t="n">
        <v>0.0486801935635287</v>
      </c>
      <c r="J214" s="4" t="n">
        <v>187.083121323035</v>
      </c>
      <c r="K214" s="4" t="n">
        <v>0.15</v>
      </c>
      <c r="L214" s="6" t="n">
        <f aca="false">J214/200000</f>
        <v>0.000935415606615177</v>
      </c>
      <c r="P214" s="4" t="n">
        <f aca="false">$Q$2*($Q$3*$G214+$Q$4*$B214^$Q$5*$I214^$Q$6)*$L214^$Q$7</f>
        <v>0.162234148720283</v>
      </c>
      <c r="Q214" s="4" t="n">
        <f aca="false">P214/$K214</f>
        <v>1.08156099146855</v>
      </c>
      <c r="S214" s="4" t="n">
        <f aca="false">$T$2*$B214^$T$3*$L214^$T$4*($T$5*$I214^$T$6+$T$7)</f>
        <v>0.15583919049189</v>
      </c>
      <c r="T214" s="4" t="n">
        <f aca="false">S214/$K214</f>
        <v>1.0389279366126</v>
      </c>
      <c r="V214" s="4"/>
      <c r="W214" s="4"/>
    </row>
    <row r="215" customFormat="false" ht="14.25" hidden="false" customHeight="false" outlineLevel="0" collapsed="false">
      <c r="B215" s="2" t="n">
        <v>16</v>
      </c>
      <c r="C215" s="3" t="n">
        <v>528</v>
      </c>
      <c r="D215" s="3" t="n">
        <v>2</v>
      </c>
      <c r="E215" s="2" t="n">
        <v>52</v>
      </c>
      <c r="F215" s="4" t="n">
        <v>3.42</v>
      </c>
      <c r="G215" s="2" t="n">
        <v>27</v>
      </c>
      <c r="H215" s="2" t="n">
        <v>35</v>
      </c>
      <c r="I215" s="5" t="n">
        <v>0.0486801935635287</v>
      </c>
      <c r="J215" s="4" t="n">
        <v>284.065409018002</v>
      </c>
      <c r="K215" s="4" t="n">
        <v>0.19</v>
      </c>
      <c r="L215" s="6" t="n">
        <f aca="false">J215/200000</f>
        <v>0.00142032704509001</v>
      </c>
      <c r="P215" s="4" t="n">
        <f aca="false">$Q$2*($Q$3*$G215+$Q$4*$B215^$Q$5*$I215^$Q$6)*$L215^$Q$7</f>
        <v>0.230219365592436</v>
      </c>
      <c r="Q215" s="4" t="n">
        <f aca="false">P215/$K215</f>
        <v>1.21168087153913</v>
      </c>
      <c r="S215" s="4" t="n">
        <f aca="false">$T$2*$B215^$T$3*$L215^$T$4*($T$5*$I215^$T$6+$T$7)</f>
        <v>0.222627291172246</v>
      </c>
      <c r="T215" s="4" t="n">
        <f aca="false">S215/$K215</f>
        <v>1.17172258511708</v>
      </c>
      <c r="V215" s="4"/>
      <c r="W215" s="4"/>
    </row>
    <row r="216" customFormat="false" ht="14.25" hidden="false" customHeight="false" outlineLevel="0" collapsed="false">
      <c r="B216" s="2" t="n">
        <v>16</v>
      </c>
      <c r="C216" s="3" t="n">
        <v>528</v>
      </c>
      <c r="D216" s="3" t="n">
        <v>2</v>
      </c>
      <c r="E216" s="2" t="n">
        <v>52</v>
      </c>
      <c r="F216" s="4" t="n">
        <v>3.42</v>
      </c>
      <c r="G216" s="2" t="n">
        <v>27</v>
      </c>
      <c r="H216" s="2" t="n">
        <v>35</v>
      </c>
      <c r="I216" s="5" t="n">
        <v>0.0486801935635287</v>
      </c>
      <c r="J216" s="4" t="n">
        <v>342.254781634983</v>
      </c>
      <c r="K216" s="4" t="n">
        <v>0.22</v>
      </c>
      <c r="L216" s="6" t="n">
        <f aca="false">J216/200000</f>
        <v>0.00171127390817491</v>
      </c>
      <c r="P216" s="4" t="n">
        <f aca="false">$Q$2*($Q$3*$G216+$Q$4*$B216^$Q$5*$I216^$Q$6)*$L216^$Q$7</f>
        <v>0.269130039373751</v>
      </c>
      <c r="Q216" s="4" t="n">
        <f aca="false">P216/$K216</f>
        <v>1.22331836078978</v>
      </c>
      <c r="S216" s="4" t="n">
        <f aca="false">$T$2*$B216^$T$3*$L216^$T$4*($T$5*$I216^$T$6+$T$7)</f>
        <v>0.261031923069683</v>
      </c>
      <c r="T216" s="4" t="n">
        <f aca="false">S216/$K216</f>
        <v>1.18650874122583</v>
      </c>
      <c r="V216" s="4"/>
      <c r="W216" s="4"/>
    </row>
    <row r="217" customFormat="false" ht="14.25" hidden="false" customHeight="false" outlineLevel="0" collapsed="false">
      <c r="B217" s="2" t="n">
        <v>16</v>
      </c>
      <c r="C217" s="3" t="n">
        <v>528</v>
      </c>
      <c r="D217" s="3" t="n">
        <v>2</v>
      </c>
      <c r="E217" s="2" t="n">
        <v>52</v>
      </c>
      <c r="F217" s="4" t="n">
        <v>3.42</v>
      </c>
      <c r="G217" s="2" t="n">
        <v>27</v>
      </c>
      <c r="H217" s="2" t="n">
        <v>35</v>
      </c>
      <c r="I217" s="5" t="n">
        <v>0.0486801935635287</v>
      </c>
      <c r="J217" s="4" t="n">
        <v>390.745925482466</v>
      </c>
      <c r="K217" s="4" t="n">
        <v>0.22</v>
      </c>
      <c r="L217" s="6" t="n">
        <f aca="false">J217/200000</f>
        <v>0.00195372962741233</v>
      </c>
      <c r="P217" s="4" t="n">
        <f aca="false">$Q$2*($Q$3*$G217+$Q$4*$B217^$Q$5*$I217^$Q$6)*$L217^$Q$7</f>
        <v>0.300735591711017</v>
      </c>
      <c r="Q217" s="4" t="n">
        <f aca="false">P217/$K217</f>
        <v>1.3669799623228</v>
      </c>
      <c r="S217" s="4" t="n">
        <f aca="false">$T$2*$B217^$T$3*$L217^$T$4*($T$5*$I217^$T$6+$T$7)</f>
        <v>0.29230550620944</v>
      </c>
      <c r="T217" s="4" t="n">
        <f aca="false">S217/$K217</f>
        <v>1.32866139186109</v>
      </c>
      <c r="V217" s="4"/>
      <c r="W217" s="4"/>
    </row>
    <row r="218" customFormat="false" ht="14.25" hidden="false" customHeight="false" outlineLevel="0" collapsed="false">
      <c r="B218" s="2" t="n">
        <v>16</v>
      </c>
      <c r="C218" s="3" t="n">
        <v>528</v>
      </c>
      <c r="D218" s="3" t="n">
        <v>2</v>
      </c>
      <c r="E218" s="2" t="n">
        <v>52</v>
      </c>
      <c r="F218" s="4" t="n">
        <v>3.42</v>
      </c>
      <c r="G218" s="2" t="n">
        <v>27</v>
      </c>
      <c r="H218" s="2" t="n">
        <v>35</v>
      </c>
      <c r="I218" s="5" t="n">
        <v>0.0486801935635287</v>
      </c>
      <c r="J218" s="4" t="n">
        <v>468.33175563844</v>
      </c>
      <c r="K218" s="4" t="n">
        <v>0.25</v>
      </c>
      <c r="L218" s="6" t="n">
        <f aca="false">J218/200000</f>
        <v>0.0023416587781922</v>
      </c>
      <c r="P218" s="4" t="n">
        <f aca="false">$Q$2*($Q$3*$G218+$Q$4*$B218^$Q$5*$I218^$Q$6)*$L218^$Q$7</f>
        <v>0.350026717893386</v>
      </c>
      <c r="Q218" s="4" t="n">
        <f aca="false">P218/$K218</f>
        <v>1.40010687157354</v>
      </c>
      <c r="S218" s="4" t="n">
        <f aca="false">$T$2*$B218^$T$3*$L218^$T$4*($T$5*$I218^$T$6+$T$7)</f>
        <v>0.341202267804287</v>
      </c>
      <c r="T218" s="4" t="n">
        <f aca="false">S218/$K218</f>
        <v>1.36480907121715</v>
      </c>
      <c r="V218" s="4"/>
      <c r="W218" s="4"/>
    </row>
    <row r="219" customFormat="false" ht="14.25" hidden="false" customHeight="false" outlineLevel="0" collapsed="false">
      <c r="B219" s="2" t="n">
        <v>16</v>
      </c>
      <c r="C219" s="3" t="n">
        <v>528</v>
      </c>
      <c r="D219" s="3" t="n">
        <v>2</v>
      </c>
      <c r="E219" s="2" t="n">
        <v>52</v>
      </c>
      <c r="F219" s="4" t="n">
        <v>3.42</v>
      </c>
      <c r="G219" s="2" t="n">
        <v>27</v>
      </c>
      <c r="H219" s="2" t="n">
        <v>35</v>
      </c>
      <c r="I219" s="5" t="n">
        <v>0.0486801935635287</v>
      </c>
      <c r="J219" s="4" t="n">
        <v>526.101808707204</v>
      </c>
      <c r="K219" s="4" t="n">
        <v>0.29</v>
      </c>
      <c r="L219" s="6" t="n">
        <f aca="false">J219/200000</f>
        <v>0.00263050904353602</v>
      </c>
      <c r="P219" s="4" t="n">
        <f aca="false">$Q$2*($Q$3*$G219+$Q$4*$B219^$Q$5*$I219^$Q$6)*$L219^$Q$7</f>
        <v>0.385863555387879</v>
      </c>
      <c r="Q219" s="4" t="n">
        <f aca="false">P219/$K219</f>
        <v>1.33056398409613</v>
      </c>
      <c r="S219" s="4" t="n">
        <f aca="false">$T$2*$B219^$T$3*$L219^$T$4*($T$5*$I219^$T$6+$T$7)</f>
        <v>0.376836302555266</v>
      </c>
      <c r="T219" s="4" t="n">
        <f aca="false">S219/$K219</f>
        <v>1.29943552605264</v>
      </c>
      <c r="V219" s="4"/>
      <c r="W219" s="4"/>
    </row>
    <row r="220" customFormat="false" ht="14.25" hidden="false" customHeight="false" outlineLevel="0" collapsed="false">
      <c r="A220" s="1" t="s">
        <v>67</v>
      </c>
      <c r="B220" s="2" t="n">
        <v>20</v>
      </c>
      <c r="C220" s="3" t="n">
        <v>528</v>
      </c>
      <c r="D220" s="3" t="n">
        <v>2</v>
      </c>
      <c r="E220" s="2" t="n">
        <v>44</v>
      </c>
      <c r="F220" s="4" t="n">
        <v>3.42</v>
      </c>
      <c r="G220" s="2" t="n">
        <v>25</v>
      </c>
      <c r="H220" s="2" t="n">
        <v>35</v>
      </c>
      <c r="I220" s="5" t="n">
        <v>0.0825359157184491</v>
      </c>
      <c r="J220" s="4" t="n">
        <v>242.78254560699</v>
      </c>
      <c r="K220" s="4" t="n">
        <v>0.17</v>
      </c>
      <c r="L220" s="6" t="n">
        <f aca="false">J220/200000</f>
        <v>0.00121391272803495</v>
      </c>
      <c r="P220" s="4" t="n">
        <f aca="false">$Q$2*($Q$3*$G220+$Q$4*$B220^$Q$5*$I220^$Q$6)*$L220^$Q$7</f>
        <v>0.198631459500368</v>
      </c>
      <c r="Q220" s="4" t="n">
        <f aca="false">P220/$K220</f>
        <v>1.16842035000216</v>
      </c>
      <c r="S220" s="4" t="n">
        <f aca="false">$T$2*$B220^$T$3*$L220^$T$4*($T$5*$I220^$T$6+$T$7)</f>
        <v>0.198539841457915</v>
      </c>
      <c r="T220" s="4" t="n">
        <f aca="false">S220/$K220</f>
        <v>1.16788142034067</v>
      </c>
      <c r="V220" s="4"/>
      <c r="W220" s="4"/>
    </row>
    <row r="221" customFormat="false" ht="14.25" hidden="false" customHeight="false" outlineLevel="0" collapsed="false">
      <c r="B221" s="2" t="n">
        <v>20</v>
      </c>
      <c r="C221" s="3" t="n">
        <v>528</v>
      </c>
      <c r="D221" s="3" t="n">
        <v>2</v>
      </c>
      <c r="E221" s="2" t="n">
        <v>44</v>
      </c>
      <c r="F221" s="4" t="n">
        <v>3.42</v>
      </c>
      <c r="G221" s="2" t="n">
        <v>25</v>
      </c>
      <c r="H221" s="2" t="n">
        <v>35</v>
      </c>
      <c r="I221" s="5" t="n">
        <v>0.0825359157184491</v>
      </c>
      <c r="J221" s="4" t="n">
        <v>285.074914966108</v>
      </c>
      <c r="K221" s="4" t="n">
        <v>0.19</v>
      </c>
      <c r="L221" s="6" t="n">
        <f aca="false">J221/200000</f>
        <v>0.00142537457483054</v>
      </c>
      <c r="P221" s="4" t="n">
        <f aca="false">$Q$2*($Q$3*$G221+$Q$4*$B221^$Q$5*$I221^$Q$6)*$L221^$Q$7</f>
        <v>0.227243487886946</v>
      </c>
      <c r="Q221" s="4" t="n">
        <f aca="false">P221/$K221</f>
        <v>1.19601835729971</v>
      </c>
      <c r="S221" s="4" t="n">
        <f aca="false">$T$2*$B221^$T$3*$L221^$T$4*($T$5*$I221^$T$6+$T$7)</f>
        <v>0.22772302710112</v>
      </c>
      <c r="T221" s="4" t="n">
        <f aca="false">S221/$K221</f>
        <v>1.19854224790063</v>
      </c>
      <c r="V221" s="4"/>
      <c r="W221" s="4"/>
    </row>
    <row r="222" customFormat="false" ht="14.25" hidden="false" customHeight="false" outlineLevel="0" collapsed="false">
      <c r="B222" s="2" t="n">
        <v>20</v>
      </c>
      <c r="C222" s="3" t="n">
        <v>528</v>
      </c>
      <c r="D222" s="3" t="n">
        <v>2</v>
      </c>
      <c r="E222" s="2" t="n">
        <v>44</v>
      </c>
      <c r="F222" s="4" t="n">
        <v>3.42</v>
      </c>
      <c r="G222" s="2" t="n">
        <v>25</v>
      </c>
      <c r="H222" s="2" t="n">
        <v>35</v>
      </c>
      <c r="I222" s="5" t="n">
        <v>0.0825359157184491</v>
      </c>
      <c r="J222" s="4" t="n">
        <v>339.450818427831</v>
      </c>
      <c r="K222" s="4" t="n">
        <v>0.21</v>
      </c>
      <c r="L222" s="6" t="n">
        <f aca="false">J222/200000</f>
        <v>0.00169725409213915</v>
      </c>
      <c r="P222" s="4" t="n">
        <f aca="false">$Q$2*($Q$3*$G222+$Q$4*$B222^$Q$5*$I222^$Q$6)*$L222^$Q$7</f>
        <v>0.263043037173867</v>
      </c>
      <c r="Q222" s="4" t="n">
        <f aca="false">P222/$K222</f>
        <v>1.25258589130413</v>
      </c>
      <c r="S222" s="4" t="n">
        <f aca="false">$T$2*$B222^$T$3*$L222^$T$4*($T$5*$I222^$T$6+$T$7)</f>
        <v>0.264335442438143</v>
      </c>
      <c r="T222" s="4" t="n">
        <f aca="false">S222/$K222</f>
        <v>1.2587402020864</v>
      </c>
      <c r="V222" s="4"/>
      <c r="W222" s="4"/>
    </row>
    <row r="223" customFormat="false" ht="14.25" hidden="false" customHeight="false" outlineLevel="0" collapsed="false">
      <c r="B223" s="2" t="n">
        <v>20</v>
      </c>
      <c r="C223" s="3" t="n">
        <v>528</v>
      </c>
      <c r="D223" s="3" t="n">
        <v>2</v>
      </c>
      <c r="E223" s="2" t="n">
        <v>44</v>
      </c>
      <c r="F223" s="4" t="n">
        <v>3.42</v>
      </c>
      <c r="G223" s="2" t="n">
        <v>25</v>
      </c>
      <c r="H223" s="2" t="n">
        <v>35</v>
      </c>
      <c r="I223" s="5" t="n">
        <v>0.0825359157184491</v>
      </c>
      <c r="J223" s="4" t="n">
        <v>363.617886633041</v>
      </c>
      <c r="K223" s="4" t="n">
        <v>0.23</v>
      </c>
      <c r="L223" s="6" t="n">
        <f aca="false">J223/200000</f>
        <v>0.0018180894331652</v>
      </c>
      <c r="P223" s="4" t="n">
        <f aca="false">$Q$2*($Q$3*$G223+$Q$4*$B223^$Q$5*$I223^$Q$6)*$L223^$Q$7</f>
        <v>0.278648372835661</v>
      </c>
      <c r="Q223" s="4" t="n">
        <f aca="false">P223/$K223</f>
        <v>1.21151466450287</v>
      </c>
      <c r="S223" s="4" t="n">
        <f aca="false">$T$2*$B223^$T$3*$L223^$T$4*($T$5*$I223^$T$6+$T$7)</f>
        <v>0.280325750031422</v>
      </c>
      <c r="T223" s="4" t="n">
        <f aca="false">S223/$K223</f>
        <v>1.21880760883227</v>
      </c>
      <c r="V223" s="4"/>
      <c r="W223" s="4"/>
    </row>
    <row r="224" customFormat="false" ht="14.25" hidden="false" customHeight="false" outlineLevel="0" collapsed="false">
      <c r="B224" s="2" t="n">
        <v>20</v>
      </c>
      <c r="C224" s="3" t="n">
        <v>528</v>
      </c>
      <c r="D224" s="3" t="n">
        <v>2</v>
      </c>
      <c r="E224" s="2" t="n">
        <v>44</v>
      </c>
      <c r="F224" s="4" t="n">
        <v>3.42</v>
      </c>
      <c r="G224" s="2" t="n">
        <v>25</v>
      </c>
      <c r="H224" s="2" t="n">
        <v>35</v>
      </c>
      <c r="I224" s="5" t="n">
        <v>0.0825359157184491</v>
      </c>
      <c r="J224" s="4" t="n">
        <v>417.993790094763</v>
      </c>
      <c r="K224" s="4" t="n">
        <v>0.25</v>
      </c>
      <c r="L224" s="6" t="n">
        <f aca="false">J224/200000</f>
        <v>0.00208996895047382</v>
      </c>
      <c r="P224" s="4" t="n">
        <f aca="false">$Q$2*($Q$3*$G224+$Q$4*$B224^$Q$5*$I224^$Q$6)*$L224^$Q$7</f>
        <v>0.31316709155057</v>
      </c>
      <c r="Q224" s="4" t="n">
        <f aca="false">P224/$K224</f>
        <v>1.25266836620228</v>
      </c>
      <c r="S224" s="4" t="n">
        <f aca="false">$T$2*$B224^$T$3*$L224^$T$4*($T$5*$I224^$T$6+$T$7)</f>
        <v>0.315755550749876</v>
      </c>
      <c r="T224" s="4" t="n">
        <f aca="false">S224/$K224</f>
        <v>1.2630222029995</v>
      </c>
      <c r="V224" s="4"/>
      <c r="W224" s="4"/>
    </row>
    <row r="225" customFormat="false" ht="14.25" hidden="false" customHeight="false" outlineLevel="0" collapsed="false">
      <c r="B225" s="2" t="n">
        <v>20</v>
      </c>
      <c r="C225" s="3" t="n">
        <v>528</v>
      </c>
      <c r="D225" s="3" t="n">
        <v>2</v>
      </c>
      <c r="E225" s="2" t="n">
        <v>44</v>
      </c>
      <c r="F225" s="4" t="n">
        <v>3.42</v>
      </c>
      <c r="G225" s="2" t="n">
        <v>25</v>
      </c>
      <c r="H225" s="2" t="n">
        <v>35</v>
      </c>
      <c r="I225" s="5" t="n">
        <v>0.0825359157184491</v>
      </c>
      <c r="J225" s="4" t="n">
        <v>525.80672936788</v>
      </c>
      <c r="K225" s="4" t="n">
        <v>0.25</v>
      </c>
      <c r="L225" s="6" t="n">
        <f aca="false">J225/200000</f>
        <v>0.0026290336468394</v>
      </c>
      <c r="P225" s="4" t="n">
        <f aca="false">$Q$2*($Q$3*$G225+$Q$4*$B225^$Q$5*$I225^$Q$6)*$L225^$Q$7</f>
        <v>0.379566702488317</v>
      </c>
      <c r="Q225" s="4" t="n">
        <f aca="false">P225/$K225</f>
        <v>1.51826680995327</v>
      </c>
      <c r="S225" s="4" t="n">
        <f aca="false">$T$2*$B225^$T$3*$L225^$T$4*($T$5*$I225^$T$6+$T$7)</f>
        <v>0.384111653022231</v>
      </c>
      <c r="T225" s="4" t="n">
        <f aca="false">S225/$K225</f>
        <v>1.53644661208893</v>
      </c>
      <c r="V225" s="4"/>
      <c r="W225" s="4"/>
    </row>
    <row r="226" customFormat="false" ht="14.25" hidden="false" customHeight="false" outlineLevel="0" collapsed="false">
      <c r="A226" s="1" t="s">
        <v>68</v>
      </c>
      <c r="B226" s="2" t="n">
        <v>20</v>
      </c>
      <c r="C226" s="3" t="n">
        <v>528</v>
      </c>
      <c r="D226" s="3" t="n">
        <v>3</v>
      </c>
      <c r="E226" s="2" t="n">
        <v>12</v>
      </c>
      <c r="F226" s="4" t="n">
        <v>3.42</v>
      </c>
      <c r="G226" s="2" t="n">
        <v>25</v>
      </c>
      <c r="H226" s="2" t="n">
        <v>35</v>
      </c>
      <c r="I226" s="5" t="n">
        <v>0.135249348683273</v>
      </c>
      <c r="J226" s="4" t="n">
        <v>223.295734302368</v>
      </c>
      <c r="K226" s="4" t="n">
        <v>0.18</v>
      </c>
      <c r="L226" s="6" t="n">
        <f aca="false">J226/200000</f>
        <v>0.00111647867151184</v>
      </c>
      <c r="P226" s="4" t="n">
        <f aca="false">$Q$2*($Q$3*$G226+$Q$4*$B226^$Q$5*$I226^$Q$6)*$L226^$Q$7</f>
        <v>0.145364782829435</v>
      </c>
      <c r="Q226" s="4" t="n">
        <f aca="false">P226/$K226</f>
        <v>0.807582126830192</v>
      </c>
      <c r="S226" s="4" t="n">
        <f aca="false">$T$2*$B226^$T$3*$L226^$T$4*($T$5*$I226^$T$6+$T$7)</f>
        <v>0.152364846421673</v>
      </c>
      <c r="T226" s="4" t="n">
        <f aca="false">S226/$K226</f>
        <v>0.846471369009295</v>
      </c>
      <c r="V226" s="4"/>
      <c r="W226" s="4"/>
    </row>
    <row r="227" customFormat="false" ht="14.25" hidden="false" customHeight="false" outlineLevel="0" collapsed="false">
      <c r="B227" s="2" t="n">
        <v>20</v>
      </c>
      <c r="C227" s="3" t="n">
        <v>528</v>
      </c>
      <c r="D227" s="3" t="n">
        <v>3</v>
      </c>
      <c r="E227" s="2" t="n">
        <v>12</v>
      </c>
      <c r="F227" s="4" t="n">
        <v>3.42</v>
      </c>
      <c r="G227" s="2" t="n">
        <v>25</v>
      </c>
      <c r="H227" s="2" t="n">
        <v>35</v>
      </c>
      <c r="I227" s="5" t="n">
        <v>0.135249348683273</v>
      </c>
      <c r="J227" s="4" t="n">
        <v>263.36829755996</v>
      </c>
      <c r="K227" s="4" t="n">
        <v>0.19</v>
      </c>
      <c r="L227" s="6" t="n">
        <f aca="false">J227/200000</f>
        <v>0.0013168414877998</v>
      </c>
      <c r="P227" s="4" t="n">
        <f aca="false">$Q$2*($Q$3*$G227+$Q$4*$B227^$Q$5*$I227^$Q$6)*$L227^$Q$7</f>
        <v>0.166928163826281</v>
      </c>
      <c r="Q227" s="4" t="n">
        <f aca="false">P227/$K227</f>
        <v>0.878569283296217</v>
      </c>
      <c r="S227" s="4" t="n">
        <f aca="false">$T$2*$B227^$T$3*$L227^$T$4*($T$5*$I227^$T$6+$T$7)</f>
        <v>0.175429295706589</v>
      </c>
      <c r="T227" s="4" t="n">
        <f aca="false">S227/$K227</f>
        <v>0.92331208266626</v>
      </c>
      <c r="V227" s="4"/>
      <c r="W227" s="4"/>
    </row>
    <row r="228" customFormat="false" ht="14.25" hidden="false" customHeight="false" outlineLevel="0" collapsed="false">
      <c r="B228" s="2" t="n">
        <v>20</v>
      </c>
      <c r="C228" s="3" t="n">
        <v>528</v>
      </c>
      <c r="D228" s="3" t="n">
        <v>3</v>
      </c>
      <c r="E228" s="2" t="n">
        <v>12</v>
      </c>
      <c r="F228" s="4" t="n">
        <v>3.42</v>
      </c>
      <c r="G228" s="2" t="n">
        <v>25</v>
      </c>
      <c r="H228" s="2" t="n">
        <v>35</v>
      </c>
      <c r="I228" s="5" t="n">
        <v>0.135249348683273</v>
      </c>
      <c r="J228" s="4" t="n">
        <v>299.433604491793</v>
      </c>
      <c r="K228" s="4" t="n">
        <v>0.21</v>
      </c>
      <c r="L228" s="6" t="n">
        <f aca="false">J228/200000</f>
        <v>0.00149716802245896</v>
      </c>
      <c r="P228" s="4" t="n">
        <f aca="false">$Q$2*($Q$3*$G228+$Q$4*$B228^$Q$5*$I228^$Q$6)*$L228^$Q$7</f>
        <v>0.185881966048464</v>
      </c>
      <c r="Q228" s="4" t="n">
        <f aca="false">P228/$K228</f>
        <v>0.885152219278398</v>
      </c>
      <c r="S228" s="4" t="n">
        <f aca="false">$T$2*$B228^$T$3*$L228^$T$4*($T$5*$I228^$T$6+$T$7)</f>
        <v>0.195749902103998</v>
      </c>
      <c r="T228" s="4" t="n">
        <f aca="false">S228/$K228</f>
        <v>0.932142390971418</v>
      </c>
      <c r="V228" s="4"/>
      <c r="W228" s="4"/>
    </row>
    <row r="229" customFormat="false" ht="14.25" hidden="false" customHeight="false" outlineLevel="0" collapsed="false">
      <c r="B229" s="2" t="n">
        <v>20</v>
      </c>
      <c r="C229" s="3" t="n">
        <v>528</v>
      </c>
      <c r="D229" s="3" t="n">
        <v>3</v>
      </c>
      <c r="E229" s="2" t="n">
        <v>12</v>
      </c>
      <c r="F229" s="4" t="n">
        <v>3.42</v>
      </c>
      <c r="G229" s="2" t="n">
        <v>25</v>
      </c>
      <c r="H229" s="2" t="n">
        <v>35</v>
      </c>
      <c r="I229" s="5" t="n">
        <v>0.135249348683273</v>
      </c>
      <c r="J229" s="4" t="n">
        <v>343.513424075144</v>
      </c>
      <c r="K229" s="4" t="n">
        <v>0.23</v>
      </c>
      <c r="L229" s="6" t="n">
        <f aca="false">J229/200000</f>
        <v>0.00171756712037572</v>
      </c>
      <c r="P229" s="4" t="n">
        <f aca="false">$Q$2*($Q$3*$G229+$Q$4*$B229^$Q$5*$I229^$Q$6)*$L229^$Q$7</f>
        <v>0.208553862755879</v>
      </c>
      <c r="Q229" s="4" t="n">
        <f aca="false">P229/$K229</f>
        <v>0.906755925025559</v>
      </c>
      <c r="S229" s="4" t="n">
        <f aca="false">$T$2*$B229^$T$3*$L229^$T$4*($T$5*$I229^$T$6+$T$7)</f>
        <v>0.220108505556155</v>
      </c>
      <c r="T229" s="4" t="n">
        <f aca="false">S229/$K229</f>
        <v>0.956993502418064</v>
      </c>
      <c r="V229" s="4"/>
      <c r="W229" s="4"/>
    </row>
    <row r="230" customFormat="false" ht="14.25" hidden="false" customHeight="false" outlineLevel="0" collapsed="false">
      <c r="B230" s="2" t="n">
        <v>20</v>
      </c>
      <c r="C230" s="3" t="n">
        <v>528</v>
      </c>
      <c r="D230" s="3" t="n">
        <v>3</v>
      </c>
      <c r="E230" s="2" t="n">
        <v>12</v>
      </c>
      <c r="F230" s="4" t="n">
        <v>3.42</v>
      </c>
      <c r="G230" s="2" t="n">
        <v>25</v>
      </c>
      <c r="H230" s="2" t="n">
        <v>35</v>
      </c>
      <c r="I230" s="5" t="n">
        <v>0.135249348683273</v>
      </c>
      <c r="J230" s="4" t="n">
        <v>387.593243658496</v>
      </c>
      <c r="K230" s="4" t="n">
        <v>0.25</v>
      </c>
      <c r="L230" s="6" t="n">
        <f aca="false">J230/200000</f>
        <v>0.00193796621829248</v>
      </c>
      <c r="P230" s="4" t="n">
        <f aca="false">$Q$2*($Q$3*$G230+$Q$4*$B230^$Q$5*$I230^$Q$6)*$L230^$Q$7</f>
        <v>0.230757943661963</v>
      </c>
      <c r="Q230" s="4" t="n">
        <f aca="false">P230/$K230</f>
        <v>0.923031774647853</v>
      </c>
      <c r="S230" s="4" t="n">
        <f aca="false">$T$2*$B230^$T$3*$L230^$T$4*($T$5*$I230^$T$6+$T$7)</f>
        <v>0.244013675710449</v>
      </c>
      <c r="T230" s="4" t="n">
        <f aca="false">S230/$K230</f>
        <v>0.976054702841797</v>
      </c>
      <c r="V230" s="4"/>
      <c r="W230" s="4"/>
    </row>
    <row r="231" customFormat="false" ht="14.25" hidden="false" customHeight="false" outlineLevel="0" collapsed="false">
      <c r="B231" s="2" t="n">
        <v>20</v>
      </c>
      <c r="C231" s="3" t="n">
        <v>528</v>
      </c>
      <c r="D231" s="3" t="n">
        <v>3</v>
      </c>
      <c r="E231" s="2" t="n">
        <v>12</v>
      </c>
      <c r="F231" s="4" t="n">
        <v>3.42</v>
      </c>
      <c r="G231" s="2" t="n">
        <v>25</v>
      </c>
      <c r="H231" s="2" t="n">
        <v>35</v>
      </c>
      <c r="I231" s="5" t="n">
        <v>0.135249348683273</v>
      </c>
      <c r="J231" s="4" t="n">
        <v>427.665806916088</v>
      </c>
      <c r="K231" s="4" t="n">
        <v>0.29</v>
      </c>
      <c r="L231" s="6" t="n">
        <f aca="false">J231/200000</f>
        <v>0.00213832903458044</v>
      </c>
      <c r="P231" s="4" t="n">
        <f aca="false">$Q$2*($Q$3*$G231+$Q$4*$B231^$Q$5*$I231^$Q$6)*$L231^$Q$7</f>
        <v>0.250589575947562</v>
      </c>
      <c r="Q231" s="4" t="n">
        <f aca="false">P231/$K231</f>
        <v>0.864101986026077</v>
      </c>
      <c r="S231" s="4" t="n">
        <f aca="false">$T$2*$B231^$T$3*$L231^$T$4*($T$5*$I231^$T$6+$T$7)</f>
        <v>0.26540198167321</v>
      </c>
      <c r="T231" s="4" t="n">
        <f aca="false">S231/$K231</f>
        <v>0.915179247149</v>
      </c>
      <c r="V231" s="4"/>
      <c r="W231" s="4"/>
    </row>
    <row r="232" customFormat="false" ht="14.25" hidden="false" customHeight="false" outlineLevel="0" collapsed="false">
      <c r="B232" s="2" t="n">
        <v>20</v>
      </c>
      <c r="C232" s="3" t="n">
        <v>528</v>
      </c>
      <c r="D232" s="3" t="n">
        <v>3</v>
      </c>
      <c r="E232" s="2" t="n">
        <v>12</v>
      </c>
      <c r="F232" s="4" t="n">
        <v>3.42</v>
      </c>
      <c r="G232" s="2" t="n">
        <v>25</v>
      </c>
      <c r="H232" s="2" t="n">
        <v>35</v>
      </c>
      <c r="I232" s="5" t="n">
        <v>0.135249348683273</v>
      </c>
      <c r="J232" s="4" t="n">
        <v>467.73837017368</v>
      </c>
      <c r="K232" s="4" t="n">
        <v>0.31</v>
      </c>
      <c r="L232" s="6" t="n">
        <f aca="false">J232/200000</f>
        <v>0.0023386918508684</v>
      </c>
      <c r="P232" s="4" t="n">
        <f aca="false">$Q$2*($Q$3*$G232+$Q$4*$B232^$Q$5*$I232^$Q$6)*$L232^$Q$7</f>
        <v>0.270121976363943</v>
      </c>
      <c r="Q232" s="4" t="n">
        <f aca="false">P232/$K232</f>
        <v>0.871361214077236</v>
      </c>
      <c r="S232" s="4" t="n">
        <f aca="false">$T$2*$B232^$T$3*$L232^$T$4*($T$5*$I232^$T$6+$T$7)</f>
        <v>0.286499226768305</v>
      </c>
      <c r="T232" s="4" t="n">
        <f aca="false">S232/$K232</f>
        <v>0.924191054091308</v>
      </c>
      <c r="V232" s="4"/>
      <c r="W232" s="4"/>
    </row>
    <row r="233" customFormat="false" ht="14.25" hidden="false" customHeight="false" outlineLevel="0" collapsed="false">
      <c r="B233" s="2" t="n">
        <v>20</v>
      </c>
      <c r="C233" s="3" t="n">
        <v>528</v>
      </c>
      <c r="D233" s="3" t="n">
        <v>3</v>
      </c>
      <c r="E233" s="2" t="n">
        <v>12</v>
      </c>
      <c r="F233" s="4" t="n">
        <v>3.42</v>
      </c>
      <c r="G233" s="2" t="n">
        <v>25</v>
      </c>
      <c r="H233" s="2" t="n">
        <v>35</v>
      </c>
      <c r="I233" s="5" t="n">
        <v>0.135249348683273</v>
      </c>
      <c r="J233" s="4" t="n">
        <v>501.106235095073</v>
      </c>
      <c r="K233" s="4" t="n">
        <v>0.37</v>
      </c>
      <c r="L233" s="6" t="n">
        <f aca="false">J233/200000</f>
        <v>0.00250553117547537</v>
      </c>
      <c r="P233" s="4" t="n">
        <f aca="false">$Q$2*($Q$3*$G233+$Q$4*$B233^$Q$5*$I233^$Q$6)*$L233^$Q$7</f>
        <v>0.286179541899175</v>
      </c>
      <c r="Q233" s="4" t="n">
        <f aca="false">P233/$K233</f>
        <v>0.773458221349123</v>
      </c>
      <c r="S233" s="4" t="n">
        <f aca="false">$T$2*$B233^$T$3*$L233^$T$4*($T$5*$I233^$T$6+$T$7)</f>
        <v>0.3038651881672</v>
      </c>
      <c r="T233" s="4" t="n">
        <f aca="false">S233/$K233</f>
        <v>0.821257265316757</v>
      </c>
      <c r="V233" s="4"/>
      <c r="W233" s="4"/>
    </row>
    <row r="234" customFormat="false" ht="14.25" hidden="false" customHeight="false" outlineLevel="0" collapsed="false">
      <c r="A234" s="1" t="s">
        <v>69</v>
      </c>
      <c r="B234" s="2" t="n">
        <v>16</v>
      </c>
      <c r="C234" s="3" t="n">
        <v>528</v>
      </c>
      <c r="D234" s="3" t="n">
        <v>2</v>
      </c>
      <c r="E234" s="2" t="n">
        <v>52</v>
      </c>
      <c r="F234" s="4" t="n">
        <v>2.98</v>
      </c>
      <c r="G234" s="2" t="n">
        <v>27</v>
      </c>
      <c r="H234" s="2" t="n">
        <v>35</v>
      </c>
      <c r="I234" s="5" t="n">
        <v>0.04802696699422</v>
      </c>
      <c r="J234" s="4" t="n">
        <v>352.91029281373</v>
      </c>
      <c r="K234" s="4" t="n">
        <v>0.16</v>
      </c>
      <c r="L234" s="6" t="n">
        <f aca="false">J234/200000</f>
        <v>0.00176455146406865</v>
      </c>
      <c r="P234" s="4" t="n">
        <f aca="false">$Q$2*($Q$3*$G234+$Q$4*$B234^$Q$5*$I234^$Q$6)*$L234^$Q$7</f>
        <v>0.277969852920326</v>
      </c>
      <c r="Q234" s="4" t="n">
        <f aca="false">P234/$K234</f>
        <v>1.73731158075204</v>
      </c>
      <c r="S234" s="4" t="n">
        <f aca="false">$T$2*$B234^$T$3*$L234^$T$4*($T$5*$I234^$T$6+$T$7)</f>
        <v>0.269686381986233</v>
      </c>
      <c r="T234" s="4" t="n">
        <f aca="false">S234/$K234</f>
        <v>1.68553988741395</v>
      </c>
      <c r="V234" s="4"/>
      <c r="W234" s="4"/>
    </row>
    <row r="235" customFormat="false" ht="14.25" hidden="false" customHeight="false" outlineLevel="0" collapsed="false">
      <c r="B235" s="2" t="n">
        <v>16</v>
      </c>
      <c r="C235" s="3" t="n">
        <v>528</v>
      </c>
      <c r="D235" s="3" t="n">
        <v>2</v>
      </c>
      <c r="E235" s="2" t="n">
        <v>52</v>
      </c>
      <c r="F235" s="4" t="n">
        <v>2.98</v>
      </c>
      <c r="G235" s="2" t="n">
        <v>27</v>
      </c>
      <c r="H235" s="2" t="n">
        <v>35</v>
      </c>
      <c r="I235" s="5" t="n">
        <v>0.04802696699422</v>
      </c>
      <c r="J235" s="4" t="n">
        <v>437.851456908805</v>
      </c>
      <c r="K235" s="4" t="n">
        <v>0.2</v>
      </c>
      <c r="L235" s="6" t="n">
        <f aca="false">J235/200000</f>
        <v>0.00218925728454402</v>
      </c>
      <c r="P235" s="4" t="n">
        <f aca="false">$Q$2*($Q$3*$G235+$Q$4*$B235^$Q$5*$I235^$Q$6)*$L235^$Q$7</f>
        <v>0.333032678737283</v>
      </c>
      <c r="Q235" s="4" t="n">
        <f aca="false">P235/$K235</f>
        <v>1.66516339368642</v>
      </c>
      <c r="S235" s="4" t="n">
        <f aca="false">$T$2*$B235^$T$3*$L235^$T$4*($T$5*$I235^$T$6+$T$7)</f>
        <v>0.324225202303351</v>
      </c>
      <c r="T235" s="4" t="n">
        <f aca="false">S235/$K235</f>
        <v>1.62112601151675</v>
      </c>
      <c r="V235" s="4"/>
      <c r="W235" s="4"/>
    </row>
    <row r="236" customFormat="false" ht="14.25" hidden="false" customHeight="false" outlineLevel="0" collapsed="false">
      <c r="B236" s="2" t="n">
        <v>16</v>
      </c>
      <c r="C236" s="3" t="n">
        <v>528</v>
      </c>
      <c r="D236" s="3" t="n">
        <v>2</v>
      </c>
      <c r="E236" s="2" t="n">
        <v>52</v>
      </c>
      <c r="F236" s="4" t="n">
        <v>2.98</v>
      </c>
      <c r="G236" s="2" t="n">
        <v>27</v>
      </c>
      <c r="H236" s="2" t="n">
        <v>35</v>
      </c>
      <c r="I236" s="5" t="n">
        <v>0.04802696699422</v>
      </c>
      <c r="J236" s="4" t="n">
        <v>523.882031807992</v>
      </c>
      <c r="K236" s="4" t="n">
        <v>0.26</v>
      </c>
      <c r="L236" s="6" t="n">
        <f aca="false">J236/200000</f>
        <v>0.00261941015903996</v>
      </c>
      <c r="P236" s="4" t="n">
        <f aca="false">$Q$2*($Q$3*$G236+$Q$4*$B236^$Q$5*$I236^$Q$6)*$L236^$Q$7</f>
        <v>0.3870549880293</v>
      </c>
      <c r="Q236" s="4" t="n">
        <f aca="false">P236/$K236</f>
        <v>1.48867303088192</v>
      </c>
      <c r="S236" s="4" t="n">
        <f aca="false">$T$2*$B236^$T$3*$L236^$T$4*($T$5*$I236^$T$6+$T$7)</f>
        <v>0.37790191717801</v>
      </c>
      <c r="T236" s="4" t="n">
        <f aca="false">S236/$K236</f>
        <v>1.45346891222312</v>
      </c>
      <c r="V236" s="4"/>
      <c r="W236" s="4"/>
    </row>
    <row r="237" customFormat="false" ht="14.25" hidden="false" customHeight="false" outlineLevel="0" collapsed="false">
      <c r="A237" s="1" t="s">
        <v>70</v>
      </c>
      <c r="B237" s="2" t="n">
        <v>20</v>
      </c>
      <c r="C237" s="3" t="n">
        <v>528</v>
      </c>
      <c r="D237" s="3" t="n">
        <v>2</v>
      </c>
      <c r="E237" s="2" t="n">
        <v>44</v>
      </c>
      <c r="F237" s="4" t="n">
        <v>2.98</v>
      </c>
      <c r="G237" s="2" t="n">
        <v>25</v>
      </c>
      <c r="H237" s="2" t="n">
        <v>35</v>
      </c>
      <c r="I237" s="5" t="n">
        <v>0.0812005224252669</v>
      </c>
      <c r="J237" s="4" t="n">
        <v>239.484796833433</v>
      </c>
      <c r="K237" s="4" t="n">
        <v>0.17</v>
      </c>
      <c r="L237" s="6" t="n">
        <f aca="false">J237/200000</f>
        <v>0.00119742398416717</v>
      </c>
      <c r="P237" s="4" t="n">
        <f aca="false">$Q$2*($Q$3*$G237+$Q$4*$B237^$Q$5*$I237^$Q$6)*$L237^$Q$7</f>
        <v>0.197946250262019</v>
      </c>
      <c r="Q237" s="4" t="n">
        <f aca="false">P237/$K237</f>
        <v>1.16438970742364</v>
      </c>
      <c r="S237" s="4" t="n">
        <f aca="false">$T$2*$B237^$T$3*$L237^$T$4*($T$5*$I237^$T$6+$T$7)</f>
        <v>0.197584776351239</v>
      </c>
      <c r="T237" s="4" t="n">
        <f aca="false">S237/$K237</f>
        <v>1.16226339030141</v>
      </c>
      <c r="V237" s="4"/>
      <c r="W237" s="4"/>
    </row>
    <row r="238" customFormat="false" ht="14.25" hidden="false" customHeight="false" outlineLevel="0" collapsed="false">
      <c r="B238" s="2" t="n">
        <v>20</v>
      </c>
      <c r="C238" s="3" t="n">
        <v>528</v>
      </c>
      <c r="D238" s="3" t="n">
        <v>2</v>
      </c>
      <c r="E238" s="2" t="n">
        <v>44</v>
      </c>
      <c r="F238" s="4" t="n">
        <v>2.98</v>
      </c>
      <c r="G238" s="2" t="n">
        <v>25</v>
      </c>
      <c r="H238" s="2" t="n">
        <v>35</v>
      </c>
      <c r="I238" s="5" t="n">
        <v>0.0812005224252669</v>
      </c>
      <c r="J238" s="4" t="n">
        <v>280.836460915437</v>
      </c>
      <c r="K238" s="4" t="n">
        <v>0.19</v>
      </c>
      <c r="L238" s="6" t="n">
        <f aca="false">J238/200000</f>
        <v>0.00140418230457719</v>
      </c>
      <c r="P238" s="4" t="n">
        <f aca="false">$Q$2*($Q$3*$G238+$Q$4*$B238^$Q$5*$I238^$Q$6)*$L238^$Q$7</f>
        <v>0.226212387964579</v>
      </c>
      <c r="Q238" s="4" t="n">
        <f aca="false">P238/$K238</f>
        <v>1.19059151560305</v>
      </c>
      <c r="S238" s="4" t="n">
        <f aca="false">$T$2*$B238^$T$3*$L238^$T$4*($T$5*$I238^$T$6+$T$7)</f>
        <v>0.226375484844684</v>
      </c>
      <c r="T238" s="4" t="n">
        <f aca="false">S238/$K238</f>
        <v>1.19144992023518</v>
      </c>
      <c r="V238" s="4"/>
      <c r="W238" s="4"/>
    </row>
    <row r="239" customFormat="false" ht="14.25" hidden="false" customHeight="false" outlineLevel="0" collapsed="false">
      <c r="B239" s="2" t="n">
        <v>20</v>
      </c>
      <c r="C239" s="3" t="n">
        <v>528</v>
      </c>
      <c r="D239" s="3" t="n">
        <v>2</v>
      </c>
      <c r="E239" s="2" t="n">
        <v>44</v>
      </c>
      <c r="F239" s="4" t="n">
        <v>2.98</v>
      </c>
      <c r="G239" s="2" t="n">
        <v>25</v>
      </c>
      <c r="H239" s="2" t="n">
        <v>35</v>
      </c>
      <c r="I239" s="5" t="n">
        <v>0.0812005224252669</v>
      </c>
      <c r="J239" s="4" t="n">
        <v>334.002886163728</v>
      </c>
      <c r="K239" s="4" t="n">
        <v>0.23</v>
      </c>
      <c r="L239" s="6" t="n">
        <f aca="false">J239/200000</f>
        <v>0.00167001443081864</v>
      </c>
      <c r="P239" s="4" t="n">
        <f aca="false">$Q$2*($Q$3*$G239+$Q$4*$B239^$Q$5*$I239^$Q$6)*$L239^$Q$7</f>
        <v>0.261586328600337</v>
      </c>
      <c r="Q239" s="4" t="n">
        <f aca="false">P239/$K239</f>
        <v>1.13733186347973</v>
      </c>
      <c r="S239" s="4" t="n">
        <f aca="false">$T$2*$B239^$T$3*$L239^$T$4*($T$5*$I239^$T$6+$T$7)</f>
        <v>0.262502110435879</v>
      </c>
      <c r="T239" s="4" t="n">
        <f aca="false">S239/$K239</f>
        <v>1.14131352363426</v>
      </c>
      <c r="V239" s="4"/>
      <c r="W239" s="4"/>
    </row>
    <row r="240" customFormat="false" ht="14.25" hidden="false" customHeight="false" outlineLevel="0" collapsed="false">
      <c r="B240" s="2" t="n">
        <v>20</v>
      </c>
      <c r="C240" s="3" t="n">
        <v>528</v>
      </c>
      <c r="D240" s="3" t="n">
        <v>2</v>
      </c>
      <c r="E240" s="2" t="n">
        <v>44</v>
      </c>
      <c r="F240" s="4" t="n">
        <v>2.98</v>
      </c>
      <c r="G240" s="2" t="n">
        <v>25</v>
      </c>
      <c r="H240" s="2" t="n">
        <v>35</v>
      </c>
      <c r="I240" s="5" t="n">
        <v>0.0812005224252669</v>
      </c>
      <c r="J240" s="4" t="n">
        <v>357.632408496302</v>
      </c>
      <c r="K240" s="4" t="n">
        <v>0.25</v>
      </c>
      <c r="L240" s="6" t="n">
        <f aca="false">J240/200000</f>
        <v>0.00178816204248151</v>
      </c>
      <c r="P240" s="4" t="n">
        <f aca="false">$Q$2*($Q$3*$G240+$Q$4*$B240^$Q$5*$I240^$Q$6)*$L240^$Q$7</f>
        <v>0.277008090412896</v>
      </c>
      <c r="Q240" s="4" t="n">
        <f aca="false">P240/$K240</f>
        <v>1.10803236165158</v>
      </c>
      <c r="S240" s="4" t="n">
        <f aca="false">$T$2*$B240^$T$3*$L240^$T$4*($T$5*$I240^$T$6+$T$7)</f>
        <v>0.278282051692872</v>
      </c>
      <c r="T240" s="4" t="n">
        <f aca="false">S240/$K240</f>
        <v>1.11312820677149</v>
      </c>
      <c r="V240" s="4"/>
      <c r="W240" s="4"/>
    </row>
    <row r="241" customFormat="false" ht="14.25" hidden="false" customHeight="false" outlineLevel="0" collapsed="false">
      <c r="B241" s="2" t="n">
        <v>20</v>
      </c>
      <c r="C241" s="3" t="n">
        <v>528</v>
      </c>
      <c r="D241" s="3" t="n">
        <v>2</v>
      </c>
      <c r="E241" s="2" t="n">
        <v>44</v>
      </c>
      <c r="F241" s="4" t="n">
        <v>2.98</v>
      </c>
      <c r="G241" s="2" t="n">
        <v>25</v>
      </c>
      <c r="H241" s="2" t="n">
        <v>35</v>
      </c>
      <c r="I241" s="5" t="n">
        <v>0.0812005224252669</v>
      </c>
      <c r="J241" s="4" t="n">
        <v>393.076691995162</v>
      </c>
      <c r="K241" s="4" t="n">
        <v>0.3</v>
      </c>
      <c r="L241" s="6" t="n">
        <f aca="false">J241/200000</f>
        <v>0.00196538345997581</v>
      </c>
      <c r="P241" s="4" t="n">
        <f aca="false">$Q$2*($Q$3*$G241+$Q$4*$B241^$Q$5*$I241^$Q$6)*$L241^$Q$7</f>
        <v>0.299836382564104</v>
      </c>
      <c r="Q241" s="4" t="n">
        <f aca="false">P241/$K241</f>
        <v>0.999454608547013</v>
      </c>
      <c r="S241" s="4" t="n">
        <f aca="false">$T$2*$B241^$T$3*$L241^$T$4*($T$5*$I241^$T$6+$T$7)</f>
        <v>0.301671108828668</v>
      </c>
      <c r="T241" s="4" t="n">
        <f aca="false">S241/$K241</f>
        <v>1.00557036276223</v>
      </c>
      <c r="V241" s="4"/>
      <c r="W241" s="4"/>
    </row>
    <row r="242" customFormat="false" ht="14.25" hidden="false" customHeight="false" outlineLevel="0" collapsed="false">
      <c r="B242" s="2" t="n">
        <v>20</v>
      </c>
      <c r="C242" s="3" t="n">
        <v>528</v>
      </c>
      <c r="D242" s="3" t="n">
        <v>2</v>
      </c>
      <c r="E242" s="2" t="n">
        <v>44</v>
      </c>
      <c r="F242" s="4" t="n">
        <v>2.98</v>
      </c>
      <c r="G242" s="2" t="n">
        <v>25</v>
      </c>
      <c r="H242" s="2" t="n">
        <v>35</v>
      </c>
      <c r="I242" s="5" t="n">
        <v>0.0812005224252669</v>
      </c>
      <c r="J242" s="4" t="n">
        <v>416.706214327736</v>
      </c>
      <c r="K242" s="4" t="n">
        <v>0.32</v>
      </c>
      <c r="L242" s="6" t="n">
        <f aca="false">J242/200000</f>
        <v>0.00208353107163868</v>
      </c>
      <c r="P242" s="4" t="n">
        <f aca="false">$Q$2*($Q$3*$G242+$Q$4*$B242^$Q$5*$I242^$Q$6)*$L242^$Q$7</f>
        <v>0.314868981471403</v>
      </c>
      <c r="Q242" s="4" t="n">
        <f aca="false">P242/$K242</f>
        <v>0.983965567098133</v>
      </c>
      <c r="S242" s="4" t="n">
        <f aca="false">$T$2*$B242^$T$3*$L242^$T$4*($T$5*$I242^$T$6+$T$7)</f>
        <v>0.317091727678712</v>
      </c>
      <c r="T242" s="4" t="n">
        <f aca="false">S242/$K242</f>
        <v>0.990911648995975</v>
      </c>
      <c r="V242" s="4"/>
      <c r="W242" s="4"/>
    </row>
    <row r="243" customFormat="false" ht="14.25" hidden="false" customHeight="false" outlineLevel="0" collapsed="false">
      <c r="B243" s="2" t="n">
        <v>20</v>
      </c>
      <c r="C243" s="3" t="n">
        <v>528</v>
      </c>
      <c r="D243" s="3" t="n">
        <v>2</v>
      </c>
      <c r="E243" s="2" t="n">
        <v>44</v>
      </c>
      <c r="F243" s="4" t="n">
        <v>2.98</v>
      </c>
      <c r="G243" s="2" t="n">
        <v>25</v>
      </c>
      <c r="H243" s="2" t="n">
        <v>35</v>
      </c>
      <c r="I243" s="5" t="n">
        <v>0.0812005224252669</v>
      </c>
      <c r="J243" s="4" t="n">
        <v>474.598544042541</v>
      </c>
      <c r="K243" s="4" t="n">
        <v>0.36</v>
      </c>
      <c r="L243" s="6" t="n">
        <f aca="false">J243/200000</f>
        <v>0.00237299272021271</v>
      </c>
      <c r="P243" s="4" t="n">
        <f aca="false">$Q$2*($Q$3*$G243+$Q$4*$B243^$Q$5*$I243^$Q$6)*$L243^$Q$7</f>
        <v>0.351134807818024</v>
      </c>
      <c r="Q243" s="4" t="n">
        <f aca="false">P243/$K243</f>
        <v>0.975374466161178</v>
      </c>
      <c r="S243" s="4" t="n">
        <f aca="false">$T$2*$B243^$T$3*$L243^$T$4*($T$5*$I243^$T$6+$T$7)</f>
        <v>0.354350344019188</v>
      </c>
      <c r="T243" s="4" t="n">
        <f aca="false">S243/$K243</f>
        <v>0.984306511164411</v>
      </c>
      <c r="V243" s="4"/>
      <c r="W243" s="4"/>
    </row>
    <row r="244" customFormat="false" ht="14.25" hidden="false" customHeight="false" outlineLevel="0" collapsed="false">
      <c r="B244" s="2" t="n">
        <v>20</v>
      </c>
      <c r="C244" s="3" t="n">
        <v>528</v>
      </c>
      <c r="D244" s="3" t="n">
        <v>2</v>
      </c>
      <c r="E244" s="2" t="n">
        <v>44</v>
      </c>
      <c r="F244" s="4" t="n">
        <v>2.98</v>
      </c>
      <c r="G244" s="2" t="n">
        <v>25</v>
      </c>
      <c r="H244" s="2" t="n">
        <v>35</v>
      </c>
      <c r="I244" s="5" t="n">
        <v>0.0812005224252669</v>
      </c>
      <c r="J244" s="4" t="n">
        <v>526.445947864471</v>
      </c>
      <c r="K244" s="4" t="n">
        <v>0.47</v>
      </c>
      <c r="L244" s="6" t="n">
        <f aca="false">J244/200000</f>
        <v>0.00263222973932236</v>
      </c>
      <c r="P244" s="4" t="n">
        <f aca="false">$Q$2*($Q$3*$G244+$Q$4*$B244^$Q$5*$I244^$Q$6)*$L244^$Q$7</f>
        <v>0.383007106501494</v>
      </c>
      <c r="Q244" s="4" t="n">
        <f aca="false">P244/$K244</f>
        <v>0.814908737237221</v>
      </c>
      <c r="S244" s="4" t="n">
        <f aca="false">$T$2*$B244^$T$3*$L244^$T$4*($T$5*$I244^$T$6+$T$7)</f>
        <v>0.387156224537093</v>
      </c>
      <c r="T244" s="4" t="n">
        <f aca="false">S244/$K244</f>
        <v>0.823736647951262</v>
      </c>
      <c r="V244" s="4"/>
      <c r="W244" s="4"/>
    </row>
    <row r="245" customFormat="false" ht="14.25" hidden="false" customHeight="false" outlineLevel="0" collapsed="false">
      <c r="A245" s="1" t="s">
        <v>71</v>
      </c>
      <c r="B245" s="2" t="n">
        <v>20</v>
      </c>
      <c r="C245" s="3" t="n">
        <v>528</v>
      </c>
      <c r="D245" s="3" t="n">
        <v>3</v>
      </c>
      <c r="E245" s="2" t="n">
        <v>12</v>
      </c>
      <c r="F245" s="4" t="n">
        <v>2.98</v>
      </c>
      <c r="G245" s="2" t="n">
        <v>25</v>
      </c>
      <c r="H245" s="2" t="n">
        <v>35</v>
      </c>
      <c r="I245" s="5" t="n">
        <v>0.132686669519698</v>
      </c>
      <c r="J245" s="4" t="n">
        <v>288.355066625391</v>
      </c>
      <c r="K245" s="4" t="n">
        <v>0.16</v>
      </c>
      <c r="L245" s="6" t="n">
        <f aca="false">J245/200000</f>
        <v>0.00144177533312695</v>
      </c>
      <c r="P245" s="4" t="n">
        <f aca="false">$Q$2*($Q$3*$G245+$Q$4*$B245^$Q$5*$I245^$Q$6)*$L245^$Q$7</f>
        <v>0.181795946079686</v>
      </c>
      <c r="Q245" s="4" t="n">
        <f aca="false">P245/$K245</f>
        <v>1.13622466299804</v>
      </c>
      <c r="S245" s="4" t="n">
        <f aca="false">$T$2*$B245^$T$3*$L245^$T$4*($T$5*$I245^$T$6+$T$7)</f>
        <v>0.190871617608128</v>
      </c>
      <c r="T245" s="4" t="n">
        <f aca="false">S245/$K245</f>
        <v>1.1929476100508</v>
      </c>
      <c r="V245" s="4"/>
      <c r="W245" s="4"/>
    </row>
    <row r="246" customFormat="false" ht="14.25" hidden="false" customHeight="false" outlineLevel="0" collapsed="false">
      <c r="B246" s="2" t="n">
        <v>20</v>
      </c>
      <c r="C246" s="3" t="n">
        <v>528</v>
      </c>
      <c r="D246" s="3" t="n">
        <v>3</v>
      </c>
      <c r="E246" s="2" t="n">
        <v>12</v>
      </c>
      <c r="F246" s="4" t="n">
        <v>2.98</v>
      </c>
      <c r="G246" s="2" t="n">
        <v>25</v>
      </c>
      <c r="H246" s="2" t="n">
        <v>35</v>
      </c>
      <c r="I246" s="5" t="n">
        <v>0.132686669519698</v>
      </c>
      <c r="J246" s="4" t="n">
        <v>304.069302481735</v>
      </c>
      <c r="K246" s="4" t="n">
        <v>0.18</v>
      </c>
      <c r="L246" s="6" t="n">
        <f aca="false">J246/200000</f>
        <v>0.00152034651240868</v>
      </c>
      <c r="P246" s="4" t="n">
        <f aca="false">$Q$2*($Q$3*$G246+$Q$4*$B246^$Q$5*$I246^$Q$6)*$L246^$Q$7</f>
        <v>0.190062263519438</v>
      </c>
      <c r="Q246" s="4" t="n">
        <f aca="false">P246/$K246</f>
        <v>1.05590146399688</v>
      </c>
      <c r="S246" s="4" t="n">
        <f aca="false">$T$2*$B246^$T$3*$L246^$T$4*($T$5*$I246^$T$6+$T$7)</f>
        <v>0.199720100789216</v>
      </c>
      <c r="T246" s="4" t="n">
        <f aca="false">S246/$K246</f>
        <v>1.10955611549565</v>
      </c>
      <c r="V246" s="4"/>
      <c r="W246" s="4"/>
    </row>
    <row r="247" customFormat="false" ht="14.25" hidden="false" customHeight="false" outlineLevel="0" collapsed="false">
      <c r="B247" s="2" t="n">
        <v>20</v>
      </c>
      <c r="C247" s="3" t="n">
        <v>528</v>
      </c>
      <c r="D247" s="3" t="n">
        <v>3</v>
      </c>
      <c r="E247" s="2" t="n">
        <v>12</v>
      </c>
      <c r="F247" s="4" t="n">
        <v>2.98</v>
      </c>
      <c r="G247" s="2" t="n">
        <v>25</v>
      </c>
      <c r="H247" s="2" t="n">
        <v>35</v>
      </c>
      <c r="I247" s="5" t="n">
        <v>0.132686669519698</v>
      </c>
      <c r="J247" s="4" t="n">
        <v>343.354892122596</v>
      </c>
      <c r="K247" s="4" t="n">
        <v>0.18</v>
      </c>
      <c r="L247" s="6" t="n">
        <f aca="false">J247/200000</f>
        <v>0.00171677446061298</v>
      </c>
      <c r="P247" s="4" t="n">
        <f aca="false">$Q$2*($Q$3*$G247+$Q$4*$B247^$Q$5*$I247^$Q$6)*$L247^$Q$7</f>
        <v>0.210434872750879</v>
      </c>
      <c r="Q247" s="4" t="n">
        <f aca="false">P247/$K247</f>
        <v>1.16908262639377</v>
      </c>
      <c r="S247" s="4" t="n">
        <f aca="false">$T$2*$B247^$T$3*$L247^$T$4*($T$5*$I247^$T$6+$T$7)</f>
        <v>0.221558247705818</v>
      </c>
      <c r="T247" s="4" t="n">
        <f aca="false">S247/$K247</f>
        <v>1.23087915392121</v>
      </c>
      <c r="V247" s="4"/>
      <c r="W247" s="4"/>
    </row>
    <row r="248" customFormat="false" ht="14.25" hidden="false" customHeight="false" outlineLevel="0" collapsed="false">
      <c r="B248" s="2" t="n">
        <v>20</v>
      </c>
      <c r="C248" s="3" t="n">
        <v>528</v>
      </c>
      <c r="D248" s="3" t="n">
        <v>3</v>
      </c>
      <c r="E248" s="2" t="n">
        <v>12</v>
      </c>
      <c r="F248" s="4" t="n">
        <v>2.98</v>
      </c>
      <c r="G248" s="2" t="n">
        <v>25</v>
      </c>
      <c r="H248" s="2" t="n">
        <v>35</v>
      </c>
      <c r="I248" s="5" t="n">
        <v>0.132686669519698</v>
      </c>
      <c r="J248" s="4" t="n">
        <v>386.569040727542</v>
      </c>
      <c r="K248" s="4" t="n">
        <v>0.2</v>
      </c>
      <c r="L248" s="6" t="n">
        <f aca="false">J248/200000</f>
        <v>0.00193284520363771</v>
      </c>
      <c r="P248" s="4" t="n">
        <f aca="false">$Q$2*($Q$3*$G248+$Q$4*$B248^$Q$5*$I248^$Q$6)*$L248^$Q$7</f>
        <v>0.232413398466581</v>
      </c>
      <c r="Q248" s="4" t="n">
        <f aca="false">P248/$K248</f>
        <v>1.16206699233291</v>
      </c>
      <c r="S248" s="4" t="n">
        <f aca="false">$T$2*$B248^$T$3*$L248^$T$4*($T$5*$I248^$T$6+$T$7)</f>
        <v>0.24516310467656</v>
      </c>
      <c r="T248" s="4" t="n">
        <f aca="false">S248/$K248</f>
        <v>1.2258155233828</v>
      </c>
      <c r="V248" s="4"/>
      <c r="W248" s="4"/>
    </row>
    <row r="249" customFormat="false" ht="14.25" hidden="false" customHeight="false" outlineLevel="0" collapsed="false">
      <c r="B249" s="2" t="n">
        <v>20</v>
      </c>
      <c r="C249" s="3" t="n">
        <v>528</v>
      </c>
      <c r="D249" s="3" t="n">
        <v>3</v>
      </c>
      <c r="E249" s="2" t="n">
        <v>12</v>
      </c>
      <c r="F249" s="4" t="n">
        <v>2.98</v>
      </c>
      <c r="G249" s="2" t="n">
        <v>25</v>
      </c>
      <c r="H249" s="2" t="n">
        <v>35</v>
      </c>
      <c r="I249" s="5" t="n">
        <v>0.132686669519698</v>
      </c>
      <c r="J249" s="4" t="n">
        <v>425.854630368402</v>
      </c>
      <c r="K249" s="4" t="n">
        <v>0.2</v>
      </c>
      <c r="L249" s="6" t="n">
        <f aca="false">J249/200000</f>
        <v>0.00212927315184201</v>
      </c>
      <c r="P249" s="4" t="n">
        <f aca="false">$Q$2*($Q$3*$G249+$Q$4*$B249^$Q$5*$I249^$Q$6)*$L249^$Q$7</f>
        <v>0.252049539360961</v>
      </c>
      <c r="Q249" s="4" t="n">
        <f aca="false">P249/$K249</f>
        <v>1.2602476968048</v>
      </c>
      <c r="S249" s="4" t="n">
        <f aca="false">$T$2*$B249^$T$3*$L249^$T$4*($T$5*$I249^$T$6+$T$7)</f>
        <v>0.266288498117799</v>
      </c>
      <c r="T249" s="4" t="n">
        <f aca="false">S249/$K249</f>
        <v>1.331442490589</v>
      </c>
      <c r="V249" s="4"/>
      <c r="W249" s="4"/>
    </row>
    <row r="250" customFormat="false" ht="14.25" hidden="false" customHeight="false" outlineLevel="0" collapsed="false">
      <c r="B250" s="2" t="n">
        <v>20</v>
      </c>
      <c r="C250" s="3" t="n">
        <v>528</v>
      </c>
      <c r="D250" s="3" t="n">
        <v>3</v>
      </c>
      <c r="E250" s="2" t="n">
        <v>12</v>
      </c>
      <c r="F250" s="4" t="n">
        <v>2.98</v>
      </c>
      <c r="G250" s="2" t="n">
        <v>25</v>
      </c>
      <c r="H250" s="2" t="n">
        <v>35</v>
      </c>
      <c r="I250" s="5" t="n">
        <v>0.132686669519698</v>
      </c>
      <c r="J250" s="4" t="n">
        <v>461.211661045177</v>
      </c>
      <c r="K250" s="4" t="n">
        <v>0.2</v>
      </c>
      <c r="L250" s="6" t="n">
        <f aca="false">J250/200000</f>
        <v>0.00230605830522588</v>
      </c>
      <c r="P250" s="4" t="n">
        <f aca="false">$Q$2*($Q$3*$G250+$Q$4*$B250^$Q$5*$I250^$Q$6)*$L250^$Q$7</f>
        <v>0.269471792267204</v>
      </c>
      <c r="Q250" s="4" t="n">
        <f aca="false">P250/$K250</f>
        <v>1.34735896133602</v>
      </c>
      <c r="S250" s="4" t="n">
        <f aca="false">$T$2*$B250^$T$3*$L250^$T$4*($T$5*$I250^$T$6+$T$7)</f>
        <v>0.285058524948039</v>
      </c>
      <c r="T250" s="4" t="n">
        <f aca="false">S250/$K250</f>
        <v>1.42529262474019</v>
      </c>
      <c r="V250" s="4"/>
      <c r="W250" s="4"/>
    </row>
    <row r="251" customFormat="false" ht="14.25" hidden="false" customHeight="false" outlineLevel="0" collapsed="false">
      <c r="B251" s="2" t="n">
        <v>20</v>
      </c>
      <c r="C251" s="3" t="n">
        <v>528</v>
      </c>
      <c r="D251" s="3" t="n">
        <v>3</v>
      </c>
      <c r="E251" s="2" t="n">
        <v>12</v>
      </c>
      <c r="F251" s="4" t="n">
        <v>2.98</v>
      </c>
      <c r="G251" s="2" t="n">
        <v>25</v>
      </c>
      <c r="H251" s="2" t="n">
        <v>35</v>
      </c>
      <c r="I251" s="5" t="n">
        <v>0.132686669519698</v>
      </c>
      <c r="J251" s="4" t="n">
        <v>502.059011853244</v>
      </c>
      <c r="K251" s="4" t="n">
        <v>0.22</v>
      </c>
      <c r="L251" s="6" t="n">
        <f aca="false">J251/200000</f>
        <v>0.00251029505926622</v>
      </c>
      <c r="P251" s="4" t="n">
        <f aca="false">$Q$2*($Q$3*$G251+$Q$4*$B251^$Q$5*$I251^$Q$6)*$L251^$Q$7</f>
        <v>0.289332601260029</v>
      </c>
      <c r="Q251" s="4" t="n">
        <f aca="false">P251/$K251</f>
        <v>1.31514818754559</v>
      </c>
      <c r="S251" s="4" t="n">
        <f aca="false">$T$2*$B251^$T$3*$L251^$T$4*($T$5*$I251^$T$6+$T$7)</f>
        <v>0.306483971031077</v>
      </c>
      <c r="T251" s="4" t="n">
        <f aca="false">S251/$K251</f>
        <v>1.39310895923217</v>
      </c>
      <c r="V251" s="4"/>
      <c r="W251" s="4"/>
    </row>
    <row r="252" customFormat="false" ht="14.25" hidden="false" customHeight="false" outlineLevel="0" collapsed="false">
      <c r="A252" s="1" t="s">
        <v>72</v>
      </c>
      <c r="B252" s="2" t="n">
        <v>28</v>
      </c>
      <c r="C252" s="3" t="n">
        <v>400</v>
      </c>
      <c r="D252" s="3" t="n">
        <v>4</v>
      </c>
      <c r="E252" s="2" t="n">
        <v>16</v>
      </c>
      <c r="F252" s="4" t="n">
        <v>5.30847435710111</v>
      </c>
      <c r="G252" s="2" t="n">
        <v>30</v>
      </c>
      <c r="H252" s="2" t="n">
        <v>44</v>
      </c>
      <c r="I252" s="5" t="n">
        <v>0.221883118160293</v>
      </c>
      <c r="J252" s="4" t="n">
        <v>118.005970112131</v>
      </c>
      <c r="K252" s="4" t="n">
        <v>0.22</v>
      </c>
      <c r="L252" s="6" t="n">
        <f aca="false">J252/200000</f>
        <v>0.000590029850560654</v>
      </c>
      <c r="P252" s="4" t="n">
        <f aca="false">$Q$2*($Q$3*$G252+$Q$4*$B252^$Q$5*$I252^$Q$6)*$L252^$Q$7</f>
        <v>0.0966593407039567</v>
      </c>
      <c r="Q252" s="4" t="n">
        <f aca="false">P252/$K252</f>
        <v>0.43936063956344</v>
      </c>
      <c r="S252" s="4" t="n">
        <f aca="false">$T$2*$B252^$T$3*$L252^$T$4*($T$5*$I252^$T$6+$T$7)</f>
        <v>0.110251167342885</v>
      </c>
      <c r="T252" s="4" t="n">
        <f aca="false">S252/$K252</f>
        <v>0.501141669740385</v>
      </c>
      <c r="V252" s="4"/>
      <c r="W252" s="4"/>
    </row>
    <row r="253" customFormat="false" ht="14.25" hidden="false" customHeight="false" outlineLevel="0" collapsed="false">
      <c r="B253" s="2" t="n">
        <v>28</v>
      </c>
      <c r="C253" s="3" t="n">
        <v>400</v>
      </c>
      <c r="D253" s="3" t="n">
        <v>4</v>
      </c>
      <c r="E253" s="2" t="n">
        <v>16</v>
      </c>
      <c r="F253" s="4" t="n">
        <v>5.30847435710111</v>
      </c>
      <c r="G253" s="2" t="n">
        <v>30</v>
      </c>
      <c r="H253" s="2" t="n">
        <v>44</v>
      </c>
      <c r="I253" s="5" t="n">
        <v>0.221883118160293</v>
      </c>
      <c r="J253" s="4" t="n">
        <v>169.899985574077</v>
      </c>
      <c r="K253" s="4" t="n">
        <v>0.25</v>
      </c>
      <c r="L253" s="6" t="n">
        <f aca="false">J253/200000</f>
        <v>0.000849499927870385</v>
      </c>
      <c r="P253" s="4" t="n">
        <f aca="false">$Q$2*($Q$3*$G253+$Q$4*$B253^$Q$5*$I253^$Q$6)*$L253^$Q$7</f>
        <v>0.131186853086219</v>
      </c>
      <c r="Q253" s="4" t="n">
        <f aca="false">P253/$K253</f>
        <v>0.524747412344877</v>
      </c>
      <c r="S253" s="4" t="n">
        <f aca="false">$T$2*$B253^$T$3*$L253^$T$4*($T$5*$I253^$T$6+$T$7)</f>
        <v>0.150508945170546</v>
      </c>
      <c r="T253" s="4" t="n">
        <f aca="false">S253/$K253</f>
        <v>0.602035780682184</v>
      </c>
      <c r="V253" s="4"/>
      <c r="W253" s="4"/>
    </row>
    <row r="254" customFormat="false" ht="14.25" hidden="false" customHeight="false" outlineLevel="0" collapsed="false">
      <c r="B254" s="2" t="n">
        <v>28</v>
      </c>
      <c r="C254" s="3" t="n">
        <v>400</v>
      </c>
      <c r="D254" s="3" t="n">
        <v>4</v>
      </c>
      <c r="E254" s="2" t="n">
        <v>16</v>
      </c>
      <c r="F254" s="4" t="n">
        <v>5.30847435710111</v>
      </c>
      <c r="G254" s="2" t="n">
        <v>30</v>
      </c>
      <c r="H254" s="2" t="n">
        <v>44</v>
      </c>
      <c r="I254" s="5" t="n">
        <v>0.221883118160293</v>
      </c>
      <c r="J254" s="4" t="n">
        <v>202.205843572131</v>
      </c>
      <c r="K254" s="4" t="n">
        <v>0.29</v>
      </c>
      <c r="L254" s="6" t="n">
        <f aca="false">J254/200000</f>
        <v>0.00101102921786066</v>
      </c>
      <c r="P254" s="4" t="n">
        <f aca="false">$Q$2*($Q$3*$G254+$Q$4*$B254^$Q$5*$I254^$Q$6)*$L254^$Q$7</f>
        <v>0.151790089187695</v>
      </c>
      <c r="Q254" s="4" t="n">
        <f aca="false">P254/$K254</f>
        <v>0.523414100647223</v>
      </c>
      <c r="S254" s="4" t="n">
        <f aca="false">$T$2*$B254^$T$3*$L254^$T$4*($T$5*$I254^$T$6+$T$7)</f>
        <v>0.174632479218009</v>
      </c>
      <c r="T254" s="4" t="n">
        <f aca="false">S254/$K254</f>
        <v>0.602180962820722</v>
      </c>
      <c r="V254" s="4"/>
      <c r="W254" s="4"/>
    </row>
    <row r="255" customFormat="false" ht="14.25" hidden="false" customHeight="false" outlineLevel="0" collapsed="false">
      <c r="B255" s="2" t="n">
        <v>28</v>
      </c>
      <c r="C255" s="3" t="n">
        <v>400</v>
      </c>
      <c r="D255" s="3" t="n">
        <v>4</v>
      </c>
      <c r="E255" s="2" t="n">
        <v>16</v>
      </c>
      <c r="F255" s="4" t="n">
        <v>5.30847435710111</v>
      </c>
      <c r="G255" s="2" t="n">
        <v>30</v>
      </c>
      <c r="H255" s="2" t="n">
        <v>44</v>
      </c>
      <c r="I255" s="5" t="n">
        <v>0.221883118160293</v>
      </c>
      <c r="J255" s="4" t="n">
        <v>239.333471420642</v>
      </c>
      <c r="K255" s="4" t="n">
        <v>0.31</v>
      </c>
      <c r="L255" s="6" t="n">
        <f aca="false">J255/200000</f>
        <v>0.00119666735710321</v>
      </c>
      <c r="P255" s="4" t="n">
        <f aca="false">$Q$2*($Q$3*$G255+$Q$4*$B255^$Q$5*$I255^$Q$6)*$L255^$Q$7</f>
        <v>0.174820829484172</v>
      </c>
      <c r="Q255" s="4" t="n">
        <f aca="false">P255/$K255</f>
        <v>0.563938159626363</v>
      </c>
      <c r="S255" s="4" t="n">
        <f aca="false">$T$2*$B255^$T$3*$L255^$T$4*($T$5*$I255^$T$6+$T$7)</f>
        <v>0.201672246377269</v>
      </c>
      <c r="T255" s="4" t="n">
        <f aca="false">S255/$K255</f>
        <v>0.65055563347506</v>
      </c>
      <c r="V255" s="4"/>
      <c r="W255" s="4"/>
    </row>
    <row r="256" customFormat="false" ht="14.25" hidden="false" customHeight="false" outlineLevel="0" collapsed="false">
      <c r="B256" s="2" t="n">
        <v>28</v>
      </c>
      <c r="C256" s="3" t="n">
        <v>400</v>
      </c>
      <c r="D256" s="3" t="n">
        <v>4</v>
      </c>
      <c r="E256" s="2" t="n">
        <v>16</v>
      </c>
      <c r="F256" s="4" t="n">
        <v>5.30847435710111</v>
      </c>
      <c r="G256" s="2" t="n">
        <v>30</v>
      </c>
      <c r="H256" s="2" t="n">
        <v>44</v>
      </c>
      <c r="I256" s="5" t="n">
        <v>0.221883118160293</v>
      </c>
      <c r="J256" s="4" t="n">
        <v>297.194709626112</v>
      </c>
      <c r="K256" s="4" t="n">
        <v>0.33</v>
      </c>
      <c r="L256" s="6" t="n">
        <f aca="false">J256/200000</f>
        <v>0.00148597354813056</v>
      </c>
      <c r="P256" s="4" t="n">
        <f aca="false">$Q$2*($Q$3*$G256+$Q$4*$B256^$Q$5*$I256^$Q$6)*$L256^$Q$7</f>
        <v>0.209602623381523</v>
      </c>
      <c r="Q256" s="4" t="n">
        <f aca="false">P256/$K256</f>
        <v>0.635159464792495</v>
      </c>
      <c r="S256" s="4" t="n">
        <f aca="false">$T$2*$B256^$T$3*$L256^$T$4*($T$5*$I256^$T$6+$T$7)</f>
        <v>0.242635462342208</v>
      </c>
      <c r="T256" s="4" t="n">
        <f aca="false">S256/$K256</f>
        <v>0.73525897679457</v>
      </c>
      <c r="V256" s="4"/>
      <c r="W256" s="4"/>
    </row>
    <row r="257" customFormat="false" ht="14.25" hidden="false" customHeight="false" outlineLevel="0" collapsed="false">
      <c r="B257" s="2" t="n">
        <v>28</v>
      </c>
      <c r="C257" s="3" t="n">
        <v>400</v>
      </c>
      <c r="D257" s="3" t="n">
        <v>4</v>
      </c>
      <c r="E257" s="2" t="n">
        <v>16</v>
      </c>
      <c r="F257" s="4" t="n">
        <v>5.30847435710111</v>
      </c>
      <c r="G257" s="2" t="n">
        <v>30</v>
      </c>
      <c r="H257" s="2" t="n">
        <v>44</v>
      </c>
      <c r="I257" s="5" t="n">
        <v>0.221883118160293</v>
      </c>
      <c r="J257" s="4" t="n">
        <v>326.607505713894</v>
      </c>
      <c r="K257" s="4" t="n">
        <v>0.34</v>
      </c>
      <c r="L257" s="6" t="n">
        <f aca="false">J257/200000</f>
        <v>0.00163303752856947</v>
      </c>
      <c r="P257" s="4" t="n">
        <f aca="false">$Q$2*($Q$3*$G257+$Q$4*$B257^$Q$5*$I257^$Q$6)*$L257^$Q$7</f>
        <v>0.226851793214824</v>
      </c>
      <c r="Q257" s="4" t="n">
        <f aca="false">P257/$K257</f>
        <v>0.667211156514187</v>
      </c>
      <c r="S257" s="4" t="n">
        <f aca="false">$T$2*$B257^$T$3*$L257^$T$4*($T$5*$I257^$T$6+$T$7)</f>
        <v>0.262999873405849</v>
      </c>
      <c r="T257" s="4" t="n">
        <f aca="false">S257/$K257</f>
        <v>0.773529039428968</v>
      </c>
      <c r="V257" s="4"/>
      <c r="W257" s="4"/>
    </row>
    <row r="258" customFormat="false" ht="14.25" hidden="false" customHeight="false" outlineLevel="0" collapsed="false">
      <c r="B258" s="2" t="n">
        <v>28</v>
      </c>
      <c r="C258" s="3" t="n">
        <v>400</v>
      </c>
      <c r="D258" s="3" t="n">
        <v>4</v>
      </c>
      <c r="E258" s="2" t="n">
        <v>16</v>
      </c>
      <c r="F258" s="4" t="n">
        <v>5.30847435710111</v>
      </c>
      <c r="G258" s="2" t="n">
        <v>30</v>
      </c>
      <c r="H258" s="2" t="n">
        <v>44</v>
      </c>
      <c r="I258" s="5" t="n">
        <v>0.221883118160293</v>
      </c>
      <c r="J258" s="4" t="n">
        <v>369.521257382951</v>
      </c>
      <c r="K258" s="4" t="n">
        <v>0.37</v>
      </c>
      <c r="L258" s="6" t="n">
        <f aca="false">J258/200000</f>
        <v>0.00184760628691475</v>
      </c>
      <c r="P258" s="4" t="n">
        <f aca="false">$Q$2*($Q$3*$G258+$Q$4*$B258^$Q$5*$I258^$Q$6)*$L258^$Q$7</f>
        <v>0.251576536363831</v>
      </c>
      <c r="Q258" s="4" t="n">
        <f aca="false">P258/$K258</f>
        <v>0.67993658476711</v>
      </c>
      <c r="S258" s="4" t="n">
        <f aca="false">$T$2*$B258^$T$3*$L258^$T$4*($T$5*$I258^$T$6+$T$7)</f>
        <v>0.292241083018539</v>
      </c>
      <c r="T258" s="4" t="n">
        <f aca="false">S258/$K258</f>
        <v>0.789840764914971</v>
      </c>
      <c r="V258" s="4"/>
      <c r="W258" s="4"/>
    </row>
    <row r="259" customFormat="false" ht="14.25" hidden="false" customHeight="false" outlineLevel="0" collapsed="false">
      <c r="A259" s="1" t="s">
        <v>73</v>
      </c>
      <c r="B259" s="2" t="n">
        <v>15.9</v>
      </c>
      <c r="C259" s="3" t="n">
        <v>392</v>
      </c>
      <c r="D259" s="3" t="n">
        <v>2</v>
      </c>
      <c r="E259" s="2" t="n">
        <v>46</v>
      </c>
      <c r="F259" s="4" t="n">
        <v>2.82587739786632</v>
      </c>
      <c r="G259" s="2" t="n">
        <v>30</v>
      </c>
      <c r="H259" s="2" t="n">
        <v>38</v>
      </c>
      <c r="I259" s="5" t="n">
        <v>0.0441483882303684</v>
      </c>
      <c r="J259" s="4" t="n">
        <v>341.987226744007</v>
      </c>
      <c r="K259" s="4" t="n">
        <v>0.2</v>
      </c>
      <c r="L259" s="6" t="n">
        <f aca="false">J259/200000</f>
        <v>0.00170993613372003</v>
      </c>
      <c r="P259" s="4" t="n">
        <f aca="false">$Q$2*($Q$3*$G259+$Q$4*$B259^$Q$5*$I259^$Q$6)*$L259^$Q$7</f>
        <v>0.280508420704612</v>
      </c>
      <c r="Q259" s="4" t="n">
        <f aca="false">P259/$K259</f>
        <v>1.40254210352306</v>
      </c>
      <c r="S259" s="4" t="n">
        <f aca="false">$T$2*$B259^$T$3*$L259^$T$4*($T$5*$I259^$T$6+$T$7)</f>
        <v>0.271436318483236</v>
      </c>
      <c r="T259" s="4" t="n">
        <f aca="false">S259/$K259</f>
        <v>1.35718159241618</v>
      </c>
      <c r="V259" s="4"/>
      <c r="W259" s="4"/>
    </row>
    <row r="260" customFormat="false" ht="14.25" hidden="false" customHeight="false" outlineLevel="0" collapsed="false">
      <c r="B260" s="2" t="n">
        <v>15.9</v>
      </c>
      <c r="C260" s="3" t="n">
        <v>392</v>
      </c>
      <c r="D260" s="3" t="n">
        <v>2</v>
      </c>
      <c r="E260" s="2" t="n">
        <v>46</v>
      </c>
      <c r="F260" s="4" t="n">
        <v>2.82587739786632</v>
      </c>
      <c r="G260" s="2" t="n">
        <v>30</v>
      </c>
      <c r="H260" s="2" t="n">
        <v>38</v>
      </c>
      <c r="I260" s="5" t="n">
        <v>0.0441483882303684</v>
      </c>
      <c r="J260" s="4" t="n">
        <v>377.934520636081</v>
      </c>
      <c r="K260" s="4" t="n">
        <v>0.35</v>
      </c>
      <c r="L260" s="6" t="n">
        <f aca="false">J260/200000</f>
        <v>0.00188967260318041</v>
      </c>
      <c r="P260" s="4" t="n">
        <f aca="false">$Q$2*($Q$3*$G260+$Q$4*$B260^$Q$5*$I260^$Q$6)*$L260^$Q$7</f>
        <v>0.305014649345921</v>
      </c>
      <c r="Q260" s="4" t="n">
        <f aca="false">P260/$K260</f>
        <v>0.871470426702632</v>
      </c>
      <c r="S260" s="4" t="n">
        <f aca="false">$T$2*$B260^$T$3*$L260^$T$4*($T$5*$I260^$T$6+$T$7)</f>
        <v>0.295622345461089</v>
      </c>
      <c r="T260" s="4" t="n">
        <f aca="false">S260/$K260</f>
        <v>0.844635272745968</v>
      </c>
      <c r="V260" s="4"/>
      <c r="W260" s="4"/>
    </row>
    <row r="261" customFormat="false" ht="14.25" hidden="false" customHeight="false" outlineLevel="0" collapsed="false">
      <c r="A261" s="1" t="s">
        <v>74</v>
      </c>
      <c r="B261" s="2" t="n">
        <v>15.9</v>
      </c>
      <c r="C261" s="3" t="n">
        <v>392</v>
      </c>
      <c r="D261" s="3" t="n">
        <v>2</v>
      </c>
      <c r="E261" s="2" t="n">
        <v>46</v>
      </c>
      <c r="F261" s="4" t="n">
        <v>2.82587739786632</v>
      </c>
      <c r="G261" s="2" t="n">
        <v>30</v>
      </c>
      <c r="H261" s="2" t="n">
        <v>38</v>
      </c>
      <c r="I261" s="5" t="n">
        <v>0.0441483882303684</v>
      </c>
      <c r="J261" s="4" t="n">
        <v>343.553457893271</v>
      </c>
      <c r="K261" s="4" t="n">
        <v>0.2</v>
      </c>
      <c r="L261" s="6" t="n">
        <f aca="false">J261/200000</f>
        <v>0.00171776728946635</v>
      </c>
      <c r="P261" s="4" t="n">
        <f aca="false">$Q$2*($Q$3*$G261+$Q$4*$B261^$Q$5*$I261^$Q$6)*$L261^$Q$7</f>
        <v>0.28158457623339</v>
      </c>
      <c r="Q261" s="4" t="n">
        <f aca="false">P261/$K261</f>
        <v>1.40792288116695</v>
      </c>
      <c r="S261" s="4" t="n">
        <f aca="false">$T$2*$B261^$T$3*$L261^$T$4*($T$5*$I261^$T$6+$T$7)</f>
        <v>0.272497590791282</v>
      </c>
      <c r="T261" s="4" t="n">
        <f aca="false">S261/$K261</f>
        <v>1.36248795395641</v>
      </c>
      <c r="V261" s="4"/>
      <c r="W261" s="4"/>
    </row>
    <row r="262" customFormat="false" ht="14.25" hidden="false" customHeight="false" outlineLevel="0" collapsed="false">
      <c r="B262" s="2" t="n">
        <v>15.9</v>
      </c>
      <c r="C262" s="3" t="n">
        <v>392</v>
      </c>
      <c r="D262" s="3" t="n">
        <v>2</v>
      </c>
      <c r="E262" s="2" t="n">
        <v>46</v>
      </c>
      <c r="F262" s="4" t="n">
        <v>2.82587739786632</v>
      </c>
      <c r="G262" s="2" t="n">
        <v>30</v>
      </c>
      <c r="H262" s="2" t="n">
        <v>38</v>
      </c>
      <c r="I262" s="5" t="n">
        <v>0.0441483882303684</v>
      </c>
      <c r="J262" s="4" t="n">
        <v>377.934520636081</v>
      </c>
      <c r="K262" s="4" t="n">
        <v>0.25</v>
      </c>
      <c r="L262" s="6" t="n">
        <f aca="false">J262/200000</f>
        <v>0.00188967260318041</v>
      </c>
      <c r="P262" s="4" t="n">
        <f aca="false">$Q$2*($Q$3*$G262+$Q$4*$B262^$Q$5*$I262^$Q$6)*$L262^$Q$7</f>
        <v>0.305014649345921</v>
      </c>
      <c r="Q262" s="4" t="n">
        <f aca="false">P262/$K262</f>
        <v>1.22005859738368</v>
      </c>
      <c r="S262" s="4" t="n">
        <f aca="false">$T$2*$B262^$T$3*$L262^$T$4*($T$5*$I262^$T$6+$T$7)</f>
        <v>0.295622345461089</v>
      </c>
      <c r="T262" s="4" t="n">
        <f aca="false">S262/$K262</f>
        <v>1.18248938184435</v>
      </c>
      <c r="V262" s="4"/>
      <c r="W262" s="4"/>
    </row>
    <row r="263" customFormat="false" ht="14.25" hidden="false" customHeight="false" outlineLevel="0" collapsed="false">
      <c r="A263" s="1" t="s">
        <v>75</v>
      </c>
      <c r="B263" s="2" t="n">
        <v>15.9</v>
      </c>
      <c r="C263" s="3" t="n">
        <v>392</v>
      </c>
      <c r="D263" s="3" t="n">
        <v>2</v>
      </c>
      <c r="E263" s="2" t="n">
        <v>46</v>
      </c>
      <c r="F263" s="4" t="n">
        <v>2.82587739786632</v>
      </c>
      <c r="G263" s="2" t="n">
        <v>30</v>
      </c>
      <c r="H263" s="2" t="n">
        <v>38</v>
      </c>
      <c r="I263" s="5" t="n">
        <v>0.0441483882303684</v>
      </c>
      <c r="J263" s="4" t="n">
        <v>343.553457893271</v>
      </c>
      <c r="K263" s="4" t="n">
        <v>0.2</v>
      </c>
      <c r="L263" s="6" t="n">
        <f aca="false">J263/200000</f>
        <v>0.00171776728946635</v>
      </c>
      <c r="P263" s="4" t="n">
        <f aca="false">$Q$2*($Q$3*$G263+$Q$4*$B263^$Q$5*$I263^$Q$6)*$L263^$Q$7</f>
        <v>0.28158457623339</v>
      </c>
      <c r="Q263" s="4" t="n">
        <f aca="false">P263/$K263</f>
        <v>1.40792288116695</v>
      </c>
      <c r="S263" s="4" t="n">
        <f aca="false">$T$2*$B263^$T$3*$L263^$T$4*($T$5*$I263^$T$6+$T$7)</f>
        <v>0.272497590791282</v>
      </c>
      <c r="T263" s="4" t="n">
        <f aca="false">S263/$K263</f>
        <v>1.36248795395641</v>
      </c>
      <c r="V263" s="4"/>
      <c r="W263" s="4"/>
    </row>
    <row r="264" customFormat="false" ht="14.25" hidden="false" customHeight="false" outlineLevel="0" collapsed="false">
      <c r="B264" s="2" t="n">
        <v>15.9</v>
      </c>
      <c r="C264" s="3" t="n">
        <v>392</v>
      </c>
      <c r="D264" s="3" t="n">
        <v>2</v>
      </c>
      <c r="E264" s="2" t="n">
        <v>46</v>
      </c>
      <c r="F264" s="4" t="n">
        <v>2.82587739786632</v>
      </c>
      <c r="G264" s="2" t="n">
        <v>30</v>
      </c>
      <c r="H264" s="2" t="n">
        <v>38</v>
      </c>
      <c r="I264" s="5" t="n">
        <v>0.0441483882303684</v>
      </c>
      <c r="J264" s="4" t="n">
        <v>377.934520636081</v>
      </c>
      <c r="K264" s="4" t="n">
        <v>0.25</v>
      </c>
      <c r="L264" s="6" t="n">
        <f aca="false">J264/200000</f>
        <v>0.00188967260318041</v>
      </c>
      <c r="P264" s="4" t="n">
        <f aca="false">$Q$2*($Q$3*$G264+$Q$4*$B264^$Q$5*$I264^$Q$6)*$L264^$Q$7</f>
        <v>0.305014649345921</v>
      </c>
      <c r="Q264" s="4" t="n">
        <f aca="false">P264/$K264</f>
        <v>1.22005859738368</v>
      </c>
      <c r="S264" s="4" t="n">
        <f aca="false">$T$2*$B264^$T$3*$L264^$T$4*($T$5*$I264^$T$6+$T$7)</f>
        <v>0.295622345461089</v>
      </c>
      <c r="T264" s="4" t="n">
        <f aca="false">S264/$K264</f>
        <v>1.18248938184435</v>
      </c>
      <c r="V264" s="4"/>
      <c r="W264" s="4"/>
    </row>
    <row r="265" customFormat="false" ht="14.25" hidden="false" customHeight="false" outlineLevel="0" collapsed="false">
      <c r="A265" s="1" t="s">
        <v>76</v>
      </c>
      <c r="B265" s="2" t="n">
        <v>15.9</v>
      </c>
      <c r="C265" s="3" t="n">
        <v>392</v>
      </c>
      <c r="D265" s="3" t="n">
        <v>2</v>
      </c>
      <c r="E265" s="2" t="n">
        <v>46</v>
      </c>
      <c r="F265" s="4" t="n">
        <v>2.82587739786632</v>
      </c>
      <c r="G265" s="2" t="n">
        <v>30</v>
      </c>
      <c r="H265" s="2" t="n">
        <v>38</v>
      </c>
      <c r="I265" s="5" t="n">
        <v>0.0441483882303684</v>
      </c>
      <c r="J265" s="4" t="n">
        <v>345.119689042535</v>
      </c>
      <c r="K265" s="4" t="n">
        <v>0.2</v>
      </c>
      <c r="L265" s="6" t="n">
        <f aca="false">J265/200000</f>
        <v>0.00172559844521268</v>
      </c>
      <c r="P265" s="4" t="n">
        <f aca="false">$Q$2*($Q$3*$G265+$Q$4*$B265^$Q$5*$I265^$Q$6)*$L265^$Q$7</f>
        <v>0.28265993726409</v>
      </c>
      <c r="Q265" s="4" t="n">
        <f aca="false">P265/$K265</f>
        <v>1.41329968632045</v>
      </c>
      <c r="S265" s="4" t="n">
        <f aca="false">$T$2*$B265^$T$3*$L265^$T$4*($T$5*$I265^$T$6+$T$7)</f>
        <v>0.27355815694714</v>
      </c>
      <c r="T265" s="4" t="n">
        <f aca="false">S265/$K265</f>
        <v>1.3677907847357</v>
      </c>
      <c r="V265" s="4"/>
      <c r="W265" s="4"/>
    </row>
    <row r="266" customFormat="false" ht="14.25" hidden="false" customHeight="false" outlineLevel="0" collapsed="false">
      <c r="B266" s="2" t="n">
        <v>15.9</v>
      </c>
      <c r="C266" s="3" t="n">
        <v>392</v>
      </c>
      <c r="D266" s="3" t="n">
        <v>2</v>
      </c>
      <c r="E266" s="2" t="n">
        <v>46</v>
      </c>
      <c r="F266" s="4" t="n">
        <v>2.82587739786632</v>
      </c>
      <c r="G266" s="2" t="n">
        <v>30</v>
      </c>
      <c r="H266" s="2" t="n">
        <v>38</v>
      </c>
      <c r="I266" s="5" t="n">
        <v>0.0441483882303684</v>
      </c>
      <c r="J266" s="4" t="n">
        <v>377.934520636081</v>
      </c>
      <c r="K266" s="4" t="n">
        <v>0.3</v>
      </c>
      <c r="L266" s="6" t="n">
        <f aca="false">J266/200000</f>
        <v>0.00188967260318041</v>
      </c>
      <c r="P266" s="4" t="n">
        <f aca="false">$Q$2*($Q$3*$G266+$Q$4*$B266^$Q$5*$I266^$Q$6)*$L266^$Q$7</f>
        <v>0.305014649345921</v>
      </c>
      <c r="Q266" s="4" t="n">
        <f aca="false">P266/$K266</f>
        <v>1.01671549781974</v>
      </c>
      <c r="S266" s="4" t="n">
        <f aca="false">$T$2*$B266^$T$3*$L266^$T$4*($T$5*$I266^$T$6+$T$7)</f>
        <v>0.295622345461089</v>
      </c>
      <c r="T266" s="4" t="n">
        <f aca="false">S266/$K266</f>
        <v>0.985407818203629</v>
      </c>
      <c r="V266" s="4"/>
      <c r="W266" s="4"/>
    </row>
    <row r="267" customFormat="false" ht="14.25" hidden="false" customHeight="false" outlineLevel="0" collapsed="false">
      <c r="A267" s="1" t="s">
        <v>77</v>
      </c>
      <c r="B267" s="2" t="n">
        <v>12.7</v>
      </c>
      <c r="C267" s="3" t="n">
        <v>392</v>
      </c>
      <c r="D267" s="3" t="n">
        <v>2</v>
      </c>
      <c r="E267" s="2" t="n">
        <v>52</v>
      </c>
      <c r="F267" s="4" t="n">
        <v>2.92087587098479</v>
      </c>
      <c r="G267" s="2" t="n">
        <v>30</v>
      </c>
      <c r="H267" s="2" t="n">
        <v>36.5</v>
      </c>
      <c r="I267" s="5" t="n">
        <v>0.0264062779284379</v>
      </c>
      <c r="J267" s="4" t="n">
        <v>274.08621769744</v>
      </c>
      <c r="K267" s="4" t="n">
        <v>0.15</v>
      </c>
      <c r="L267" s="6" t="n">
        <f aca="false">J267/200000</f>
        <v>0.0013704310884872</v>
      </c>
      <c r="P267" s="4" t="n">
        <f aca="false">$Q$2*($Q$3*$G267+$Q$4*$B267^$Q$5*$I267^$Q$6)*$L267^$Q$7</f>
        <v>0.234588308102655</v>
      </c>
      <c r="Q267" s="4" t="n">
        <f aca="false">P267/$K267</f>
        <v>1.5639220540177</v>
      </c>
      <c r="S267" s="4" t="n">
        <f aca="false">$T$2*$B267^$T$3*$L267^$T$4*($T$5*$I267^$T$6+$T$7)</f>
        <v>0.225508734207478</v>
      </c>
      <c r="T267" s="4" t="n">
        <f aca="false">S267/$K267</f>
        <v>1.50339156138318</v>
      </c>
      <c r="V267" s="4"/>
      <c r="W267" s="4"/>
    </row>
    <row r="268" customFormat="false" ht="14.25" hidden="false" customHeight="false" outlineLevel="0" collapsed="false">
      <c r="B268" s="2" t="n">
        <v>12.7</v>
      </c>
      <c r="C268" s="3" t="n">
        <v>392</v>
      </c>
      <c r="D268" s="3" t="n">
        <v>2</v>
      </c>
      <c r="E268" s="2" t="n">
        <v>52</v>
      </c>
      <c r="F268" s="4" t="n">
        <v>2.92087587098479</v>
      </c>
      <c r="G268" s="2" t="n">
        <v>30</v>
      </c>
      <c r="H268" s="2" t="n">
        <v>36.5</v>
      </c>
      <c r="I268" s="5" t="n">
        <v>0.0264062779284379</v>
      </c>
      <c r="J268" s="4" t="n">
        <v>369.762065941581</v>
      </c>
      <c r="K268" s="4" t="n">
        <v>0.2</v>
      </c>
      <c r="L268" s="6" t="n">
        <f aca="false">J268/200000</f>
        <v>0.0018488103297079</v>
      </c>
      <c r="P268" s="4" t="n">
        <f aca="false">$Q$2*($Q$3*$G268+$Q$4*$B268^$Q$5*$I268^$Q$6)*$L268^$Q$7</f>
        <v>0.301492022035372</v>
      </c>
      <c r="Q268" s="4" t="n">
        <f aca="false">P268/$K268</f>
        <v>1.50746011017686</v>
      </c>
      <c r="S268" s="4" t="n">
        <f aca="false">$T$2*$B268^$T$3*$L268^$T$4*($T$5*$I268^$T$6+$T$7)</f>
        <v>0.291214765446328</v>
      </c>
      <c r="T268" s="4" t="n">
        <f aca="false">S268/$K268</f>
        <v>1.45607382723164</v>
      </c>
      <c r="V268" s="4"/>
      <c r="W268" s="4"/>
    </row>
    <row r="269" customFormat="false" ht="14.25" hidden="false" customHeight="false" outlineLevel="0" collapsed="false">
      <c r="A269" s="1" t="s">
        <v>78</v>
      </c>
      <c r="B269" s="2" t="n">
        <v>12.7</v>
      </c>
      <c r="C269" s="3" t="n">
        <v>392</v>
      </c>
      <c r="D269" s="3" t="n">
        <v>2</v>
      </c>
      <c r="E269" s="2" t="n">
        <v>52</v>
      </c>
      <c r="F269" s="4" t="n">
        <v>2.92087587098479</v>
      </c>
      <c r="G269" s="2" t="n">
        <v>30</v>
      </c>
      <c r="H269" s="2" t="n">
        <v>36.5</v>
      </c>
      <c r="I269" s="5" t="n">
        <v>0.0264062779284379</v>
      </c>
      <c r="J269" s="4" t="n">
        <v>276.672496860353</v>
      </c>
      <c r="K269" s="4" t="n">
        <v>0.15</v>
      </c>
      <c r="L269" s="6" t="n">
        <f aca="false">J269/200000</f>
        <v>0.00138336248430176</v>
      </c>
      <c r="P269" s="4" t="n">
        <f aca="false">$Q$2*($Q$3*$G269+$Q$4*$B269^$Q$5*$I269^$Q$6)*$L269^$Q$7</f>
        <v>0.236441872705937</v>
      </c>
      <c r="Q269" s="4" t="n">
        <f aca="false">P269/$K269</f>
        <v>1.57627915137291</v>
      </c>
      <c r="S269" s="4" t="n">
        <f aca="false">$T$2*$B269^$T$3*$L269^$T$4*($T$5*$I269^$T$6+$T$7)</f>
        <v>0.227324715026844</v>
      </c>
      <c r="T269" s="4" t="n">
        <f aca="false">S269/$K269</f>
        <v>1.51549810017896</v>
      </c>
      <c r="V269" s="4"/>
      <c r="W269" s="4"/>
    </row>
    <row r="270" customFormat="false" ht="14.25" hidden="false" customHeight="false" outlineLevel="0" collapsed="false">
      <c r="B270" s="2" t="n">
        <v>12.7</v>
      </c>
      <c r="C270" s="3" t="n">
        <v>392</v>
      </c>
      <c r="D270" s="3" t="n">
        <v>2</v>
      </c>
      <c r="E270" s="2" t="n">
        <v>52</v>
      </c>
      <c r="F270" s="4" t="n">
        <v>2.92087587098479</v>
      </c>
      <c r="G270" s="2" t="n">
        <v>30</v>
      </c>
      <c r="H270" s="2" t="n">
        <v>36.5</v>
      </c>
      <c r="I270" s="5" t="n">
        <v>0.0264062779284379</v>
      </c>
      <c r="J270" s="4" t="n">
        <v>369.762065941581</v>
      </c>
      <c r="K270" s="4" t="n">
        <v>0.2</v>
      </c>
      <c r="L270" s="6" t="n">
        <f aca="false">J270/200000</f>
        <v>0.0018488103297079</v>
      </c>
      <c r="P270" s="4" t="n">
        <f aca="false">$Q$2*($Q$3*$G270+$Q$4*$B270^$Q$5*$I270^$Q$6)*$L270^$Q$7</f>
        <v>0.301492022035372</v>
      </c>
      <c r="Q270" s="4" t="n">
        <f aca="false">P270/$K270</f>
        <v>1.50746011017686</v>
      </c>
      <c r="S270" s="4" t="n">
        <f aca="false">$T$2*$B270^$T$3*$L270^$T$4*($T$5*$I270^$T$6+$T$7)</f>
        <v>0.291214765446328</v>
      </c>
      <c r="T270" s="4" t="n">
        <f aca="false">S270/$K270</f>
        <v>1.45607382723164</v>
      </c>
      <c r="V270" s="4"/>
      <c r="W270" s="4"/>
    </row>
    <row r="271" customFormat="false" ht="14.25" hidden="false" customHeight="false" outlineLevel="0" collapsed="false">
      <c r="A271" s="1" t="s">
        <v>79</v>
      </c>
      <c r="B271" s="2" t="n">
        <v>15.9</v>
      </c>
      <c r="C271" s="3" t="n">
        <v>392</v>
      </c>
      <c r="D271" s="3" t="n">
        <v>2</v>
      </c>
      <c r="E271" s="2" t="n">
        <v>46</v>
      </c>
      <c r="F271" s="4" t="n">
        <v>2.92087587098479</v>
      </c>
      <c r="G271" s="2" t="n">
        <v>30</v>
      </c>
      <c r="H271" s="2" t="n">
        <v>38</v>
      </c>
      <c r="I271" s="5" t="n">
        <v>0.0440349805383329</v>
      </c>
      <c r="J271" s="4" t="n">
        <v>221.513431356377</v>
      </c>
      <c r="K271" s="4" t="n">
        <v>0.15</v>
      </c>
      <c r="L271" s="6" t="n">
        <f aca="false">J271/200000</f>
        <v>0.00110756715678188</v>
      </c>
      <c r="P271" s="4" t="n">
        <f aca="false">$Q$2*($Q$3*$G271+$Q$4*$B271^$Q$5*$I271^$Q$6)*$L271^$Q$7</f>
        <v>0.1951813951927</v>
      </c>
      <c r="Q271" s="4" t="n">
        <f aca="false">P271/$K271</f>
        <v>1.30120930128466</v>
      </c>
      <c r="S271" s="4" t="n">
        <f aca="false">$T$2*$B271^$T$3*$L271^$T$4*($T$5*$I271^$T$6+$T$7)</f>
        <v>0.187558775344769</v>
      </c>
      <c r="T271" s="4" t="n">
        <f aca="false">S271/$K271</f>
        <v>1.25039183563179</v>
      </c>
      <c r="V271" s="4"/>
      <c r="W271" s="4"/>
    </row>
    <row r="272" customFormat="false" ht="14.25" hidden="false" customHeight="false" outlineLevel="0" collapsed="false">
      <c r="B272" s="2" t="n">
        <v>15.9</v>
      </c>
      <c r="C272" s="3" t="n">
        <v>392</v>
      </c>
      <c r="D272" s="3" t="n">
        <v>2</v>
      </c>
      <c r="E272" s="2" t="n">
        <v>46</v>
      </c>
      <c r="F272" s="4" t="n">
        <v>2.92087587098479</v>
      </c>
      <c r="G272" s="2" t="n">
        <v>30</v>
      </c>
      <c r="H272" s="2" t="n">
        <v>38</v>
      </c>
      <c r="I272" s="5" t="n">
        <v>0.0440349805383329</v>
      </c>
      <c r="J272" s="4" t="n">
        <v>345.727618051518</v>
      </c>
      <c r="K272" s="4" t="n">
        <v>0.25</v>
      </c>
      <c r="L272" s="6" t="n">
        <f aca="false">J272/200000</f>
        <v>0.00172863809025759</v>
      </c>
      <c r="P272" s="4" t="n">
        <f aca="false">$Q$2*($Q$3*$G272+$Q$4*$B272^$Q$5*$I272^$Q$6)*$L272^$Q$7</f>
        <v>0.283434242878223</v>
      </c>
      <c r="Q272" s="4" t="n">
        <f aca="false">P272/$K272</f>
        <v>1.13373697151289</v>
      </c>
      <c r="S272" s="4" t="n">
        <f aca="false">$T$2*$B272^$T$3*$L272^$T$4*($T$5*$I272^$T$6+$T$7)</f>
        <v>0.27431189001122</v>
      </c>
      <c r="T272" s="4" t="n">
        <f aca="false">S272/$K272</f>
        <v>1.09724756004488</v>
      </c>
      <c r="V272" s="4"/>
      <c r="W272" s="4"/>
    </row>
    <row r="273" customFormat="false" ht="14.25" hidden="false" customHeight="false" outlineLevel="0" collapsed="false">
      <c r="B273" s="2" t="n">
        <v>15.9</v>
      </c>
      <c r="C273" s="3" t="n">
        <v>392</v>
      </c>
      <c r="D273" s="3" t="n">
        <v>2</v>
      </c>
      <c r="E273" s="2" t="n">
        <v>46</v>
      </c>
      <c r="F273" s="4" t="n">
        <v>2.92087587098479</v>
      </c>
      <c r="G273" s="2" t="n">
        <v>30</v>
      </c>
      <c r="H273" s="2" t="n">
        <v>38</v>
      </c>
      <c r="I273" s="5" t="n">
        <v>0.0440349805383329</v>
      </c>
      <c r="J273" s="4" t="n">
        <v>377.476388519591</v>
      </c>
      <c r="K273" s="4" t="n">
        <v>0.3</v>
      </c>
      <c r="L273" s="6" t="n">
        <f aca="false">J273/200000</f>
        <v>0.00188738194259795</v>
      </c>
      <c r="P273" s="4" t="n">
        <f aca="false">$Q$2*($Q$3*$G273+$Q$4*$B273^$Q$5*$I273^$Q$6)*$L273^$Q$7</f>
        <v>0.305089182420706</v>
      </c>
      <c r="Q273" s="4" t="n">
        <f aca="false">P273/$K273</f>
        <v>1.01696394140235</v>
      </c>
      <c r="S273" s="4" t="n">
        <f aca="false">$T$2*$B273^$T$3*$L273^$T$4*($T$5*$I273^$T$6+$T$7)</f>
        <v>0.295685218906487</v>
      </c>
      <c r="T273" s="4" t="n">
        <f aca="false">S273/$K273</f>
        <v>0.985617396354956</v>
      </c>
      <c r="V273" s="4"/>
      <c r="W273" s="4"/>
    </row>
    <row r="274" customFormat="false" ht="14.25" hidden="false" customHeight="false" outlineLevel="0" collapsed="false">
      <c r="A274" s="1" t="s">
        <v>80</v>
      </c>
      <c r="B274" s="2" t="n">
        <v>15.9</v>
      </c>
      <c r="C274" s="3" t="n">
        <v>392</v>
      </c>
      <c r="D274" s="3" t="n">
        <v>2</v>
      </c>
      <c r="E274" s="2" t="n">
        <v>46</v>
      </c>
      <c r="F274" s="4" t="n">
        <v>2.92087587098479</v>
      </c>
      <c r="G274" s="2" t="n">
        <v>30</v>
      </c>
      <c r="H274" s="2" t="n">
        <v>38</v>
      </c>
      <c r="I274" s="5" t="n">
        <v>0.0440349805383329</v>
      </c>
      <c r="J274" s="4" t="n">
        <v>223.08576283353</v>
      </c>
      <c r="K274" s="4" t="n">
        <v>0.15</v>
      </c>
      <c r="L274" s="6" t="n">
        <f aca="false">J274/200000</f>
        <v>0.00111542881416765</v>
      </c>
      <c r="P274" s="4" t="n">
        <f aca="false">$Q$2*($Q$3*$G274+$Q$4*$B274^$Q$5*$I274^$Q$6)*$L274^$Q$7</f>
        <v>0.196341714172963</v>
      </c>
      <c r="Q274" s="4" t="n">
        <f aca="false">P274/$K274</f>
        <v>1.30894476115309</v>
      </c>
      <c r="S274" s="4" t="n">
        <f aca="false">$T$2*$B274^$T$3*$L274^$T$4*($T$5*$I274^$T$6+$T$7)</f>
        <v>0.188695132412821</v>
      </c>
      <c r="T274" s="4" t="n">
        <f aca="false">S274/$K274</f>
        <v>1.25796754941881</v>
      </c>
      <c r="V274" s="4"/>
      <c r="W274" s="4"/>
    </row>
    <row r="275" customFormat="false" ht="14.25" hidden="false" customHeight="false" outlineLevel="0" collapsed="false">
      <c r="B275" s="2" t="n">
        <v>15.9</v>
      </c>
      <c r="C275" s="3" t="n">
        <v>392</v>
      </c>
      <c r="D275" s="3" t="n">
        <v>2</v>
      </c>
      <c r="E275" s="2" t="n">
        <v>46</v>
      </c>
      <c r="F275" s="4" t="n">
        <v>2.92087587098479</v>
      </c>
      <c r="G275" s="2" t="n">
        <v>30</v>
      </c>
      <c r="H275" s="2" t="n">
        <v>38</v>
      </c>
      <c r="I275" s="5" t="n">
        <v>0.0440349805383329</v>
      </c>
      <c r="J275" s="4" t="n">
        <v>347.299949528671</v>
      </c>
      <c r="K275" s="4" t="n">
        <v>0.25</v>
      </c>
      <c r="L275" s="6" t="n">
        <f aca="false">J275/200000</f>
        <v>0.00173649974764336</v>
      </c>
      <c r="P275" s="4" t="n">
        <f aca="false">$Q$2*($Q$3*$G275+$Q$4*$B275^$Q$5*$I275^$Q$6)*$L275^$Q$7</f>
        <v>0.284514051120501</v>
      </c>
      <c r="Q275" s="4" t="n">
        <f aca="false">P275/$K275</f>
        <v>1.13805620448201</v>
      </c>
      <c r="S275" s="4" t="n">
        <f aca="false">$T$2*$B275^$T$3*$L275^$T$4*($T$5*$I275^$T$6+$T$7)</f>
        <v>0.275376936536698</v>
      </c>
      <c r="T275" s="4" t="n">
        <f aca="false">S275/$K275</f>
        <v>1.10150774614679</v>
      </c>
      <c r="V275" s="4"/>
      <c r="W275" s="4"/>
    </row>
    <row r="276" customFormat="false" ht="14.25" hidden="false" customHeight="false" outlineLevel="0" collapsed="false">
      <c r="A276" s="1" t="s">
        <v>81</v>
      </c>
      <c r="B276" s="2" t="n">
        <v>19.1</v>
      </c>
      <c r="C276" s="3" t="n">
        <v>392</v>
      </c>
      <c r="D276" s="3" t="n">
        <v>2</v>
      </c>
      <c r="E276" s="2" t="n">
        <v>40</v>
      </c>
      <c r="F276" s="4" t="n">
        <v>2.92087587098479</v>
      </c>
      <c r="G276" s="2" t="n">
        <v>30</v>
      </c>
      <c r="H276" s="2" t="n">
        <v>39.5</v>
      </c>
      <c r="I276" s="5" t="n">
        <v>0.0674188339618365</v>
      </c>
      <c r="J276" s="4" t="n">
        <v>149.774901723156</v>
      </c>
      <c r="K276" s="4" t="n">
        <v>0.15</v>
      </c>
      <c r="L276" s="6" t="n">
        <f aca="false">J276/200000</f>
        <v>0.000748874508615779</v>
      </c>
      <c r="P276" s="4" t="n">
        <f aca="false">$Q$2*($Q$3*$G276+$Q$4*$B276^$Q$5*$I276^$Q$6)*$L276^$Q$7</f>
        <v>0.139392912956523</v>
      </c>
      <c r="Q276" s="4" t="n">
        <f aca="false">P276/$K276</f>
        <v>0.929286086376822</v>
      </c>
      <c r="S276" s="4" t="n">
        <f aca="false">$T$2*$B276^$T$3*$L276^$T$4*($T$5*$I276^$T$6+$T$7)</f>
        <v>0.136012935370665</v>
      </c>
      <c r="T276" s="4" t="n">
        <f aca="false">S276/$K276</f>
        <v>0.906752902471099</v>
      </c>
      <c r="V276" s="4"/>
      <c r="W276" s="4"/>
    </row>
    <row r="277" customFormat="false" ht="14.25" hidden="false" customHeight="false" outlineLevel="0" collapsed="false">
      <c r="B277" s="2" t="n">
        <v>19.1</v>
      </c>
      <c r="C277" s="3" t="n">
        <v>392</v>
      </c>
      <c r="D277" s="3" t="n">
        <v>2</v>
      </c>
      <c r="E277" s="2" t="n">
        <v>40</v>
      </c>
      <c r="F277" s="4" t="n">
        <v>2.92087587098479</v>
      </c>
      <c r="G277" s="2" t="n">
        <v>30</v>
      </c>
      <c r="H277" s="2" t="n">
        <v>39.5</v>
      </c>
      <c r="I277" s="5" t="n">
        <v>0.0674188339618365</v>
      </c>
      <c r="J277" s="4" t="n">
        <v>233.111473659983</v>
      </c>
      <c r="K277" s="4" t="n">
        <v>0.2</v>
      </c>
      <c r="L277" s="6" t="n">
        <f aca="false">J277/200000</f>
        <v>0.00116555736829991</v>
      </c>
      <c r="P277" s="4" t="n">
        <f aca="false">$Q$2*($Q$3*$G277+$Q$4*$B277^$Q$5*$I277^$Q$6)*$L277^$Q$7</f>
        <v>0.201948724316917</v>
      </c>
      <c r="Q277" s="4" t="n">
        <f aca="false">P277/$K277</f>
        <v>1.00974362158458</v>
      </c>
      <c r="S277" s="4" t="n">
        <f aca="false">$T$2*$B277^$T$3*$L277^$T$4*($T$5*$I277^$T$6+$T$7)</f>
        <v>0.198451610395955</v>
      </c>
      <c r="T277" s="4" t="n">
        <f aca="false">S277/$K277</f>
        <v>0.992258051979773</v>
      </c>
      <c r="V277" s="4"/>
      <c r="W277" s="4"/>
    </row>
    <row r="278" customFormat="false" ht="14.25" hidden="false" customHeight="false" outlineLevel="0" collapsed="false">
      <c r="B278" s="2" t="n">
        <v>19.1</v>
      </c>
      <c r="C278" s="3" t="n">
        <v>392</v>
      </c>
      <c r="D278" s="3" t="n">
        <v>2</v>
      </c>
      <c r="E278" s="2" t="n">
        <v>40</v>
      </c>
      <c r="F278" s="4" t="n">
        <v>2.92087587098479</v>
      </c>
      <c r="G278" s="2" t="n">
        <v>30</v>
      </c>
      <c r="H278" s="2" t="n">
        <v>39.5</v>
      </c>
      <c r="I278" s="5" t="n">
        <v>0.0674188339618365</v>
      </c>
      <c r="J278" s="4" t="n">
        <v>317.913291839518</v>
      </c>
      <c r="K278" s="4" t="n">
        <v>0.3</v>
      </c>
      <c r="L278" s="6" t="n">
        <f aca="false">J278/200000</f>
        <v>0.00158956645919759</v>
      </c>
      <c r="P278" s="4" t="n">
        <f aca="false">$Q$2*($Q$3*$G278+$Q$4*$B278^$Q$5*$I278^$Q$6)*$L278^$Q$7</f>
        <v>0.261913240827022</v>
      </c>
      <c r="Q278" s="4" t="n">
        <f aca="false">P278/$K278</f>
        <v>0.873044136090073</v>
      </c>
      <c r="S278" s="4" t="n">
        <f aca="false">$T$2*$B278^$T$3*$L278^$T$4*($T$5*$I278^$T$6+$T$7)</f>
        <v>0.258658579583021</v>
      </c>
      <c r="T278" s="4" t="n">
        <f aca="false">S278/$K278</f>
        <v>0.862195265276736</v>
      </c>
      <c r="V278" s="4"/>
      <c r="W278" s="4"/>
    </row>
    <row r="279" customFormat="false" ht="14.25" hidden="false" customHeight="false" outlineLevel="0" collapsed="false">
      <c r="B279" s="2" t="n">
        <v>19.1</v>
      </c>
      <c r="C279" s="3" t="n">
        <v>392</v>
      </c>
      <c r="D279" s="3" t="n">
        <v>2</v>
      </c>
      <c r="E279" s="2" t="n">
        <v>40</v>
      </c>
      <c r="F279" s="4" t="n">
        <v>2.92087587098479</v>
      </c>
      <c r="G279" s="2" t="n">
        <v>30</v>
      </c>
      <c r="H279" s="2" t="n">
        <v>39.5</v>
      </c>
      <c r="I279" s="5" t="n">
        <v>0.0674188339618365</v>
      </c>
      <c r="J279" s="4" t="n">
        <v>381.484312511745</v>
      </c>
      <c r="K279" s="4" t="n">
        <v>0.33</v>
      </c>
      <c r="L279" s="6" t="n">
        <f aca="false">J279/200000</f>
        <v>0.00190742156255873</v>
      </c>
      <c r="P279" s="4" t="n">
        <f aca="false">$Q$2*($Q$3*$G279+$Q$4*$B279^$Q$5*$I279^$Q$6)*$L279^$Q$7</f>
        <v>0.305140768957751</v>
      </c>
      <c r="Q279" s="4" t="n">
        <f aca="false">P279/$K279</f>
        <v>0.924668996841671</v>
      </c>
      <c r="S279" s="4" t="n">
        <f aca="false">$T$2*$B279^$T$3*$L279^$T$4*($T$5*$I279^$T$6+$T$7)</f>
        <v>0.302229155898056</v>
      </c>
      <c r="T279" s="4" t="n">
        <f aca="false">S279/$K279</f>
        <v>0.915845926963805</v>
      </c>
      <c r="V279" s="4"/>
      <c r="W279" s="4"/>
    </row>
    <row r="280" customFormat="false" ht="14.25" hidden="false" customHeight="false" outlineLevel="0" collapsed="false">
      <c r="A280" s="1" t="s">
        <v>82</v>
      </c>
      <c r="B280" s="2" t="n">
        <v>19.1</v>
      </c>
      <c r="C280" s="3" t="n">
        <v>392</v>
      </c>
      <c r="D280" s="3" t="n">
        <v>2</v>
      </c>
      <c r="E280" s="2" t="n">
        <v>40</v>
      </c>
      <c r="F280" s="4" t="n">
        <v>2.92087587098479</v>
      </c>
      <c r="G280" s="2" t="n">
        <v>30</v>
      </c>
      <c r="H280" s="2" t="n">
        <v>39.5</v>
      </c>
      <c r="I280" s="5" t="n">
        <v>0.0674188339618365</v>
      </c>
      <c r="J280" s="4" t="n">
        <v>148.825532489443</v>
      </c>
      <c r="K280" s="4" t="n">
        <v>0.15</v>
      </c>
      <c r="L280" s="6" t="n">
        <f aca="false">J280/200000</f>
        <v>0.000744127662447216</v>
      </c>
      <c r="P280" s="4" t="n">
        <f aca="false">$Q$2*($Q$3*$G280+$Q$4*$B280^$Q$5*$I280^$Q$6)*$L280^$Q$7</f>
        <v>0.138652107292581</v>
      </c>
      <c r="Q280" s="4" t="n">
        <f aca="false">P280/$K280</f>
        <v>0.92434738195054</v>
      </c>
      <c r="S280" s="4" t="n">
        <f aca="false">$T$2*$B280^$T$3*$L280^$T$4*($T$5*$I280^$T$6+$T$7)</f>
        <v>0.135276328792634</v>
      </c>
      <c r="T280" s="4" t="n">
        <f aca="false">S280/$K280</f>
        <v>0.901842191950892</v>
      </c>
      <c r="V280" s="4"/>
      <c r="W280" s="4"/>
    </row>
    <row r="281" customFormat="false" ht="14.25" hidden="false" customHeight="false" outlineLevel="0" collapsed="false">
      <c r="B281" s="2" t="n">
        <v>19.1</v>
      </c>
      <c r="C281" s="3" t="n">
        <v>392</v>
      </c>
      <c r="D281" s="3" t="n">
        <v>2</v>
      </c>
      <c r="E281" s="2" t="n">
        <v>40</v>
      </c>
      <c r="F281" s="4" t="n">
        <v>2.92087587098479</v>
      </c>
      <c r="G281" s="2" t="n">
        <v>30</v>
      </c>
      <c r="H281" s="2" t="n">
        <v>39.5</v>
      </c>
      <c r="I281" s="5" t="n">
        <v>0.0674188339618365</v>
      </c>
      <c r="J281" s="4" t="n">
        <v>230.964592187083</v>
      </c>
      <c r="K281" s="4" t="n">
        <v>0.25</v>
      </c>
      <c r="L281" s="6" t="n">
        <f aca="false">J281/200000</f>
        <v>0.00115482296093542</v>
      </c>
      <c r="P281" s="4" t="n">
        <f aca="false">$Q$2*($Q$3*$G281+$Q$4*$B281^$Q$5*$I281^$Q$6)*$L281^$Q$7</f>
        <v>0.200388975849519</v>
      </c>
      <c r="Q281" s="4" t="n">
        <f aca="false">P281/$K281</f>
        <v>0.801555903398075</v>
      </c>
      <c r="S281" s="4" t="n">
        <f aca="false">$T$2*$B281^$T$3*$L281^$T$4*($T$5*$I281^$T$6+$T$7)</f>
        <v>0.196889722609159</v>
      </c>
      <c r="T281" s="4" t="n">
        <f aca="false">S281/$K281</f>
        <v>0.787558890436637</v>
      </c>
      <c r="V281" s="4"/>
      <c r="W281" s="4"/>
    </row>
    <row r="282" customFormat="false" ht="14.25" hidden="false" customHeight="false" outlineLevel="0" collapsed="false">
      <c r="B282" s="2" t="n">
        <v>19.1</v>
      </c>
      <c r="C282" s="3" t="n">
        <v>392</v>
      </c>
      <c r="D282" s="3" t="n">
        <v>2</v>
      </c>
      <c r="E282" s="2" t="n">
        <v>40</v>
      </c>
      <c r="F282" s="4" t="n">
        <v>2.92087587098479</v>
      </c>
      <c r="G282" s="2" t="n">
        <v>30</v>
      </c>
      <c r="H282" s="2" t="n">
        <v>39.5</v>
      </c>
      <c r="I282" s="5" t="n">
        <v>0.0674188339618365</v>
      </c>
      <c r="J282" s="4" t="n">
        <v>314.692969630169</v>
      </c>
      <c r="K282" s="4" t="n">
        <v>0.28</v>
      </c>
      <c r="L282" s="6" t="n">
        <f aca="false">J282/200000</f>
        <v>0.00157346484815084</v>
      </c>
      <c r="P282" s="4" t="n">
        <f aca="false">$Q$2*($Q$3*$G282+$Q$4*$B282^$Q$5*$I282^$Q$6)*$L282^$Q$7</f>
        <v>0.259688139928962</v>
      </c>
      <c r="Q282" s="4" t="n">
        <f aca="false">P282/$K282</f>
        <v>0.927457642603436</v>
      </c>
      <c r="S282" s="4" t="n">
        <f aca="false">$T$2*$B282^$T$3*$L282^$T$4*($T$5*$I282^$T$6+$T$7)</f>
        <v>0.256419354900593</v>
      </c>
      <c r="T282" s="4" t="n">
        <f aca="false">S282/$K282</f>
        <v>0.915783410359262</v>
      </c>
      <c r="V282" s="4"/>
      <c r="W282" s="4"/>
    </row>
    <row r="283" customFormat="false" ht="14.25" hidden="false" customHeight="false" outlineLevel="0" collapsed="false">
      <c r="A283" s="1" t="s">
        <v>83</v>
      </c>
      <c r="B283" s="2" t="n">
        <v>15.9</v>
      </c>
      <c r="C283" s="3" t="n">
        <v>392</v>
      </c>
      <c r="D283" s="3" t="n">
        <v>2</v>
      </c>
      <c r="E283" s="2" t="n">
        <v>46</v>
      </c>
      <c r="F283" s="4" t="n">
        <v>3.35387948274239</v>
      </c>
      <c r="G283" s="2" t="n">
        <v>30</v>
      </c>
      <c r="H283" s="2" t="n">
        <v>38</v>
      </c>
      <c r="I283" s="5" t="n">
        <v>0.0435727310809325</v>
      </c>
      <c r="J283" s="4" t="n">
        <v>343.07945374925</v>
      </c>
      <c r="K283" s="4" t="n">
        <v>0.2</v>
      </c>
      <c r="L283" s="6" t="n">
        <f aca="false">J283/200000</f>
        <v>0.00171539726874625</v>
      </c>
      <c r="P283" s="4" t="n">
        <f aca="false">$Q$2*($Q$3*$G283+$Q$4*$B283^$Q$5*$I283^$Q$6)*$L283^$Q$7</f>
        <v>0.283074323321407</v>
      </c>
      <c r="Q283" s="4" t="n">
        <f aca="false">P283/$K283</f>
        <v>1.41537161660703</v>
      </c>
      <c r="S283" s="4" t="n">
        <f aca="false">$T$2*$B283^$T$3*$L283^$T$4*($T$5*$I283^$T$6+$T$7)</f>
        <v>0.273917869873985</v>
      </c>
      <c r="T283" s="4" t="n">
        <f aca="false">S283/$K283</f>
        <v>1.36958934936993</v>
      </c>
      <c r="V283" s="4"/>
      <c r="W283" s="4"/>
    </row>
    <row r="284" customFormat="false" ht="14.25" hidden="false" customHeight="false" outlineLevel="0" collapsed="false">
      <c r="B284" s="2" t="n">
        <v>15.9</v>
      </c>
      <c r="C284" s="3" t="n">
        <v>392</v>
      </c>
      <c r="D284" s="3" t="n">
        <v>2</v>
      </c>
      <c r="E284" s="2" t="n">
        <v>46</v>
      </c>
      <c r="F284" s="4" t="n">
        <v>3.35387948274239</v>
      </c>
      <c r="G284" s="2" t="n">
        <v>30</v>
      </c>
      <c r="H284" s="2" t="n">
        <v>38</v>
      </c>
      <c r="I284" s="5" t="n">
        <v>0.0435727310809325</v>
      </c>
      <c r="J284" s="4" t="n">
        <v>375.388726261255</v>
      </c>
      <c r="K284" s="4" t="n">
        <v>0.22</v>
      </c>
      <c r="L284" s="6" t="n">
        <f aca="false">J284/200000</f>
        <v>0.00187694363130628</v>
      </c>
      <c r="P284" s="4" t="n">
        <f aca="false">$Q$2*($Q$3*$G284+$Q$4*$B284^$Q$5*$I284^$Q$6)*$L284^$Q$7</f>
        <v>0.305249511795247</v>
      </c>
      <c r="Q284" s="4" t="n">
        <f aca="false">P284/$K284</f>
        <v>1.38749778088748</v>
      </c>
      <c r="S284" s="4" t="n">
        <f aca="false">$T$2*$B284^$T$3*$L284^$T$4*($T$5*$I284^$T$6+$T$7)</f>
        <v>0.295801417044641</v>
      </c>
      <c r="T284" s="4" t="n">
        <f aca="false">S284/$K284</f>
        <v>1.34455189565746</v>
      </c>
      <c r="V284" s="4"/>
      <c r="W284" s="4"/>
    </row>
    <row r="285" customFormat="false" ht="14.25" hidden="false" customHeight="false" outlineLevel="0" collapsed="false">
      <c r="A285" s="1" t="s">
        <v>84</v>
      </c>
      <c r="B285" s="2" t="n">
        <v>15.9</v>
      </c>
      <c r="C285" s="3" t="n">
        <v>392</v>
      </c>
      <c r="D285" s="3" t="n">
        <v>2</v>
      </c>
      <c r="E285" s="2" t="n">
        <v>46</v>
      </c>
      <c r="F285" s="4" t="n">
        <v>3.35387948274239</v>
      </c>
      <c r="G285" s="2" t="n">
        <v>30</v>
      </c>
      <c r="H285" s="2" t="n">
        <v>38</v>
      </c>
      <c r="I285" s="5" t="n">
        <v>0.0435727310809325</v>
      </c>
      <c r="J285" s="4" t="n">
        <v>343.07945374925</v>
      </c>
      <c r="K285" s="4" t="n">
        <v>0.17</v>
      </c>
      <c r="L285" s="6" t="n">
        <f aca="false">J285/200000</f>
        <v>0.00171539726874625</v>
      </c>
      <c r="P285" s="4" t="n">
        <f aca="false">$Q$2*($Q$3*$G285+$Q$4*$B285^$Q$5*$I285^$Q$6)*$L285^$Q$7</f>
        <v>0.283074323321407</v>
      </c>
      <c r="Q285" s="4" t="n">
        <f aca="false">P285/$K285</f>
        <v>1.66514307836122</v>
      </c>
      <c r="S285" s="4" t="n">
        <f aca="false">$T$2*$B285^$T$3*$L285^$T$4*($T$5*$I285^$T$6+$T$7)</f>
        <v>0.273917869873985</v>
      </c>
      <c r="T285" s="4" t="n">
        <f aca="false">S285/$K285</f>
        <v>1.61128158749403</v>
      </c>
      <c r="V285" s="4"/>
      <c r="W285" s="4"/>
    </row>
    <row r="286" customFormat="false" ht="14.25" hidden="false" customHeight="false" outlineLevel="0" collapsed="false">
      <c r="B286" s="2" t="n">
        <v>15.9</v>
      </c>
      <c r="C286" s="3" t="n">
        <v>392</v>
      </c>
      <c r="D286" s="3" t="n">
        <v>2</v>
      </c>
      <c r="E286" s="2" t="n">
        <v>46</v>
      </c>
      <c r="F286" s="4" t="n">
        <v>3.35387948274239</v>
      </c>
      <c r="G286" s="2" t="n">
        <v>30</v>
      </c>
      <c r="H286" s="2" t="n">
        <v>38</v>
      </c>
      <c r="I286" s="5" t="n">
        <v>0.0435727310809325</v>
      </c>
      <c r="J286" s="4" t="n">
        <v>375.388726261255</v>
      </c>
      <c r="K286" s="4" t="n">
        <v>0.21</v>
      </c>
      <c r="L286" s="6" t="n">
        <f aca="false">J286/200000</f>
        <v>0.00187694363130628</v>
      </c>
      <c r="P286" s="4" t="n">
        <f aca="false">$Q$2*($Q$3*$G286+$Q$4*$B286^$Q$5*$I286^$Q$6)*$L286^$Q$7</f>
        <v>0.305249511795247</v>
      </c>
      <c r="Q286" s="4" t="n">
        <f aca="false">P286/$K286</f>
        <v>1.45356910378689</v>
      </c>
      <c r="S286" s="4" t="n">
        <f aca="false">$T$2*$B286^$T$3*$L286^$T$4*($T$5*$I286^$T$6+$T$7)</f>
        <v>0.295801417044641</v>
      </c>
      <c r="T286" s="4" t="n">
        <f aca="false">S286/$K286</f>
        <v>1.40857817640305</v>
      </c>
      <c r="V286" s="4"/>
      <c r="W286" s="4"/>
    </row>
    <row r="287" customFormat="false" ht="14.25" hidden="false" customHeight="false" outlineLevel="0" collapsed="false">
      <c r="A287" s="1" t="s">
        <v>85</v>
      </c>
      <c r="B287" s="2" t="n">
        <v>19.1</v>
      </c>
      <c r="C287" s="3" t="n">
        <v>392</v>
      </c>
      <c r="D287" s="3" t="n">
        <v>2</v>
      </c>
      <c r="E287" s="2" t="n">
        <v>40</v>
      </c>
      <c r="F287" s="4" t="n">
        <v>3.35387948274239</v>
      </c>
      <c r="G287" s="2" t="n">
        <v>30</v>
      </c>
      <c r="H287" s="2" t="n">
        <v>39.5</v>
      </c>
      <c r="I287" s="5" t="n">
        <v>0.0665965360251012</v>
      </c>
      <c r="J287" s="4" t="n">
        <v>183.672287657371</v>
      </c>
      <c r="K287" s="4" t="n">
        <v>0.17</v>
      </c>
      <c r="L287" s="6" t="n">
        <f aca="false">J287/200000</f>
        <v>0.000918361438286856</v>
      </c>
      <c r="P287" s="4" t="n">
        <f aca="false">$Q$2*($Q$3*$G287+$Q$4*$B287^$Q$5*$I287^$Q$6)*$L287^$Q$7</f>
        <v>0.166380963894834</v>
      </c>
      <c r="Q287" s="4" t="n">
        <f aca="false">P287/$K287</f>
        <v>0.978711552322551</v>
      </c>
      <c r="S287" s="4" t="n">
        <f aca="false">$T$2*$B287^$T$3*$L287^$T$4*($T$5*$I287^$T$6+$T$7)</f>
        <v>0.162781958617387</v>
      </c>
      <c r="T287" s="4" t="n">
        <f aca="false">S287/$K287</f>
        <v>0.95754093304345</v>
      </c>
      <c r="V287" s="4"/>
      <c r="W287" s="4"/>
    </row>
    <row r="288" customFormat="false" ht="14.25" hidden="false" customHeight="false" outlineLevel="0" collapsed="false">
      <c r="B288" s="2" t="n">
        <v>19.1</v>
      </c>
      <c r="C288" s="3" t="n">
        <v>392</v>
      </c>
      <c r="D288" s="3" t="n">
        <v>2</v>
      </c>
      <c r="E288" s="2" t="n">
        <v>40</v>
      </c>
      <c r="F288" s="4" t="n">
        <v>3.35387948274239</v>
      </c>
      <c r="G288" s="2" t="n">
        <v>30</v>
      </c>
      <c r="H288" s="2" t="n">
        <v>39.5</v>
      </c>
      <c r="I288" s="5" t="n">
        <v>0.0665965360251012</v>
      </c>
      <c r="J288" s="4" t="n">
        <v>227.114404144043</v>
      </c>
      <c r="K288" s="4" t="n">
        <v>0.18</v>
      </c>
      <c r="L288" s="6" t="n">
        <f aca="false">J288/200000</f>
        <v>0.00113557202072021</v>
      </c>
      <c r="P288" s="4" t="n">
        <f aca="false">$Q$2*($Q$3*$G288+$Q$4*$B288^$Q$5*$I288^$Q$6)*$L288^$Q$7</f>
        <v>0.198777905759569</v>
      </c>
      <c r="Q288" s="4" t="n">
        <f aca="false">P288/$K288</f>
        <v>1.10432169866427</v>
      </c>
      <c r="S288" s="4" t="n">
        <f aca="false">$T$2*$B288^$T$3*$L288^$T$4*($T$5*$I288^$T$6+$T$7)</f>
        <v>0.195139847454246</v>
      </c>
      <c r="T288" s="4" t="n">
        <f aca="false">S288/$K288</f>
        <v>1.0841102636347</v>
      </c>
      <c r="V288" s="4"/>
      <c r="W288" s="4"/>
    </row>
    <row r="289" customFormat="false" ht="14.25" hidden="false" customHeight="false" outlineLevel="0" collapsed="false">
      <c r="B289" s="2" t="n">
        <v>19.1</v>
      </c>
      <c r="C289" s="3" t="n">
        <v>392</v>
      </c>
      <c r="D289" s="3" t="n">
        <v>2</v>
      </c>
      <c r="E289" s="2" t="n">
        <v>40</v>
      </c>
      <c r="F289" s="4" t="n">
        <v>3.35387948274239</v>
      </c>
      <c r="G289" s="2" t="n">
        <v>30</v>
      </c>
      <c r="H289" s="2" t="n">
        <v>39.5</v>
      </c>
      <c r="I289" s="5" t="n">
        <v>0.0665965360251012</v>
      </c>
      <c r="J289" s="4" t="n">
        <v>269.470467718547</v>
      </c>
      <c r="K289" s="4" t="n">
        <v>0.2</v>
      </c>
      <c r="L289" s="6" t="n">
        <f aca="false">J289/200000</f>
        <v>0.00134735233859274</v>
      </c>
      <c r="P289" s="4" t="n">
        <f aca="false">$Q$2*($Q$3*$G289+$Q$4*$B289^$Q$5*$I289^$Q$6)*$L289^$Q$7</f>
        <v>0.229405293665764</v>
      </c>
      <c r="Q289" s="4" t="n">
        <f aca="false">P289/$K289</f>
        <v>1.14702646832882</v>
      </c>
      <c r="S289" s="4" t="n">
        <f aca="false">$T$2*$B289^$T$3*$L289^$T$4*($T$5*$I289^$T$6+$T$7)</f>
        <v>0.225823716038063</v>
      </c>
      <c r="T289" s="4" t="n">
        <f aca="false">S289/$K289</f>
        <v>1.12911858019031</v>
      </c>
      <c r="V289" s="4"/>
      <c r="W289" s="4"/>
    </row>
    <row r="290" customFormat="false" ht="14.25" hidden="false" customHeight="false" outlineLevel="0" collapsed="false">
      <c r="B290" s="2" t="n">
        <v>19.1</v>
      </c>
      <c r="C290" s="3" t="n">
        <v>392</v>
      </c>
      <c r="D290" s="3" t="n">
        <v>2</v>
      </c>
      <c r="E290" s="2" t="n">
        <v>40</v>
      </c>
      <c r="F290" s="4" t="n">
        <v>3.35387948274239</v>
      </c>
      <c r="G290" s="2" t="n">
        <v>30</v>
      </c>
      <c r="H290" s="2" t="n">
        <v>39.5</v>
      </c>
      <c r="I290" s="5" t="n">
        <v>0.0665965360251012</v>
      </c>
      <c r="J290" s="4" t="n">
        <v>312.912584205218</v>
      </c>
      <c r="K290" s="4" t="n">
        <v>0.2</v>
      </c>
      <c r="L290" s="6" t="n">
        <f aca="false">J290/200000</f>
        <v>0.00156456292102609</v>
      </c>
      <c r="P290" s="4" t="n">
        <f aca="false">$Q$2*($Q$3*$G290+$Q$4*$B290^$Q$5*$I290^$Q$6)*$L290^$Q$7</f>
        <v>0.260015697773293</v>
      </c>
      <c r="Q290" s="4" t="n">
        <f aca="false">P290/$K290</f>
        <v>1.30007848886646</v>
      </c>
      <c r="S290" s="4" t="n">
        <f aca="false">$T$2*$B290^$T$3*$L290^$T$4*($T$5*$I290^$T$6+$T$7)</f>
        <v>0.256569053573862</v>
      </c>
      <c r="T290" s="4" t="n">
        <f aca="false">S290/$K290</f>
        <v>1.28284526786931</v>
      </c>
      <c r="V290" s="4"/>
      <c r="W290" s="4"/>
    </row>
    <row r="291" customFormat="false" ht="14.25" hidden="false" customHeight="false" outlineLevel="0" collapsed="false">
      <c r="B291" s="2" t="n">
        <v>19.1</v>
      </c>
      <c r="C291" s="3" t="n">
        <v>392</v>
      </c>
      <c r="D291" s="3" t="n">
        <v>2</v>
      </c>
      <c r="E291" s="2" t="n">
        <v>40</v>
      </c>
      <c r="F291" s="4" t="n">
        <v>3.35387948274239</v>
      </c>
      <c r="G291" s="2" t="n">
        <v>30</v>
      </c>
      <c r="H291" s="2" t="n">
        <v>39.5</v>
      </c>
      <c r="I291" s="5" t="n">
        <v>0.0665965360251012</v>
      </c>
      <c r="J291" s="4" t="n">
        <v>354.182594867556</v>
      </c>
      <c r="K291" s="4" t="n">
        <v>0.25</v>
      </c>
      <c r="L291" s="6" t="n">
        <f aca="false">J291/200000</f>
        <v>0.00177091297433778</v>
      </c>
      <c r="P291" s="4" t="n">
        <f aca="false">$Q$2*($Q$3*$G291+$Q$4*$B291^$Q$5*$I291^$Q$6)*$L291^$Q$7</f>
        <v>0.288461246712594</v>
      </c>
      <c r="Q291" s="4" t="n">
        <f aca="false">P291/$K291</f>
        <v>1.15384498685037</v>
      </c>
      <c r="S291" s="4" t="n">
        <f aca="false">$T$2*$B291^$T$3*$L291^$T$4*($T$5*$I291^$T$6+$T$7)</f>
        <v>0.285202315515714</v>
      </c>
      <c r="T291" s="4" t="n">
        <f aca="false">S291/$K291</f>
        <v>1.14080926206285</v>
      </c>
      <c r="V291" s="4"/>
      <c r="W291" s="4"/>
    </row>
    <row r="292" customFormat="false" ht="14.25" hidden="false" customHeight="false" outlineLevel="0" collapsed="false">
      <c r="B292" s="2" t="n">
        <v>19.1</v>
      </c>
      <c r="C292" s="3" t="n">
        <v>392</v>
      </c>
      <c r="D292" s="3" t="n">
        <v>2</v>
      </c>
      <c r="E292" s="2" t="n">
        <v>40</v>
      </c>
      <c r="F292" s="4" t="n">
        <v>3.35387948274239</v>
      </c>
      <c r="G292" s="2" t="n">
        <v>30</v>
      </c>
      <c r="H292" s="2" t="n">
        <v>39.5</v>
      </c>
      <c r="I292" s="5" t="n">
        <v>0.0665965360251012</v>
      </c>
      <c r="J292" s="4" t="n">
        <v>380.024555917045</v>
      </c>
      <c r="K292" s="4" t="n">
        <v>0.27</v>
      </c>
      <c r="L292" s="6" t="n">
        <f aca="false">J292/200000</f>
        <v>0.00190012277958522</v>
      </c>
      <c r="P292" s="4" t="n">
        <f aca="false">$Q$2*($Q$3*$G292+$Q$4*$B292^$Q$5*$I292^$Q$6)*$L292^$Q$7</f>
        <v>0.305997050886545</v>
      </c>
      <c r="Q292" s="4" t="n">
        <f aca="false">P292/$K292</f>
        <v>1.13332241069091</v>
      </c>
      <c r="S292" s="4" t="n">
        <f aca="false">$T$2*$B292^$T$3*$L292^$T$4*($T$5*$I292^$T$6+$T$7)</f>
        <v>0.302881092406865</v>
      </c>
      <c r="T292" s="4" t="n">
        <f aca="false">S292/$K292</f>
        <v>1.12178182372913</v>
      </c>
      <c r="V292" s="4"/>
      <c r="W292" s="4"/>
    </row>
    <row r="293" customFormat="false" ht="14.25" hidden="false" customHeight="false" outlineLevel="0" collapsed="false">
      <c r="A293" s="1" t="s">
        <v>86</v>
      </c>
      <c r="B293" s="2" t="n">
        <v>19.1</v>
      </c>
      <c r="C293" s="3" t="n">
        <v>392</v>
      </c>
      <c r="D293" s="3" t="n">
        <v>2</v>
      </c>
      <c r="E293" s="2" t="n">
        <v>40</v>
      </c>
      <c r="F293" s="4" t="n">
        <v>3.35387948274239</v>
      </c>
      <c r="G293" s="2" t="n">
        <v>30</v>
      </c>
      <c r="H293" s="2" t="n">
        <v>39.5</v>
      </c>
      <c r="I293" s="5" t="n">
        <v>0.0665965360251012</v>
      </c>
      <c r="J293" s="4" t="n">
        <v>269.470467718547</v>
      </c>
      <c r="K293" s="4" t="n">
        <v>0.18</v>
      </c>
      <c r="L293" s="6" t="n">
        <f aca="false">J293/200000</f>
        <v>0.00134735233859274</v>
      </c>
      <c r="P293" s="4" t="n">
        <f aca="false">$Q$2*($Q$3*$G293+$Q$4*$B293^$Q$5*$I293^$Q$6)*$L293^$Q$7</f>
        <v>0.229405293665764</v>
      </c>
      <c r="Q293" s="4" t="n">
        <f aca="false">P293/$K293</f>
        <v>1.27447385369869</v>
      </c>
      <c r="S293" s="4" t="n">
        <f aca="false">$T$2*$B293^$T$3*$L293^$T$4*($T$5*$I293^$T$6+$T$7)</f>
        <v>0.225823716038063</v>
      </c>
      <c r="T293" s="4" t="n">
        <f aca="false">S293/$K293</f>
        <v>1.25457620021146</v>
      </c>
      <c r="V293" s="4"/>
      <c r="W293" s="4"/>
    </row>
    <row r="294" customFormat="false" ht="14.25" hidden="false" customHeight="false" outlineLevel="0" collapsed="false">
      <c r="B294" s="2" t="n">
        <v>19.1</v>
      </c>
      <c r="C294" s="3" t="n">
        <v>392</v>
      </c>
      <c r="D294" s="3" t="n">
        <v>2</v>
      </c>
      <c r="E294" s="2" t="n">
        <v>40</v>
      </c>
      <c r="F294" s="4" t="n">
        <v>3.35387948274239</v>
      </c>
      <c r="G294" s="2" t="n">
        <v>30</v>
      </c>
      <c r="H294" s="2" t="n">
        <v>39.5</v>
      </c>
      <c r="I294" s="5" t="n">
        <v>0.0665965360251012</v>
      </c>
      <c r="J294" s="4" t="n">
        <v>310.740478380885</v>
      </c>
      <c r="K294" s="4" t="n">
        <v>0.19</v>
      </c>
      <c r="L294" s="6" t="n">
        <f aca="false">J294/200000</f>
        <v>0.00155370239190442</v>
      </c>
      <c r="P294" s="4" t="n">
        <f aca="false">$Q$2*($Q$3*$G294+$Q$4*$B294^$Q$5*$I294^$Q$6)*$L294^$Q$7</f>
        <v>0.258502323602783</v>
      </c>
      <c r="Q294" s="4" t="n">
        <f aca="false">P294/$K294</f>
        <v>1.36053854527781</v>
      </c>
      <c r="S294" s="4" t="n">
        <f aca="false">$T$2*$B294^$T$3*$L294^$T$4*($T$5*$I294^$T$6+$T$7)</f>
        <v>0.255047312735979</v>
      </c>
      <c r="T294" s="4" t="n">
        <f aca="false">S294/$K294</f>
        <v>1.34235427755779</v>
      </c>
      <c r="V294" s="4"/>
      <c r="W294" s="4"/>
    </row>
    <row r="295" customFormat="false" ht="14.25" hidden="false" customHeight="false" outlineLevel="0" collapsed="false">
      <c r="B295" s="2" t="n">
        <v>19.1</v>
      </c>
      <c r="C295" s="3" t="n">
        <v>392</v>
      </c>
      <c r="D295" s="3" t="n">
        <v>2</v>
      </c>
      <c r="E295" s="2" t="n">
        <v>40</v>
      </c>
      <c r="F295" s="4" t="n">
        <v>3.35387948274239</v>
      </c>
      <c r="G295" s="2" t="n">
        <v>30</v>
      </c>
      <c r="H295" s="2" t="n">
        <v>39.5</v>
      </c>
      <c r="I295" s="5" t="n">
        <v>0.0665965360251012</v>
      </c>
      <c r="J295" s="4" t="n">
        <v>354.182594867556</v>
      </c>
      <c r="K295" s="4" t="n">
        <v>0.21</v>
      </c>
      <c r="L295" s="6" t="n">
        <f aca="false">J295/200000</f>
        <v>0.00177091297433778</v>
      </c>
      <c r="P295" s="4" t="n">
        <f aca="false">$Q$2*($Q$3*$G295+$Q$4*$B295^$Q$5*$I295^$Q$6)*$L295^$Q$7</f>
        <v>0.288461246712594</v>
      </c>
      <c r="Q295" s="4" t="n">
        <f aca="false">P295/$K295</f>
        <v>1.37362498434568</v>
      </c>
      <c r="S295" s="4" t="n">
        <f aca="false">$T$2*$B295^$T$3*$L295^$T$4*($T$5*$I295^$T$6+$T$7)</f>
        <v>0.285202315515714</v>
      </c>
      <c r="T295" s="4" t="n">
        <f aca="false">S295/$K295</f>
        <v>1.35810626436054</v>
      </c>
      <c r="V295" s="4"/>
      <c r="W295" s="4"/>
    </row>
    <row r="296" customFormat="false" ht="14.25" hidden="false" customHeight="false" outlineLevel="0" collapsed="false">
      <c r="B296" s="2" t="n">
        <v>19.1</v>
      </c>
      <c r="C296" s="3" t="n">
        <v>392</v>
      </c>
      <c r="D296" s="3" t="n">
        <v>2</v>
      </c>
      <c r="E296" s="2" t="n">
        <v>40</v>
      </c>
      <c r="F296" s="4" t="n">
        <v>3.35387948274239</v>
      </c>
      <c r="G296" s="2" t="n">
        <v>30</v>
      </c>
      <c r="H296" s="2" t="n">
        <v>39.5</v>
      </c>
      <c r="I296" s="5" t="n">
        <v>0.0665965360251012</v>
      </c>
      <c r="J296" s="4" t="n">
        <v>380.024555917045</v>
      </c>
      <c r="K296" s="4" t="n">
        <v>0.26</v>
      </c>
      <c r="L296" s="6" t="n">
        <f aca="false">J296/200000</f>
        <v>0.00190012277958522</v>
      </c>
      <c r="P296" s="4" t="n">
        <f aca="false">$Q$2*($Q$3*$G296+$Q$4*$B296^$Q$5*$I296^$Q$6)*$L296^$Q$7</f>
        <v>0.305997050886545</v>
      </c>
      <c r="Q296" s="4" t="n">
        <f aca="false">P296/$K296</f>
        <v>1.17691173417902</v>
      </c>
      <c r="S296" s="4" t="n">
        <f aca="false">$T$2*$B296^$T$3*$L296^$T$4*($T$5*$I296^$T$6+$T$7)</f>
        <v>0.302881092406865</v>
      </c>
      <c r="T296" s="4" t="n">
        <f aca="false">S296/$K296</f>
        <v>1.16492727848794</v>
      </c>
      <c r="V296" s="4"/>
      <c r="W296" s="4"/>
    </row>
    <row r="297" customFormat="false" ht="14.25" hidden="false" customHeight="false" outlineLevel="0" collapsed="false">
      <c r="A297" s="1" t="s">
        <v>87</v>
      </c>
      <c r="B297" s="2" t="n">
        <v>19.1</v>
      </c>
      <c r="C297" s="3" t="n">
        <v>276</v>
      </c>
      <c r="D297" s="3" t="n">
        <v>2</v>
      </c>
      <c r="E297" s="2" t="n">
        <v>69.8</v>
      </c>
      <c r="F297" s="4" t="n">
        <v>2.90032882517908</v>
      </c>
      <c r="G297" s="2" t="n">
        <v>31.8</v>
      </c>
      <c r="H297" s="2" t="n">
        <v>41.4</v>
      </c>
      <c r="I297" s="5" t="n">
        <v>0.0406514436897205</v>
      </c>
      <c r="J297" s="4" t="n">
        <v>151.461875554264</v>
      </c>
      <c r="K297" s="4" t="n">
        <v>0.17</v>
      </c>
      <c r="L297" s="6" t="n">
        <f aca="false">J297/200000</f>
        <v>0.000757309377771321</v>
      </c>
      <c r="P297" s="4" t="n">
        <f aca="false">$Q$2*($Q$3*$G297+$Q$4*$B297^$Q$5*$I297^$Q$6)*$L297^$Q$7</f>
        <v>0.180436376301844</v>
      </c>
      <c r="Q297" s="4" t="n">
        <f aca="false">P297/$K297</f>
        <v>1.06139044883438</v>
      </c>
      <c r="S297" s="4" t="n">
        <f aca="false">$T$2*$B297^$T$3*$L297^$T$4*($T$5*$I297^$T$6+$T$7)</f>
        <v>0.174004210088776</v>
      </c>
      <c r="T297" s="4" t="n">
        <f aca="false">S297/$K297</f>
        <v>1.0235541769928</v>
      </c>
      <c r="V297" s="4"/>
      <c r="W297" s="4"/>
    </row>
    <row r="298" customFormat="false" ht="14.25" hidden="false" customHeight="false" outlineLevel="0" collapsed="false">
      <c r="B298" s="2" t="n">
        <v>19.1</v>
      </c>
      <c r="C298" s="3" t="n">
        <v>276</v>
      </c>
      <c r="D298" s="3" t="n">
        <v>2</v>
      </c>
      <c r="E298" s="2" t="n">
        <v>69.8</v>
      </c>
      <c r="F298" s="4" t="n">
        <v>2.90032882517908</v>
      </c>
      <c r="G298" s="2" t="n">
        <v>31.8</v>
      </c>
      <c r="H298" s="2" t="n">
        <v>41.4</v>
      </c>
      <c r="I298" s="5" t="n">
        <v>0.0406514436897205</v>
      </c>
      <c r="J298" s="4" t="n">
        <v>200.801083790183</v>
      </c>
      <c r="K298" s="4" t="n">
        <v>0.23</v>
      </c>
      <c r="L298" s="6" t="n">
        <f aca="false">J298/200000</f>
        <v>0.00100400541895091</v>
      </c>
      <c r="P298" s="4" t="n">
        <f aca="false">$Q$2*($Q$3*$G298+$Q$4*$B298^$Q$5*$I298^$Q$6)*$L298^$Q$7</f>
        <v>0.228532440621733</v>
      </c>
      <c r="Q298" s="4" t="n">
        <f aca="false">P298/$K298</f>
        <v>0.993619307051011</v>
      </c>
      <c r="S298" s="4" t="n">
        <f aca="false">$T$2*$B298^$T$3*$L298^$T$4*($T$5*$I298^$T$6+$T$7)</f>
        <v>0.221382313181105</v>
      </c>
      <c r="T298" s="4" t="n">
        <f aca="false">S298/$K298</f>
        <v>0.962531796439589</v>
      </c>
      <c r="V298" s="4"/>
      <c r="W298" s="4"/>
    </row>
    <row r="299" customFormat="false" ht="14.25" hidden="false" customHeight="false" outlineLevel="0" collapsed="false">
      <c r="B299" s="2" t="n">
        <v>19.1</v>
      </c>
      <c r="C299" s="3" t="n">
        <v>276</v>
      </c>
      <c r="D299" s="3" t="n">
        <v>2</v>
      </c>
      <c r="E299" s="2" t="n">
        <v>69.8</v>
      </c>
      <c r="F299" s="4" t="n">
        <v>2.90032882517908</v>
      </c>
      <c r="G299" s="2" t="n">
        <v>31.8</v>
      </c>
      <c r="H299" s="2" t="n">
        <v>41.4</v>
      </c>
      <c r="I299" s="5" t="n">
        <v>0.0406514436897205</v>
      </c>
      <c r="J299" s="4" t="n">
        <v>238.033295477176</v>
      </c>
      <c r="K299" s="4" t="n">
        <v>0.27</v>
      </c>
      <c r="L299" s="6" t="n">
        <f aca="false">J299/200000</f>
        <v>0.00119016647738588</v>
      </c>
      <c r="P299" s="4" t="n">
        <f aca="false">$Q$2*($Q$3*$G299+$Q$4*$B299^$Q$5*$I299^$Q$6)*$L299^$Q$7</f>
        <v>0.263543498055697</v>
      </c>
      <c r="Q299" s="4" t="n">
        <f aca="false">P299/$K299</f>
        <v>0.976087029835913</v>
      </c>
      <c r="S299" s="4" t="n">
        <f aca="false">$T$2*$B299^$T$3*$L299^$T$4*($T$5*$I299^$T$6+$T$7)</f>
        <v>0.255993722643339</v>
      </c>
      <c r="T299" s="4" t="n">
        <f aca="false">S299/$K299</f>
        <v>0.948124898679032</v>
      </c>
      <c r="V299" s="4"/>
      <c r="W299" s="4"/>
    </row>
    <row r="300" customFormat="false" ht="14.25" hidden="false" customHeight="false" outlineLevel="0" collapsed="false">
      <c r="A300" s="1" t="s">
        <v>88</v>
      </c>
      <c r="B300" s="2" t="n">
        <v>19.1</v>
      </c>
      <c r="C300" s="3" t="n">
        <v>276</v>
      </c>
      <c r="D300" s="3" t="n">
        <v>2</v>
      </c>
      <c r="E300" s="2" t="n">
        <v>69.8</v>
      </c>
      <c r="F300" s="4" t="n">
        <v>2.84669189571421</v>
      </c>
      <c r="G300" s="2" t="n">
        <v>31.8</v>
      </c>
      <c r="H300" s="2" t="n">
        <v>41.4</v>
      </c>
      <c r="I300" s="5" t="n">
        <v>0.040711184462322</v>
      </c>
      <c r="J300" s="4" t="n">
        <v>238.702665173241</v>
      </c>
      <c r="K300" s="4" t="n">
        <v>0.16</v>
      </c>
      <c r="L300" s="6" t="n">
        <f aca="false">J300/200000</f>
        <v>0.00119351332586621</v>
      </c>
      <c r="P300" s="4" t="n">
        <f aca="false">$Q$2*($Q$3*$G300+$Q$4*$B300^$Q$5*$I300^$Q$6)*$L300^$Q$7</f>
        <v>0.263974009632055</v>
      </c>
      <c r="Q300" s="4" t="n">
        <f aca="false">P300/$K300</f>
        <v>1.64983756020034</v>
      </c>
      <c r="S300" s="4" t="n">
        <f aca="false">$T$2*$B300^$T$3*$L300^$T$4*($T$5*$I300^$T$6+$T$7)</f>
        <v>0.25642260256059</v>
      </c>
      <c r="T300" s="4" t="n">
        <f aca="false">S300/$K300</f>
        <v>1.60264126600369</v>
      </c>
      <c r="V300" s="4"/>
      <c r="W300" s="4"/>
    </row>
    <row r="301" customFormat="false" ht="14.25" hidden="false" customHeight="false" outlineLevel="0" collapsed="false">
      <c r="A301" s="1" t="s">
        <v>89</v>
      </c>
      <c r="B301" s="2" t="n">
        <v>19.1</v>
      </c>
      <c r="C301" s="3" t="n">
        <v>276</v>
      </c>
      <c r="D301" s="3" t="n">
        <v>2</v>
      </c>
      <c r="E301" s="2" t="n">
        <v>69.8</v>
      </c>
      <c r="F301" s="4" t="n">
        <v>2.71132147348833</v>
      </c>
      <c r="G301" s="2" t="n">
        <v>38.2</v>
      </c>
      <c r="H301" s="2" t="n">
        <v>47.7</v>
      </c>
      <c r="I301" s="5" t="n">
        <v>0.0406919089819377</v>
      </c>
      <c r="J301" s="4" t="n">
        <v>209.57139801392</v>
      </c>
      <c r="K301" s="4" t="n">
        <v>0.16</v>
      </c>
      <c r="L301" s="6" t="n">
        <f aca="false">J301/200000</f>
        <v>0.0010478569900696</v>
      </c>
      <c r="P301" s="4" t="n">
        <f aca="false">$Q$2*($Q$3*$G301+$Q$4*$B301^$Q$5*$I301^$Q$6)*$L301^$Q$7</f>
        <v>0.237139551697724</v>
      </c>
      <c r="Q301" s="4" t="n">
        <f aca="false">P301/$K301</f>
        <v>1.48212219811078</v>
      </c>
      <c r="S301" s="4" t="n">
        <f aca="false">$T$2*$B301^$T$3*$L301^$T$4*($T$5*$I301^$T$6+$T$7)</f>
        <v>0.229501301423245</v>
      </c>
      <c r="T301" s="4" t="n">
        <f aca="false">S301/$K301</f>
        <v>1.43438313389528</v>
      </c>
      <c r="V301" s="4"/>
      <c r="W301" s="4"/>
    </row>
    <row r="302" customFormat="false" ht="14.25" hidden="false" customHeight="false" outlineLevel="0" collapsed="false">
      <c r="B302" s="2" t="n">
        <v>19.1</v>
      </c>
      <c r="C302" s="3" t="n">
        <v>276</v>
      </c>
      <c r="D302" s="3" t="n">
        <v>2</v>
      </c>
      <c r="E302" s="2" t="n">
        <v>69.8</v>
      </c>
      <c r="F302" s="4" t="n">
        <v>2.71132147348833</v>
      </c>
      <c r="G302" s="2" t="n">
        <v>38.2</v>
      </c>
      <c r="H302" s="2" t="n">
        <v>47.7</v>
      </c>
      <c r="I302" s="5" t="n">
        <v>0.0406919089819377</v>
      </c>
      <c r="J302" s="4" t="n">
        <v>240.271088487698</v>
      </c>
      <c r="K302" s="4" t="n">
        <v>0.2</v>
      </c>
      <c r="L302" s="6" t="n">
        <f aca="false">J302/200000</f>
        <v>0.00120135544243849</v>
      </c>
      <c r="P302" s="4" t="n">
        <f aca="false">$Q$2*($Q$3*$G302+$Q$4*$B302^$Q$5*$I302^$Q$6)*$L302^$Q$7</f>
        <v>0.265922839811465</v>
      </c>
      <c r="Q302" s="4" t="n">
        <f aca="false">P302/$K302</f>
        <v>1.32961419905732</v>
      </c>
      <c r="S302" s="4" t="n">
        <f aca="false">$T$2*$B302^$T$3*$L302^$T$4*($T$5*$I302^$T$6+$T$7)</f>
        <v>0.257921003696149</v>
      </c>
      <c r="T302" s="4" t="n">
        <f aca="false">S302/$K302</f>
        <v>1.28960501848074</v>
      </c>
      <c r="V302" s="4"/>
      <c r="W302" s="4"/>
    </row>
    <row r="303" customFormat="false" ht="14.25" hidden="false" customHeight="false" outlineLevel="0" collapsed="false">
      <c r="A303" s="1" t="s">
        <v>90</v>
      </c>
      <c r="B303" s="2" t="n">
        <v>22.2</v>
      </c>
      <c r="C303" s="3" t="n">
        <v>276</v>
      </c>
      <c r="D303" s="3" t="n">
        <v>2</v>
      </c>
      <c r="E303" s="2" t="n">
        <v>63.6</v>
      </c>
      <c r="F303" s="4" t="n">
        <v>2.68798662700617</v>
      </c>
      <c r="G303" s="2" t="n">
        <v>12.8</v>
      </c>
      <c r="H303" s="2" t="n">
        <v>23.9</v>
      </c>
      <c r="I303" s="5" t="n">
        <v>0.0849998352716371</v>
      </c>
      <c r="J303" s="4" t="n">
        <v>250.005479545304</v>
      </c>
      <c r="K303" s="4" t="n">
        <v>0.17</v>
      </c>
      <c r="L303" s="6" t="n">
        <f aca="false">J303/200000</f>
        <v>0.00125002739772652</v>
      </c>
      <c r="P303" s="4" t="n">
        <f aca="false">$Q$2*($Q$3*$G303+$Q$4*$B303^$Q$5*$I303^$Q$6)*$L303^$Q$7</f>
        <v>0.224040033736978</v>
      </c>
      <c r="Q303" s="4" t="n">
        <f aca="false">P303/$K303</f>
        <v>1.31788255139399</v>
      </c>
      <c r="S303" s="4" t="n">
        <f aca="false">$T$2*$B303^$T$3*$L303^$T$4*($T$5*$I303^$T$6+$T$7)</f>
        <v>0.226680258781117</v>
      </c>
      <c r="T303" s="4" t="n">
        <f aca="false">S303/$K303</f>
        <v>1.33341328694774</v>
      </c>
      <c r="V303" s="4"/>
      <c r="W303" s="4"/>
    </row>
    <row r="304" customFormat="false" ht="14.25" hidden="false" customHeight="false" outlineLevel="0" collapsed="false">
      <c r="A304" s="1" t="s">
        <v>91</v>
      </c>
      <c r="B304" s="2" t="n">
        <v>22.2</v>
      </c>
      <c r="C304" s="3" t="n">
        <v>276</v>
      </c>
      <c r="D304" s="3" t="n">
        <v>2</v>
      </c>
      <c r="E304" s="2" t="n">
        <v>63.6</v>
      </c>
      <c r="F304" s="4" t="n">
        <v>2.38460157103714</v>
      </c>
      <c r="G304" s="2" t="n">
        <v>38</v>
      </c>
      <c r="H304" s="2" t="n">
        <v>49.1</v>
      </c>
      <c r="I304" s="5" t="n">
        <v>0.0590223888904023</v>
      </c>
      <c r="J304" s="4" t="n">
        <v>161.316457978418</v>
      </c>
      <c r="K304" s="4" t="n">
        <v>0.15</v>
      </c>
      <c r="L304" s="6" t="n">
        <f aca="false">J304/200000</f>
        <v>0.000806582289892089</v>
      </c>
      <c r="P304" s="4" t="n">
        <f aca="false">$Q$2*($Q$3*$G304+$Q$4*$B304^$Q$5*$I304^$Q$6)*$L304^$Q$7</f>
        <v>0.187005199311751</v>
      </c>
      <c r="Q304" s="4" t="n">
        <f aca="false">P304/$K304</f>
        <v>1.246701328745</v>
      </c>
      <c r="S304" s="4" t="n">
        <f aca="false">$T$2*$B304^$T$3*$L304^$T$4*($T$5*$I304^$T$6+$T$7)</f>
        <v>0.182821166514755</v>
      </c>
      <c r="T304" s="4" t="n">
        <f aca="false">S304/$K304</f>
        <v>1.21880777676503</v>
      </c>
      <c r="V304" s="4"/>
      <c r="W304" s="4"/>
    </row>
    <row r="305" customFormat="false" ht="14.25" hidden="false" customHeight="false" outlineLevel="0" collapsed="false">
      <c r="B305" s="2" t="n">
        <v>22.2</v>
      </c>
      <c r="C305" s="3" t="n">
        <v>276</v>
      </c>
      <c r="D305" s="3" t="n">
        <v>2</v>
      </c>
      <c r="E305" s="2" t="n">
        <v>63.6</v>
      </c>
      <c r="F305" s="4" t="n">
        <v>2.38460157103714</v>
      </c>
      <c r="G305" s="2" t="n">
        <v>38</v>
      </c>
      <c r="H305" s="2" t="n">
        <v>49.1</v>
      </c>
      <c r="I305" s="5" t="n">
        <v>0.0590223888904023</v>
      </c>
      <c r="J305" s="4" t="n">
        <v>196.993137753028</v>
      </c>
      <c r="K305" s="4" t="n">
        <v>0.19</v>
      </c>
      <c r="L305" s="6" t="n">
        <f aca="false">J305/200000</f>
        <v>0.000984965688765138</v>
      </c>
      <c r="P305" s="4" t="n">
        <f aca="false">$Q$2*($Q$3*$G305+$Q$4*$B305^$Q$5*$I305^$Q$6)*$L305^$Q$7</f>
        <v>0.221089933720688</v>
      </c>
      <c r="Q305" s="4" t="n">
        <f aca="false">P305/$K305</f>
        <v>1.16363123010889</v>
      </c>
      <c r="S305" s="4" t="n">
        <f aca="false">$T$2*$B305^$T$3*$L305^$T$4*($T$5*$I305^$T$6+$T$7)</f>
        <v>0.216835368555943</v>
      </c>
      <c r="T305" s="4" t="n">
        <f aca="false">S305/$K305</f>
        <v>1.14123878187338</v>
      </c>
      <c r="V305" s="4"/>
      <c r="W305" s="4"/>
    </row>
    <row r="306" customFormat="false" ht="14.25" hidden="false" customHeight="false" outlineLevel="0" collapsed="false">
      <c r="B306" s="2" t="n">
        <v>22.2</v>
      </c>
      <c r="C306" s="3" t="n">
        <v>276</v>
      </c>
      <c r="D306" s="3" t="n">
        <v>2</v>
      </c>
      <c r="E306" s="2" t="n">
        <v>63.6</v>
      </c>
      <c r="F306" s="4" t="n">
        <v>2.38460157103714</v>
      </c>
      <c r="G306" s="2" t="n">
        <v>38</v>
      </c>
      <c r="H306" s="2" t="n">
        <v>49.1</v>
      </c>
      <c r="I306" s="5" t="n">
        <v>0.0590223888904023</v>
      </c>
      <c r="J306" s="4" t="n">
        <v>235.059642967085</v>
      </c>
      <c r="K306" s="4" t="n">
        <v>0.22</v>
      </c>
      <c r="L306" s="6" t="n">
        <f aca="false">J306/200000</f>
        <v>0.00117529821483542</v>
      </c>
      <c r="P306" s="4" t="n">
        <f aca="false">$Q$2*($Q$3*$G306+$Q$4*$B306^$Q$5*$I306^$Q$6)*$L306^$Q$7</f>
        <v>0.256369392348274</v>
      </c>
      <c r="Q306" s="4" t="n">
        <f aca="false">P306/$K306</f>
        <v>1.16531541976488</v>
      </c>
      <c r="S306" s="4" t="n">
        <f aca="false">$T$2*$B306^$T$3*$L306^$T$4*($T$5*$I306^$T$6+$T$7)</f>
        <v>0.252147669560436</v>
      </c>
      <c r="T306" s="4" t="n">
        <f aca="false">S306/$K306</f>
        <v>1.14612577072925</v>
      </c>
      <c r="V306" s="4"/>
      <c r="W306" s="4"/>
    </row>
    <row r="307" customFormat="false" ht="14.25" hidden="false" customHeight="false" outlineLevel="0" collapsed="false">
      <c r="B307" s="2" t="n">
        <v>22.2</v>
      </c>
      <c r="C307" s="3" t="n">
        <v>276</v>
      </c>
      <c r="D307" s="3" t="n">
        <v>2</v>
      </c>
      <c r="E307" s="2" t="n">
        <v>63.6</v>
      </c>
      <c r="F307" s="4" t="n">
        <v>2.38460157103714</v>
      </c>
      <c r="G307" s="2" t="n">
        <v>38</v>
      </c>
      <c r="H307" s="2" t="n">
        <v>49.1</v>
      </c>
      <c r="I307" s="5" t="n">
        <v>0.0590223888904023</v>
      </c>
      <c r="J307" s="4" t="n">
        <v>251.743980799446</v>
      </c>
      <c r="K307" s="4" t="n">
        <v>0.27</v>
      </c>
      <c r="L307" s="6" t="n">
        <f aca="false">J307/200000</f>
        <v>0.00125871990399723</v>
      </c>
      <c r="P307" s="4" t="n">
        <f aca="false">$Q$2*($Q$3*$G307+$Q$4*$B307^$Q$5*$I307^$Q$6)*$L307^$Q$7</f>
        <v>0.271533033490142</v>
      </c>
      <c r="Q307" s="4" t="n">
        <f aca="false">P307/$K307</f>
        <v>1.00567790181534</v>
      </c>
      <c r="S307" s="4" t="n">
        <f aca="false">$T$2*$B307^$T$3*$L307^$T$4*($T$5*$I307^$T$6+$T$7)</f>
        <v>0.267354779521246</v>
      </c>
      <c r="T307" s="4" t="n">
        <f aca="false">S307/$K307</f>
        <v>0.990202887115727</v>
      </c>
      <c r="V307" s="4"/>
      <c r="W307" s="4"/>
    </row>
    <row r="308" customFormat="false" ht="14.25" hidden="false" customHeight="false" outlineLevel="0" collapsed="false">
      <c r="A308" s="1" t="s">
        <v>92</v>
      </c>
      <c r="B308" s="2" t="n">
        <v>22.2</v>
      </c>
      <c r="C308" s="3" t="n">
        <v>276</v>
      </c>
      <c r="D308" s="3" t="n">
        <v>2</v>
      </c>
      <c r="E308" s="2" t="n">
        <v>63.6</v>
      </c>
      <c r="F308" s="4" t="n">
        <v>2.86484234762008</v>
      </c>
      <c r="G308" s="2" t="n">
        <v>38</v>
      </c>
      <c r="H308" s="2" t="n">
        <v>49.1</v>
      </c>
      <c r="I308" s="5" t="n">
        <v>0.0580540542064325</v>
      </c>
      <c r="J308" s="4" t="n">
        <v>228.828810435366</v>
      </c>
      <c r="K308" s="4" t="n">
        <v>0.17</v>
      </c>
      <c r="L308" s="6" t="n">
        <f aca="false">J308/200000</f>
        <v>0.00114414405217683</v>
      </c>
      <c r="P308" s="4" t="n">
        <f aca="false">$Q$2*($Q$3*$G308+$Q$4*$B308^$Q$5*$I308^$Q$6)*$L308^$Q$7</f>
        <v>0.252702843329005</v>
      </c>
      <c r="Q308" s="4" t="n">
        <f aca="false">P308/$K308</f>
        <v>1.48648731370003</v>
      </c>
      <c r="S308" s="4" t="n">
        <f aca="false">$T$2*$B308^$T$3*$L308^$T$4*($T$5*$I308^$T$6+$T$7)</f>
        <v>0.24829752830452</v>
      </c>
      <c r="T308" s="4" t="n">
        <f aca="false">S308/$K308</f>
        <v>1.46057369590894</v>
      </c>
      <c r="V308" s="4"/>
      <c r="W308" s="4"/>
    </row>
    <row r="309" customFormat="false" ht="14.25" hidden="false" customHeight="false" outlineLevel="0" collapsed="false">
      <c r="B309" s="2" t="n">
        <v>22.2</v>
      </c>
      <c r="C309" s="3" t="n">
        <v>276</v>
      </c>
      <c r="D309" s="3" t="n">
        <v>2</v>
      </c>
      <c r="E309" s="2" t="n">
        <v>63.6</v>
      </c>
      <c r="F309" s="4" t="n">
        <v>2.86484234762008</v>
      </c>
      <c r="G309" s="2" t="n">
        <v>38</v>
      </c>
      <c r="H309" s="2" t="n">
        <v>49.1</v>
      </c>
      <c r="I309" s="5" t="n">
        <v>0.0580540542064325</v>
      </c>
      <c r="J309" s="4" t="n">
        <v>247.308454379583</v>
      </c>
      <c r="K309" s="4" t="n">
        <v>0.2</v>
      </c>
      <c r="L309" s="6" t="n">
        <f aca="false">J309/200000</f>
        <v>0.00123654227189791</v>
      </c>
      <c r="P309" s="4" t="n">
        <f aca="false">$Q$2*($Q$3*$G309+$Q$4*$B309^$Q$5*$I309^$Q$6)*$L309^$Q$7</f>
        <v>0.269695941226072</v>
      </c>
      <c r="Q309" s="4" t="n">
        <f aca="false">P309/$K309</f>
        <v>1.34847970613036</v>
      </c>
      <c r="S309" s="4" t="n">
        <f aca="false">$T$2*$B309^$T$3*$L309^$T$4*($T$5*$I309^$T$6+$T$7)</f>
        <v>0.265323874510133</v>
      </c>
      <c r="T309" s="4" t="n">
        <f aca="false">S309/$K309</f>
        <v>1.32661937255066</v>
      </c>
      <c r="V309" s="4"/>
      <c r="W309" s="4"/>
    </row>
    <row r="310" customFormat="false" ht="14.25" hidden="false" customHeight="false" outlineLevel="0" collapsed="false">
      <c r="A310" s="1" t="s">
        <v>93</v>
      </c>
      <c r="B310" s="2" t="n">
        <v>22.2</v>
      </c>
      <c r="C310" s="3" t="n">
        <v>276</v>
      </c>
      <c r="D310" s="3" t="n">
        <v>2</v>
      </c>
      <c r="E310" s="2" t="n">
        <v>63.6</v>
      </c>
      <c r="F310" s="4" t="n">
        <v>2.83369179024989</v>
      </c>
      <c r="G310" s="2" t="n">
        <v>38</v>
      </c>
      <c r="H310" s="2" t="n">
        <v>49.1</v>
      </c>
      <c r="I310" s="5" t="n">
        <v>0.0581102395943944</v>
      </c>
      <c r="J310" s="4" t="n">
        <v>154.459326102517</v>
      </c>
      <c r="K310" s="4" t="n">
        <v>0.15</v>
      </c>
      <c r="L310" s="6" t="n">
        <f aca="false">J310/200000</f>
        <v>0.000772296630512587</v>
      </c>
      <c r="P310" s="4" t="n">
        <f aca="false">$Q$2*($Q$3*$G310+$Q$4*$B310^$Q$5*$I310^$Q$6)*$L310^$Q$7</f>
        <v>0.181702326352033</v>
      </c>
      <c r="Q310" s="4" t="n">
        <f aca="false">P310/$K310</f>
        <v>1.21134884234688</v>
      </c>
      <c r="S310" s="4" t="n">
        <f aca="false">$T$2*$B310^$T$3*$L310^$T$4*($T$5*$I310^$T$6+$T$7)</f>
        <v>0.177421113646172</v>
      </c>
      <c r="T310" s="4" t="n">
        <f aca="false">S310/$K310</f>
        <v>1.18280742430781</v>
      </c>
      <c r="V310" s="4"/>
      <c r="W310" s="4"/>
    </row>
    <row r="311" customFormat="false" ht="14.25" hidden="false" customHeight="false" outlineLevel="0" collapsed="false">
      <c r="B311" s="2" t="n">
        <v>22.2</v>
      </c>
      <c r="C311" s="3" t="n">
        <v>276</v>
      </c>
      <c r="D311" s="3" t="n">
        <v>2</v>
      </c>
      <c r="E311" s="2" t="n">
        <v>63.6</v>
      </c>
      <c r="F311" s="4" t="n">
        <v>2.83369179024989</v>
      </c>
      <c r="G311" s="2" t="n">
        <v>38</v>
      </c>
      <c r="H311" s="2" t="n">
        <v>49.1</v>
      </c>
      <c r="I311" s="5" t="n">
        <v>0.0581102395943944</v>
      </c>
      <c r="J311" s="4" t="n">
        <v>190.630795737687</v>
      </c>
      <c r="K311" s="4" t="n">
        <v>0.18</v>
      </c>
      <c r="L311" s="6" t="n">
        <f aca="false">J311/200000</f>
        <v>0.000953153978688434</v>
      </c>
      <c r="P311" s="4" t="n">
        <f aca="false">$Q$2*($Q$3*$G311+$Q$4*$B311^$Q$5*$I311^$Q$6)*$L311^$Q$7</f>
        <v>0.216738481753678</v>
      </c>
      <c r="Q311" s="4" t="n">
        <f aca="false">P311/$K311</f>
        <v>1.20410267640932</v>
      </c>
      <c r="S311" s="4" t="n">
        <f aca="false">$T$2*$B311^$T$3*$L311^$T$4*($T$5*$I311^$T$6+$T$7)</f>
        <v>0.21234542224764</v>
      </c>
      <c r="T311" s="4" t="n">
        <f aca="false">S311/$K311</f>
        <v>1.17969679026467</v>
      </c>
      <c r="V311" s="4"/>
      <c r="W311" s="4"/>
    </row>
    <row r="312" customFormat="false" ht="14.25" hidden="false" customHeight="false" outlineLevel="0" collapsed="false">
      <c r="B312" s="2" t="n">
        <v>22.2</v>
      </c>
      <c r="C312" s="3" t="n">
        <v>276</v>
      </c>
      <c r="D312" s="3" t="n">
        <v>2</v>
      </c>
      <c r="E312" s="2" t="n">
        <v>63.6</v>
      </c>
      <c r="F312" s="4" t="n">
        <v>2.83369179024989</v>
      </c>
      <c r="G312" s="2" t="n">
        <v>38</v>
      </c>
      <c r="H312" s="2" t="n">
        <v>49.1</v>
      </c>
      <c r="I312" s="5" t="n">
        <v>0.0581102395943944</v>
      </c>
      <c r="J312" s="4" t="n">
        <v>229.225234630714</v>
      </c>
      <c r="K312" s="4" t="n">
        <v>0.22</v>
      </c>
      <c r="L312" s="6" t="n">
        <f aca="false">J312/200000</f>
        <v>0.00114612617315357</v>
      </c>
      <c r="P312" s="4" t="n">
        <f aca="false">$Q$2*($Q$3*$G312+$Q$4*$B312^$Q$5*$I312^$Q$6)*$L312^$Q$7</f>
        <v>0.252949691964748</v>
      </c>
      <c r="Q312" s="4" t="n">
        <f aca="false">P312/$K312</f>
        <v>1.14977132711249</v>
      </c>
      <c r="S312" s="4" t="n">
        <f aca="false">$T$2*$B312^$T$3*$L312^$T$4*($T$5*$I312^$T$6+$T$7)</f>
        <v>0.248554792151948</v>
      </c>
      <c r="T312" s="4" t="n">
        <f aca="false">S312/$K312</f>
        <v>1.12979450978158</v>
      </c>
      <c r="V312" s="4"/>
      <c r="W312" s="4"/>
    </row>
    <row r="313" customFormat="false" ht="14.25" hidden="false" customHeight="false" outlineLevel="0" collapsed="false">
      <c r="B313" s="2" t="n">
        <v>22.2</v>
      </c>
      <c r="C313" s="3" t="n">
        <v>276</v>
      </c>
      <c r="D313" s="3" t="n">
        <v>2</v>
      </c>
      <c r="E313" s="2" t="n">
        <v>63.6</v>
      </c>
      <c r="F313" s="4" t="n">
        <v>2.83369179024989</v>
      </c>
      <c r="G313" s="2" t="n">
        <v>38</v>
      </c>
      <c r="H313" s="2" t="n">
        <v>49.1</v>
      </c>
      <c r="I313" s="5" t="n">
        <v>0.0581102395943944</v>
      </c>
      <c r="J313" s="4" t="n">
        <v>247.59579686336</v>
      </c>
      <c r="K313" s="4" t="n">
        <v>0.25</v>
      </c>
      <c r="L313" s="6" t="n">
        <f aca="false">J313/200000</f>
        <v>0.0012379789843168</v>
      </c>
      <c r="P313" s="4" t="n">
        <f aca="false">$Q$2*($Q$3*$G313+$Q$4*$B313^$Q$5*$I313^$Q$6)*$L313^$Q$7</f>
        <v>0.26983053872607</v>
      </c>
      <c r="Q313" s="4" t="n">
        <f aca="false">P313/$K313</f>
        <v>1.07932215490428</v>
      </c>
      <c r="S313" s="4" t="n">
        <f aca="false">$T$2*$B313^$T$3*$L313^$T$4*($T$5*$I313^$T$6+$T$7)</f>
        <v>0.265469590455407</v>
      </c>
      <c r="T313" s="4" t="n">
        <f aca="false">S313/$K313</f>
        <v>1.06187836182163</v>
      </c>
      <c r="V313" s="4"/>
      <c r="W313" s="4"/>
    </row>
    <row r="314" customFormat="false" ht="14.25" hidden="false" customHeight="false" outlineLevel="0" collapsed="false">
      <c r="A314" s="1" t="s">
        <v>94</v>
      </c>
      <c r="B314" s="2" t="n">
        <v>22.2</v>
      </c>
      <c r="C314" s="3" t="n">
        <v>276</v>
      </c>
      <c r="D314" s="3" t="n">
        <v>2</v>
      </c>
      <c r="E314" s="2" t="n">
        <v>63.6</v>
      </c>
      <c r="F314" s="4" t="n">
        <v>2.75637342683892</v>
      </c>
      <c r="G314" s="2" t="n">
        <v>38</v>
      </c>
      <c r="H314" s="2" t="n">
        <v>49.1</v>
      </c>
      <c r="I314" s="5" t="n">
        <v>0.0582532535562727</v>
      </c>
      <c r="J314" s="4" t="n">
        <v>155.627184524337</v>
      </c>
      <c r="K314" s="4" t="n">
        <v>0.2</v>
      </c>
      <c r="L314" s="6" t="n">
        <f aca="false">J314/200000</f>
        <v>0.000778135922621683</v>
      </c>
      <c r="P314" s="4" t="n">
        <f aca="false">$Q$2*($Q$3*$G314+$Q$4*$B314^$Q$5*$I314^$Q$6)*$L314^$Q$7</f>
        <v>0.182632732992895</v>
      </c>
      <c r="Q314" s="4" t="n">
        <f aca="false">P314/$K314</f>
        <v>0.913163664964475</v>
      </c>
      <c r="S314" s="4" t="n">
        <f aca="false">$T$2*$B314^$T$3*$L314^$T$4*($T$5*$I314^$T$6+$T$7)</f>
        <v>0.178365455555104</v>
      </c>
      <c r="T314" s="4" t="n">
        <f aca="false">S314/$K314</f>
        <v>0.891827277775521</v>
      </c>
      <c r="V314" s="4"/>
      <c r="W314" s="4"/>
    </row>
    <row r="315" customFormat="false" ht="14.25" hidden="false" customHeight="false" outlineLevel="0" collapsed="false">
      <c r="B315" s="2" t="n">
        <v>22.2</v>
      </c>
      <c r="C315" s="3" t="n">
        <v>276</v>
      </c>
      <c r="D315" s="3" t="n">
        <v>2</v>
      </c>
      <c r="E315" s="2" t="n">
        <v>63.6</v>
      </c>
      <c r="F315" s="4" t="n">
        <v>2.75637342683892</v>
      </c>
      <c r="G315" s="2" t="n">
        <v>38</v>
      </c>
      <c r="H315" s="2" t="n">
        <v>49.1</v>
      </c>
      <c r="I315" s="5" t="n">
        <v>0.0582532535562727</v>
      </c>
      <c r="J315" s="4" t="n">
        <v>191.711697094685</v>
      </c>
      <c r="K315" s="4" t="n">
        <v>0.25</v>
      </c>
      <c r="L315" s="6" t="n">
        <f aca="false">J315/200000</f>
        <v>0.000958558485473427</v>
      </c>
      <c r="P315" s="4" t="n">
        <f aca="false">$Q$2*($Q$3*$G315+$Q$4*$B315^$Q$5*$I315^$Q$6)*$L315^$Q$7</f>
        <v>0.217505647958834</v>
      </c>
      <c r="Q315" s="4" t="n">
        <f aca="false">P315/$K315</f>
        <v>0.870022591835335</v>
      </c>
      <c r="S315" s="4" t="n">
        <f aca="false">$T$2*$B315^$T$3*$L315^$T$4*($T$5*$I315^$T$6+$T$7)</f>
        <v>0.213133481147161</v>
      </c>
      <c r="T315" s="4" t="n">
        <f aca="false">S315/$K315</f>
        <v>0.852533924588642</v>
      </c>
      <c r="V315" s="4"/>
      <c r="W315" s="4"/>
    </row>
    <row r="316" customFormat="false" ht="14.25" hidden="false" customHeight="false" outlineLevel="0" collapsed="false">
      <c r="B316" s="2" t="n">
        <v>22.2</v>
      </c>
      <c r="C316" s="3" t="n">
        <v>276</v>
      </c>
      <c r="D316" s="3" t="n">
        <v>2</v>
      </c>
      <c r="E316" s="2" t="n">
        <v>63.6</v>
      </c>
      <c r="F316" s="4" t="n">
        <v>2.75637342683892</v>
      </c>
      <c r="G316" s="2" t="n">
        <v>38</v>
      </c>
      <c r="H316" s="2" t="n">
        <v>49.1</v>
      </c>
      <c r="I316" s="5" t="n">
        <v>0.0582532535562727</v>
      </c>
      <c r="J316" s="4" t="n">
        <v>230.213354047737</v>
      </c>
      <c r="K316" s="4" t="n">
        <v>0.3</v>
      </c>
      <c r="L316" s="6" t="n">
        <f aca="false">J316/200000</f>
        <v>0.00115106677023869</v>
      </c>
      <c r="P316" s="4" t="n">
        <f aca="false">$Q$2*($Q$3*$G316+$Q$4*$B316^$Q$5*$I316^$Q$6)*$L316^$Q$7</f>
        <v>0.253557447619385</v>
      </c>
      <c r="Q316" s="4" t="n">
        <f aca="false">P316/$K316</f>
        <v>0.845191492064618</v>
      </c>
      <c r="S316" s="4" t="n">
        <f aca="false">$T$2*$B316^$T$3*$L316^$T$4*($T$5*$I316^$T$6+$T$7)</f>
        <v>0.249189203237168</v>
      </c>
      <c r="T316" s="4" t="n">
        <f aca="false">S316/$K316</f>
        <v>0.830630677457226</v>
      </c>
      <c r="V316" s="4"/>
      <c r="W316" s="4"/>
    </row>
    <row r="317" customFormat="false" ht="14.25" hidden="false" customHeight="false" outlineLevel="0" collapsed="false">
      <c r="B317" s="2" t="n">
        <v>22.2</v>
      </c>
      <c r="C317" s="3" t="n">
        <v>276</v>
      </c>
      <c r="D317" s="3" t="n">
        <v>2</v>
      </c>
      <c r="E317" s="2" t="n">
        <v>63.6</v>
      </c>
      <c r="F317" s="4" t="n">
        <v>2.75637342683892</v>
      </c>
      <c r="G317" s="2" t="n">
        <v>38</v>
      </c>
      <c r="H317" s="2" t="n">
        <v>49.1</v>
      </c>
      <c r="I317" s="5" t="n">
        <v>0.0582532535562727</v>
      </c>
      <c r="J317" s="4" t="n">
        <v>248.309196586263</v>
      </c>
      <c r="K317" s="4" t="n">
        <v>0.35</v>
      </c>
      <c r="L317" s="6" t="n">
        <f aca="false">J317/200000</f>
        <v>0.00124154598293131</v>
      </c>
      <c r="P317" s="4" t="n">
        <f aca="false">$Q$2*($Q$3*$G317+$Q$4*$B317^$Q$5*$I317^$Q$6)*$L317^$Q$7</f>
        <v>0.270156220889472</v>
      </c>
      <c r="Q317" s="4" t="n">
        <f aca="false">P317/$K317</f>
        <v>0.771874916827061</v>
      </c>
      <c r="S317" s="4" t="n">
        <f aca="false">$T$2*$B317^$T$3*$L317^$T$4*($T$5*$I317^$T$6+$T$7)</f>
        <v>0.265823651398427</v>
      </c>
      <c r="T317" s="4" t="n">
        <f aca="false">S317/$K317</f>
        <v>0.759496146852649</v>
      </c>
      <c r="V317" s="4"/>
      <c r="W317" s="4"/>
    </row>
    <row r="318" customFormat="false" ht="14.25" hidden="false" customHeight="false" outlineLevel="0" collapsed="false">
      <c r="A318" s="1" t="s">
        <v>95</v>
      </c>
      <c r="B318" s="2" t="n">
        <v>28.7</v>
      </c>
      <c r="C318" s="3" t="n">
        <v>276</v>
      </c>
      <c r="D318" s="3" t="n">
        <v>2</v>
      </c>
      <c r="E318" s="2" t="n">
        <v>50.6</v>
      </c>
      <c r="F318" s="4" t="n">
        <v>2.77481740215607</v>
      </c>
      <c r="G318" s="2" t="n">
        <v>22.2</v>
      </c>
      <c r="H318" s="2" t="n">
        <v>36.6</v>
      </c>
      <c r="I318" s="5" t="n">
        <v>0.108992850321706</v>
      </c>
      <c r="J318" s="4" t="n">
        <v>211.929446768129</v>
      </c>
      <c r="K318" s="4" t="n">
        <v>0.17</v>
      </c>
      <c r="L318" s="6" t="n">
        <f aca="false">J318/200000</f>
        <v>0.00105964723384065</v>
      </c>
      <c r="P318" s="4" t="n">
        <f aca="false">$Q$2*($Q$3*$G318+$Q$4*$B318^$Q$5*$I318^$Q$6)*$L318^$Q$7</f>
        <v>0.229339350390638</v>
      </c>
      <c r="Q318" s="4" t="n">
        <f aca="false">P318/$K318</f>
        <v>1.34905500229787</v>
      </c>
      <c r="S318" s="4" t="n">
        <f aca="false">$T$2*$B318^$T$3*$L318^$T$4*($T$5*$I318^$T$6+$T$7)</f>
        <v>0.239194562803801</v>
      </c>
      <c r="T318" s="4" t="n">
        <f aca="false">S318/$K318</f>
        <v>1.40702684002236</v>
      </c>
      <c r="V318" s="4"/>
      <c r="W318" s="4"/>
    </row>
    <row r="319" customFormat="false" ht="14.25" hidden="false" customHeight="false" outlineLevel="0" collapsed="false">
      <c r="B319" s="2" t="n">
        <v>28.7</v>
      </c>
      <c r="C319" s="3" t="n">
        <v>276</v>
      </c>
      <c r="D319" s="3" t="n">
        <v>2</v>
      </c>
      <c r="E319" s="2" t="n">
        <v>50.6</v>
      </c>
      <c r="F319" s="4" t="n">
        <v>2.77481740215607</v>
      </c>
      <c r="G319" s="2" t="n">
        <v>22.2</v>
      </c>
      <c r="H319" s="2" t="n">
        <v>36.6</v>
      </c>
      <c r="I319" s="5" t="n">
        <v>0.108992850321706</v>
      </c>
      <c r="J319" s="4" t="n">
        <v>256.411515370833</v>
      </c>
      <c r="K319" s="4" t="n">
        <v>0.2</v>
      </c>
      <c r="L319" s="6" t="n">
        <f aca="false">J319/200000</f>
        <v>0.00128205757685416</v>
      </c>
      <c r="P319" s="4" t="n">
        <f aca="false">$Q$2*($Q$3*$G319+$Q$4*$B319^$Q$5*$I319^$Q$6)*$L319^$Q$7</f>
        <v>0.269041893679135</v>
      </c>
      <c r="Q319" s="4" t="n">
        <f aca="false">P319/$K319</f>
        <v>1.34520946839568</v>
      </c>
      <c r="S319" s="4" t="n">
        <f aca="false">$T$2*$B319^$T$3*$L319^$T$4*($T$5*$I319^$T$6+$T$7)</f>
        <v>0.281459930452093</v>
      </c>
      <c r="T319" s="4" t="n">
        <f aca="false">S319/$K319</f>
        <v>1.40729965226047</v>
      </c>
      <c r="V319" s="4"/>
      <c r="W319" s="4"/>
    </row>
    <row r="320" customFormat="false" ht="14.25" hidden="false" customHeight="false" outlineLevel="0" collapsed="false">
      <c r="A320" s="1" t="s">
        <v>96</v>
      </c>
      <c r="B320" s="2" t="n">
        <v>28.7</v>
      </c>
      <c r="C320" s="3" t="n">
        <v>276</v>
      </c>
      <c r="D320" s="3" t="n">
        <v>2</v>
      </c>
      <c r="E320" s="2" t="n">
        <v>50.6</v>
      </c>
      <c r="F320" s="4" t="n">
        <v>2.80171464705939</v>
      </c>
      <c r="G320" s="2" t="n">
        <v>38.2</v>
      </c>
      <c r="H320" s="2" t="n">
        <v>52.5</v>
      </c>
      <c r="I320" s="5" t="n">
        <v>0.106860667703036</v>
      </c>
      <c r="J320" s="4" t="n">
        <v>152.74032544508</v>
      </c>
      <c r="K320" s="4" t="n">
        <v>0.17</v>
      </c>
      <c r="L320" s="6" t="n">
        <f aca="false">J320/200000</f>
        <v>0.0007637016272254</v>
      </c>
      <c r="P320" s="4" t="n">
        <f aca="false">$Q$2*($Q$3*$G320+$Q$4*$B320^$Q$5*$I320^$Q$6)*$L320^$Q$7</f>
        <v>0.176740079990011</v>
      </c>
      <c r="Q320" s="4" t="n">
        <f aca="false">P320/$K320</f>
        <v>1.03964752935301</v>
      </c>
      <c r="S320" s="4" t="n">
        <f aca="false">$T$2*$B320^$T$3*$L320^$T$4*($T$5*$I320^$T$6+$T$7)</f>
        <v>0.182229112761469</v>
      </c>
      <c r="T320" s="4" t="n">
        <f aca="false">S320/$K320</f>
        <v>1.07193595742041</v>
      </c>
      <c r="V320" s="4"/>
      <c r="W320" s="4"/>
    </row>
    <row r="321" customFormat="false" ht="14.25" hidden="false" customHeight="false" outlineLevel="0" collapsed="false">
      <c r="B321" s="2" t="n">
        <v>28.7</v>
      </c>
      <c r="C321" s="3" t="n">
        <v>276</v>
      </c>
      <c r="D321" s="3" t="n">
        <v>2</v>
      </c>
      <c r="E321" s="2" t="n">
        <v>50.6</v>
      </c>
      <c r="F321" s="4" t="n">
        <v>2.80171464705939</v>
      </c>
      <c r="G321" s="2" t="n">
        <v>38.2</v>
      </c>
      <c r="H321" s="2" t="n">
        <v>52.5</v>
      </c>
      <c r="I321" s="5" t="n">
        <v>0.106860667703036</v>
      </c>
      <c r="J321" s="4" t="n">
        <v>188.119799289414</v>
      </c>
      <c r="K321" s="4" t="n">
        <v>0.2</v>
      </c>
      <c r="L321" s="6" t="n">
        <f aca="false">J321/200000</f>
        <v>0.000940598996447072</v>
      </c>
      <c r="P321" s="4" t="n">
        <f aca="false">$Q$2*($Q$3*$G321+$Q$4*$B321^$Q$5*$I321^$Q$6)*$L321^$Q$7</f>
        <v>0.210454372602887</v>
      </c>
      <c r="Q321" s="4" t="n">
        <f aca="false">P321/$K321</f>
        <v>1.05227186301444</v>
      </c>
      <c r="S321" s="4" t="n">
        <f aca="false">$T$2*$B321^$T$3*$L321^$T$4*($T$5*$I321^$T$6+$T$7)</f>
        <v>0.217715003935534</v>
      </c>
      <c r="T321" s="4" t="n">
        <f aca="false">S321/$K321</f>
        <v>1.08857501967767</v>
      </c>
      <c r="V321" s="4"/>
      <c r="W321" s="4"/>
    </row>
    <row r="322" customFormat="false" ht="14.25" hidden="false" customHeight="false" outlineLevel="0" collapsed="false">
      <c r="B322" s="2" t="n">
        <v>28.7</v>
      </c>
      <c r="C322" s="3" t="n">
        <v>276</v>
      </c>
      <c r="D322" s="3" t="n">
        <v>2</v>
      </c>
      <c r="E322" s="2" t="n">
        <v>50.6</v>
      </c>
      <c r="F322" s="4" t="n">
        <v>2.80171464705939</v>
      </c>
      <c r="G322" s="2" t="n">
        <v>38.2</v>
      </c>
      <c r="H322" s="2" t="n">
        <v>52.5</v>
      </c>
      <c r="I322" s="5" t="n">
        <v>0.106860667703036</v>
      </c>
      <c r="J322" s="4" t="n">
        <v>223.658619396829</v>
      </c>
      <c r="K322" s="4" t="n">
        <v>0.25</v>
      </c>
      <c r="L322" s="6" t="n">
        <f aca="false">J322/200000</f>
        <v>0.00111829309698415</v>
      </c>
      <c r="P322" s="4" t="n">
        <f aca="false">$Q$2*($Q$3*$G322+$Q$4*$B322^$Q$5*$I322^$Q$6)*$L322^$Q$7</f>
        <v>0.243295795063256</v>
      </c>
      <c r="Q322" s="4" t="n">
        <f aca="false">P322/$K322</f>
        <v>0.973183180253025</v>
      </c>
      <c r="S322" s="4" t="n">
        <f aca="false">$T$2*$B322^$T$3*$L322^$T$4*($T$5*$I322^$T$6+$T$7)</f>
        <v>0.252387259121166</v>
      </c>
      <c r="T322" s="4" t="n">
        <f aca="false">S322/$K322</f>
        <v>1.00954903648466</v>
      </c>
      <c r="V322" s="4"/>
      <c r="W322" s="4"/>
    </row>
    <row r="323" customFormat="false" ht="14.25" hidden="false" customHeight="false" outlineLevel="0" collapsed="false">
      <c r="B323" s="2" t="n">
        <v>28.7</v>
      </c>
      <c r="C323" s="3" t="n">
        <v>276</v>
      </c>
      <c r="D323" s="3" t="n">
        <v>2</v>
      </c>
      <c r="E323" s="2" t="n">
        <v>50.6</v>
      </c>
      <c r="F323" s="4" t="n">
        <v>2.80171464705939</v>
      </c>
      <c r="G323" s="2" t="n">
        <v>38.2</v>
      </c>
      <c r="H323" s="2" t="n">
        <v>52.5</v>
      </c>
      <c r="I323" s="5" t="n">
        <v>0.106860667703036</v>
      </c>
      <c r="J323" s="4" t="n">
        <v>257.096234583494</v>
      </c>
      <c r="K323" s="4" t="n">
        <v>0.29</v>
      </c>
      <c r="L323" s="6" t="n">
        <f aca="false">J323/200000</f>
        <v>0.00128548117291747</v>
      </c>
      <c r="P323" s="4" t="n">
        <f aca="false">$Q$2*($Q$3*$G323+$Q$4*$B323^$Q$5*$I323^$Q$6)*$L323^$Q$7</f>
        <v>0.273427408879804</v>
      </c>
      <c r="Q323" s="4" t="n">
        <f aca="false">P323/$K323</f>
        <v>0.94285313406829</v>
      </c>
      <c r="S323" s="4" t="n">
        <f aca="false">$T$2*$B323^$T$3*$L323^$T$4*($T$5*$I323^$T$6+$T$7)</f>
        <v>0.284277856708246</v>
      </c>
      <c r="T323" s="4" t="n">
        <f aca="false">S323/$K323</f>
        <v>0.980268471407746</v>
      </c>
      <c r="V323" s="4"/>
      <c r="W323" s="4"/>
    </row>
    <row r="324" customFormat="false" ht="14.25" hidden="false" customHeight="false" outlineLevel="0" collapsed="false">
      <c r="A324" s="1" t="s">
        <v>97</v>
      </c>
      <c r="B324" s="2" t="n">
        <v>28.7</v>
      </c>
      <c r="C324" s="3" t="n">
        <v>276</v>
      </c>
      <c r="D324" s="3" t="n">
        <v>2</v>
      </c>
      <c r="E324" s="2" t="n">
        <v>50.6</v>
      </c>
      <c r="F324" s="4" t="n">
        <v>2.71531164579845</v>
      </c>
      <c r="G324" s="2" t="n">
        <v>38.2</v>
      </c>
      <c r="H324" s="2" t="n">
        <v>52.5</v>
      </c>
      <c r="I324" s="5" t="n">
        <v>0.107226386910195</v>
      </c>
      <c r="J324" s="4" t="n">
        <v>188.995464493697</v>
      </c>
      <c r="K324" s="4" t="n">
        <v>0.17</v>
      </c>
      <c r="L324" s="6" t="n">
        <f aca="false">J324/200000</f>
        <v>0.000944977322468485</v>
      </c>
      <c r="P324" s="4" t="n">
        <f aca="false">$Q$2*($Q$3*$G324+$Q$4*$B324^$Q$5*$I324^$Q$6)*$L324^$Q$7</f>
        <v>0.210921570748644</v>
      </c>
      <c r="Q324" s="4" t="n">
        <f aca="false">P324/$K324</f>
        <v>1.24071512205084</v>
      </c>
      <c r="S324" s="4" t="n">
        <f aca="false">$T$2*$B324^$T$3*$L324^$T$4*($T$5*$I324^$T$6+$T$7)</f>
        <v>0.218289190501028</v>
      </c>
      <c r="T324" s="4" t="n">
        <f aca="false">S324/$K324</f>
        <v>1.28405406177075</v>
      </c>
      <c r="V324" s="4"/>
      <c r="W324" s="4"/>
    </row>
    <row r="325" customFormat="false" ht="14.25" hidden="false" customHeight="false" outlineLevel="0" collapsed="false">
      <c r="A325" s="1" t="s">
        <v>98</v>
      </c>
      <c r="B325" s="2" t="n">
        <v>28.7</v>
      </c>
      <c r="C325" s="3" t="n">
        <v>276</v>
      </c>
      <c r="D325" s="3" t="n">
        <v>2</v>
      </c>
      <c r="E325" s="2" t="n">
        <v>50.6</v>
      </c>
      <c r="F325" s="4" t="n">
        <v>2.80171464705939</v>
      </c>
      <c r="G325" s="2" t="n">
        <v>38.2</v>
      </c>
      <c r="H325" s="2" t="n">
        <v>52.5</v>
      </c>
      <c r="I325" s="5" t="n">
        <v>0.106860667703036</v>
      </c>
      <c r="J325" s="4" t="n">
        <v>152.74032544508</v>
      </c>
      <c r="K325" s="4" t="n">
        <v>0.15</v>
      </c>
      <c r="L325" s="6" t="n">
        <f aca="false">J325/200000</f>
        <v>0.0007637016272254</v>
      </c>
      <c r="P325" s="4" t="n">
        <f aca="false">$Q$2*($Q$3*$G325+$Q$4*$B325^$Q$5*$I325^$Q$6)*$L325^$Q$7</f>
        <v>0.176740079990011</v>
      </c>
      <c r="Q325" s="4" t="n">
        <f aca="false">P325/$K325</f>
        <v>1.17826719993341</v>
      </c>
      <c r="S325" s="4" t="n">
        <f aca="false">$T$2*$B325^$T$3*$L325^$T$4*($T$5*$I325^$T$6+$T$7)</f>
        <v>0.182229112761469</v>
      </c>
      <c r="T325" s="4" t="n">
        <f aca="false">S325/$K325</f>
        <v>1.21486075174313</v>
      </c>
      <c r="V325" s="4"/>
      <c r="W325" s="4"/>
    </row>
    <row r="326" customFormat="false" ht="14.25" hidden="false" customHeight="false" outlineLevel="0" collapsed="false">
      <c r="B326" s="2" t="n">
        <v>28.7</v>
      </c>
      <c r="C326" s="3" t="n">
        <v>276</v>
      </c>
      <c r="D326" s="3" t="n">
        <v>2</v>
      </c>
      <c r="E326" s="2" t="n">
        <v>50.6</v>
      </c>
      <c r="F326" s="4" t="n">
        <v>2.80171464705939</v>
      </c>
      <c r="G326" s="2" t="n">
        <v>38.2</v>
      </c>
      <c r="H326" s="2" t="n">
        <v>52.5</v>
      </c>
      <c r="I326" s="5" t="n">
        <v>0.106860667703036</v>
      </c>
      <c r="J326" s="4" t="n">
        <v>188.119799289414</v>
      </c>
      <c r="K326" s="4" t="n">
        <v>0.16</v>
      </c>
      <c r="L326" s="6" t="n">
        <f aca="false">J326/200000</f>
        <v>0.000940598996447072</v>
      </c>
      <c r="P326" s="4" t="n">
        <f aca="false">$Q$2*($Q$3*$G326+$Q$4*$B326^$Q$5*$I326^$Q$6)*$L326^$Q$7</f>
        <v>0.210454372602887</v>
      </c>
      <c r="Q326" s="4" t="n">
        <f aca="false">P326/$K326</f>
        <v>1.31533982876805</v>
      </c>
      <c r="S326" s="4" t="n">
        <f aca="false">$T$2*$B326^$T$3*$L326^$T$4*($T$5*$I326^$T$6+$T$7)</f>
        <v>0.217715003935534</v>
      </c>
      <c r="T326" s="4" t="n">
        <f aca="false">S326/$K326</f>
        <v>1.36071877459709</v>
      </c>
      <c r="V326" s="4"/>
      <c r="W326" s="4"/>
    </row>
    <row r="327" customFormat="false" ht="14.25" hidden="false" customHeight="false" outlineLevel="0" collapsed="false">
      <c r="B327" s="2" t="n">
        <v>28.7</v>
      </c>
      <c r="C327" s="3" t="n">
        <v>276</v>
      </c>
      <c r="D327" s="3" t="n">
        <v>2</v>
      </c>
      <c r="E327" s="2" t="n">
        <v>50.6</v>
      </c>
      <c r="F327" s="4" t="n">
        <v>2.80171464705939</v>
      </c>
      <c r="G327" s="2" t="n">
        <v>38.2</v>
      </c>
      <c r="H327" s="2" t="n">
        <v>52.5</v>
      </c>
      <c r="I327" s="5" t="n">
        <v>0.106860667703036</v>
      </c>
      <c r="J327" s="4" t="n">
        <v>223.658619396829</v>
      </c>
      <c r="K327" s="4" t="n">
        <v>0.22</v>
      </c>
      <c r="L327" s="6" t="n">
        <f aca="false">J327/200000</f>
        <v>0.00111829309698415</v>
      </c>
      <c r="P327" s="4" t="n">
        <f aca="false">$Q$2*($Q$3*$G327+$Q$4*$B327^$Q$5*$I327^$Q$6)*$L327^$Q$7</f>
        <v>0.243295795063256</v>
      </c>
      <c r="Q327" s="4" t="n">
        <f aca="false">P327/$K327</f>
        <v>1.10588997756026</v>
      </c>
      <c r="S327" s="4" t="n">
        <f aca="false">$T$2*$B327^$T$3*$L327^$T$4*($T$5*$I327^$T$6+$T$7)</f>
        <v>0.252387259121166</v>
      </c>
      <c r="T327" s="4" t="n">
        <f aca="false">S327/$K327</f>
        <v>1.14721481418712</v>
      </c>
      <c r="V327" s="4"/>
      <c r="W327" s="4"/>
    </row>
    <row r="328" customFormat="false" ht="14.25" hidden="false" customHeight="false" outlineLevel="0" collapsed="false">
      <c r="B328" s="2" t="n">
        <v>28.7</v>
      </c>
      <c r="C328" s="3" t="n">
        <v>276</v>
      </c>
      <c r="D328" s="3" t="n">
        <v>2</v>
      </c>
      <c r="E328" s="2" t="n">
        <v>50.6</v>
      </c>
      <c r="F328" s="4" t="n">
        <v>2.80171464705939</v>
      </c>
      <c r="G328" s="2" t="n">
        <v>38.2</v>
      </c>
      <c r="H328" s="2" t="n">
        <v>52.5</v>
      </c>
      <c r="I328" s="5" t="n">
        <v>0.106860667703036</v>
      </c>
      <c r="J328" s="4" t="n">
        <v>257.096234583494</v>
      </c>
      <c r="K328" s="4" t="n">
        <v>0.26</v>
      </c>
      <c r="L328" s="6" t="n">
        <f aca="false">J328/200000</f>
        <v>0.00128548117291747</v>
      </c>
      <c r="P328" s="4" t="n">
        <f aca="false">$Q$2*($Q$3*$G328+$Q$4*$B328^$Q$5*$I328^$Q$6)*$L328^$Q$7</f>
        <v>0.273427408879804</v>
      </c>
      <c r="Q328" s="4" t="n">
        <f aca="false">P328/$K328</f>
        <v>1.05164388030694</v>
      </c>
      <c r="S328" s="4" t="n">
        <f aca="false">$T$2*$B328^$T$3*$L328^$T$4*($T$5*$I328^$T$6+$T$7)</f>
        <v>0.284277856708246</v>
      </c>
      <c r="T328" s="4" t="n">
        <f aca="false">S328/$K328</f>
        <v>1.09337637195479</v>
      </c>
      <c r="V328" s="4"/>
      <c r="W328" s="4"/>
    </row>
    <row r="329" customFormat="false" ht="14.25" hidden="false" customHeight="false" outlineLevel="0" collapsed="false">
      <c r="A329" s="1" t="s">
        <v>99</v>
      </c>
      <c r="B329" s="2" t="n">
        <v>28.7</v>
      </c>
      <c r="C329" s="3" t="n">
        <v>276</v>
      </c>
      <c r="D329" s="3" t="n">
        <v>2</v>
      </c>
      <c r="E329" s="2" t="n">
        <v>50.6</v>
      </c>
      <c r="F329" s="4" t="n">
        <v>2.52444806810338</v>
      </c>
      <c r="G329" s="2" t="n">
        <v>38.2</v>
      </c>
      <c r="H329" s="2" t="n">
        <v>52.5</v>
      </c>
      <c r="I329" s="5" t="n">
        <v>0.108091118039397</v>
      </c>
      <c r="J329" s="4" t="n">
        <v>190.960538050344</v>
      </c>
      <c r="K329" s="4" t="n">
        <v>0.17</v>
      </c>
      <c r="L329" s="6" t="n">
        <f aca="false">J329/200000</f>
        <v>0.000954802690251718</v>
      </c>
      <c r="P329" s="4" t="n">
        <f aca="false">$Q$2*($Q$3*$G329+$Q$4*$B329^$Q$5*$I329^$Q$6)*$L329^$Q$7</f>
        <v>0.211922059621931</v>
      </c>
      <c r="Q329" s="4" t="n">
        <f aca="false">P329/$K329</f>
        <v>1.24660035071724</v>
      </c>
      <c r="S329" s="4" t="n">
        <f aca="false">$T$2*$B329^$T$3*$L329^$T$4*($T$5*$I329^$T$6+$T$7)</f>
        <v>0.219538547156628</v>
      </c>
      <c r="T329" s="4" t="n">
        <f aca="false">S329/$K329</f>
        <v>1.2914032185684</v>
      </c>
      <c r="V329" s="4"/>
      <c r="W329" s="4"/>
    </row>
    <row r="330" customFormat="false" ht="14.25" hidden="false" customHeight="false" outlineLevel="0" collapsed="false">
      <c r="B330" s="2" t="n">
        <v>28.7</v>
      </c>
      <c r="C330" s="3" t="n">
        <v>276</v>
      </c>
      <c r="D330" s="3" t="n">
        <v>2</v>
      </c>
      <c r="E330" s="2" t="n">
        <v>50.6</v>
      </c>
      <c r="F330" s="4" t="n">
        <v>2.52444806810338</v>
      </c>
      <c r="G330" s="2" t="n">
        <v>38.2</v>
      </c>
      <c r="H330" s="2" t="n">
        <v>52.5</v>
      </c>
      <c r="I330" s="5" t="n">
        <v>0.108091118039397</v>
      </c>
      <c r="J330" s="4" t="n">
        <v>226.353410888649</v>
      </c>
      <c r="K330" s="4" t="n">
        <v>0.2</v>
      </c>
      <c r="L330" s="6" t="n">
        <f aca="false">J330/200000</f>
        <v>0.00113176705444324</v>
      </c>
      <c r="P330" s="4" t="n">
        <f aca="false">$Q$2*($Q$3*$G330+$Q$4*$B330^$Q$5*$I330^$Q$6)*$L330^$Q$7</f>
        <v>0.244375096739438</v>
      </c>
      <c r="Q330" s="4" t="n">
        <f aca="false">P330/$K330</f>
        <v>1.22187548369719</v>
      </c>
      <c r="S330" s="4" t="n">
        <f aca="false">$T$2*$B330^$T$3*$L330^$T$4*($T$5*$I330^$T$6+$T$7)</f>
        <v>0.253847599577166</v>
      </c>
      <c r="T330" s="4" t="n">
        <f aca="false">S330/$K330</f>
        <v>1.26923799788583</v>
      </c>
      <c r="V330" s="4"/>
      <c r="W330" s="4"/>
    </row>
    <row r="331" customFormat="false" ht="14.25" hidden="false" customHeight="false" outlineLevel="0" collapsed="false">
      <c r="B331" s="2" t="n">
        <v>28.7</v>
      </c>
      <c r="C331" s="3" t="n">
        <v>276</v>
      </c>
      <c r="D331" s="3" t="n">
        <v>2</v>
      </c>
      <c r="E331" s="2" t="n">
        <v>50.6</v>
      </c>
      <c r="F331" s="4" t="n">
        <v>2.52444806810338</v>
      </c>
      <c r="G331" s="2" t="n">
        <v>38.2</v>
      </c>
      <c r="H331" s="2" t="n">
        <v>52.5</v>
      </c>
      <c r="I331" s="5" t="n">
        <v>0.108091118039397</v>
      </c>
      <c r="J331" s="4" t="n">
        <v>258.688607441303</v>
      </c>
      <c r="K331" s="4" t="n">
        <v>0.24</v>
      </c>
      <c r="L331" s="6" t="n">
        <f aca="false">J331/200000</f>
        <v>0.00129344303720652</v>
      </c>
      <c r="P331" s="4" t="n">
        <f aca="false">$Q$2*($Q$3*$G331+$Q$4*$B331^$Q$5*$I331^$Q$6)*$L331^$Q$7</f>
        <v>0.273308277035949</v>
      </c>
      <c r="Q331" s="4" t="n">
        <f aca="false">P331/$K331</f>
        <v>1.13878448764979</v>
      </c>
      <c r="S331" s="4" t="n">
        <f aca="false">$T$2*$B331^$T$3*$L331^$T$4*($T$5*$I331^$T$6+$T$7)</f>
        <v>0.284509480619753</v>
      </c>
      <c r="T331" s="4" t="n">
        <f aca="false">S331/$K331</f>
        <v>1.18545616924897</v>
      </c>
      <c r="V331" s="4"/>
      <c r="W331" s="4"/>
    </row>
    <row r="332" customFormat="false" ht="14.25" hidden="false" customHeight="false" outlineLevel="0" collapsed="false">
      <c r="A332" s="1" t="s">
        <v>100</v>
      </c>
      <c r="B332" s="2" t="n">
        <v>32.3</v>
      </c>
      <c r="C332" s="3" t="n">
        <v>276</v>
      </c>
      <c r="D332" s="3" t="n">
        <v>1</v>
      </c>
      <c r="E332" s="2" t="n">
        <v>60</v>
      </c>
      <c r="F332" s="4" t="n">
        <v>2.53821845332793</v>
      </c>
      <c r="G332" s="2" t="n">
        <v>38.3</v>
      </c>
      <c r="H332" s="2" t="n">
        <v>54.4</v>
      </c>
      <c r="I332" s="5" t="n">
        <v>0.0624495439088793</v>
      </c>
      <c r="J332" s="4" t="n">
        <v>135.923676780504</v>
      </c>
      <c r="K332" s="4" t="n">
        <v>0.17</v>
      </c>
      <c r="L332" s="6" t="n">
        <f aca="false">J332/200000</f>
        <v>0.000679618383902522</v>
      </c>
      <c r="P332" s="4" t="n">
        <f aca="false">$Q$2*($Q$3*$G332+$Q$4*$B332^$Q$5*$I332^$Q$6)*$L332^$Q$7</f>
        <v>0.237408427245011</v>
      </c>
      <c r="Q332" s="4" t="n">
        <f aca="false">P332/$K332</f>
        <v>1.39652016026477</v>
      </c>
      <c r="S332" s="4" t="n">
        <f aca="false">$T$2*$B332^$T$3*$L332^$T$4*($T$5*$I332^$T$6+$T$7)</f>
        <v>0.23678398281449</v>
      </c>
      <c r="T332" s="4" t="n">
        <f aca="false">S332/$K332</f>
        <v>1.39284695773229</v>
      </c>
      <c r="V332" s="4"/>
      <c r="W332" s="4"/>
    </row>
    <row r="333" customFormat="false" ht="14.25" hidden="false" customHeight="false" outlineLevel="0" collapsed="false">
      <c r="B333" s="2" t="n">
        <v>32.3</v>
      </c>
      <c r="C333" s="3" t="n">
        <v>276</v>
      </c>
      <c r="D333" s="3" t="n">
        <v>1</v>
      </c>
      <c r="E333" s="2" t="n">
        <v>60</v>
      </c>
      <c r="F333" s="4" t="n">
        <v>2.53821845332793</v>
      </c>
      <c r="G333" s="2" t="n">
        <v>38.3</v>
      </c>
      <c r="H333" s="2" t="n">
        <v>54.4</v>
      </c>
      <c r="I333" s="5" t="n">
        <v>0.0624495439088793</v>
      </c>
      <c r="J333" s="4" t="n">
        <v>177.836472159602</v>
      </c>
      <c r="K333" s="4" t="n">
        <v>0.23</v>
      </c>
      <c r="L333" s="6" t="n">
        <f aca="false">J333/200000</f>
        <v>0.000889182360798012</v>
      </c>
      <c r="P333" s="4" t="n">
        <f aca="false">$Q$2*($Q$3*$G333+$Q$4*$B333^$Q$5*$I333^$Q$6)*$L333^$Q$7</f>
        <v>0.297380361350277</v>
      </c>
      <c r="Q333" s="4" t="n">
        <f aca="false">P333/$K333</f>
        <v>1.29295809282729</v>
      </c>
      <c r="S333" s="4" t="n">
        <f aca="false">$T$2*$B333^$T$3*$L333^$T$4*($T$5*$I333^$T$6+$T$7)</f>
        <v>0.297876393278372</v>
      </c>
      <c r="T333" s="4" t="n">
        <f aca="false">S333/$K333</f>
        <v>1.29511475338422</v>
      </c>
      <c r="V333" s="4"/>
      <c r="W333" s="4"/>
    </row>
    <row r="334" customFormat="false" ht="14.25" hidden="false" customHeight="false" outlineLevel="0" collapsed="false">
      <c r="B334" s="2" t="n">
        <v>32.3</v>
      </c>
      <c r="C334" s="3" t="n">
        <v>276</v>
      </c>
      <c r="D334" s="3" t="n">
        <v>1</v>
      </c>
      <c r="E334" s="2" t="n">
        <v>60</v>
      </c>
      <c r="F334" s="4" t="n">
        <v>2.53821845332793</v>
      </c>
      <c r="G334" s="2" t="n">
        <v>38.3</v>
      </c>
      <c r="H334" s="2" t="n">
        <v>54.4</v>
      </c>
      <c r="I334" s="5" t="n">
        <v>0.0624495439088793</v>
      </c>
      <c r="J334" s="4" t="n">
        <v>217.00011505761</v>
      </c>
      <c r="K334" s="4" t="n">
        <v>0.27</v>
      </c>
      <c r="L334" s="6" t="n">
        <f aca="false">J334/200000</f>
        <v>0.00108500057528805</v>
      </c>
      <c r="P334" s="4" t="n">
        <f aca="false">$Q$2*($Q$3*$G334+$Q$4*$B334^$Q$5*$I334^$Q$6)*$L334^$Q$7</f>
        <v>0.351356729142942</v>
      </c>
      <c r="Q334" s="4" t="n">
        <f aca="false">P334/$K334</f>
        <v>1.30132121904793</v>
      </c>
      <c r="S334" s="4" t="n">
        <f aca="false">$T$2*$B334^$T$3*$L334^$T$4*($T$5*$I334^$T$6+$T$7)</f>
        <v>0.353065354614319</v>
      </c>
      <c r="T334" s="4" t="n">
        <f aca="false">S334/$K334</f>
        <v>1.30764946153452</v>
      </c>
      <c r="V334" s="4"/>
      <c r="W334" s="4"/>
    </row>
    <row r="335" customFormat="false" ht="14.25" hidden="false" customHeight="false" outlineLevel="0" collapsed="false">
      <c r="B335" s="2" t="n">
        <v>32.3</v>
      </c>
      <c r="C335" s="3" t="n">
        <v>276</v>
      </c>
      <c r="D335" s="3" t="n">
        <v>1</v>
      </c>
      <c r="E335" s="2" t="n">
        <v>60</v>
      </c>
      <c r="F335" s="4" t="n">
        <v>2.53821845332793</v>
      </c>
      <c r="G335" s="2" t="n">
        <v>38.3</v>
      </c>
      <c r="H335" s="2" t="n">
        <v>54.4</v>
      </c>
      <c r="I335" s="5" t="n">
        <v>0.0624495439088793</v>
      </c>
      <c r="J335" s="4" t="n">
        <v>244.974145699043</v>
      </c>
      <c r="K335" s="4" t="n">
        <v>0.31</v>
      </c>
      <c r="L335" s="6" t="n">
        <f aca="false">J335/200000</f>
        <v>0.00122487072849522</v>
      </c>
      <c r="P335" s="4" t="n">
        <f aca="false">$Q$2*($Q$3*$G335+$Q$4*$B335^$Q$5*$I335^$Q$6)*$L335^$Q$7</f>
        <v>0.388935510314615</v>
      </c>
      <c r="Q335" s="4" t="n">
        <f aca="false">P335/$K335</f>
        <v>1.25463067843424</v>
      </c>
      <c r="S335" s="4" t="n">
        <f aca="false">$T$2*$B335^$T$3*$L335^$T$4*($T$5*$I335^$T$6+$T$7)</f>
        <v>0.391585849125444</v>
      </c>
      <c r="T335" s="4" t="n">
        <f aca="false">S335/$K335</f>
        <v>1.26318015846917</v>
      </c>
      <c r="V335" s="4"/>
      <c r="W335" s="4"/>
    </row>
    <row r="336" customFormat="false" ht="14.25" hidden="false" customHeight="false" outlineLevel="0" collapsed="false">
      <c r="B336" s="2" t="n">
        <v>32.3</v>
      </c>
      <c r="C336" s="3" t="n">
        <v>276</v>
      </c>
      <c r="D336" s="3" t="n">
        <v>1</v>
      </c>
      <c r="E336" s="2" t="n">
        <v>60</v>
      </c>
      <c r="F336" s="4" t="n">
        <v>2.53821845332793</v>
      </c>
      <c r="G336" s="2" t="n">
        <v>38.3</v>
      </c>
      <c r="H336" s="2" t="n">
        <v>54.4</v>
      </c>
      <c r="I336" s="5" t="n">
        <v>0.0624495439088793</v>
      </c>
      <c r="J336" s="4" t="n">
        <v>251.416760519588</v>
      </c>
      <c r="K336" s="4" t="n">
        <v>0.35</v>
      </c>
      <c r="L336" s="6" t="n">
        <f aca="false">J336/200000</f>
        <v>0.00125708380259794</v>
      </c>
      <c r="P336" s="4" t="n">
        <f aca="false">$Q$2*($Q$3*$G336+$Q$4*$B336^$Q$5*$I336^$Q$6)*$L336^$Q$7</f>
        <v>0.397489066409925</v>
      </c>
      <c r="Q336" s="4" t="n">
        <f aca="false">P336/$K336</f>
        <v>1.1356830468855</v>
      </c>
      <c r="S336" s="4" t="n">
        <f aca="false">$T$2*$B336^$T$3*$L336^$T$4*($T$5*$I336^$T$6+$T$7)</f>
        <v>0.400363948123029</v>
      </c>
      <c r="T336" s="4" t="n">
        <f aca="false">S336/$K336</f>
        <v>1.14389699463723</v>
      </c>
      <c r="V336" s="4"/>
      <c r="W336" s="4"/>
    </row>
    <row r="337" customFormat="false" ht="14.25" hidden="false" customHeight="false" outlineLevel="0" collapsed="false">
      <c r="A337" s="1" t="s">
        <v>101</v>
      </c>
      <c r="B337" s="2" t="n">
        <v>32.3</v>
      </c>
      <c r="C337" s="3" t="n">
        <v>276</v>
      </c>
      <c r="D337" s="3" t="n">
        <v>1</v>
      </c>
      <c r="E337" s="2" t="n">
        <v>60</v>
      </c>
      <c r="F337" s="4" t="n">
        <v>2.81086951894943</v>
      </c>
      <c r="G337" s="2" t="n">
        <v>38.3</v>
      </c>
      <c r="H337" s="2" t="n">
        <v>54.4</v>
      </c>
      <c r="I337" s="5" t="n">
        <v>0.061876058158272</v>
      </c>
      <c r="J337" s="4" t="n">
        <v>132.029040346747</v>
      </c>
      <c r="K337" s="4" t="n">
        <v>0.19</v>
      </c>
      <c r="L337" s="6" t="n">
        <f aca="false">J337/200000</f>
        <v>0.000660145201733733</v>
      </c>
      <c r="P337" s="4" t="n">
        <f aca="false">$Q$2*($Q$3*$G337+$Q$4*$B337^$Q$5*$I337^$Q$6)*$L337^$Q$7</f>
        <v>0.232747850592355</v>
      </c>
      <c r="Q337" s="4" t="n">
        <f aca="false">P337/$K337</f>
        <v>1.22498868732818</v>
      </c>
      <c r="S337" s="4" t="n">
        <f aca="false">$T$2*$B337^$T$3*$L337^$T$4*($T$5*$I337^$T$6+$T$7)</f>
        <v>0.231939464388692</v>
      </c>
      <c r="T337" s="4" t="n">
        <f aca="false">S337/$K337</f>
        <v>1.22073402309838</v>
      </c>
      <c r="V337" s="4"/>
      <c r="W337" s="4"/>
    </row>
    <row r="338" customFormat="false" ht="14.25" hidden="false" customHeight="false" outlineLevel="0" collapsed="false">
      <c r="B338" s="2" t="n">
        <v>32.3</v>
      </c>
      <c r="C338" s="3" t="n">
        <v>276</v>
      </c>
      <c r="D338" s="3" t="n">
        <v>1</v>
      </c>
      <c r="E338" s="2" t="n">
        <v>60</v>
      </c>
      <c r="F338" s="4" t="n">
        <v>2.81086951894943</v>
      </c>
      <c r="G338" s="2" t="n">
        <v>38.3</v>
      </c>
      <c r="H338" s="2" t="n">
        <v>54.4</v>
      </c>
      <c r="I338" s="5" t="n">
        <v>0.061876058158272</v>
      </c>
      <c r="J338" s="4" t="n">
        <v>173.995893792453</v>
      </c>
      <c r="K338" s="4" t="n">
        <v>0.24</v>
      </c>
      <c r="L338" s="6" t="n">
        <f aca="false">J338/200000</f>
        <v>0.000869979468962264</v>
      </c>
      <c r="P338" s="4" t="n">
        <f aca="false">$Q$2*($Q$3*$G338+$Q$4*$B338^$Q$5*$I338^$Q$6)*$L338^$Q$7</f>
        <v>0.29331640087965</v>
      </c>
      <c r="Q338" s="4" t="n">
        <f aca="false">P338/$K338</f>
        <v>1.22215167033188</v>
      </c>
      <c r="S338" s="4" t="n">
        <f aca="false">$T$2*$B338^$T$3*$L338^$T$4*($T$5*$I338^$T$6+$T$7)</f>
        <v>0.29359133302275</v>
      </c>
      <c r="T338" s="4" t="n">
        <f aca="false">S338/$K338</f>
        <v>1.22329722092812</v>
      </c>
      <c r="V338" s="4"/>
      <c r="W338" s="4"/>
    </row>
    <row r="339" customFormat="false" ht="14.25" hidden="false" customHeight="false" outlineLevel="0" collapsed="false">
      <c r="B339" s="2" t="n">
        <v>32.3</v>
      </c>
      <c r="C339" s="3" t="n">
        <v>276</v>
      </c>
      <c r="D339" s="3" t="n">
        <v>1</v>
      </c>
      <c r="E339" s="2" t="n">
        <v>60</v>
      </c>
      <c r="F339" s="4" t="n">
        <v>2.81086951894943</v>
      </c>
      <c r="G339" s="2" t="n">
        <v>38.3</v>
      </c>
      <c r="H339" s="2" t="n">
        <v>54.4</v>
      </c>
      <c r="I339" s="5" t="n">
        <v>0.061876058158272</v>
      </c>
      <c r="J339" s="4" t="n">
        <v>213.467885185766</v>
      </c>
      <c r="K339" s="4" t="n">
        <v>0.29</v>
      </c>
      <c r="L339" s="6" t="n">
        <f aca="false">J339/200000</f>
        <v>0.00106733942592883</v>
      </c>
      <c r="P339" s="4" t="n">
        <f aca="false">$Q$2*($Q$3*$G339+$Q$4*$B339^$Q$5*$I339^$Q$6)*$L339^$Q$7</f>
        <v>0.348133118827834</v>
      </c>
      <c r="Q339" s="4" t="n">
        <f aca="false">P339/$K339</f>
        <v>1.20045903044081</v>
      </c>
      <c r="S339" s="4" t="n">
        <f aca="false">$T$2*$B339^$T$3*$L339^$T$4*($T$5*$I339^$T$6+$T$7)</f>
        <v>0.349601205139594</v>
      </c>
      <c r="T339" s="4" t="n">
        <f aca="false">S339/$K339</f>
        <v>1.20552139703308</v>
      </c>
      <c r="V339" s="4"/>
      <c r="W339" s="4"/>
    </row>
    <row r="340" customFormat="false" ht="14.25" hidden="false" customHeight="false" outlineLevel="0" collapsed="false">
      <c r="B340" s="2" t="n">
        <v>32.3</v>
      </c>
      <c r="C340" s="3" t="n">
        <v>276</v>
      </c>
      <c r="D340" s="3" t="n">
        <v>1</v>
      </c>
      <c r="E340" s="2" t="n">
        <v>60</v>
      </c>
      <c r="F340" s="4" t="n">
        <v>2.81086951894943</v>
      </c>
      <c r="G340" s="2" t="n">
        <v>38.3</v>
      </c>
      <c r="H340" s="2" t="n">
        <v>54.4</v>
      </c>
      <c r="I340" s="5" t="n">
        <v>0.061876058158272</v>
      </c>
      <c r="J340" s="4" t="n">
        <v>241.662164752418</v>
      </c>
      <c r="K340" s="4" t="n">
        <v>0.36</v>
      </c>
      <c r="L340" s="6" t="n">
        <f aca="false">J340/200000</f>
        <v>0.00120831082376209</v>
      </c>
      <c r="P340" s="4" t="n">
        <f aca="false">$Q$2*($Q$3*$G340+$Q$4*$B340^$Q$5*$I340^$Q$6)*$L340^$Q$7</f>
        <v>0.386272263303666</v>
      </c>
      <c r="Q340" s="4" t="n">
        <f aca="false">P340/$K340</f>
        <v>1.07297850917685</v>
      </c>
      <c r="S340" s="4" t="n">
        <f aca="false">$T$2*$B340^$T$3*$L340^$T$4*($T$5*$I340^$T$6+$T$7)</f>
        <v>0.388671881166626</v>
      </c>
      <c r="T340" s="4" t="n">
        <f aca="false">S340/$K340</f>
        <v>1.07964411435174</v>
      </c>
      <c r="V340" s="4"/>
      <c r="W340" s="4"/>
    </row>
    <row r="341" customFormat="false" ht="14.25" hidden="false" customHeight="false" outlineLevel="0" collapsed="false">
      <c r="B341" s="2" t="n">
        <v>32.3</v>
      </c>
      <c r="C341" s="3" t="n">
        <v>276</v>
      </c>
      <c r="D341" s="3" t="n">
        <v>1</v>
      </c>
      <c r="E341" s="2" t="n">
        <v>60</v>
      </c>
      <c r="F341" s="4" t="n">
        <v>2.81086951894943</v>
      </c>
      <c r="G341" s="2" t="n">
        <v>38.3</v>
      </c>
      <c r="H341" s="2" t="n">
        <v>54.4</v>
      </c>
      <c r="I341" s="5" t="n">
        <v>0.061876058158272</v>
      </c>
      <c r="J341" s="4" t="n">
        <v>249.026599960336</v>
      </c>
      <c r="K341" s="4" t="n">
        <v>0.42</v>
      </c>
      <c r="L341" s="6" t="n">
        <f aca="false">J341/200000</f>
        <v>0.00124513299980168</v>
      </c>
      <c r="P341" s="4" t="n">
        <f aca="false">$Q$2*($Q$3*$G341+$Q$4*$B341^$Q$5*$I341^$Q$6)*$L341^$Q$7</f>
        <v>0.396112543579981</v>
      </c>
      <c r="Q341" s="4" t="n">
        <f aca="false">P341/$K341</f>
        <v>0.943125103761861</v>
      </c>
      <c r="S341" s="4" t="n">
        <f aca="false">$T$2*$B341^$T$3*$L341^$T$4*($T$5*$I341^$T$6+$T$7)</f>
        <v>0.398764773876111</v>
      </c>
      <c r="T341" s="4" t="n">
        <f aca="false">S341/$K341</f>
        <v>0.949439937800264</v>
      </c>
      <c r="V341" s="4"/>
      <c r="W341" s="4"/>
    </row>
    <row r="342" customFormat="false" ht="14.25" hidden="false" customHeight="false" outlineLevel="0" collapsed="false">
      <c r="A342" s="1" t="s">
        <v>102</v>
      </c>
      <c r="B342" s="2" t="n">
        <v>28.7</v>
      </c>
      <c r="C342" s="3" t="n">
        <v>276</v>
      </c>
      <c r="D342" s="3" t="n">
        <v>2</v>
      </c>
      <c r="E342" s="2" t="n">
        <v>50.6</v>
      </c>
      <c r="F342" s="4" t="n">
        <v>2.57657861790804</v>
      </c>
      <c r="G342" s="2" t="n">
        <v>38</v>
      </c>
      <c r="H342" s="2" t="n">
        <v>52.3</v>
      </c>
      <c r="I342" s="5" t="n">
        <v>0.0655704777184944</v>
      </c>
      <c r="J342" s="4" t="n">
        <v>149.081395774833</v>
      </c>
      <c r="K342" s="4" t="n">
        <v>0.18</v>
      </c>
      <c r="L342" s="6" t="n">
        <f aca="false">J342/200000</f>
        <v>0.000745406978874166</v>
      </c>
      <c r="P342" s="4" t="n">
        <f aca="false">$Q$2*($Q$3*$G342+$Q$4*$B342^$Q$5*$I342^$Q$6)*$L342^$Q$7</f>
        <v>0.220064470304231</v>
      </c>
      <c r="Q342" s="4" t="n">
        <f aca="false">P342/$K342</f>
        <v>1.22258039057906</v>
      </c>
      <c r="S342" s="4" t="n">
        <f aca="false">$T$2*$B342^$T$3*$L342^$T$4*($T$5*$I342^$T$6+$T$7)</f>
        <v>0.218893045099192</v>
      </c>
      <c r="T342" s="4" t="n">
        <f aca="false">S342/$K342</f>
        <v>1.21607247277329</v>
      </c>
      <c r="V342" s="4"/>
      <c r="W342" s="4"/>
    </row>
    <row r="343" customFormat="false" ht="14.25" hidden="false" customHeight="false" outlineLevel="0" collapsed="false">
      <c r="B343" s="2" t="n">
        <v>28.7</v>
      </c>
      <c r="C343" s="3" t="n">
        <v>276</v>
      </c>
      <c r="D343" s="3" t="n">
        <v>2</v>
      </c>
      <c r="E343" s="2" t="n">
        <v>50.6</v>
      </c>
      <c r="F343" s="4" t="n">
        <v>2.57657861790804</v>
      </c>
      <c r="G343" s="2" t="n">
        <v>38</v>
      </c>
      <c r="H343" s="2" t="n">
        <v>52.3</v>
      </c>
      <c r="I343" s="5" t="n">
        <v>0.0655704777184944</v>
      </c>
      <c r="J343" s="4" t="n">
        <v>189.319610776324</v>
      </c>
      <c r="K343" s="4" t="n">
        <v>0.22</v>
      </c>
      <c r="L343" s="6" t="n">
        <f aca="false">J343/200000</f>
        <v>0.00094659805388162</v>
      </c>
      <c r="P343" s="4" t="n">
        <f aca="false">$Q$2*($Q$3*$G343+$Q$4*$B343^$Q$5*$I343^$Q$6)*$L343^$Q$7</f>
        <v>0.268850590567268</v>
      </c>
      <c r="Q343" s="4" t="n">
        <f aca="false">P343/$K343</f>
        <v>1.22204813894213</v>
      </c>
      <c r="S343" s="4" t="n">
        <f aca="false">$T$2*$B343^$T$3*$L343^$T$4*($T$5*$I343^$T$6+$T$7)</f>
        <v>0.268443802134718</v>
      </c>
      <c r="T343" s="4" t="n">
        <f aca="false">S343/$K343</f>
        <v>1.22019910061235</v>
      </c>
      <c r="V343" s="4"/>
      <c r="W343" s="4"/>
    </row>
    <row r="344" customFormat="false" ht="14.25" hidden="false" customHeight="false" outlineLevel="0" collapsed="false">
      <c r="B344" s="2" t="n">
        <v>28.7</v>
      </c>
      <c r="C344" s="3" t="n">
        <v>276</v>
      </c>
      <c r="D344" s="3" t="n">
        <v>2</v>
      </c>
      <c r="E344" s="2" t="n">
        <v>50.6</v>
      </c>
      <c r="F344" s="4" t="n">
        <v>2.57657861790804</v>
      </c>
      <c r="G344" s="2" t="n">
        <v>38</v>
      </c>
      <c r="H344" s="2" t="n">
        <v>52.3</v>
      </c>
      <c r="I344" s="5" t="n">
        <v>0.0655704777184944</v>
      </c>
      <c r="J344" s="4" t="n">
        <v>220.988380675886</v>
      </c>
      <c r="K344" s="4" t="n">
        <v>0.27</v>
      </c>
      <c r="L344" s="6" t="n">
        <f aca="false">J344/200000</f>
        <v>0.00110494190337943</v>
      </c>
      <c r="P344" s="4" t="n">
        <f aca="false">$Q$2*($Q$3*$G344+$Q$4*$B344^$Q$5*$I344^$Q$6)*$L344^$Q$7</f>
        <v>0.306057248740712</v>
      </c>
      <c r="Q344" s="4" t="n">
        <f aca="false">P344/$K344</f>
        <v>1.13354536570634</v>
      </c>
      <c r="S344" s="4" t="n">
        <f aca="false">$T$2*$B344^$T$3*$L344^$T$4*($T$5*$I344^$T$6+$T$7)</f>
        <v>0.306351377774863</v>
      </c>
      <c r="T344" s="4" t="n">
        <f aca="false">S344/$K344</f>
        <v>1.13463473249949</v>
      </c>
      <c r="V344" s="4"/>
      <c r="W344" s="4"/>
    </row>
    <row r="345" customFormat="false" ht="14.25" hidden="false" customHeight="false" outlineLevel="0" collapsed="false">
      <c r="B345" s="2" t="n">
        <v>28.7</v>
      </c>
      <c r="C345" s="3" t="n">
        <v>276</v>
      </c>
      <c r="D345" s="3" t="n">
        <v>2</v>
      </c>
      <c r="E345" s="2" t="n">
        <v>50.6</v>
      </c>
      <c r="F345" s="4" t="n">
        <v>2.57657861790804</v>
      </c>
      <c r="G345" s="2" t="n">
        <v>38</v>
      </c>
      <c r="H345" s="2" t="n">
        <v>52.3</v>
      </c>
      <c r="I345" s="5" t="n">
        <v>0.0655704777184944</v>
      </c>
      <c r="J345" s="4" t="n">
        <v>251.927578608997</v>
      </c>
      <c r="K345" s="4" t="n">
        <v>0.32</v>
      </c>
      <c r="L345" s="6" t="n">
        <f aca="false">J345/200000</f>
        <v>0.00125963789304498</v>
      </c>
      <c r="P345" s="4" t="n">
        <f aca="false">$Q$2*($Q$3*$G345+$Q$4*$B345^$Q$5*$I345^$Q$6)*$L345^$Q$7</f>
        <v>0.3415781850503</v>
      </c>
      <c r="Q345" s="4" t="n">
        <f aca="false">P345/$K345</f>
        <v>1.06743182828219</v>
      </c>
      <c r="S345" s="4" t="n">
        <f aca="false">$T$2*$B345^$T$3*$L345^$T$4*($T$5*$I345^$T$6+$T$7)</f>
        <v>0.342624010993113</v>
      </c>
      <c r="T345" s="4" t="n">
        <f aca="false">S345/$K345</f>
        <v>1.07070003435348</v>
      </c>
      <c r="V345" s="4"/>
      <c r="W345" s="4"/>
    </row>
    <row r="346" customFormat="false" ht="14.25" hidden="false" customHeight="false" outlineLevel="0" collapsed="false">
      <c r="A346" s="1" t="s">
        <v>103</v>
      </c>
      <c r="B346" s="2" t="n">
        <v>28.7</v>
      </c>
      <c r="C346" s="3" t="n">
        <v>276</v>
      </c>
      <c r="D346" s="3" t="n">
        <v>2</v>
      </c>
      <c r="E346" s="2" t="n">
        <v>50.6</v>
      </c>
      <c r="F346" s="4" t="n">
        <v>2.57657861790804</v>
      </c>
      <c r="G346" s="2" t="n">
        <v>38</v>
      </c>
      <c r="H346" s="2" t="n">
        <v>52.3</v>
      </c>
      <c r="I346" s="5" t="n">
        <v>0.0655704777184944</v>
      </c>
      <c r="J346" s="4" t="n">
        <v>189.319610776324</v>
      </c>
      <c r="K346" s="4" t="n">
        <v>0.16</v>
      </c>
      <c r="L346" s="6" t="n">
        <f aca="false">J346/200000</f>
        <v>0.00094659805388162</v>
      </c>
      <c r="P346" s="4" t="n">
        <f aca="false">$Q$2*($Q$3*$G346+$Q$4*$B346^$Q$5*$I346^$Q$6)*$L346^$Q$7</f>
        <v>0.268850590567268</v>
      </c>
      <c r="Q346" s="4" t="n">
        <f aca="false">P346/$K346</f>
        <v>1.68031619104542</v>
      </c>
      <c r="S346" s="4" t="n">
        <f aca="false">$T$2*$B346^$T$3*$L346^$T$4*($T$5*$I346^$T$6+$T$7)</f>
        <v>0.268443802134718</v>
      </c>
      <c r="T346" s="4" t="n">
        <f aca="false">S346/$K346</f>
        <v>1.67777376334199</v>
      </c>
      <c r="V346" s="4"/>
      <c r="W346" s="4"/>
    </row>
    <row r="347" customFormat="false" ht="14.25" hidden="false" customHeight="false" outlineLevel="0" collapsed="false">
      <c r="B347" s="2" t="n">
        <v>28.7</v>
      </c>
      <c r="C347" s="3" t="n">
        <v>276</v>
      </c>
      <c r="D347" s="3" t="n">
        <v>2</v>
      </c>
      <c r="E347" s="2" t="n">
        <v>50.6</v>
      </c>
      <c r="F347" s="4" t="n">
        <v>2.57657861790804</v>
      </c>
      <c r="G347" s="2" t="n">
        <v>38</v>
      </c>
      <c r="H347" s="2" t="n">
        <v>52.3</v>
      </c>
      <c r="I347" s="5" t="n">
        <v>0.0655704777184944</v>
      </c>
      <c r="J347" s="4" t="n">
        <v>220.988380675886</v>
      </c>
      <c r="K347" s="4" t="n">
        <v>0.19</v>
      </c>
      <c r="L347" s="6" t="n">
        <f aca="false">J347/200000</f>
        <v>0.00110494190337943</v>
      </c>
      <c r="P347" s="4" t="n">
        <f aca="false">$Q$2*($Q$3*$G347+$Q$4*$B347^$Q$5*$I347^$Q$6)*$L347^$Q$7</f>
        <v>0.306057248740712</v>
      </c>
      <c r="Q347" s="4" t="n">
        <f aca="false">P347/$K347</f>
        <v>1.61082762495111</v>
      </c>
      <c r="S347" s="4" t="n">
        <f aca="false">$T$2*$B347^$T$3*$L347^$T$4*($T$5*$I347^$T$6+$T$7)</f>
        <v>0.306351377774863</v>
      </c>
      <c r="T347" s="4" t="n">
        <f aca="false">S347/$K347</f>
        <v>1.61237567249928</v>
      </c>
      <c r="V347" s="4"/>
      <c r="W347" s="4"/>
    </row>
    <row r="348" customFormat="false" ht="14.25" hidden="false" customHeight="false" outlineLevel="0" collapsed="false">
      <c r="B348" s="2" t="n">
        <v>28.7</v>
      </c>
      <c r="C348" s="3" t="n">
        <v>276</v>
      </c>
      <c r="D348" s="3" t="n">
        <v>2</v>
      </c>
      <c r="E348" s="2" t="n">
        <v>50.6</v>
      </c>
      <c r="F348" s="4" t="n">
        <v>2.57657861790804</v>
      </c>
      <c r="G348" s="2" t="n">
        <v>38</v>
      </c>
      <c r="H348" s="2" t="n">
        <v>52.3</v>
      </c>
      <c r="I348" s="5" t="n">
        <v>0.0655704777184944</v>
      </c>
      <c r="J348" s="4" t="n">
        <v>251.927578608997</v>
      </c>
      <c r="K348" s="4" t="n">
        <v>0.22</v>
      </c>
      <c r="L348" s="6" t="n">
        <f aca="false">J348/200000</f>
        <v>0.00125963789304498</v>
      </c>
      <c r="P348" s="4" t="n">
        <f aca="false">$Q$2*($Q$3*$G348+$Q$4*$B348^$Q$5*$I348^$Q$6)*$L348^$Q$7</f>
        <v>0.3415781850503</v>
      </c>
      <c r="Q348" s="4" t="n">
        <f aca="false">P348/$K348</f>
        <v>1.552628113865</v>
      </c>
      <c r="S348" s="4" t="n">
        <f aca="false">$T$2*$B348^$T$3*$L348^$T$4*($T$5*$I348^$T$6+$T$7)</f>
        <v>0.342624010993113</v>
      </c>
      <c r="T348" s="4" t="n">
        <f aca="false">S348/$K348</f>
        <v>1.55738186815051</v>
      </c>
      <c r="V348" s="4"/>
      <c r="W348" s="4"/>
    </row>
    <row r="349" customFormat="false" ht="14.25" hidden="false" customHeight="false" outlineLevel="0" collapsed="false">
      <c r="A349" s="1" t="s">
        <v>104</v>
      </c>
      <c r="B349" s="2" t="n">
        <v>35.8</v>
      </c>
      <c r="C349" s="3" t="n">
        <v>276</v>
      </c>
      <c r="D349" s="3" t="n">
        <v>2</v>
      </c>
      <c r="E349" s="2" t="n">
        <v>36.4</v>
      </c>
      <c r="F349" s="4" t="n">
        <v>2.54783553354044</v>
      </c>
      <c r="G349" s="2" t="n">
        <v>38</v>
      </c>
      <c r="H349" s="2" t="n">
        <v>55.9</v>
      </c>
      <c r="I349" s="5" t="n">
        <v>0.112443490851356</v>
      </c>
      <c r="J349" s="4" t="n">
        <v>159.978297787888</v>
      </c>
      <c r="K349" s="4" t="n">
        <v>0.17</v>
      </c>
      <c r="L349" s="6" t="n">
        <f aca="false">J349/200000</f>
        <v>0.000799891488939438</v>
      </c>
      <c r="P349" s="4" t="n">
        <f aca="false">$Q$2*($Q$3*$G349+$Q$4*$B349^$Q$5*$I349^$Q$6)*$L349^$Q$7</f>
        <v>0.228116296195375</v>
      </c>
      <c r="Q349" s="4" t="n">
        <f aca="false">P349/$K349</f>
        <v>1.34186056585515</v>
      </c>
      <c r="S349" s="4" t="n">
        <f aca="false">$T$2*$B349^$T$3*$L349^$T$4*($T$5*$I349^$T$6+$T$7)</f>
        <v>0.239572030039298</v>
      </c>
      <c r="T349" s="4" t="n">
        <f aca="false">S349/$K349</f>
        <v>1.40924723552528</v>
      </c>
      <c r="V349" s="4"/>
      <c r="W349" s="4"/>
    </row>
    <row r="350" customFormat="false" ht="14.25" hidden="false" customHeight="false" outlineLevel="0" collapsed="false">
      <c r="A350" s="1" t="s">
        <v>105</v>
      </c>
      <c r="B350" s="2" t="n">
        <v>35.8</v>
      </c>
      <c r="C350" s="3" t="n">
        <v>276</v>
      </c>
      <c r="D350" s="3" t="n">
        <v>2</v>
      </c>
      <c r="E350" s="2" t="n">
        <v>36.4</v>
      </c>
      <c r="F350" s="4" t="n">
        <v>2.75637342683892</v>
      </c>
      <c r="G350" s="2" t="n">
        <v>38</v>
      </c>
      <c r="H350" s="2" t="n">
        <v>55.9</v>
      </c>
      <c r="I350" s="5" t="n">
        <v>0.111410061904879</v>
      </c>
      <c r="J350" s="4" t="n">
        <v>118.013728049833</v>
      </c>
      <c r="K350" s="4" t="n">
        <v>0.19</v>
      </c>
      <c r="L350" s="6" t="n">
        <f aca="false">J350/200000</f>
        <v>0.000590068640249167</v>
      </c>
      <c r="P350" s="4" t="n">
        <f aca="false">$Q$2*($Q$3*$G350+$Q$4*$B350^$Q$5*$I350^$Q$6)*$L350^$Q$7</f>
        <v>0.177583075126987</v>
      </c>
      <c r="Q350" s="4" t="n">
        <f aca="false">P350/$K350</f>
        <v>0.934647763826245</v>
      </c>
      <c r="S350" s="4" t="n">
        <f aca="false">$T$2*$B350^$T$3*$L350^$T$4*($T$5*$I350^$T$6+$T$7)</f>
        <v>0.185413410706826</v>
      </c>
      <c r="T350" s="4" t="n">
        <f aca="false">S350/$K350</f>
        <v>0.975860056351718</v>
      </c>
      <c r="V350" s="4"/>
      <c r="W350" s="4"/>
    </row>
    <row r="351" customFormat="false" ht="14.25" hidden="false" customHeight="false" outlineLevel="0" collapsed="false">
      <c r="B351" s="2" t="n">
        <v>35.8</v>
      </c>
      <c r="C351" s="3" t="n">
        <v>276</v>
      </c>
      <c r="D351" s="3" t="n">
        <v>2</v>
      </c>
      <c r="E351" s="2" t="n">
        <v>36.4</v>
      </c>
      <c r="F351" s="4" t="n">
        <v>2.75637342683892</v>
      </c>
      <c r="G351" s="2" t="n">
        <v>38</v>
      </c>
      <c r="H351" s="2" t="n">
        <v>55.9</v>
      </c>
      <c r="I351" s="5" t="n">
        <v>0.111410061904879</v>
      </c>
      <c r="J351" s="4" t="n">
        <v>157.863841357394</v>
      </c>
      <c r="K351" s="4" t="n">
        <v>0.25</v>
      </c>
      <c r="L351" s="6" t="n">
        <f aca="false">J351/200000</f>
        <v>0.00078931920678697</v>
      </c>
      <c r="P351" s="4" t="n">
        <f aca="false">$Q$2*($Q$3*$G351+$Q$4*$B351^$Q$5*$I351^$Q$6)*$L351^$Q$7</f>
        <v>0.22661204323319</v>
      </c>
      <c r="Q351" s="4" t="n">
        <f aca="false">P351/$K351</f>
        <v>0.906448172932759</v>
      </c>
      <c r="S351" s="4" t="n">
        <f aca="false">$T$2*$B351^$T$3*$L351^$T$4*($T$5*$I351^$T$6+$T$7)</f>
        <v>0.237708197826835</v>
      </c>
      <c r="T351" s="4" t="n">
        <f aca="false">S351/$K351</f>
        <v>0.950832791307341</v>
      </c>
      <c r="V351" s="4"/>
      <c r="W351" s="4"/>
    </row>
    <row r="352" customFormat="false" ht="14.25" hidden="false" customHeight="false" outlineLevel="0" collapsed="false">
      <c r="S352" s="1"/>
      <c r="T352" s="1"/>
      <c r="V352" s="1"/>
      <c r="W352" s="1"/>
    </row>
    <row r="353" customFormat="false" ht="14.25" hidden="false" customHeight="false" outlineLevel="0" collapsed="false">
      <c r="P353" s="1" t="s">
        <v>106</v>
      </c>
      <c r="Q353" s="4" t="n">
        <f aca="false">AVERAGE(Q11:Q351)</f>
        <v>1.04317151828654</v>
      </c>
      <c r="S353" s="1" t="s">
        <v>106</v>
      </c>
      <c r="T353" s="4" t="n">
        <f aca="false">AVERAGE(T11:T351)</f>
        <v>1.03955796971727</v>
      </c>
      <c r="V353" s="1"/>
      <c r="W353" s="4"/>
    </row>
    <row r="354" customFormat="false" ht="14.25" hidden="false" customHeight="false" outlineLevel="0" collapsed="false">
      <c r="P354" s="1" t="s">
        <v>107</v>
      </c>
      <c r="Q354" s="4" t="n">
        <f aca="false">_xlfn.STDEV.S(Q11:Q351)</f>
        <v>0.295094716672572</v>
      </c>
      <c r="S354" s="1" t="s">
        <v>107</v>
      </c>
      <c r="T354" s="4" t="n">
        <f aca="false">_xlfn.STDEV.S(T11:T351)</f>
        <v>0.294566374077218</v>
      </c>
      <c r="V354" s="1"/>
      <c r="W354" s="4"/>
    </row>
    <row r="355" customFormat="false" ht="14.25" hidden="false" customHeight="false" outlineLevel="0" collapsed="false">
      <c r="P355" s="1" t="s">
        <v>108</v>
      </c>
      <c r="Q355" s="10" t="n">
        <f aca="false">Q354/Q353</f>
        <v>0.282882260011546</v>
      </c>
      <c r="S355" s="1" t="s">
        <v>108</v>
      </c>
      <c r="T355" s="10" t="n">
        <f aca="false">T354/T353</f>
        <v>0.283357333268613</v>
      </c>
      <c r="V355" s="1"/>
      <c r="W355" s="10"/>
    </row>
  </sheetData>
  <mergeCells count="1">
    <mergeCell ref="B9:J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3"/>
  <sheetViews>
    <sheetView showFormulas="false" showGridLines="true" showRowColHeaders="true" showZeros="true" rightToLeft="false" tabSelected="false" showOutlineSymbols="true" defaultGridColor="true" view="normal" topLeftCell="E18" colorId="64" zoomScale="120" zoomScaleNormal="120" zoomScalePageLayoutView="100" workbookViewId="0">
      <selection pane="topLeft" activeCell="F34" activeCellId="0" sqref="F34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33.11"/>
    <col collapsed="false" customWidth="true" hidden="false" outlineLevel="0" max="2" min="2" style="1" width="24.78"/>
    <col collapsed="false" customWidth="true" hidden="false" outlineLevel="0" max="3" min="3" style="3" width="24.78"/>
    <col collapsed="false" customWidth="true" hidden="false" outlineLevel="0" max="4" min="4" style="1" width="29.66"/>
    <col collapsed="false" customWidth="true" hidden="false" outlineLevel="0" max="5" min="5" style="2" width="29.33"/>
    <col collapsed="false" customWidth="true" hidden="false" outlineLevel="0" max="6" min="6" style="4" width="36.78"/>
    <col collapsed="false" customWidth="true" hidden="false" outlineLevel="0" max="7" min="7" style="1" width="16.45"/>
    <col collapsed="false" customWidth="true" hidden="false" outlineLevel="0" max="8" min="8" style="1" width="44.55"/>
    <col collapsed="false" customWidth="true" hidden="false" outlineLevel="0" max="9" min="9" style="5" width="16.33"/>
    <col collapsed="false" customWidth="true" hidden="false" outlineLevel="0" max="10" min="10" style="4" width="22.67"/>
    <col collapsed="false" customWidth="true" hidden="false" outlineLevel="0" max="11" min="11" style="4" width="9.66"/>
  </cols>
  <sheetData>
    <row r="1" customFormat="false" ht="14.25" hidden="false" customHeight="false" outlineLevel="0" collapsed="false">
      <c r="A1" s="0" t="s">
        <v>8</v>
      </c>
      <c r="B1" s="11" t="s">
        <v>9</v>
      </c>
      <c r="C1" s="11"/>
      <c r="D1" s="11"/>
      <c r="E1" s="11"/>
      <c r="F1" s="11"/>
      <c r="G1" s="11"/>
      <c r="H1" s="11"/>
      <c r="I1" s="11"/>
      <c r="J1" s="11"/>
      <c r="K1" s="4" t="s">
        <v>10</v>
      </c>
    </row>
    <row r="2" customFormat="false" ht="16.4" hidden="false" customHeight="false" outlineLevel="0" collapsed="false">
      <c r="B2" s="1" t="s">
        <v>109</v>
      </c>
      <c r="C2" s="3" t="s">
        <v>12</v>
      </c>
      <c r="D2" s="1" t="s">
        <v>13</v>
      </c>
      <c r="E2" s="2" t="s">
        <v>14</v>
      </c>
      <c r="F2" s="4" t="s">
        <v>110</v>
      </c>
      <c r="G2" s="1" t="s">
        <v>111</v>
      </c>
      <c r="H2" s="1" t="s">
        <v>112</v>
      </c>
      <c r="I2" s="5" t="s">
        <v>113</v>
      </c>
      <c r="J2" s="4" t="s">
        <v>114</v>
      </c>
      <c r="K2" s="4" t="s">
        <v>115</v>
      </c>
    </row>
    <row r="3" customFormat="false" ht="14.25" hidden="false" customHeight="false" outlineLevel="0" collapsed="false">
      <c r="A3" s="0" t="s">
        <v>22</v>
      </c>
      <c r="B3" s="1" t="n">
        <v>20</v>
      </c>
      <c r="C3" s="3" t="n">
        <v>500</v>
      </c>
      <c r="D3" s="1" t="n">
        <v>2</v>
      </c>
      <c r="E3" s="2" t="n">
        <v>126</v>
      </c>
      <c r="F3" s="4" t="n">
        <v>4.12034052390144</v>
      </c>
      <c r="G3" s="1" t="n">
        <v>25</v>
      </c>
      <c r="H3" s="1" t="n">
        <v>39</v>
      </c>
      <c r="I3" s="5" t="n">
        <v>0.0607235456892252</v>
      </c>
      <c r="J3" s="4" t="n">
        <v>231.811004938734</v>
      </c>
      <c r="K3" s="4" t="n">
        <v>0.16</v>
      </c>
    </row>
    <row r="4" customFormat="false" ht="14.25" hidden="false" customHeight="false" outlineLevel="0" collapsed="false">
      <c r="B4" s="1" t="n">
        <v>20</v>
      </c>
      <c r="C4" s="3" t="n">
        <v>500</v>
      </c>
      <c r="D4" s="1" t="n">
        <v>2</v>
      </c>
      <c r="E4" s="2" t="n">
        <v>126</v>
      </c>
      <c r="F4" s="4" t="n">
        <v>4.12034052390144</v>
      </c>
      <c r="G4" s="1" t="n">
        <v>25</v>
      </c>
      <c r="H4" s="1" t="n">
        <v>39</v>
      </c>
      <c r="I4" s="5" t="n">
        <v>0.0607235456892252</v>
      </c>
      <c r="J4" s="4" t="n">
        <v>304.251943982088</v>
      </c>
      <c r="K4" s="4" t="n">
        <v>0.23</v>
      </c>
    </row>
    <row r="5" customFormat="false" ht="14.25" hidden="false" customHeight="false" outlineLevel="0" collapsed="false">
      <c r="B5" s="1" t="n">
        <v>20</v>
      </c>
      <c r="C5" s="3" t="n">
        <v>500</v>
      </c>
      <c r="D5" s="1" t="n">
        <v>2</v>
      </c>
      <c r="E5" s="2" t="n">
        <v>126</v>
      </c>
      <c r="F5" s="4" t="n">
        <v>4.12034052390144</v>
      </c>
      <c r="G5" s="1" t="n">
        <v>25</v>
      </c>
      <c r="H5" s="1" t="n">
        <v>39</v>
      </c>
      <c r="I5" s="5" t="n">
        <v>0.0607235456892252</v>
      </c>
      <c r="J5" s="4" t="n">
        <v>314.282227849629</v>
      </c>
      <c r="K5" s="4" t="n">
        <v>0.24</v>
      </c>
    </row>
    <row r="6" customFormat="false" ht="14.25" hidden="false" customHeight="false" outlineLevel="0" collapsed="false">
      <c r="B6" s="1" t="n">
        <v>20</v>
      </c>
      <c r="C6" s="3" t="n">
        <v>500</v>
      </c>
      <c r="D6" s="1" t="n">
        <v>2</v>
      </c>
      <c r="E6" s="2" t="n">
        <v>126</v>
      </c>
      <c r="F6" s="4" t="n">
        <v>4.12034052390144</v>
      </c>
      <c r="G6" s="1" t="n">
        <v>25</v>
      </c>
      <c r="H6" s="1" t="n">
        <v>39</v>
      </c>
      <c r="I6" s="5" t="n">
        <v>0.0607235456892252</v>
      </c>
      <c r="J6" s="4" t="n">
        <v>363.319171202054</v>
      </c>
      <c r="K6" s="4" t="n">
        <v>0.27</v>
      </c>
    </row>
    <row r="7" customFormat="false" ht="14.25" hidden="false" customHeight="false" outlineLevel="0" collapsed="false">
      <c r="B7" s="1" t="n">
        <v>20</v>
      </c>
      <c r="C7" s="3" t="n">
        <v>500</v>
      </c>
      <c r="D7" s="1" t="n">
        <v>2</v>
      </c>
      <c r="E7" s="2" t="n">
        <v>126</v>
      </c>
      <c r="F7" s="4" t="n">
        <v>4.12034052390144</v>
      </c>
      <c r="G7" s="1" t="n">
        <v>25</v>
      </c>
      <c r="H7" s="1" t="n">
        <v>39</v>
      </c>
      <c r="I7" s="5" t="n">
        <v>0.0607235456892252</v>
      </c>
      <c r="J7" s="4" t="n">
        <v>459.164105936338</v>
      </c>
      <c r="K7" s="4" t="n">
        <v>0.35</v>
      </c>
    </row>
    <row r="8" customFormat="false" ht="14.25" hidden="false" customHeight="false" outlineLevel="0" collapsed="false">
      <c r="B8" s="1" t="n">
        <v>20</v>
      </c>
      <c r="C8" s="3" t="n">
        <v>500</v>
      </c>
      <c r="D8" s="1" t="n">
        <v>2</v>
      </c>
      <c r="E8" s="2" t="n">
        <v>126</v>
      </c>
      <c r="F8" s="4" t="n">
        <v>4.12034052390144</v>
      </c>
      <c r="G8" s="1" t="n">
        <v>25</v>
      </c>
      <c r="H8" s="1" t="n">
        <v>39</v>
      </c>
      <c r="I8" s="5" t="n">
        <v>0.0607235456892252</v>
      </c>
      <c r="J8" s="4" t="n">
        <v>500</v>
      </c>
      <c r="K8" s="4" t="n">
        <v>0.4</v>
      </c>
    </row>
    <row r="9" customFormat="false" ht="14.25" hidden="false" customHeight="false" outlineLevel="0" collapsed="false">
      <c r="A9" s="0" t="s">
        <v>23</v>
      </c>
      <c r="B9" s="1" t="n">
        <v>10</v>
      </c>
      <c r="C9" s="3" t="n">
        <v>500</v>
      </c>
      <c r="D9" s="1" t="n">
        <v>8</v>
      </c>
      <c r="E9" s="2" t="n">
        <v>87.7</v>
      </c>
      <c r="F9" s="4" t="n">
        <v>4.13112676332901</v>
      </c>
      <c r="G9" s="1" t="n">
        <v>25</v>
      </c>
      <c r="H9" s="1" t="n">
        <v>53</v>
      </c>
      <c r="I9" s="5" t="n">
        <v>0.015388385199706</v>
      </c>
      <c r="J9" s="4" t="n">
        <v>322.919715637812</v>
      </c>
      <c r="K9" s="4" t="n">
        <v>0.16</v>
      </c>
    </row>
    <row r="10" customFormat="false" ht="14.25" hidden="false" customHeight="false" outlineLevel="0" collapsed="false">
      <c r="B10" s="1" t="n">
        <v>10</v>
      </c>
      <c r="C10" s="3" t="n">
        <v>500</v>
      </c>
      <c r="D10" s="1" t="n">
        <v>8</v>
      </c>
      <c r="E10" s="2" t="n">
        <v>87.7</v>
      </c>
      <c r="F10" s="4" t="n">
        <v>4.13112676332901</v>
      </c>
      <c r="G10" s="1" t="n">
        <v>25</v>
      </c>
      <c r="H10" s="1" t="n">
        <v>53</v>
      </c>
      <c r="I10" s="5" t="n">
        <v>0.015388385199706</v>
      </c>
      <c r="J10" s="4" t="n">
        <v>367.820933240784</v>
      </c>
      <c r="K10" s="4" t="n">
        <v>0.18</v>
      </c>
    </row>
    <row r="11" customFormat="false" ht="14.25" hidden="false" customHeight="false" outlineLevel="0" collapsed="false">
      <c r="B11" s="1" t="n">
        <v>10</v>
      </c>
      <c r="C11" s="3" t="n">
        <v>500</v>
      </c>
      <c r="D11" s="1" t="n">
        <v>8</v>
      </c>
      <c r="E11" s="2" t="n">
        <v>87.7</v>
      </c>
      <c r="F11" s="4" t="n">
        <v>4.13112676332901</v>
      </c>
      <c r="G11" s="1" t="n">
        <v>25</v>
      </c>
      <c r="H11" s="1" t="n">
        <v>53</v>
      </c>
      <c r="I11" s="5" t="n">
        <v>0.015388385199706</v>
      </c>
      <c r="J11" s="4" t="n">
        <v>500</v>
      </c>
      <c r="K11" s="4" t="n">
        <v>0.26</v>
      </c>
    </row>
    <row r="12" customFormat="false" ht="14.25" hidden="false" customHeight="false" outlineLevel="0" collapsed="false">
      <c r="A12" s="0" t="s">
        <v>24</v>
      </c>
      <c r="B12" s="1" t="n">
        <v>10</v>
      </c>
      <c r="C12" s="3" t="n">
        <v>628</v>
      </c>
      <c r="D12" s="1" t="n">
        <v>4</v>
      </c>
      <c r="E12" s="2" t="n">
        <v>32.4666666666667</v>
      </c>
      <c r="F12" s="4" t="n">
        <v>3.262</v>
      </c>
      <c r="G12" s="1" t="n">
        <v>25</v>
      </c>
      <c r="H12" s="1" t="n">
        <v>36</v>
      </c>
      <c r="I12" s="5" t="n">
        <v>0.0174444444444444</v>
      </c>
      <c r="J12" s="4" t="n">
        <v>285.048032184717</v>
      </c>
      <c r="K12" s="4" t="n">
        <v>0.16</v>
      </c>
    </row>
    <row r="13" customFormat="false" ht="14.25" hidden="false" customHeight="false" outlineLevel="0" collapsed="false">
      <c r="B13" s="1" t="n">
        <v>10</v>
      </c>
      <c r="C13" s="3" t="n">
        <v>628</v>
      </c>
      <c r="D13" s="1" t="n">
        <v>4</v>
      </c>
      <c r="E13" s="2" t="n">
        <v>32.4666666666667</v>
      </c>
      <c r="F13" s="4" t="n">
        <v>3.262</v>
      </c>
      <c r="G13" s="1" t="n">
        <v>25</v>
      </c>
      <c r="H13" s="1" t="n">
        <v>36</v>
      </c>
      <c r="I13" s="5" t="n">
        <v>0.0174444444444444</v>
      </c>
      <c r="J13" s="4" t="n">
        <v>324.999646144464</v>
      </c>
      <c r="K13" s="4" t="n">
        <v>0.2</v>
      </c>
    </row>
    <row r="14" customFormat="false" ht="14.25" hidden="false" customHeight="false" outlineLevel="0" collapsed="false">
      <c r="B14" s="1" t="n">
        <v>10</v>
      </c>
      <c r="C14" s="3" t="n">
        <v>628</v>
      </c>
      <c r="D14" s="1" t="n">
        <v>4</v>
      </c>
      <c r="E14" s="2" t="n">
        <v>32.4666666666667</v>
      </c>
      <c r="F14" s="4" t="n">
        <v>3.262</v>
      </c>
      <c r="G14" s="1" t="n">
        <v>25</v>
      </c>
      <c r="H14" s="1" t="n">
        <v>36</v>
      </c>
      <c r="I14" s="5" t="n">
        <v>0.0174444444444444</v>
      </c>
      <c r="J14" s="4" t="n">
        <v>367.644627337453</v>
      </c>
      <c r="K14" s="4" t="n">
        <v>0.2</v>
      </c>
    </row>
    <row r="15" customFormat="false" ht="14.25" hidden="false" customHeight="false" outlineLevel="0" collapsed="false">
      <c r="B15" s="1" t="n">
        <v>10</v>
      </c>
      <c r="C15" s="3" t="n">
        <v>628</v>
      </c>
      <c r="D15" s="1" t="n">
        <v>4</v>
      </c>
      <c r="E15" s="2" t="n">
        <v>32.4666666666667</v>
      </c>
      <c r="F15" s="4" t="n">
        <v>3.262</v>
      </c>
      <c r="G15" s="1" t="n">
        <v>25</v>
      </c>
      <c r="H15" s="1" t="n">
        <v>36</v>
      </c>
      <c r="I15" s="5" t="n">
        <v>0.0174444444444444</v>
      </c>
      <c r="J15" s="4" t="n">
        <v>410.738503069316</v>
      </c>
      <c r="K15" s="4" t="n">
        <v>0.24</v>
      </c>
    </row>
    <row r="16" customFormat="false" ht="14.25" hidden="false" customHeight="false" outlineLevel="0" collapsed="false">
      <c r="B16" s="1" t="n">
        <v>10</v>
      </c>
      <c r="C16" s="3" t="n">
        <v>628</v>
      </c>
      <c r="D16" s="1" t="n">
        <v>4</v>
      </c>
      <c r="E16" s="2" t="n">
        <v>32.4666666666667</v>
      </c>
      <c r="F16" s="4" t="n">
        <v>3.262</v>
      </c>
      <c r="G16" s="1" t="n">
        <v>25</v>
      </c>
      <c r="H16" s="1" t="n">
        <v>36</v>
      </c>
      <c r="I16" s="5" t="n">
        <v>0.0174444444444444</v>
      </c>
      <c r="J16" s="4" t="n">
        <v>438.569964479477</v>
      </c>
      <c r="K16" s="4" t="n">
        <v>0.3</v>
      </c>
    </row>
    <row r="17" customFormat="false" ht="14.25" hidden="false" customHeight="false" outlineLevel="0" collapsed="false">
      <c r="B17" s="1" t="n">
        <v>10</v>
      </c>
      <c r="C17" s="3" t="n">
        <v>628</v>
      </c>
      <c r="D17" s="1" t="n">
        <v>4</v>
      </c>
      <c r="E17" s="2" t="n">
        <v>32.4666666666667</v>
      </c>
      <c r="F17" s="4" t="n">
        <v>3.262</v>
      </c>
      <c r="G17" s="1" t="n">
        <v>25</v>
      </c>
      <c r="H17" s="1" t="n">
        <v>36</v>
      </c>
      <c r="I17" s="5" t="n">
        <v>0.0174444444444444</v>
      </c>
      <c r="J17" s="4" t="n">
        <v>498.272938149662</v>
      </c>
      <c r="K17" s="4" t="n">
        <v>0.32</v>
      </c>
    </row>
    <row r="18" customFormat="false" ht="14.25" hidden="false" customHeight="false" outlineLevel="0" collapsed="false">
      <c r="B18" s="1" t="n">
        <v>10</v>
      </c>
      <c r="C18" s="3" t="n">
        <v>628</v>
      </c>
      <c r="D18" s="1" t="n">
        <v>4</v>
      </c>
      <c r="E18" s="2" t="n">
        <v>32.4666666666667</v>
      </c>
      <c r="F18" s="4" t="n">
        <v>3.262</v>
      </c>
      <c r="G18" s="1" t="n">
        <v>25</v>
      </c>
      <c r="H18" s="1" t="n">
        <v>36</v>
      </c>
      <c r="I18" s="5" t="n">
        <v>0.0174444444444444</v>
      </c>
      <c r="J18" s="4" t="n">
        <v>502.761883538398</v>
      </c>
      <c r="K18" s="4" t="n">
        <v>0.38</v>
      </c>
    </row>
    <row r="19" customFormat="false" ht="14.25" hidden="false" customHeight="false" outlineLevel="0" collapsed="false">
      <c r="B19" s="1" t="n">
        <v>10</v>
      </c>
      <c r="C19" s="3" t="n">
        <v>628</v>
      </c>
      <c r="D19" s="1" t="n">
        <v>4</v>
      </c>
      <c r="E19" s="2" t="n">
        <v>32.4666666666667</v>
      </c>
      <c r="F19" s="4" t="n">
        <v>3.262</v>
      </c>
      <c r="G19" s="1" t="n">
        <v>25</v>
      </c>
      <c r="H19" s="1" t="n">
        <v>36</v>
      </c>
      <c r="I19" s="5" t="n">
        <v>0.0174444444444444</v>
      </c>
      <c r="J19" s="4" t="n">
        <v>538.673446648283</v>
      </c>
      <c r="K19" s="4" t="n">
        <v>0.42</v>
      </c>
    </row>
    <row r="20" customFormat="false" ht="14.25" hidden="false" customHeight="false" outlineLevel="0" collapsed="false">
      <c r="B20" s="1" t="n">
        <v>10</v>
      </c>
      <c r="C20" s="3" t="n">
        <v>628</v>
      </c>
      <c r="D20" s="1" t="n">
        <v>4</v>
      </c>
      <c r="E20" s="2" t="n">
        <v>32.4666666666667</v>
      </c>
      <c r="F20" s="4" t="n">
        <v>3.262</v>
      </c>
      <c r="G20" s="1" t="n">
        <v>25</v>
      </c>
      <c r="H20" s="1" t="n">
        <v>36</v>
      </c>
      <c r="I20" s="5" t="n">
        <v>0.0174444444444444</v>
      </c>
      <c r="J20" s="4" t="n">
        <v>628</v>
      </c>
      <c r="K20" s="4" t="n">
        <v>0.44</v>
      </c>
    </row>
    <row r="21" customFormat="false" ht="14.25" hidden="false" customHeight="false" outlineLevel="0" collapsed="false">
      <c r="B21" s="1" t="n">
        <v>10</v>
      </c>
      <c r="C21" s="3" t="n">
        <v>628</v>
      </c>
      <c r="D21" s="1" t="n">
        <v>4</v>
      </c>
      <c r="E21" s="2" t="n">
        <v>32.4666666666667</v>
      </c>
      <c r="F21" s="4" t="n">
        <v>3.262</v>
      </c>
      <c r="G21" s="1" t="n">
        <v>25</v>
      </c>
      <c r="H21" s="1" t="n">
        <v>36</v>
      </c>
      <c r="I21" s="5" t="n">
        <v>0.0174444444444444</v>
      </c>
      <c r="J21" s="4" t="n">
        <v>628</v>
      </c>
      <c r="K21" s="4" t="n">
        <v>0.5</v>
      </c>
    </row>
    <row r="22" customFormat="false" ht="14.25" hidden="false" customHeight="false" outlineLevel="0" collapsed="false">
      <c r="A22" s="0" t="s">
        <v>25</v>
      </c>
      <c r="B22" s="1" t="n">
        <v>10</v>
      </c>
      <c r="C22" s="3" t="n">
        <v>628</v>
      </c>
      <c r="D22" s="1" t="n">
        <v>4</v>
      </c>
      <c r="E22" s="2" t="n">
        <v>32.4666666666667</v>
      </c>
      <c r="F22" s="4" t="n">
        <v>3.514</v>
      </c>
      <c r="G22" s="1" t="n">
        <v>25</v>
      </c>
      <c r="H22" s="1" t="n">
        <v>36</v>
      </c>
      <c r="I22" s="5" t="n">
        <v>0.0174444444444444</v>
      </c>
      <c r="J22" s="4" t="n">
        <v>321.471876442594</v>
      </c>
      <c r="K22" s="4" t="n">
        <v>0.24</v>
      </c>
    </row>
    <row r="23" customFormat="false" ht="14.25" hidden="false" customHeight="false" outlineLevel="0" collapsed="false">
      <c r="B23" s="1" t="n">
        <v>10</v>
      </c>
      <c r="C23" s="3" t="n">
        <v>628</v>
      </c>
      <c r="D23" s="1" t="n">
        <v>4</v>
      </c>
      <c r="E23" s="2" t="n">
        <v>32.4666666666667</v>
      </c>
      <c r="F23" s="4" t="n">
        <v>3.514</v>
      </c>
      <c r="G23" s="1" t="n">
        <v>25</v>
      </c>
      <c r="H23" s="1" t="n">
        <v>36</v>
      </c>
      <c r="I23" s="5" t="n">
        <v>0.0174444444444444</v>
      </c>
      <c r="J23" s="4" t="n">
        <v>357.190973825104</v>
      </c>
      <c r="K23" s="4" t="n">
        <v>0.3</v>
      </c>
    </row>
    <row r="24" customFormat="false" ht="14.25" hidden="false" customHeight="false" outlineLevel="0" collapsed="false">
      <c r="B24" s="1" t="n">
        <v>10</v>
      </c>
      <c r="C24" s="3" t="n">
        <v>628</v>
      </c>
      <c r="D24" s="1" t="n">
        <v>4</v>
      </c>
      <c r="E24" s="2" t="n">
        <v>32.4666666666667</v>
      </c>
      <c r="F24" s="4" t="n">
        <v>3.514</v>
      </c>
      <c r="G24" s="1" t="n">
        <v>25</v>
      </c>
      <c r="H24" s="1" t="n">
        <v>36</v>
      </c>
      <c r="I24" s="5" t="n">
        <v>0.0174444444444444</v>
      </c>
      <c r="J24" s="4" t="n">
        <v>370.585635343545</v>
      </c>
      <c r="K24" s="4" t="n">
        <v>0.3</v>
      </c>
    </row>
    <row r="25" customFormat="false" ht="14.25" hidden="false" customHeight="false" outlineLevel="0" collapsed="false">
      <c r="B25" s="1" t="n">
        <v>10</v>
      </c>
      <c r="C25" s="3" t="n">
        <v>628</v>
      </c>
      <c r="D25" s="1" t="n">
        <v>4</v>
      </c>
      <c r="E25" s="2" t="n">
        <v>32.4666666666667</v>
      </c>
      <c r="F25" s="4" t="n">
        <v>3.514</v>
      </c>
      <c r="G25" s="1" t="n">
        <v>25</v>
      </c>
      <c r="H25" s="1" t="n">
        <v>36</v>
      </c>
      <c r="I25" s="5" t="n">
        <v>0.0174444444444444</v>
      </c>
      <c r="J25" s="4" t="n">
        <v>392.910071207614</v>
      </c>
      <c r="K25" s="4" t="n">
        <v>0.3</v>
      </c>
    </row>
    <row r="26" customFormat="false" ht="14.25" hidden="false" customHeight="false" outlineLevel="0" collapsed="false">
      <c r="B26" s="1" t="n">
        <v>10</v>
      </c>
      <c r="C26" s="3" t="n">
        <v>628</v>
      </c>
      <c r="D26" s="1" t="n">
        <v>4</v>
      </c>
      <c r="E26" s="2" t="n">
        <v>32.4666666666667</v>
      </c>
      <c r="F26" s="4" t="n">
        <v>3.514</v>
      </c>
      <c r="G26" s="1" t="n">
        <v>25</v>
      </c>
      <c r="H26" s="1" t="n">
        <v>36</v>
      </c>
      <c r="I26" s="5" t="n">
        <v>0.0174444444444444</v>
      </c>
      <c r="J26" s="4" t="n">
        <v>424.164281417311</v>
      </c>
      <c r="K26" s="4" t="n">
        <v>0.38</v>
      </c>
    </row>
    <row r="27" customFormat="false" ht="14.25" hidden="false" customHeight="false" outlineLevel="0" collapsed="false">
      <c r="B27" s="1" t="n">
        <v>10</v>
      </c>
      <c r="C27" s="3" t="n">
        <v>628</v>
      </c>
      <c r="D27" s="1" t="n">
        <v>4</v>
      </c>
      <c r="E27" s="2" t="n">
        <v>32.4666666666667</v>
      </c>
      <c r="F27" s="4" t="n">
        <v>3.514</v>
      </c>
      <c r="G27" s="1" t="n">
        <v>25</v>
      </c>
      <c r="H27" s="1" t="n">
        <v>36</v>
      </c>
      <c r="I27" s="5" t="n">
        <v>0.0174444444444444</v>
      </c>
      <c r="J27" s="4" t="n">
        <v>491.137589009518</v>
      </c>
      <c r="K27" s="4" t="n">
        <v>0.44</v>
      </c>
    </row>
    <row r="28" customFormat="false" ht="14.25" hidden="false" customHeight="false" outlineLevel="0" collapsed="false">
      <c r="A28" s="0" t="s">
        <v>26</v>
      </c>
      <c r="B28" s="1" t="n">
        <v>16</v>
      </c>
      <c r="C28" s="3" t="n">
        <v>571</v>
      </c>
      <c r="D28" s="1" t="n">
        <v>4</v>
      </c>
      <c r="E28" s="2" t="n">
        <v>37</v>
      </c>
      <c r="F28" s="4" t="n">
        <v>4.2588</v>
      </c>
      <c r="G28" s="1" t="n">
        <v>33</v>
      </c>
      <c r="H28" s="1" t="n">
        <v>59</v>
      </c>
      <c r="I28" s="5" t="n">
        <v>0.1168</v>
      </c>
      <c r="J28" s="4" t="n">
        <v>140.041965597591</v>
      </c>
      <c r="K28" s="4" t="n">
        <v>0.18</v>
      </c>
    </row>
    <row r="29" customFormat="false" ht="14.25" hidden="false" customHeight="false" outlineLevel="0" collapsed="false">
      <c r="B29" s="1" t="n">
        <v>16</v>
      </c>
      <c r="C29" s="3" t="n">
        <v>571</v>
      </c>
      <c r="D29" s="1" t="n">
        <v>4</v>
      </c>
      <c r="E29" s="2" t="n">
        <v>37</v>
      </c>
      <c r="F29" s="4" t="n">
        <v>4.2588</v>
      </c>
      <c r="G29" s="1" t="n">
        <v>33</v>
      </c>
      <c r="H29" s="1" t="n">
        <v>59</v>
      </c>
      <c r="I29" s="5" t="n">
        <v>0.1168</v>
      </c>
      <c r="J29" s="4" t="n">
        <v>201.598873552576</v>
      </c>
      <c r="K29" s="4" t="n">
        <v>0.2</v>
      </c>
    </row>
    <row r="30" customFormat="false" ht="14.25" hidden="false" customHeight="false" outlineLevel="0" collapsed="false">
      <c r="B30" s="1" t="n">
        <v>16</v>
      </c>
      <c r="C30" s="3" t="n">
        <v>571</v>
      </c>
      <c r="D30" s="1" t="n">
        <v>4</v>
      </c>
      <c r="E30" s="2" t="n">
        <v>37</v>
      </c>
      <c r="F30" s="4" t="n">
        <v>4.2588</v>
      </c>
      <c r="G30" s="1" t="n">
        <v>33</v>
      </c>
      <c r="H30" s="1" t="n">
        <v>59</v>
      </c>
      <c r="I30" s="5" t="n">
        <v>0.1168</v>
      </c>
      <c r="J30" s="4" t="n">
        <v>243.919247771628</v>
      </c>
      <c r="K30" s="4" t="n">
        <v>0.26</v>
      </c>
    </row>
    <row r="31" customFormat="false" ht="14.25" hidden="false" customHeight="false" outlineLevel="0" collapsed="false">
      <c r="B31" s="1" t="n">
        <v>16</v>
      </c>
      <c r="C31" s="3" t="n">
        <v>571</v>
      </c>
      <c r="D31" s="1" t="n">
        <v>4</v>
      </c>
      <c r="E31" s="2" t="n">
        <v>37</v>
      </c>
      <c r="F31" s="4" t="n">
        <v>4.2588</v>
      </c>
      <c r="G31" s="1" t="n">
        <v>33</v>
      </c>
      <c r="H31" s="1" t="n">
        <v>59</v>
      </c>
      <c r="I31" s="5" t="n">
        <v>0.1168</v>
      </c>
      <c r="J31" s="4" t="n">
        <v>313.940230570424</v>
      </c>
      <c r="K31" s="4" t="n">
        <v>0.44</v>
      </c>
    </row>
    <row r="32" customFormat="false" ht="14.25" hidden="false" customHeight="false" outlineLevel="0" collapsed="false">
      <c r="B32" s="1" t="n">
        <v>16</v>
      </c>
      <c r="C32" s="3" t="n">
        <v>571</v>
      </c>
      <c r="D32" s="1" t="n">
        <v>4</v>
      </c>
      <c r="E32" s="2" t="n">
        <v>37</v>
      </c>
      <c r="F32" s="4" t="n">
        <v>4.2588</v>
      </c>
      <c r="G32" s="1" t="n">
        <v>33</v>
      </c>
      <c r="H32" s="1" t="n">
        <v>59</v>
      </c>
      <c r="I32" s="5" t="n">
        <v>0.1168</v>
      </c>
      <c r="J32" s="4" t="n">
        <v>416.278590045587</v>
      </c>
      <c r="K32" s="4" t="n">
        <v>0.6</v>
      </c>
    </row>
    <row r="33" customFormat="false" ht="14.25" hidden="false" customHeight="false" outlineLevel="0" collapsed="false">
      <c r="A33" s="0" t="s">
        <v>27</v>
      </c>
      <c r="B33" s="1" t="n">
        <v>12</v>
      </c>
      <c r="C33" s="3" t="n">
        <v>500</v>
      </c>
      <c r="D33" s="1" t="n">
        <v>4</v>
      </c>
      <c r="E33" s="2" t="n">
        <v>79.3</v>
      </c>
      <c r="F33" s="4" t="n">
        <v>2.69332921131829</v>
      </c>
      <c r="G33" s="1" t="n">
        <v>20</v>
      </c>
      <c r="H33" s="1" t="n">
        <v>38</v>
      </c>
      <c r="I33" s="5" t="n">
        <v>0.013593984962406</v>
      </c>
      <c r="J33" s="4" t="n">
        <v>300.432956249241</v>
      </c>
      <c r="K33" s="4" t="n">
        <v>0.36</v>
      </c>
    </row>
    <row r="34" customFormat="false" ht="14.25" hidden="false" customHeight="false" outlineLevel="0" collapsed="false">
      <c r="B34" s="1" t="n">
        <v>12</v>
      </c>
      <c r="C34" s="3" t="n">
        <v>500</v>
      </c>
      <c r="D34" s="1" t="n">
        <v>4</v>
      </c>
      <c r="E34" s="2" t="n">
        <v>79.3</v>
      </c>
      <c r="F34" s="4" t="n">
        <v>2.69332921131829</v>
      </c>
      <c r="G34" s="1" t="n">
        <v>20</v>
      </c>
      <c r="H34" s="1" t="n">
        <v>38</v>
      </c>
      <c r="I34" s="5" t="n">
        <v>0.013593984962406</v>
      </c>
      <c r="J34" s="4" t="n">
        <v>386.270943749024</v>
      </c>
      <c r="K34" s="4" t="n">
        <v>0.43</v>
      </c>
    </row>
    <row r="35" customFormat="false" ht="14.25" hidden="false" customHeight="false" outlineLevel="0" collapsed="false">
      <c r="B35" s="1" t="n">
        <v>12</v>
      </c>
      <c r="C35" s="3" t="n">
        <v>500</v>
      </c>
      <c r="D35" s="1" t="n">
        <v>4</v>
      </c>
      <c r="E35" s="2" t="n">
        <v>79.3</v>
      </c>
      <c r="F35" s="4" t="n">
        <v>2.69332921131829</v>
      </c>
      <c r="G35" s="1" t="n">
        <v>20</v>
      </c>
      <c r="H35" s="1" t="n">
        <v>38</v>
      </c>
      <c r="I35" s="5" t="n">
        <v>0.013593984962406</v>
      </c>
      <c r="J35" s="4" t="n">
        <v>500</v>
      </c>
      <c r="K35" s="4" t="n">
        <v>0.56</v>
      </c>
    </row>
    <row r="36" customFormat="false" ht="14.25" hidden="false" customHeight="false" outlineLevel="0" collapsed="false">
      <c r="B36" s="1" t="n">
        <v>12</v>
      </c>
      <c r="C36" s="3" t="n">
        <v>500</v>
      </c>
      <c r="D36" s="1" t="n">
        <v>4</v>
      </c>
      <c r="E36" s="2" t="n">
        <v>79.3</v>
      </c>
      <c r="F36" s="4" t="n">
        <v>2.69332921131829</v>
      </c>
      <c r="G36" s="1" t="n">
        <v>20</v>
      </c>
      <c r="H36" s="1" t="n">
        <v>38</v>
      </c>
      <c r="I36" s="5" t="n">
        <v>0.013593984962406</v>
      </c>
      <c r="J36" s="4" t="n">
        <v>500</v>
      </c>
      <c r="K36" s="4" t="n">
        <v>0.71</v>
      </c>
    </row>
    <row r="37" customFormat="false" ht="14.25" hidden="false" customHeight="false" outlineLevel="0" collapsed="false">
      <c r="B37" s="1" t="n">
        <v>12</v>
      </c>
      <c r="C37" s="3" t="n">
        <v>500</v>
      </c>
      <c r="D37" s="1" t="n">
        <v>4</v>
      </c>
      <c r="E37" s="2" t="n">
        <v>79.3</v>
      </c>
      <c r="F37" s="4" t="n">
        <v>2.69332921131829</v>
      </c>
      <c r="G37" s="1" t="n">
        <v>20</v>
      </c>
      <c r="H37" s="1" t="n">
        <v>38</v>
      </c>
      <c r="I37" s="5" t="n">
        <v>0.013593984962406</v>
      </c>
      <c r="J37" s="4" t="n">
        <v>500</v>
      </c>
      <c r="K37" s="4" t="n">
        <v>0.79</v>
      </c>
    </row>
    <row r="38" customFormat="false" ht="14.25" hidden="false" customHeight="false" outlineLevel="0" collapsed="false">
      <c r="A38" s="0" t="s">
        <v>28</v>
      </c>
      <c r="B38" s="1" t="n">
        <v>25</v>
      </c>
      <c r="C38" s="3" t="n">
        <v>500</v>
      </c>
      <c r="D38" s="1" t="n">
        <v>4</v>
      </c>
      <c r="E38" s="2" t="n">
        <v>62</v>
      </c>
      <c r="F38" s="4" t="n">
        <v>2.69332921131829</v>
      </c>
      <c r="G38" s="1" t="n">
        <v>20</v>
      </c>
      <c r="H38" s="1" t="n">
        <v>44.5</v>
      </c>
      <c r="I38" s="5" t="n">
        <v>0.0544670511994589</v>
      </c>
      <c r="J38" s="4" t="n">
        <v>106.512655225995</v>
      </c>
      <c r="K38" s="4" t="n">
        <v>0.2</v>
      </c>
    </row>
    <row r="39" customFormat="false" ht="14.25" hidden="false" customHeight="false" outlineLevel="0" collapsed="false">
      <c r="B39" s="1" t="n">
        <v>25</v>
      </c>
      <c r="C39" s="3" t="n">
        <v>500</v>
      </c>
      <c r="D39" s="1" t="n">
        <v>4</v>
      </c>
      <c r="E39" s="2" t="n">
        <v>62</v>
      </c>
      <c r="F39" s="4" t="n">
        <v>2.69332921131829</v>
      </c>
      <c r="G39" s="1" t="n">
        <v>20</v>
      </c>
      <c r="H39" s="1" t="n">
        <v>44.5</v>
      </c>
      <c r="I39" s="5" t="n">
        <v>0.0544670511994589</v>
      </c>
      <c r="J39" s="4" t="n">
        <v>191.72277940679</v>
      </c>
      <c r="K39" s="4" t="n">
        <v>0.25</v>
      </c>
    </row>
    <row r="40" customFormat="false" ht="14.25" hidden="false" customHeight="false" outlineLevel="0" collapsed="false">
      <c r="B40" s="1" t="n">
        <v>25</v>
      </c>
      <c r="C40" s="3" t="n">
        <v>500</v>
      </c>
      <c r="D40" s="1" t="n">
        <v>4</v>
      </c>
      <c r="E40" s="2" t="n">
        <v>62</v>
      </c>
      <c r="F40" s="4" t="n">
        <v>2.69332921131829</v>
      </c>
      <c r="G40" s="1" t="n">
        <v>20</v>
      </c>
      <c r="H40" s="1" t="n">
        <v>44.5</v>
      </c>
      <c r="I40" s="5" t="n">
        <v>0.0544670511994589</v>
      </c>
      <c r="J40" s="4" t="n">
        <v>276.932903587586</v>
      </c>
      <c r="K40" s="4" t="n">
        <v>0.36</v>
      </c>
    </row>
    <row r="41" customFormat="false" ht="14.25" hidden="false" customHeight="false" outlineLevel="0" collapsed="false">
      <c r="B41" s="1" t="n">
        <v>25</v>
      </c>
      <c r="C41" s="3" t="n">
        <v>500</v>
      </c>
      <c r="D41" s="1" t="n">
        <v>4</v>
      </c>
      <c r="E41" s="2" t="n">
        <v>62</v>
      </c>
      <c r="F41" s="4" t="n">
        <v>2.69332921131829</v>
      </c>
      <c r="G41" s="1" t="n">
        <v>20</v>
      </c>
      <c r="H41" s="1" t="n">
        <v>44.5</v>
      </c>
      <c r="I41" s="5" t="n">
        <v>0.0544670511994589</v>
      </c>
      <c r="J41" s="4" t="n">
        <v>362.143027768382</v>
      </c>
      <c r="K41" s="4" t="n">
        <v>0.47</v>
      </c>
    </row>
    <row r="42" customFormat="false" ht="14.25" hidden="false" customHeight="false" outlineLevel="0" collapsed="false">
      <c r="B42" s="1" t="n">
        <v>25</v>
      </c>
      <c r="C42" s="3" t="n">
        <v>500</v>
      </c>
      <c r="D42" s="1" t="n">
        <v>4</v>
      </c>
      <c r="E42" s="2" t="n">
        <v>62</v>
      </c>
      <c r="F42" s="4" t="n">
        <v>2.69332921131829</v>
      </c>
      <c r="G42" s="1" t="n">
        <v>20</v>
      </c>
      <c r="H42" s="1" t="n">
        <v>44.5</v>
      </c>
      <c r="I42" s="5" t="n">
        <v>0.0544670511994589</v>
      </c>
      <c r="J42" s="4" t="n">
        <v>426.050620903978</v>
      </c>
      <c r="K42" s="4" t="n">
        <v>0.57</v>
      </c>
    </row>
    <row r="43" customFormat="false" ht="14.25" hidden="false" customHeight="false" outlineLevel="0" collapsed="false">
      <c r="B43" s="1" t="n">
        <v>25</v>
      </c>
      <c r="C43" s="3" t="n">
        <v>500</v>
      </c>
      <c r="D43" s="1" t="n">
        <v>4</v>
      </c>
      <c r="E43" s="2" t="n">
        <v>62</v>
      </c>
      <c r="F43" s="4" t="n">
        <v>2.69332921131829</v>
      </c>
      <c r="G43" s="1" t="n">
        <v>20</v>
      </c>
      <c r="H43" s="1" t="n">
        <v>44.5</v>
      </c>
      <c r="I43" s="5" t="n">
        <v>0.0544670511994589</v>
      </c>
      <c r="J43" s="4" t="n">
        <v>500</v>
      </c>
      <c r="K43" s="4" t="n">
        <v>0.78</v>
      </c>
    </row>
    <row r="44" customFormat="false" ht="14.25" hidden="false" customHeight="false" outlineLevel="0" collapsed="false">
      <c r="A44" s="0" t="s">
        <v>29</v>
      </c>
      <c r="B44" s="1" t="n">
        <v>12</v>
      </c>
      <c r="C44" s="3" t="n">
        <v>500</v>
      </c>
      <c r="D44" s="1" t="n">
        <v>4</v>
      </c>
      <c r="E44" s="2" t="n">
        <v>79.3</v>
      </c>
      <c r="F44" s="4" t="n">
        <v>2.69332921131829</v>
      </c>
      <c r="G44" s="1" t="n">
        <v>20</v>
      </c>
      <c r="H44" s="1" t="n">
        <v>34</v>
      </c>
      <c r="I44" s="5" t="n">
        <v>0.0151932773109244</v>
      </c>
      <c r="J44" s="4" t="n">
        <v>212.47112712609</v>
      </c>
      <c r="K44" s="4" t="n">
        <v>0.21</v>
      </c>
    </row>
    <row r="45" customFormat="false" ht="14.25" hidden="false" customHeight="false" outlineLevel="0" collapsed="false">
      <c r="B45" s="1" t="n">
        <v>12</v>
      </c>
      <c r="C45" s="3" t="n">
        <v>500</v>
      </c>
      <c r="D45" s="1" t="n">
        <v>4</v>
      </c>
      <c r="E45" s="2" t="n">
        <v>79.3</v>
      </c>
      <c r="F45" s="4" t="n">
        <v>2.69332921131829</v>
      </c>
      <c r="G45" s="1" t="n">
        <v>20</v>
      </c>
      <c r="H45" s="1" t="n">
        <v>34</v>
      </c>
      <c r="I45" s="5" t="n">
        <v>0.0151932773109244</v>
      </c>
      <c r="J45" s="4" t="n">
        <v>254.965352551308</v>
      </c>
      <c r="K45" s="4" t="n">
        <v>0.31</v>
      </c>
    </row>
    <row r="46" customFormat="false" ht="14.25" hidden="false" customHeight="false" outlineLevel="0" collapsed="false">
      <c r="B46" s="1" t="n">
        <v>12</v>
      </c>
      <c r="C46" s="3" t="n">
        <v>500</v>
      </c>
      <c r="D46" s="1" t="n">
        <v>4</v>
      </c>
      <c r="E46" s="2" t="n">
        <v>79.3</v>
      </c>
      <c r="F46" s="4" t="n">
        <v>2.69332921131829</v>
      </c>
      <c r="G46" s="1" t="n">
        <v>20</v>
      </c>
      <c r="H46" s="1" t="n">
        <v>34</v>
      </c>
      <c r="I46" s="5" t="n">
        <v>0.0151932773109244</v>
      </c>
      <c r="J46" s="4" t="n">
        <v>297.459577976525</v>
      </c>
      <c r="K46" s="4" t="n">
        <v>0.38</v>
      </c>
    </row>
    <row r="47" customFormat="false" ht="14.25" hidden="false" customHeight="false" outlineLevel="0" collapsed="false">
      <c r="B47" s="1" t="n">
        <v>12</v>
      </c>
      <c r="C47" s="3" t="n">
        <v>500</v>
      </c>
      <c r="D47" s="1" t="n">
        <v>4</v>
      </c>
      <c r="E47" s="2" t="n">
        <v>79.3</v>
      </c>
      <c r="F47" s="4" t="n">
        <v>2.69332921131829</v>
      </c>
      <c r="G47" s="1" t="n">
        <v>20</v>
      </c>
      <c r="H47" s="1" t="n">
        <v>34</v>
      </c>
      <c r="I47" s="5" t="n">
        <v>0.0151932773109244</v>
      </c>
      <c r="J47" s="4" t="n">
        <v>382.448028826961</v>
      </c>
      <c r="K47" s="4" t="n">
        <v>0.52</v>
      </c>
    </row>
    <row r="48" customFormat="false" ht="14.25" hidden="false" customHeight="false" outlineLevel="0" collapsed="false">
      <c r="B48" s="1" t="n">
        <v>12</v>
      </c>
      <c r="C48" s="3" t="n">
        <v>500</v>
      </c>
      <c r="D48" s="1" t="n">
        <v>4</v>
      </c>
      <c r="E48" s="2" t="n">
        <v>79.3</v>
      </c>
      <c r="F48" s="4" t="n">
        <v>2.69332921131829</v>
      </c>
      <c r="G48" s="1" t="n">
        <v>20</v>
      </c>
      <c r="H48" s="1" t="n">
        <v>34</v>
      </c>
      <c r="I48" s="5" t="n">
        <v>0.0151932773109244</v>
      </c>
      <c r="J48" s="4" t="n">
        <v>500</v>
      </c>
      <c r="K48" s="4" t="n">
        <v>0.74</v>
      </c>
    </row>
    <row r="49" customFormat="false" ht="14.25" hidden="false" customHeight="false" outlineLevel="0" collapsed="false">
      <c r="A49" s="0" t="s">
        <v>30</v>
      </c>
      <c r="B49" s="1" t="n">
        <v>12</v>
      </c>
      <c r="C49" s="3" t="n">
        <v>500</v>
      </c>
      <c r="D49" s="1" t="n">
        <v>4</v>
      </c>
      <c r="E49" s="2" t="n">
        <v>79.3</v>
      </c>
      <c r="F49" s="4" t="n">
        <v>2.69332921131829</v>
      </c>
      <c r="G49" s="1" t="n">
        <v>20</v>
      </c>
      <c r="H49" s="1" t="n">
        <v>34</v>
      </c>
      <c r="I49" s="5" t="n">
        <v>0.0151932773109244</v>
      </c>
      <c r="J49" s="4" t="n">
        <v>212.47112712609</v>
      </c>
      <c r="K49" s="4" t="n">
        <v>0.17</v>
      </c>
    </row>
    <row r="50" customFormat="false" ht="14.25" hidden="false" customHeight="false" outlineLevel="0" collapsed="false">
      <c r="B50" s="1" t="n">
        <v>12</v>
      </c>
      <c r="C50" s="3" t="n">
        <v>500</v>
      </c>
      <c r="D50" s="1" t="n">
        <v>4</v>
      </c>
      <c r="E50" s="2" t="n">
        <v>79.3</v>
      </c>
      <c r="F50" s="4" t="n">
        <v>2.69332921131829</v>
      </c>
      <c r="G50" s="1" t="n">
        <v>20</v>
      </c>
      <c r="H50" s="1" t="n">
        <v>34</v>
      </c>
      <c r="I50" s="5" t="n">
        <v>0.0151932773109244</v>
      </c>
      <c r="J50" s="4" t="n">
        <v>297.459577976525</v>
      </c>
      <c r="K50" s="4" t="n">
        <v>0.36</v>
      </c>
    </row>
    <row r="51" customFormat="false" ht="14.25" hidden="false" customHeight="false" outlineLevel="0" collapsed="false">
      <c r="B51" s="1" t="n">
        <v>12</v>
      </c>
      <c r="C51" s="3" t="n">
        <v>500</v>
      </c>
      <c r="D51" s="1" t="n">
        <v>4</v>
      </c>
      <c r="E51" s="2" t="n">
        <v>79.3</v>
      </c>
      <c r="F51" s="4" t="n">
        <v>2.69332921131829</v>
      </c>
      <c r="G51" s="1" t="n">
        <v>20</v>
      </c>
      <c r="H51" s="1" t="n">
        <v>34</v>
      </c>
      <c r="I51" s="5" t="n">
        <v>0.0151932773109244</v>
      </c>
      <c r="J51" s="4" t="n">
        <v>382.448028826961</v>
      </c>
      <c r="K51" s="4" t="n">
        <v>0.56</v>
      </c>
    </row>
    <row r="52" customFormat="false" ht="14.25" hidden="false" customHeight="false" outlineLevel="0" collapsed="false">
      <c r="B52" s="1" t="n">
        <v>12</v>
      </c>
      <c r="C52" s="3" t="n">
        <v>500</v>
      </c>
      <c r="D52" s="1" t="n">
        <v>4</v>
      </c>
      <c r="E52" s="2" t="n">
        <v>79.3</v>
      </c>
      <c r="F52" s="4" t="n">
        <v>2.69332921131829</v>
      </c>
      <c r="G52" s="1" t="n">
        <v>20</v>
      </c>
      <c r="H52" s="1" t="n">
        <v>34</v>
      </c>
      <c r="I52" s="5" t="n">
        <v>0.0151932773109244</v>
      </c>
      <c r="J52" s="4" t="n">
        <v>500</v>
      </c>
      <c r="K52" s="4" t="n">
        <v>0.78</v>
      </c>
    </row>
    <row r="53" customFormat="false" ht="14.25" hidden="false" customHeight="false" outlineLevel="0" collapsed="false">
      <c r="A53" s="0" t="s">
        <v>31</v>
      </c>
      <c r="B53" s="1" t="n">
        <v>12</v>
      </c>
      <c r="C53" s="3" t="n">
        <v>500</v>
      </c>
      <c r="D53" s="1" t="n">
        <v>4</v>
      </c>
      <c r="E53" s="2" t="n">
        <v>46</v>
      </c>
      <c r="F53" s="4" t="n">
        <v>2.69332921131829</v>
      </c>
      <c r="G53" s="1" t="n">
        <v>70</v>
      </c>
      <c r="H53" s="1" t="n">
        <v>88</v>
      </c>
      <c r="I53" s="5" t="n">
        <v>0.0102200677657071</v>
      </c>
      <c r="J53" s="4" t="n">
        <v>245.194770485466</v>
      </c>
      <c r="K53" s="4" t="n">
        <v>0.31</v>
      </c>
    </row>
    <row r="54" customFormat="false" ht="14.25" hidden="false" customHeight="false" outlineLevel="0" collapsed="false">
      <c r="B54" s="1" t="n">
        <v>12</v>
      </c>
      <c r="C54" s="3" t="n">
        <v>500</v>
      </c>
      <c r="D54" s="1" t="n">
        <v>4</v>
      </c>
      <c r="E54" s="2" t="n">
        <v>46</v>
      </c>
      <c r="F54" s="4" t="n">
        <v>2.69332921131829</v>
      </c>
      <c r="G54" s="1" t="n">
        <v>70</v>
      </c>
      <c r="H54" s="1" t="n">
        <v>88</v>
      </c>
      <c r="I54" s="5" t="n">
        <v>0.0102200677657071</v>
      </c>
      <c r="J54" s="4" t="n">
        <v>294.23372458256</v>
      </c>
      <c r="K54" s="4" t="n">
        <v>0.44</v>
      </c>
    </row>
    <row r="55" customFormat="false" ht="14.25" hidden="false" customHeight="false" outlineLevel="0" collapsed="false">
      <c r="A55" s="0" t="s">
        <v>32</v>
      </c>
      <c r="B55" s="1" t="n">
        <v>12</v>
      </c>
      <c r="C55" s="3" t="n">
        <v>500</v>
      </c>
      <c r="D55" s="1" t="n">
        <v>4</v>
      </c>
      <c r="E55" s="2" t="n">
        <v>46</v>
      </c>
      <c r="F55" s="4" t="n">
        <v>2.69332921131829</v>
      </c>
      <c r="G55" s="1" t="n">
        <v>70</v>
      </c>
      <c r="H55" s="1" t="n">
        <v>84</v>
      </c>
      <c r="I55" s="5" t="n">
        <v>0.0102317587896877</v>
      </c>
      <c r="J55" s="4" t="n">
        <v>193.945814910414</v>
      </c>
      <c r="K55" s="4" t="n">
        <v>0.14</v>
      </c>
    </row>
    <row r="56" customFormat="false" ht="14.25" hidden="false" customHeight="false" outlineLevel="0" collapsed="false">
      <c r="B56" s="1" t="n">
        <v>12</v>
      </c>
      <c r="C56" s="3" t="n">
        <v>500</v>
      </c>
      <c r="D56" s="1" t="n">
        <v>4</v>
      </c>
      <c r="E56" s="2" t="n">
        <v>46</v>
      </c>
      <c r="F56" s="4" t="n">
        <v>2.69332921131829</v>
      </c>
      <c r="G56" s="1" t="n">
        <v>70</v>
      </c>
      <c r="H56" s="1" t="n">
        <v>84</v>
      </c>
      <c r="I56" s="5" t="n">
        <v>0.0102317587896877</v>
      </c>
      <c r="J56" s="4" t="n">
        <v>242.432268638018</v>
      </c>
      <c r="K56" s="4" t="n">
        <v>0.31</v>
      </c>
    </row>
    <row r="57" customFormat="false" ht="14.25" hidden="false" customHeight="false" outlineLevel="0" collapsed="false">
      <c r="B57" s="1" t="n">
        <v>12</v>
      </c>
      <c r="C57" s="3" t="n">
        <v>500</v>
      </c>
      <c r="D57" s="1" t="n">
        <v>4</v>
      </c>
      <c r="E57" s="2" t="n">
        <v>46</v>
      </c>
      <c r="F57" s="4" t="n">
        <v>2.69332921131829</v>
      </c>
      <c r="G57" s="1" t="n">
        <v>70</v>
      </c>
      <c r="H57" s="1" t="n">
        <v>84</v>
      </c>
      <c r="I57" s="5" t="n">
        <v>0.0102317587896877</v>
      </c>
      <c r="J57" s="4" t="n">
        <v>290.918722365622</v>
      </c>
      <c r="K57" s="4" t="n">
        <v>0.4</v>
      </c>
    </row>
    <row r="58" customFormat="false" ht="14.25" hidden="false" customHeight="false" outlineLevel="0" collapsed="false">
      <c r="A58" s="0" t="s">
        <v>33</v>
      </c>
      <c r="B58" s="1" t="n">
        <v>12</v>
      </c>
      <c r="C58" s="3" t="n">
        <v>500</v>
      </c>
      <c r="D58" s="1" t="n">
        <v>4</v>
      </c>
      <c r="E58" s="2" t="n">
        <v>46</v>
      </c>
      <c r="F58" s="4" t="n">
        <v>2.69332921131829</v>
      </c>
      <c r="G58" s="1" t="n">
        <v>70</v>
      </c>
      <c r="H58" s="1" t="n">
        <v>84</v>
      </c>
      <c r="I58" s="5" t="n">
        <v>0.0102317587896877</v>
      </c>
      <c r="J58" s="4" t="n">
        <v>193.945814910414</v>
      </c>
      <c r="K58" s="4" t="n">
        <v>0.25</v>
      </c>
    </row>
    <row r="59" customFormat="false" ht="14.25" hidden="false" customHeight="false" outlineLevel="0" collapsed="false">
      <c r="B59" s="1" t="n">
        <v>12</v>
      </c>
      <c r="C59" s="3" t="n">
        <v>500</v>
      </c>
      <c r="D59" s="1" t="n">
        <v>4</v>
      </c>
      <c r="E59" s="2" t="n">
        <v>46</v>
      </c>
      <c r="F59" s="4" t="n">
        <v>2.69332921131829</v>
      </c>
      <c r="G59" s="1" t="n">
        <v>70</v>
      </c>
      <c r="H59" s="1" t="n">
        <v>84</v>
      </c>
      <c r="I59" s="5" t="n">
        <v>0.0102317587896877</v>
      </c>
      <c r="J59" s="4" t="n">
        <v>242.432268638018</v>
      </c>
      <c r="K59" s="4" t="n">
        <v>0.44</v>
      </c>
    </row>
    <row r="60" customFormat="false" ht="14.25" hidden="false" customHeight="false" outlineLevel="0" collapsed="false">
      <c r="B60" s="1" t="n">
        <v>12</v>
      </c>
      <c r="C60" s="3" t="n">
        <v>500</v>
      </c>
      <c r="D60" s="1" t="n">
        <v>4</v>
      </c>
      <c r="E60" s="2" t="n">
        <v>46</v>
      </c>
      <c r="F60" s="4" t="n">
        <v>2.69332921131829</v>
      </c>
      <c r="G60" s="1" t="n">
        <v>70</v>
      </c>
      <c r="H60" s="1" t="n">
        <v>84</v>
      </c>
      <c r="I60" s="5" t="n">
        <v>0.0102317587896877</v>
      </c>
      <c r="J60" s="4" t="n">
        <v>290.918722365622</v>
      </c>
      <c r="K60" s="4" t="n">
        <v>0.56</v>
      </c>
    </row>
    <row r="61" customFormat="false" ht="14.25" hidden="false" customHeight="false" outlineLevel="0" collapsed="false">
      <c r="A61" s="0" t="s">
        <v>34</v>
      </c>
      <c r="B61" s="1" t="n">
        <v>25</v>
      </c>
      <c r="C61" s="3" t="n">
        <v>500</v>
      </c>
      <c r="D61" s="1" t="n">
        <v>4</v>
      </c>
      <c r="E61" s="2" t="n">
        <v>62</v>
      </c>
      <c r="F61" s="4" t="n">
        <v>2.69332921131829</v>
      </c>
      <c r="G61" s="1" t="n">
        <v>20</v>
      </c>
      <c r="H61" s="1" t="n">
        <v>40.5</v>
      </c>
      <c r="I61" s="5" t="n">
        <v>0.0554215167548501</v>
      </c>
      <c r="J61" s="4" t="n">
        <v>210.837549268589</v>
      </c>
      <c r="K61" s="4" t="n">
        <v>0.23</v>
      </c>
    </row>
    <row r="62" customFormat="false" ht="14.25" hidden="false" customHeight="false" outlineLevel="0" collapsed="false">
      <c r="B62" s="1" t="n">
        <v>25</v>
      </c>
      <c r="C62" s="3" t="n">
        <v>500</v>
      </c>
      <c r="D62" s="1" t="n">
        <v>4</v>
      </c>
      <c r="E62" s="2" t="n">
        <v>62</v>
      </c>
      <c r="F62" s="4" t="n">
        <v>2.69332921131829</v>
      </c>
      <c r="G62" s="1" t="n">
        <v>20</v>
      </c>
      <c r="H62" s="1" t="n">
        <v>40.5</v>
      </c>
      <c r="I62" s="5" t="n">
        <v>0.0554215167548501</v>
      </c>
      <c r="J62" s="4" t="n">
        <v>316.256323902884</v>
      </c>
      <c r="K62" s="4" t="n">
        <v>0.35</v>
      </c>
    </row>
    <row r="63" customFormat="false" ht="14.25" hidden="false" customHeight="false" outlineLevel="0" collapsed="false">
      <c r="B63" s="1" t="n">
        <v>25</v>
      </c>
      <c r="C63" s="3" t="n">
        <v>500</v>
      </c>
      <c r="D63" s="1" t="n">
        <v>4</v>
      </c>
      <c r="E63" s="2" t="n">
        <v>62</v>
      </c>
      <c r="F63" s="4" t="n">
        <v>2.69332921131829</v>
      </c>
      <c r="G63" s="1" t="n">
        <v>20</v>
      </c>
      <c r="H63" s="1" t="n">
        <v>40.5</v>
      </c>
      <c r="I63" s="5" t="n">
        <v>0.0554215167548501</v>
      </c>
      <c r="J63" s="4" t="n">
        <v>421.675098537179</v>
      </c>
      <c r="K63" s="4" t="n">
        <v>0.49</v>
      </c>
    </row>
    <row r="64" customFormat="false" ht="14.25" hidden="false" customHeight="false" outlineLevel="0" collapsed="false">
      <c r="B64" s="1" t="n">
        <v>25</v>
      </c>
      <c r="C64" s="3" t="n">
        <v>500</v>
      </c>
      <c r="D64" s="1" t="n">
        <v>4</v>
      </c>
      <c r="E64" s="2" t="n">
        <v>62</v>
      </c>
      <c r="F64" s="4" t="n">
        <v>2.69332921131829</v>
      </c>
      <c r="G64" s="1" t="n">
        <v>20</v>
      </c>
      <c r="H64" s="1" t="n">
        <v>40.5</v>
      </c>
      <c r="I64" s="5" t="n">
        <v>0.0554215167548501</v>
      </c>
      <c r="J64" s="4" t="n">
        <v>500</v>
      </c>
      <c r="K64" s="4" t="n">
        <v>0.67</v>
      </c>
    </row>
    <row r="65" customFormat="false" ht="14.25" hidden="false" customHeight="false" outlineLevel="0" collapsed="false">
      <c r="A65" s="0" t="s">
        <v>35</v>
      </c>
      <c r="B65" s="1" t="n">
        <v>25</v>
      </c>
      <c r="C65" s="3" t="n">
        <v>500</v>
      </c>
      <c r="D65" s="1" t="n">
        <v>4</v>
      </c>
      <c r="E65" s="2" t="n">
        <v>62</v>
      </c>
      <c r="F65" s="4" t="n">
        <v>2.69332921131829</v>
      </c>
      <c r="G65" s="1" t="n">
        <v>20</v>
      </c>
      <c r="H65" s="1" t="n">
        <v>40.5</v>
      </c>
      <c r="I65" s="5" t="n">
        <v>0.0554215167548501</v>
      </c>
      <c r="J65" s="4" t="n">
        <v>210.837549268589</v>
      </c>
      <c r="K65" s="4" t="n">
        <v>0.27</v>
      </c>
    </row>
    <row r="66" customFormat="false" ht="14.25" hidden="false" customHeight="false" outlineLevel="0" collapsed="false">
      <c r="B66" s="1" t="n">
        <v>25</v>
      </c>
      <c r="C66" s="3" t="n">
        <v>500</v>
      </c>
      <c r="D66" s="1" t="n">
        <v>4</v>
      </c>
      <c r="E66" s="2" t="n">
        <v>62</v>
      </c>
      <c r="F66" s="4" t="n">
        <v>2.69332921131829</v>
      </c>
      <c r="G66" s="1" t="n">
        <v>20</v>
      </c>
      <c r="H66" s="1" t="n">
        <v>40.5</v>
      </c>
      <c r="I66" s="5" t="n">
        <v>0.0554215167548501</v>
      </c>
      <c r="J66" s="4" t="n">
        <v>316.256323902884</v>
      </c>
      <c r="K66" s="4" t="n">
        <v>0.4</v>
      </c>
    </row>
    <row r="67" customFormat="false" ht="14.25" hidden="false" customHeight="false" outlineLevel="0" collapsed="false">
      <c r="B67" s="1" t="n">
        <v>25</v>
      </c>
      <c r="C67" s="3" t="n">
        <v>500</v>
      </c>
      <c r="D67" s="1" t="n">
        <v>4</v>
      </c>
      <c r="E67" s="2" t="n">
        <v>62</v>
      </c>
      <c r="F67" s="4" t="n">
        <v>2.69332921131829</v>
      </c>
      <c r="G67" s="1" t="n">
        <v>20</v>
      </c>
      <c r="H67" s="1" t="n">
        <v>40.5</v>
      </c>
      <c r="I67" s="5" t="n">
        <v>0.0554215167548501</v>
      </c>
      <c r="J67" s="4" t="n">
        <v>421.675098537179</v>
      </c>
      <c r="K67" s="4" t="n">
        <v>0.53</v>
      </c>
    </row>
    <row r="68" customFormat="false" ht="14.25" hidden="false" customHeight="false" outlineLevel="0" collapsed="false">
      <c r="B68" s="1" t="n">
        <v>25</v>
      </c>
      <c r="C68" s="3" t="n">
        <v>500</v>
      </c>
      <c r="D68" s="1" t="n">
        <v>4</v>
      </c>
      <c r="E68" s="2" t="n">
        <v>62</v>
      </c>
      <c r="F68" s="4" t="n">
        <v>2.69332921131829</v>
      </c>
      <c r="G68" s="1" t="n">
        <v>20</v>
      </c>
      <c r="H68" s="1" t="n">
        <v>40.5</v>
      </c>
      <c r="I68" s="5" t="n">
        <v>0.0554215167548501</v>
      </c>
      <c r="J68" s="4" t="n">
        <v>500</v>
      </c>
      <c r="K68" s="4" t="n">
        <v>0.72</v>
      </c>
    </row>
    <row r="69" customFormat="false" ht="14.25" hidden="false" customHeight="false" outlineLevel="0" collapsed="false">
      <c r="A69" s="0" t="s">
        <v>36</v>
      </c>
      <c r="B69" s="1" t="n">
        <v>25</v>
      </c>
      <c r="C69" s="3" t="n">
        <v>500</v>
      </c>
      <c r="D69" s="1" t="n">
        <v>4</v>
      </c>
      <c r="E69" s="2" t="n">
        <v>28.7</v>
      </c>
      <c r="F69" s="4" t="n">
        <v>2.69332921131829</v>
      </c>
      <c r="G69" s="1" t="n">
        <v>70</v>
      </c>
      <c r="H69" s="1" t="n">
        <v>94.5</v>
      </c>
      <c r="I69" s="5" t="n">
        <v>0.0526205961457496</v>
      </c>
      <c r="J69" s="4" t="n">
        <v>122.340765829723</v>
      </c>
      <c r="K69" s="4" t="n">
        <v>0.3</v>
      </c>
    </row>
    <row r="70" customFormat="false" ht="14.25" hidden="false" customHeight="false" outlineLevel="0" collapsed="false">
      <c r="B70" s="1" t="n">
        <v>25</v>
      </c>
      <c r="C70" s="3" t="n">
        <v>500</v>
      </c>
      <c r="D70" s="1" t="n">
        <v>4</v>
      </c>
      <c r="E70" s="2" t="n">
        <v>28.7</v>
      </c>
      <c r="F70" s="4" t="n">
        <v>2.69332921131829</v>
      </c>
      <c r="G70" s="1" t="n">
        <v>70</v>
      </c>
      <c r="H70" s="1" t="n">
        <v>94.5</v>
      </c>
      <c r="I70" s="5" t="n">
        <v>0.0526205961457496</v>
      </c>
      <c r="J70" s="4" t="n">
        <v>244.681531659446</v>
      </c>
      <c r="K70" s="4" t="n">
        <v>0.57</v>
      </c>
    </row>
    <row r="71" customFormat="false" ht="14.25" hidden="false" customHeight="false" outlineLevel="0" collapsed="false">
      <c r="A71" s="0" t="s">
        <v>37</v>
      </c>
      <c r="B71" s="1" t="n">
        <v>25</v>
      </c>
      <c r="C71" s="3" t="n">
        <v>500</v>
      </c>
      <c r="D71" s="1" t="n">
        <v>4</v>
      </c>
      <c r="E71" s="2" t="n">
        <v>28.7</v>
      </c>
      <c r="F71" s="4" t="n">
        <v>2.69332921131829</v>
      </c>
      <c r="G71" s="1" t="n">
        <v>70</v>
      </c>
      <c r="H71" s="1" t="n">
        <v>90.5</v>
      </c>
      <c r="I71" s="5" t="n">
        <v>0.0527679417075151</v>
      </c>
      <c r="J71" s="4" t="n">
        <v>120.90671371296</v>
      </c>
      <c r="K71" s="4" t="n">
        <v>0.26</v>
      </c>
    </row>
    <row r="72" customFormat="false" ht="14.25" hidden="false" customHeight="false" outlineLevel="0" collapsed="false">
      <c r="B72" s="1" t="n">
        <v>25</v>
      </c>
      <c r="C72" s="3" t="n">
        <v>500</v>
      </c>
      <c r="D72" s="1" t="n">
        <v>4</v>
      </c>
      <c r="E72" s="2" t="n">
        <v>28.7</v>
      </c>
      <c r="F72" s="4" t="n">
        <v>2.69332921131829</v>
      </c>
      <c r="G72" s="1" t="n">
        <v>70</v>
      </c>
      <c r="H72" s="1" t="n">
        <v>90.5</v>
      </c>
      <c r="I72" s="5" t="n">
        <v>0.0527679417075151</v>
      </c>
      <c r="J72" s="4" t="n">
        <v>241.81342742592</v>
      </c>
      <c r="K72" s="4" t="n">
        <v>0.6</v>
      </c>
    </row>
    <row r="73" customFormat="false" ht="14.25" hidden="false" customHeight="false" outlineLevel="0" collapsed="false">
      <c r="A73" s="0" t="s">
        <v>38</v>
      </c>
      <c r="B73" s="1" t="n">
        <v>25</v>
      </c>
      <c r="C73" s="3" t="n">
        <v>500</v>
      </c>
      <c r="D73" s="1" t="n">
        <v>4</v>
      </c>
      <c r="E73" s="2" t="n">
        <v>28.7</v>
      </c>
      <c r="F73" s="4" t="n">
        <v>2.69332921131829</v>
      </c>
      <c r="G73" s="1" t="n">
        <v>70</v>
      </c>
      <c r="H73" s="1" t="n">
        <v>90.5</v>
      </c>
      <c r="I73" s="5" t="n">
        <v>0.0527679417075151</v>
      </c>
      <c r="J73" s="4" t="n">
        <v>120.90671371296</v>
      </c>
      <c r="K73" s="4" t="n">
        <v>0.27</v>
      </c>
    </row>
    <row r="74" customFormat="false" ht="14.25" hidden="false" customHeight="false" outlineLevel="0" collapsed="false">
      <c r="B74" s="1" t="n">
        <v>25</v>
      </c>
      <c r="C74" s="3" t="n">
        <v>500</v>
      </c>
      <c r="D74" s="1" t="n">
        <v>4</v>
      </c>
      <c r="E74" s="2" t="n">
        <v>28.7</v>
      </c>
      <c r="F74" s="4" t="n">
        <v>2.69332921131829</v>
      </c>
      <c r="G74" s="1" t="n">
        <v>70</v>
      </c>
      <c r="H74" s="1" t="n">
        <v>90.5</v>
      </c>
      <c r="I74" s="5" t="n">
        <v>0.0527679417075151</v>
      </c>
      <c r="J74" s="4" t="n">
        <v>241.81342742592</v>
      </c>
      <c r="K74" s="4" t="n">
        <v>0.59</v>
      </c>
    </row>
    <row r="75" customFormat="false" ht="14.25" hidden="false" customHeight="false" outlineLevel="0" collapsed="false">
      <c r="A75" s="0" t="s">
        <v>39</v>
      </c>
      <c r="B75" s="1" t="n">
        <v>9.52</v>
      </c>
      <c r="C75" s="3" t="n">
        <v>434</v>
      </c>
      <c r="D75" s="1" t="n">
        <v>3</v>
      </c>
      <c r="E75" s="2" t="n">
        <v>22.2</v>
      </c>
      <c r="F75" s="4" t="n">
        <v>3.56416000199951</v>
      </c>
      <c r="G75" s="1" t="n">
        <v>20.64</v>
      </c>
      <c r="H75" s="1" t="n">
        <v>25.4</v>
      </c>
      <c r="I75" s="5" t="n">
        <v>0.0324485100999475</v>
      </c>
      <c r="J75" s="4" t="n">
        <v>295.47063165326</v>
      </c>
      <c r="K75" s="4" t="n">
        <v>0.15</v>
      </c>
    </row>
    <row r="76" customFormat="false" ht="14.25" hidden="false" customHeight="false" outlineLevel="0" collapsed="false">
      <c r="B76" s="1" t="n">
        <v>9.52</v>
      </c>
      <c r="C76" s="3" t="n">
        <v>434</v>
      </c>
      <c r="D76" s="1" t="n">
        <v>3</v>
      </c>
      <c r="E76" s="2" t="n">
        <v>22.2</v>
      </c>
      <c r="F76" s="4" t="n">
        <v>3.56416000199951</v>
      </c>
      <c r="G76" s="1" t="n">
        <v>20.64</v>
      </c>
      <c r="H76" s="1" t="n">
        <v>25.4</v>
      </c>
      <c r="I76" s="5" t="n">
        <v>0.0324485100999475</v>
      </c>
      <c r="J76" s="4" t="n">
        <v>343.866683389569</v>
      </c>
      <c r="K76" s="4" t="n">
        <v>0.17</v>
      </c>
    </row>
    <row r="77" customFormat="false" ht="14.25" hidden="false" customHeight="false" outlineLevel="0" collapsed="false">
      <c r="A77" s="0" t="s">
        <v>40</v>
      </c>
      <c r="B77" s="1" t="n">
        <v>12.7</v>
      </c>
      <c r="C77" s="3" t="n">
        <v>434</v>
      </c>
      <c r="D77" s="1" t="n">
        <v>3</v>
      </c>
      <c r="E77" s="2" t="n">
        <v>19.05</v>
      </c>
      <c r="F77" s="4" t="n">
        <v>3.97660816382294</v>
      </c>
      <c r="G77" s="1" t="n">
        <v>19.05</v>
      </c>
      <c r="H77" s="1" t="n">
        <v>25.4</v>
      </c>
      <c r="I77" s="5" t="n">
        <v>0.0642124745559393</v>
      </c>
      <c r="J77" s="4" t="n">
        <v>303.256025231297</v>
      </c>
      <c r="K77" s="4" t="n">
        <v>0.15</v>
      </c>
    </row>
    <row r="78" customFormat="false" ht="14.25" hidden="false" customHeight="false" outlineLevel="0" collapsed="false">
      <c r="B78" s="1" t="n">
        <v>12.7</v>
      </c>
      <c r="C78" s="3" t="n">
        <v>434</v>
      </c>
      <c r="D78" s="1" t="n">
        <v>3</v>
      </c>
      <c r="E78" s="2" t="n">
        <v>19.05</v>
      </c>
      <c r="F78" s="4" t="n">
        <v>3.97660816382294</v>
      </c>
      <c r="G78" s="1" t="n">
        <v>19.05</v>
      </c>
      <c r="H78" s="1" t="n">
        <v>25.4</v>
      </c>
      <c r="I78" s="5" t="n">
        <v>0.0642124745559393</v>
      </c>
      <c r="J78" s="4" t="n">
        <v>347.810227990398</v>
      </c>
      <c r="K78" s="4" t="n">
        <v>0.17</v>
      </c>
    </row>
    <row r="79" customFormat="false" ht="14.25" hidden="false" customHeight="false" outlineLevel="0" collapsed="false">
      <c r="B79" s="1" t="n">
        <v>12.7</v>
      </c>
      <c r="C79" s="3" t="n">
        <v>434</v>
      </c>
      <c r="D79" s="1" t="n">
        <v>3</v>
      </c>
      <c r="E79" s="2" t="n">
        <v>19.05</v>
      </c>
      <c r="F79" s="4" t="n">
        <v>3.97660816382294</v>
      </c>
      <c r="G79" s="1" t="n">
        <v>19.05</v>
      </c>
      <c r="H79" s="1" t="n">
        <v>25.4</v>
      </c>
      <c r="I79" s="5" t="n">
        <v>0.0642124745559393</v>
      </c>
      <c r="J79" s="4" t="n">
        <v>411.048451261379</v>
      </c>
      <c r="K79" s="4" t="n">
        <v>0.2</v>
      </c>
    </row>
    <row r="80" customFormat="false" ht="14.25" hidden="false" customHeight="false" outlineLevel="0" collapsed="false">
      <c r="A80" s="0" t="s">
        <v>41</v>
      </c>
      <c r="B80" s="1" t="n">
        <v>15.9</v>
      </c>
      <c r="C80" s="3" t="n">
        <v>540</v>
      </c>
      <c r="D80" s="1" t="n">
        <v>3</v>
      </c>
      <c r="E80" s="2" t="n">
        <v>15.9</v>
      </c>
      <c r="F80" s="4" t="n">
        <v>3.97660816382294</v>
      </c>
      <c r="G80" s="1" t="n">
        <v>17.46</v>
      </c>
      <c r="H80" s="1" t="n">
        <v>25.4</v>
      </c>
      <c r="I80" s="5" t="n">
        <v>0.108350675635655</v>
      </c>
      <c r="J80" s="4" t="n">
        <v>289.734922915654</v>
      </c>
      <c r="K80" s="4" t="n">
        <v>0.16</v>
      </c>
    </row>
    <row r="81" customFormat="false" ht="14.25" hidden="false" customHeight="false" outlineLevel="0" collapsed="false">
      <c r="B81" s="1" t="n">
        <v>15.9</v>
      </c>
      <c r="C81" s="3" t="n">
        <v>540</v>
      </c>
      <c r="D81" s="1" t="n">
        <v>3</v>
      </c>
      <c r="E81" s="2" t="n">
        <v>15.9</v>
      </c>
      <c r="F81" s="4" t="n">
        <v>3.97660816382294</v>
      </c>
      <c r="G81" s="1" t="n">
        <v>17.46</v>
      </c>
      <c r="H81" s="1" t="n">
        <v>25.4</v>
      </c>
      <c r="I81" s="5" t="n">
        <v>0.108350675635655</v>
      </c>
      <c r="J81" s="4" t="n">
        <v>379.980226774629</v>
      </c>
      <c r="K81" s="4" t="n">
        <v>0.21</v>
      </c>
    </row>
    <row r="82" customFormat="false" ht="14.25" hidden="false" customHeight="false" outlineLevel="0" collapsed="false">
      <c r="A82" s="0" t="s">
        <v>42</v>
      </c>
      <c r="B82" s="1" t="n">
        <v>16</v>
      </c>
      <c r="C82" s="3" t="n">
        <v>500</v>
      </c>
      <c r="D82" s="1" t="n">
        <v>2</v>
      </c>
      <c r="E82" s="2" t="n">
        <v>138</v>
      </c>
      <c r="F82" s="4" t="n">
        <v>3.269</v>
      </c>
      <c r="G82" s="1" t="n">
        <v>40</v>
      </c>
      <c r="H82" s="1" t="n">
        <v>48</v>
      </c>
      <c r="I82" s="5" t="n">
        <v>0.0174790978884179</v>
      </c>
      <c r="J82" s="4" t="n">
        <v>185.273964470166</v>
      </c>
      <c r="K82" s="4" t="n">
        <v>0.15</v>
      </c>
    </row>
    <row r="83" customFormat="false" ht="14.25" hidden="false" customHeight="false" outlineLevel="0" collapsed="false">
      <c r="B83" s="1" t="n">
        <v>16</v>
      </c>
      <c r="C83" s="3" t="n">
        <v>500</v>
      </c>
      <c r="D83" s="1" t="n">
        <v>2</v>
      </c>
      <c r="E83" s="2" t="n">
        <v>138</v>
      </c>
      <c r="F83" s="4" t="n">
        <v>3.269</v>
      </c>
      <c r="G83" s="1" t="n">
        <v>40</v>
      </c>
      <c r="H83" s="1" t="n">
        <v>48</v>
      </c>
      <c r="I83" s="5" t="n">
        <v>0.0174790978884179</v>
      </c>
      <c r="J83" s="4" t="n">
        <v>211.76759699969</v>
      </c>
      <c r="K83" s="4" t="n">
        <v>0.2</v>
      </c>
    </row>
    <row r="84" customFormat="false" ht="14.25" hidden="false" customHeight="false" outlineLevel="0" collapsed="false">
      <c r="B84" s="1" t="n">
        <v>16</v>
      </c>
      <c r="C84" s="3" t="n">
        <v>500</v>
      </c>
      <c r="D84" s="1" t="n">
        <v>2</v>
      </c>
      <c r="E84" s="2" t="n">
        <v>138</v>
      </c>
      <c r="F84" s="4" t="n">
        <v>3.269</v>
      </c>
      <c r="G84" s="1" t="n">
        <v>40</v>
      </c>
      <c r="H84" s="1" t="n">
        <v>48</v>
      </c>
      <c r="I84" s="5" t="n">
        <v>0.0174790978884179</v>
      </c>
      <c r="J84" s="4" t="n">
        <v>238.261229529214</v>
      </c>
      <c r="K84" s="4" t="n">
        <v>0.25</v>
      </c>
    </row>
    <row r="85" customFormat="false" ht="14.25" hidden="false" customHeight="false" outlineLevel="0" collapsed="false">
      <c r="B85" s="1" t="n">
        <v>16</v>
      </c>
      <c r="C85" s="3" t="n">
        <v>500</v>
      </c>
      <c r="D85" s="1" t="n">
        <v>2</v>
      </c>
      <c r="E85" s="2" t="n">
        <v>138</v>
      </c>
      <c r="F85" s="4" t="n">
        <v>3.269</v>
      </c>
      <c r="G85" s="1" t="n">
        <v>40</v>
      </c>
      <c r="H85" s="1" t="n">
        <v>48</v>
      </c>
      <c r="I85" s="5" t="n">
        <v>0.0174790978884179</v>
      </c>
      <c r="J85" s="4" t="n">
        <v>264.709496249612</v>
      </c>
      <c r="K85" s="4" t="n">
        <v>0.28</v>
      </c>
    </row>
    <row r="86" customFormat="false" ht="14.25" hidden="false" customHeight="false" outlineLevel="0" collapsed="false">
      <c r="B86" s="1" t="n">
        <v>16</v>
      </c>
      <c r="C86" s="3" t="n">
        <v>500</v>
      </c>
      <c r="D86" s="1" t="n">
        <v>2</v>
      </c>
      <c r="E86" s="2" t="n">
        <v>138</v>
      </c>
      <c r="F86" s="4" t="n">
        <v>3.269</v>
      </c>
      <c r="G86" s="1" t="n">
        <v>40</v>
      </c>
      <c r="H86" s="1" t="n">
        <v>48</v>
      </c>
      <c r="I86" s="5" t="n">
        <v>0.0174790978884179</v>
      </c>
      <c r="J86" s="4" t="n">
        <v>291.157762970011</v>
      </c>
      <c r="K86" s="4" t="n">
        <v>0.28</v>
      </c>
    </row>
    <row r="87" customFormat="false" ht="14.25" hidden="false" customHeight="false" outlineLevel="0" collapsed="false">
      <c r="B87" s="1" t="n">
        <v>16</v>
      </c>
      <c r="C87" s="3" t="n">
        <v>500</v>
      </c>
      <c r="D87" s="1" t="n">
        <v>2</v>
      </c>
      <c r="E87" s="2" t="n">
        <v>138</v>
      </c>
      <c r="F87" s="4" t="n">
        <v>3.269</v>
      </c>
      <c r="G87" s="1" t="n">
        <v>40</v>
      </c>
      <c r="H87" s="1" t="n">
        <v>48</v>
      </c>
      <c r="I87" s="5" t="n">
        <v>0.0174790978884179</v>
      </c>
      <c r="J87" s="4" t="n">
        <v>317.651395499535</v>
      </c>
      <c r="K87" s="4" t="n">
        <v>0.3</v>
      </c>
    </row>
    <row r="88" customFormat="false" ht="14.25" hidden="false" customHeight="false" outlineLevel="0" collapsed="false">
      <c r="B88" s="1" t="n">
        <v>16</v>
      </c>
      <c r="C88" s="3" t="n">
        <v>500</v>
      </c>
      <c r="D88" s="1" t="n">
        <v>2</v>
      </c>
      <c r="E88" s="2" t="n">
        <v>138</v>
      </c>
      <c r="F88" s="4" t="n">
        <v>3.269</v>
      </c>
      <c r="G88" s="1" t="n">
        <v>40</v>
      </c>
      <c r="H88" s="1" t="n">
        <v>48</v>
      </c>
      <c r="I88" s="5" t="n">
        <v>0.0174790978884179</v>
      </c>
      <c r="J88" s="4" t="n">
        <v>344.145028029059</v>
      </c>
      <c r="K88" s="4" t="n">
        <v>0.33</v>
      </c>
    </row>
    <row r="89" customFormat="false" ht="14.25" hidden="false" customHeight="false" outlineLevel="0" collapsed="false">
      <c r="B89" s="1" t="n">
        <v>16</v>
      </c>
      <c r="C89" s="3" t="n">
        <v>500</v>
      </c>
      <c r="D89" s="1" t="n">
        <v>2</v>
      </c>
      <c r="E89" s="2" t="n">
        <v>138</v>
      </c>
      <c r="F89" s="4" t="n">
        <v>3.269</v>
      </c>
      <c r="G89" s="1" t="n">
        <v>40</v>
      </c>
      <c r="H89" s="1" t="n">
        <v>48</v>
      </c>
      <c r="I89" s="5" t="n">
        <v>0.0174790978884179</v>
      </c>
      <c r="J89" s="4" t="n">
        <v>370.547928940332</v>
      </c>
      <c r="K89" s="4" t="n">
        <v>0.33</v>
      </c>
    </row>
    <row r="90" customFormat="false" ht="14.25" hidden="false" customHeight="false" outlineLevel="0" collapsed="false">
      <c r="A90" s="0" t="s">
        <v>43</v>
      </c>
      <c r="B90" s="1" t="n">
        <v>16</v>
      </c>
      <c r="C90" s="3" t="n">
        <v>500</v>
      </c>
      <c r="D90" s="1" t="n">
        <v>2</v>
      </c>
      <c r="E90" s="2" t="n">
        <v>138</v>
      </c>
      <c r="F90" s="4" t="n">
        <v>3.269</v>
      </c>
      <c r="G90" s="1" t="n">
        <v>40</v>
      </c>
      <c r="H90" s="1" t="n">
        <v>48</v>
      </c>
      <c r="I90" s="5" t="n">
        <v>0.0174790978884179</v>
      </c>
      <c r="J90" s="4" t="n">
        <v>211.76759699969</v>
      </c>
      <c r="K90" s="4" t="n">
        <v>0.15</v>
      </c>
    </row>
    <row r="91" customFormat="false" ht="14.25" hidden="false" customHeight="false" outlineLevel="0" collapsed="false">
      <c r="B91" s="1" t="n">
        <v>16</v>
      </c>
      <c r="C91" s="3" t="n">
        <v>500</v>
      </c>
      <c r="D91" s="1" t="n">
        <v>2</v>
      </c>
      <c r="E91" s="2" t="n">
        <v>138</v>
      </c>
      <c r="F91" s="4" t="n">
        <v>3.269</v>
      </c>
      <c r="G91" s="1" t="n">
        <v>40</v>
      </c>
      <c r="H91" s="1" t="n">
        <v>48</v>
      </c>
      <c r="I91" s="5" t="n">
        <v>0.0174790978884179</v>
      </c>
      <c r="J91" s="4" t="n">
        <v>238.261229529214</v>
      </c>
      <c r="K91" s="4" t="n">
        <v>0.18</v>
      </c>
    </row>
    <row r="92" customFormat="false" ht="14.25" hidden="false" customHeight="false" outlineLevel="0" collapsed="false">
      <c r="B92" s="1" t="n">
        <v>16</v>
      </c>
      <c r="C92" s="3" t="n">
        <v>500</v>
      </c>
      <c r="D92" s="1" t="n">
        <v>2</v>
      </c>
      <c r="E92" s="2" t="n">
        <v>138</v>
      </c>
      <c r="F92" s="4" t="n">
        <v>3.269</v>
      </c>
      <c r="G92" s="1" t="n">
        <v>40</v>
      </c>
      <c r="H92" s="1" t="n">
        <v>48</v>
      </c>
      <c r="I92" s="5" t="n">
        <v>0.0174790978884179</v>
      </c>
      <c r="J92" s="4" t="n">
        <v>264.709496249612</v>
      </c>
      <c r="K92" s="4" t="n">
        <v>0.2</v>
      </c>
    </row>
    <row r="93" customFormat="false" ht="14.25" hidden="false" customHeight="false" outlineLevel="0" collapsed="false">
      <c r="B93" s="1" t="n">
        <v>16</v>
      </c>
      <c r="C93" s="3" t="n">
        <v>500</v>
      </c>
      <c r="D93" s="1" t="n">
        <v>2</v>
      </c>
      <c r="E93" s="2" t="n">
        <v>138</v>
      </c>
      <c r="F93" s="4" t="n">
        <v>3.269</v>
      </c>
      <c r="G93" s="1" t="n">
        <v>40</v>
      </c>
      <c r="H93" s="1" t="n">
        <v>48</v>
      </c>
      <c r="I93" s="5" t="n">
        <v>0.0174790978884179</v>
      </c>
      <c r="J93" s="4" t="n">
        <v>291.157762970011</v>
      </c>
      <c r="K93" s="4" t="n">
        <v>0.25</v>
      </c>
    </row>
    <row r="94" customFormat="false" ht="14.25" hidden="false" customHeight="false" outlineLevel="0" collapsed="false">
      <c r="B94" s="1" t="n">
        <v>16</v>
      </c>
      <c r="C94" s="3" t="n">
        <v>500</v>
      </c>
      <c r="D94" s="1" t="n">
        <v>2</v>
      </c>
      <c r="E94" s="2" t="n">
        <v>138</v>
      </c>
      <c r="F94" s="4" t="n">
        <v>3.269</v>
      </c>
      <c r="G94" s="1" t="n">
        <v>40</v>
      </c>
      <c r="H94" s="1" t="n">
        <v>48</v>
      </c>
      <c r="I94" s="5" t="n">
        <v>0.0174790978884179</v>
      </c>
      <c r="J94" s="4" t="n">
        <v>317.651395499535</v>
      </c>
      <c r="K94" s="4" t="n">
        <v>0.3</v>
      </c>
    </row>
    <row r="95" customFormat="false" ht="14.25" hidden="false" customHeight="false" outlineLevel="0" collapsed="false">
      <c r="B95" s="1" t="n">
        <v>16</v>
      </c>
      <c r="C95" s="3" t="n">
        <v>500</v>
      </c>
      <c r="D95" s="1" t="n">
        <v>2</v>
      </c>
      <c r="E95" s="2" t="n">
        <v>138</v>
      </c>
      <c r="F95" s="4" t="n">
        <v>3.269</v>
      </c>
      <c r="G95" s="1" t="n">
        <v>40</v>
      </c>
      <c r="H95" s="1" t="n">
        <v>48</v>
      </c>
      <c r="I95" s="5" t="n">
        <v>0.0174790978884179</v>
      </c>
      <c r="J95" s="4" t="n">
        <v>344.145028029059</v>
      </c>
      <c r="K95" s="4" t="n">
        <v>0.33</v>
      </c>
    </row>
    <row r="96" customFormat="false" ht="14.25" hidden="false" customHeight="false" outlineLevel="0" collapsed="false">
      <c r="B96" s="1" t="n">
        <v>16</v>
      </c>
      <c r="C96" s="3" t="n">
        <v>500</v>
      </c>
      <c r="D96" s="1" t="n">
        <v>2</v>
      </c>
      <c r="E96" s="2" t="n">
        <v>138</v>
      </c>
      <c r="F96" s="4" t="n">
        <v>3.269</v>
      </c>
      <c r="G96" s="1" t="n">
        <v>40</v>
      </c>
      <c r="H96" s="1" t="n">
        <v>48</v>
      </c>
      <c r="I96" s="5" t="n">
        <v>0.0174790978884179</v>
      </c>
      <c r="J96" s="4" t="n">
        <v>370.547928940332</v>
      </c>
      <c r="K96" s="4" t="n">
        <v>0.38</v>
      </c>
    </row>
    <row r="97" customFormat="false" ht="14.25" hidden="false" customHeight="false" outlineLevel="0" collapsed="false">
      <c r="A97" s="0" t="s">
        <v>44</v>
      </c>
      <c r="B97" s="1" t="n">
        <v>16</v>
      </c>
      <c r="C97" s="3" t="n">
        <v>500</v>
      </c>
      <c r="D97" s="1" t="n">
        <v>2</v>
      </c>
      <c r="E97" s="2" t="n">
        <v>168</v>
      </c>
      <c r="F97" s="4" t="n">
        <v>3.269</v>
      </c>
      <c r="G97" s="1" t="n">
        <v>25</v>
      </c>
      <c r="H97" s="1" t="n">
        <v>33</v>
      </c>
      <c r="I97" s="5" t="n">
        <v>0.0193939393939394</v>
      </c>
      <c r="J97" s="4" t="n">
        <v>211.76759699969</v>
      </c>
      <c r="K97" s="4" t="n">
        <v>0.15</v>
      </c>
    </row>
    <row r="98" customFormat="false" ht="14.25" hidden="false" customHeight="false" outlineLevel="0" collapsed="false">
      <c r="B98" s="1" t="n">
        <v>16</v>
      </c>
      <c r="C98" s="3" t="n">
        <v>500</v>
      </c>
      <c r="D98" s="1" t="n">
        <v>2</v>
      </c>
      <c r="E98" s="2" t="n">
        <v>168</v>
      </c>
      <c r="F98" s="4" t="n">
        <v>3.269</v>
      </c>
      <c r="G98" s="1" t="n">
        <v>25</v>
      </c>
      <c r="H98" s="1" t="n">
        <v>33</v>
      </c>
      <c r="I98" s="5" t="n">
        <v>0.0193939393939394</v>
      </c>
      <c r="J98" s="4" t="n">
        <v>238.261229529214</v>
      </c>
      <c r="K98" s="4" t="n">
        <v>0.18</v>
      </c>
    </row>
    <row r="99" customFormat="false" ht="14.25" hidden="false" customHeight="false" outlineLevel="0" collapsed="false">
      <c r="B99" s="1" t="n">
        <v>16</v>
      </c>
      <c r="C99" s="3" t="n">
        <v>500</v>
      </c>
      <c r="D99" s="1" t="n">
        <v>2</v>
      </c>
      <c r="E99" s="2" t="n">
        <v>168</v>
      </c>
      <c r="F99" s="4" t="n">
        <v>3.269</v>
      </c>
      <c r="G99" s="1" t="n">
        <v>25</v>
      </c>
      <c r="H99" s="1" t="n">
        <v>33</v>
      </c>
      <c r="I99" s="5" t="n">
        <v>0.0193939393939394</v>
      </c>
      <c r="J99" s="4" t="n">
        <v>264.709496249612</v>
      </c>
      <c r="K99" s="4" t="n">
        <v>0.2</v>
      </c>
    </row>
    <row r="100" customFormat="false" ht="14.25" hidden="false" customHeight="false" outlineLevel="0" collapsed="false">
      <c r="B100" s="1" t="n">
        <v>16</v>
      </c>
      <c r="C100" s="3" t="n">
        <v>500</v>
      </c>
      <c r="D100" s="1" t="n">
        <v>2</v>
      </c>
      <c r="E100" s="2" t="n">
        <v>168</v>
      </c>
      <c r="F100" s="4" t="n">
        <v>3.269</v>
      </c>
      <c r="G100" s="1" t="n">
        <v>25</v>
      </c>
      <c r="H100" s="1" t="n">
        <v>33</v>
      </c>
      <c r="I100" s="5" t="n">
        <v>0.0193939393939394</v>
      </c>
      <c r="J100" s="4" t="n">
        <v>291.157762970011</v>
      </c>
      <c r="K100" s="4" t="n">
        <v>0.23</v>
      </c>
    </row>
    <row r="101" customFormat="false" ht="14.25" hidden="false" customHeight="false" outlineLevel="0" collapsed="false">
      <c r="B101" s="1" t="n">
        <v>16</v>
      </c>
      <c r="C101" s="3" t="n">
        <v>500</v>
      </c>
      <c r="D101" s="1" t="n">
        <v>2</v>
      </c>
      <c r="E101" s="2" t="n">
        <v>168</v>
      </c>
      <c r="F101" s="4" t="n">
        <v>3.269</v>
      </c>
      <c r="G101" s="1" t="n">
        <v>25</v>
      </c>
      <c r="H101" s="1" t="n">
        <v>33</v>
      </c>
      <c r="I101" s="5" t="n">
        <v>0.0193939393939394</v>
      </c>
      <c r="J101" s="4" t="n">
        <v>317.651395499535</v>
      </c>
      <c r="K101" s="4" t="n">
        <v>0.25</v>
      </c>
    </row>
    <row r="102" customFormat="false" ht="14.25" hidden="false" customHeight="false" outlineLevel="0" collapsed="false">
      <c r="B102" s="1" t="n">
        <v>16</v>
      </c>
      <c r="C102" s="3" t="n">
        <v>500</v>
      </c>
      <c r="D102" s="1" t="n">
        <v>2</v>
      </c>
      <c r="E102" s="2" t="n">
        <v>168</v>
      </c>
      <c r="F102" s="4" t="n">
        <v>3.269</v>
      </c>
      <c r="G102" s="1" t="n">
        <v>25</v>
      </c>
      <c r="H102" s="1" t="n">
        <v>33</v>
      </c>
      <c r="I102" s="5" t="n">
        <v>0.0193939393939394</v>
      </c>
      <c r="J102" s="4" t="n">
        <v>344.145028029059</v>
      </c>
      <c r="K102" s="4" t="n">
        <v>0.3</v>
      </c>
    </row>
    <row r="103" customFormat="false" ht="14.25" hidden="false" customHeight="false" outlineLevel="0" collapsed="false">
      <c r="B103" s="1" t="n">
        <v>16</v>
      </c>
      <c r="C103" s="3" t="n">
        <v>500</v>
      </c>
      <c r="D103" s="1" t="n">
        <v>2</v>
      </c>
      <c r="E103" s="2" t="n">
        <v>168</v>
      </c>
      <c r="F103" s="4" t="n">
        <v>3.269</v>
      </c>
      <c r="G103" s="1" t="n">
        <v>25</v>
      </c>
      <c r="H103" s="1" t="n">
        <v>33</v>
      </c>
      <c r="I103" s="5" t="n">
        <v>0.0193939393939394</v>
      </c>
      <c r="J103" s="4" t="n">
        <v>370.547928940332</v>
      </c>
      <c r="K103" s="4" t="n">
        <v>0.3</v>
      </c>
    </row>
    <row r="104" customFormat="false" ht="14.25" hidden="false" customHeight="false" outlineLevel="0" collapsed="false">
      <c r="A104" s="0" t="s">
        <v>45</v>
      </c>
      <c r="B104" s="1" t="n">
        <v>16</v>
      </c>
      <c r="C104" s="3" t="n">
        <v>500</v>
      </c>
      <c r="D104" s="1" t="n">
        <v>2</v>
      </c>
      <c r="E104" s="2" t="n">
        <v>168</v>
      </c>
      <c r="F104" s="4" t="n">
        <v>3.269</v>
      </c>
      <c r="G104" s="1" t="n">
        <v>25</v>
      </c>
      <c r="H104" s="1" t="n">
        <v>33</v>
      </c>
      <c r="I104" s="5" t="n">
        <v>0.0193939393939394</v>
      </c>
      <c r="J104" s="4" t="n">
        <v>185.273964470166</v>
      </c>
      <c r="K104" s="4" t="n">
        <v>0.15</v>
      </c>
    </row>
    <row r="105" customFormat="false" ht="14.25" hidden="false" customHeight="false" outlineLevel="0" collapsed="false">
      <c r="B105" s="1" t="n">
        <v>16</v>
      </c>
      <c r="C105" s="3" t="n">
        <v>500</v>
      </c>
      <c r="D105" s="1" t="n">
        <v>2</v>
      </c>
      <c r="E105" s="2" t="n">
        <v>168</v>
      </c>
      <c r="F105" s="4" t="n">
        <v>3.269</v>
      </c>
      <c r="G105" s="1" t="n">
        <v>25</v>
      </c>
      <c r="H105" s="1" t="n">
        <v>33</v>
      </c>
      <c r="I105" s="5" t="n">
        <v>0.0193939393939394</v>
      </c>
      <c r="J105" s="4" t="n">
        <v>211.76759699969</v>
      </c>
      <c r="K105" s="4" t="n">
        <v>0.18</v>
      </c>
    </row>
    <row r="106" customFormat="false" ht="14.25" hidden="false" customHeight="false" outlineLevel="0" collapsed="false">
      <c r="B106" s="1" t="n">
        <v>16</v>
      </c>
      <c r="C106" s="3" t="n">
        <v>500</v>
      </c>
      <c r="D106" s="1" t="n">
        <v>2</v>
      </c>
      <c r="E106" s="2" t="n">
        <v>168</v>
      </c>
      <c r="F106" s="4" t="n">
        <v>3.269</v>
      </c>
      <c r="G106" s="1" t="n">
        <v>25</v>
      </c>
      <c r="H106" s="1" t="n">
        <v>33</v>
      </c>
      <c r="I106" s="5" t="n">
        <v>0.0193939393939394</v>
      </c>
      <c r="J106" s="4" t="n">
        <v>238.261229529214</v>
      </c>
      <c r="K106" s="4" t="n">
        <v>0.18</v>
      </c>
    </row>
    <row r="107" customFormat="false" ht="14.25" hidden="false" customHeight="false" outlineLevel="0" collapsed="false">
      <c r="B107" s="1" t="n">
        <v>16</v>
      </c>
      <c r="C107" s="3" t="n">
        <v>500</v>
      </c>
      <c r="D107" s="1" t="n">
        <v>2</v>
      </c>
      <c r="E107" s="2" t="n">
        <v>168</v>
      </c>
      <c r="F107" s="4" t="n">
        <v>3.269</v>
      </c>
      <c r="G107" s="1" t="n">
        <v>25</v>
      </c>
      <c r="H107" s="1" t="n">
        <v>33</v>
      </c>
      <c r="I107" s="5" t="n">
        <v>0.0193939393939394</v>
      </c>
      <c r="J107" s="4" t="n">
        <v>264.709496249612</v>
      </c>
      <c r="K107" s="4" t="n">
        <v>0.25</v>
      </c>
    </row>
    <row r="108" customFormat="false" ht="14.25" hidden="false" customHeight="false" outlineLevel="0" collapsed="false">
      <c r="B108" s="1" t="n">
        <v>16</v>
      </c>
      <c r="C108" s="3" t="n">
        <v>500</v>
      </c>
      <c r="D108" s="1" t="n">
        <v>2</v>
      </c>
      <c r="E108" s="2" t="n">
        <v>168</v>
      </c>
      <c r="F108" s="4" t="n">
        <v>3.269</v>
      </c>
      <c r="G108" s="1" t="n">
        <v>25</v>
      </c>
      <c r="H108" s="1" t="n">
        <v>33</v>
      </c>
      <c r="I108" s="5" t="n">
        <v>0.0193939393939394</v>
      </c>
      <c r="J108" s="4" t="n">
        <v>291.157762970011</v>
      </c>
      <c r="K108" s="4" t="n">
        <v>0.28</v>
      </c>
    </row>
    <row r="109" customFormat="false" ht="14.25" hidden="false" customHeight="false" outlineLevel="0" collapsed="false">
      <c r="B109" s="1" t="n">
        <v>16</v>
      </c>
      <c r="C109" s="3" t="n">
        <v>500</v>
      </c>
      <c r="D109" s="1" t="n">
        <v>2</v>
      </c>
      <c r="E109" s="2" t="n">
        <v>168</v>
      </c>
      <c r="F109" s="4" t="n">
        <v>3.269</v>
      </c>
      <c r="G109" s="1" t="n">
        <v>25</v>
      </c>
      <c r="H109" s="1" t="n">
        <v>33</v>
      </c>
      <c r="I109" s="5" t="n">
        <v>0.0193939393939394</v>
      </c>
      <c r="J109" s="4" t="n">
        <v>317.651395499535</v>
      </c>
      <c r="K109" s="4" t="n">
        <v>0.33</v>
      </c>
    </row>
    <row r="110" customFormat="false" ht="14.25" hidden="false" customHeight="false" outlineLevel="0" collapsed="false">
      <c r="B110" s="1" t="n">
        <v>16</v>
      </c>
      <c r="C110" s="3" t="n">
        <v>500</v>
      </c>
      <c r="D110" s="1" t="n">
        <v>2</v>
      </c>
      <c r="E110" s="2" t="n">
        <v>168</v>
      </c>
      <c r="F110" s="4" t="n">
        <v>3.269</v>
      </c>
      <c r="G110" s="1" t="n">
        <v>25</v>
      </c>
      <c r="H110" s="1" t="n">
        <v>33</v>
      </c>
      <c r="I110" s="5" t="n">
        <v>0.0193939393939394</v>
      </c>
      <c r="J110" s="4" t="n">
        <v>344.145028029059</v>
      </c>
      <c r="K110" s="4" t="n">
        <v>0.38</v>
      </c>
    </row>
    <row r="111" customFormat="false" ht="14.25" hidden="false" customHeight="false" outlineLevel="0" collapsed="false">
      <c r="B111" s="1" t="n">
        <v>16</v>
      </c>
      <c r="C111" s="3" t="n">
        <v>500</v>
      </c>
      <c r="D111" s="1" t="n">
        <v>2</v>
      </c>
      <c r="E111" s="2" t="n">
        <v>168</v>
      </c>
      <c r="F111" s="4" t="n">
        <v>3.269</v>
      </c>
      <c r="G111" s="1" t="n">
        <v>25</v>
      </c>
      <c r="H111" s="1" t="n">
        <v>33</v>
      </c>
      <c r="I111" s="5" t="n">
        <v>0.0193939393939394</v>
      </c>
      <c r="J111" s="4" t="n">
        <v>370.547928940332</v>
      </c>
      <c r="K111" s="4" t="n">
        <v>0.43</v>
      </c>
    </row>
    <row r="112" customFormat="false" ht="14.25" hidden="false" customHeight="false" outlineLevel="0" collapsed="false">
      <c r="A112" s="0" t="s">
        <v>46</v>
      </c>
      <c r="B112" s="1" t="n">
        <v>16</v>
      </c>
      <c r="C112" s="3" t="n">
        <v>500</v>
      </c>
      <c r="D112" s="1" t="n">
        <v>3</v>
      </c>
      <c r="E112" s="2" t="n">
        <v>76</v>
      </c>
      <c r="F112" s="4" t="n">
        <v>3.269</v>
      </c>
      <c r="G112" s="1" t="n">
        <v>25</v>
      </c>
      <c r="H112" s="1" t="n">
        <v>33</v>
      </c>
      <c r="I112" s="5" t="n">
        <v>0.0292819225138491</v>
      </c>
      <c r="J112" s="4" t="n">
        <v>233.304692064372</v>
      </c>
      <c r="K112" s="4" t="n">
        <v>0.15</v>
      </c>
    </row>
    <row r="113" customFormat="false" ht="14.25" hidden="false" customHeight="false" outlineLevel="0" collapsed="false">
      <c r="B113" s="1" t="n">
        <v>16</v>
      </c>
      <c r="C113" s="3" t="n">
        <v>500</v>
      </c>
      <c r="D113" s="1" t="n">
        <v>3</v>
      </c>
      <c r="E113" s="2" t="n">
        <v>76</v>
      </c>
      <c r="F113" s="4" t="n">
        <v>3.269</v>
      </c>
      <c r="G113" s="1" t="n">
        <v>25</v>
      </c>
      <c r="H113" s="1" t="n">
        <v>33</v>
      </c>
      <c r="I113" s="5" t="n">
        <v>0.0292819225138491</v>
      </c>
      <c r="J113" s="4" t="n">
        <v>251.2038920092</v>
      </c>
      <c r="K113" s="4" t="n">
        <v>0.18</v>
      </c>
    </row>
    <row r="114" customFormat="false" ht="14.25" hidden="false" customHeight="false" outlineLevel="0" collapsed="false">
      <c r="B114" s="1" t="n">
        <v>16</v>
      </c>
      <c r="C114" s="3" t="n">
        <v>500</v>
      </c>
      <c r="D114" s="1" t="n">
        <v>3</v>
      </c>
      <c r="E114" s="2" t="n">
        <v>76</v>
      </c>
      <c r="F114" s="4" t="n">
        <v>3.269</v>
      </c>
      <c r="G114" s="1" t="n">
        <v>25</v>
      </c>
      <c r="H114" s="1" t="n">
        <v>33</v>
      </c>
      <c r="I114" s="5" t="n">
        <v>0.0292819225138491</v>
      </c>
      <c r="J114" s="4" t="n">
        <v>269.164601232189</v>
      </c>
      <c r="K114" s="4" t="n">
        <v>0.18</v>
      </c>
    </row>
    <row r="115" customFormat="false" ht="14.25" hidden="false" customHeight="false" outlineLevel="0" collapsed="false">
      <c r="B115" s="1" t="n">
        <v>16</v>
      </c>
      <c r="C115" s="3" t="n">
        <v>500</v>
      </c>
      <c r="D115" s="1" t="n">
        <v>3</v>
      </c>
      <c r="E115" s="2" t="n">
        <v>76</v>
      </c>
      <c r="F115" s="4" t="n">
        <v>3.269</v>
      </c>
      <c r="G115" s="1" t="n">
        <v>25</v>
      </c>
      <c r="H115" s="1" t="n">
        <v>33</v>
      </c>
      <c r="I115" s="5" t="n">
        <v>0.0292819225138491</v>
      </c>
      <c r="J115" s="4" t="n">
        <v>287.125310455178</v>
      </c>
      <c r="K115" s="4" t="n">
        <v>0.2</v>
      </c>
    </row>
    <row r="116" customFormat="false" ht="14.25" hidden="false" customHeight="false" outlineLevel="0" collapsed="false">
      <c r="B116" s="1" t="n">
        <v>16</v>
      </c>
      <c r="C116" s="3" t="n">
        <v>500</v>
      </c>
      <c r="D116" s="1" t="n">
        <v>3</v>
      </c>
      <c r="E116" s="2" t="n">
        <v>76</v>
      </c>
      <c r="F116" s="4" t="n">
        <v>3.269</v>
      </c>
      <c r="G116" s="1" t="n">
        <v>25</v>
      </c>
      <c r="H116" s="1" t="n">
        <v>33</v>
      </c>
      <c r="I116" s="5" t="n">
        <v>0.0292819225138491</v>
      </c>
      <c r="J116" s="4" t="n">
        <v>305.086019678167</v>
      </c>
      <c r="K116" s="4" t="n">
        <v>0.2</v>
      </c>
    </row>
    <row r="117" customFormat="false" ht="14.25" hidden="false" customHeight="false" outlineLevel="0" collapsed="false">
      <c r="A117" s="0" t="s">
        <v>47</v>
      </c>
      <c r="B117" s="1" t="n">
        <v>16</v>
      </c>
      <c r="C117" s="3" t="n">
        <v>500</v>
      </c>
      <c r="D117" s="1" t="n">
        <v>3</v>
      </c>
      <c r="E117" s="2" t="n">
        <v>76</v>
      </c>
      <c r="F117" s="4" t="n">
        <v>3.269</v>
      </c>
      <c r="G117" s="1" t="n">
        <v>25</v>
      </c>
      <c r="H117" s="1" t="n">
        <v>33</v>
      </c>
      <c r="I117" s="5" t="n">
        <v>0.0292819225138491</v>
      </c>
      <c r="J117" s="4" t="n">
        <v>251.2038920092</v>
      </c>
      <c r="K117" s="4" t="n">
        <v>0.15</v>
      </c>
    </row>
    <row r="118" customFormat="false" ht="14.25" hidden="false" customHeight="false" outlineLevel="0" collapsed="false">
      <c r="B118" s="1" t="n">
        <v>16</v>
      </c>
      <c r="C118" s="3" t="n">
        <v>500</v>
      </c>
      <c r="D118" s="1" t="n">
        <v>3</v>
      </c>
      <c r="E118" s="2" t="n">
        <v>76</v>
      </c>
      <c r="F118" s="4" t="n">
        <v>3.269</v>
      </c>
      <c r="G118" s="1" t="n">
        <v>25</v>
      </c>
      <c r="H118" s="1" t="n">
        <v>33</v>
      </c>
      <c r="I118" s="5" t="n">
        <v>0.0292819225138491</v>
      </c>
      <c r="J118" s="4" t="n">
        <v>269.164601232189</v>
      </c>
      <c r="K118" s="4" t="n">
        <v>0.18</v>
      </c>
    </row>
    <row r="119" customFormat="false" ht="14.25" hidden="false" customHeight="false" outlineLevel="0" collapsed="false">
      <c r="B119" s="1" t="n">
        <v>16</v>
      </c>
      <c r="C119" s="3" t="n">
        <v>500</v>
      </c>
      <c r="D119" s="1" t="n">
        <v>3</v>
      </c>
      <c r="E119" s="2" t="n">
        <v>76</v>
      </c>
      <c r="F119" s="4" t="n">
        <v>3.269</v>
      </c>
      <c r="G119" s="1" t="n">
        <v>25</v>
      </c>
      <c r="H119" s="1" t="n">
        <v>33</v>
      </c>
      <c r="I119" s="5" t="n">
        <v>0.0292819225138491</v>
      </c>
      <c r="J119" s="4" t="n">
        <v>287.125310455178</v>
      </c>
      <c r="K119" s="4" t="n">
        <v>0.2</v>
      </c>
    </row>
    <row r="120" customFormat="false" ht="14.25" hidden="false" customHeight="false" outlineLevel="0" collapsed="false">
      <c r="B120" s="1" t="n">
        <v>16</v>
      </c>
      <c r="C120" s="3" t="n">
        <v>500</v>
      </c>
      <c r="D120" s="1" t="n">
        <v>3</v>
      </c>
      <c r="E120" s="2" t="n">
        <v>76</v>
      </c>
      <c r="F120" s="4" t="n">
        <v>3.269</v>
      </c>
      <c r="G120" s="1" t="n">
        <v>25</v>
      </c>
      <c r="H120" s="1" t="n">
        <v>33</v>
      </c>
      <c r="I120" s="5" t="n">
        <v>0.0292819225138491</v>
      </c>
      <c r="J120" s="4" t="n">
        <v>305.086019678167</v>
      </c>
      <c r="K120" s="4" t="n">
        <v>0.2</v>
      </c>
    </row>
    <row r="121" customFormat="false" ht="14.25" hidden="false" customHeight="false" outlineLevel="0" collapsed="false">
      <c r="A121" s="0" t="s">
        <v>48</v>
      </c>
      <c r="B121" s="1" t="n">
        <v>12</v>
      </c>
      <c r="C121" s="3" t="n">
        <v>500</v>
      </c>
      <c r="D121" s="1" t="n">
        <v>2</v>
      </c>
      <c r="E121" s="2" t="n">
        <v>296</v>
      </c>
      <c r="F121" s="4" t="n">
        <v>3.269</v>
      </c>
      <c r="G121" s="1" t="n">
        <v>25</v>
      </c>
      <c r="H121" s="1" t="n">
        <v>31</v>
      </c>
      <c r="I121" s="5" t="n">
        <v>0.0124772064696725</v>
      </c>
      <c r="J121" s="4" t="n">
        <v>176.286173520268</v>
      </c>
      <c r="K121" s="4" t="n">
        <v>0.2</v>
      </c>
    </row>
    <row r="122" customFormat="false" ht="14.25" hidden="false" customHeight="false" outlineLevel="0" collapsed="false">
      <c r="B122" s="1" t="n">
        <v>12</v>
      </c>
      <c r="C122" s="3" t="n">
        <v>500</v>
      </c>
      <c r="D122" s="1" t="n">
        <v>2</v>
      </c>
      <c r="E122" s="2" t="n">
        <v>296</v>
      </c>
      <c r="F122" s="4" t="n">
        <v>3.269</v>
      </c>
      <c r="G122" s="1" t="n">
        <v>25</v>
      </c>
      <c r="H122" s="1" t="n">
        <v>31</v>
      </c>
      <c r="I122" s="5" t="n">
        <v>0.0124772064696725</v>
      </c>
      <c r="J122" s="4" t="n">
        <v>242.346302783752</v>
      </c>
      <c r="K122" s="4" t="n">
        <v>0.25</v>
      </c>
    </row>
    <row r="123" customFormat="false" ht="14.25" hidden="false" customHeight="false" outlineLevel="0" collapsed="false">
      <c r="B123" s="1" t="n">
        <v>12</v>
      </c>
      <c r="C123" s="3" t="n">
        <v>500</v>
      </c>
      <c r="D123" s="1" t="n">
        <v>2</v>
      </c>
      <c r="E123" s="2" t="n">
        <v>296</v>
      </c>
      <c r="F123" s="4" t="n">
        <v>3.269</v>
      </c>
      <c r="G123" s="1" t="n">
        <v>25</v>
      </c>
      <c r="H123" s="1" t="n">
        <v>31</v>
      </c>
      <c r="I123" s="5" t="n">
        <v>0.0124772064696725</v>
      </c>
      <c r="J123" s="4" t="n">
        <v>308.406432047236</v>
      </c>
      <c r="K123" s="4" t="n">
        <v>0.33</v>
      </c>
    </row>
    <row r="124" customFormat="false" ht="14.25" hidden="false" customHeight="false" outlineLevel="0" collapsed="false">
      <c r="A124" s="0" t="s">
        <v>49</v>
      </c>
      <c r="B124" s="1" t="n">
        <v>12</v>
      </c>
      <c r="C124" s="3" t="n">
        <v>500</v>
      </c>
      <c r="D124" s="1" t="n">
        <v>2</v>
      </c>
      <c r="E124" s="2" t="n">
        <v>296</v>
      </c>
      <c r="F124" s="4" t="n">
        <v>3.269</v>
      </c>
      <c r="G124" s="1" t="n">
        <v>25</v>
      </c>
      <c r="H124" s="1" t="n">
        <v>31</v>
      </c>
      <c r="I124" s="5" t="n">
        <v>0.0124772064696725</v>
      </c>
      <c r="J124" s="4" t="n">
        <v>242.346302783752</v>
      </c>
      <c r="K124" s="4" t="n">
        <v>0.23</v>
      </c>
    </row>
    <row r="125" customFormat="false" ht="14.25" hidden="false" customHeight="false" outlineLevel="0" collapsed="false">
      <c r="B125" s="1" t="n">
        <v>12</v>
      </c>
      <c r="C125" s="3" t="n">
        <v>500</v>
      </c>
      <c r="D125" s="1" t="n">
        <v>2</v>
      </c>
      <c r="E125" s="2" t="n">
        <v>296</v>
      </c>
      <c r="F125" s="4" t="n">
        <v>3.269</v>
      </c>
      <c r="G125" s="1" t="n">
        <v>25</v>
      </c>
      <c r="H125" s="1" t="n">
        <v>31</v>
      </c>
      <c r="I125" s="5" t="n">
        <v>0.0124772064696725</v>
      </c>
      <c r="J125" s="4" t="n">
        <v>308.406432047236</v>
      </c>
      <c r="K125" s="4" t="n">
        <v>0.28</v>
      </c>
    </row>
    <row r="126" customFormat="false" ht="14.25" hidden="false" customHeight="false" outlineLevel="0" collapsed="false">
      <c r="A126" s="0" t="s">
        <v>50</v>
      </c>
      <c r="B126" s="1" t="n">
        <v>12</v>
      </c>
      <c r="C126" s="3" t="n">
        <v>500</v>
      </c>
      <c r="D126" s="1" t="n">
        <v>3</v>
      </c>
      <c r="E126" s="2" t="n">
        <v>142</v>
      </c>
      <c r="F126" s="4" t="n">
        <v>3.269</v>
      </c>
      <c r="G126" s="1" t="n">
        <v>25</v>
      </c>
      <c r="H126" s="1" t="n">
        <v>31</v>
      </c>
      <c r="I126" s="5" t="n">
        <v>0.0195271179121459</v>
      </c>
      <c r="J126" s="4" t="n">
        <v>208.779739289304</v>
      </c>
      <c r="K126" s="4" t="n">
        <v>0.18</v>
      </c>
    </row>
    <row r="127" customFormat="false" ht="14.25" hidden="false" customHeight="false" outlineLevel="0" collapsed="false">
      <c r="B127" s="1" t="n">
        <v>12</v>
      </c>
      <c r="C127" s="3" t="n">
        <v>500</v>
      </c>
      <c r="D127" s="1" t="n">
        <v>3</v>
      </c>
      <c r="E127" s="2" t="n">
        <v>142</v>
      </c>
      <c r="F127" s="4" t="n">
        <v>3.269</v>
      </c>
      <c r="G127" s="1" t="n">
        <v>25</v>
      </c>
      <c r="H127" s="1" t="n">
        <v>31</v>
      </c>
      <c r="I127" s="5" t="n">
        <v>0.0195271179121459</v>
      </c>
      <c r="J127" s="4" t="n">
        <v>253.500001682973</v>
      </c>
      <c r="K127" s="4" t="n">
        <v>0.23</v>
      </c>
    </row>
    <row r="128" customFormat="false" ht="14.25" hidden="false" customHeight="false" outlineLevel="0" collapsed="false">
      <c r="B128" s="1" t="n">
        <v>12</v>
      </c>
      <c r="C128" s="3" t="n">
        <v>500</v>
      </c>
      <c r="D128" s="1" t="n">
        <v>3</v>
      </c>
      <c r="E128" s="2" t="n">
        <v>142</v>
      </c>
      <c r="F128" s="4" t="n">
        <v>3.269</v>
      </c>
      <c r="G128" s="1" t="n">
        <v>25</v>
      </c>
      <c r="H128" s="1" t="n">
        <v>31</v>
      </c>
      <c r="I128" s="5" t="n">
        <v>0.0195271179121459</v>
      </c>
      <c r="J128" s="4" t="n">
        <v>298.220264076643</v>
      </c>
      <c r="K128" s="4" t="n">
        <v>0.25</v>
      </c>
    </row>
    <row r="129" customFormat="false" ht="14.25" hidden="false" customHeight="false" outlineLevel="0" collapsed="false">
      <c r="A129" s="0" t="s">
        <v>51</v>
      </c>
      <c r="B129" s="1" t="n">
        <v>12</v>
      </c>
      <c r="C129" s="3" t="n">
        <v>500</v>
      </c>
      <c r="D129" s="1" t="n">
        <v>3</v>
      </c>
      <c r="E129" s="2" t="n">
        <v>142</v>
      </c>
      <c r="F129" s="4" t="n">
        <v>3.269</v>
      </c>
      <c r="G129" s="1" t="n">
        <v>25</v>
      </c>
      <c r="H129" s="1" t="n">
        <v>31</v>
      </c>
      <c r="I129" s="5" t="n">
        <v>0.0195271179121459</v>
      </c>
      <c r="J129" s="4" t="n">
        <v>208.779739289304</v>
      </c>
      <c r="K129" s="4" t="n">
        <v>0.18</v>
      </c>
    </row>
    <row r="130" customFormat="false" ht="14.25" hidden="false" customHeight="false" outlineLevel="0" collapsed="false">
      <c r="B130" s="1" t="n">
        <v>12</v>
      </c>
      <c r="C130" s="3" t="n">
        <v>500</v>
      </c>
      <c r="D130" s="1" t="n">
        <v>3</v>
      </c>
      <c r="E130" s="2" t="n">
        <v>142</v>
      </c>
      <c r="F130" s="4" t="n">
        <v>3.269</v>
      </c>
      <c r="G130" s="1" t="n">
        <v>25</v>
      </c>
      <c r="H130" s="1" t="n">
        <v>31</v>
      </c>
      <c r="I130" s="5" t="n">
        <v>0.0195271179121459</v>
      </c>
      <c r="J130" s="4" t="n">
        <v>253.500001682973</v>
      </c>
      <c r="K130" s="4" t="n">
        <v>0.23</v>
      </c>
    </row>
    <row r="131" customFormat="false" ht="14.25" hidden="false" customHeight="false" outlineLevel="0" collapsed="false">
      <c r="B131" s="1" t="n">
        <v>12</v>
      </c>
      <c r="C131" s="3" t="n">
        <v>500</v>
      </c>
      <c r="D131" s="1" t="n">
        <v>3</v>
      </c>
      <c r="E131" s="2" t="n">
        <v>142</v>
      </c>
      <c r="F131" s="4" t="n">
        <v>3.269</v>
      </c>
      <c r="G131" s="1" t="n">
        <v>25</v>
      </c>
      <c r="H131" s="1" t="n">
        <v>31</v>
      </c>
      <c r="I131" s="5" t="n">
        <v>0.0195271179121459</v>
      </c>
      <c r="J131" s="4" t="n">
        <v>298.220264076643</v>
      </c>
      <c r="K131" s="4" t="n">
        <v>0.25</v>
      </c>
    </row>
    <row r="132" customFormat="false" ht="14.25" hidden="false" customHeight="false" outlineLevel="0" collapsed="false">
      <c r="A132" s="0" t="s">
        <v>52</v>
      </c>
      <c r="B132" s="1" t="n">
        <v>12</v>
      </c>
      <c r="C132" s="3" t="n">
        <v>500</v>
      </c>
      <c r="D132" s="1" t="n">
        <v>4</v>
      </c>
      <c r="E132" s="2" t="n">
        <v>90.67</v>
      </c>
      <c r="F132" s="4" t="n">
        <v>3.269</v>
      </c>
      <c r="G132" s="1" t="n">
        <v>25</v>
      </c>
      <c r="H132" s="1" t="n">
        <v>31</v>
      </c>
      <c r="I132" s="5" t="n">
        <v>0.026968773854658</v>
      </c>
      <c r="J132" s="4" t="n">
        <v>226.45530266576</v>
      </c>
      <c r="K132" s="4" t="n">
        <v>0.15</v>
      </c>
    </row>
    <row r="133" customFormat="false" ht="14.25" hidden="false" customHeight="false" outlineLevel="0" collapsed="false">
      <c r="B133" s="1" t="n">
        <v>12</v>
      </c>
      <c r="C133" s="3" t="n">
        <v>500</v>
      </c>
      <c r="D133" s="1" t="n">
        <v>4</v>
      </c>
      <c r="E133" s="2" t="n">
        <v>90.67</v>
      </c>
      <c r="F133" s="4" t="n">
        <v>3.269</v>
      </c>
      <c r="G133" s="1" t="n">
        <v>25</v>
      </c>
      <c r="H133" s="1" t="n">
        <v>31</v>
      </c>
      <c r="I133" s="5" t="n">
        <v>0.026968773854658</v>
      </c>
      <c r="J133" s="4" t="n">
        <v>260.413895610496</v>
      </c>
      <c r="K133" s="4" t="n">
        <v>0.15</v>
      </c>
    </row>
    <row r="134" customFormat="false" ht="14.25" hidden="false" customHeight="false" outlineLevel="0" collapsed="false">
      <c r="B134" s="1" t="n">
        <v>12</v>
      </c>
      <c r="C134" s="3" t="n">
        <v>500</v>
      </c>
      <c r="D134" s="1" t="n">
        <v>4</v>
      </c>
      <c r="E134" s="2" t="n">
        <v>90.67</v>
      </c>
      <c r="F134" s="4" t="n">
        <v>3.269</v>
      </c>
      <c r="G134" s="1" t="n">
        <v>25</v>
      </c>
      <c r="H134" s="1" t="n">
        <v>31</v>
      </c>
      <c r="I134" s="5" t="n">
        <v>0.026968773854658</v>
      </c>
      <c r="J134" s="4" t="n">
        <v>294.372488555233</v>
      </c>
      <c r="K134" s="4" t="n">
        <v>0.18</v>
      </c>
    </row>
    <row r="135" customFormat="false" ht="14.25" hidden="false" customHeight="false" outlineLevel="0" collapsed="false">
      <c r="A135" s="0" t="s">
        <v>53</v>
      </c>
      <c r="B135" s="1" t="n">
        <v>12</v>
      </c>
      <c r="C135" s="3" t="n">
        <v>500</v>
      </c>
      <c r="D135" s="1" t="n">
        <v>4</v>
      </c>
      <c r="E135" s="2" t="n">
        <v>90.67</v>
      </c>
      <c r="F135" s="4" t="n">
        <v>3.269</v>
      </c>
      <c r="G135" s="1" t="n">
        <v>25</v>
      </c>
      <c r="H135" s="1" t="n">
        <v>31</v>
      </c>
      <c r="I135" s="5" t="n">
        <v>0.026968773854658</v>
      </c>
      <c r="J135" s="4" t="n">
        <v>226.45530266576</v>
      </c>
      <c r="K135" s="4" t="n">
        <v>0.18</v>
      </c>
    </row>
    <row r="136" customFormat="false" ht="14.25" hidden="false" customHeight="false" outlineLevel="0" collapsed="false">
      <c r="B136" s="1" t="n">
        <v>12</v>
      </c>
      <c r="C136" s="3" t="n">
        <v>500</v>
      </c>
      <c r="D136" s="1" t="n">
        <v>4</v>
      </c>
      <c r="E136" s="2" t="n">
        <v>90.67</v>
      </c>
      <c r="F136" s="4" t="n">
        <v>3.269</v>
      </c>
      <c r="G136" s="1" t="n">
        <v>25</v>
      </c>
      <c r="H136" s="1" t="n">
        <v>31</v>
      </c>
      <c r="I136" s="5" t="n">
        <v>0.026968773854658</v>
      </c>
      <c r="J136" s="4" t="n">
        <v>260.413895610496</v>
      </c>
      <c r="K136" s="4" t="n">
        <v>0.2</v>
      </c>
    </row>
    <row r="137" customFormat="false" ht="14.25" hidden="false" customHeight="false" outlineLevel="0" collapsed="false">
      <c r="B137" s="1" t="n">
        <v>12</v>
      </c>
      <c r="C137" s="3" t="n">
        <v>500</v>
      </c>
      <c r="D137" s="1" t="n">
        <v>4</v>
      </c>
      <c r="E137" s="2" t="n">
        <v>90.67</v>
      </c>
      <c r="F137" s="4" t="n">
        <v>3.269</v>
      </c>
      <c r="G137" s="1" t="n">
        <v>25</v>
      </c>
      <c r="H137" s="1" t="n">
        <v>31</v>
      </c>
      <c r="I137" s="5" t="n">
        <v>0.026968773854658</v>
      </c>
      <c r="J137" s="4" t="n">
        <v>294.372488555233</v>
      </c>
      <c r="K137" s="4" t="n">
        <v>0.23</v>
      </c>
    </row>
    <row r="138" customFormat="false" ht="14.25" hidden="false" customHeight="false" outlineLevel="0" collapsed="false">
      <c r="A138" s="0" t="s">
        <v>54</v>
      </c>
      <c r="B138" s="1" t="n">
        <v>10</v>
      </c>
      <c r="C138" s="3" t="n">
        <v>528</v>
      </c>
      <c r="D138" s="1" t="n">
        <v>1</v>
      </c>
      <c r="E138" s="2" t="n">
        <v>45</v>
      </c>
      <c r="F138" s="4" t="n">
        <v>2.8</v>
      </c>
      <c r="G138" s="1" t="n">
        <v>40</v>
      </c>
      <c r="H138" s="1" t="n">
        <v>45</v>
      </c>
      <c r="I138" s="5" t="n">
        <v>0.0114013751634802</v>
      </c>
      <c r="J138" s="4" t="n">
        <v>274.143632212731</v>
      </c>
      <c r="K138" s="4" t="n">
        <v>0.16</v>
      </c>
    </row>
    <row r="139" customFormat="false" ht="14.25" hidden="false" customHeight="false" outlineLevel="0" collapsed="false">
      <c r="B139" s="1" t="n">
        <v>10</v>
      </c>
      <c r="C139" s="3" t="n">
        <v>528</v>
      </c>
      <c r="D139" s="1" t="n">
        <v>1</v>
      </c>
      <c r="E139" s="2" t="n">
        <v>45</v>
      </c>
      <c r="F139" s="4" t="n">
        <v>2.8</v>
      </c>
      <c r="G139" s="1" t="n">
        <v>40</v>
      </c>
      <c r="H139" s="1" t="n">
        <v>45</v>
      </c>
      <c r="I139" s="5" t="n">
        <v>0.0114013751634802</v>
      </c>
      <c r="J139" s="4" t="n">
        <v>294.202922374639</v>
      </c>
      <c r="K139" s="4" t="n">
        <v>0.18</v>
      </c>
    </row>
    <row r="140" customFormat="false" ht="14.25" hidden="false" customHeight="false" outlineLevel="0" collapsed="false">
      <c r="B140" s="1" t="n">
        <v>10</v>
      </c>
      <c r="C140" s="3" t="n">
        <v>528</v>
      </c>
      <c r="D140" s="1" t="n">
        <v>1</v>
      </c>
      <c r="E140" s="2" t="n">
        <v>45</v>
      </c>
      <c r="F140" s="4" t="n">
        <v>2.8</v>
      </c>
      <c r="G140" s="1" t="n">
        <v>40</v>
      </c>
      <c r="H140" s="1" t="n">
        <v>45</v>
      </c>
      <c r="I140" s="5" t="n">
        <v>0.0114013751634802</v>
      </c>
      <c r="J140" s="4" t="n">
        <v>316.936784558133</v>
      </c>
      <c r="K140" s="4" t="n">
        <v>0.2</v>
      </c>
    </row>
    <row r="141" customFormat="false" ht="14.25" hidden="false" customHeight="false" outlineLevel="0" collapsed="false">
      <c r="B141" s="1" t="n">
        <v>10</v>
      </c>
      <c r="C141" s="3" t="n">
        <v>528</v>
      </c>
      <c r="D141" s="1" t="n">
        <v>1</v>
      </c>
      <c r="E141" s="2" t="n">
        <v>45</v>
      </c>
      <c r="F141" s="4" t="n">
        <v>2.8</v>
      </c>
      <c r="G141" s="1" t="n">
        <v>40</v>
      </c>
      <c r="H141" s="1" t="n">
        <v>45</v>
      </c>
      <c r="I141" s="5" t="n">
        <v>0.0114013751634802</v>
      </c>
      <c r="J141" s="4" t="n">
        <v>336.996074720041</v>
      </c>
      <c r="K141" s="4" t="n">
        <v>0.22</v>
      </c>
    </row>
    <row r="142" customFormat="false" ht="14.25" hidden="false" customHeight="false" outlineLevel="0" collapsed="false">
      <c r="B142" s="1" t="n">
        <v>10</v>
      </c>
      <c r="C142" s="3" t="n">
        <v>528</v>
      </c>
      <c r="D142" s="1" t="n">
        <v>1</v>
      </c>
      <c r="E142" s="2" t="n">
        <v>45</v>
      </c>
      <c r="F142" s="4" t="n">
        <v>2.8</v>
      </c>
      <c r="G142" s="1" t="n">
        <v>40</v>
      </c>
      <c r="H142" s="1" t="n">
        <v>45</v>
      </c>
      <c r="I142" s="5" t="n">
        <v>0.0114013751634802</v>
      </c>
      <c r="J142" s="4" t="n">
        <v>359.729936903535</v>
      </c>
      <c r="K142" s="4" t="n">
        <v>0.24</v>
      </c>
    </row>
    <row r="143" customFormat="false" ht="14.25" hidden="false" customHeight="false" outlineLevel="0" collapsed="false">
      <c r="B143" s="1" t="n">
        <v>10</v>
      </c>
      <c r="C143" s="3" t="n">
        <v>528</v>
      </c>
      <c r="D143" s="1" t="n">
        <v>1</v>
      </c>
      <c r="E143" s="2" t="n">
        <v>45</v>
      </c>
      <c r="F143" s="4" t="n">
        <v>2.8</v>
      </c>
      <c r="G143" s="1" t="n">
        <v>40</v>
      </c>
      <c r="H143" s="1" t="n">
        <v>45</v>
      </c>
      <c r="I143" s="5" t="n">
        <v>0.0114013751634802</v>
      </c>
      <c r="J143" s="4" t="n">
        <v>379.789227065442</v>
      </c>
      <c r="K143" s="4" t="n">
        <v>0.26</v>
      </c>
    </row>
    <row r="144" customFormat="false" ht="14.25" hidden="false" customHeight="false" outlineLevel="0" collapsed="false">
      <c r="B144" s="1" t="n">
        <v>10</v>
      </c>
      <c r="C144" s="3" t="n">
        <v>528</v>
      </c>
      <c r="D144" s="1" t="n">
        <v>1</v>
      </c>
      <c r="E144" s="2" t="n">
        <v>45</v>
      </c>
      <c r="F144" s="4" t="n">
        <v>2.8</v>
      </c>
      <c r="G144" s="1" t="n">
        <v>40</v>
      </c>
      <c r="H144" s="1" t="n">
        <v>45</v>
      </c>
      <c r="I144" s="5" t="n">
        <v>0.0114013751634802</v>
      </c>
      <c r="J144" s="4" t="n">
        <v>403.860375259731</v>
      </c>
      <c r="K144" s="4" t="n">
        <v>0.28</v>
      </c>
    </row>
    <row r="145" customFormat="false" ht="14.25" hidden="false" customHeight="false" outlineLevel="0" collapsed="false">
      <c r="A145" s="0" t="s">
        <v>55</v>
      </c>
      <c r="B145" s="1" t="n">
        <v>10</v>
      </c>
      <c r="C145" s="3" t="n">
        <v>528</v>
      </c>
      <c r="D145" s="1" t="n">
        <v>1</v>
      </c>
      <c r="E145" s="2" t="n">
        <v>45</v>
      </c>
      <c r="F145" s="4" t="n">
        <v>2.8</v>
      </c>
      <c r="G145" s="1" t="n">
        <v>40</v>
      </c>
      <c r="H145" s="1" t="n">
        <v>45</v>
      </c>
      <c r="I145" s="5" t="n">
        <v>0.0114013751634802</v>
      </c>
      <c r="J145" s="4" t="n">
        <v>251.409770029237</v>
      </c>
      <c r="K145" s="4" t="n">
        <v>0.15</v>
      </c>
    </row>
    <row r="146" customFormat="false" ht="14.25" hidden="false" customHeight="false" outlineLevel="0" collapsed="false">
      <c r="B146" s="1" t="n">
        <v>10</v>
      </c>
      <c r="C146" s="3" t="n">
        <v>528</v>
      </c>
      <c r="D146" s="1" t="n">
        <v>1</v>
      </c>
      <c r="E146" s="2" t="n">
        <v>45</v>
      </c>
      <c r="F146" s="4" t="n">
        <v>2.8</v>
      </c>
      <c r="G146" s="1" t="n">
        <v>40</v>
      </c>
      <c r="H146" s="1" t="n">
        <v>45</v>
      </c>
      <c r="I146" s="5" t="n">
        <v>0.0114013751634802</v>
      </c>
      <c r="J146" s="4" t="n">
        <v>274.143632212731</v>
      </c>
      <c r="K146" s="4" t="n">
        <v>0.17</v>
      </c>
    </row>
    <row r="147" customFormat="false" ht="14.25" hidden="false" customHeight="false" outlineLevel="0" collapsed="false">
      <c r="B147" s="1" t="n">
        <v>10</v>
      </c>
      <c r="C147" s="3" t="n">
        <v>528</v>
      </c>
      <c r="D147" s="1" t="n">
        <v>1</v>
      </c>
      <c r="E147" s="2" t="n">
        <v>45</v>
      </c>
      <c r="F147" s="4" t="n">
        <v>2.8</v>
      </c>
      <c r="G147" s="1" t="n">
        <v>40</v>
      </c>
      <c r="H147" s="1" t="n">
        <v>45</v>
      </c>
      <c r="I147" s="5" t="n">
        <v>0.0114013751634802</v>
      </c>
      <c r="J147" s="4" t="n">
        <v>295.540208385432</v>
      </c>
      <c r="K147" s="4" t="n">
        <v>0.19</v>
      </c>
    </row>
    <row r="148" customFormat="false" ht="14.25" hidden="false" customHeight="false" outlineLevel="0" collapsed="false">
      <c r="B148" s="1" t="n">
        <v>10</v>
      </c>
      <c r="C148" s="3" t="n">
        <v>528</v>
      </c>
      <c r="D148" s="1" t="n">
        <v>1</v>
      </c>
      <c r="E148" s="2" t="n">
        <v>45</v>
      </c>
      <c r="F148" s="4" t="n">
        <v>2.8</v>
      </c>
      <c r="G148" s="1" t="n">
        <v>40</v>
      </c>
      <c r="H148" s="1" t="n">
        <v>45</v>
      </c>
      <c r="I148" s="5" t="n">
        <v>0.0114013751634802</v>
      </c>
      <c r="J148" s="4" t="n">
        <v>314.930855541943</v>
      </c>
      <c r="K148" s="4" t="n">
        <v>0.2</v>
      </c>
    </row>
    <row r="149" customFormat="false" ht="14.25" hidden="false" customHeight="false" outlineLevel="0" collapsed="false">
      <c r="B149" s="1" t="n">
        <v>10</v>
      </c>
      <c r="C149" s="3" t="n">
        <v>528</v>
      </c>
      <c r="D149" s="1" t="n">
        <v>1</v>
      </c>
      <c r="E149" s="2" t="n">
        <v>45</v>
      </c>
      <c r="F149" s="4" t="n">
        <v>2.8</v>
      </c>
      <c r="G149" s="1" t="n">
        <v>40</v>
      </c>
      <c r="H149" s="1" t="n">
        <v>45</v>
      </c>
      <c r="I149" s="5" t="n">
        <v>0.0114013751634802</v>
      </c>
      <c r="J149" s="4" t="n">
        <v>336.996074720041</v>
      </c>
      <c r="K149" s="4" t="n">
        <v>0.22</v>
      </c>
    </row>
    <row r="150" customFormat="false" ht="14.25" hidden="false" customHeight="false" outlineLevel="0" collapsed="false">
      <c r="B150" s="1" t="n">
        <v>10</v>
      </c>
      <c r="C150" s="3" t="n">
        <v>528</v>
      </c>
      <c r="D150" s="1" t="n">
        <v>1</v>
      </c>
      <c r="E150" s="2" t="n">
        <v>45</v>
      </c>
      <c r="F150" s="4" t="n">
        <v>2.8</v>
      </c>
      <c r="G150" s="1" t="n">
        <v>40</v>
      </c>
      <c r="H150" s="1" t="n">
        <v>45</v>
      </c>
      <c r="I150" s="5" t="n">
        <v>0.0114013751634802</v>
      </c>
      <c r="J150" s="4" t="n">
        <v>359.061293898138</v>
      </c>
      <c r="K150" s="4" t="n">
        <v>0.24</v>
      </c>
    </row>
    <row r="151" customFormat="false" ht="14.25" hidden="false" customHeight="false" outlineLevel="0" collapsed="false">
      <c r="B151" s="1" t="n">
        <v>10</v>
      </c>
      <c r="C151" s="3" t="n">
        <v>528</v>
      </c>
      <c r="D151" s="1" t="n">
        <v>1</v>
      </c>
      <c r="E151" s="2" t="n">
        <v>45</v>
      </c>
      <c r="F151" s="4" t="n">
        <v>2.8</v>
      </c>
      <c r="G151" s="1" t="n">
        <v>40</v>
      </c>
      <c r="H151" s="1" t="n">
        <v>45</v>
      </c>
      <c r="I151" s="5" t="n">
        <v>0.0114013751634802</v>
      </c>
      <c r="J151" s="4" t="n">
        <v>377.783298049252</v>
      </c>
      <c r="K151" s="4" t="n">
        <v>0.26</v>
      </c>
    </row>
    <row r="152" customFormat="false" ht="14.25" hidden="false" customHeight="false" outlineLevel="0" collapsed="false">
      <c r="B152" s="1" t="n">
        <v>10</v>
      </c>
      <c r="C152" s="3" t="n">
        <v>528</v>
      </c>
      <c r="D152" s="1" t="n">
        <v>1</v>
      </c>
      <c r="E152" s="2" t="n">
        <v>45</v>
      </c>
      <c r="F152" s="4" t="n">
        <v>2.8</v>
      </c>
      <c r="G152" s="1" t="n">
        <v>40</v>
      </c>
      <c r="H152" s="1" t="n">
        <v>45</v>
      </c>
      <c r="I152" s="5" t="n">
        <v>0.0114013751634802</v>
      </c>
      <c r="J152" s="4" t="n">
        <v>395.836659194968</v>
      </c>
      <c r="K152" s="4" t="n">
        <v>0.29</v>
      </c>
    </row>
    <row r="153" customFormat="false" ht="14.25" hidden="false" customHeight="false" outlineLevel="0" collapsed="false">
      <c r="A153" s="0" t="s">
        <v>56</v>
      </c>
      <c r="B153" s="1" t="n">
        <v>20</v>
      </c>
      <c r="C153" s="3" t="n">
        <v>598</v>
      </c>
      <c r="D153" s="1" t="n">
        <v>1</v>
      </c>
      <c r="E153" s="2" t="n">
        <v>40</v>
      </c>
      <c r="F153" s="4" t="n">
        <v>2.8</v>
      </c>
      <c r="G153" s="1" t="n">
        <v>40</v>
      </c>
      <c r="H153" s="1" t="n">
        <v>50</v>
      </c>
      <c r="I153" s="5" t="n">
        <v>0.0541238331858136</v>
      </c>
      <c r="J153" s="4" t="n">
        <v>201.33268539096</v>
      </c>
      <c r="K153" s="4" t="n">
        <v>0.17</v>
      </c>
    </row>
    <row r="154" customFormat="false" ht="14.25" hidden="false" customHeight="false" outlineLevel="0" collapsed="false">
      <c r="B154" s="1" t="n">
        <v>20</v>
      </c>
      <c r="C154" s="3" t="n">
        <v>598</v>
      </c>
      <c r="D154" s="1" t="n">
        <v>1</v>
      </c>
      <c r="E154" s="2" t="n">
        <v>40</v>
      </c>
      <c r="F154" s="4" t="n">
        <v>2.8</v>
      </c>
      <c r="G154" s="1" t="n">
        <v>40</v>
      </c>
      <c r="H154" s="1" t="n">
        <v>50</v>
      </c>
      <c r="I154" s="5" t="n">
        <v>0.0541238331858136</v>
      </c>
      <c r="J154" s="4" t="n">
        <v>235.281479050211</v>
      </c>
      <c r="K154" s="4" t="n">
        <v>0.2</v>
      </c>
    </row>
    <row r="155" customFormat="false" ht="14.25" hidden="false" customHeight="false" outlineLevel="0" collapsed="false">
      <c r="B155" s="1" t="n">
        <v>20</v>
      </c>
      <c r="C155" s="3" t="n">
        <v>598</v>
      </c>
      <c r="D155" s="1" t="n">
        <v>1</v>
      </c>
      <c r="E155" s="2" t="n">
        <v>40</v>
      </c>
      <c r="F155" s="4" t="n">
        <v>2.8</v>
      </c>
      <c r="G155" s="1" t="n">
        <v>40</v>
      </c>
      <c r="H155" s="1" t="n">
        <v>50</v>
      </c>
      <c r="I155" s="5" t="n">
        <v>0.0541238331858136</v>
      </c>
      <c r="J155" s="4" t="n">
        <v>268.141006602748</v>
      </c>
      <c r="K155" s="4" t="n">
        <v>0.24</v>
      </c>
    </row>
    <row r="156" customFormat="false" ht="14.25" hidden="false" customHeight="false" outlineLevel="0" collapsed="false">
      <c r="B156" s="1" t="n">
        <v>20</v>
      </c>
      <c r="C156" s="3" t="n">
        <v>598</v>
      </c>
      <c r="D156" s="1" t="n">
        <v>1</v>
      </c>
      <c r="E156" s="2" t="n">
        <v>40</v>
      </c>
      <c r="F156" s="4" t="n">
        <v>2.8</v>
      </c>
      <c r="G156" s="1" t="n">
        <v>40</v>
      </c>
      <c r="H156" s="1" t="n">
        <v>50</v>
      </c>
      <c r="I156" s="5" t="n">
        <v>0.0541238331858136</v>
      </c>
      <c r="J156" s="4" t="n">
        <v>300.818989804166</v>
      </c>
      <c r="K156" s="4" t="n">
        <v>0.27</v>
      </c>
    </row>
    <row r="157" customFormat="false" ht="14.25" hidden="false" customHeight="false" outlineLevel="0" collapsed="false">
      <c r="B157" s="1" t="n">
        <v>20</v>
      </c>
      <c r="C157" s="3" t="n">
        <v>598</v>
      </c>
      <c r="D157" s="1" t="n">
        <v>1</v>
      </c>
      <c r="E157" s="2" t="n">
        <v>40</v>
      </c>
      <c r="F157" s="4" t="n">
        <v>2.8</v>
      </c>
      <c r="G157" s="1" t="n">
        <v>40</v>
      </c>
      <c r="H157" s="1" t="n">
        <v>50</v>
      </c>
      <c r="I157" s="5" t="n">
        <v>0.0541238331858136</v>
      </c>
      <c r="J157" s="4" t="n">
        <v>333.133884303346</v>
      </c>
      <c r="K157" s="4" t="n">
        <v>0.32</v>
      </c>
    </row>
    <row r="158" customFormat="false" ht="14.25" hidden="false" customHeight="false" outlineLevel="0" collapsed="false">
      <c r="B158" s="1" t="n">
        <v>20</v>
      </c>
      <c r="C158" s="3" t="n">
        <v>598</v>
      </c>
      <c r="D158" s="1" t="n">
        <v>1</v>
      </c>
      <c r="E158" s="2" t="n">
        <v>40</v>
      </c>
      <c r="F158" s="4" t="n">
        <v>2.8</v>
      </c>
      <c r="G158" s="1" t="n">
        <v>40</v>
      </c>
      <c r="H158" s="1" t="n">
        <v>50</v>
      </c>
      <c r="I158" s="5" t="n">
        <v>0.0541238331858136</v>
      </c>
      <c r="J158" s="4" t="n">
        <v>366.356500558121</v>
      </c>
      <c r="K158" s="4" t="n">
        <v>0.34</v>
      </c>
    </row>
    <row r="159" customFormat="false" ht="14.25" hidden="false" customHeight="false" outlineLevel="0" collapsed="false">
      <c r="A159" s="0" t="s">
        <v>57</v>
      </c>
      <c r="B159" s="1" t="n">
        <v>20</v>
      </c>
      <c r="C159" s="3" t="n">
        <v>598</v>
      </c>
      <c r="D159" s="1" t="n">
        <v>1</v>
      </c>
      <c r="E159" s="2" t="n">
        <v>40</v>
      </c>
      <c r="F159" s="4" t="n">
        <v>2.8</v>
      </c>
      <c r="G159" s="1" t="n">
        <v>40</v>
      </c>
      <c r="H159" s="1" t="n">
        <v>50</v>
      </c>
      <c r="I159" s="5" t="n">
        <v>0.0541238331858136</v>
      </c>
      <c r="J159" s="4" t="n">
        <v>169.743968296255</v>
      </c>
      <c r="K159" s="4" t="n">
        <v>0.16</v>
      </c>
    </row>
    <row r="160" customFormat="false" ht="14.25" hidden="false" customHeight="false" outlineLevel="0" collapsed="false">
      <c r="B160" s="1" t="n">
        <v>20</v>
      </c>
      <c r="C160" s="3" t="n">
        <v>598</v>
      </c>
      <c r="D160" s="1" t="n">
        <v>1</v>
      </c>
      <c r="E160" s="2" t="n">
        <v>40</v>
      </c>
      <c r="F160" s="4" t="n">
        <v>2.8</v>
      </c>
      <c r="G160" s="1" t="n">
        <v>40</v>
      </c>
      <c r="H160" s="1" t="n">
        <v>50</v>
      </c>
      <c r="I160" s="5" t="n">
        <v>0.0541238331858136</v>
      </c>
      <c r="J160" s="4" t="n">
        <v>201.877318444317</v>
      </c>
      <c r="K160" s="4" t="n">
        <v>0.2</v>
      </c>
    </row>
    <row r="161" customFormat="false" ht="14.25" hidden="false" customHeight="false" outlineLevel="0" collapsed="false">
      <c r="B161" s="1" t="n">
        <v>20</v>
      </c>
      <c r="C161" s="3" t="n">
        <v>598</v>
      </c>
      <c r="D161" s="1" t="n">
        <v>1</v>
      </c>
      <c r="E161" s="2" t="n">
        <v>40</v>
      </c>
      <c r="F161" s="4" t="n">
        <v>2.8</v>
      </c>
      <c r="G161" s="1" t="n">
        <v>40</v>
      </c>
      <c r="H161" s="1" t="n">
        <v>50</v>
      </c>
      <c r="I161" s="5" t="n">
        <v>0.0541238331858136</v>
      </c>
      <c r="J161" s="4" t="n">
        <v>234.736845996854</v>
      </c>
      <c r="K161" s="4" t="n">
        <v>0.24</v>
      </c>
    </row>
    <row r="162" customFormat="false" ht="14.25" hidden="false" customHeight="false" outlineLevel="0" collapsed="false">
      <c r="B162" s="1" t="n">
        <v>20</v>
      </c>
      <c r="C162" s="3" t="n">
        <v>598</v>
      </c>
      <c r="D162" s="1" t="n">
        <v>1</v>
      </c>
      <c r="E162" s="2" t="n">
        <v>40</v>
      </c>
      <c r="F162" s="4" t="n">
        <v>2.8</v>
      </c>
      <c r="G162" s="1" t="n">
        <v>40</v>
      </c>
      <c r="H162" s="1" t="n">
        <v>50</v>
      </c>
      <c r="I162" s="5" t="n">
        <v>0.0541238331858136</v>
      </c>
      <c r="J162" s="4" t="n">
        <v>267.233284847153</v>
      </c>
      <c r="K162" s="4" t="n">
        <v>0.27</v>
      </c>
    </row>
    <row r="163" customFormat="false" ht="14.25" hidden="false" customHeight="false" outlineLevel="0" collapsed="false">
      <c r="B163" s="1" t="n">
        <v>20</v>
      </c>
      <c r="C163" s="3" t="n">
        <v>598</v>
      </c>
      <c r="D163" s="1" t="n">
        <v>1</v>
      </c>
      <c r="E163" s="2" t="n">
        <v>40</v>
      </c>
      <c r="F163" s="4" t="n">
        <v>2.8</v>
      </c>
      <c r="G163" s="1" t="n">
        <v>40</v>
      </c>
      <c r="H163" s="1" t="n">
        <v>50</v>
      </c>
      <c r="I163" s="5" t="n">
        <v>0.0541238331858136</v>
      </c>
      <c r="J163" s="4" t="n">
        <v>301.000534155285</v>
      </c>
      <c r="K163" s="4" t="n">
        <v>0.29</v>
      </c>
    </row>
    <row r="164" customFormat="false" ht="14.25" hidden="false" customHeight="false" outlineLevel="0" collapsed="false">
      <c r="B164" s="1" t="n">
        <v>20</v>
      </c>
      <c r="C164" s="3" t="n">
        <v>598</v>
      </c>
      <c r="D164" s="1" t="n">
        <v>1</v>
      </c>
      <c r="E164" s="2" t="n">
        <v>40</v>
      </c>
      <c r="F164" s="4" t="n">
        <v>2.8</v>
      </c>
      <c r="G164" s="1" t="n">
        <v>40</v>
      </c>
      <c r="H164" s="1" t="n">
        <v>50</v>
      </c>
      <c r="I164" s="5" t="n">
        <v>0.0541238331858136</v>
      </c>
      <c r="J164" s="4" t="n">
        <v>333.133884303346</v>
      </c>
      <c r="K164" s="4" t="n">
        <v>0.32</v>
      </c>
    </row>
    <row r="165" customFormat="false" ht="14.25" hidden="false" customHeight="false" outlineLevel="0" collapsed="false">
      <c r="B165" s="1" t="n">
        <v>20</v>
      </c>
      <c r="C165" s="3" t="n">
        <v>598</v>
      </c>
      <c r="D165" s="1" t="n">
        <v>1</v>
      </c>
      <c r="E165" s="2" t="n">
        <v>40</v>
      </c>
      <c r="F165" s="4" t="n">
        <v>2.8</v>
      </c>
      <c r="G165" s="1" t="n">
        <v>40</v>
      </c>
      <c r="H165" s="1" t="n">
        <v>50</v>
      </c>
      <c r="I165" s="5" t="n">
        <v>0.0541238331858136</v>
      </c>
      <c r="J165" s="4" t="n">
        <v>348.746698499579</v>
      </c>
      <c r="K165" s="4" t="n">
        <v>0.33</v>
      </c>
    </row>
    <row r="166" customFormat="false" ht="14.25" hidden="false" customHeight="false" outlineLevel="0" collapsed="false">
      <c r="A166" s="0" t="s">
        <v>58</v>
      </c>
      <c r="B166" s="1" t="n">
        <v>10</v>
      </c>
      <c r="C166" s="3" t="n">
        <v>528</v>
      </c>
      <c r="D166" s="1" t="n">
        <v>1</v>
      </c>
      <c r="E166" s="2" t="n">
        <v>45</v>
      </c>
      <c r="F166" s="4" t="n">
        <v>2.8</v>
      </c>
      <c r="G166" s="1" t="n">
        <v>40</v>
      </c>
      <c r="H166" s="1" t="n">
        <v>45</v>
      </c>
      <c r="I166" s="5" t="n">
        <v>0.00795980968315605</v>
      </c>
      <c r="J166" s="4" t="n">
        <v>310.309853574738</v>
      </c>
      <c r="K166" s="4" t="n">
        <v>0.15</v>
      </c>
    </row>
    <row r="167" customFormat="false" ht="14.25" hidden="false" customHeight="false" outlineLevel="0" collapsed="false">
      <c r="B167" s="1" t="n">
        <v>10</v>
      </c>
      <c r="C167" s="3" t="n">
        <v>528</v>
      </c>
      <c r="D167" s="1" t="n">
        <v>1</v>
      </c>
      <c r="E167" s="2" t="n">
        <v>45</v>
      </c>
      <c r="F167" s="4" t="n">
        <v>2.8</v>
      </c>
      <c r="G167" s="1" t="n">
        <v>40</v>
      </c>
      <c r="H167" s="1" t="n">
        <v>45</v>
      </c>
      <c r="I167" s="5" t="n">
        <v>0.00795980968315605</v>
      </c>
      <c r="J167" s="4" t="n">
        <v>330.286882774829</v>
      </c>
      <c r="K167" s="4" t="n">
        <v>0.19</v>
      </c>
    </row>
    <row r="168" customFormat="false" ht="14.25" hidden="false" customHeight="false" outlineLevel="0" collapsed="false">
      <c r="B168" s="1" t="n">
        <v>10</v>
      </c>
      <c r="C168" s="3" t="n">
        <v>528</v>
      </c>
      <c r="D168" s="1" t="n">
        <v>1</v>
      </c>
      <c r="E168" s="2" t="n">
        <v>45</v>
      </c>
      <c r="F168" s="4" t="n">
        <v>2.8</v>
      </c>
      <c r="G168" s="1" t="n">
        <v>40</v>
      </c>
      <c r="H168" s="1" t="n">
        <v>45</v>
      </c>
      <c r="I168" s="5" t="n">
        <v>0.00795980968315605</v>
      </c>
      <c r="J168" s="4" t="n">
        <v>334.282288614847</v>
      </c>
      <c r="K168" s="4" t="n">
        <v>0.2</v>
      </c>
    </row>
    <row r="169" customFormat="false" ht="14.25" hidden="false" customHeight="false" outlineLevel="0" collapsed="false">
      <c r="B169" s="1" t="n">
        <v>10</v>
      </c>
      <c r="C169" s="3" t="n">
        <v>528</v>
      </c>
      <c r="D169" s="1" t="n">
        <v>1</v>
      </c>
      <c r="E169" s="2" t="n">
        <v>45</v>
      </c>
      <c r="F169" s="4" t="n">
        <v>2.8</v>
      </c>
      <c r="G169" s="1" t="n">
        <v>40</v>
      </c>
      <c r="H169" s="1" t="n">
        <v>45</v>
      </c>
      <c r="I169" s="5" t="n">
        <v>0.00795980968315605</v>
      </c>
      <c r="J169" s="4" t="n">
        <v>351.151779939368</v>
      </c>
      <c r="K169" s="4" t="n">
        <v>0.23</v>
      </c>
    </row>
    <row r="170" customFormat="false" ht="14.25" hidden="false" customHeight="false" outlineLevel="0" collapsed="false">
      <c r="B170" s="1" t="n">
        <v>10</v>
      </c>
      <c r="C170" s="3" t="n">
        <v>528</v>
      </c>
      <c r="D170" s="1" t="n">
        <v>1</v>
      </c>
      <c r="E170" s="2" t="n">
        <v>45</v>
      </c>
      <c r="F170" s="4" t="n">
        <v>2.8</v>
      </c>
      <c r="G170" s="1" t="n">
        <v>40</v>
      </c>
      <c r="H170" s="1" t="n">
        <v>45</v>
      </c>
      <c r="I170" s="5" t="n">
        <v>0.00795980968315605</v>
      </c>
      <c r="J170" s="4" t="n">
        <v>362.694063477198</v>
      </c>
      <c r="K170" s="4" t="n">
        <v>0.25</v>
      </c>
    </row>
    <row r="171" customFormat="false" ht="14.25" hidden="false" customHeight="false" outlineLevel="0" collapsed="false">
      <c r="B171" s="1" t="n">
        <v>10</v>
      </c>
      <c r="C171" s="3" t="n">
        <v>528</v>
      </c>
      <c r="D171" s="1" t="n">
        <v>1</v>
      </c>
      <c r="E171" s="2" t="n">
        <v>45</v>
      </c>
      <c r="F171" s="4" t="n">
        <v>2.8</v>
      </c>
      <c r="G171" s="1" t="n">
        <v>40</v>
      </c>
      <c r="H171" s="1" t="n">
        <v>45</v>
      </c>
      <c r="I171" s="5" t="n">
        <v>0.00795980968315605</v>
      </c>
      <c r="J171" s="4" t="n">
        <v>375.568148961701</v>
      </c>
      <c r="K171" s="4" t="n">
        <v>0.28</v>
      </c>
    </row>
    <row r="172" customFormat="false" ht="14.25" hidden="false" customHeight="false" outlineLevel="0" collapsed="false">
      <c r="B172" s="1" t="n">
        <v>10</v>
      </c>
      <c r="C172" s="3" t="n">
        <v>528</v>
      </c>
      <c r="D172" s="1" t="n">
        <v>1</v>
      </c>
      <c r="E172" s="2" t="n">
        <v>45</v>
      </c>
      <c r="F172" s="4" t="n">
        <v>2.8</v>
      </c>
      <c r="G172" s="1" t="n">
        <v>40</v>
      </c>
      <c r="H172" s="1" t="n">
        <v>45</v>
      </c>
      <c r="I172" s="5" t="n">
        <v>0.00795980968315605</v>
      </c>
      <c r="J172" s="4" t="n">
        <v>387.110432499531</v>
      </c>
      <c r="K172" s="4" t="n">
        <v>0.31</v>
      </c>
    </row>
    <row r="173" customFormat="false" ht="14.25" hidden="false" customHeight="false" outlineLevel="0" collapsed="false">
      <c r="B173" s="1" t="n">
        <v>10</v>
      </c>
      <c r="C173" s="3" t="n">
        <v>528</v>
      </c>
      <c r="D173" s="1" t="n">
        <v>1</v>
      </c>
      <c r="E173" s="2" t="n">
        <v>45</v>
      </c>
      <c r="F173" s="4" t="n">
        <v>2.8</v>
      </c>
      <c r="G173" s="1" t="n">
        <v>40</v>
      </c>
      <c r="H173" s="1" t="n">
        <v>45</v>
      </c>
      <c r="I173" s="5" t="n">
        <v>0.00795980968315605</v>
      </c>
      <c r="J173" s="4" t="n">
        <v>400.872385948482</v>
      </c>
      <c r="K173" s="4" t="n">
        <v>0.36</v>
      </c>
    </row>
    <row r="174" customFormat="false" ht="14.25" hidden="false" customHeight="false" outlineLevel="0" collapsed="false">
      <c r="A174" s="0" t="s">
        <v>59</v>
      </c>
      <c r="B174" s="1" t="n">
        <v>10</v>
      </c>
      <c r="C174" s="3" t="n">
        <v>528</v>
      </c>
      <c r="D174" s="1" t="n">
        <v>1</v>
      </c>
      <c r="E174" s="2" t="n">
        <v>45</v>
      </c>
      <c r="F174" s="4" t="n">
        <v>2.8</v>
      </c>
      <c r="G174" s="1" t="n">
        <v>40</v>
      </c>
      <c r="H174" s="1" t="n">
        <v>45</v>
      </c>
      <c r="I174" s="5" t="n">
        <v>0.00795980968315605</v>
      </c>
      <c r="J174" s="4" t="n">
        <v>308.978051628066</v>
      </c>
      <c r="K174" s="4" t="n">
        <v>0.16</v>
      </c>
    </row>
    <row r="175" customFormat="false" ht="14.25" hidden="false" customHeight="false" outlineLevel="0" collapsed="false">
      <c r="B175" s="1" t="n">
        <v>10</v>
      </c>
      <c r="C175" s="3" t="n">
        <v>528</v>
      </c>
      <c r="D175" s="1" t="n">
        <v>1</v>
      </c>
      <c r="E175" s="2" t="n">
        <v>45</v>
      </c>
      <c r="F175" s="4" t="n">
        <v>2.8</v>
      </c>
      <c r="G175" s="1" t="n">
        <v>40</v>
      </c>
      <c r="H175" s="1" t="n">
        <v>45</v>
      </c>
      <c r="I175" s="5" t="n">
        <v>0.00795980968315605</v>
      </c>
      <c r="J175" s="4" t="n">
        <v>322.296071094793</v>
      </c>
      <c r="K175" s="4" t="n">
        <v>0.18</v>
      </c>
    </row>
    <row r="176" customFormat="false" ht="14.25" hidden="false" customHeight="false" outlineLevel="0" collapsed="false">
      <c r="B176" s="1" t="n">
        <v>10</v>
      </c>
      <c r="C176" s="3" t="n">
        <v>528</v>
      </c>
      <c r="D176" s="1" t="n">
        <v>1</v>
      </c>
      <c r="E176" s="2" t="n">
        <v>45</v>
      </c>
      <c r="F176" s="4" t="n">
        <v>2.8</v>
      </c>
      <c r="G176" s="1" t="n">
        <v>40</v>
      </c>
      <c r="H176" s="1" t="n">
        <v>45</v>
      </c>
      <c r="I176" s="5" t="n">
        <v>0.00795980968315605</v>
      </c>
      <c r="J176" s="4" t="n">
        <v>334.726222597071</v>
      </c>
      <c r="K176" s="4" t="n">
        <v>0.2</v>
      </c>
    </row>
    <row r="177" customFormat="false" ht="14.25" hidden="false" customHeight="false" outlineLevel="0" collapsed="false">
      <c r="B177" s="1" t="n">
        <v>10</v>
      </c>
      <c r="C177" s="3" t="n">
        <v>528</v>
      </c>
      <c r="D177" s="1" t="n">
        <v>1</v>
      </c>
      <c r="E177" s="2" t="n">
        <v>45</v>
      </c>
      <c r="F177" s="4" t="n">
        <v>2.8</v>
      </c>
      <c r="G177" s="1" t="n">
        <v>40</v>
      </c>
      <c r="H177" s="1" t="n">
        <v>45</v>
      </c>
      <c r="I177" s="5" t="n">
        <v>0.00795980968315605</v>
      </c>
      <c r="J177" s="4" t="n">
        <v>347.600308081574</v>
      </c>
      <c r="K177" s="4" t="n">
        <v>0.23</v>
      </c>
    </row>
    <row r="178" customFormat="false" ht="14.25" hidden="false" customHeight="false" outlineLevel="0" collapsed="false">
      <c r="B178" s="1" t="n">
        <v>10</v>
      </c>
      <c r="C178" s="3" t="n">
        <v>528</v>
      </c>
      <c r="D178" s="1" t="n">
        <v>1</v>
      </c>
      <c r="E178" s="2" t="n">
        <v>45</v>
      </c>
      <c r="F178" s="4" t="n">
        <v>2.8</v>
      </c>
      <c r="G178" s="1" t="n">
        <v>40</v>
      </c>
      <c r="H178" s="1" t="n">
        <v>45</v>
      </c>
      <c r="I178" s="5" t="n">
        <v>0.00795980968315605</v>
      </c>
      <c r="J178" s="4" t="n">
        <v>361.362261530525</v>
      </c>
      <c r="K178" s="4" t="n">
        <v>0.24</v>
      </c>
    </row>
    <row r="179" customFormat="false" ht="14.25" hidden="false" customHeight="false" outlineLevel="0" collapsed="false">
      <c r="B179" s="1" t="n">
        <v>10</v>
      </c>
      <c r="C179" s="3" t="n">
        <v>528</v>
      </c>
      <c r="D179" s="1" t="n">
        <v>1</v>
      </c>
      <c r="E179" s="2" t="n">
        <v>45</v>
      </c>
      <c r="F179" s="4" t="n">
        <v>2.8</v>
      </c>
      <c r="G179" s="1" t="n">
        <v>40</v>
      </c>
      <c r="H179" s="1" t="n">
        <v>45</v>
      </c>
      <c r="I179" s="5" t="n">
        <v>0.00795980968315605</v>
      </c>
      <c r="J179" s="4" t="n">
        <v>375.568148961701</v>
      </c>
      <c r="K179" s="4" t="n">
        <v>0.25</v>
      </c>
    </row>
    <row r="180" customFormat="false" ht="14.25" hidden="false" customHeight="false" outlineLevel="0" collapsed="false">
      <c r="B180" s="1" t="n">
        <v>10</v>
      </c>
      <c r="C180" s="3" t="n">
        <v>528</v>
      </c>
      <c r="D180" s="1" t="n">
        <v>1</v>
      </c>
      <c r="E180" s="2" t="n">
        <v>45</v>
      </c>
      <c r="F180" s="4" t="n">
        <v>2.8</v>
      </c>
      <c r="G180" s="1" t="n">
        <v>40</v>
      </c>
      <c r="H180" s="1" t="n">
        <v>45</v>
      </c>
      <c r="I180" s="5" t="n">
        <v>0.00795980968315605</v>
      </c>
      <c r="J180" s="4" t="n">
        <v>388.442234446203</v>
      </c>
      <c r="K180" s="4" t="n">
        <v>0.27</v>
      </c>
    </row>
    <row r="181" customFormat="false" ht="14.25" hidden="false" customHeight="false" outlineLevel="0" collapsed="false">
      <c r="B181" s="1" t="n">
        <v>10</v>
      </c>
      <c r="C181" s="3" t="n">
        <v>528</v>
      </c>
      <c r="D181" s="1" t="n">
        <v>1</v>
      </c>
      <c r="E181" s="2" t="n">
        <v>45</v>
      </c>
      <c r="F181" s="4" t="n">
        <v>2.8</v>
      </c>
      <c r="G181" s="1" t="n">
        <v>40</v>
      </c>
      <c r="H181" s="1" t="n">
        <v>45</v>
      </c>
      <c r="I181" s="5" t="n">
        <v>0.00795980968315605</v>
      </c>
      <c r="J181" s="4" t="n">
        <v>399.984517984033</v>
      </c>
      <c r="K181" s="4" t="n">
        <v>0.29</v>
      </c>
    </row>
    <row r="182" customFormat="false" ht="14.25" hidden="false" customHeight="false" outlineLevel="0" collapsed="false">
      <c r="A182" s="0" t="s">
        <v>60</v>
      </c>
      <c r="B182" s="1" t="n">
        <v>10</v>
      </c>
      <c r="C182" s="3" t="n">
        <v>528</v>
      </c>
      <c r="D182" s="1" t="n">
        <v>1</v>
      </c>
      <c r="E182" s="2" t="n">
        <v>45</v>
      </c>
      <c r="F182" s="4" t="n">
        <v>2.8</v>
      </c>
      <c r="G182" s="1" t="n">
        <v>40</v>
      </c>
      <c r="H182" s="1" t="n">
        <v>45</v>
      </c>
      <c r="I182" s="5" t="n">
        <v>0.00795980968315605</v>
      </c>
      <c r="J182" s="4" t="n">
        <v>323.627873041465</v>
      </c>
      <c r="K182" s="4" t="n">
        <v>0.15</v>
      </c>
    </row>
    <row r="183" customFormat="false" ht="14.25" hidden="false" customHeight="false" outlineLevel="0" collapsed="false">
      <c r="B183" s="1" t="n">
        <v>10</v>
      </c>
      <c r="C183" s="3" t="n">
        <v>528</v>
      </c>
      <c r="D183" s="1" t="n">
        <v>1</v>
      </c>
      <c r="E183" s="2" t="n">
        <v>45</v>
      </c>
      <c r="F183" s="4" t="n">
        <v>2.8</v>
      </c>
      <c r="G183" s="1" t="n">
        <v>40</v>
      </c>
      <c r="H183" s="1" t="n">
        <v>45</v>
      </c>
      <c r="I183" s="5" t="n">
        <v>0.00795980968315605</v>
      </c>
      <c r="J183" s="4" t="n">
        <v>336.501958525968</v>
      </c>
      <c r="K183" s="4" t="n">
        <v>0.16</v>
      </c>
    </row>
    <row r="184" customFormat="false" ht="14.25" hidden="false" customHeight="false" outlineLevel="0" collapsed="false">
      <c r="B184" s="1" t="n">
        <v>10</v>
      </c>
      <c r="C184" s="3" t="n">
        <v>528</v>
      </c>
      <c r="D184" s="1" t="n">
        <v>1</v>
      </c>
      <c r="E184" s="2" t="n">
        <v>45</v>
      </c>
      <c r="F184" s="4" t="n">
        <v>2.8</v>
      </c>
      <c r="G184" s="1" t="n">
        <v>40</v>
      </c>
      <c r="H184" s="1" t="n">
        <v>45</v>
      </c>
      <c r="I184" s="5" t="n">
        <v>0.00795980968315605</v>
      </c>
      <c r="J184" s="4" t="n">
        <v>354.703251797162</v>
      </c>
      <c r="K184" s="4" t="n">
        <v>0.18</v>
      </c>
    </row>
    <row r="185" customFormat="false" ht="14.25" hidden="false" customHeight="false" outlineLevel="0" collapsed="false">
      <c r="B185" s="1" t="n">
        <v>10</v>
      </c>
      <c r="C185" s="3" t="n">
        <v>528</v>
      </c>
      <c r="D185" s="1" t="n">
        <v>1</v>
      </c>
      <c r="E185" s="2" t="n">
        <v>45</v>
      </c>
      <c r="F185" s="4" t="n">
        <v>2.8</v>
      </c>
      <c r="G185" s="1" t="n">
        <v>40</v>
      </c>
      <c r="H185" s="1" t="n">
        <v>45</v>
      </c>
      <c r="I185" s="5" t="n">
        <v>0.00795980968315605</v>
      </c>
      <c r="J185" s="4" t="n">
        <v>365.357667370543</v>
      </c>
      <c r="K185" s="4" t="n">
        <v>0.18</v>
      </c>
    </row>
    <row r="186" customFormat="false" ht="14.25" hidden="false" customHeight="false" outlineLevel="0" collapsed="false">
      <c r="B186" s="1" t="n">
        <v>10</v>
      </c>
      <c r="C186" s="3" t="n">
        <v>528</v>
      </c>
      <c r="D186" s="1" t="n">
        <v>1</v>
      </c>
      <c r="E186" s="2" t="n">
        <v>45</v>
      </c>
      <c r="F186" s="4" t="n">
        <v>2.8</v>
      </c>
      <c r="G186" s="1" t="n">
        <v>40</v>
      </c>
      <c r="H186" s="1" t="n">
        <v>45</v>
      </c>
      <c r="I186" s="5" t="n">
        <v>0.00795980968315605</v>
      </c>
      <c r="J186" s="4" t="n">
        <v>375.568148961701</v>
      </c>
      <c r="K186" s="4" t="n">
        <v>0.19</v>
      </c>
    </row>
    <row r="187" customFormat="false" ht="14.25" hidden="false" customHeight="false" outlineLevel="0" collapsed="false">
      <c r="B187" s="1" t="n">
        <v>10</v>
      </c>
      <c r="C187" s="3" t="n">
        <v>528</v>
      </c>
      <c r="D187" s="1" t="n">
        <v>1</v>
      </c>
      <c r="E187" s="2" t="n">
        <v>45</v>
      </c>
      <c r="F187" s="4" t="n">
        <v>2.8</v>
      </c>
      <c r="G187" s="1" t="n">
        <v>40</v>
      </c>
      <c r="H187" s="1" t="n">
        <v>45</v>
      </c>
      <c r="I187" s="5" t="n">
        <v>0.00795980968315605</v>
      </c>
      <c r="J187" s="4" t="n">
        <v>386.666498517306</v>
      </c>
      <c r="K187" s="4" t="n">
        <v>0.2</v>
      </c>
    </row>
    <row r="188" customFormat="false" ht="14.25" hidden="false" customHeight="false" outlineLevel="0" collapsed="false">
      <c r="B188" s="1" t="n">
        <v>10</v>
      </c>
      <c r="C188" s="3" t="n">
        <v>528</v>
      </c>
      <c r="D188" s="1" t="n">
        <v>1</v>
      </c>
      <c r="E188" s="2" t="n">
        <v>45</v>
      </c>
      <c r="F188" s="4" t="n">
        <v>2.8</v>
      </c>
      <c r="G188" s="1" t="n">
        <v>40</v>
      </c>
      <c r="H188" s="1" t="n">
        <v>45</v>
      </c>
      <c r="I188" s="5" t="n">
        <v>0.00795980968315605</v>
      </c>
      <c r="J188" s="4" t="n">
        <v>401.316319930706</v>
      </c>
      <c r="K188" s="4" t="n">
        <v>0.22</v>
      </c>
    </row>
    <row r="189" customFormat="false" ht="14.25" hidden="false" customHeight="false" outlineLevel="0" collapsed="false">
      <c r="A189" s="0" t="s">
        <v>61</v>
      </c>
      <c r="B189" s="1" t="n">
        <v>20</v>
      </c>
      <c r="C189" s="3" t="n">
        <v>598</v>
      </c>
      <c r="D189" s="1" t="n">
        <v>1</v>
      </c>
      <c r="E189" s="2" t="n">
        <v>40</v>
      </c>
      <c r="F189" s="4" t="n">
        <v>2.8</v>
      </c>
      <c r="G189" s="1" t="n">
        <v>40</v>
      </c>
      <c r="H189" s="1" t="n">
        <v>50</v>
      </c>
      <c r="I189" s="5" t="n">
        <v>0.0372614852949054</v>
      </c>
      <c r="J189" s="4" t="n">
        <v>224.936489423332</v>
      </c>
      <c r="K189" s="4" t="n">
        <v>0.16</v>
      </c>
    </row>
    <row r="190" customFormat="false" ht="14.25" hidden="false" customHeight="false" outlineLevel="0" collapsed="false">
      <c r="B190" s="1" t="n">
        <v>20</v>
      </c>
      <c r="C190" s="3" t="n">
        <v>598</v>
      </c>
      <c r="D190" s="1" t="n">
        <v>1</v>
      </c>
      <c r="E190" s="2" t="n">
        <v>40</v>
      </c>
      <c r="F190" s="4" t="n">
        <v>2.8</v>
      </c>
      <c r="G190" s="1" t="n">
        <v>40</v>
      </c>
      <c r="H190" s="1" t="n">
        <v>50</v>
      </c>
      <c r="I190" s="5" t="n">
        <v>0.0372614852949054</v>
      </c>
      <c r="J190" s="4" t="n">
        <v>259.897640308412</v>
      </c>
      <c r="K190" s="4" t="n">
        <v>0.2</v>
      </c>
    </row>
    <row r="191" customFormat="false" ht="14.25" hidden="false" customHeight="false" outlineLevel="0" collapsed="false">
      <c r="B191" s="1" t="n">
        <v>20</v>
      </c>
      <c r="C191" s="3" t="n">
        <v>598</v>
      </c>
      <c r="D191" s="1" t="n">
        <v>1</v>
      </c>
      <c r="E191" s="2" t="n">
        <v>40</v>
      </c>
      <c r="F191" s="4" t="n">
        <v>2.8</v>
      </c>
      <c r="G191" s="1" t="n">
        <v>40</v>
      </c>
      <c r="H191" s="1" t="n">
        <v>50</v>
      </c>
      <c r="I191" s="5" t="n">
        <v>0.0372614852949054</v>
      </c>
      <c r="J191" s="4" t="n">
        <v>294.740278817611</v>
      </c>
      <c r="K191" s="4" t="n">
        <v>0.23</v>
      </c>
    </row>
    <row r="192" customFormat="false" ht="14.25" hidden="false" customHeight="false" outlineLevel="0" collapsed="false">
      <c r="A192" s="0" t="s">
        <v>62</v>
      </c>
      <c r="B192" s="1" t="n">
        <v>20</v>
      </c>
      <c r="C192" s="3" t="n">
        <v>598</v>
      </c>
      <c r="D192" s="1" t="n">
        <v>1</v>
      </c>
      <c r="E192" s="2" t="n">
        <v>40</v>
      </c>
      <c r="F192" s="4" t="n">
        <v>2.8</v>
      </c>
      <c r="G192" s="1" t="n">
        <v>40</v>
      </c>
      <c r="H192" s="1" t="n">
        <v>50</v>
      </c>
      <c r="I192" s="5" t="n">
        <v>0.0372614852949054</v>
      </c>
      <c r="J192" s="4" t="n">
        <v>224.936489423332</v>
      </c>
      <c r="K192" s="4" t="n">
        <v>0.14</v>
      </c>
    </row>
    <row r="193" customFormat="false" ht="14.25" hidden="false" customHeight="false" outlineLevel="0" collapsed="false">
      <c r="B193" s="1" t="n">
        <v>20</v>
      </c>
      <c r="C193" s="3" t="n">
        <v>598</v>
      </c>
      <c r="D193" s="1" t="n">
        <v>1</v>
      </c>
      <c r="E193" s="2" t="n">
        <v>40</v>
      </c>
      <c r="F193" s="4" t="n">
        <v>2.8</v>
      </c>
      <c r="G193" s="1" t="n">
        <v>40</v>
      </c>
      <c r="H193" s="1" t="n">
        <v>50</v>
      </c>
      <c r="I193" s="5" t="n">
        <v>0.0372614852949054</v>
      </c>
      <c r="J193" s="4" t="n">
        <v>259.423590804886</v>
      </c>
      <c r="K193" s="4" t="n">
        <v>0.17</v>
      </c>
    </row>
    <row r="194" customFormat="false" ht="14.25" hidden="false" customHeight="false" outlineLevel="0" collapsed="false">
      <c r="B194" s="1" t="n">
        <v>20</v>
      </c>
      <c r="C194" s="3" t="n">
        <v>598</v>
      </c>
      <c r="D194" s="1" t="n">
        <v>1</v>
      </c>
      <c r="E194" s="2" t="n">
        <v>40</v>
      </c>
      <c r="F194" s="4" t="n">
        <v>2.8</v>
      </c>
      <c r="G194" s="1" t="n">
        <v>40</v>
      </c>
      <c r="H194" s="1" t="n">
        <v>50</v>
      </c>
      <c r="I194" s="5" t="n">
        <v>0.0372614852949054</v>
      </c>
      <c r="J194" s="4" t="n">
        <v>294.147716938203</v>
      </c>
      <c r="K194" s="4" t="n">
        <v>0.21</v>
      </c>
    </row>
    <row r="195" customFormat="false" ht="14.25" hidden="false" customHeight="false" outlineLevel="0" collapsed="false">
      <c r="A195" s="0" t="s">
        <v>63</v>
      </c>
      <c r="B195" s="1" t="n">
        <v>20</v>
      </c>
      <c r="C195" s="3" t="n">
        <v>598</v>
      </c>
      <c r="D195" s="1" t="n">
        <v>1</v>
      </c>
      <c r="E195" s="2" t="n">
        <v>40</v>
      </c>
      <c r="F195" s="4" t="n">
        <v>2.8</v>
      </c>
      <c r="G195" s="1" t="n">
        <v>40</v>
      </c>
      <c r="H195" s="1" t="n">
        <v>50</v>
      </c>
      <c r="I195" s="5" t="n">
        <v>0.0372614852949054</v>
      </c>
      <c r="J195" s="4" t="n">
        <v>154.303113397881</v>
      </c>
      <c r="K195" s="4" t="n">
        <v>0.21</v>
      </c>
    </row>
    <row r="196" customFormat="false" ht="14.25" hidden="false" customHeight="false" outlineLevel="0" collapsed="false">
      <c r="B196" s="1" t="n">
        <v>20</v>
      </c>
      <c r="C196" s="3" t="n">
        <v>598</v>
      </c>
      <c r="D196" s="1" t="n">
        <v>1</v>
      </c>
      <c r="E196" s="2" t="n">
        <v>40</v>
      </c>
      <c r="F196" s="4" t="n">
        <v>2.8</v>
      </c>
      <c r="G196" s="1" t="n">
        <v>40</v>
      </c>
      <c r="H196" s="1" t="n">
        <v>50</v>
      </c>
      <c r="I196" s="5" t="n">
        <v>0.0372614852949054</v>
      </c>
      <c r="J196" s="4" t="n">
        <v>190.330875665896</v>
      </c>
      <c r="K196" s="4" t="n">
        <v>0.25</v>
      </c>
    </row>
    <row r="197" customFormat="false" ht="14.25" hidden="false" customHeight="false" outlineLevel="0" collapsed="false">
      <c r="B197" s="1" t="n">
        <v>20</v>
      </c>
      <c r="C197" s="3" t="n">
        <v>598</v>
      </c>
      <c r="D197" s="1" t="n">
        <v>1</v>
      </c>
      <c r="E197" s="2" t="n">
        <v>40</v>
      </c>
      <c r="F197" s="4" t="n">
        <v>2.8</v>
      </c>
      <c r="G197" s="1" t="n">
        <v>40</v>
      </c>
      <c r="H197" s="1" t="n">
        <v>50</v>
      </c>
      <c r="I197" s="5" t="n">
        <v>0.0372614852949054</v>
      </c>
      <c r="J197" s="4" t="n">
        <v>224.343927543924</v>
      </c>
      <c r="K197" s="4" t="n">
        <v>0.29</v>
      </c>
    </row>
    <row r="198" customFormat="false" ht="14.25" hidden="false" customHeight="false" outlineLevel="0" collapsed="false">
      <c r="B198" s="1" t="n">
        <v>20</v>
      </c>
      <c r="C198" s="3" t="n">
        <v>598</v>
      </c>
      <c r="D198" s="1" t="n">
        <v>1</v>
      </c>
      <c r="E198" s="2" t="n">
        <v>40</v>
      </c>
      <c r="F198" s="4" t="n">
        <v>2.8</v>
      </c>
      <c r="G198" s="1" t="n">
        <v>40</v>
      </c>
      <c r="H198" s="1" t="n">
        <v>50</v>
      </c>
      <c r="I198" s="5" t="n">
        <v>0.0372614852949054</v>
      </c>
      <c r="J198" s="4" t="n">
        <v>258.475491797833</v>
      </c>
      <c r="K198" s="4" t="n">
        <v>0.33</v>
      </c>
    </row>
    <row r="199" customFormat="false" ht="14.25" hidden="false" customHeight="false" outlineLevel="0" collapsed="false">
      <c r="B199" s="1" t="n">
        <v>20</v>
      </c>
      <c r="C199" s="3" t="n">
        <v>598</v>
      </c>
      <c r="D199" s="1" t="n">
        <v>1</v>
      </c>
      <c r="E199" s="2" t="n">
        <v>40</v>
      </c>
      <c r="F199" s="4" t="n">
        <v>2.8</v>
      </c>
      <c r="G199" s="1" t="n">
        <v>40</v>
      </c>
      <c r="H199" s="1" t="n">
        <v>50</v>
      </c>
      <c r="I199" s="5" t="n">
        <v>0.0372614852949054</v>
      </c>
      <c r="J199" s="4" t="n">
        <v>306.710028781656</v>
      </c>
      <c r="K199" s="4" t="n">
        <v>0.37</v>
      </c>
    </row>
    <row r="200" customFormat="false" ht="14.25" hidden="false" customHeight="false" outlineLevel="0" collapsed="false">
      <c r="A200" s="0" t="s">
        <v>64</v>
      </c>
      <c r="B200" s="1" t="n">
        <v>20</v>
      </c>
      <c r="C200" s="3" t="n">
        <v>430</v>
      </c>
      <c r="D200" s="1" t="n">
        <v>6</v>
      </c>
      <c r="E200" s="2" t="n">
        <v>84</v>
      </c>
      <c r="F200" s="4" t="n">
        <v>3.50882128585544</v>
      </c>
      <c r="G200" s="1" t="n">
        <v>50</v>
      </c>
      <c r="H200" s="1" t="n">
        <v>64</v>
      </c>
      <c r="I200" s="5" t="n">
        <v>0.0310124488946994</v>
      </c>
      <c r="J200" s="4" t="n">
        <v>179.888040262956</v>
      </c>
      <c r="K200" s="4" t="n">
        <v>0.15</v>
      </c>
    </row>
    <row r="201" customFormat="false" ht="14.25" hidden="false" customHeight="false" outlineLevel="0" collapsed="false">
      <c r="B201" s="1" t="n">
        <v>20</v>
      </c>
      <c r="C201" s="3" t="n">
        <v>430</v>
      </c>
      <c r="D201" s="1" t="n">
        <v>6</v>
      </c>
      <c r="E201" s="2" t="n">
        <v>84</v>
      </c>
      <c r="F201" s="4" t="n">
        <v>3.50882128585544</v>
      </c>
      <c r="G201" s="1" t="n">
        <v>50</v>
      </c>
      <c r="H201" s="1" t="n">
        <v>64</v>
      </c>
      <c r="I201" s="5" t="n">
        <v>0.0310124488946994</v>
      </c>
      <c r="J201" s="4" t="n">
        <v>225.296671785643</v>
      </c>
      <c r="K201" s="4" t="n">
        <v>0.23</v>
      </c>
    </row>
    <row r="202" customFormat="false" ht="14.25" hidden="false" customHeight="false" outlineLevel="0" collapsed="false">
      <c r="B202" s="1" t="n">
        <v>20</v>
      </c>
      <c r="C202" s="3" t="n">
        <v>430</v>
      </c>
      <c r="D202" s="1" t="n">
        <v>6</v>
      </c>
      <c r="E202" s="2" t="n">
        <v>84</v>
      </c>
      <c r="F202" s="4" t="n">
        <v>3.50882128585544</v>
      </c>
      <c r="G202" s="1" t="n">
        <v>50</v>
      </c>
      <c r="H202" s="1" t="n">
        <v>64</v>
      </c>
      <c r="I202" s="5" t="n">
        <v>0.0310124488946994</v>
      </c>
      <c r="J202" s="4" t="n">
        <v>270.705303308331</v>
      </c>
      <c r="K202" s="4" t="n">
        <v>0.28</v>
      </c>
    </row>
    <row r="203" customFormat="false" ht="14.25" hidden="false" customHeight="false" outlineLevel="0" collapsed="false">
      <c r="A203" s="0" t="s">
        <v>65</v>
      </c>
      <c r="B203" s="1" t="n">
        <v>20</v>
      </c>
      <c r="C203" s="3" t="n">
        <v>430</v>
      </c>
      <c r="D203" s="1" t="n">
        <v>9</v>
      </c>
      <c r="E203" s="2" t="n">
        <v>45</v>
      </c>
      <c r="F203" s="4" t="n">
        <v>3.50882128585544</v>
      </c>
      <c r="G203" s="1" t="n">
        <v>50</v>
      </c>
      <c r="H203" s="1" t="n">
        <v>64</v>
      </c>
      <c r="I203" s="5" t="n">
        <v>0.0493280379637779</v>
      </c>
      <c r="J203" s="4" t="n">
        <v>176.839573733521</v>
      </c>
      <c r="K203" s="4" t="n">
        <v>0.18</v>
      </c>
    </row>
    <row r="204" customFormat="false" ht="14.25" hidden="false" customHeight="false" outlineLevel="0" collapsed="false">
      <c r="B204" s="1" t="n">
        <v>20</v>
      </c>
      <c r="C204" s="3" t="n">
        <v>430</v>
      </c>
      <c r="D204" s="1" t="n">
        <v>9</v>
      </c>
      <c r="E204" s="2" t="n">
        <v>45</v>
      </c>
      <c r="F204" s="4" t="n">
        <v>3.50882128585544</v>
      </c>
      <c r="G204" s="1" t="n">
        <v>50</v>
      </c>
      <c r="H204" s="1" t="n">
        <v>64</v>
      </c>
      <c r="I204" s="5" t="n">
        <v>0.0493280379637779</v>
      </c>
      <c r="J204" s="4" t="n">
        <v>220.752756472718</v>
      </c>
      <c r="K204" s="4" t="n">
        <v>0.26</v>
      </c>
    </row>
    <row r="205" customFormat="false" ht="14.25" hidden="false" customHeight="false" outlineLevel="0" collapsed="false">
      <c r="B205" s="1" t="n">
        <v>20</v>
      </c>
      <c r="C205" s="3" t="n">
        <v>430</v>
      </c>
      <c r="D205" s="1" t="n">
        <v>9</v>
      </c>
      <c r="E205" s="2" t="n">
        <v>45</v>
      </c>
      <c r="F205" s="4" t="n">
        <v>3.50882128585544</v>
      </c>
      <c r="G205" s="1" t="n">
        <v>50</v>
      </c>
      <c r="H205" s="1" t="n">
        <v>64</v>
      </c>
      <c r="I205" s="5" t="n">
        <v>0.0493280379637779</v>
      </c>
      <c r="J205" s="4" t="n">
        <v>264.665939211914</v>
      </c>
      <c r="K205" s="4" t="n">
        <v>0.34</v>
      </c>
    </row>
    <row r="206" customFormat="false" ht="14.25" hidden="false" customHeight="false" outlineLevel="0" collapsed="false">
      <c r="A206" s="0" t="s">
        <v>66</v>
      </c>
      <c r="B206" s="1" t="n">
        <v>16</v>
      </c>
      <c r="C206" s="3" t="n">
        <v>528</v>
      </c>
      <c r="D206" s="1" t="n">
        <v>2</v>
      </c>
      <c r="E206" s="2" t="n">
        <v>52</v>
      </c>
      <c r="F206" s="4" t="n">
        <v>3.42</v>
      </c>
      <c r="G206" s="1" t="n">
        <v>27</v>
      </c>
      <c r="H206" s="1" t="n">
        <v>35</v>
      </c>
      <c r="I206" s="5" t="n">
        <v>0.0486801935635287</v>
      </c>
      <c r="J206" s="4" t="n">
        <v>234.722345423214</v>
      </c>
      <c r="K206" s="4" t="n">
        <v>0.15</v>
      </c>
    </row>
    <row r="207" customFormat="false" ht="14.25" hidden="false" customHeight="false" outlineLevel="0" collapsed="false">
      <c r="B207" s="1" t="n">
        <v>16</v>
      </c>
      <c r="C207" s="3" t="n">
        <v>528</v>
      </c>
      <c r="D207" s="1" t="n">
        <v>2</v>
      </c>
      <c r="E207" s="2" t="n">
        <v>52</v>
      </c>
      <c r="F207" s="4" t="n">
        <v>3.42</v>
      </c>
      <c r="G207" s="1" t="n">
        <v>27</v>
      </c>
      <c r="H207" s="1" t="n">
        <v>35</v>
      </c>
      <c r="I207" s="5" t="n">
        <v>0.0486801935635287</v>
      </c>
      <c r="J207" s="4" t="n">
        <v>315.661085224322</v>
      </c>
      <c r="K207" s="4" t="n">
        <v>0.19</v>
      </c>
    </row>
    <row r="208" customFormat="false" ht="14.25" hidden="false" customHeight="false" outlineLevel="0" collapsed="false">
      <c r="B208" s="1" t="n">
        <v>16</v>
      </c>
      <c r="C208" s="3" t="n">
        <v>528</v>
      </c>
      <c r="D208" s="1" t="n">
        <v>2</v>
      </c>
      <c r="E208" s="2" t="n">
        <v>52</v>
      </c>
      <c r="F208" s="4" t="n">
        <v>3.42</v>
      </c>
      <c r="G208" s="1" t="n">
        <v>27</v>
      </c>
      <c r="H208" s="1" t="n">
        <v>35</v>
      </c>
      <c r="I208" s="5" t="n">
        <v>0.0486801935635287</v>
      </c>
      <c r="J208" s="4" t="n">
        <v>364.224329104987</v>
      </c>
      <c r="K208" s="4" t="n">
        <v>0.22</v>
      </c>
    </row>
    <row r="209" customFormat="false" ht="14.25" hidden="false" customHeight="false" outlineLevel="0" collapsed="false">
      <c r="B209" s="1" t="n">
        <v>16</v>
      </c>
      <c r="C209" s="3" t="n">
        <v>528</v>
      </c>
      <c r="D209" s="1" t="n">
        <v>2</v>
      </c>
      <c r="E209" s="2" t="n">
        <v>52</v>
      </c>
      <c r="F209" s="4" t="n">
        <v>3.42</v>
      </c>
      <c r="G209" s="1" t="n">
        <v>27</v>
      </c>
      <c r="H209" s="1" t="n">
        <v>35</v>
      </c>
      <c r="I209" s="5" t="n">
        <v>0.0486801935635287</v>
      </c>
      <c r="J209" s="4" t="n">
        <v>404.693699005541</v>
      </c>
      <c r="K209" s="4" t="n">
        <v>0.22</v>
      </c>
    </row>
    <row r="210" customFormat="false" ht="14.25" hidden="false" customHeight="false" outlineLevel="0" collapsed="false">
      <c r="B210" s="1" t="n">
        <v>16</v>
      </c>
      <c r="C210" s="3" t="n">
        <v>528</v>
      </c>
      <c r="D210" s="1" t="n">
        <v>2</v>
      </c>
      <c r="E210" s="2" t="n">
        <v>52</v>
      </c>
      <c r="F210" s="4" t="n">
        <v>3.42</v>
      </c>
      <c r="G210" s="1" t="n">
        <v>27</v>
      </c>
      <c r="H210" s="1" t="n">
        <v>35</v>
      </c>
      <c r="I210" s="5" t="n">
        <v>0.0486801935635287</v>
      </c>
      <c r="J210" s="4" t="n">
        <v>469.444690846428</v>
      </c>
      <c r="K210" s="4" t="n">
        <v>0.25</v>
      </c>
    </row>
    <row r="211" customFormat="false" ht="14.25" hidden="false" customHeight="false" outlineLevel="0" collapsed="false">
      <c r="B211" s="1" t="n">
        <v>16</v>
      </c>
      <c r="C211" s="3" t="n">
        <v>528</v>
      </c>
      <c r="D211" s="1" t="n">
        <v>2</v>
      </c>
      <c r="E211" s="2" t="n">
        <v>52</v>
      </c>
      <c r="F211" s="4" t="n">
        <v>3.42</v>
      </c>
      <c r="G211" s="1" t="n">
        <v>27</v>
      </c>
      <c r="H211" s="1" t="n">
        <v>35</v>
      </c>
      <c r="I211" s="5" t="n">
        <v>0.0486801935635287</v>
      </c>
      <c r="J211" s="4" t="n">
        <v>526.101808707204</v>
      </c>
      <c r="K211" s="4" t="n">
        <v>0.29</v>
      </c>
    </row>
    <row r="212" customFormat="false" ht="14.25" hidden="false" customHeight="false" outlineLevel="0" collapsed="false">
      <c r="A212" s="0" t="s">
        <v>67</v>
      </c>
      <c r="B212" s="1" t="n">
        <v>20</v>
      </c>
      <c r="C212" s="3" t="n">
        <v>528</v>
      </c>
      <c r="D212" s="1" t="n">
        <v>2</v>
      </c>
      <c r="E212" s="2" t="n">
        <v>44</v>
      </c>
      <c r="F212" s="4" t="n">
        <v>3.42</v>
      </c>
      <c r="G212" s="1" t="n">
        <v>25</v>
      </c>
      <c r="H212" s="1" t="n">
        <v>35</v>
      </c>
      <c r="I212" s="5" t="n">
        <v>0.0825359157184491</v>
      </c>
      <c r="J212" s="4" t="n">
        <v>270.870133310726</v>
      </c>
      <c r="K212" s="4" t="n">
        <v>0.17</v>
      </c>
    </row>
    <row r="213" customFormat="false" ht="14.25" hidden="false" customHeight="false" outlineLevel="0" collapsed="false">
      <c r="B213" s="1" t="n">
        <v>20</v>
      </c>
      <c r="C213" s="3" t="n">
        <v>528</v>
      </c>
      <c r="D213" s="1" t="n">
        <v>2</v>
      </c>
      <c r="E213" s="2" t="n">
        <v>44</v>
      </c>
      <c r="F213" s="4" t="n">
        <v>3.42</v>
      </c>
      <c r="G213" s="1" t="n">
        <v>25</v>
      </c>
      <c r="H213" s="1" t="n">
        <v>35</v>
      </c>
      <c r="I213" s="5" t="n">
        <v>0.0825359157184491</v>
      </c>
      <c r="J213" s="4" t="n">
        <v>308.048386902394</v>
      </c>
      <c r="K213" s="4" t="n">
        <v>0.19</v>
      </c>
    </row>
    <row r="214" customFormat="false" ht="14.25" hidden="false" customHeight="false" outlineLevel="0" collapsed="false">
      <c r="B214" s="1" t="n">
        <v>20</v>
      </c>
      <c r="C214" s="3" t="n">
        <v>528</v>
      </c>
      <c r="D214" s="1" t="n">
        <v>2</v>
      </c>
      <c r="E214" s="2" t="n">
        <v>44</v>
      </c>
      <c r="F214" s="4" t="n">
        <v>3.42</v>
      </c>
      <c r="G214" s="1" t="n">
        <v>25</v>
      </c>
      <c r="H214" s="1" t="n">
        <v>35</v>
      </c>
      <c r="I214" s="5" t="n">
        <v>0.0825359157184491</v>
      </c>
      <c r="J214" s="4" t="n">
        <v>355.848998663111</v>
      </c>
      <c r="K214" s="4" t="n">
        <v>0.21</v>
      </c>
    </row>
    <row r="215" customFormat="false" ht="14.25" hidden="false" customHeight="false" outlineLevel="0" collapsed="false">
      <c r="B215" s="1" t="n">
        <v>20</v>
      </c>
      <c r="C215" s="3" t="n">
        <v>528</v>
      </c>
      <c r="D215" s="1" t="n">
        <v>2</v>
      </c>
      <c r="E215" s="2" t="n">
        <v>44</v>
      </c>
      <c r="F215" s="4" t="n">
        <v>3.42</v>
      </c>
      <c r="G215" s="1" t="n">
        <v>25</v>
      </c>
      <c r="H215" s="1" t="n">
        <v>35</v>
      </c>
      <c r="I215" s="5" t="n">
        <v>0.0825359157184491</v>
      </c>
      <c r="J215" s="4" t="n">
        <v>377.093715001207</v>
      </c>
      <c r="K215" s="4" t="n">
        <v>0.23</v>
      </c>
    </row>
    <row r="216" customFormat="false" ht="14.25" hidden="false" customHeight="false" outlineLevel="0" collapsed="false">
      <c r="B216" s="1" t="n">
        <v>20</v>
      </c>
      <c r="C216" s="3" t="n">
        <v>528</v>
      </c>
      <c r="D216" s="1" t="n">
        <v>2</v>
      </c>
      <c r="E216" s="2" t="n">
        <v>44</v>
      </c>
      <c r="F216" s="4" t="n">
        <v>3.42</v>
      </c>
      <c r="G216" s="1" t="n">
        <v>25</v>
      </c>
      <c r="H216" s="1" t="n">
        <v>35</v>
      </c>
      <c r="I216" s="5" t="n">
        <v>0.0825359157184491</v>
      </c>
      <c r="J216" s="4" t="n">
        <v>424.894326761923</v>
      </c>
      <c r="K216" s="4" t="n">
        <v>0.25</v>
      </c>
    </row>
    <row r="217" customFormat="false" ht="14.25" hidden="false" customHeight="false" outlineLevel="0" collapsed="false">
      <c r="B217" s="1" t="n">
        <v>20</v>
      </c>
      <c r="C217" s="3" t="n">
        <v>528</v>
      </c>
      <c r="D217" s="1" t="n">
        <v>2</v>
      </c>
      <c r="E217" s="2" t="n">
        <v>44</v>
      </c>
      <c r="F217" s="4" t="n">
        <v>3.42</v>
      </c>
      <c r="G217" s="1" t="n">
        <v>25</v>
      </c>
      <c r="H217" s="1" t="n">
        <v>35</v>
      </c>
      <c r="I217" s="5" t="n">
        <v>0.0825359157184491</v>
      </c>
      <c r="J217" s="4" t="n">
        <v>525.80672936788</v>
      </c>
      <c r="K217" s="4" t="n">
        <v>0.25</v>
      </c>
    </row>
    <row r="218" customFormat="false" ht="14.25" hidden="false" customHeight="false" outlineLevel="0" collapsed="false">
      <c r="A218" s="0" t="s">
        <v>68</v>
      </c>
      <c r="B218" s="1" t="n">
        <v>20</v>
      </c>
      <c r="C218" s="3" t="n">
        <v>528</v>
      </c>
      <c r="D218" s="1" t="n">
        <v>3</v>
      </c>
      <c r="E218" s="2" t="n">
        <v>12</v>
      </c>
      <c r="F218" s="4" t="n">
        <v>3.42</v>
      </c>
      <c r="G218" s="1" t="n">
        <v>25</v>
      </c>
      <c r="H218" s="1" t="n">
        <v>35</v>
      </c>
      <c r="I218" s="5" t="n">
        <v>0.135249348683273</v>
      </c>
      <c r="J218" s="4" t="n">
        <v>246.921912945398</v>
      </c>
      <c r="K218" s="4" t="n">
        <v>0.18</v>
      </c>
    </row>
    <row r="219" customFormat="false" ht="14.25" hidden="false" customHeight="false" outlineLevel="0" collapsed="false">
      <c r="B219" s="1" t="n">
        <v>20</v>
      </c>
      <c r="C219" s="3" t="n">
        <v>528</v>
      </c>
      <c r="D219" s="1" t="n">
        <v>3</v>
      </c>
      <c r="E219" s="2" t="n">
        <v>12</v>
      </c>
      <c r="F219" s="4" t="n">
        <v>3.42</v>
      </c>
      <c r="G219" s="1" t="n">
        <v>25</v>
      </c>
      <c r="H219" s="1" t="n">
        <v>35</v>
      </c>
      <c r="I219" s="5" t="n">
        <v>0.135249348683273</v>
      </c>
      <c r="J219" s="4" t="n">
        <v>283.23395896678</v>
      </c>
      <c r="K219" s="4" t="n">
        <v>0.19</v>
      </c>
    </row>
    <row r="220" customFormat="false" ht="14.25" hidden="false" customHeight="false" outlineLevel="0" collapsed="false">
      <c r="B220" s="1" t="n">
        <v>20</v>
      </c>
      <c r="C220" s="3" t="n">
        <v>528</v>
      </c>
      <c r="D220" s="1" t="n">
        <v>3</v>
      </c>
      <c r="E220" s="2" t="n">
        <v>12</v>
      </c>
      <c r="F220" s="4" t="n">
        <v>3.42</v>
      </c>
      <c r="G220" s="1" t="n">
        <v>25</v>
      </c>
      <c r="H220" s="1" t="n">
        <v>35</v>
      </c>
      <c r="I220" s="5" t="n">
        <v>0.135249348683273</v>
      </c>
      <c r="J220" s="4" t="n">
        <v>315.914800386024</v>
      </c>
      <c r="K220" s="4" t="n">
        <v>0.21</v>
      </c>
    </row>
    <row r="221" customFormat="false" ht="14.25" hidden="false" customHeight="false" outlineLevel="0" collapsed="false">
      <c r="B221" s="1" t="n">
        <v>20</v>
      </c>
      <c r="C221" s="3" t="n">
        <v>528</v>
      </c>
      <c r="D221" s="1" t="n">
        <v>3</v>
      </c>
      <c r="E221" s="2" t="n">
        <v>12</v>
      </c>
      <c r="F221" s="4" t="n">
        <v>3.42</v>
      </c>
      <c r="G221" s="1" t="n">
        <v>25</v>
      </c>
      <c r="H221" s="1" t="n">
        <v>35</v>
      </c>
      <c r="I221" s="5" t="n">
        <v>0.135249348683273</v>
      </c>
      <c r="J221" s="4" t="n">
        <v>355.858051009545</v>
      </c>
      <c r="K221" s="4" t="n">
        <v>0.23</v>
      </c>
    </row>
    <row r="222" customFormat="false" ht="14.25" hidden="false" customHeight="false" outlineLevel="0" collapsed="false">
      <c r="B222" s="1" t="n">
        <v>20</v>
      </c>
      <c r="C222" s="3" t="n">
        <v>528</v>
      </c>
      <c r="D222" s="1" t="n">
        <v>3</v>
      </c>
      <c r="E222" s="2" t="n">
        <v>12</v>
      </c>
      <c r="F222" s="4" t="n">
        <v>3.42</v>
      </c>
      <c r="G222" s="1" t="n">
        <v>25</v>
      </c>
      <c r="H222" s="1" t="n">
        <v>35</v>
      </c>
      <c r="I222" s="5" t="n">
        <v>0.135249348683273</v>
      </c>
      <c r="J222" s="4" t="n">
        <v>395.801301633065</v>
      </c>
      <c r="K222" s="4" t="n">
        <v>0.25</v>
      </c>
    </row>
    <row r="223" customFormat="false" ht="14.25" hidden="false" customHeight="false" outlineLevel="0" collapsed="false">
      <c r="B223" s="1" t="n">
        <v>20</v>
      </c>
      <c r="C223" s="3" t="n">
        <v>528</v>
      </c>
      <c r="D223" s="1" t="n">
        <v>3</v>
      </c>
      <c r="E223" s="2" t="n">
        <v>12</v>
      </c>
      <c r="F223" s="4" t="n">
        <v>3.42</v>
      </c>
      <c r="G223" s="1" t="n">
        <v>25</v>
      </c>
      <c r="H223" s="1" t="n">
        <v>35</v>
      </c>
      <c r="I223" s="5" t="n">
        <v>0.135249348683273</v>
      </c>
      <c r="J223" s="4" t="n">
        <v>432.113347654447</v>
      </c>
      <c r="K223" s="4" t="n">
        <v>0.29</v>
      </c>
    </row>
    <row r="224" customFormat="false" ht="14.25" hidden="false" customHeight="false" outlineLevel="0" collapsed="false">
      <c r="B224" s="1" t="n">
        <v>20</v>
      </c>
      <c r="C224" s="3" t="n">
        <v>528</v>
      </c>
      <c r="D224" s="1" t="n">
        <v>3</v>
      </c>
      <c r="E224" s="2" t="n">
        <v>12</v>
      </c>
      <c r="F224" s="4" t="n">
        <v>3.42</v>
      </c>
      <c r="G224" s="1" t="n">
        <v>25</v>
      </c>
      <c r="H224" s="1" t="n">
        <v>35</v>
      </c>
      <c r="I224" s="5" t="n">
        <v>0.135249348683273</v>
      </c>
      <c r="J224" s="4" t="n">
        <v>468.425393675829</v>
      </c>
      <c r="K224" s="4" t="n">
        <v>0.31</v>
      </c>
    </row>
    <row r="225" customFormat="false" ht="14.25" hidden="false" customHeight="false" outlineLevel="0" collapsed="false">
      <c r="B225" s="1" t="n">
        <v>20</v>
      </c>
      <c r="C225" s="3" t="n">
        <v>528</v>
      </c>
      <c r="D225" s="1" t="n">
        <v>3</v>
      </c>
      <c r="E225" s="2" t="n">
        <v>12</v>
      </c>
      <c r="F225" s="4" t="n">
        <v>3.42</v>
      </c>
      <c r="G225" s="1" t="n">
        <v>25</v>
      </c>
      <c r="H225" s="1" t="n">
        <v>35</v>
      </c>
      <c r="I225" s="5" t="n">
        <v>0.135249348683273</v>
      </c>
      <c r="J225" s="4" t="n">
        <v>501.106235095073</v>
      </c>
      <c r="K225" s="4" t="n">
        <v>0.37</v>
      </c>
    </row>
    <row r="226" customFormat="false" ht="14.25" hidden="false" customHeight="false" outlineLevel="0" collapsed="false">
      <c r="A226" s="0" t="s">
        <v>69</v>
      </c>
      <c r="B226" s="1" t="n">
        <v>16</v>
      </c>
      <c r="C226" s="3" t="n">
        <v>528</v>
      </c>
      <c r="D226" s="1" t="n">
        <v>2</v>
      </c>
      <c r="E226" s="2" t="n">
        <v>52</v>
      </c>
      <c r="F226" s="4" t="n">
        <v>2.98</v>
      </c>
      <c r="G226" s="1" t="n">
        <v>27</v>
      </c>
      <c r="H226" s="1" t="n">
        <v>35</v>
      </c>
      <c r="I226" s="5" t="n">
        <v>0.04802696699422</v>
      </c>
      <c r="J226" s="4" t="n">
        <v>370.747284048733</v>
      </c>
      <c r="K226" s="4" t="n">
        <v>0.16</v>
      </c>
    </row>
    <row r="227" customFormat="false" ht="14.25" hidden="false" customHeight="false" outlineLevel="0" collapsed="false">
      <c r="B227" s="1" t="n">
        <v>16</v>
      </c>
      <c r="C227" s="3" t="n">
        <v>528</v>
      </c>
      <c r="D227" s="1" t="n">
        <v>2</v>
      </c>
      <c r="E227" s="2" t="n">
        <v>52</v>
      </c>
      <c r="F227" s="4" t="n">
        <v>2.98</v>
      </c>
      <c r="G227" s="1" t="n">
        <v>27</v>
      </c>
      <c r="H227" s="1" t="n">
        <v>35</v>
      </c>
      <c r="I227" s="5" t="n">
        <v>0.04802696699422</v>
      </c>
      <c r="J227" s="4" t="n">
        <v>443.284796145224</v>
      </c>
      <c r="K227" s="4" t="n">
        <v>0.2</v>
      </c>
    </row>
    <row r="228" customFormat="false" ht="14.25" hidden="false" customHeight="false" outlineLevel="0" collapsed="false">
      <c r="B228" s="1" t="n">
        <v>16</v>
      </c>
      <c r="C228" s="3" t="n">
        <v>528</v>
      </c>
      <c r="D228" s="1" t="n">
        <v>2</v>
      </c>
      <c r="E228" s="2" t="n">
        <v>52</v>
      </c>
      <c r="F228" s="4" t="n">
        <v>2.98</v>
      </c>
      <c r="G228" s="1" t="n">
        <v>27</v>
      </c>
      <c r="H228" s="1" t="n">
        <v>35</v>
      </c>
      <c r="I228" s="5" t="n">
        <v>0.04802696699422</v>
      </c>
      <c r="J228" s="4" t="n">
        <v>523.882031807992</v>
      </c>
      <c r="K228" s="4" t="n">
        <v>0.26</v>
      </c>
    </row>
    <row r="229" customFormat="false" ht="14.25" hidden="false" customHeight="false" outlineLevel="0" collapsed="false">
      <c r="A229" s="0" t="s">
        <v>70</v>
      </c>
      <c r="B229" s="1" t="n">
        <v>20</v>
      </c>
      <c r="C229" s="3" t="n">
        <v>528</v>
      </c>
      <c r="D229" s="1" t="n">
        <v>2</v>
      </c>
      <c r="E229" s="2" t="n">
        <v>44</v>
      </c>
      <c r="F229" s="4" t="n">
        <v>2.98</v>
      </c>
      <c r="G229" s="1" t="n">
        <v>25</v>
      </c>
      <c r="H229" s="1" t="n">
        <v>35</v>
      </c>
      <c r="I229" s="5" t="n">
        <v>0.0812005224252669</v>
      </c>
      <c r="J229" s="4" t="n">
        <v>264.280094309474</v>
      </c>
      <c r="K229" s="4" t="n">
        <v>0.17</v>
      </c>
    </row>
    <row r="230" customFormat="false" ht="14.25" hidden="false" customHeight="false" outlineLevel="0" collapsed="false">
      <c r="B230" s="1" t="n">
        <v>20</v>
      </c>
      <c r="C230" s="3" t="n">
        <v>528</v>
      </c>
      <c r="D230" s="1" t="n">
        <v>2</v>
      </c>
      <c r="E230" s="2" t="n">
        <v>44</v>
      </c>
      <c r="F230" s="4" t="n">
        <v>2.98</v>
      </c>
      <c r="G230" s="1" t="n">
        <v>25</v>
      </c>
      <c r="H230" s="1" t="n">
        <v>35</v>
      </c>
      <c r="I230" s="5" t="n">
        <v>0.0812005224252669</v>
      </c>
      <c r="J230" s="4" t="n">
        <v>301.2793075128</v>
      </c>
      <c r="K230" s="4" t="n">
        <v>0.19</v>
      </c>
    </row>
    <row r="231" customFormat="false" ht="14.25" hidden="false" customHeight="false" outlineLevel="0" collapsed="false">
      <c r="B231" s="1" t="n">
        <v>20</v>
      </c>
      <c r="C231" s="3" t="n">
        <v>528</v>
      </c>
      <c r="D231" s="1" t="n">
        <v>2</v>
      </c>
      <c r="E231" s="2" t="n">
        <v>44</v>
      </c>
      <c r="F231" s="4" t="n">
        <v>2.98</v>
      </c>
      <c r="G231" s="1" t="n">
        <v>25</v>
      </c>
      <c r="H231" s="1" t="n">
        <v>35</v>
      </c>
      <c r="I231" s="5" t="n">
        <v>0.0812005224252669</v>
      </c>
      <c r="J231" s="4" t="n">
        <v>348.849724488505</v>
      </c>
      <c r="K231" s="4" t="n">
        <v>0.23</v>
      </c>
    </row>
    <row r="232" customFormat="false" ht="14.25" hidden="false" customHeight="false" outlineLevel="0" collapsed="false">
      <c r="B232" s="1" t="n">
        <v>20</v>
      </c>
      <c r="C232" s="3" t="n">
        <v>528</v>
      </c>
      <c r="D232" s="1" t="n">
        <v>2</v>
      </c>
      <c r="E232" s="2" t="n">
        <v>44</v>
      </c>
      <c r="F232" s="4" t="n">
        <v>2.98</v>
      </c>
      <c r="G232" s="1" t="n">
        <v>25</v>
      </c>
      <c r="H232" s="1" t="n">
        <v>35</v>
      </c>
      <c r="I232" s="5" t="n">
        <v>0.0812005224252669</v>
      </c>
      <c r="J232" s="4" t="n">
        <v>369.992132033263</v>
      </c>
      <c r="K232" s="4" t="n">
        <v>0.25</v>
      </c>
    </row>
    <row r="233" customFormat="false" ht="14.25" hidden="false" customHeight="false" outlineLevel="0" collapsed="false">
      <c r="B233" s="1" t="n">
        <v>20</v>
      </c>
      <c r="C233" s="3" t="n">
        <v>528</v>
      </c>
      <c r="D233" s="1" t="n">
        <v>2</v>
      </c>
      <c r="E233" s="2" t="n">
        <v>44</v>
      </c>
      <c r="F233" s="4" t="n">
        <v>2.98</v>
      </c>
      <c r="G233" s="1" t="n">
        <v>25</v>
      </c>
      <c r="H233" s="1" t="n">
        <v>35</v>
      </c>
      <c r="I233" s="5" t="n">
        <v>0.0812005224252669</v>
      </c>
      <c r="J233" s="4" t="n">
        <v>401.7057433504</v>
      </c>
      <c r="K233" s="4" t="n">
        <v>0.3</v>
      </c>
    </row>
    <row r="234" customFormat="false" ht="14.25" hidden="false" customHeight="false" outlineLevel="0" collapsed="false">
      <c r="B234" s="1" t="n">
        <v>20</v>
      </c>
      <c r="C234" s="3" t="n">
        <v>528</v>
      </c>
      <c r="D234" s="1" t="n">
        <v>2</v>
      </c>
      <c r="E234" s="2" t="n">
        <v>44</v>
      </c>
      <c r="F234" s="4" t="n">
        <v>2.98</v>
      </c>
      <c r="G234" s="1" t="n">
        <v>25</v>
      </c>
      <c r="H234" s="1" t="n">
        <v>35</v>
      </c>
      <c r="I234" s="5" t="n">
        <v>0.0812005224252669</v>
      </c>
      <c r="J234" s="4" t="n">
        <v>422.848150895158</v>
      </c>
      <c r="K234" s="4" t="n">
        <v>0.32</v>
      </c>
    </row>
    <row r="235" customFormat="false" ht="14.25" hidden="false" customHeight="false" outlineLevel="0" collapsed="false">
      <c r="B235" s="1" t="n">
        <v>20</v>
      </c>
      <c r="C235" s="3" t="n">
        <v>528</v>
      </c>
      <c r="D235" s="1" t="n">
        <v>2</v>
      </c>
      <c r="E235" s="2" t="n">
        <v>44</v>
      </c>
      <c r="F235" s="4" t="n">
        <v>2.98</v>
      </c>
      <c r="G235" s="1" t="n">
        <v>25</v>
      </c>
      <c r="H235" s="1" t="n">
        <v>35</v>
      </c>
      <c r="I235" s="5" t="n">
        <v>0.0812005224252669</v>
      </c>
      <c r="J235" s="4" t="n">
        <v>474.647049379814</v>
      </c>
      <c r="K235" s="4" t="n">
        <v>0.36</v>
      </c>
    </row>
    <row r="236" customFormat="false" ht="14.25" hidden="false" customHeight="false" outlineLevel="0" collapsed="false">
      <c r="B236" s="1" t="n">
        <v>20</v>
      </c>
      <c r="C236" s="3" t="n">
        <v>528</v>
      </c>
      <c r="D236" s="1" t="n">
        <v>2</v>
      </c>
      <c r="E236" s="2" t="n">
        <v>44</v>
      </c>
      <c r="F236" s="4" t="n">
        <v>2.98</v>
      </c>
      <c r="G236" s="1" t="n">
        <v>25</v>
      </c>
      <c r="H236" s="1" t="n">
        <v>35</v>
      </c>
      <c r="I236" s="5" t="n">
        <v>0.0812005224252669</v>
      </c>
      <c r="J236" s="4" t="n">
        <v>526.445947864471</v>
      </c>
      <c r="K236" s="4" t="n">
        <v>0.47</v>
      </c>
    </row>
    <row r="237" customFormat="false" ht="14.25" hidden="false" customHeight="false" outlineLevel="0" collapsed="false">
      <c r="A237" s="0" t="s">
        <v>71</v>
      </c>
      <c r="B237" s="1" t="n">
        <v>20</v>
      </c>
      <c r="C237" s="3" t="n">
        <v>528</v>
      </c>
      <c r="D237" s="1" t="n">
        <v>3</v>
      </c>
      <c r="E237" s="2" t="n">
        <v>12</v>
      </c>
      <c r="F237" s="4" t="n">
        <v>2.98</v>
      </c>
      <c r="G237" s="1" t="n">
        <v>25</v>
      </c>
      <c r="H237" s="1" t="n">
        <v>35</v>
      </c>
      <c r="I237" s="5" t="n">
        <v>0.132686669519698</v>
      </c>
      <c r="J237" s="4" t="n">
        <v>303.402568314191</v>
      </c>
      <c r="K237" s="4" t="n">
        <v>0.16</v>
      </c>
    </row>
    <row r="238" customFormat="false" ht="14.25" hidden="false" customHeight="false" outlineLevel="0" collapsed="false">
      <c r="B238" s="1" t="n">
        <v>20</v>
      </c>
      <c r="C238" s="3" t="n">
        <v>528</v>
      </c>
      <c r="D238" s="1" t="n">
        <v>3</v>
      </c>
      <c r="E238" s="2" t="n">
        <v>12</v>
      </c>
      <c r="F238" s="4" t="n">
        <v>2.98</v>
      </c>
      <c r="G238" s="1" t="n">
        <v>25</v>
      </c>
      <c r="H238" s="1" t="n">
        <v>35</v>
      </c>
      <c r="I238" s="5" t="n">
        <v>0.132686669519698</v>
      </c>
      <c r="J238" s="4" t="n">
        <v>317.850309662485</v>
      </c>
      <c r="K238" s="4" t="n">
        <v>0.18</v>
      </c>
    </row>
    <row r="239" customFormat="false" ht="14.25" hidden="false" customHeight="false" outlineLevel="0" collapsed="false">
      <c r="B239" s="1" t="n">
        <v>20</v>
      </c>
      <c r="C239" s="3" t="n">
        <v>528</v>
      </c>
      <c r="D239" s="1" t="n">
        <v>3</v>
      </c>
      <c r="E239" s="2" t="n">
        <v>12</v>
      </c>
      <c r="F239" s="4" t="n">
        <v>2.98</v>
      </c>
      <c r="G239" s="1" t="n">
        <v>25</v>
      </c>
      <c r="H239" s="1" t="n">
        <v>35</v>
      </c>
      <c r="I239" s="5" t="n">
        <v>0.132686669519698</v>
      </c>
      <c r="J239" s="4" t="n">
        <v>353.969663033222</v>
      </c>
      <c r="K239" s="4" t="n">
        <v>0.18</v>
      </c>
    </row>
    <row r="240" customFormat="false" ht="14.25" hidden="false" customHeight="false" outlineLevel="0" collapsed="false">
      <c r="B240" s="1" t="n">
        <v>20</v>
      </c>
      <c r="C240" s="3" t="n">
        <v>528</v>
      </c>
      <c r="D240" s="1" t="n">
        <v>3</v>
      </c>
      <c r="E240" s="2" t="n">
        <v>12</v>
      </c>
      <c r="F240" s="4" t="n">
        <v>2.98</v>
      </c>
      <c r="G240" s="1" t="n">
        <v>25</v>
      </c>
      <c r="H240" s="1" t="n">
        <v>35</v>
      </c>
      <c r="I240" s="5" t="n">
        <v>0.132686669519698</v>
      </c>
      <c r="J240" s="4" t="n">
        <v>393.700951741033</v>
      </c>
      <c r="K240" s="4" t="n">
        <v>0.2</v>
      </c>
    </row>
    <row r="241" customFormat="false" ht="14.25" hidden="false" customHeight="false" outlineLevel="0" collapsed="false">
      <c r="B241" s="1" t="n">
        <v>20</v>
      </c>
      <c r="C241" s="3" t="n">
        <v>528</v>
      </c>
      <c r="D241" s="1" t="n">
        <v>3</v>
      </c>
      <c r="E241" s="2" t="n">
        <v>12</v>
      </c>
      <c r="F241" s="4" t="n">
        <v>2.98</v>
      </c>
      <c r="G241" s="1" t="n">
        <v>25</v>
      </c>
      <c r="H241" s="1" t="n">
        <v>35</v>
      </c>
      <c r="I241" s="5" t="n">
        <v>0.132686669519698</v>
      </c>
      <c r="J241" s="4" t="n">
        <v>429.82030511177</v>
      </c>
      <c r="K241" s="4" t="n">
        <v>0.2</v>
      </c>
    </row>
    <row r="242" customFormat="false" ht="14.25" hidden="false" customHeight="false" outlineLevel="0" collapsed="false">
      <c r="B242" s="1" t="n">
        <v>20</v>
      </c>
      <c r="C242" s="3" t="n">
        <v>528</v>
      </c>
      <c r="D242" s="1" t="n">
        <v>3</v>
      </c>
      <c r="E242" s="2" t="n">
        <v>12</v>
      </c>
      <c r="F242" s="4" t="n">
        <v>2.98</v>
      </c>
      <c r="G242" s="1" t="n">
        <v>25</v>
      </c>
      <c r="H242" s="1" t="n">
        <v>35</v>
      </c>
      <c r="I242" s="5" t="n">
        <v>0.132686669519698</v>
      </c>
      <c r="J242" s="4" t="n">
        <v>462.327723145433</v>
      </c>
      <c r="K242" s="4" t="n">
        <v>0.2</v>
      </c>
    </row>
    <row r="243" customFormat="false" ht="14.25" hidden="false" customHeight="false" outlineLevel="0" collapsed="false">
      <c r="B243" s="1" t="n">
        <v>20</v>
      </c>
      <c r="C243" s="3" t="n">
        <v>528</v>
      </c>
      <c r="D243" s="1" t="n">
        <v>3</v>
      </c>
      <c r="E243" s="2" t="n">
        <v>12</v>
      </c>
      <c r="F243" s="4" t="n">
        <v>2.98</v>
      </c>
      <c r="G243" s="1" t="n">
        <v>25</v>
      </c>
      <c r="H243" s="1" t="n">
        <v>35</v>
      </c>
      <c r="I243" s="5" t="n">
        <v>0.132686669519698</v>
      </c>
      <c r="J243" s="4" t="n">
        <v>502.059011853244</v>
      </c>
      <c r="K243" s="4" t="n">
        <v>0.22</v>
      </c>
    </row>
    <row r="244" customFormat="false" ht="14.25" hidden="false" customHeight="false" outlineLevel="0" collapsed="false">
      <c r="A244" s="0" t="s">
        <v>72</v>
      </c>
      <c r="B244" s="1" t="n">
        <v>28</v>
      </c>
      <c r="C244" s="3" t="n">
        <v>400</v>
      </c>
      <c r="D244" s="1" t="n">
        <v>4</v>
      </c>
      <c r="E244" s="2" t="n">
        <v>16</v>
      </c>
      <c r="F244" s="4" t="n">
        <v>5.30847435710111</v>
      </c>
      <c r="G244" s="1" t="n">
        <v>30</v>
      </c>
      <c r="H244" s="1" t="n">
        <v>44</v>
      </c>
      <c r="I244" s="5" t="n">
        <v>0.221883118160293</v>
      </c>
      <c r="J244" s="4" t="n">
        <v>151.171969977459</v>
      </c>
      <c r="K244" s="4" t="n">
        <v>0.22</v>
      </c>
    </row>
    <row r="245" customFormat="false" ht="14.25" hidden="false" customHeight="false" outlineLevel="0" collapsed="false">
      <c r="B245" s="1" t="n">
        <v>28</v>
      </c>
      <c r="C245" s="3" t="n">
        <v>400</v>
      </c>
      <c r="D245" s="1" t="n">
        <v>4</v>
      </c>
      <c r="E245" s="2" t="n">
        <v>16</v>
      </c>
      <c r="F245" s="4" t="n">
        <v>5.30847435710111</v>
      </c>
      <c r="G245" s="1" t="n">
        <v>30</v>
      </c>
      <c r="H245" s="1" t="n">
        <v>44</v>
      </c>
      <c r="I245" s="5" t="n">
        <v>0.221883118160293</v>
      </c>
      <c r="J245" s="4" t="n">
        <v>201.706599941352</v>
      </c>
      <c r="K245" s="4" t="n">
        <v>0.25</v>
      </c>
    </row>
    <row r="246" customFormat="false" ht="14.25" hidden="false" customHeight="false" outlineLevel="0" collapsed="false">
      <c r="B246" s="1" t="n">
        <v>28</v>
      </c>
      <c r="C246" s="3" t="n">
        <v>400</v>
      </c>
      <c r="D246" s="1" t="n">
        <v>4</v>
      </c>
      <c r="E246" s="2" t="n">
        <v>16</v>
      </c>
      <c r="F246" s="4" t="n">
        <v>5.30847435710111</v>
      </c>
      <c r="G246" s="1" t="n">
        <v>30</v>
      </c>
      <c r="H246" s="1" t="n">
        <v>44</v>
      </c>
      <c r="I246" s="5" t="n">
        <v>0.221883118160293</v>
      </c>
      <c r="J246" s="4" t="n">
        <v>230.64523419418</v>
      </c>
      <c r="K246" s="4" t="n">
        <v>0.29</v>
      </c>
    </row>
    <row r="247" customFormat="false" ht="14.25" hidden="false" customHeight="false" outlineLevel="0" collapsed="false">
      <c r="B247" s="1" t="n">
        <v>28</v>
      </c>
      <c r="C247" s="3" t="n">
        <v>400</v>
      </c>
      <c r="D247" s="1" t="n">
        <v>4</v>
      </c>
      <c r="E247" s="2" t="n">
        <v>16</v>
      </c>
      <c r="F247" s="4" t="n">
        <v>5.30847435710111</v>
      </c>
      <c r="G247" s="1" t="n">
        <v>30</v>
      </c>
      <c r="H247" s="1" t="n">
        <v>44</v>
      </c>
      <c r="I247" s="5" t="n">
        <v>0.221883118160293</v>
      </c>
      <c r="J247" s="4" t="n">
        <v>263.903067589221</v>
      </c>
      <c r="K247" s="4" t="n">
        <v>0.31</v>
      </c>
    </row>
    <row r="248" customFormat="false" ht="14.25" hidden="false" customHeight="false" outlineLevel="0" collapsed="false">
      <c r="B248" s="1" t="n">
        <v>28</v>
      </c>
      <c r="C248" s="3" t="n">
        <v>400</v>
      </c>
      <c r="D248" s="1" t="n">
        <v>4</v>
      </c>
      <c r="E248" s="2" t="n">
        <v>16</v>
      </c>
      <c r="F248" s="4" t="n">
        <v>5.30847435710111</v>
      </c>
      <c r="G248" s="1" t="n">
        <v>30</v>
      </c>
      <c r="H248" s="1" t="n">
        <v>44</v>
      </c>
      <c r="I248" s="5" t="n">
        <v>0.221883118160293</v>
      </c>
      <c r="J248" s="4" t="n">
        <v>315.733457295778</v>
      </c>
      <c r="K248" s="4" t="n">
        <v>0.33</v>
      </c>
    </row>
    <row r="249" customFormat="false" ht="14.25" hidden="false" customHeight="false" outlineLevel="0" collapsed="false">
      <c r="B249" s="1" t="n">
        <v>28</v>
      </c>
      <c r="C249" s="3" t="n">
        <v>400</v>
      </c>
      <c r="D249" s="1" t="n">
        <v>4</v>
      </c>
      <c r="E249" s="2" t="n">
        <v>16</v>
      </c>
      <c r="F249" s="4" t="n">
        <v>5.30847435710111</v>
      </c>
      <c r="G249" s="1" t="n">
        <v>30</v>
      </c>
      <c r="H249" s="1" t="n">
        <v>44</v>
      </c>
      <c r="I249" s="5" t="n">
        <v>0.221883118160293</v>
      </c>
      <c r="J249" s="4" t="n">
        <v>342.080572063278</v>
      </c>
      <c r="K249" s="4" t="n">
        <v>0.34</v>
      </c>
    </row>
    <row r="250" customFormat="false" ht="14.25" hidden="false" customHeight="false" outlineLevel="0" collapsed="false">
      <c r="B250" s="1" t="n">
        <v>28</v>
      </c>
      <c r="C250" s="3" t="n">
        <v>400</v>
      </c>
      <c r="D250" s="1" t="n">
        <v>4</v>
      </c>
      <c r="E250" s="2" t="n">
        <v>16</v>
      </c>
      <c r="F250" s="4" t="n">
        <v>5.30847435710111</v>
      </c>
      <c r="G250" s="1" t="n">
        <v>30</v>
      </c>
      <c r="H250" s="1" t="n">
        <v>44</v>
      </c>
      <c r="I250" s="5" t="n">
        <v>0.221883118160293</v>
      </c>
      <c r="J250" s="4" t="n">
        <v>380.521444428975</v>
      </c>
      <c r="K250" s="4" t="n">
        <v>0.37</v>
      </c>
    </row>
    <row r="251" customFormat="false" ht="14.25" hidden="false" customHeight="false" outlineLevel="0" collapsed="false">
      <c r="A251" s="0" t="s">
        <v>73</v>
      </c>
      <c r="B251" s="1" t="n">
        <v>15.9</v>
      </c>
      <c r="C251" s="3" t="n">
        <v>392</v>
      </c>
      <c r="D251" s="1" t="n">
        <v>2</v>
      </c>
      <c r="E251" s="2" t="n">
        <v>46</v>
      </c>
      <c r="F251" s="4" t="n">
        <v>2.82587739786632</v>
      </c>
      <c r="G251" s="1" t="n">
        <v>30</v>
      </c>
      <c r="H251" s="1" t="n">
        <v>38</v>
      </c>
      <c r="I251" s="5" t="n">
        <v>0.0441483882303684</v>
      </c>
      <c r="J251" s="4" t="n">
        <v>361.669574509028</v>
      </c>
      <c r="K251" s="4" t="n">
        <v>0.2</v>
      </c>
    </row>
    <row r="252" customFormat="false" ht="14.25" hidden="false" customHeight="false" outlineLevel="0" collapsed="false">
      <c r="B252" s="1" t="n">
        <v>15.9</v>
      </c>
      <c r="C252" s="3" t="n">
        <v>392</v>
      </c>
      <c r="D252" s="1" t="n">
        <v>2</v>
      </c>
      <c r="E252" s="2" t="n">
        <v>46</v>
      </c>
      <c r="F252" s="4" t="n">
        <v>2.82587739786632</v>
      </c>
      <c r="G252" s="1" t="n">
        <v>30</v>
      </c>
      <c r="H252" s="1" t="n">
        <v>38</v>
      </c>
      <c r="I252" s="5" t="n">
        <v>0.0441483882303684</v>
      </c>
      <c r="J252" s="4" t="n">
        <v>392.3</v>
      </c>
      <c r="K252" s="4" t="n">
        <v>0.35</v>
      </c>
    </row>
    <row r="253" customFormat="false" ht="14.25" hidden="false" customHeight="false" outlineLevel="0" collapsed="false">
      <c r="A253" s="0" t="s">
        <v>74</v>
      </c>
      <c r="B253" s="1" t="n">
        <v>15.9</v>
      </c>
      <c r="C253" s="3" t="n">
        <v>392</v>
      </c>
      <c r="D253" s="1" t="n">
        <v>2</v>
      </c>
      <c r="E253" s="2" t="n">
        <v>46</v>
      </c>
      <c r="F253" s="4" t="n">
        <v>2.82587739786632</v>
      </c>
      <c r="G253" s="1" t="n">
        <v>30</v>
      </c>
      <c r="H253" s="1" t="n">
        <v>38</v>
      </c>
      <c r="I253" s="5" t="n">
        <v>0.0441483882303684</v>
      </c>
      <c r="J253" s="4" t="n">
        <v>363.004148584707</v>
      </c>
      <c r="K253" s="4" t="n">
        <v>0.2</v>
      </c>
    </row>
    <row r="254" customFormat="false" ht="14.25" hidden="false" customHeight="false" outlineLevel="0" collapsed="false">
      <c r="B254" s="1" t="n">
        <v>15.9</v>
      </c>
      <c r="C254" s="3" t="n">
        <v>392</v>
      </c>
      <c r="D254" s="1" t="n">
        <v>2</v>
      </c>
      <c r="E254" s="2" t="n">
        <v>46</v>
      </c>
      <c r="F254" s="4" t="n">
        <v>2.82587739786632</v>
      </c>
      <c r="G254" s="1" t="n">
        <v>30</v>
      </c>
      <c r="H254" s="1" t="n">
        <v>38</v>
      </c>
      <c r="I254" s="5" t="n">
        <v>0.0441483882303684</v>
      </c>
      <c r="J254" s="4" t="n">
        <v>392.3</v>
      </c>
      <c r="K254" s="4" t="n">
        <v>0.25</v>
      </c>
    </row>
    <row r="255" customFormat="false" ht="14.25" hidden="false" customHeight="false" outlineLevel="0" collapsed="false">
      <c r="A255" s="0" t="s">
        <v>75</v>
      </c>
      <c r="B255" s="1" t="n">
        <v>15.9</v>
      </c>
      <c r="C255" s="3" t="n">
        <v>392</v>
      </c>
      <c r="D255" s="1" t="n">
        <v>2</v>
      </c>
      <c r="E255" s="2" t="n">
        <v>46</v>
      </c>
      <c r="F255" s="4" t="n">
        <v>2.82587739786632</v>
      </c>
      <c r="G255" s="1" t="n">
        <v>30</v>
      </c>
      <c r="H255" s="1" t="n">
        <v>38</v>
      </c>
      <c r="I255" s="5" t="n">
        <v>0.0441483882303684</v>
      </c>
      <c r="J255" s="4" t="n">
        <v>363.004148584707</v>
      </c>
      <c r="K255" s="4" t="n">
        <v>0.2</v>
      </c>
    </row>
    <row r="256" customFormat="false" ht="14.25" hidden="false" customHeight="false" outlineLevel="0" collapsed="false">
      <c r="B256" s="1" t="n">
        <v>15.9</v>
      </c>
      <c r="C256" s="3" t="n">
        <v>392</v>
      </c>
      <c r="D256" s="1" t="n">
        <v>2</v>
      </c>
      <c r="E256" s="2" t="n">
        <v>46</v>
      </c>
      <c r="F256" s="4" t="n">
        <v>2.82587739786632</v>
      </c>
      <c r="G256" s="1" t="n">
        <v>30</v>
      </c>
      <c r="H256" s="1" t="n">
        <v>38</v>
      </c>
      <c r="I256" s="5" t="n">
        <v>0.0441483882303684</v>
      </c>
      <c r="J256" s="4" t="n">
        <v>392.3</v>
      </c>
      <c r="K256" s="4" t="n">
        <v>0.25</v>
      </c>
    </row>
    <row r="257" customFormat="false" ht="14.25" hidden="false" customHeight="false" outlineLevel="0" collapsed="false">
      <c r="A257" s="0" t="s">
        <v>76</v>
      </c>
      <c r="B257" s="1" t="n">
        <v>15.9</v>
      </c>
      <c r="C257" s="3" t="n">
        <v>392</v>
      </c>
      <c r="D257" s="1" t="n">
        <v>2</v>
      </c>
      <c r="E257" s="2" t="n">
        <v>46</v>
      </c>
      <c r="F257" s="4" t="n">
        <v>2.82587739786632</v>
      </c>
      <c r="G257" s="1" t="n">
        <v>30</v>
      </c>
      <c r="H257" s="1" t="n">
        <v>38</v>
      </c>
      <c r="I257" s="5" t="n">
        <v>0.0441483882303684</v>
      </c>
      <c r="J257" s="4" t="n">
        <v>364.338722660386</v>
      </c>
      <c r="K257" s="4" t="n">
        <v>0.2</v>
      </c>
    </row>
    <row r="258" customFormat="false" ht="14.25" hidden="false" customHeight="false" outlineLevel="0" collapsed="false">
      <c r="B258" s="1" t="n">
        <v>15.9</v>
      </c>
      <c r="C258" s="3" t="n">
        <v>392</v>
      </c>
      <c r="D258" s="1" t="n">
        <v>2</v>
      </c>
      <c r="E258" s="2" t="n">
        <v>46</v>
      </c>
      <c r="F258" s="4" t="n">
        <v>2.82587739786632</v>
      </c>
      <c r="G258" s="1" t="n">
        <v>30</v>
      </c>
      <c r="H258" s="1" t="n">
        <v>38</v>
      </c>
      <c r="I258" s="5" t="n">
        <v>0.0441483882303684</v>
      </c>
      <c r="J258" s="4" t="n">
        <v>392.3</v>
      </c>
      <c r="K258" s="4" t="n">
        <v>0.3</v>
      </c>
    </row>
    <row r="259" customFormat="false" ht="14.25" hidden="false" customHeight="false" outlineLevel="0" collapsed="false">
      <c r="A259" s="0" t="s">
        <v>77</v>
      </c>
      <c r="B259" s="1" t="n">
        <v>12.7</v>
      </c>
      <c r="C259" s="3" t="n">
        <v>392</v>
      </c>
      <c r="D259" s="1" t="n">
        <v>2</v>
      </c>
      <c r="E259" s="2" t="n">
        <v>52</v>
      </c>
      <c r="F259" s="4" t="n">
        <v>2.92087587098479</v>
      </c>
      <c r="G259" s="1" t="n">
        <v>30</v>
      </c>
      <c r="H259" s="1" t="n">
        <v>36.5</v>
      </c>
      <c r="I259" s="5" t="n">
        <v>0.0264062779284379</v>
      </c>
      <c r="J259" s="4" t="n">
        <v>317.102697940788</v>
      </c>
      <c r="K259" s="4" t="n">
        <v>0.15</v>
      </c>
    </row>
    <row r="260" customFormat="false" ht="14.25" hidden="false" customHeight="false" outlineLevel="0" collapsed="false">
      <c r="B260" s="1" t="n">
        <v>12.7</v>
      </c>
      <c r="C260" s="3" t="n">
        <v>392</v>
      </c>
      <c r="D260" s="1" t="n">
        <v>2</v>
      </c>
      <c r="E260" s="2" t="n">
        <v>52</v>
      </c>
      <c r="F260" s="4" t="n">
        <v>2.92087587098479</v>
      </c>
      <c r="G260" s="1" t="n">
        <v>30</v>
      </c>
      <c r="H260" s="1" t="n">
        <v>36.5</v>
      </c>
      <c r="I260" s="5" t="n">
        <v>0.0264062779284379</v>
      </c>
      <c r="J260" s="4" t="n">
        <v>392.3</v>
      </c>
      <c r="K260" s="4" t="n">
        <v>0.2</v>
      </c>
    </row>
    <row r="261" customFormat="false" ht="14.25" hidden="false" customHeight="false" outlineLevel="0" collapsed="false">
      <c r="A261" s="0" t="s">
        <v>78</v>
      </c>
      <c r="B261" s="1" t="n">
        <v>12.7</v>
      </c>
      <c r="C261" s="3" t="n">
        <v>392</v>
      </c>
      <c r="D261" s="1" t="n">
        <v>2</v>
      </c>
      <c r="E261" s="2" t="n">
        <v>52</v>
      </c>
      <c r="F261" s="4" t="n">
        <v>2.92087587098479</v>
      </c>
      <c r="G261" s="1" t="n">
        <v>30</v>
      </c>
      <c r="H261" s="1" t="n">
        <v>36.5</v>
      </c>
      <c r="I261" s="5" t="n">
        <v>0.0264062779284379</v>
      </c>
      <c r="J261" s="4" t="n">
        <v>319.135407542973</v>
      </c>
      <c r="K261" s="4" t="n">
        <v>0.15</v>
      </c>
    </row>
    <row r="262" customFormat="false" ht="14.25" hidden="false" customHeight="false" outlineLevel="0" collapsed="false">
      <c r="B262" s="1" t="n">
        <v>12.7</v>
      </c>
      <c r="C262" s="3" t="n">
        <v>392</v>
      </c>
      <c r="D262" s="1" t="n">
        <v>2</v>
      </c>
      <c r="E262" s="2" t="n">
        <v>52</v>
      </c>
      <c r="F262" s="4" t="n">
        <v>2.92087587098479</v>
      </c>
      <c r="G262" s="1" t="n">
        <v>30</v>
      </c>
      <c r="H262" s="1" t="n">
        <v>36.5</v>
      </c>
      <c r="I262" s="5" t="n">
        <v>0.0264062779284379</v>
      </c>
      <c r="J262" s="4" t="n">
        <v>392.3</v>
      </c>
      <c r="K262" s="4" t="n">
        <v>0.2</v>
      </c>
    </row>
    <row r="263" customFormat="false" ht="14.25" hidden="false" customHeight="false" outlineLevel="0" collapsed="false">
      <c r="A263" s="0" t="s">
        <v>79</v>
      </c>
      <c r="B263" s="1" t="n">
        <v>15.9</v>
      </c>
      <c r="C263" s="3" t="n">
        <v>392</v>
      </c>
      <c r="D263" s="1" t="n">
        <v>2</v>
      </c>
      <c r="E263" s="2" t="n">
        <v>46</v>
      </c>
      <c r="F263" s="4" t="n">
        <v>2.92087587098479</v>
      </c>
      <c r="G263" s="1" t="n">
        <v>30</v>
      </c>
      <c r="H263" s="1" t="n">
        <v>38</v>
      </c>
      <c r="I263" s="5" t="n">
        <v>0.0440349805383329</v>
      </c>
      <c r="J263" s="4" t="n">
        <v>260.029022246808</v>
      </c>
      <c r="K263" s="4" t="n">
        <v>0.15</v>
      </c>
    </row>
    <row r="264" customFormat="false" ht="14.25" hidden="false" customHeight="false" outlineLevel="0" collapsed="false">
      <c r="B264" s="1" t="n">
        <v>15.9</v>
      </c>
      <c r="C264" s="3" t="n">
        <v>392</v>
      </c>
      <c r="D264" s="1" t="n">
        <v>2</v>
      </c>
      <c r="E264" s="2" t="n">
        <v>46</v>
      </c>
      <c r="F264" s="4" t="n">
        <v>2.92087587098479</v>
      </c>
      <c r="G264" s="1" t="n">
        <v>30</v>
      </c>
      <c r="H264" s="1" t="n">
        <v>38</v>
      </c>
      <c r="I264" s="5" t="n">
        <v>0.0440349805383329</v>
      </c>
      <c r="J264" s="4" t="n">
        <v>365.3741133109</v>
      </c>
      <c r="K264" s="4" t="n">
        <v>0.25</v>
      </c>
    </row>
    <row r="265" customFormat="false" ht="14.25" hidden="false" customHeight="false" outlineLevel="0" collapsed="false">
      <c r="B265" s="1" t="n">
        <v>15.9</v>
      </c>
      <c r="C265" s="3" t="n">
        <v>392</v>
      </c>
      <c r="D265" s="1" t="n">
        <v>2</v>
      </c>
      <c r="E265" s="2" t="n">
        <v>46</v>
      </c>
      <c r="F265" s="4" t="n">
        <v>2.92087587098479</v>
      </c>
      <c r="G265" s="1" t="n">
        <v>30</v>
      </c>
      <c r="H265" s="1" t="n">
        <v>38</v>
      </c>
      <c r="I265" s="5" t="n">
        <v>0.0440349805383329</v>
      </c>
      <c r="J265" s="4" t="n">
        <v>392.3</v>
      </c>
      <c r="K265" s="4" t="n">
        <v>0.3</v>
      </c>
    </row>
    <row r="266" customFormat="false" ht="14.25" hidden="false" customHeight="false" outlineLevel="0" collapsed="false">
      <c r="A266" s="0" t="s">
        <v>80</v>
      </c>
      <c r="B266" s="1" t="n">
        <v>15.9</v>
      </c>
      <c r="C266" s="3" t="n">
        <v>392</v>
      </c>
      <c r="D266" s="1" t="n">
        <v>2</v>
      </c>
      <c r="E266" s="2" t="n">
        <v>46</v>
      </c>
      <c r="F266" s="4" t="n">
        <v>2.92087587098479</v>
      </c>
      <c r="G266" s="1" t="n">
        <v>30</v>
      </c>
      <c r="H266" s="1" t="n">
        <v>38</v>
      </c>
      <c r="I266" s="5" t="n">
        <v>0.0440349805383329</v>
      </c>
      <c r="J266" s="4" t="n">
        <v>261.362504412177</v>
      </c>
      <c r="K266" s="4" t="n">
        <v>0.15</v>
      </c>
    </row>
    <row r="267" customFormat="false" ht="14.25" hidden="false" customHeight="false" outlineLevel="0" collapsed="false">
      <c r="B267" s="1" t="n">
        <v>15.9</v>
      </c>
      <c r="C267" s="3" t="n">
        <v>392</v>
      </c>
      <c r="D267" s="1" t="n">
        <v>2</v>
      </c>
      <c r="E267" s="2" t="n">
        <v>46</v>
      </c>
      <c r="F267" s="4" t="n">
        <v>2.92087587098479</v>
      </c>
      <c r="G267" s="1" t="n">
        <v>30</v>
      </c>
      <c r="H267" s="1" t="n">
        <v>38</v>
      </c>
      <c r="I267" s="5" t="n">
        <v>0.0440349805383329</v>
      </c>
      <c r="J267" s="4" t="n">
        <v>366.707595476268</v>
      </c>
      <c r="K267" s="4" t="n">
        <v>0.25</v>
      </c>
    </row>
    <row r="268" customFormat="false" ht="14.25" hidden="false" customHeight="false" outlineLevel="0" collapsed="false">
      <c r="A268" s="0" t="s">
        <v>81</v>
      </c>
      <c r="B268" s="1" t="n">
        <v>19.1</v>
      </c>
      <c r="C268" s="3" t="n">
        <v>392</v>
      </c>
      <c r="D268" s="1" t="n">
        <v>2</v>
      </c>
      <c r="E268" s="2" t="n">
        <v>40</v>
      </c>
      <c r="F268" s="4" t="n">
        <v>2.92087587098479</v>
      </c>
      <c r="G268" s="1" t="n">
        <v>30</v>
      </c>
      <c r="H268" s="1" t="n">
        <v>39.5</v>
      </c>
      <c r="I268" s="5" t="n">
        <v>0.0674188339618365</v>
      </c>
      <c r="J268" s="4" t="n">
        <v>187.025739041386</v>
      </c>
      <c r="K268" s="4" t="n">
        <v>0.15</v>
      </c>
    </row>
    <row r="269" customFormat="false" ht="14.25" hidden="false" customHeight="false" outlineLevel="0" collapsed="false">
      <c r="B269" s="1" t="n">
        <v>19.1</v>
      </c>
      <c r="C269" s="3" t="n">
        <v>392</v>
      </c>
      <c r="D269" s="1" t="n">
        <v>2</v>
      </c>
      <c r="E269" s="2" t="n">
        <v>40</v>
      </c>
      <c r="F269" s="4" t="n">
        <v>2.92087587098479</v>
      </c>
      <c r="G269" s="1" t="n">
        <v>30</v>
      </c>
      <c r="H269" s="1" t="n">
        <v>39.5</v>
      </c>
      <c r="I269" s="5" t="n">
        <v>0.0674188339618365</v>
      </c>
      <c r="J269" s="4" t="n">
        <v>261.07653927097</v>
      </c>
      <c r="K269" s="4" t="n">
        <v>0.2</v>
      </c>
    </row>
    <row r="270" customFormat="false" ht="14.25" hidden="false" customHeight="false" outlineLevel="0" collapsed="false">
      <c r="B270" s="1" t="n">
        <v>19.1</v>
      </c>
      <c r="C270" s="3" t="n">
        <v>392</v>
      </c>
      <c r="D270" s="1" t="n">
        <v>2</v>
      </c>
      <c r="E270" s="2" t="n">
        <v>40</v>
      </c>
      <c r="F270" s="4" t="n">
        <v>2.92087587098479</v>
      </c>
      <c r="G270" s="1" t="n">
        <v>30</v>
      </c>
      <c r="H270" s="1" t="n">
        <v>39.5</v>
      </c>
      <c r="I270" s="5" t="n">
        <v>0.0674188339618365</v>
      </c>
      <c r="J270" s="4" t="n">
        <v>336.076708734267</v>
      </c>
      <c r="K270" s="4" t="n">
        <v>0.3</v>
      </c>
    </row>
    <row r="271" customFormat="false" ht="14.25" hidden="false" customHeight="false" outlineLevel="0" collapsed="false">
      <c r="B271" s="1" t="n">
        <v>19.1</v>
      </c>
      <c r="C271" s="3" t="n">
        <v>392</v>
      </c>
      <c r="D271" s="1" t="n">
        <v>2</v>
      </c>
      <c r="E271" s="2" t="n">
        <v>40</v>
      </c>
      <c r="F271" s="4" t="n">
        <v>2.92087587098479</v>
      </c>
      <c r="G271" s="1" t="n">
        <v>30</v>
      </c>
      <c r="H271" s="1" t="n">
        <v>39.5</v>
      </c>
      <c r="I271" s="5" t="n">
        <v>0.0674188339618365</v>
      </c>
      <c r="J271" s="4" t="n">
        <v>392.3</v>
      </c>
      <c r="K271" s="4" t="n">
        <v>0.33</v>
      </c>
    </row>
    <row r="272" customFormat="false" ht="14.25" hidden="false" customHeight="false" outlineLevel="0" collapsed="false">
      <c r="A272" s="0" t="s">
        <v>82</v>
      </c>
      <c r="B272" s="1" t="n">
        <v>19.1</v>
      </c>
      <c r="C272" s="3" t="n">
        <v>392</v>
      </c>
      <c r="D272" s="1" t="n">
        <v>2</v>
      </c>
      <c r="E272" s="2" t="n">
        <v>40</v>
      </c>
      <c r="F272" s="4" t="n">
        <v>2.92087587098479</v>
      </c>
      <c r="G272" s="1" t="n">
        <v>30</v>
      </c>
      <c r="H272" s="1" t="n">
        <v>39.5</v>
      </c>
      <c r="I272" s="5" t="n">
        <v>0.0674188339618365</v>
      </c>
      <c r="J272" s="4" t="n">
        <v>186.076369807673</v>
      </c>
      <c r="K272" s="4" t="n">
        <v>0.15</v>
      </c>
    </row>
    <row r="273" customFormat="false" ht="14.25" hidden="false" customHeight="false" outlineLevel="0" collapsed="false">
      <c r="B273" s="1" t="n">
        <v>19.1</v>
      </c>
      <c r="C273" s="3" t="n">
        <v>392</v>
      </c>
      <c r="D273" s="1" t="n">
        <v>2</v>
      </c>
      <c r="E273" s="2" t="n">
        <v>40</v>
      </c>
      <c r="F273" s="4" t="n">
        <v>2.92087587098479</v>
      </c>
      <c r="G273" s="1" t="n">
        <v>30</v>
      </c>
      <c r="H273" s="1" t="n">
        <v>39.5</v>
      </c>
      <c r="I273" s="5" t="n">
        <v>0.0674188339618365</v>
      </c>
      <c r="J273" s="4" t="n">
        <v>259.177800803545</v>
      </c>
      <c r="K273" s="4" t="n">
        <v>0.25</v>
      </c>
    </row>
    <row r="274" customFormat="false" ht="14.25" hidden="false" customHeight="false" outlineLevel="0" collapsed="false">
      <c r="B274" s="1" t="n">
        <v>19.1</v>
      </c>
      <c r="C274" s="3" t="n">
        <v>392</v>
      </c>
      <c r="D274" s="1" t="n">
        <v>2</v>
      </c>
      <c r="E274" s="2" t="n">
        <v>40</v>
      </c>
      <c r="F274" s="4" t="n">
        <v>2.92087587098479</v>
      </c>
      <c r="G274" s="1" t="n">
        <v>30</v>
      </c>
      <c r="H274" s="1" t="n">
        <v>39.5</v>
      </c>
      <c r="I274" s="5" t="n">
        <v>0.0674188339618365</v>
      </c>
      <c r="J274" s="4" t="n">
        <v>333.228601033129</v>
      </c>
      <c r="K274" s="4" t="n">
        <v>0.28</v>
      </c>
    </row>
    <row r="275" customFormat="false" ht="14.25" hidden="false" customHeight="false" outlineLevel="0" collapsed="false">
      <c r="A275" s="0" t="s">
        <v>83</v>
      </c>
      <c r="B275" s="1" t="n">
        <v>15.9</v>
      </c>
      <c r="C275" s="3" t="n">
        <v>392</v>
      </c>
      <c r="D275" s="1" t="n">
        <v>2</v>
      </c>
      <c r="E275" s="2" t="n">
        <v>46</v>
      </c>
      <c r="F275" s="4" t="n">
        <v>3.35387948274239</v>
      </c>
      <c r="G275" s="1" t="n">
        <v>30</v>
      </c>
      <c r="H275" s="1" t="n">
        <v>38</v>
      </c>
      <c r="I275" s="5" t="n">
        <v>0.0435727310809325</v>
      </c>
      <c r="J275" s="4" t="n">
        <v>365.472691516251</v>
      </c>
      <c r="K275" s="4" t="n">
        <v>0.2</v>
      </c>
    </row>
    <row r="276" customFormat="false" ht="14.25" hidden="false" customHeight="false" outlineLevel="0" collapsed="false">
      <c r="B276" s="1" t="n">
        <v>15.9</v>
      </c>
      <c r="C276" s="3" t="n">
        <v>392</v>
      </c>
      <c r="D276" s="1" t="n">
        <v>2</v>
      </c>
      <c r="E276" s="2" t="n">
        <v>46</v>
      </c>
      <c r="F276" s="4" t="n">
        <v>3.35387948274239</v>
      </c>
      <c r="G276" s="1" t="n">
        <v>30</v>
      </c>
      <c r="H276" s="1" t="n">
        <v>38</v>
      </c>
      <c r="I276" s="5" t="n">
        <v>0.0435727310809325</v>
      </c>
      <c r="J276" s="4" t="n">
        <v>392.3</v>
      </c>
      <c r="K276" s="4" t="n">
        <v>0.22</v>
      </c>
    </row>
    <row r="277" customFormat="false" ht="14.25" hidden="false" customHeight="false" outlineLevel="0" collapsed="false">
      <c r="A277" s="0" t="s">
        <v>84</v>
      </c>
      <c r="B277" s="1" t="n">
        <v>15.9</v>
      </c>
      <c r="C277" s="3" t="n">
        <v>392</v>
      </c>
      <c r="D277" s="1" t="n">
        <v>2</v>
      </c>
      <c r="E277" s="2" t="n">
        <v>46</v>
      </c>
      <c r="F277" s="4" t="n">
        <v>3.35387948274239</v>
      </c>
      <c r="G277" s="1" t="n">
        <v>30</v>
      </c>
      <c r="H277" s="1" t="n">
        <v>38</v>
      </c>
      <c r="I277" s="5" t="n">
        <v>0.0435727310809325</v>
      </c>
      <c r="J277" s="4" t="n">
        <v>365.472691516251</v>
      </c>
      <c r="K277" s="4" t="n">
        <v>0.17</v>
      </c>
    </row>
    <row r="278" customFormat="false" ht="14.25" hidden="false" customHeight="false" outlineLevel="0" collapsed="false">
      <c r="B278" s="1" t="n">
        <v>15.9</v>
      </c>
      <c r="C278" s="3" t="n">
        <v>392</v>
      </c>
      <c r="D278" s="1" t="n">
        <v>2</v>
      </c>
      <c r="E278" s="2" t="n">
        <v>46</v>
      </c>
      <c r="F278" s="4" t="n">
        <v>3.35387948274239</v>
      </c>
      <c r="G278" s="1" t="n">
        <v>30</v>
      </c>
      <c r="H278" s="1" t="n">
        <v>38</v>
      </c>
      <c r="I278" s="5" t="n">
        <v>0.0435727310809325</v>
      </c>
      <c r="J278" s="4" t="n">
        <v>392.3</v>
      </c>
      <c r="K278" s="4" t="n">
        <v>0.21</v>
      </c>
    </row>
    <row r="279" customFormat="false" ht="14.25" hidden="false" customHeight="false" outlineLevel="0" collapsed="false">
      <c r="A279" s="0" t="s">
        <v>85</v>
      </c>
      <c r="B279" s="1" t="n">
        <v>19.1</v>
      </c>
      <c r="C279" s="3" t="n">
        <v>392</v>
      </c>
      <c r="D279" s="1" t="n">
        <v>2</v>
      </c>
      <c r="E279" s="2" t="n">
        <v>40</v>
      </c>
      <c r="F279" s="4" t="n">
        <v>3.35387948274239</v>
      </c>
      <c r="G279" s="1" t="n">
        <v>30</v>
      </c>
      <c r="H279" s="1" t="n">
        <v>39.5</v>
      </c>
      <c r="I279" s="5" t="n">
        <v>0.0665965360251012</v>
      </c>
      <c r="J279" s="4" t="n">
        <v>221.310131801498</v>
      </c>
      <c r="K279" s="4" t="n">
        <v>0.17</v>
      </c>
    </row>
    <row r="280" customFormat="false" ht="14.25" hidden="false" customHeight="false" outlineLevel="0" collapsed="false">
      <c r="B280" s="1" t="n">
        <v>19.1</v>
      </c>
      <c r="C280" s="3" t="n">
        <v>392</v>
      </c>
      <c r="D280" s="1" t="n">
        <v>2</v>
      </c>
      <c r="E280" s="2" t="n">
        <v>40</v>
      </c>
      <c r="F280" s="4" t="n">
        <v>3.35387948274239</v>
      </c>
      <c r="G280" s="1" t="n">
        <v>30</v>
      </c>
      <c r="H280" s="1" t="n">
        <v>39.5</v>
      </c>
      <c r="I280" s="5" t="n">
        <v>0.0665965360251012</v>
      </c>
      <c r="J280" s="4" t="n">
        <v>259.140923562438</v>
      </c>
      <c r="K280" s="4" t="n">
        <v>0.18</v>
      </c>
    </row>
    <row r="281" customFormat="false" ht="14.25" hidden="false" customHeight="false" outlineLevel="0" collapsed="false">
      <c r="B281" s="1" t="n">
        <v>19.1</v>
      </c>
      <c r="C281" s="3" t="n">
        <v>392</v>
      </c>
      <c r="D281" s="1" t="n">
        <v>2</v>
      </c>
      <c r="E281" s="2" t="n">
        <v>40</v>
      </c>
      <c r="F281" s="4" t="n">
        <v>3.35387948274239</v>
      </c>
      <c r="G281" s="1" t="n">
        <v>30</v>
      </c>
      <c r="H281" s="1" t="n">
        <v>39.5</v>
      </c>
      <c r="I281" s="5" t="n">
        <v>0.0665965360251012</v>
      </c>
      <c r="J281" s="4" t="n">
        <v>296.025945529354</v>
      </c>
      <c r="K281" s="4" t="n">
        <v>0.2</v>
      </c>
    </row>
    <row r="282" customFormat="false" ht="14.25" hidden="false" customHeight="false" outlineLevel="0" collapsed="false">
      <c r="B282" s="1" t="n">
        <v>19.1</v>
      </c>
      <c r="C282" s="3" t="n">
        <v>392</v>
      </c>
      <c r="D282" s="1" t="n">
        <v>2</v>
      </c>
      <c r="E282" s="2" t="n">
        <v>40</v>
      </c>
      <c r="F282" s="4" t="n">
        <v>3.35387948274239</v>
      </c>
      <c r="G282" s="1" t="n">
        <v>30</v>
      </c>
      <c r="H282" s="1" t="n">
        <v>39.5</v>
      </c>
      <c r="I282" s="5" t="n">
        <v>0.0665965360251012</v>
      </c>
      <c r="J282" s="4" t="n">
        <v>333.856737290294</v>
      </c>
      <c r="K282" s="4" t="n">
        <v>0.2</v>
      </c>
    </row>
    <row r="283" customFormat="false" ht="14.25" hidden="false" customHeight="false" outlineLevel="0" collapsed="false">
      <c r="B283" s="1" t="n">
        <v>19.1</v>
      </c>
      <c r="C283" s="3" t="n">
        <v>392</v>
      </c>
      <c r="D283" s="1" t="n">
        <v>2</v>
      </c>
      <c r="E283" s="2" t="n">
        <v>40</v>
      </c>
      <c r="F283" s="4" t="n">
        <v>3.35387948274239</v>
      </c>
      <c r="G283" s="1" t="n">
        <v>30</v>
      </c>
      <c r="H283" s="1" t="n">
        <v>39.5</v>
      </c>
      <c r="I283" s="5" t="n">
        <v>0.0665965360251012</v>
      </c>
      <c r="J283" s="4" t="n">
        <v>369.795989463187</v>
      </c>
      <c r="K283" s="4" t="n">
        <v>0.25</v>
      </c>
    </row>
    <row r="284" customFormat="false" ht="14.25" hidden="false" customHeight="false" outlineLevel="0" collapsed="false">
      <c r="B284" s="1" t="n">
        <v>19.1</v>
      </c>
      <c r="C284" s="3" t="n">
        <v>392</v>
      </c>
      <c r="D284" s="1" t="n">
        <v>2</v>
      </c>
      <c r="E284" s="2" t="n">
        <v>40</v>
      </c>
      <c r="F284" s="4" t="n">
        <v>3.35387948274239</v>
      </c>
      <c r="G284" s="1" t="n">
        <v>30</v>
      </c>
      <c r="H284" s="1" t="n">
        <v>39.5</v>
      </c>
      <c r="I284" s="5" t="n">
        <v>0.0665965360251012</v>
      </c>
      <c r="J284" s="4" t="n">
        <v>392.3</v>
      </c>
      <c r="K284" s="4" t="n">
        <v>0.27</v>
      </c>
    </row>
    <row r="285" customFormat="false" ht="14.25" hidden="false" customHeight="false" outlineLevel="0" collapsed="false">
      <c r="A285" s="0" t="s">
        <v>86</v>
      </c>
      <c r="B285" s="1" t="n">
        <v>19.1</v>
      </c>
      <c r="C285" s="3" t="n">
        <v>392</v>
      </c>
      <c r="D285" s="1" t="n">
        <v>2</v>
      </c>
      <c r="E285" s="2" t="n">
        <v>40</v>
      </c>
      <c r="F285" s="4" t="n">
        <v>3.35387948274239</v>
      </c>
      <c r="G285" s="1" t="n">
        <v>30</v>
      </c>
      <c r="H285" s="1" t="n">
        <v>39.5</v>
      </c>
      <c r="I285" s="5" t="n">
        <v>0.0665965360251012</v>
      </c>
      <c r="J285" s="4" t="n">
        <v>296.025945529354</v>
      </c>
      <c r="K285" s="4" t="n">
        <v>0.18</v>
      </c>
    </row>
    <row r="286" customFormat="false" ht="14.25" hidden="false" customHeight="false" outlineLevel="0" collapsed="false">
      <c r="B286" s="1" t="n">
        <v>19.1</v>
      </c>
      <c r="C286" s="3" t="n">
        <v>392</v>
      </c>
      <c r="D286" s="1" t="n">
        <v>2</v>
      </c>
      <c r="E286" s="2" t="n">
        <v>40</v>
      </c>
      <c r="F286" s="4" t="n">
        <v>3.35387948274239</v>
      </c>
      <c r="G286" s="1" t="n">
        <v>30</v>
      </c>
      <c r="H286" s="1" t="n">
        <v>39.5</v>
      </c>
      <c r="I286" s="5" t="n">
        <v>0.0665965360251012</v>
      </c>
      <c r="J286" s="4" t="n">
        <v>331.965197702247</v>
      </c>
      <c r="K286" s="4" t="n">
        <v>0.19</v>
      </c>
    </row>
    <row r="287" customFormat="false" ht="14.25" hidden="false" customHeight="false" outlineLevel="0" collapsed="false">
      <c r="B287" s="1" t="n">
        <v>19.1</v>
      </c>
      <c r="C287" s="3" t="n">
        <v>392</v>
      </c>
      <c r="D287" s="1" t="n">
        <v>2</v>
      </c>
      <c r="E287" s="2" t="n">
        <v>40</v>
      </c>
      <c r="F287" s="4" t="n">
        <v>3.35387948274239</v>
      </c>
      <c r="G287" s="1" t="n">
        <v>30</v>
      </c>
      <c r="H287" s="1" t="n">
        <v>39.5</v>
      </c>
      <c r="I287" s="5" t="n">
        <v>0.0665965360251012</v>
      </c>
      <c r="J287" s="4" t="n">
        <v>369.795989463187</v>
      </c>
      <c r="K287" s="4" t="n">
        <v>0.21</v>
      </c>
    </row>
    <row r="288" customFormat="false" ht="14.25" hidden="false" customHeight="false" outlineLevel="0" collapsed="false">
      <c r="B288" s="1" t="n">
        <v>19.1</v>
      </c>
      <c r="C288" s="3" t="n">
        <v>392</v>
      </c>
      <c r="D288" s="1" t="n">
        <v>2</v>
      </c>
      <c r="E288" s="2" t="n">
        <v>40</v>
      </c>
      <c r="F288" s="4" t="n">
        <v>3.35387948274239</v>
      </c>
      <c r="G288" s="1" t="n">
        <v>30</v>
      </c>
      <c r="H288" s="1" t="n">
        <v>39.5</v>
      </c>
      <c r="I288" s="5" t="n">
        <v>0.0665965360251012</v>
      </c>
      <c r="J288" s="4" t="n">
        <v>392.3</v>
      </c>
      <c r="K288" s="4" t="n">
        <v>0.26</v>
      </c>
    </row>
    <row r="289" customFormat="false" ht="14.25" hidden="false" customHeight="false" outlineLevel="0" collapsed="false">
      <c r="A289" s="0" t="s">
        <v>87</v>
      </c>
      <c r="B289" s="1" t="n">
        <v>19.1</v>
      </c>
      <c r="C289" s="3" t="n">
        <v>276</v>
      </c>
      <c r="D289" s="1" t="n">
        <v>2</v>
      </c>
      <c r="E289" s="2" t="n">
        <v>69.8</v>
      </c>
      <c r="F289" s="4" t="n">
        <v>2.90032882517908</v>
      </c>
      <c r="G289" s="1" t="n">
        <v>31.8</v>
      </c>
      <c r="H289" s="1" t="n">
        <v>41.4</v>
      </c>
      <c r="I289" s="5" t="n">
        <v>0.0406514436897205</v>
      </c>
      <c r="J289" s="4" t="n">
        <v>203.022493137384</v>
      </c>
      <c r="K289" s="4" t="n">
        <v>0.17</v>
      </c>
    </row>
    <row r="290" customFormat="false" ht="14.25" hidden="false" customHeight="false" outlineLevel="0" collapsed="false">
      <c r="B290" s="1" t="n">
        <v>19.1</v>
      </c>
      <c r="C290" s="3" t="n">
        <v>276</v>
      </c>
      <c r="D290" s="1" t="n">
        <v>2</v>
      </c>
      <c r="E290" s="2" t="n">
        <v>69.8</v>
      </c>
      <c r="F290" s="4" t="n">
        <v>2.90032882517908</v>
      </c>
      <c r="G290" s="1" t="n">
        <v>31.8</v>
      </c>
      <c r="H290" s="1" t="n">
        <v>41.4</v>
      </c>
      <c r="I290" s="5" t="n">
        <v>0.0406514436897205</v>
      </c>
      <c r="J290" s="4" t="n">
        <v>244.500206789107</v>
      </c>
      <c r="K290" s="4" t="n">
        <v>0.23</v>
      </c>
    </row>
    <row r="291" customFormat="false" ht="14.25" hidden="false" customHeight="false" outlineLevel="0" collapsed="false">
      <c r="B291" s="1" t="n">
        <v>19.1</v>
      </c>
      <c r="C291" s="3" t="n">
        <v>276</v>
      </c>
      <c r="D291" s="1" t="n">
        <v>2</v>
      </c>
      <c r="E291" s="2" t="n">
        <v>69.8</v>
      </c>
      <c r="F291" s="4" t="n">
        <v>2.90032882517908</v>
      </c>
      <c r="G291" s="1" t="n">
        <v>31.8</v>
      </c>
      <c r="H291" s="1" t="n">
        <v>41.4</v>
      </c>
      <c r="I291" s="5" t="n">
        <v>0.0406514436897205</v>
      </c>
      <c r="J291" s="4" t="n">
        <v>275.8</v>
      </c>
      <c r="K291" s="4" t="n">
        <v>0.27</v>
      </c>
    </row>
    <row r="292" customFormat="false" ht="14.25" hidden="false" customHeight="false" outlineLevel="0" collapsed="false">
      <c r="A292" s="0" t="s">
        <v>88</v>
      </c>
      <c r="B292" s="1" t="n">
        <v>19.1</v>
      </c>
      <c r="C292" s="3" t="n">
        <v>276</v>
      </c>
      <c r="D292" s="1" t="n">
        <v>2</v>
      </c>
      <c r="E292" s="2" t="n">
        <v>69.8</v>
      </c>
      <c r="F292" s="4" t="n">
        <v>2.84669189571421</v>
      </c>
      <c r="G292" s="1" t="n">
        <v>31.8</v>
      </c>
      <c r="H292" s="1" t="n">
        <v>41.4</v>
      </c>
      <c r="I292" s="5" t="n">
        <v>0.040711184462322</v>
      </c>
      <c r="J292" s="4" t="n">
        <v>275.8</v>
      </c>
      <c r="K292" s="4" t="n">
        <v>0.16</v>
      </c>
    </row>
    <row r="293" customFormat="false" ht="14.25" hidden="false" customHeight="false" outlineLevel="0" collapsed="false">
      <c r="A293" s="0" t="s">
        <v>89</v>
      </c>
      <c r="B293" s="1" t="n">
        <v>19.1</v>
      </c>
      <c r="C293" s="3" t="n">
        <v>276</v>
      </c>
      <c r="D293" s="1" t="n">
        <v>2</v>
      </c>
      <c r="E293" s="2" t="n">
        <v>69.8</v>
      </c>
      <c r="F293" s="4" t="n">
        <v>2.71132147348833</v>
      </c>
      <c r="G293" s="1" t="n">
        <v>38.2</v>
      </c>
      <c r="H293" s="1" t="n">
        <v>47.7</v>
      </c>
      <c r="I293" s="5" t="n">
        <v>0.0406919089819377</v>
      </c>
      <c r="J293" s="4" t="n">
        <v>249.745884346061</v>
      </c>
      <c r="K293" s="4" t="n">
        <v>0.16</v>
      </c>
    </row>
    <row r="294" customFormat="false" ht="14.25" hidden="false" customHeight="false" outlineLevel="0" collapsed="false">
      <c r="B294" s="1" t="n">
        <v>19.1</v>
      </c>
      <c r="C294" s="3" t="n">
        <v>276</v>
      </c>
      <c r="D294" s="1" t="n">
        <v>2</v>
      </c>
      <c r="E294" s="2" t="n">
        <v>69.8</v>
      </c>
      <c r="F294" s="4" t="n">
        <v>2.71132147348833</v>
      </c>
      <c r="G294" s="1" t="n">
        <v>38.2</v>
      </c>
      <c r="H294" s="1" t="n">
        <v>47.7</v>
      </c>
      <c r="I294" s="5" t="n">
        <v>0.0406919089819377</v>
      </c>
      <c r="J294" s="4" t="n">
        <v>275.8</v>
      </c>
      <c r="K294" s="4" t="n">
        <v>0.2</v>
      </c>
    </row>
    <row r="295" customFormat="false" ht="14.25" hidden="false" customHeight="false" outlineLevel="0" collapsed="false">
      <c r="A295" s="0" t="s">
        <v>90</v>
      </c>
      <c r="B295" s="1" t="n">
        <v>22.2</v>
      </c>
      <c r="C295" s="3" t="n">
        <v>276</v>
      </c>
      <c r="D295" s="1" t="n">
        <v>2</v>
      </c>
      <c r="E295" s="2" t="n">
        <v>63.6</v>
      </c>
      <c r="F295" s="4" t="n">
        <v>2.68798662700617</v>
      </c>
      <c r="G295" s="1" t="n">
        <v>12.8</v>
      </c>
      <c r="H295" s="1" t="n">
        <v>23.9</v>
      </c>
      <c r="I295" s="5" t="n">
        <v>0.0849998352716371</v>
      </c>
      <c r="J295" s="4" t="n">
        <v>271.289437560374</v>
      </c>
      <c r="K295" s="4" t="n">
        <v>0.17</v>
      </c>
    </row>
    <row r="296" customFormat="false" ht="14.25" hidden="false" customHeight="false" outlineLevel="0" collapsed="false">
      <c r="A296" s="0" t="s">
        <v>91</v>
      </c>
      <c r="B296" s="1" t="n">
        <v>22.2</v>
      </c>
      <c r="C296" s="3" t="n">
        <v>276</v>
      </c>
      <c r="D296" s="1" t="n">
        <v>2</v>
      </c>
      <c r="E296" s="2" t="n">
        <v>63.6</v>
      </c>
      <c r="F296" s="4" t="n">
        <v>2.38460157103714</v>
      </c>
      <c r="G296" s="1" t="n">
        <v>38</v>
      </c>
      <c r="H296" s="1" t="n">
        <v>49.1</v>
      </c>
      <c r="I296" s="5" t="n">
        <v>0.0590223888904023</v>
      </c>
      <c r="J296" s="4" t="n">
        <v>195.113525980031</v>
      </c>
      <c r="K296" s="4" t="n">
        <v>0.15</v>
      </c>
    </row>
    <row r="297" customFormat="false" ht="14.25" hidden="false" customHeight="false" outlineLevel="0" collapsed="false">
      <c r="B297" s="1" t="n">
        <v>22.2</v>
      </c>
      <c r="C297" s="3" t="n">
        <v>276</v>
      </c>
      <c r="D297" s="1" t="n">
        <v>2</v>
      </c>
      <c r="E297" s="2" t="n">
        <v>63.6</v>
      </c>
      <c r="F297" s="4" t="n">
        <v>2.38460157103714</v>
      </c>
      <c r="G297" s="1" t="n">
        <v>38</v>
      </c>
      <c r="H297" s="1" t="n">
        <v>49.1</v>
      </c>
      <c r="I297" s="5" t="n">
        <v>0.0590223888904023</v>
      </c>
      <c r="J297" s="4" t="n">
        <v>226.947036463892</v>
      </c>
      <c r="K297" s="4" t="n">
        <v>0.19</v>
      </c>
    </row>
    <row r="298" customFormat="false" ht="14.25" hidden="false" customHeight="false" outlineLevel="0" collapsed="false">
      <c r="B298" s="1" t="n">
        <v>22.2</v>
      </c>
      <c r="C298" s="3" t="n">
        <v>276</v>
      </c>
      <c r="D298" s="1" t="n">
        <v>2</v>
      </c>
      <c r="E298" s="2" t="n">
        <v>63.6</v>
      </c>
      <c r="F298" s="4" t="n">
        <v>2.38460157103714</v>
      </c>
      <c r="G298" s="1" t="n">
        <v>38</v>
      </c>
      <c r="H298" s="1" t="n">
        <v>49.1</v>
      </c>
      <c r="I298" s="5" t="n">
        <v>0.0590223888904023</v>
      </c>
      <c r="J298" s="4" t="n">
        <v>260.91293520983</v>
      </c>
      <c r="K298" s="4" t="n">
        <v>0.22</v>
      </c>
    </row>
    <row r="299" customFormat="false" ht="14.25" hidden="false" customHeight="false" outlineLevel="0" collapsed="false">
      <c r="B299" s="1" t="n">
        <v>22.2</v>
      </c>
      <c r="C299" s="3" t="n">
        <v>276</v>
      </c>
      <c r="D299" s="1" t="n">
        <v>2</v>
      </c>
      <c r="E299" s="2" t="n">
        <v>63.6</v>
      </c>
      <c r="F299" s="4" t="n">
        <v>2.38460157103714</v>
      </c>
      <c r="G299" s="1" t="n">
        <v>38</v>
      </c>
      <c r="H299" s="1" t="n">
        <v>49.1</v>
      </c>
      <c r="I299" s="5" t="n">
        <v>0.0590223888904023</v>
      </c>
      <c r="J299" s="4" t="n">
        <v>275.8</v>
      </c>
      <c r="K299" s="4" t="n">
        <v>0.27</v>
      </c>
    </row>
    <row r="300" customFormat="false" ht="14.25" hidden="false" customHeight="false" outlineLevel="0" collapsed="false">
      <c r="A300" s="0" t="s">
        <v>92</v>
      </c>
      <c r="B300" s="1" t="n">
        <v>22.2</v>
      </c>
      <c r="C300" s="3" t="n">
        <v>276</v>
      </c>
      <c r="D300" s="1" t="n">
        <v>2</v>
      </c>
      <c r="E300" s="2" t="n">
        <v>63.6</v>
      </c>
      <c r="F300" s="4" t="n">
        <v>2.86484234762008</v>
      </c>
      <c r="G300" s="1" t="n">
        <v>38</v>
      </c>
      <c r="H300" s="1" t="n">
        <v>49.1</v>
      </c>
      <c r="I300" s="5" t="n">
        <v>0.0580540542064325</v>
      </c>
      <c r="J300" s="4" t="n">
        <v>259.632151766165</v>
      </c>
      <c r="K300" s="4" t="n">
        <v>0.17</v>
      </c>
    </row>
    <row r="301" customFormat="false" ht="14.25" hidden="false" customHeight="false" outlineLevel="0" collapsed="false">
      <c r="B301" s="1" t="n">
        <v>22.2</v>
      </c>
      <c r="C301" s="3" t="n">
        <v>276</v>
      </c>
      <c r="D301" s="1" t="n">
        <v>2</v>
      </c>
      <c r="E301" s="2" t="n">
        <v>63.6</v>
      </c>
      <c r="F301" s="4" t="n">
        <v>2.86484234762008</v>
      </c>
      <c r="G301" s="1" t="n">
        <v>38</v>
      </c>
      <c r="H301" s="1" t="n">
        <v>49.1</v>
      </c>
      <c r="I301" s="5" t="n">
        <v>0.0580540542064325</v>
      </c>
      <c r="J301" s="4" t="n">
        <v>275.8</v>
      </c>
      <c r="K301" s="4" t="n">
        <v>0.2</v>
      </c>
    </row>
    <row r="302" customFormat="false" ht="14.25" hidden="false" customHeight="false" outlineLevel="0" collapsed="false">
      <c r="A302" s="0" t="s">
        <v>93</v>
      </c>
      <c r="B302" s="1" t="n">
        <v>22.2</v>
      </c>
      <c r="C302" s="3" t="n">
        <v>276</v>
      </c>
      <c r="D302" s="1" t="n">
        <v>2</v>
      </c>
      <c r="E302" s="2" t="n">
        <v>63.6</v>
      </c>
      <c r="F302" s="4" t="n">
        <v>2.83369179024989</v>
      </c>
      <c r="G302" s="1" t="n">
        <v>38</v>
      </c>
      <c r="H302" s="1" t="n">
        <v>49.1</v>
      </c>
      <c r="I302" s="5" t="n">
        <v>0.0581102395943944</v>
      </c>
      <c r="J302" s="4" t="n">
        <v>194.21192690601</v>
      </c>
      <c r="K302" s="4" t="n">
        <v>0.15</v>
      </c>
    </row>
    <row r="303" customFormat="false" ht="14.25" hidden="false" customHeight="false" outlineLevel="0" collapsed="false">
      <c r="B303" s="1" t="n">
        <v>22.2</v>
      </c>
      <c r="C303" s="3" t="n">
        <v>276</v>
      </c>
      <c r="D303" s="1" t="n">
        <v>2</v>
      </c>
      <c r="E303" s="2" t="n">
        <v>63.6</v>
      </c>
      <c r="F303" s="4" t="n">
        <v>2.83369179024989</v>
      </c>
      <c r="G303" s="1" t="n">
        <v>38</v>
      </c>
      <c r="H303" s="1" t="n">
        <v>49.1</v>
      </c>
      <c r="I303" s="5" t="n">
        <v>0.0581102395943944</v>
      </c>
      <c r="J303" s="4" t="n">
        <v>225.898338087397</v>
      </c>
      <c r="K303" s="4" t="n">
        <v>0.18</v>
      </c>
    </row>
    <row r="304" customFormat="false" ht="14.25" hidden="false" customHeight="false" outlineLevel="0" collapsed="false">
      <c r="B304" s="1" t="n">
        <v>22.2</v>
      </c>
      <c r="C304" s="3" t="n">
        <v>276</v>
      </c>
      <c r="D304" s="1" t="n">
        <v>2</v>
      </c>
      <c r="E304" s="2" t="n">
        <v>63.6</v>
      </c>
      <c r="F304" s="4" t="n">
        <v>2.83369179024989</v>
      </c>
      <c r="G304" s="1" t="n">
        <v>38</v>
      </c>
      <c r="H304" s="1" t="n">
        <v>49.1</v>
      </c>
      <c r="I304" s="5" t="n">
        <v>0.0581102395943944</v>
      </c>
      <c r="J304" s="4" t="n">
        <v>259.707283989067</v>
      </c>
      <c r="K304" s="4" t="n">
        <v>0.22</v>
      </c>
    </row>
    <row r="305" customFormat="false" ht="14.25" hidden="false" customHeight="false" outlineLevel="0" collapsed="false">
      <c r="B305" s="1" t="n">
        <v>22.2</v>
      </c>
      <c r="C305" s="3" t="n">
        <v>276</v>
      </c>
      <c r="D305" s="1" t="n">
        <v>2</v>
      </c>
      <c r="E305" s="2" t="n">
        <v>63.6</v>
      </c>
      <c r="F305" s="4" t="n">
        <v>2.83369179024989</v>
      </c>
      <c r="G305" s="1" t="n">
        <v>38</v>
      </c>
      <c r="H305" s="1" t="n">
        <v>49.1</v>
      </c>
      <c r="I305" s="5" t="n">
        <v>0.0581102395943944</v>
      </c>
      <c r="J305" s="4" t="n">
        <v>275.8</v>
      </c>
      <c r="K305" s="4" t="n">
        <v>0.25</v>
      </c>
    </row>
    <row r="306" customFormat="false" ht="14.25" hidden="false" customHeight="false" outlineLevel="0" collapsed="false">
      <c r="A306" s="0" t="s">
        <v>94</v>
      </c>
      <c r="B306" s="1" t="n">
        <v>22.2</v>
      </c>
      <c r="C306" s="3" t="n">
        <v>276</v>
      </c>
      <c r="D306" s="1" t="n">
        <v>2</v>
      </c>
      <c r="E306" s="2" t="n">
        <v>63.6</v>
      </c>
      <c r="F306" s="4" t="n">
        <v>2.75637342683892</v>
      </c>
      <c r="G306" s="1" t="n">
        <v>38</v>
      </c>
      <c r="H306" s="1" t="n">
        <v>49.1</v>
      </c>
      <c r="I306" s="5" t="n">
        <v>0.0582532535562727</v>
      </c>
      <c r="J306" s="4" t="n">
        <v>194.354596032503</v>
      </c>
      <c r="K306" s="4" t="n">
        <v>0.2</v>
      </c>
    </row>
    <row r="307" customFormat="false" ht="14.25" hidden="false" customHeight="false" outlineLevel="0" collapsed="false">
      <c r="B307" s="1" t="n">
        <v>22.2</v>
      </c>
      <c r="C307" s="3" t="n">
        <v>276</v>
      </c>
      <c r="D307" s="1" t="n">
        <v>2</v>
      </c>
      <c r="E307" s="2" t="n">
        <v>63.6</v>
      </c>
      <c r="F307" s="4" t="n">
        <v>2.75637342683892</v>
      </c>
      <c r="G307" s="1" t="n">
        <v>38</v>
      </c>
      <c r="H307" s="1" t="n">
        <v>49.1</v>
      </c>
      <c r="I307" s="5" t="n">
        <v>0.0582532535562727</v>
      </c>
      <c r="J307" s="4" t="n">
        <v>226.064284222037</v>
      </c>
      <c r="K307" s="4" t="n">
        <v>0.25</v>
      </c>
    </row>
    <row r="308" customFormat="false" ht="14.25" hidden="false" customHeight="false" outlineLevel="0" collapsed="false">
      <c r="B308" s="1" t="n">
        <v>22.2</v>
      </c>
      <c r="C308" s="3" t="n">
        <v>276</v>
      </c>
      <c r="D308" s="1" t="n">
        <v>2</v>
      </c>
      <c r="E308" s="2" t="n">
        <v>63.6</v>
      </c>
      <c r="F308" s="4" t="n">
        <v>2.75637342683892</v>
      </c>
      <c r="G308" s="1" t="n">
        <v>38</v>
      </c>
      <c r="H308" s="1" t="n">
        <v>49.1</v>
      </c>
      <c r="I308" s="5" t="n">
        <v>0.0582532535562727</v>
      </c>
      <c r="J308" s="4" t="n">
        <v>259.898066357281</v>
      </c>
      <c r="K308" s="4" t="n">
        <v>0.3</v>
      </c>
    </row>
    <row r="309" customFormat="false" ht="14.25" hidden="false" customHeight="false" outlineLevel="0" collapsed="false">
      <c r="B309" s="1" t="n">
        <v>22.2</v>
      </c>
      <c r="C309" s="3" t="n">
        <v>276</v>
      </c>
      <c r="D309" s="1" t="n">
        <v>2</v>
      </c>
      <c r="E309" s="2" t="n">
        <v>63.6</v>
      </c>
      <c r="F309" s="4" t="n">
        <v>2.75637342683892</v>
      </c>
      <c r="G309" s="1" t="n">
        <v>38</v>
      </c>
      <c r="H309" s="1" t="n">
        <v>49.1</v>
      </c>
      <c r="I309" s="5" t="n">
        <v>0.0582532535562727</v>
      </c>
      <c r="J309" s="4" t="n">
        <v>275.8</v>
      </c>
      <c r="K309" s="4" t="n">
        <v>0.35</v>
      </c>
    </row>
    <row r="310" customFormat="false" ht="14.25" hidden="false" customHeight="false" outlineLevel="0" collapsed="false">
      <c r="A310" s="0" t="s">
        <v>95</v>
      </c>
      <c r="B310" s="1" t="n">
        <v>28.7</v>
      </c>
      <c r="C310" s="3" t="n">
        <v>276</v>
      </c>
      <c r="D310" s="1" t="n">
        <v>2</v>
      </c>
      <c r="E310" s="2" t="n">
        <v>50.6</v>
      </c>
      <c r="F310" s="4" t="n">
        <v>2.77481740215607</v>
      </c>
      <c r="G310" s="1" t="n">
        <v>22.2</v>
      </c>
      <c r="H310" s="1" t="n">
        <v>36.6</v>
      </c>
      <c r="I310" s="5" t="n">
        <v>0.108992850321706</v>
      </c>
      <c r="J310" s="4" t="n">
        <v>234.115818289886</v>
      </c>
      <c r="K310" s="4" t="n">
        <v>0.17</v>
      </c>
    </row>
    <row r="311" customFormat="false" ht="14.25" hidden="false" customHeight="false" outlineLevel="0" collapsed="false">
      <c r="B311" s="1" t="n">
        <v>28.7</v>
      </c>
      <c r="C311" s="3" t="n">
        <v>276</v>
      </c>
      <c r="D311" s="1" t="n">
        <v>2</v>
      </c>
      <c r="E311" s="2" t="n">
        <v>50.6</v>
      </c>
      <c r="F311" s="4" t="n">
        <v>2.77481740215607</v>
      </c>
      <c r="G311" s="1" t="n">
        <v>22.2</v>
      </c>
      <c r="H311" s="1" t="n">
        <v>36.6</v>
      </c>
      <c r="I311" s="5" t="n">
        <v>0.108992850321706</v>
      </c>
      <c r="J311" s="4" t="n">
        <v>274.847284751406</v>
      </c>
      <c r="K311" s="4" t="n">
        <v>0.2</v>
      </c>
    </row>
    <row r="312" customFormat="false" ht="14.25" hidden="false" customHeight="false" outlineLevel="0" collapsed="false">
      <c r="A312" s="0" t="s">
        <v>96</v>
      </c>
      <c r="B312" s="1" t="n">
        <v>28.7</v>
      </c>
      <c r="C312" s="3" t="n">
        <v>276</v>
      </c>
      <c r="D312" s="1" t="n">
        <v>2</v>
      </c>
      <c r="E312" s="2" t="n">
        <v>50.6</v>
      </c>
      <c r="F312" s="4" t="n">
        <v>2.80171464705939</v>
      </c>
      <c r="G312" s="1" t="n">
        <v>38.2</v>
      </c>
      <c r="H312" s="1" t="n">
        <v>52.5</v>
      </c>
      <c r="I312" s="5" t="n">
        <v>0.106860667703036</v>
      </c>
      <c r="J312" s="4" t="n">
        <v>179.495600322604</v>
      </c>
      <c r="K312" s="4" t="n">
        <v>0.17</v>
      </c>
    </row>
    <row r="313" customFormat="false" ht="14.25" hidden="false" customHeight="false" outlineLevel="0" collapsed="false">
      <c r="B313" s="1" t="n">
        <v>28.7</v>
      </c>
      <c r="C313" s="3" t="n">
        <v>276</v>
      </c>
      <c r="D313" s="1" t="n">
        <v>2</v>
      </c>
      <c r="E313" s="2" t="n">
        <v>50.6</v>
      </c>
      <c r="F313" s="4" t="n">
        <v>2.80171464705939</v>
      </c>
      <c r="G313" s="1" t="n">
        <v>38.2</v>
      </c>
      <c r="H313" s="1" t="n">
        <v>52.5</v>
      </c>
      <c r="I313" s="5" t="n">
        <v>0.106860667703036</v>
      </c>
      <c r="J313" s="4" t="n">
        <v>212.742542651488</v>
      </c>
      <c r="K313" s="4" t="n">
        <v>0.2</v>
      </c>
    </row>
    <row r="314" customFormat="false" ht="14.25" hidden="false" customHeight="false" outlineLevel="0" collapsed="false">
      <c r="B314" s="1" t="n">
        <v>28.7</v>
      </c>
      <c r="C314" s="3" t="n">
        <v>276</v>
      </c>
      <c r="D314" s="1" t="n">
        <v>2</v>
      </c>
      <c r="E314" s="2" t="n">
        <v>50.6</v>
      </c>
      <c r="F314" s="4" t="n">
        <v>2.80171464705939</v>
      </c>
      <c r="G314" s="1" t="n">
        <v>38.2</v>
      </c>
      <c r="H314" s="1" t="n">
        <v>52.5</v>
      </c>
      <c r="I314" s="5" t="n">
        <v>0.106860667703036</v>
      </c>
      <c r="J314" s="4" t="n">
        <v>245.231719913046</v>
      </c>
      <c r="K314" s="4" t="n">
        <v>0.25</v>
      </c>
    </row>
    <row r="315" customFormat="false" ht="14.25" hidden="false" customHeight="false" outlineLevel="0" collapsed="false">
      <c r="B315" s="1" t="n">
        <v>28.7</v>
      </c>
      <c r="C315" s="3" t="n">
        <v>276</v>
      </c>
      <c r="D315" s="1" t="n">
        <v>2</v>
      </c>
      <c r="E315" s="2" t="n">
        <v>50.6</v>
      </c>
      <c r="F315" s="4" t="n">
        <v>2.80171464705939</v>
      </c>
      <c r="G315" s="1" t="n">
        <v>38.2</v>
      </c>
      <c r="H315" s="1" t="n">
        <v>52.5</v>
      </c>
      <c r="I315" s="5" t="n">
        <v>0.106860667703036</v>
      </c>
      <c r="J315" s="4" t="n">
        <v>275.8</v>
      </c>
      <c r="K315" s="4" t="n">
        <v>0.29</v>
      </c>
    </row>
    <row r="316" customFormat="false" ht="14.25" hidden="false" customHeight="false" outlineLevel="0" collapsed="false">
      <c r="A316" s="0" t="s">
        <v>97</v>
      </c>
      <c r="B316" s="1" t="n">
        <v>28.7</v>
      </c>
      <c r="C316" s="3" t="n">
        <v>276</v>
      </c>
      <c r="D316" s="1" t="n">
        <v>2</v>
      </c>
      <c r="E316" s="2" t="n">
        <v>50.6</v>
      </c>
      <c r="F316" s="4" t="n">
        <v>2.71531164579845</v>
      </c>
      <c r="G316" s="1" t="n">
        <v>38.2</v>
      </c>
      <c r="H316" s="1" t="n">
        <v>52.5</v>
      </c>
      <c r="I316" s="5" t="n">
        <v>0.107226386910195</v>
      </c>
      <c r="J316" s="4" t="n">
        <v>212.947491588265</v>
      </c>
      <c r="K316" s="4" t="n">
        <v>0.17</v>
      </c>
    </row>
    <row r="317" customFormat="false" ht="14.25" hidden="false" customHeight="false" outlineLevel="0" collapsed="false">
      <c r="A317" s="0" t="s">
        <v>98</v>
      </c>
      <c r="B317" s="1" t="n">
        <v>28.7</v>
      </c>
      <c r="C317" s="3" t="n">
        <v>276</v>
      </c>
      <c r="D317" s="1" t="n">
        <v>2</v>
      </c>
      <c r="E317" s="2" t="n">
        <v>50.6</v>
      </c>
      <c r="F317" s="4" t="n">
        <v>2.80171464705939</v>
      </c>
      <c r="G317" s="1" t="n">
        <v>38.2</v>
      </c>
      <c r="H317" s="1" t="n">
        <v>52.5</v>
      </c>
      <c r="I317" s="5" t="n">
        <v>0.106860667703036</v>
      </c>
      <c r="J317" s="4" t="n">
        <v>179.495600322604</v>
      </c>
      <c r="K317" s="4" t="n">
        <v>0.15</v>
      </c>
    </row>
    <row r="318" customFormat="false" ht="14.25" hidden="false" customHeight="false" outlineLevel="0" collapsed="false">
      <c r="B318" s="1" t="n">
        <v>28.7</v>
      </c>
      <c r="C318" s="3" t="n">
        <v>276</v>
      </c>
      <c r="D318" s="1" t="n">
        <v>2</v>
      </c>
      <c r="E318" s="2" t="n">
        <v>50.6</v>
      </c>
      <c r="F318" s="4" t="n">
        <v>2.80171464705939</v>
      </c>
      <c r="G318" s="1" t="n">
        <v>38.2</v>
      </c>
      <c r="H318" s="1" t="n">
        <v>52.5</v>
      </c>
      <c r="I318" s="5" t="n">
        <v>0.106860667703036</v>
      </c>
      <c r="J318" s="4" t="n">
        <v>212.742542651488</v>
      </c>
      <c r="K318" s="4" t="n">
        <v>0.16</v>
      </c>
    </row>
    <row r="319" customFormat="false" ht="14.25" hidden="false" customHeight="false" outlineLevel="0" collapsed="false">
      <c r="B319" s="1" t="n">
        <v>28.7</v>
      </c>
      <c r="C319" s="3" t="n">
        <v>276</v>
      </c>
      <c r="D319" s="1" t="n">
        <v>2</v>
      </c>
      <c r="E319" s="2" t="n">
        <v>50.6</v>
      </c>
      <c r="F319" s="4" t="n">
        <v>2.80171464705939</v>
      </c>
      <c r="G319" s="1" t="n">
        <v>38.2</v>
      </c>
      <c r="H319" s="1" t="n">
        <v>52.5</v>
      </c>
      <c r="I319" s="5" t="n">
        <v>0.106860667703036</v>
      </c>
      <c r="J319" s="4" t="n">
        <v>245.231719913046</v>
      </c>
      <c r="K319" s="4" t="n">
        <v>0.22</v>
      </c>
    </row>
    <row r="320" customFormat="false" ht="14.25" hidden="false" customHeight="false" outlineLevel="0" collapsed="false">
      <c r="B320" s="1" t="n">
        <v>28.7</v>
      </c>
      <c r="C320" s="3" t="n">
        <v>276</v>
      </c>
      <c r="D320" s="1" t="n">
        <v>2</v>
      </c>
      <c r="E320" s="2" t="n">
        <v>50.6</v>
      </c>
      <c r="F320" s="4" t="n">
        <v>2.80171464705939</v>
      </c>
      <c r="G320" s="1" t="n">
        <v>38.2</v>
      </c>
      <c r="H320" s="1" t="n">
        <v>52.5</v>
      </c>
      <c r="I320" s="5" t="n">
        <v>0.106860667703036</v>
      </c>
      <c r="J320" s="4" t="n">
        <v>275.8</v>
      </c>
      <c r="K320" s="4" t="n">
        <v>0.26</v>
      </c>
    </row>
    <row r="321" customFormat="false" ht="14.25" hidden="false" customHeight="false" outlineLevel="0" collapsed="false">
      <c r="A321" s="0" t="s">
        <v>99</v>
      </c>
      <c r="B321" s="1" t="n">
        <v>28.7</v>
      </c>
      <c r="C321" s="3" t="n">
        <v>276</v>
      </c>
      <c r="D321" s="1" t="n">
        <v>2</v>
      </c>
      <c r="E321" s="2" t="n">
        <v>50.6</v>
      </c>
      <c r="F321" s="4" t="n">
        <v>2.52444806810338</v>
      </c>
      <c r="G321" s="1" t="n">
        <v>38.2</v>
      </c>
      <c r="H321" s="1" t="n">
        <v>52.5</v>
      </c>
      <c r="I321" s="5" t="n">
        <v>0.108091118039397</v>
      </c>
      <c r="J321" s="4" t="n">
        <v>213.428114144873</v>
      </c>
      <c r="K321" s="4" t="n">
        <v>0.17</v>
      </c>
    </row>
    <row r="322" customFormat="false" ht="14.25" hidden="false" customHeight="false" outlineLevel="0" collapsed="false">
      <c r="B322" s="1" t="n">
        <v>28.7</v>
      </c>
      <c r="C322" s="3" t="n">
        <v>276</v>
      </c>
      <c r="D322" s="1" t="n">
        <v>2</v>
      </c>
      <c r="E322" s="2" t="n">
        <v>50.6</v>
      </c>
      <c r="F322" s="4" t="n">
        <v>2.52444806810338</v>
      </c>
      <c r="G322" s="1" t="n">
        <v>38.2</v>
      </c>
      <c r="H322" s="1" t="n">
        <v>52.5</v>
      </c>
      <c r="I322" s="5" t="n">
        <v>0.108091118039397</v>
      </c>
      <c r="J322" s="4" t="n">
        <v>246.021989101103</v>
      </c>
      <c r="K322" s="4" t="n">
        <v>0.2</v>
      </c>
    </row>
    <row r="323" customFormat="false" ht="14.25" hidden="false" customHeight="false" outlineLevel="0" collapsed="false">
      <c r="B323" s="1" t="n">
        <v>28.7</v>
      </c>
      <c r="C323" s="3" t="n">
        <v>276</v>
      </c>
      <c r="D323" s="1" t="n">
        <v>2</v>
      </c>
      <c r="E323" s="2" t="n">
        <v>50.6</v>
      </c>
      <c r="F323" s="4" t="n">
        <v>2.52444806810338</v>
      </c>
      <c r="G323" s="1" t="n">
        <v>38.2</v>
      </c>
      <c r="H323" s="1" t="n">
        <v>52.5</v>
      </c>
      <c r="I323" s="5" t="n">
        <v>0.108091118039397</v>
      </c>
      <c r="J323" s="4" t="n">
        <v>275.8</v>
      </c>
      <c r="K323" s="4" t="n">
        <v>0.24</v>
      </c>
    </row>
    <row r="324" customFormat="false" ht="14.25" hidden="false" customHeight="false" outlineLevel="0" collapsed="false">
      <c r="A324" s="0" t="s">
        <v>100</v>
      </c>
      <c r="B324" s="1" t="n">
        <v>32.3</v>
      </c>
      <c r="C324" s="3" t="n">
        <v>276</v>
      </c>
      <c r="D324" s="1" t="n">
        <v>1</v>
      </c>
      <c r="E324" s="2" t="n">
        <v>60</v>
      </c>
      <c r="F324" s="4" t="n">
        <v>2.53821845332793</v>
      </c>
      <c r="G324" s="1" t="n">
        <v>38.3</v>
      </c>
      <c r="H324" s="1" t="n">
        <v>54.4</v>
      </c>
      <c r="I324" s="5" t="n">
        <v>0.0624495439088793</v>
      </c>
      <c r="J324" s="4" t="n">
        <v>170.803299154682</v>
      </c>
      <c r="K324" s="4" t="n">
        <v>0.17</v>
      </c>
    </row>
    <row r="325" customFormat="false" ht="14.25" hidden="false" customHeight="false" outlineLevel="0" collapsed="false">
      <c r="B325" s="1" t="n">
        <v>32.3</v>
      </c>
      <c r="C325" s="3" t="n">
        <v>276</v>
      </c>
      <c r="D325" s="1" t="n">
        <v>1</v>
      </c>
      <c r="E325" s="2" t="n">
        <v>60</v>
      </c>
      <c r="F325" s="4" t="n">
        <v>2.53821845332793</v>
      </c>
      <c r="G325" s="1" t="n">
        <v>38.3</v>
      </c>
      <c r="H325" s="1" t="n">
        <v>54.4</v>
      </c>
      <c r="I325" s="5" t="n">
        <v>0.0624495439088793</v>
      </c>
      <c r="J325" s="4" t="n">
        <v>210.242000847909</v>
      </c>
      <c r="K325" s="4" t="n">
        <v>0.23</v>
      </c>
    </row>
    <row r="326" customFormat="false" ht="14.25" hidden="false" customHeight="false" outlineLevel="0" collapsed="false">
      <c r="B326" s="1" t="n">
        <v>32.3</v>
      </c>
      <c r="C326" s="3" t="n">
        <v>276</v>
      </c>
      <c r="D326" s="1" t="n">
        <v>1</v>
      </c>
      <c r="E326" s="2" t="n">
        <v>60</v>
      </c>
      <c r="F326" s="4" t="n">
        <v>2.53821845332793</v>
      </c>
      <c r="G326" s="1" t="n">
        <v>38.3</v>
      </c>
      <c r="H326" s="1" t="n">
        <v>54.4</v>
      </c>
      <c r="I326" s="5" t="n">
        <v>0.0624495439088793</v>
      </c>
      <c r="J326" s="4" t="n">
        <v>245.135722048608</v>
      </c>
      <c r="K326" s="4" t="n">
        <v>0.27</v>
      </c>
    </row>
    <row r="327" customFormat="false" ht="14.25" hidden="false" customHeight="false" outlineLevel="0" collapsed="false">
      <c r="B327" s="1" t="n">
        <v>32.3</v>
      </c>
      <c r="C327" s="3" t="n">
        <v>276</v>
      </c>
      <c r="D327" s="1" t="n">
        <v>1</v>
      </c>
      <c r="E327" s="2" t="n">
        <v>60</v>
      </c>
      <c r="F327" s="4" t="n">
        <v>2.53821845332793</v>
      </c>
      <c r="G327" s="1" t="n">
        <v>38.3</v>
      </c>
      <c r="H327" s="1" t="n">
        <v>54.4</v>
      </c>
      <c r="I327" s="5" t="n">
        <v>0.0624495439088793</v>
      </c>
      <c r="J327" s="4" t="n">
        <v>270.059808620536</v>
      </c>
      <c r="K327" s="4" t="n">
        <v>0.31</v>
      </c>
    </row>
    <row r="328" customFormat="false" ht="14.25" hidden="false" customHeight="false" outlineLevel="0" collapsed="false">
      <c r="B328" s="1" t="n">
        <v>32.3</v>
      </c>
      <c r="C328" s="3" t="n">
        <v>276</v>
      </c>
      <c r="D328" s="1" t="n">
        <v>1</v>
      </c>
      <c r="E328" s="2" t="n">
        <v>60</v>
      </c>
      <c r="F328" s="4" t="n">
        <v>2.53821845332793</v>
      </c>
      <c r="G328" s="1" t="n">
        <v>38.3</v>
      </c>
      <c r="H328" s="1" t="n">
        <v>54.4</v>
      </c>
      <c r="I328" s="5" t="n">
        <v>0.0624495439088793</v>
      </c>
      <c r="J328" s="4" t="n">
        <v>275.8</v>
      </c>
      <c r="K328" s="4" t="n">
        <v>0.35</v>
      </c>
    </row>
    <row r="329" customFormat="false" ht="14.25" hidden="false" customHeight="false" outlineLevel="0" collapsed="false">
      <c r="A329" s="0" t="s">
        <v>101</v>
      </c>
      <c r="B329" s="1" t="n">
        <v>32.3</v>
      </c>
      <c r="C329" s="3" t="n">
        <v>276</v>
      </c>
      <c r="D329" s="1" t="n">
        <v>1</v>
      </c>
      <c r="E329" s="2" t="n">
        <v>60</v>
      </c>
      <c r="F329" s="4" t="n">
        <v>2.81086951894943</v>
      </c>
      <c r="G329" s="1" t="n">
        <v>38.3</v>
      </c>
      <c r="H329" s="1" t="n">
        <v>54.4</v>
      </c>
      <c r="I329" s="5" t="n">
        <v>0.061876058158272</v>
      </c>
      <c r="J329" s="4" t="n">
        <v>170.327728419202</v>
      </c>
      <c r="K329" s="4" t="n">
        <v>0.19</v>
      </c>
    </row>
    <row r="330" customFormat="false" ht="14.25" hidden="false" customHeight="false" outlineLevel="0" collapsed="false">
      <c r="B330" s="1" t="n">
        <v>32.3</v>
      </c>
      <c r="C330" s="3" t="n">
        <v>276</v>
      </c>
      <c r="D330" s="1" t="n">
        <v>1</v>
      </c>
      <c r="E330" s="2" t="n">
        <v>60</v>
      </c>
      <c r="F330" s="4" t="n">
        <v>2.81086951894943</v>
      </c>
      <c r="G330" s="1" t="n">
        <v>38.3</v>
      </c>
      <c r="H330" s="1" t="n">
        <v>54.4</v>
      </c>
      <c r="I330" s="5" t="n">
        <v>0.061876058158272</v>
      </c>
      <c r="J330" s="4" t="n">
        <v>209.656620217284</v>
      </c>
      <c r="K330" s="4" t="n">
        <v>0.24</v>
      </c>
    </row>
    <row r="331" customFormat="false" ht="14.25" hidden="false" customHeight="false" outlineLevel="0" collapsed="false">
      <c r="B331" s="1" t="n">
        <v>32.3</v>
      </c>
      <c r="C331" s="3" t="n">
        <v>276</v>
      </c>
      <c r="D331" s="1" t="n">
        <v>1</v>
      </c>
      <c r="E331" s="2" t="n">
        <v>60</v>
      </c>
      <c r="F331" s="4" t="n">
        <v>2.81086951894943</v>
      </c>
      <c r="G331" s="1" t="n">
        <v>38.3</v>
      </c>
      <c r="H331" s="1" t="n">
        <v>54.4</v>
      </c>
      <c r="I331" s="5" t="n">
        <v>0.061876058158272</v>
      </c>
      <c r="J331" s="4" t="n">
        <v>244.453186194769</v>
      </c>
      <c r="K331" s="4" t="n">
        <v>0.29</v>
      </c>
    </row>
    <row r="332" customFormat="false" ht="14.25" hidden="false" customHeight="false" outlineLevel="0" collapsed="false">
      <c r="B332" s="1" t="n">
        <v>32.3</v>
      </c>
      <c r="C332" s="3" t="n">
        <v>276</v>
      </c>
      <c r="D332" s="1" t="n">
        <v>1</v>
      </c>
      <c r="E332" s="2" t="n">
        <v>60</v>
      </c>
      <c r="F332" s="4" t="n">
        <v>2.81086951894943</v>
      </c>
      <c r="G332" s="1" t="n">
        <v>38.3</v>
      </c>
      <c r="H332" s="1" t="n">
        <v>54.4</v>
      </c>
      <c r="I332" s="5" t="n">
        <v>0.061876058158272</v>
      </c>
      <c r="J332" s="4" t="n">
        <v>269.307876178686</v>
      </c>
      <c r="K332" s="4" t="n">
        <v>0.36</v>
      </c>
    </row>
    <row r="333" customFormat="false" ht="14.25" hidden="false" customHeight="false" outlineLevel="0" collapsed="false">
      <c r="B333" s="1" t="n">
        <v>32.3</v>
      </c>
      <c r="C333" s="3" t="n">
        <v>276</v>
      </c>
      <c r="D333" s="1" t="n">
        <v>1</v>
      </c>
      <c r="E333" s="2" t="n">
        <v>60</v>
      </c>
      <c r="F333" s="4" t="n">
        <v>2.81086951894943</v>
      </c>
      <c r="G333" s="1" t="n">
        <v>38.3</v>
      </c>
      <c r="H333" s="1" t="n">
        <v>54.4</v>
      </c>
      <c r="I333" s="5" t="n">
        <v>0.061876058158272</v>
      </c>
      <c r="J333" s="4" t="n">
        <v>275.8</v>
      </c>
      <c r="K333" s="4" t="n">
        <v>0.42</v>
      </c>
    </row>
    <row r="334" customFormat="false" ht="14.25" hidden="false" customHeight="false" outlineLevel="0" collapsed="false">
      <c r="A334" s="0" t="s">
        <v>102</v>
      </c>
      <c r="B334" s="1" t="n">
        <v>28.7</v>
      </c>
      <c r="C334" s="3" t="n">
        <v>276</v>
      </c>
      <c r="D334" s="1" t="n">
        <v>2</v>
      </c>
      <c r="E334" s="2" t="n">
        <v>50.6</v>
      </c>
      <c r="F334" s="4" t="n">
        <v>2.57657861790804</v>
      </c>
      <c r="G334" s="1" t="n">
        <v>38</v>
      </c>
      <c r="H334" s="1" t="n">
        <v>52.3</v>
      </c>
      <c r="I334" s="5" t="n">
        <v>0.0655704777184944</v>
      </c>
      <c r="J334" s="4" t="n">
        <v>183.230305477513</v>
      </c>
      <c r="K334" s="4" t="n">
        <v>0.18</v>
      </c>
    </row>
    <row r="335" customFormat="false" ht="14.25" hidden="false" customHeight="false" outlineLevel="0" collapsed="false">
      <c r="B335" s="1" t="n">
        <v>28.7</v>
      </c>
      <c r="C335" s="3" t="n">
        <v>276</v>
      </c>
      <c r="D335" s="1" t="n">
        <v>2</v>
      </c>
      <c r="E335" s="2" t="n">
        <v>50.6</v>
      </c>
      <c r="F335" s="4" t="n">
        <v>2.57657861790804</v>
      </c>
      <c r="G335" s="1" t="n">
        <v>38</v>
      </c>
      <c r="H335" s="1" t="n">
        <v>52.3</v>
      </c>
      <c r="I335" s="5" t="n">
        <v>0.0655704777184944</v>
      </c>
      <c r="J335" s="4" t="n">
        <v>219.890332297519</v>
      </c>
      <c r="K335" s="4" t="n">
        <v>0.22</v>
      </c>
    </row>
    <row r="336" customFormat="false" ht="14.25" hidden="false" customHeight="false" outlineLevel="0" collapsed="false">
      <c r="B336" s="1" t="n">
        <v>28.7</v>
      </c>
      <c r="C336" s="3" t="n">
        <v>276</v>
      </c>
      <c r="D336" s="1" t="n">
        <v>2</v>
      </c>
      <c r="E336" s="2" t="n">
        <v>50.6</v>
      </c>
      <c r="F336" s="4" t="n">
        <v>2.57657861790804</v>
      </c>
      <c r="G336" s="1" t="n">
        <v>38</v>
      </c>
      <c r="H336" s="1" t="n">
        <v>52.3</v>
      </c>
      <c r="I336" s="5" t="n">
        <v>0.0655704777184944</v>
      </c>
      <c r="J336" s="4" t="n">
        <v>248.170924415809</v>
      </c>
      <c r="K336" s="4" t="n">
        <v>0.27</v>
      </c>
    </row>
    <row r="337" customFormat="false" ht="14.25" hidden="false" customHeight="false" outlineLevel="0" collapsed="false">
      <c r="B337" s="1" t="n">
        <v>28.7</v>
      </c>
      <c r="C337" s="3" t="n">
        <v>276</v>
      </c>
      <c r="D337" s="1" t="n">
        <v>2</v>
      </c>
      <c r="E337" s="2" t="n">
        <v>50.6</v>
      </c>
      <c r="F337" s="4" t="n">
        <v>2.57657861790804</v>
      </c>
      <c r="G337" s="1" t="n">
        <v>38</v>
      </c>
      <c r="H337" s="1" t="n">
        <v>52.3</v>
      </c>
      <c r="I337" s="5" t="n">
        <v>0.0655704777184944</v>
      </c>
      <c r="J337" s="4" t="n">
        <v>275.8</v>
      </c>
      <c r="K337" s="4" t="n">
        <v>0.32</v>
      </c>
    </row>
    <row r="338" customFormat="false" ht="14.25" hidden="false" customHeight="false" outlineLevel="0" collapsed="false">
      <c r="A338" s="0" t="s">
        <v>103</v>
      </c>
      <c r="B338" s="1" t="n">
        <v>28.7</v>
      </c>
      <c r="C338" s="3" t="n">
        <v>276</v>
      </c>
      <c r="D338" s="1" t="n">
        <v>2</v>
      </c>
      <c r="E338" s="2" t="n">
        <v>50.6</v>
      </c>
      <c r="F338" s="4" t="n">
        <v>2.57657861790804</v>
      </c>
      <c r="G338" s="1" t="n">
        <v>38</v>
      </c>
      <c r="H338" s="1" t="n">
        <v>52.3</v>
      </c>
      <c r="I338" s="5" t="n">
        <v>0.0655704777184944</v>
      </c>
      <c r="J338" s="4" t="n">
        <v>219.890332297519</v>
      </c>
      <c r="K338" s="4" t="n">
        <v>0.16</v>
      </c>
    </row>
    <row r="339" customFormat="false" ht="14.25" hidden="false" customHeight="false" outlineLevel="0" collapsed="false">
      <c r="B339" s="1" t="n">
        <v>28.7</v>
      </c>
      <c r="C339" s="3" t="n">
        <v>276</v>
      </c>
      <c r="D339" s="1" t="n">
        <v>2</v>
      </c>
      <c r="E339" s="2" t="n">
        <v>50.6</v>
      </c>
      <c r="F339" s="4" t="n">
        <v>2.57657861790804</v>
      </c>
      <c r="G339" s="1" t="n">
        <v>38</v>
      </c>
      <c r="H339" s="1" t="n">
        <v>52.3</v>
      </c>
      <c r="I339" s="5" t="n">
        <v>0.0655704777184944</v>
      </c>
      <c r="J339" s="4" t="n">
        <v>248.170924415809</v>
      </c>
      <c r="K339" s="4" t="n">
        <v>0.19</v>
      </c>
    </row>
    <row r="340" customFormat="false" ht="14.25" hidden="false" customHeight="false" outlineLevel="0" collapsed="false">
      <c r="B340" s="1" t="n">
        <v>28.7</v>
      </c>
      <c r="C340" s="3" t="n">
        <v>276</v>
      </c>
      <c r="D340" s="1" t="n">
        <v>2</v>
      </c>
      <c r="E340" s="2" t="n">
        <v>50.6</v>
      </c>
      <c r="F340" s="4" t="n">
        <v>2.57657861790804</v>
      </c>
      <c r="G340" s="1" t="n">
        <v>38</v>
      </c>
      <c r="H340" s="1" t="n">
        <v>52.3</v>
      </c>
      <c r="I340" s="5" t="n">
        <v>0.0655704777184944</v>
      </c>
      <c r="J340" s="4" t="n">
        <v>275.8</v>
      </c>
      <c r="K340" s="4" t="n">
        <v>0.22</v>
      </c>
    </row>
    <row r="341" customFormat="false" ht="14.25" hidden="false" customHeight="false" outlineLevel="0" collapsed="false">
      <c r="A341" s="0" t="s">
        <v>104</v>
      </c>
      <c r="B341" s="1" t="n">
        <v>35.8</v>
      </c>
      <c r="C341" s="3" t="n">
        <v>276</v>
      </c>
      <c r="D341" s="1" t="n">
        <v>2</v>
      </c>
      <c r="E341" s="2" t="n">
        <v>36.4</v>
      </c>
      <c r="F341" s="4" t="n">
        <v>2.54783553354044</v>
      </c>
      <c r="G341" s="1" t="n">
        <v>38</v>
      </c>
      <c r="H341" s="1" t="n">
        <v>55.9</v>
      </c>
      <c r="I341" s="5" t="n">
        <v>0.112443490851356</v>
      </c>
      <c r="J341" s="4" t="n">
        <v>184.086480713456</v>
      </c>
      <c r="K341" s="4" t="n">
        <v>0.17</v>
      </c>
    </row>
    <row r="342" customFormat="false" ht="14.25" hidden="false" customHeight="false" outlineLevel="0" collapsed="false">
      <c r="A342" s="0" t="s">
        <v>105</v>
      </c>
      <c r="B342" s="1" t="n">
        <v>35.8</v>
      </c>
      <c r="C342" s="3" t="n">
        <v>276</v>
      </c>
      <c r="D342" s="1" t="n">
        <v>2</v>
      </c>
      <c r="E342" s="2" t="n">
        <v>36.4</v>
      </c>
      <c r="F342" s="4" t="n">
        <v>2.75637342683892</v>
      </c>
      <c r="G342" s="1" t="n">
        <v>38</v>
      </c>
      <c r="H342" s="1" t="n">
        <v>55.9</v>
      </c>
      <c r="I342" s="5" t="n">
        <v>0.111410061904879</v>
      </c>
      <c r="J342" s="4" t="n">
        <v>143.792876986957</v>
      </c>
      <c r="K342" s="4" t="n">
        <v>0.19</v>
      </c>
    </row>
    <row r="343" customFormat="false" ht="14.25" hidden="false" customHeight="false" outlineLevel="0" collapsed="false">
      <c r="B343" s="1" t="n">
        <v>35.8</v>
      </c>
      <c r="C343" s="3" t="n">
        <v>276</v>
      </c>
      <c r="D343" s="1" t="n">
        <v>2</v>
      </c>
      <c r="E343" s="2" t="n">
        <v>36.4</v>
      </c>
      <c r="F343" s="4" t="n">
        <v>2.75637342683892</v>
      </c>
      <c r="G343" s="1" t="n">
        <v>38</v>
      </c>
      <c r="H343" s="1" t="n">
        <v>55.9</v>
      </c>
      <c r="I343" s="5" t="n">
        <v>0.111410061904879</v>
      </c>
      <c r="J343" s="4" t="n">
        <v>183.642990294518</v>
      </c>
      <c r="K343" s="4" t="n">
        <v>0.25</v>
      </c>
    </row>
  </sheetData>
  <mergeCells count="1">
    <mergeCell ref="B1:J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355"/>
  <sheetViews>
    <sheetView showFormulas="false" showGridLines="true" showRowColHeaders="true" showZeros="true" rightToLeft="false" tabSelected="false" showOutlineSymbols="true" defaultGridColor="true" view="normal" topLeftCell="L9" colorId="64" zoomScale="120" zoomScaleNormal="120" zoomScalePageLayoutView="100" workbookViewId="0">
      <selection pane="topLeft" activeCell="A20" activeCellId="0" sqref="A20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32.89"/>
    <col collapsed="false" customWidth="true" hidden="false" outlineLevel="0" max="2" min="2" style="2" width="24.78"/>
    <col collapsed="false" customWidth="true" hidden="false" outlineLevel="0" max="3" min="3" style="3" width="24.78"/>
    <col collapsed="false" customWidth="true" hidden="false" outlineLevel="0" max="4" min="4" style="3" width="29.66"/>
    <col collapsed="false" customWidth="true" hidden="false" outlineLevel="0" max="5" min="5" style="2" width="29.33"/>
    <col collapsed="false" customWidth="true" hidden="false" outlineLevel="0" max="6" min="6" style="4" width="36.78"/>
    <col collapsed="false" customWidth="true" hidden="false" outlineLevel="0" max="7" min="7" style="2" width="16.45"/>
    <col collapsed="false" customWidth="true" hidden="false" outlineLevel="0" max="8" min="8" style="2" width="44.55"/>
    <col collapsed="false" customWidth="true" hidden="false" outlineLevel="0" max="9" min="9" style="2" width="20.45"/>
    <col collapsed="false" customWidth="true" hidden="false" outlineLevel="0" max="10" min="10" style="2" width="19.78"/>
    <col collapsed="false" customWidth="true" hidden="false" outlineLevel="0" max="11" min="11" style="3" width="29.78"/>
    <col collapsed="false" customWidth="true" hidden="false" outlineLevel="0" max="12" min="12" style="4" width="31.22"/>
    <col collapsed="false" customWidth="true" hidden="false" outlineLevel="0" max="13" min="13" style="3" width="30.67"/>
    <col collapsed="false" customWidth="true" hidden="false" outlineLevel="0" max="14" min="14" style="12" width="16.33"/>
    <col collapsed="false" customWidth="true" hidden="false" outlineLevel="0" max="15" min="15" style="12" width="22.67"/>
    <col collapsed="false" customWidth="true" hidden="false" outlineLevel="0" max="16" min="16" style="3" width="42.89"/>
    <col collapsed="false" customWidth="true" hidden="false" outlineLevel="0" max="17" min="17" style="4" width="9.66"/>
    <col collapsed="false" customWidth="true" hidden="false" outlineLevel="0" max="18" min="18" style="13" width="42.89"/>
    <col collapsed="false" customWidth="true" hidden="false" outlineLevel="0" max="23" min="22" style="1" width="8.89"/>
    <col collapsed="false" customWidth="true" hidden="false" outlineLevel="0" max="28" min="28" style="0" width="66.44"/>
    <col collapsed="false" customWidth="true" hidden="false" outlineLevel="0" max="31" min="31" style="0" width="10.56"/>
    <col collapsed="false" customWidth="true" hidden="false" outlineLevel="0" max="32" min="32" style="0" width="15.45"/>
    <col collapsed="false" customWidth="true" hidden="false" outlineLevel="0" max="33" min="33" style="6" width="8.89"/>
    <col collapsed="false" customWidth="true" hidden="false" outlineLevel="0" max="41" min="41" style="0" width="80.55"/>
    <col collapsed="false" customWidth="true" hidden="false" outlineLevel="0" max="42" min="42" style="0" width="17.89"/>
  </cols>
  <sheetData>
    <row r="1" customFormat="false" ht="61.5" hidden="false" customHeight="true" outlineLevel="0" collapsed="false">
      <c r="V1" s="7" t="s">
        <v>0</v>
      </c>
      <c r="X1" s="14"/>
      <c r="Y1" s="7" t="s">
        <v>1</v>
      </c>
      <c r="AB1" s="15" t="s">
        <v>116</v>
      </c>
      <c r="AO1" s="16" t="s">
        <v>117</v>
      </c>
    </row>
    <row r="2" customFormat="false" ht="14.25" hidden="false" customHeight="false" outlineLevel="0" collapsed="false">
      <c r="V2" s="1" t="s">
        <v>2</v>
      </c>
      <c r="W2" s="1" t="n">
        <v>0.515</v>
      </c>
      <c r="Y2" s="1" t="s">
        <v>2</v>
      </c>
      <c r="Z2" s="1" t="n">
        <v>0.391</v>
      </c>
      <c r="AB2" s="17" t="s">
        <v>2</v>
      </c>
      <c r="AC2" s="1" t="n">
        <v>1.22</v>
      </c>
      <c r="AO2" s="17" t="s">
        <v>2</v>
      </c>
      <c r="AP2" s="4" t="n">
        <v>7.37</v>
      </c>
    </row>
    <row r="3" customFormat="false" ht="14.25" hidden="false" customHeight="false" outlineLevel="0" collapsed="false">
      <c r="V3" s="1" t="s">
        <v>3</v>
      </c>
      <c r="W3" s="1" t="n">
        <v>-0.00169</v>
      </c>
      <c r="Y3" s="1" t="s">
        <v>3</v>
      </c>
      <c r="Z3" s="1" t="n">
        <v>0.701</v>
      </c>
      <c r="AB3" s="17" t="s">
        <v>3</v>
      </c>
      <c r="AC3" s="1" t="n">
        <v>1.93</v>
      </c>
      <c r="AO3" s="17" t="s">
        <v>3</v>
      </c>
      <c r="AP3" s="4" t="n">
        <v>4.87</v>
      </c>
    </row>
    <row r="4" customFormat="false" ht="14.25" hidden="false" customHeight="false" outlineLevel="0" collapsed="false">
      <c r="V4" s="1" t="s">
        <v>4</v>
      </c>
      <c r="W4" s="1" t="n">
        <v>1</v>
      </c>
      <c r="Y4" s="1" t="s">
        <v>4</v>
      </c>
      <c r="Z4" s="1" t="n">
        <v>0.628</v>
      </c>
      <c r="AB4" s="17" t="s">
        <v>4</v>
      </c>
      <c r="AC4" s="1" t="n">
        <v>-1.05</v>
      </c>
      <c r="AO4" s="17" t="s">
        <v>4</v>
      </c>
      <c r="AP4" s="4" t="n">
        <v>-2.7</v>
      </c>
    </row>
    <row r="5" customFormat="false" ht="14.25" hidden="false" customHeight="false" outlineLevel="0" collapsed="false">
      <c r="V5" s="1" t="s">
        <v>5</v>
      </c>
      <c r="W5" s="1" t="n">
        <v>0.672</v>
      </c>
      <c r="Y5" s="1" t="s">
        <v>5</v>
      </c>
      <c r="Z5" s="1" t="n">
        <v>0.389</v>
      </c>
      <c r="AB5" s="17" t="s">
        <v>5</v>
      </c>
      <c r="AC5" s="1" t="n">
        <v>0.568</v>
      </c>
      <c r="AO5" s="17" t="s">
        <v>5</v>
      </c>
      <c r="AP5" s="4" t="n">
        <v>0.09</v>
      </c>
    </row>
    <row r="6" customFormat="false" ht="14.25" hidden="false" customHeight="false" outlineLevel="0" collapsed="false">
      <c r="V6" s="1" t="s">
        <v>6</v>
      </c>
      <c r="W6" s="1" t="n">
        <v>-0.417</v>
      </c>
      <c r="Y6" s="1" t="s">
        <v>6</v>
      </c>
      <c r="Z6" s="1" t="n">
        <v>-0.631</v>
      </c>
      <c r="AB6" s="17" t="s">
        <v>6</v>
      </c>
      <c r="AC6" s="1" t="n">
        <v>0.08</v>
      </c>
      <c r="AO6" s="17" t="s">
        <v>6</v>
      </c>
      <c r="AP6" s="4" t="n">
        <v>0.016</v>
      </c>
      <c r="AR6" s="14"/>
    </row>
    <row r="7" customFormat="false" ht="14.25" hidden="false" customHeight="false" outlineLevel="0" collapsed="false">
      <c r="V7" s="1" t="s">
        <v>7</v>
      </c>
      <c r="W7" s="1" t="n">
        <v>0.617</v>
      </c>
      <c r="Y7" s="1" t="s">
        <v>7</v>
      </c>
      <c r="Z7" s="1" t="n">
        <v>2.011</v>
      </c>
      <c r="AB7" s="1"/>
      <c r="AC7" s="1"/>
      <c r="AO7" s="17" t="s">
        <v>7</v>
      </c>
      <c r="AP7" s="4" t="n">
        <v>0.82</v>
      </c>
    </row>
    <row r="8" customFormat="false" ht="14.25" hidden="false" customHeight="false" outlineLevel="0" collapsed="false">
      <c r="Y8" s="1"/>
      <c r="Z8" s="1"/>
      <c r="AB8" s="1"/>
      <c r="AC8" s="1"/>
      <c r="AO8" s="17" t="s">
        <v>118</v>
      </c>
      <c r="AP8" s="4" t="n">
        <v>2</v>
      </c>
    </row>
    <row r="9" customFormat="false" ht="14.25" hidden="false" customHeight="false" outlineLevel="0" collapsed="false">
      <c r="A9" s="1" t="s">
        <v>8</v>
      </c>
      <c r="B9" s="9" t="s">
        <v>9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4" t="s">
        <v>10</v>
      </c>
    </row>
    <row r="10" customFormat="false" ht="16.4" hidden="false" customHeight="false" outlineLevel="0" collapsed="false">
      <c r="B10" s="2" t="s">
        <v>11</v>
      </c>
      <c r="C10" s="3" t="s">
        <v>12</v>
      </c>
      <c r="D10" s="3" t="s">
        <v>13</v>
      </c>
      <c r="E10" s="2" t="s">
        <v>14</v>
      </c>
      <c r="F10" s="4" t="s">
        <v>15</v>
      </c>
      <c r="G10" s="2" t="s">
        <v>16</v>
      </c>
      <c r="H10" s="2" t="s">
        <v>17</v>
      </c>
      <c r="I10" s="1" t="s">
        <v>119</v>
      </c>
      <c r="J10" s="18" t="s">
        <v>120</v>
      </c>
      <c r="K10" s="19" t="s">
        <v>121</v>
      </c>
      <c r="L10" s="20" t="s">
        <v>122</v>
      </c>
      <c r="M10" s="19" t="s">
        <v>123</v>
      </c>
      <c r="N10" s="12" t="s">
        <v>18</v>
      </c>
      <c r="O10" s="12" t="s">
        <v>124</v>
      </c>
      <c r="P10" s="3" t="s">
        <v>19</v>
      </c>
      <c r="Q10" s="4" t="s">
        <v>20</v>
      </c>
      <c r="R10" s="21" t="s">
        <v>125</v>
      </c>
      <c r="AB10" s="8"/>
      <c r="AD10" s="6" t="s">
        <v>126</v>
      </c>
      <c r="AE10" s="6" t="s">
        <v>127</v>
      </c>
      <c r="AF10" s="22" t="s">
        <v>128</v>
      </c>
      <c r="AQ10" s="6" t="s">
        <v>126</v>
      </c>
    </row>
    <row r="11" customFormat="false" ht="14.25" hidden="false" customHeight="false" outlineLevel="0" collapsed="false">
      <c r="A11" s="1" t="s">
        <v>22</v>
      </c>
      <c r="B11" s="2" t="n">
        <v>20</v>
      </c>
      <c r="C11" s="3" t="n">
        <v>500</v>
      </c>
      <c r="D11" s="3" t="n">
        <v>2</v>
      </c>
      <c r="E11" s="2" t="n">
        <v>126</v>
      </c>
      <c r="F11" s="4" t="n">
        <v>4.12034052390144</v>
      </c>
      <c r="G11" s="2" t="n">
        <v>25</v>
      </c>
      <c r="H11" s="2" t="n">
        <v>39</v>
      </c>
      <c r="I11" s="1" t="n">
        <v>216</v>
      </c>
      <c r="J11" s="2" t="n">
        <v>201</v>
      </c>
      <c r="K11" s="3" t="n">
        <v>628</v>
      </c>
      <c r="L11" s="4" t="n">
        <v>29484</v>
      </c>
      <c r="M11" s="3" t="n">
        <v>57.3617765856203</v>
      </c>
      <c r="N11" s="12" t="n">
        <v>0.0212996879663546</v>
      </c>
      <c r="O11" s="4" t="n">
        <v>20.8</v>
      </c>
      <c r="P11" s="3" t="n">
        <v>120.527745920491</v>
      </c>
      <c r="Q11" s="4" t="n">
        <v>0.16</v>
      </c>
      <c r="R11" s="13" t="n">
        <f aca="false">P11/200000</f>
        <v>0.000602638729602457</v>
      </c>
      <c r="V11" s="4" t="n">
        <f aca="false">$W$2*($W$3*$G11+$W$4*$B11^$W$5*$N11^$W$6)*$R11^$W$7</f>
        <v>0.197683460478248</v>
      </c>
      <c r="W11" s="4" t="n">
        <f aca="false">V11/$Q11</f>
        <v>1.23552162798905</v>
      </c>
      <c r="Y11" s="4" t="n">
        <f aca="false">$Z$2*$B11^$Z$3*$R11^$Z$4*($Z$5*$N11^$Z$6+$Z$7)</f>
        <v>0.194934401749732</v>
      </c>
      <c r="Z11" s="4" t="n">
        <f aca="false">Y11/$Q11</f>
        <v>1.21834001093583</v>
      </c>
      <c r="AB11" s="4" t="n">
        <f aca="false">$AC$2*($AC$3+$AC$4*$F11/($N11*'Sem TS MC2020'!P3))*($AC$5*$G11+$AC$6*$B11/$N11)*'Sem TS MC2020'!R3*($J11-$M11)/($J11-$M11-$H11)</f>
        <v>0.182697733317077</v>
      </c>
      <c r="AC11" s="4" t="n">
        <f aca="false">AB11/$Q11</f>
        <v>1.14186083323173</v>
      </c>
      <c r="AD11" s="23" t="n">
        <f aca="false">AB11-$Q11</f>
        <v>0.0226977333170769</v>
      </c>
      <c r="AE11" s="24" t="n">
        <f aca="false">1/AC11</f>
        <v>0.875763465123651</v>
      </c>
      <c r="AF11" s="24" t="n">
        <f aca="false">AB11*(14.068*'Sem TS MC2020'!$P3^-0.457)/$Q11</f>
        <v>1.33345779808135</v>
      </c>
      <c r="AG11" s="24"/>
      <c r="AO11" s="4" t="n">
        <f aca="false">$AP$2*($AP$3+$AP$4*$F11/($N11*'Sem TS MC2020'!P3))*($AP$5*$G11+$AP$6*$B11/$N11)*('Sem TS MC2020'!P3^$AP$7/200000)*($J11-$M11)/($J11-$M11-$H11)+('Sem TS MC2020'!P3-$C11/$AP$8)*($AP$5*$G11+$AP$6*$B11/$N11)/200000</f>
        <v>0.197309262613594</v>
      </c>
      <c r="AP11" s="4" t="n">
        <f aca="false">AO11/$Q11</f>
        <v>1.23318289133496</v>
      </c>
      <c r="AQ11" s="23" t="n">
        <f aca="false">AO11-$Q11</f>
        <v>0.037309262613594</v>
      </c>
    </row>
    <row r="12" customFormat="false" ht="14.25" hidden="false" customHeight="false" outlineLevel="0" collapsed="false">
      <c r="B12" s="2" t="n">
        <v>20</v>
      </c>
      <c r="C12" s="3" t="n">
        <v>500</v>
      </c>
      <c r="D12" s="3" t="n">
        <v>2</v>
      </c>
      <c r="E12" s="2" t="n">
        <v>126</v>
      </c>
      <c r="F12" s="4" t="n">
        <v>4.12034052390144</v>
      </c>
      <c r="G12" s="2" t="n">
        <v>25</v>
      </c>
      <c r="H12" s="2" t="n">
        <v>39</v>
      </c>
      <c r="I12" s="1" t="n">
        <v>216</v>
      </c>
      <c r="J12" s="2" t="n">
        <v>201</v>
      </c>
      <c r="K12" s="3" t="n">
        <v>628</v>
      </c>
      <c r="L12" s="4" t="n">
        <v>29484</v>
      </c>
      <c r="M12" s="3" t="n">
        <v>57.3617765856203</v>
      </c>
      <c r="N12" s="12" t="n">
        <v>0.0212996879663546</v>
      </c>
      <c r="O12" s="4" t="n">
        <v>27.3</v>
      </c>
      <c r="P12" s="3" t="n">
        <v>223.847982619891</v>
      </c>
      <c r="Q12" s="4" t="n">
        <v>0.23</v>
      </c>
      <c r="R12" s="13" t="n">
        <f aca="false">P12/200000</f>
        <v>0.00111923991309946</v>
      </c>
      <c r="V12" s="4" t="n">
        <f aca="false">$W$2*($W$3*$G12+$W$4*$B12^$W$5*$N12^$W$6)*$R12^$W$7</f>
        <v>0.28964147436837</v>
      </c>
      <c r="W12" s="4" t="n">
        <f aca="false">V12/$Q12</f>
        <v>1.25931075812335</v>
      </c>
      <c r="Y12" s="4" t="n">
        <f aca="false">$Z$2*$B12^$Z$3*$R12^$Z$4*($Z$5*$N12^$Z$6+$Z$7)</f>
        <v>0.28756526858646</v>
      </c>
      <c r="Z12" s="4" t="n">
        <f aca="false">Y12/$Q12</f>
        <v>1.25028377646287</v>
      </c>
      <c r="AB12" s="4" t="n">
        <f aca="false">$AC$2*($AC$3+$AC$4*$F12/($N12*'Sem TS MC2020'!P4))*($AC$5*$G12+$AC$6*$B12/$N12)*'Sem TS MC2020'!R4*($J12-$M12)/($J12-$M12-$H12)</f>
        <v>0.287264135264609</v>
      </c>
      <c r="AC12" s="4" t="n">
        <f aca="false">AB12/$Q12</f>
        <v>1.24897450115048</v>
      </c>
      <c r="AD12" s="23" t="n">
        <f aca="false">AB12-$Q12</f>
        <v>0.0572641352646093</v>
      </c>
      <c r="AE12" s="24" t="n">
        <f aca="false">1/AC12</f>
        <v>0.800656858149517</v>
      </c>
      <c r="AF12" s="24" t="n">
        <f aca="false">AB12*(14.068*'Sem TS MC2020'!$P4^-0.457)/$Q12</f>
        <v>1.28809615927051</v>
      </c>
      <c r="AG12" s="24"/>
      <c r="AO12" s="4" t="n">
        <f aca="false">$AP$2*($AP$3+$AP$4*$F12/($N12*'Sem TS MC2020'!P4))*($AP$5*$G12+$AP$6*$B12/$N12)*('Sem TS MC2020'!P4^$AP$7/200000)*($J12-$M12)/($J12-$M12-$H12)+('Sem TS MC2020'!P4-$C12/$AP$8)*($AP$5*$G12+$AP$6*$B12/$N12)/200000</f>
        <v>0.304202526793118</v>
      </c>
      <c r="AP12" s="4" t="n">
        <f aca="false">AO12/$Q12</f>
        <v>1.32261968170921</v>
      </c>
      <c r="AQ12" s="23" t="n">
        <f aca="false">AO12-$Q12</f>
        <v>0.0742025267931178</v>
      </c>
    </row>
    <row r="13" customFormat="false" ht="14.25" hidden="false" customHeight="false" outlineLevel="0" collapsed="false">
      <c r="B13" s="2" t="n">
        <v>20</v>
      </c>
      <c r="C13" s="3" t="n">
        <v>500</v>
      </c>
      <c r="D13" s="3" t="n">
        <v>2</v>
      </c>
      <c r="E13" s="2" t="n">
        <v>126</v>
      </c>
      <c r="F13" s="4" t="n">
        <v>4.12034052390144</v>
      </c>
      <c r="G13" s="2" t="n">
        <v>25</v>
      </c>
      <c r="H13" s="2" t="n">
        <v>39</v>
      </c>
      <c r="I13" s="1" t="n">
        <v>216</v>
      </c>
      <c r="J13" s="2" t="n">
        <v>201</v>
      </c>
      <c r="K13" s="3" t="n">
        <v>628</v>
      </c>
      <c r="L13" s="4" t="n">
        <v>29484</v>
      </c>
      <c r="M13" s="3" t="n">
        <v>57.3617765856203</v>
      </c>
      <c r="N13" s="12" t="n">
        <v>0.0212996879663546</v>
      </c>
      <c r="O13" s="4" t="n">
        <v>28.2</v>
      </c>
      <c r="P13" s="3" t="n">
        <v>242.052198219915</v>
      </c>
      <c r="Q13" s="4" t="n">
        <v>0.24</v>
      </c>
      <c r="R13" s="13" t="n">
        <f aca="false">P13/200000</f>
        <v>0.00121026099109958</v>
      </c>
      <c r="V13" s="4" t="n">
        <f aca="false">$W$2*($W$3*$G13+$W$4*$B13^$W$5*$N13^$W$6)*$R13^$W$7</f>
        <v>0.303956550143929</v>
      </c>
      <c r="W13" s="4" t="n">
        <f aca="false">V13/$Q13</f>
        <v>1.2664856255997</v>
      </c>
      <c r="Y13" s="4" t="n">
        <f aca="false">$Z$2*$B13^$Z$3*$R13^$Z$4*($Z$5*$N13^$Z$6+$Z$7)</f>
        <v>0.302037386267639</v>
      </c>
      <c r="Z13" s="4" t="n">
        <f aca="false">Y13/$Q13</f>
        <v>1.2584891094485</v>
      </c>
      <c r="AB13" s="4" t="n">
        <f aca="false">$AC$2*($AC$3+$AC$4*$F13/($N13*'Sem TS MC2020'!P5))*($AC$5*$G13+$AC$6*$B13/$N13)*'Sem TS MC2020'!R5*($J13-$M13)/($J13-$M13-$H13)</f>
        <v>0.301742560149652</v>
      </c>
      <c r="AC13" s="4" t="n">
        <f aca="false">AB13/$Q13</f>
        <v>1.25726066729022</v>
      </c>
      <c r="AD13" s="23" t="n">
        <f aca="false">AB13-$Q13</f>
        <v>0.0617425601496522</v>
      </c>
      <c r="AE13" s="24" t="n">
        <f aca="false">1/AC13</f>
        <v>0.795380008312283</v>
      </c>
      <c r="AF13" s="24" t="n">
        <f aca="false">AB13*(14.068*'Sem TS MC2020'!$P5^-0.457)/$Q13</f>
        <v>1.27756360030002</v>
      </c>
      <c r="AG13" s="24"/>
      <c r="AO13" s="4" t="n">
        <f aca="false">$AP$2*($AP$3+$AP$4*$F13/($N13*'Sem TS MC2020'!P5))*($AP$5*$G13+$AP$6*$B13/$N13)*('Sem TS MC2020'!P5^$AP$7/200000)*($J13-$M13)/($J13-$M13-$H13)+('Sem TS MC2020'!P5-$C13/$AP$8)*($AP$5*$G13+$AP$6*$B13/$N13)/200000</f>
        <v>0.318486208267482</v>
      </c>
      <c r="AP13" s="4" t="n">
        <f aca="false">AO13/$Q13</f>
        <v>1.32702586778117</v>
      </c>
      <c r="AQ13" s="23" t="n">
        <f aca="false">AO13-$Q13</f>
        <v>0.0784862082674819</v>
      </c>
    </row>
    <row r="14" customFormat="false" ht="14.25" hidden="false" customHeight="false" outlineLevel="0" collapsed="false">
      <c r="B14" s="2" t="n">
        <v>20</v>
      </c>
      <c r="C14" s="3" t="n">
        <v>500</v>
      </c>
      <c r="D14" s="3" t="n">
        <v>2</v>
      </c>
      <c r="E14" s="2" t="n">
        <v>126</v>
      </c>
      <c r="F14" s="4" t="n">
        <v>4.12034052390144</v>
      </c>
      <c r="G14" s="2" t="n">
        <v>25</v>
      </c>
      <c r="H14" s="2" t="n">
        <v>39</v>
      </c>
      <c r="I14" s="1" t="n">
        <v>216</v>
      </c>
      <c r="J14" s="2" t="n">
        <v>201</v>
      </c>
      <c r="K14" s="3" t="n">
        <v>628</v>
      </c>
      <c r="L14" s="4" t="n">
        <v>29484</v>
      </c>
      <c r="M14" s="3" t="n">
        <v>57.3617765856203</v>
      </c>
      <c r="N14" s="12" t="n">
        <v>0.0212996879663546</v>
      </c>
      <c r="O14" s="4" t="n">
        <v>32.6</v>
      </c>
      <c r="P14" s="3" t="n">
        <v>325.147190457684</v>
      </c>
      <c r="Q14" s="4" t="n">
        <v>0.27</v>
      </c>
      <c r="R14" s="13" t="n">
        <f aca="false">P14/200000</f>
        <v>0.00162573595228842</v>
      </c>
      <c r="V14" s="4" t="n">
        <f aca="false">$W$2*($W$3*$G14+$W$4*$B14^$W$5*$N14^$W$6)*$R14^$W$7</f>
        <v>0.364664089504234</v>
      </c>
      <c r="W14" s="4" t="n">
        <f aca="false">V14/$Q14</f>
        <v>1.35060773890457</v>
      </c>
      <c r="Y14" s="4" t="n">
        <f aca="false">$Z$2*$B14^$Z$3*$R14^$Z$4*($Z$5*$N14^$Z$6+$Z$7)</f>
        <v>0.363539893311695</v>
      </c>
      <c r="Z14" s="4" t="n">
        <f aca="false">Y14/$Q14</f>
        <v>1.34644404930257</v>
      </c>
      <c r="AB14" s="4" t="n">
        <f aca="false">$AC$2*($AC$3+$AC$4*$F14/($N14*'Sem TS MC2020'!P6))*($AC$5*$G14+$AC$6*$B14/$N14)*'Sem TS MC2020'!R6*($J14-$M14)/($J14-$M14-$H14)</f>
        <v>0.372525970698751</v>
      </c>
      <c r="AC14" s="4" t="n">
        <f aca="false">AB14/$Q14</f>
        <v>1.37972581740278</v>
      </c>
      <c r="AD14" s="23" t="n">
        <f aca="false">AB14-$Q14</f>
        <v>0.102525970698751</v>
      </c>
      <c r="AE14" s="24" t="n">
        <f aca="false">1/AC14</f>
        <v>0.724781682988593</v>
      </c>
      <c r="AF14" s="24" t="n">
        <f aca="false">AB14*(14.068*'Sem TS MC2020'!$P6^-0.457)/$Q14</f>
        <v>1.31211950262727</v>
      </c>
      <c r="AG14" s="24"/>
      <c r="AO14" s="4" t="n">
        <f aca="false">$AP$2*($AP$3+$AP$4*$F14/($N14*'Sem TS MC2020'!P6))*($AP$5*$G14+$AP$6*$B14/$N14)*('Sem TS MC2020'!P6^$AP$7/200000)*($J14-$M14)/($J14-$M14-$H14)+('Sem TS MC2020'!P6-$C14/$AP$8)*($AP$5*$G14+$AP$6*$B14/$N14)/200000</f>
        <v>0.38687098192123</v>
      </c>
      <c r="AP14" s="4" t="n">
        <f aca="false">AO14/$Q14</f>
        <v>1.43285548859715</v>
      </c>
      <c r="AQ14" s="23" t="n">
        <f aca="false">AO14-$Q14</f>
        <v>0.11687098192123</v>
      </c>
    </row>
    <row r="15" customFormat="false" ht="14.25" hidden="false" customHeight="false" outlineLevel="0" collapsed="false">
      <c r="B15" s="2" t="n">
        <v>20</v>
      </c>
      <c r="C15" s="3" t="n">
        <v>500</v>
      </c>
      <c r="D15" s="3" t="n">
        <v>2</v>
      </c>
      <c r="E15" s="2" t="n">
        <v>126</v>
      </c>
      <c r="F15" s="4" t="n">
        <v>4.12034052390144</v>
      </c>
      <c r="G15" s="2" t="n">
        <v>25</v>
      </c>
      <c r="H15" s="2" t="n">
        <v>39</v>
      </c>
      <c r="I15" s="1" t="n">
        <v>216</v>
      </c>
      <c r="J15" s="2" t="n">
        <v>201</v>
      </c>
      <c r="K15" s="3" t="n">
        <v>628</v>
      </c>
      <c r="L15" s="4" t="n">
        <v>29484</v>
      </c>
      <c r="M15" s="3" t="n">
        <v>57.3617765856203</v>
      </c>
      <c r="N15" s="12" t="n">
        <v>0.0212996879663546</v>
      </c>
      <c r="O15" s="4" t="n">
        <v>41.2</v>
      </c>
      <c r="P15" s="3" t="n">
        <v>447.784456981773</v>
      </c>
      <c r="Q15" s="4" t="n">
        <v>0.35</v>
      </c>
      <c r="R15" s="13" t="n">
        <f aca="false">P15/200000</f>
        <v>0.00223892228490886</v>
      </c>
      <c r="V15" s="4" t="n">
        <f aca="false">$W$2*($W$3*$G15+$W$4*$B15^$W$5*$N15^$W$6)*$R15^$W$7</f>
        <v>0.444272279968043</v>
      </c>
      <c r="W15" s="4" t="n">
        <f aca="false">V15/$Q15</f>
        <v>1.26934937133727</v>
      </c>
      <c r="Y15" s="4" t="n">
        <f aca="false">$Z$2*$B15^$Z$3*$R15^$Z$4*($Z$5*$N15^$Z$6+$Z$7)</f>
        <v>0.444464596324768</v>
      </c>
      <c r="Z15" s="4" t="n">
        <f aca="false">Y15/$Q15</f>
        <v>1.26989884664219</v>
      </c>
      <c r="AB15" s="4" t="n">
        <f aca="false">$AC$2*($AC$3+$AC$4*$F15/($N15*'Sem TS MC2020'!P7))*($AC$5*$G15+$AC$6*$B15/$N15)*'Sem TS MC2020'!R7*($J15-$M15)/($J15-$M15-$H15)</f>
        <v>0.510875364044717</v>
      </c>
      <c r="AC15" s="4" t="n">
        <f aca="false">AB15/$Q15</f>
        <v>1.45964389727062</v>
      </c>
      <c r="AD15" s="23" t="n">
        <f aca="false">AB15-$Q15</f>
        <v>0.160875364044717</v>
      </c>
      <c r="AE15" s="24" t="n">
        <f aca="false">1/AC15</f>
        <v>0.685098606495662</v>
      </c>
      <c r="AF15" s="24" t="n">
        <f aca="false">AB15*(14.068*'Sem TS MC2020'!$P7^-0.457)/$Q15</f>
        <v>1.24726843345616</v>
      </c>
      <c r="AG15" s="24"/>
      <c r="AO15" s="4" t="n">
        <f aca="false">$AP$2*($AP$3+$AP$4*$F15/($N15*'Sem TS MC2020'!P7))*($AP$5*$G15+$AP$6*$B15/$N15)*('Sem TS MC2020'!P7^$AP$7/200000)*($J15-$M15)/($J15-$M15-$H15)+('Sem TS MC2020'!P7-$C15/$AP$8)*($AP$5*$G15+$AP$6*$B15/$N15)/200000</f>
        <v>0.514902948058779</v>
      </c>
      <c r="AP15" s="4" t="n">
        <f aca="false">AO15/$Q15</f>
        <v>1.47115128016794</v>
      </c>
      <c r="AQ15" s="23" t="n">
        <f aca="false">AO15-$Q15</f>
        <v>0.164902948058779</v>
      </c>
    </row>
    <row r="16" customFormat="false" ht="14.25" hidden="false" customHeight="false" outlineLevel="0" collapsed="false">
      <c r="B16" s="2" t="n">
        <v>20</v>
      </c>
      <c r="C16" s="3" t="n">
        <v>500</v>
      </c>
      <c r="D16" s="3" t="n">
        <v>2</v>
      </c>
      <c r="E16" s="2" t="n">
        <v>126</v>
      </c>
      <c r="F16" s="4" t="n">
        <v>4.12034052390144</v>
      </c>
      <c r="G16" s="2" t="n">
        <v>25</v>
      </c>
      <c r="H16" s="2" t="n">
        <v>39</v>
      </c>
      <c r="I16" s="1" t="n">
        <v>216</v>
      </c>
      <c r="J16" s="2" t="n">
        <v>201</v>
      </c>
      <c r="K16" s="3" t="n">
        <v>628</v>
      </c>
      <c r="L16" s="4" t="n">
        <v>29484</v>
      </c>
      <c r="M16" s="3" t="n">
        <v>57.3617765856203</v>
      </c>
      <c r="N16" s="12" t="n">
        <v>0.0212996879663546</v>
      </c>
      <c r="O16" s="4" t="n">
        <v>44.9</v>
      </c>
      <c r="P16" s="3" t="n">
        <v>500</v>
      </c>
      <c r="Q16" s="4" t="n">
        <v>0.4</v>
      </c>
      <c r="R16" s="13" t="n">
        <f aca="false">P16/200000</f>
        <v>0.0025</v>
      </c>
      <c r="V16" s="4" t="n">
        <f aca="false">$W$2*($W$3*$G16+$W$4*$B16^$W$5*$N16^$W$6)*$R16^$W$7</f>
        <v>0.475558695631039</v>
      </c>
      <c r="W16" s="4" t="n">
        <f aca="false">V16/$Q16</f>
        <v>1.1888967390776</v>
      </c>
      <c r="Y16" s="4" t="n">
        <f aca="false">$Z$2*$B16^$Z$3*$R16^$Z$4*($Z$5*$N16^$Z$6+$Z$7)</f>
        <v>0.476342130286615</v>
      </c>
      <c r="Z16" s="4" t="n">
        <f aca="false">Y16/$Q16</f>
        <v>1.19085532571654</v>
      </c>
      <c r="AB16" s="4" t="n">
        <f aca="false">$AC$2*($AC$3+$AC$4*$F16/($N16*'Sem TS MC2020'!P8))*($AC$5*$G16+$AC$6*$B16/$N16)*'Sem TS MC2020'!R8*($J16-$M16)/($J16-$M16-$H16)</f>
        <v>0.569820796957897</v>
      </c>
      <c r="AC16" s="4" t="n">
        <f aca="false">AB16/$Q16</f>
        <v>1.42455199239474</v>
      </c>
      <c r="AD16" s="23" t="n">
        <f aca="false">AB16-$Q16</f>
        <v>0.169820796957897</v>
      </c>
      <c r="AE16" s="24" t="n">
        <f aca="false">1/AC16</f>
        <v>0.701975080824499</v>
      </c>
      <c r="AF16" s="24" t="n">
        <f aca="false">AB16*(14.068*'Sem TS MC2020'!$P8^-0.457)/$Q16</f>
        <v>1.17079638315216</v>
      </c>
      <c r="AG16" s="24"/>
      <c r="AO16" s="4" t="n">
        <f aca="false">$AP$2*($AP$3+$AP$4*$F16/($N16*'Sem TS MC2020'!P8))*($AP$5*$G16+$AP$6*$B16/$N16)*('Sem TS MC2020'!P8^$AP$7/200000)*($J16-$M16)/($J16-$M16-$H16)+('Sem TS MC2020'!P8-$C16/$AP$8)*($AP$5*$G16+$AP$6*$B16/$N16)/200000</f>
        <v>0.567643688313119</v>
      </c>
      <c r="AP16" s="4" t="n">
        <f aca="false">AO16/$Q16</f>
        <v>1.4191092207828</v>
      </c>
      <c r="AQ16" s="23" t="n">
        <f aca="false">AO16-$Q16</f>
        <v>0.167643688313119</v>
      </c>
    </row>
    <row r="17" customFormat="false" ht="14.25" hidden="false" customHeight="false" outlineLevel="0" collapsed="false">
      <c r="A17" s="1" t="s">
        <v>23</v>
      </c>
      <c r="B17" s="2" t="n">
        <v>10</v>
      </c>
      <c r="C17" s="3" t="n">
        <v>500</v>
      </c>
      <c r="D17" s="3" t="n">
        <v>8</v>
      </c>
      <c r="E17" s="2" t="n">
        <v>87.7</v>
      </c>
      <c r="F17" s="4" t="n">
        <v>4.13112676332901</v>
      </c>
      <c r="G17" s="2" t="n">
        <v>25</v>
      </c>
      <c r="H17" s="2" t="n">
        <v>53</v>
      </c>
      <c r="I17" s="1" t="n">
        <v>308</v>
      </c>
      <c r="J17" s="2" t="n">
        <v>604</v>
      </c>
      <c r="K17" s="3" t="n">
        <v>628</v>
      </c>
      <c r="L17" s="4" t="n">
        <v>43428</v>
      </c>
      <c r="M17" s="3" t="n">
        <v>99.6964003818006</v>
      </c>
      <c r="N17" s="12" t="n">
        <v>0.0144607165883762</v>
      </c>
      <c r="O17" s="4" t="n">
        <v>105</v>
      </c>
      <c r="P17" s="3" t="n">
        <v>224.984962100529</v>
      </c>
      <c r="Q17" s="4" t="n">
        <v>0.16</v>
      </c>
      <c r="R17" s="13" t="n">
        <f aca="false">P17/200000</f>
        <v>0.00112492481050265</v>
      </c>
      <c r="V17" s="4" t="n">
        <f aca="false">$W$2*($W$3*$G17+$W$4*$B17^$W$5*$N17^$W$6)*$R17^$W$7</f>
        <v>0.214231497100527</v>
      </c>
      <c r="W17" s="4" t="n">
        <f aca="false">V17/$Q17</f>
        <v>1.33894685687829</v>
      </c>
      <c r="Y17" s="4" t="n">
        <f aca="false">$Z$2*$B17^$Z$3*$R17^$Z$4*($Z$5*$N17^$Z$6+$Z$7)</f>
        <v>0.211202400860961</v>
      </c>
      <c r="Z17" s="4" t="n">
        <f aca="false">Y17/$Q17</f>
        <v>1.320015005381</v>
      </c>
      <c r="AB17" s="4" t="n">
        <f aca="false">$AC$2*($AC$3+$AC$4*$F17/($N17*'Sem TS MC2020'!P9))*($AC$5*$G17+$AC$6*$B17/$N17)*'Sem TS MC2020'!R9*($J17-$M17)/($J17-$M17-$H17)</f>
        <v>0.153195164552333</v>
      </c>
      <c r="AC17" s="4" t="n">
        <f aca="false">AB17/$Q17</f>
        <v>0.957469778452082</v>
      </c>
      <c r="AD17" s="23" t="n">
        <f aca="false">AB17-$Q17</f>
        <v>-0.00680483544766694</v>
      </c>
      <c r="AE17" s="24" t="n">
        <f aca="false">1/AC17</f>
        <v>1.04441938795883</v>
      </c>
      <c r="AF17" s="24" t="n">
        <f aca="false">AB17*(14.068*'Sem TS MC2020'!$P9^-0.457)/$Q17</f>
        <v>0.960950948753756</v>
      </c>
      <c r="AG17" s="24"/>
      <c r="AO17" s="4" t="n">
        <f aca="false">$AP$2*($AP$3+$AP$4*$F17/($N17*'Sem TS MC2020'!P9))*($AP$5*$G17+$AP$6*$B17/$N17)*('Sem TS MC2020'!P9^$AP$7/200000)*($J17-$M17)/($J17-$M17-$H17)+('Sem TS MC2020'!P9-$C17/$AP$8)*($AP$5*$G17+$AP$6*$B17/$N17)/200000</f>
        <v>0.160141138955642</v>
      </c>
      <c r="AP17" s="4" t="n">
        <f aca="false">AO17/$Q17</f>
        <v>1.00088211847276</v>
      </c>
      <c r="AQ17" s="23" t="n">
        <f aca="false">AO17-$Q17</f>
        <v>0.000141138955641551</v>
      </c>
    </row>
    <row r="18" customFormat="false" ht="14.25" hidden="false" customHeight="false" outlineLevel="0" collapsed="false">
      <c r="B18" s="2" t="n">
        <v>10</v>
      </c>
      <c r="C18" s="3" t="n">
        <v>500</v>
      </c>
      <c r="D18" s="3" t="n">
        <v>8</v>
      </c>
      <c r="E18" s="2" t="n">
        <v>87.7</v>
      </c>
      <c r="F18" s="4" t="n">
        <v>4.13112676332901</v>
      </c>
      <c r="G18" s="2" t="n">
        <v>25</v>
      </c>
      <c r="H18" s="2" t="n">
        <v>53</v>
      </c>
      <c r="I18" s="1" t="n">
        <v>308</v>
      </c>
      <c r="J18" s="2" t="n">
        <v>604</v>
      </c>
      <c r="K18" s="3" t="n">
        <v>628</v>
      </c>
      <c r="L18" s="4" t="n">
        <v>43428</v>
      </c>
      <c r="M18" s="3" t="n">
        <v>99.6964003818006</v>
      </c>
      <c r="N18" s="12" t="n">
        <v>0.0144607165883762</v>
      </c>
      <c r="O18" s="4" t="n">
        <v>119.6</v>
      </c>
      <c r="P18" s="3" t="n">
        <v>301.653838529852</v>
      </c>
      <c r="Q18" s="4" t="n">
        <v>0.18</v>
      </c>
      <c r="R18" s="13" t="n">
        <f aca="false">P18/200000</f>
        <v>0.00150826919264926</v>
      </c>
      <c r="V18" s="4" t="n">
        <f aca="false">$W$2*($W$3*$G18+$W$4*$B18^$W$5*$N18^$W$6)*$R18^$W$7</f>
        <v>0.256721110657375</v>
      </c>
      <c r="W18" s="4" t="n">
        <f aca="false">V18/$Q18</f>
        <v>1.42622839254097</v>
      </c>
      <c r="Y18" s="4" t="n">
        <f aca="false">$Z$2*$B18^$Z$3*$R18^$Z$4*($Z$5*$N18^$Z$6+$Z$7)</f>
        <v>0.253908956131179</v>
      </c>
      <c r="Z18" s="4" t="n">
        <f aca="false">Y18/$Q18</f>
        <v>1.41060531183988</v>
      </c>
      <c r="AB18" s="4" t="n">
        <f aca="false">$AC$2*($AC$3+$AC$4*$F18/($N18*'Sem TS MC2020'!P10))*($AC$5*$G18+$AC$6*$B18/$N18)*'Sem TS MC2020'!R10*($J18-$M18)/($J18-$M18-$H18)</f>
        <v>0.194262130711186</v>
      </c>
      <c r="AC18" s="4" t="n">
        <f aca="false">AB18/$Q18</f>
        <v>1.07923405950659</v>
      </c>
      <c r="AD18" s="23" t="n">
        <f aca="false">AB18-$Q18</f>
        <v>0.0142621307111863</v>
      </c>
      <c r="AE18" s="24" t="n">
        <f aca="false">1/AC18</f>
        <v>0.926583062488952</v>
      </c>
      <c r="AF18" s="24" t="n">
        <f aca="false">AB18*(14.068*'Sem TS MC2020'!$P10^-0.457)/$Q18</f>
        <v>1.02059197339859</v>
      </c>
      <c r="AG18" s="24"/>
      <c r="AO18" s="4" t="n">
        <f aca="false">$AP$2*($AP$3+$AP$4*$F18/($N18*'Sem TS MC2020'!P10))*($AP$5*$G18+$AP$6*$B18/$N18)*('Sem TS MC2020'!P10^$AP$7/200000)*($J18-$M18)/($J18-$M18-$H18)+('Sem TS MC2020'!P10-$C18/$AP$8)*($AP$5*$G18+$AP$6*$B18/$N18)/200000</f>
        <v>0.200929384845146</v>
      </c>
      <c r="AP18" s="4" t="n">
        <f aca="false">AO18/$Q18</f>
        <v>1.11627436025081</v>
      </c>
      <c r="AQ18" s="23" t="n">
        <f aca="false">AO18-$Q18</f>
        <v>0.0209293848451462</v>
      </c>
    </row>
    <row r="19" customFormat="false" ht="14.25" hidden="false" customHeight="false" outlineLevel="0" collapsed="false">
      <c r="B19" s="2" t="n">
        <v>10</v>
      </c>
      <c r="C19" s="3" t="n">
        <v>500</v>
      </c>
      <c r="D19" s="3" t="n">
        <v>8</v>
      </c>
      <c r="E19" s="2" t="n">
        <v>87.7</v>
      </c>
      <c r="F19" s="4" t="n">
        <v>4.13112676332901</v>
      </c>
      <c r="G19" s="2" t="n">
        <v>25</v>
      </c>
      <c r="H19" s="2" t="n">
        <v>53</v>
      </c>
      <c r="I19" s="1" t="n">
        <v>308</v>
      </c>
      <c r="J19" s="2" t="n">
        <v>604</v>
      </c>
      <c r="K19" s="3" t="n">
        <v>628</v>
      </c>
      <c r="L19" s="4" t="n">
        <v>43428</v>
      </c>
      <c r="M19" s="3" t="n">
        <v>99.6964003818006</v>
      </c>
      <c r="N19" s="12" t="n">
        <v>0.0144607165883762</v>
      </c>
      <c r="O19" s="4" t="n">
        <v>174.3</v>
      </c>
      <c r="P19" s="3" t="n">
        <v>497.36822294177</v>
      </c>
      <c r="Q19" s="4" t="n">
        <v>0.26</v>
      </c>
      <c r="R19" s="13" t="n">
        <f aca="false">P19/200000</f>
        <v>0.00248684111470885</v>
      </c>
      <c r="V19" s="4" t="n">
        <f aca="false">$W$2*($W$3*$G19+$W$4*$B19^$W$5*$N19^$W$6)*$R19^$W$7</f>
        <v>0.349506265902633</v>
      </c>
      <c r="W19" s="4" t="n">
        <f aca="false">V19/$Q19</f>
        <v>1.34425486885628</v>
      </c>
      <c r="Y19" s="4" t="n">
        <f aca="false">$Z$2*$B19^$Z$3*$R19^$Z$4*($Z$5*$N19^$Z$6+$Z$7)</f>
        <v>0.347584390038326</v>
      </c>
      <c r="Z19" s="4" t="n">
        <f aca="false">Y19/$Q19</f>
        <v>1.33686303860895</v>
      </c>
      <c r="AB19" s="4" t="n">
        <f aca="false">$AC$2*($AC$3+$AC$4*$F19/($N19*'Sem TS MC2020'!P11))*($AC$5*$G19+$AC$6*$B19/$N19)*'Sem TS MC2020'!R11*($J19-$M19)/($J19-$M19-$H19)</f>
        <v>0.315154025214071</v>
      </c>
      <c r="AC19" s="4" t="n">
        <f aca="false">AB19/$Q19</f>
        <v>1.21213086620797</v>
      </c>
      <c r="AD19" s="23" t="n">
        <f aca="false">AB19-$Q19</f>
        <v>0.0551540252140711</v>
      </c>
      <c r="AE19" s="24" t="n">
        <f aca="false">1/AC19</f>
        <v>0.824993429239537</v>
      </c>
      <c r="AF19" s="24" t="n">
        <f aca="false">AB19*(14.068*'Sem TS MC2020'!$P11^-0.457)/$Q19</f>
        <v>0.996213856454415</v>
      </c>
      <c r="AG19" s="24"/>
      <c r="AO19" s="4" t="n">
        <f aca="false">$AP$2*($AP$3+$AP$4*$F19/($N19*'Sem TS MC2020'!P11))*($AP$5*$G19+$AP$6*$B19/$N19)*('Sem TS MC2020'!P11^$AP$7/200000)*($J19-$M19)/($J19-$M19-$H19)+('Sem TS MC2020'!P11-$C19/$AP$8)*($AP$5*$G19+$AP$6*$B19/$N19)/200000</f>
        <v>0.314656489937453</v>
      </c>
      <c r="AP19" s="4" t="n">
        <f aca="false">AO19/$Q19</f>
        <v>1.21021726899021</v>
      </c>
      <c r="AQ19" s="23" t="n">
        <f aca="false">AO19-$Q19</f>
        <v>0.0546564899374533</v>
      </c>
    </row>
    <row r="20" customFormat="false" ht="14.25" hidden="false" customHeight="false" outlineLevel="0" collapsed="false">
      <c r="A20" s="1" t="s">
        <v>24</v>
      </c>
      <c r="B20" s="2" t="n">
        <v>10</v>
      </c>
      <c r="C20" s="3" t="n">
        <v>628</v>
      </c>
      <c r="D20" s="3" t="n">
        <v>4</v>
      </c>
      <c r="E20" s="2" t="n">
        <v>32.4666666666667</v>
      </c>
      <c r="F20" s="4" t="n">
        <v>3.262</v>
      </c>
      <c r="G20" s="2" t="n">
        <v>25</v>
      </c>
      <c r="H20" s="2" t="n">
        <v>36</v>
      </c>
      <c r="I20" s="1" t="n">
        <v>200</v>
      </c>
      <c r="J20" s="2" t="n">
        <v>600</v>
      </c>
      <c r="K20" s="3" t="n">
        <v>314</v>
      </c>
      <c r="L20" s="4" t="n">
        <v>17200</v>
      </c>
      <c r="M20" s="3" t="n">
        <v>95.7219268645215</v>
      </c>
      <c r="N20" s="12" t="n">
        <v>0.0182558139534884</v>
      </c>
      <c r="O20" s="4" t="n">
        <v>47.625</v>
      </c>
      <c r="P20" s="3" t="n">
        <v>178.115884475521</v>
      </c>
      <c r="Q20" s="4" t="n">
        <v>0.16</v>
      </c>
      <c r="R20" s="13" t="n">
        <f aca="false">P20/200000</f>
        <v>0.000890579422377607</v>
      </c>
      <c r="V20" s="4" t="n">
        <f aca="false">$W$2*($W$3*$G20+$W$4*$B20^$W$5*$N20^$W$6)*$R20^$W$7</f>
        <v>0.168273131982398</v>
      </c>
      <c r="W20" s="4" t="n">
        <f aca="false">V20/$Q20</f>
        <v>1.05170707488998</v>
      </c>
      <c r="Y20" s="4" t="n">
        <f aca="false">$Z$2*$B20^$Z$3*$R20^$Z$4*($Z$5*$N20^$Z$6+$Z$7)</f>
        <v>0.16400318827506</v>
      </c>
      <c r="Z20" s="4" t="n">
        <f aca="false">Y20/$Q20</f>
        <v>1.02501992671912</v>
      </c>
      <c r="AB20" s="4" t="n">
        <f aca="false">$AC$2*($AC$3+$AC$4*$F20/($N20*'Sem TS MC2020'!P12))*($AC$5*$G20+$AC$6*$B20/$N20)*'Sem TS MC2020'!R12*($J20-$M20)/($J20-$M20-$H20)</f>
        <v>0.138173604898793</v>
      </c>
      <c r="AC20" s="4" t="n">
        <f aca="false">AB20/$Q20</f>
        <v>0.863585030617453</v>
      </c>
      <c r="AD20" s="23" t="n">
        <f aca="false">AB20-$Q20</f>
        <v>-0.0218263951012075</v>
      </c>
      <c r="AE20" s="24" t="n">
        <f aca="false">1/AC20</f>
        <v>1.15796356414957</v>
      </c>
      <c r="AF20" s="24" t="n">
        <f aca="false">AB20*(14.068*'Sem TS MC2020'!$P12^-0.457)/$Q20</f>
        <v>0.917571504067181</v>
      </c>
      <c r="AG20" s="24"/>
      <c r="AO20" s="4" t="n">
        <f aca="false">$AP$2*($AP$3+$AP$4*$F20/($N20*'Sem TS MC2020'!P12))*($AP$5*$G20+$AP$6*$B20/$N20)*('Sem TS MC2020'!P12^$AP$7/200000)*($J20-$M20)/($J20-$M20-$H20)+('Sem TS MC2020'!P12-$C20/$AP$8)*($AP$5*$G20+$AP$6*$B20/$N20)/200000</f>
        <v>0.141518984889583</v>
      </c>
      <c r="AP20" s="4" t="n">
        <f aca="false">AO20/$Q20</f>
        <v>0.884493655559892</v>
      </c>
      <c r="AQ20" s="23" t="n">
        <f aca="false">AO20-$Q20</f>
        <v>-0.0184810151104173</v>
      </c>
    </row>
    <row r="21" customFormat="false" ht="14.25" hidden="false" customHeight="false" outlineLevel="0" collapsed="false">
      <c r="B21" s="2" t="n">
        <v>10</v>
      </c>
      <c r="C21" s="3" t="n">
        <v>628</v>
      </c>
      <c r="D21" s="3" t="n">
        <v>4</v>
      </c>
      <c r="E21" s="2" t="n">
        <v>32.4666666666667</v>
      </c>
      <c r="F21" s="4" t="n">
        <v>3.262</v>
      </c>
      <c r="G21" s="2" t="n">
        <v>25</v>
      </c>
      <c r="H21" s="2" t="n">
        <v>36</v>
      </c>
      <c r="I21" s="1" t="n">
        <v>200</v>
      </c>
      <c r="J21" s="2" t="n">
        <v>600</v>
      </c>
      <c r="K21" s="3" t="n">
        <v>314</v>
      </c>
      <c r="L21" s="4" t="n">
        <v>17200</v>
      </c>
      <c r="M21" s="3" t="n">
        <v>95.7219268645215</v>
      </c>
      <c r="N21" s="12" t="n">
        <v>0.0182558139534884</v>
      </c>
      <c r="O21" s="4" t="n">
        <v>54.3</v>
      </c>
      <c r="P21" s="3" t="n">
        <v>242.197039334368</v>
      </c>
      <c r="Q21" s="4" t="n">
        <v>0.2</v>
      </c>
      <c r="R21" s="13" t="n">
        <f aca="false">P21/200000</f>
        <v>0.00121098519667184</v>
      </c>
      <c r="V21" s="4" t="n">
        <f aca="false">$W$2*($W$3*$G21+$W$4*$B21^$W$5*$N21^$W$6)*$R21^$W$7</f>
        <v>0.203405836337038</v>
      </c>
      <c r="W21" s="4" t="n">
        <f aca="false">V21/$Q21</f>
        <v>1.01702918168519</v>
      </c>
      <c r="Y21" s="4" t="n">
        <f aca="false">$Z$2*$B21^$Z$3*$R21^$Z$4*($Z$5*$N21^$Z$6+$Z$7)</f>
        <v>0.19891569467817</v>
      </c>
      <c r="Z21" s="4" t="n">
        <f aca="false">Y21/$Q21</f>
        <v>0.994578473390848</v>
      </c>
      <c r="AB21" s="4" t="n">
        <f aca="false">$AC$2*($AC$3+$AC$4*$F21/($N21*'Sem TS MC2020'!P13))*($AC$5*$G21+$AC$6*$B21/$N21)*'Sem TS MC2020'!R13*($J21-$M21)/($J21-$M21-$H21)</f>
        <v>0.167562134322303</v>
      </c>
      <c r="AC21" s="4" t="n">
        <f aca="false">AB21/$Q21</f>
        <v>0.837810671611517</v>
      </c>
      <c r="AD21" s="23" t="n">
        <f aca="false">AB21-$Q21</f>
        <v>-0.0324378656776967</v>
      </c>
      <c r="AE21" s="24" t="n">
        <f aca="false">1/AC21</f>
        <v>1.19358708820993</v>
      </c>
      <c r="AF21" s="24" t="n">
        <f aca="false">AB21*(14.068*'Sem TS MC2020'!$P13^-0.457)/$Q21</f>
        <v>0.83839323949465</v>
      </c>
      <c r="AG21" s="24"/>
      <c r="AO21" s="4" t="n">
        <f aca="false">$AP$2*($AP$3+$AP$4*$F21/($N21*'Sem TS MC2020'!P13))*($AP$5*$G21+$AP$6*$B21/$N21)*('Sem TS MC2020'!P13^$AP$7/200000)*($J21-$M21)/($J21-$M21-$H21)+('Sem TS MC2020'!P13-$C21/$AP$8)*($AP$5*$G21+$AP$6*$B21/$N21)/200000</f>
        <v>0.170405085446582</v>
      </c>
      <c r="AP21" s="4" t="n">
        <f aca="false">AO21/$Q21</f>
        <v>0.85202542723291</v>
      </c>
      <c r="AQ21" s="23" t="n">
        <f aca="false">AO21-$Q21</f>
        <v>-0.0295949145534179</v>
      </c>
    </row>
    <row r="22" customFormat="false" ht="14.25" hidden="false" customHeight="false" outlineLevel="0" collapsed="false">
      <c r="B22" s="2" t="n">
        <v>10</v>
      </c>
      <c r="C22" s="3" t="n">
        <v>628</v>
      </c>
      <c r="D22" s="3" t="n">
        <v>4</v>
      </c>
      <c r="E22" s="2" t="n">
        <v>32.4666666666667</v>
      </c>
      <c r="F22" s="4" t="n">
        <v>3.262</v>
      </c>
      <c r="G22" s="2" t="n">
        <v>25</v>
      </c>
      <c r="H22" s="2" t="n">
        <v>36</v>
      </c>
      <c r="I22" s="1" t="n">
        <v>200</v>
      </c>
      <c r="J22" s="2" t="n">
        <v>600</v>
      </c>
      <c r="K22" s="3" t="n">
        <v>314</v>
      </c>
      <c r="L22" s="4" t="n">
        <v>17200</v>
      </c>
      <c r="M22" s="3" t="n">
        <v>95.7219268645215</v>
      </c>
      <c r="N22" s="12" t="n">
        <v>0.0182558139534884</v>
      </c>
      <c r="O22" s="4" t="n">
        <v>61.425</v>
      </c>
      <c r="P22" s="3" t="n">
        <v>308.133730145237</v>
      </c>
      <c r="Q22" s="4" t="n">
        <v>0.2</v>
      </c>
      <c r="R22" s="13" t="n">
        <f aca="false">P22/200000</f>
        <v>0.00154066865072618</v>
      </c>
      <c r="V22" s="4" t="n">
        <f aca="false">$W$2*($W$3*$G22+$W$4*$B22^$W$5*$N22^$W$6)*$R22^$W$7</f>
        <v>0.235984432297949</v>
      </c>
      <c r="W22" s="4" t="n">
        <f aca="false">V22/$Q22</f>
        <v>1.17992216148975</v>
      </c>
      <c r="Y22" s="4" t="n">
        <f aca="false">$Z$2*$B22^$Z$3*$R22^$Z$4*($Z$5*$N22^$Z$6+$Z$7)</f>
        <v>0.231387167204199</v>
      </c>
      <c r="Z22" s="4" t="n">
        <f aca="false">Y22/$Q22</f>
        <v>1.15693583602099</v>
      </c>
      <c r="AB22" s="4" t="n">
        <f aca="false">$AC$2*($AC$3+$AC$4*$F22/($N22*'Sem TS MC2020'!P14))*($AC$5*$G22+$AC$6*$B22/$N22)*'Sem TS MC2020'!R14*($J22-$M22)/($J22-$M22-$H22)</f>
        <v>0.198931912920433</v>
      </c>
      <c r="AC22" s="4" t="n">
        <f aca="false">AB22/$Q22</f>
        <v>0.994659564602164</v>
      </c>
      <c r="AD22" s="23" t="n">
        <f aca="false">AB22-$Q22</f>
        <v>-0.00106808707956726</v>
      </c>
      <c r="AE22" s="24" t="n">
        <f aca="false">1/AC22</f>
        <v>1.0053691087764</v>
      </c>
      <c r="AF22" s="24" t="n">
        <f aca="false">AB22*(14.068*'Sem TS MC2020'!$P14^-0.457)/$Q22</f>
        <v>0.940819097683517</v>
      </c>
      <c r="AG22" s="24"/>
      <c r="AO22" s="4" t="n">
        <f aca="false">$AP$2*($AP$3+$AP$4*$F22/($N22*'Sem TS MC2020'!P14))*($AP$5*$G22+$AP$6*$B22/$N22)*('Sem TS MC2020'!P14^$AP$7/200000)*($J22-$M22)/($J22-$M22-$H22)+('Sem TS MC2020'!P14-$C22/$AP$8)*($AP$5*$G22+$AP$6*$B22/$N22)/200000</f>
        <v>0.200372787895428</v>
      </c>
      <c r="AP22" s="4" t="n">
        <f aca="false">AO22/$Q22</f>
        <v>1.00186393947714</v>
      </c>
      <c r="AQ22" s="23" t="n">
        <f aca="false">AO22-$Q22</f>
        <v>0.000372787895428328</v>
      </c>
    </row>
    <row r="23" customFormat="false" ht="14.25" hidden="false" customHeight="false" outlineLevel="0" collapsed="false">
      <c r="B23" s="2" t="n">
        <v>10</v>
      </c>
      <c r="C23" s="3" t="n">
        <v>628</v>
      </c>
      <c r="D23" s="3" t="n">
        <v>4</v>
      </c>
      <c r="E23" s="2" t="n">
        <v>32.4666666666667</v>
      </c>
      <c r="F23" s="4" t="n">
        <v>3.262</v>
      </c>
      <c r="G23" s="2" t="n">
        <v>25</v>
      </c>
      <c r="H23" s="2" t="n">
        <v>36</v>
      </c>
      <c r="I23" s="1" t="n">
        <v>200</v>
      </c>
      <c r="J23" s="2" t="n">
        <v>600</v>
      </c>
      <c r="K23" s="3" t="n">
        <v>314</v>
      </c>
      <c r="L23" s="4" t="n">
        <v>17200</v>
      </c>
      <c r="M23" s="3" t="n">
        <v>95.7219268645215</v>
      </c>
      <c r="N23" s="12" t="n">
        <v>0.0182558139534884</v>
      </c>
      <c r="O23" s="4" t="n">
        <v>68.625</v>
      </c>
      <c r="P23" s="3" t="n">
        <v>368.31936401396</v>
      </c>
      <c r="Q23" s="4" t="n">
        <v>0.24</v>
      </c>
      <c r="R23" s="13" t="n">
        <f aca="false">P23/200000</f>
        <v>0.0018415968200698</v>
      </c>
      <c r="V23" s="4" t="n">
        <f aca="false">$W$2*($W$3*$G23+$W$4*$B23^$W$5*$N23^$W$6)*$R23^$W$7</f>
        <v>0.263446110186591</v>
      </c>
      <c r="W23" s="4" t="n">
        <f aca="false">V23/$Q23</f>
        <v>1.09769212577746</v>
      </c>
      <c r="Y23" s="4" t="n">
        <f aca="false">$Z$2*$B23^$Z$3*$R23^$Z$4*($Z$5*$N23^$Z$6+$Z$7)</f>
        <v>0.258821317914108</v>
      </c>
      <c r="Z23" s="4" t="n">
        <f aca="false">Y23/$Q23</f>
        <v>1.07842215797545</v>
      </c>
      <c r="AB23" s="4" t="n">
        <f aca="false">$AC$2*($AC$3+$AC$4*$F23/($N23*'Sem TS MC2020'!P15))*($AC$5*$G23+$AC$6*$B23/$N23)*'Sem TS MC2020'!R15*($J23-$M23)/($J23-$M23-$H23)</f>
        <v>0.230631899714332</v>
      </c>
      <c r="AC23" s="4" t="n">
        <f aca="false">AB23/$Q23</f>
        <v>0.960966248809716</v>
      </c>
      <c r="AD23" s="23" t="n">
        <f aca="false">AB23-$Q23</f>
        <v>-0.00936810028566812</v>
      </c>
      <c r="AE23" s="24" t="n">
        <f aca="false">1/AC23</f>
        <v>1.04061927381803</v>
      </c>
      <c r="AF23" s="24" t="n">
        <f aca="false">AB23*(14.068*'Sem TS MC2020'!$P15^-0.457)/$Q23</f>
        <v>0.864054425934594</v>
      </c>
      <c r="AG23" s="24"/>
      <c r="AO23" s="4" t="n">
        <f aca="false">$AP$2*($AP$3+$AP$4*$F23/($N23*'Sem TS MC2020'!P15))*($AP$5*$G23+$AP$6*$B23/$N23)*('Sem TS MC2020'!P15^$AP$7/200000)*($J23-$M23)/($J23-$M23-$H23)+('Sem TS MC2020'!P15-$C23/$AP$8)*($AP$5*$G23+$AP$6*$B23/$N23)/200000</f>
        <v>0.229896551256089</v>
      </c>
      <c r="AP23" s="4" t="n">
        <f aca="false">AO23/$Q23</f>
        <v>0.957902296900371</v>
      </c>
      <c r="AQ23" s="23" t="n">
        <f aca="false">AO23-$Q23</f>
        <v>-0.010103448743911</v>
      </c>
    </row>
    <row r="24" customFormat="false" ht="14.25" hidden="false" customHeight="false" outlineLevel="0" collapsed="false">
      <c r="B24" s="2" t="n">
        <v>10</v>
      </c>
      <c r="C24" s="3" t="n">
        <v>628</v>
      </c>
      <c r="D24" s="3" t="n">
        <v>4</v>
      </c>
      <c r="E24" s="2" t="n">
        <v>32.4666666666667</v>
      </c>
      <c r="F24" s="4" t="n">
        <v>3.262</v>
      </c>
      <c r="G24" s="2" t="n">
        <v>25</v>
      </c>
      <c r="H24" s="2" t="n">
        <v>36</v>
      </c>
      <c r="I24" s="1" t="n">
        <v>200</v>
      </c>
      <c r="J24" s="2" t="n">
        <v>600</v>
      </c>
      <c r="K24" s="3" t="n">
        <v>314</v>
      </c>
      <c r="L24" s="4" t="n">
        <v>17200</v>
      </c>
      <c r="M24" s="3" t="n">
        <v>95.7219268645215</v>
      </c>
      <c r="N24" s="12" t="n">
        <v>0.0182558139534884</v>
      </c>
      <c r="O24" s="4" t="n">
        <v>73.275</v>
      </c>
      <c r="P24" s="3" t="n">
        <v>401.01024685519</v>
      </c>
      <c r="Q24" s="4" t="n">
        <v>0.3</v>
      </c>
      <c r="R24" s="13" t="n">
        <f aca="false">P24/200000</f>
        <v>0.00200505123427595</v>
      </c>
      <c r="V24" s="4" t="n">
        <f aca="false">$W$2*($W$3*$G24+$W$4*$B24^$W$5*$N24^$W$6)*$R24^$W$7</f>
        <v>0.277637526769412</v>
      </c>
      <c r="W24" s="4" t="n">
        <f aca="false">V24/$Q24</f>
        <v>0.925458422564706</v>
      </c>
      <c r="Y24" s="4" t="n">
        <f aca="false">$Z$2*$B24^$Z$3*$R24^$Z$4*($Z$5*$N24^$Z$6+$Z$7)</f>
        <v>0.27301886750188</v>
      </c>
      <c r="Z24" s="4" t="n">
        <f aca="false">Y24/$Q24</f>
        <v>0.910062891672933</v>
      </c>
      <c r="AB24" s="4" t="n">
        <f aca="false">$AC$2*($AC$3+$AC$4*$F24/($N24*'Sem TS MC2020'!P16))*($AC$5*$G24+$AC$6*$B24/$N24)*'Sem TS MC2020'!R16*($J24-$M24)/($J24-$M24-$H24)</f>
        <v>0.251104807852059</v>
      </c>
      <c r="AC24" s="4" t="n">
        <f aca="false">AB24/$Q24</f>
        <v>0.837016026173528</v>
      </c>
      <c r="AD24" s="23" t="n">
        <f aca="false">AB24-$Q24</f>
        <v>-0.0488951921479415</v>
      </c>
      <c r="AE24" s="24" t="n">
        <f aca="false">1/AC24</f>
        <v>1.19472025472626</v>
      </c>
      <c r="AF24" s="24" t="n">
        <f aca="false">AB24*(14.068*'Sem TS MC2020'!$P16^-0.457)/$Q24</f>
        <v>0.730389232804132</v>
      </c>
      <c r="AG24" s="24"/>
      <c r="AO24" s="4" t="n">
        <f aca="false">$AP$2*($AP$3+$AP$4*$F24/($N24*'Sem TS MC2020'!P16))*($AP$5*$G24+$AP$6*$B24/$N24)*('Sem TS MC2020'!P16^$AP$7/200000)*($J24-$M24)/($J24-$M24-$H24)+('Sem TS MC2020'!P16-$C24/$AP$8)*($AP$5*$G24+$AP$6*$B24/$N24)/200000</f>
        <v>0.248612655613821</v>
      </c>
      <c r="AP24" s="4" t="n">
        <f aca="false">AO24/$Q24</f>
        <v>0.828708852046072</v>
      </c>
      <c r="AQ24" s="23" t="n">
        <f aca="false">AO24-$Q24</f>
        <v>-0.0513873443861785</v>
      </c>
    </row>
    <row r="25" customFormat="false" ht="14.25" hidden="false" customHeight="false" outlineLevel="0" collapsed="false">
      <c r="B25" s="2" t="n">
        <v>10</v>
      </c>
      <c r="C25" s="3" t="n">
        <v>628</v>
      </c>
      <c r="D25" s="3" t="n">
        <v>4</v>
      </c>
      <c r="E25" s="2" t="n">
        <v>32.4666666666667</v>
      </c>
      <c r="F25" s="4" t="n">
        <v>3.262</v>
      </c>
      <c r="G25" s="2" t="n">
        <v>25</v>
      </c>
      <c r="H25" s="2" t="n">
        <v>36</v>
      </c>
      <c r="I25" s="1" t="n">
        <v>200</v>
      </c>
      <c r="J25" s="2" t="n">
        <v>600</v>
      </c>
      <c r="K25" s="3" t="n">
        <v>314</v>
      </c>
      <c r="L25" s="4" t="n">
        <v>17200</v>
      </c>
      <c r="M25" s="3" t="n">
        <v>95.7219268645215</v>
      </c>
      <c r="N25" s="12" t="n">
        <v>0.0182558139534884</v>
      </c>
      <c r="O25" s="4" t="n">
        <v>83.25</v>
      </c>
      <c r="P25" s="3" t="n">
        <v>498.057729856692</v>
      </c>
      <c r="Q25" s="4" t="n">
        <v>0.32</v>
      </c>
      <c r="R25" s="13" t="n">
        <f aca="false">P25/200000</f>
        <v>0.00249028864928346</v>
      </c>
      <c r="V25" s="4" t="n">
        <f aca="false">$W$2*($W$3*$G25+$W$4*$B25^$W$5*$N25^$W$6)*$R25^$W$7</f>
        <v>0.317360453029544</v>
      </c>
      <c r="W25" s="4" t="n">
        <f aca="false">V25/$Q25</f>
        <v>0.991751415717324</v>
      </c>
      <c r="Y25" s="4" t="n">
        <f aca="false">$Z$2*$B25^$Z$3*$R25^$Z$4*($Z$5*$N25^$Z$6+$Z$7)</f>
        <v>0.312825874734533</v>
      </c>
      <c r="Z25" s="4" t="n">
        <f aca="false">Y25/$Q25</f>
        <v>0.977580858545414</v>
      </c>
      <c r="AB25" s="4" t="n">
        <f aca="false">$AC$2*($AC$3+$AC$4*$F25/($N25*'Sem TS MC2020'!P17))*($AC$5*$G25+$AC$6*$B25/$N25)*'Sem TS MC2020'!R17*($J25-$M25)/($J25-$M25-$H25)</f>
        <v>0.29502249788944</v>
      </c>
      <c r="AC25" s="4" t="n">
        <f aca="false">AB25/$Q25</f>
        <v>0.921945305904499</v>
      </c>
      <c r="AD25" s="23" t="n">
        <f aca="false">AB25-$Q25</f>
        <v>-0.0249775021105605</v>
      </c>
      <c r="AE25" s="24" t="n">
        <f aca="false">1/AC25</f>
        <v>1.08466304193493</v>
      </c>
      <c r="AF25" s="24" t="n">
        <f aca="false">AB25*(14.068*'Sem TS MC2020'!$P17^-0.457)/$Q25</f>
        <v>0.758918187201223</v>
      </c>
      <c r="AG25" s="24"/>
      <c r="AO25" s="4" t="n">
        <f aca="false">$AP$2*($AP$3+$AP$4*$F25/($N25*'Sem TS MC2020'!P17))*($AP$5*$G25+$AP$6*$B25/$N25)*('Sem TS MC2020'!P17^$AP$7/200000)*($J25-$M25)/($J25-$M25-$H25)+('Sem TS MC2020'!P17-$C25/$AP$8)*($AP$5*$G25+$AP$6*$B25/$N25)/200000</f>
        <v>0.287957380274537</v>
      </c>
      <c r="AP25" s="4" t="n">
        <f aca="false">AO25/$Q25</f>
        <v>0.899866813357929</v>
      </c>
      <c r="AQ25" s="23" t="n">
        <f aca="false">AO25-$Q25</f>
        <v>-0.0320426197254626</v>
      </c>
    </row>
    <row r="26" customFormat="false" ht="14.25" hidden="false" customHeight="false" outlineLevel="0" collapsed="false">
      <c r="B26" s="2" t="n">
        <v>10</v>
      </c>
      <c r="C26" s="3" t="n">
        <v>628</v>
      </c>
      <c r="D26" s="3" t="n">
        <v>4</v>
      </c>
      <c r="E26" s="2" t="n">
        <v>32.4666666666667</v>
      </c>
      <c r="F26" s="4" t="n">
        <v>3.262</v>
      </c>
      <c r="G26" s="2" t="n">
        <v>25</v>
      </c>
      <c r="H26" s="2" t="n">
        <v>36</v>
      </c>
      <c r="I26" s="1" t="n">
        <v>200</v>
      </c>
      <c r="J26" s="2" t="n">
        <v>600</v>
      </c>
      <c r="K26" s="3" t="n">
        <v>314</v>
      </c>
      <c r="L26" s="4" t="n">
        <v>17200</v>
      </c>
      <c r="M26" s="3" t="n">
        <v>95.7219268645215</v>
      </c>
      <c r="N26" s="12" t="n">
        <v>0.0182558139534884</v>
      </c>
      <c r="O26" s="4" t="n">
        <v>84</v>
      </c>
      <c r="P26" s="3" t="n">
        <v>502.761883538398</v>
      </c>
      <c r="Q26" s="4" t="n">
        <v>0.38</v>
      </c>
      <c r="R26" s="13" t="n">
        <f aca="false">P26/200000</f>
        <v>0.00251380941769199</v>
      </c>
      <c r="V26" s="4" t="n">
        <f aca="false">$W$2*($W$3*$G26+$W$4*$B26^$W$5*$N26^$W$6)*$R26^$W$7</f>
        <v>0.319206560451898</v>
      </c>
      <c r="W26" s="4" t="n">
        <f aca="false">V26/$Q26</f>
        <v>0.840017264347101</v>
      </c>
      <c r="Y26" s="4" t="n">
        <f aca="false">$Z$2*$B26^$Z$3*$R26^$Z$4*($Z$5*$N26^$Z$6+$Z$7)</f>
        <v>0.314678142568093</v>
      </c>
      <c r="Z26" s="4" t="n">
        <f aca="false">Y26/$Q26</f>
        <v>0.828100375179192</v>
      </c>
      <c r="AB26" s="4" t="n">
        <f aca="false">$AC$2*($AC$3+$AC$4*$F26/($N26*'Sem TS MC2020'!P18))*($AC$5*$G26+$AC$6*$B26/$N26)*'Sem TS MC2020'!R18*($J26-$M26)/($J26-$M26-$H26)</f>
        <v>0.298324579847137</v>
      </c>
      <c r="AC26" s="4" t="n">
        <f aca="false">AB26/$Q26</f>
        <v>0.785064683808256</v>
      </c>
      <c r="AD26" s="23" t="n">
        <f aca="false">AB26-$Q26</f>
        <v>-0.0816754201528626</v>
      </c>
      <c r="AE26" s="24" t="n">
        <f aca="false">1/AC26</f>
        <v>1.27378039112538</v>
      </c>
      <c r="AF26" s="24" t="n">
        <f aca="false">AB26*(14.068*'Sem TS MC2020'!$P18^-0.457)/$Q26</f>
        <v>0.6435987755702</v>
      </c>
      <c r="AG26" s="24"/>
      <c r="AO26" s="4" t="n">
        <f aca="false">$AP$2*($AP$3+$AP$4*$F26/($N26*'Sem TS MC2020'!P18))*($AP$5*$G26+$AP$6*$B26/$N26)*('Sem TS MC2020'!P18^$AP$7/200000)*($J26-$M26)/($J26-$M26-$H26)+('Sem TS MC2020'!P18-$C26/$AP$8)*($AP$5*$G26+$AP$6*$B26/$N26)/200000</f>
        <v>0.290875288966816</v>
      </c>
      <c r="AP26" s="4" t="n">
        <f aca="false">AO26/$Q26</f>
        <v>0.765461286754778</v>
      </c>
      <c r="AQ26" s="23" t="n">
        <f aca="false">AO26-$Q26</f>
        <v>-0.0891247110331845</v>
      </c>
    </row>
    <row r="27" customFormat="false" ht="14.25" hidden="false" customHeight="false" outlineLevel="0" collapsed="false">
      <c r="B27" s="2" t="n">
        <v>10</v>
      </c>
      <c r="C27" s="3" t="n">
        <v>628</v>
      </c>
      <c r="D27" s="3" t="n">
        <v>4</v>
      </c>
      <c r="E27" s="2" t="n">
        <v>32.4666666666667</v>
      </c>
      <c r="F27" s="4" t="n">
        <v>3.262</v>
      </c>
      <c r="G27" s="2" t="n">
        <v>25</v>
      </c>
      <c r="H27" s="2" t="n">
        <v>36</v>
      </c>
      <c r="I27" s="1" t="n">
        <v>200</v>
      </c>
      <c r="J27" s="2" t="n">
        <v>600</v>
      </c>
      <c r="K27" s="3" t="n">
        <v>314</v>
      </c>
      <c r="L27" s="4" t="n">
        <v>17200</v>
      </c>
      <c r="M27" s="3" t="n">
        <v>95.7219268645215</v>
      </c>
      <c r="N27" s="12" t="n">
        <v>0.0182558139534884</v>
      </c>
      <c r="O27" s="4" t="n">
        <v>90</v>
      </c>
      <c r="P27" s="3" t="n">
        <v>538.673446648283</v>
      </c>
      <c r="Q27" s="4" t="n">
        <v>0.42</v>
      </c>
      <c r="R27" s="13" t="n">
        <f aca="false">P27/200000</f>
        <v>0.00269336723324142</v>
      </c>
      <c r="V27" s="4" t="n">
        <f aca="false">$W$2*($W$3*$G27+$W$4*$B27^$W$5*$N27^$W$6)*$R27^$W$7</f>
        <v>0.333088100103953</v>
      </c>
      <c r="W27" s="4" t="n">
        <f aca="false">V27/$Q27</f>
        <v>0.793066905009412</v>
      </c>
      <c r="Y27" s="4" t="n">
        <f aca="false">$Z$2*$B27^$Z$3*$R27^$Z$4*($Z$5*$N27^$Z$6+$Z$7)</f>
        <v>0.328612048185011</v>
      </c>
      <c r="Z27" s="4" t="n">
        <f aca="false">Y27/$Q27</f>
        <v>0.78240963853574</v>
      </c>
      <c r="AB27" s="4" t="n">
        <f aca="false">$AC$2*($AC$3+$AC$4*$F27/($N27*'Sem TS MC2020'!P19))*($AC$5*$G27+$AC$6*$B27/$N27)*'Sem TS MC2020'!R19*($J27-$M27)/($J27-$M27-$H27)</f>
        <v>0.32474123550872</v>
      </c>
      <c r="AC27" s="4" t="n">
        <f aca="false">AB27/$Q27</f>
        <v>0.773193417877905</v>
      </c>
      <c r="AD27" s="23" t="n">
        <f aca="false">AB27-$Q27</f>
        <v>-0.0952587644912799</v>
      </c>
      <c r="AE27" s="24" t="n">
        <f aca="false">1/AC27</f>
        <v>1.29333744555739</v>
      </c>
      <c r="AF27" s="24" t="n">
        <f aca="false">AB27*(14.068*'Sem TS MC2020'!$P19^-0.457)/$Q27</f>
        <v>0.614192803271559</v>
      </c>
      <c r="AG27" s="24"/>
      <c r="AO27" s="4" t="n">
        <f aca="false">$AP$2*($AP$3+$AP$4*$F27/($N27*'Sem TS MC2020'!P19))*($AP$5*$G27+$AP$6*$B27/$N27)*('Sem TS MC2020'!P19^$AP$7/200000)*($J27-$M27)/($J27-$M27-$H27)+('Sem TS MC2020'!P19-$C27/$AP$8)*($AP$5*$G27+$AP$6*$B27/$N27)/200000</f>
        <v>0.314033938941887</v>
      </c>
      <c r="AP27" s="4" t="n">
        <f aca="false">AO27/$Q27</f>
        <v>0.747699854623541</v>
      </c>
      <c r="AQ27" s="23" t="n">
        <f aca="false">AO27-$Q27</f>
        <v>-0.105966061058113</v>
      </c>
    </row>
    <row r="28" customFormat="false" ht="14.25" hidden="false" customHeight="false" outlineLevel="0" collapsed="false">
      <c r="B28" s="2" t="n">
        <v>10</v>
      </c>
      <c r="C28" s="3" t="n">
        <v>628</v>
      </c>
      <c r="D28" s="3" t="n">
        <v>4</v>
      </c>
      <c r="E28" s="2" t="n">
        <v>32.4666666666667</v>
      </c>
      <c r="F28" s="4" t="n">
        <v>3.262</v>
      </c>
      <c r="G28" s="2" t="n">
        <v>25</v>
      </c>
      <c r="H28" s="2" t="n">
        <v>36</v>
      </c>
      <c r="I28" s="1" t="n">
        <v>200</v>
      </c>
      <c r="J28" s="2" t="n">
        <v>600</v>
      </c>
      <c r="K28" s="3" t="n">
        <v>314</v>
      </c>
      <c r="L28" s="4" t="n">
        <v>17200</v>
      </c>
      <c r="M28" s="3" t="n">
        <v>95.7219268645215</v>
      </c>
      <c r="N28" s="12" t="n">
        <v>0.0182558139534884</v>
      </c>
      <c r="O28" s="4" t="n">
        <v>108</v>
      </c>
      <c r="P28" s="3" t="n">
        <v>628</v>
      </c>
      <c r="Q28" s="4" t="n">
        <v>0.44</v>
      </c>
      <c r="R28" s="13" t="n">
        <f aca="false">P28/200000</f>
        <v>0.00314</v>
      </c>
      <c r="V28" s="4" t="n">
        <f aca="false">$W$2*($W$3*$G28+$W$4*$B28^$W$5*$N28^$W$6)*$R28^$W$7</f>
        <v>0.366161216364939</v>
      </c>
      <c r="W28" s="4" t="n">
        <f aca="false">V28/$Q28</f>
        <v>0.832184582647589</v>
      </c>
      <c r="Y28" s="4" t="n">
        <f aca="false">$Z$2*$B28^$Z$3*$R28^$Z$4*($Z$5*$N28^$Z$6+$Z$7)</f>
        <v>0.361850920608256</v>
      </c>
      <c r="Z28" s="4" t="n">
        <f aca="false">Y28/$Q28</f>
        <v>0.822388455927855</v>
      </c>
      <c r="AB28" s="4" t="n">
        <f aca="false">$AC$2*($AC$3+$AC$4*$F28/($N28*'Sem TS MC2020'!P20))*($AC$5*$G28+$AC$6*$B28/$N28)*'Sem TS MC2020'!R20*($J28-$M28)/($J28-$M28-$H28)</f>
        <v>0.390450121365564</v>
      </c>
      <c r="AC28" s="4" t="n">
        <f aca="false">AB28/$Q28</f>
        <v>0.88738663946719</v>
      </c>
      <c r="AD28" s="23" t="n">
        <f aca="false">AB28-$Q28</f>
        <v>-0.0495498786344364</v>
      </c>
      <c r="AE28" s="24" t="n">
        <f aca="false">1/AC28</f>
        <v>1.12690450309284</v>
      </c>
      <c r="AF28" s="24" t="n">
        <f aca="false">AB28*(14.068*'Sem TS MC2020'!$P20^-0.457)/$Q28</f>
        <v>0.657169937327431</v>
      </c>
      <c r="AG28" s="24"/>
      <c r="AO28" s="4" t="n">
        <f aca="false">$AP$2*($AP$3+$AP$4*$F28/($N28*'Sem TS MC2020'!P20))*($AP$5*$G28+$AP$6*$B28/$N28)*('Sem TS MC2020'!P20^$AP$7/200000)*($J28-$M28)/($J28-$M28-$H28)+('Sem TS MC2020'!P20-$C28/$AP$8)*($AP$5*$G28+$AP$6*$B28/$N28)/200000</f>
        <v>0.370362583290911</v>
      </c>
      <c r="AP28" s="4" t="n">
        <f aca="false">AO28/$Q28</f>
        <v>0.841733143842979</v>
      </c>
      <c r="AQ28" s="23" t="n">
        <f aca="false">AO28-$Q28</f>
        <v>-0.0696374167090894</v>
      </c>
    </row>
    <row r="29" customFormat="false" ht="14.25" hidden="false" customHeight="false" outlineLevel="0" collapsed="false">
      <c r="B29" s="2" t="n">
        <v>10</v>
      </c>
      <c r="C29" s="3" t="n">
        <v>628</v>
      </c>
      <c r="D29" s="3" t="n">
        <v>4</v>
      </c>
      <c r="E29" s="2" t="n">
        <v>32.4666666666667</v>
      </c>
      <c r="F29" s="4" t="n">
        <v>3.262</v>
      </c>
      <c r="G29" s="2" t="n">
        <v>25</v>
      </c>
      <c r="H29" s="2" t="n">
        <v>36</v>
      </c>
      <c r="I29" s="1" t="n">
        <v>200</v>
      </c>
      <c r="J29" s="2" t="n">
        <v>600</v>
      </c>
      <c r="K29" s="3" t="n">
        <v>314</v>
      </c>
      <c r="L29" s="4" t="n">
        <v>17200</v>
      </c>
      <c r="M29" s="3" t="n">
        <v>95.7219268645215</v>
      </c>
      <c r="N29" s="12" t="n">
        <v>0.0182558139534884</v>
      </c>
      <c r="O29" s="4" t="n">
        <v>120</v>
      </c>
      <c r="P29" s="3" t="n">
        <v>628</v>
      </c>
      <c r="Q29" s="4" t="n">
        <v>0.5</v>
      </c>
      <c r="R29" s="13" t="n">
        <f aca="false">P29/200000</f>
        <v>0.00314</v>
      </c>
      <c r="V29" s="4" t="n">
        <f aca="false">$W$2*($W$3*$G29+$W$4*$B29^$W$5*$N29^$W$6)*$R29^$W$7</f>
        <v>0.366161216364939</v>
      </c>
      <c r="W29" s="4" t="n">
        <f aca="false">V29/$Q29</f>
        <v>0.732322432729878</v>
      </c>
      <c r="Y29" s="4" t="n">
        <f aca="false">$Z$2*$B29^$Z$3*$R29^$Z$4*($Z$5*$N29^$Z$6+$Z$7)</f>
        <v>0.361850920608256</v>
      </c>
      <c r="Z29" s="4" t="n">
        <f aca="false">Y29/$Q29</f>
        <v>0.723701841216513</v>
      </c>
      <c r="AB29" s="4" t="n">
        <f aca="false">$AC$2*($AC$3+$AC$4*$F29/($N29*'Sem TS MC2020'!P21))*($AC$5*$G29+$AC$6*$B29/$N29)*'Sem TS MC2020'!R21*($J29-$M29)/($J29-$M29-$H29)</f>
        <v>0.390450121365564</v>
      </c>
      <c r="AC29" s="4" t="n">
        <f aca="false">AB29/$Q29</f>
        <v>0.780900242731127</v>
      </c>
      <c r="AD29" s="23" t="n">
        <f aca="false">AB29-$Q29</f>
        <v>-0.109549878634436</v>
      </c>
      <c r="AE29" s="24" t="n">
        <f aca="false">1/AC29</f>
        <v>1.28057329896914</v>
      </c>
      <c r="AF29" s="24" t="n">
        <f aca="false">AB29*(14.068*'Sem TS MC2020'!$P21^-0.457)/$Q29</f>
        <v>0.578309544848139</v>
      </c>
      <c r="AG29" s="24"/>
      <c r="AO29" s="4" t="n">
        <f aca="false">$AP$2*($AP$3+$AP$4*$F29/($N29*'Sem TS MC2020'!P21))*($AP$5*$G29+$AP$6*$B29/$N29)*('Sem TS MC2020'!P21^$AP$7/200000)*($J29-$M29)/($J29-$M29-$H29)+('Sem TS MC2020'!P21-$C29/$AP$8)*($AP$5*$G29+$AP$6*$B29/$N29)/200000</f>
        <v>0.370362583290911</v>
      </c>
      <c r="AP29" s="4" t="n">
        <f aca="false">AO29/$Q29</f>
        <v>0.740725166581821</v>
      </c>
      <c r="AQ29" s="23" t="n">
        <f aca="false">AO29-$Q29</f>
        <v>-0.129637416709089</v>
      </c>
    </row>
    <row r="30" customFormat="false" ht="14.25" hidden="false" customHeight="false" outlineLevel="0" collapsed="false">
      <c r="A30" s="1" t="s">
        <v>25</v>
      </c>
      <c r="B30" s="2" t="n">
        <v>10</v>
      </c>
      <c r="C30" s="3" t="n">
        <v>628</v>
      </c>
      <c r="D30" s="3" t="n">
        <v>4</v>
      </c>
      <c r="E30" s="2" t="n">
        <v>32.4666666666667</v>
      </c>
      <c r="F30" s="4" t="n">
        <v>3.514</v>
      </c>
      <c r="G30" s="2" t="n">
        <v>25</v>
      </c>
      <c r="H30" s="2" t="n">
        <v>36</v>
      </c>
      <c r="I30" s="1" t="n">
        <v>200</v>
      </c>
      <c r="J30" s="2" t="n">
        <v>600</v>
      </c>
      <c r="K30" s="3" t="n">
        <v>314</v>
      </c>
      <c r="L30" s="4" t="n">
        <v>17200</v>
      </c>
      <c r="M30" s="3" t="n">
        <v>87.1206787100977</v>
      </c>
      <c r="N30" s="12" t="n">
        <v>0.0182558139534884</v>
      </c>
      <c r="O30" s="4" t="n">
        <v>54</v>
      </c>
      <c r="P30" s="3" t="n">
        <v>249.685784085099</v>
      </c>
      <c r="Q30" s="4" t="n">
        <v>0.24</v>
      </c>
      <c r="R30" s="13" t="n">
        <f aca="false">P30/200000</f>
        <v>0.00124842892042549</v>
      </c>
      <c r="V30" s="4" t="n">
        <f aca="false">$W$2*($W$3*$G30+$W$4*$B30^$W$5*$N30^$W$6)*$R30^$W$7</f>
        <v>0.207263690404327</v>
      </c>
      <c r="W30" s="4" t="n">
        <f aca="false">V30/$Q30</f>
        <v>0.86359871001803</v>
      </c>
      <c r="Y30" s="4" t="n">
        <f aca="false">$Z$2*$B30^$Z$3*$R30^$Z$4*($Z$5*$N30^$Z$6+$Z$7)</f>
        <v>0.202756292958441</v>
      </c>
      <c r="Z30" s="4" t="n">
        <f aca="false">Y30/$Q30</f>
        <v>0.844817887326839</v>
      </c>
      <c r="AB30" s="4" t="n">
        <f aca="false">$AC$2*($AC$3+$AC$4*$F30/($N30*'Sem TS MC2020'!P22))*($AC$5*$G30+$AC$6*$B30/$N30)*'Sem TS MC2020'!R22*($J30-$M30)/($J30-$M30-$H30)</f>
        <v>0.159237525976867</v>
      </c>
      <c r="AC30" s="4" t="n">
        <f aca="false">AB30/$Q30</f>
        <v>0.66348969157028</v>
      </c>
      <c r="AD30" s="23" t="n">
        <f aca="false">AB30-$Q30</f>
        <v>-0.0807624740231329</v>
      </c>
      <c r="AE30" s="24" t="n">
        <f aca="false">1/AC30</f>
        <v>1.50718242152836</v>
      </c>
      <c r="AF30" s="24" t="n">
        <f aca="false">AB30*(14.068*'Sem TS MC2020'!$P22^-0.457)/$Q30</f>
        <v>0.667270914871449</v>
      </c>
      <c r="AG30" s="24"/>
      <c r="AO30" s="4" t="n">
        <f aca="false">$AP$2*($AP$3+$AP$4*$F30/($N30*'Sem TS MC2020'!P22))*($AP$5*$G30+$AP$6*$B30/$N30)*('Sem TS MC2020'!P22^$AP$7/200000)*($J30-$M30)/($J30-$M30-$H30)+('Sem TS MC2020'!P22-$C30/$AP$8)*($AP$5*$G30+$AP$6*$B30/$N30)/200000</f>
        <v>0.161917135081311</v>
      </c>
      <c r="AP30" s="4" t="n">
        <f aca="false">AO30/$Q30</f>
        <v>0.674654729505461</v>
      </c>
      <c r="AQ30" s="23" t="n">
        <f aca="false">AO30-$Q30</f>
        <v>-0.0780828649186895</v>
      </c>
    </row>
    <row r="31" customFormat="false" ht="14.25" hidden="false" customHeight="false" outlineLevel="0" collapsed="false">
      <c r="B31" s="2" t="n">
        <v>10</v>
      </c>
      <c r="C31" s="3" t="n">
        <v>628</v>
      </c>
      <c r="D31" s="3" t="n">
        <v>4</v>
      </c>
      <c r="E31" s="2" t="n">
        <v>32.4666666666667</v>
      </c>
      <c r="F31" s="4" t="n">
        <v>3.514</v>
      </c>
      <c r="G31" s="2" t="n">
        <v>25</v>
      </c>
      <c r="H31" s="2" t="n">
        <v>36</v>
      </c>
      <c r="I31" s="1" t="n">
        <v>200</v>
      </c>
      <c r="J31" s="2" t="n">
        <v>600</v>
      </c>
      <c r="K31" s="3" t="n">
        <v>314</v>
      </c>
      <c r="L31" s="4" t="n">
        <v>17200</v>
      </c>
      <c r="M31" s="3" t="n">
        <v>87.1206787100977</v>
      </c>
      <c r="N31" s="12" t="n">
        <v>0.0182558139534884</v>
      </c>
      <c r="O31" s="4" t="n">
        <v>60</v>
      </c>
      <c r="P31" s="3" t="n">
        <v>336.5737959867</v>
      </c>
      <c r="Q31" s="4" t="n">
        <v>0.3</v>
      </c>
      <c r="R31" s="13" t="n">
        <f aca="false">P31/200000</f>
        <v>0.0016828689799335</v>
      </c>
      <c r="V31" s="4" t="n">
        <f aca="false">$W$2*($W$3*$G31+$W$4*$B31^$W$5*$N31^$W$6)*$R31^$W$7</f>
        <v>0.249195265926016</v>
      </c>
      <c r="W31" s="4" t="n">
        <f aca="false">V31/$Q31</f>
        <v>0.830650886420054</v>
      </c>
      <c r="Y31" s="4" t="n">
        <f aca="false">$Z$2*$B31^$Z$3*$R31^$Z$4*($Z$5*$N31^$Z$6+$Z$7)</f>
        <v>0.244578036756948</v>
      </c>
      <c r="Z31" s="4" t="n">
        <f aca="false">Y31/$Q31</f>
        <v>0.815260122523161</v>
      </c>
      <c r="AB31" s="4" t="n">
        <f aca="false">$AC$2*($AC$3+$AC$4*$F31/($N31*'Sem TS MC2020'!P23))*($AC$5*$G31+$AC$6*$B31/$N31)*'Sem TS MC2020'!R23*($J31-$M31)/($J31-$M31-$H31)</f>
        <v>0.185478771125722</v>
      </c>
      <c r="AC31" s="4" t="n">
        <f aca="false">AB31/$Q31</f>
        <v>0.618262570419075</v>
      </c>
      <c r="AD31" s="23" t="n">
        <f aca="false">AB31-$Q31</f>
        <v>-0.114521228874278</v>
      </c>
      <c r="AE31" s="24" t="n">
        <f aca="false">1/AC31</f>
        <v>1.61743577542172</v>
      </c>
      <c r="AF31" s="24" t="n">
        <f aca="false">AB31*(14.068*'Sem TS MC2020'!$P23^-0.457)/$Q31</f>
        <v>0.592556542160572</v>
      </c>
      <c r="AG31" s="24"/>
      <c r="AO31" s="4" t="n">
        <f aca="false">$AP$2*($AP$3+$AP$4*$F31/($N31*'Sem TS MC2020'!P23))*($AP$5*$G31+$AP$6*$B31/$N31)*('Sem TS MC2020'!P23^$AP$7/200000)*($J31-$M31)/($J31-$M31-$H31)+('Sem TS MC2020'!P23-$C31/$AP$8)*($AP$5*$G31+$AP$6*$B31/$N31)/200000</f>
        <v>0.187208000346712</v>
      </c>
      <c r="AP31" s="4" t="n">
        <f aca="false">AO31/$Q31</f>
        <v>0.624026667822374</v>
      </c>
      <c r="AQ31" s="23" t="n">
        <f aca="false">AO31-$Q31</f>
        <v>-0.112791999653288</v>
      </c>
    </row>
    <row r="32" customFormat="false" ht="14.25" hidden="false" customHeight="false" outlineLevel="0" collapsed="false">
      <c r="B32" s="2" t="n">
        <v>10</v>
      </c>
      <c r="C32" s="3" t="n">
        <v>628</v>
      </c>
      <c r="D32" s="3" t="n">
        <v>4</v>
      </c>
      <c r="E32" s="2" t="n">
        <v>32.4666666666667</v>
      </c>
      <c r="F32" s="4" t="n">
        <v>3.514</v>
      </c>
      <c r="G32" s="2" t="n">
        <v>25</v>
      </c>
      <c r="H32" s="2" t="n">
        <v>36</v>
      </c>
      <c r="I32" s="1" t="n">
        <v>200</v>
      </c>
      <c r="J32" s="2" t="n">
        <v>600</v>
      </c>
      <c r="K32" s="3" t="n">
        <v>314</v>
      </c>
      <c r="L32" s="4" t="n">
        <v>17200</v>
      </c>
      <c r="M32" s="3" t="n">
        <v>87.1206787100977</v>
      </c>
      <c r="N32" s="12" t="n">
        <v>0.0182558139534884</v>
      </c>
      <c r="O32" s="4" t="n">
        <v>62.25</v>
      </c>
      <c r="P32" s="3" t="n">
        <v>361.879363377413</v>
      </c>
      <c r="Q32" s="4" t="n">
        <v>0.3</v>
      </c>
      <c r="R32" s="13" t="n">
        <f aca="false">P32/200000</f>
        <v>0.00180939681688707</v>
      </c>
      <c r="V32" s="4" t="n">
        <f aca="false">$W$2*($W$3*$G32+$W$4*$B32^$W$5*$N32^$W$6)*$R32^$W$7</f>
        <v>0.260594423182338</v>
      </c>
      <c r="W32" s="4" t="n">
        <f aca="false">V32/$Q32</f>
        <v>0.868648077274461</v>
      </c>
      <c r="Y32" s="4" t="n">
        <f aca="false">$Z$2*$B32^$Z$3*$R32^$Z$4*($Z$5*$N32^$Z$6+$Z$7)</f>
        <v>0.255970020416142</v>
      </c>
      <c r="Z32" s="4" t="n">
        <f aca="false">Y32/$Q32</f>
        <v>0.85323340138714</v>
      </c>
      <c r="AB32" s="4" t="n">
        <f aca="false">$AC$2*($AC$3+$AC$4*$F32/($N32*'Sem TS MC2020'!P24))*($AC$5*$G32+$AC$6*$B32/$N32)*'Sem TS MC2020'!R24*($J32-$M32)/($J32-$M32-$H32)</f>
        <v>0.195319238056543</v>
      </c>
      <c r="AC32" s="4" t="n">
        <f aca="false">AB32/$Q32</f>
        <v>0.651064126855144</v>
      </c>
      <c r="AD32" s="23" t="n">
        <f aca="false">AB32-$Q32</f>
        <v>-0.104680761943457</v>
      </c>
      <c r="AE32" s="24" t="n">
        <f aca="false">1/AC32</f>
        <v>1.53594701159521</v>
      </c>
      <c r="AF32" s="24" t="n">
        <f aca="false">AB32*(14.068*'Sem TS MC2020'!$P24^-0.457)/$Q32</f>
        <v>0.613584026083156</v>
      </c>
      <c r="AG32" s="24"/>
      <c r="AO32" s="4" t="n">
        <f aca="false">$AP$2*($AP$3+$AP$4*$F32/($N32*'Sem TS MC2020'!P24))*($AP$5*$G32+$AP$6*$B32/$N32)*('Sem TS MC2020'!P24^$AP$7/200000)*($J32-$M32)/($J32-$M32-$H32)+('Sem TS MC2020'!P24-$C32/$AP$8)*($AP$5*$G32+$AP$6*$B32/$N32)/200000</f>
        <v>0.196543846305348</v>
      </c>
      <c r="AP32" s="4" t="n">
        <f aca="false">AO32/$Q32</f>
        <v>0.655146154351161</v>
      </c>
      <c r="AQ32" s="23" t="n">
        <f aca="false">AO32-$Q32</f>
        <v>-0.103456153694652</v>
      </c>
    </row>
    <row r="33" customFormat="false" ht="14.25" hidden="false" customHeight="false" outlineLevel="0" collapsed="false">
      <c r="B33" s="2" t="n">
        <v>10</v>
      </c>
      <c r="C33" s="3" t="n">
        <v>628</v>
      </c>
      <c r="D33" s="3" t="n">
        <v>4</v>
      </c>
      <c r="E33" s="2" t="n">
        <v>32.4666666666667</v>
      </c>
      <c r="F33" s="4" t="n">
        <v>3.514</v>
      </c>
      <c r="G33" s="2" t="n">
        <v>25</v>
      </c>
      <c r="H33" s="2" t="n">
        <v>36</v>
      </c>
      <c r="I33" s="1" t="n">
        <v>200</v>
      </c>
      <c r="J33" s="2" t="n">
        <v>600</v>
      </c>
      <c r="K33" s="3" t="n">
        <v>314</v>
      </c>
      <c r="L33" s="4" t="n">
        <v>17200</v>
      </c>
      <c r="M33" s="3" t="n">
        <v>87.1206787100977</v>
      </c>
      <c r="N33" s="12" t="n">
        <v>0.0182558139534884</v>
      </c>
      <c r="O33" s="4" t="n">
        <v>66</v>
      </c>
      <c r="P33" s="3" t="n">
        <v>392.910071207614</v>
      </c>
      <c r="Q33" s="4" t="n">
        <v>0.3</v>
      </c>
      <c r="R33" s="13" t="n">
        <f aca="false">P33/200000</f>
        <v>0.00196455035603807</v>
      </c>
      <c r="V33" s="4" t="n">
        <f aca="false">$W$2*($W$3*$G33+$W$4*$B33^$W$5*$N33^$W$6)*$R33^$W$7</f>
        <v>0.274163807139252</v>
      </c>
      <c r="W33" s="4" t="n">
        <f aca="false">V33/$Q33</f>
        <v>0.91387935713084</v>
      </c>
      <c r="Y33" s="4" t="n">
        <f aca="false">$Z$2*$B33^$Z$3*$R33^$Z$4*($Z$5*$N33^$Z$6+$Z$7)</f>
        <v>0.269542424631022</v>
      </c>
      <c r="Z33" s="4" t="n">
        <f aca="false">Y33/$Q33</f>
        <v>0.898474748770075</v>
      </c>
      <c r="AB33" s="4" t="n">
        <f aca="false">$AC$2*($AC$3+$AC$4*$F33/($N33*'Sem TS MC2020'!P25))*($AC$5*$G33+$AC$6*$B33/$N33)*'Sem TS MC2020'!R25*($J33-$M33)/($J33-$M33-$H33)</f>
        <v>0.211720016274578</v>
      </c>
      <c r="AC33" s="4" t="n">
        <f aca="false">AB33/$Q33</f>
        <v>0.705733387581925</v>
      </c>
      <c r="AD33" s="23" t="n">
        <f aca="false">AB33-$Q33</f>
        <v>-0.0882799837254225</v>
      </c>
      <c r="AE33" s="24" t="n">
        <f aca="false">1/AC33</f>
        <v>1.41696569497205</v>
      </c>
      <c r="AF33" s="24" t="n">
        <f aca="false">AB33*(14.068*'Sem TS MC2020'!$P25^-0.457)/$Q33</f>
        <v>0.647561542780849</v>
      </c>
      <c r="AG33" s="24"/>
      <c r="AO33" s="4" t="n">
        <f aca="false">$AP$2*($AP$3+$AP$4*$F33/($N33*'Sem TS MC2020'!P25))*($AP$5*$G33+$AP$6*$B33/$N33)*('Sem TS MC2020'!P25^$AP$7/200000)*($J33-$M33)/($J33-$M33-$H33)+('Sem TS MC2020'!P25-$C33/$AP$8)*($AP$5*$G33+$AP$6*$B33/$N33)/200000</f>
        <v>0.211940750336833</v>
      </c>
      <c r="AP33" s="4" t="n">
        <f aca="false">AO33/$Q33</f>
        <v>0.706469167789443</v>
      </c>
      <c r="AQ33" s="23" t="n">
        <f aca="false">AO33-$Q33</f>
        <v>-0.0880592496631673</v>
      </c>
    </row>
    <row r="34" customFormat="false" ht="14.25" hidden="false" customHeight="false" outlineLevel="0" collapsed="false">
      <c r="B34" s="2" t="n">
        <v>10</v>
      </c>
      <c r="C34" s="3" t="n">
        <v>628</v>
      </c>
      <c r="D34" s="3" t="n">
        <v>4</v>
      </c>
      <c r="E34" s="2" t="n">
        <v>32.4666666666667</v>
      </c>
      <c r="F34" s="4" t="n">
        <v>3.514</v>
      </c>
      <c r="G34" s="2" t="n">
        <v>25</v>
      </c>
      <c r="H34" s="2" t="n">
        <v>36</v>
      </c>
      <c r="I34" s="1" t="n">
        <v>200</v>
      </c>
      <c r="J34" s="2" t="n">
        <v>600</v>
      </c>
      <c r="K34" s="3" t="n">
        <v>314</v>
      </c>
      <c r="L34" s="4" t="n">
        <v>17200</v>
      </c>
      <c r="M34" s="3" t="n">
        <v>87.1206787100977</v>
      </c>
      <c r="N34" s="12" t="n">
        <v>0.0182558139534884</v>
      </c>
      <c r="O34" s="4" t="n">
        <v>71.25</v>
      </c>
      <c r="P34" s="3" t="n">
        <v>424.164281417311</v>
      </c>
      <c r="Q34" s="4" t="n">
        <v>0.38</v>
      </c>
      <c r="R34" s="13" t="n">
        <f aca="false">P34/200000</f>
        <v>0.00212082140708655</v>
      </c>
      <c r="V34" s="4" t="n">
        <f aca="false">$W$2*($W$3*$G34+$W$4*$B34^$W$5*$N34^$W$6)*$R34^$W$7</f>
        <v>0.287421848394817</v>
      </c>
      <c r="W34" s="4" t="n">
        <f aca="false">V34/$Q34</f>
        <v>0.756373285249519</v>
      </c>
      <c r="Y34" s="4" t="n">
        <f aca="false">$Z$2*$B34^$Z$3*$R34^$Z$4*($Z$5*$N34^$Z$6+$Z$7)</f>
        <v>0.282814997890105</v>
      </c>
      <c r="Z34" s="4" t="n">
        <f aca="false">Y34/$Q34</f>
        <v>0.744249994447644</v>
      </c>
      <c r="AB34" s="4" t="n">
        <f aca="false">$AC$2*($AC$3+$AC$4*$F34/($N34*'Sem TS MC2020'!P26))*($AC$5*$G34+$AC$6*$B34/$N34)*'Sem TS MC2020'!R26*($J34-$M34)/($J34-$M34-$H34)</f>
        <v>0.234681105779826</v>
      </c>
      <c r="AC34" s="4" t="n">
        <f aca="false">AB34/$Q34</f>
        <v>0.617581857315331</v>
      </c>
      <c r="AD34" s="23" t="n">
        <f aca="false">AB34-$Q34</f>
        <v>-0.145318894220174</v>
      </c>
      <c r="AE34" s="24" t="n">
        <f aca="false">1/AC34</f>
        <v>1.61921855079595</v>
      </c>
      <c r="AF34" s="24" t="n">
        <f aca="false">AB34*(14.068*'Sem TS MC2020'!$P26^-0.457)/$Q34</f>
        <v>0.547197126253197</v>
      </c>
      <c r="AG34" s="24"/>
      <c r="AO34" s="4" t="n">
        <f aca="false">$AP$2*($AP$3+$AP$4*$F34/($N34*'Sem TS MC2020'!P26))*($AP$5*$G34+$AP$6*$B34/$N34)*('Sem TS MC2020'!P26^$AP$7/200000)*($J34-$M34)/($J34-$M34-$H34)+('Sem TS MC2020'!P26-$C34/$AP$8)*($AP$5*$G34+$AP$6*$B34/$N34)/200000</f>
        <v>0.233182113440686</v>
      </c>
      <c r="AP34" s="4" t="n">
        <f aca="false">AO34/$Q34</f>
        <v>0.613637140633384</v>
      </c>
      <c r="AQ34" s="23" t="n">
        <f aca="false">AO34-$Q34</f>
        <v>-0.146817886559314</v>
      </c>
    </row>
    <row r="35" customFormat="false" ht="14.25" hidden="false" customHeight="false" outlineLevel="0" collapsed="false">
      <c r="B35" s="2" t="n">
        <v>10</v>
      </c>
      <c r="C35" s="3" t="n">
        <v>628</v>
      </c>
      <c r="D35" s="3" t="n">
        <v>4</v>
      </c>
      <c r="E35" s="2" t="n">
        <v>32.4666666666667</v>
      </c>
      <c r="F35" s="4" t="n">
        <v>3.514</v>
      </c>
      <c r="G35" s="2" t="n">
        <v>25</v>
      </c>
      <c r="H35" s="2" t="n">
        <v>36</v>
      </c>
      <c r="I35" s="1" t="n">
        <v>200</v>
      </c>
      <c r="J35" s="2" t="n">
        <v>600</v>
      </c>
      <c r="K35" s="3" t="n">
        <v>314</v>
      </c>
      <c r="L35" s="4" t="n">
        <v>17200</v>
      </c>
      <c r="M35" s="3" t="n">
        <v>87.1206787100977</v>
      </c>
      <c r="N35" s="12" t="n">
        <v>0.0182558139534884</v>
      </c>
      <c r="O35" s="4" t="n">
        <v>82.5</v>
      </c>
      <c r="P35" s="3" t="n">
        <v>491.137589009518</v>
      </c>
      <c r="Q35" s="4" t="n">
        <v>0.44</v>
      </c>
      <c r="R35" s="13" t="n">
        <f aca="false">P35/200000</f>
        <v>0.00245568794504759</v>
      </c>
      <c r="V35" s="4" t="n">
        <f aca="false">$W$2*($W$3*$G35+$W$4*$B35^$W$5*$N35^$W$6)*$R35^$W$7</f>
        <v>0.314632513880655</v>
      </c>
      <c r="W35" s="4" t="n">
        <f aca="false">V35/$Q35</f>
        <v>0.715073895183306</v>
      </c>
      <c r="Y35" s="4" t="n">
        <f aca="false">$Z$2*$B35^$Z$3*$R35^$Z$4*($Z$5*$N35^$Z$6+$Z$7)</f>
        <v>0.310089184477381</v>
      </c>
      <c r="Z35" s="4" t="n">
        <f aca="false">Y35/$Q35</f>
        <v>0.704748146539501</v>
      </c>
      <c r="AB35" s="4" t="n">
        <f aca="false">$AC$2*($AC$3+$AC$4*$F35/($N35*'Sem TS MC2020'!P27))*($AC$5*$G35+$AC$6*$B35/$N35)*'Sem TS MC2020'!R27*($J35-$M35)/($J35-$M35-$H35)</f>
        <v>0.283883440433929</v>
      </c>
      <c r="AC35" s="4" t="n">
        <f aca="false">AB35/$Q35</f>
        <v>0.64518963734984</v>
      </c>
      <c r="AD35" s="23" t="n">
        <f aca="false">AB35-$Q35</f>
        <v>-0.156116559566071</v>
      </c>
      <c r="AE35" s="24" t="n">
        <f aca="false">1/AC35</f>
        <v>1.54993189925921</v>
      </c>
      <c r="AF35" s="24" t="n">
        <f aca="false">AB35*(14.068*'Sem TS MC2020'!$P27^-0.457)/$Q35</f>
        <v>0.534613464584462</v>
      </c>
      <c r="AG35" s="24"/>
      <c r="AO35" s="4" t="n">
        <f aca="false">$AP$2*($AP$3+$AP$4*$F35/($N35*'Sem TS MC2020'!P27))*($AP$5*$G35+$AP$6*$B35/$N35)*('Sem TS MC2020'!P27^$AP$7/200000)*($J35-$M35)/($J35-$M35-$H35)+('Sem TS MC2020'!P27-$C35/$AP$8)*($AP$5*$G35+$AP$6*$B35/$N35)/200000</f>
        <v>0.277623279563464</v>
      </c>
      <c r="AP35" s="4" t="n">
        <f aca="false">AO35/$Q35</f>
        <v>0.630961999007873</v>
      </c>
      <c r="AQ35" s="23" t="n">
        <f aca="false">AO35-$Q35</f>
        <v>-0.162376720436536</v>
      </c>
    </row>
    <row r="36" customFormat="false" ht="14.25" hidden="false" customHeight="false" outlineLevel="0" collapsed="false">
      <c r="A36" s="1" t="s">
        <v>26</v>
      </c>
      <c r="B36" s="2" t="n">
        <v>16</v>
      </c>
      <c r="C36" s="3" t="n">
        <v>571</v>
      </c>
      <c r="D36" s="3" t="n">
        <v>4</v>
      </c>
      <c r="E36" s="2" t="n">
        <v>37</v>
      </c>
      <c r="F36" s="4" t="n">
        <v>4.2588</v>
      </c>
      <c r="G36" s="2" t="n">
        <v>33</v>
      </c>
      <c r="H36" s="2" t="n">
        <v>59</v>
      </c>
      <c r="I36" s="1" t="n">
        <v>125</v>
      </c>
      <c r="J36" s="2" t="n">
        <v>250</v>
      </c>
      <c r="K36" s="3" t="n">
        <v>800</v>
      </c>
      <c r="L36" s="4" t="n">
        <v>19625</v>
      </c>
      <c r="M36" s="3" t="n">
        <v>87.082518617972</v>
      </c>
      <c r="N36" s="12" t="n">
        <v>0.0408</v>
      </c>
      <c r="O36" s="4" t="n">
        <v>18.2</v>
      </c>
      <c r="P36" s="3" t="n">
        <v>63.4584540622213</v>
      </c>
      <c r="Q36" s="4" t="n">
        <v>0.18</v>
      </c>
      <c r="R36" s="13" t="n">
        <f aca="false">P36/200000</f>
        <v>0.000317292270311107</v>
      </c>
      <c r="V36" s="4" t="n">
        <f aca="false">$W$2*($W$3*$G36+$W$4*$B36^$W$5*$N36^$W$6)*$R36^$W$7</f>
        <v>0.087244867135379</v>
      </c>
      <c r="W36" s="4" t="n">
        <f aca="false">V36/$Q36</f>
        <v>0.484693706307661</v>
      </c>
      <c r="Y36" s="4" t="n">
        <f aca="false">$Z$2*$B36^$Z$3*$R36^$Z$4*($Z$5*$N36^$Z$6+$Z$7)</f>
        <v>0.0856744372391924</v>
      </c>
      <c r="Z36" s="4" t="n">
        <f aca="false">Y36/$Q36</f>
        <v>0.475969095773291</v>
      </c>
      <c r="AB36" s="4" t="n">
        <f aca="false">$AC$2*($AC$3+$AC$4*$F36/($N36*'Sem TS MC2020'!P28))*($AC$5*$G36+$AC$6*$B36/$N36)*'Sem TS MC2020'!R28*($J36-$M36)/($J36-$M36-$H36)</f>
        <v>0.0770106168816584</v>
      </c>
      <c r="AC36" s="4" t="n">
        <f aca="false">AB36/$Q36</f>
        <v>0.427836760453658</v>
      </c>
      <c r="AD36" s="23" t="n">
        <f aca="false">AB36-$Q36</f>
        <v>-0.102989383118342</v>
      </c>
      <c r="AE36" s="24" t="n">
        <f aca="false">1/AC36</f>
        <v>2.33734006152171</v>
      </c>
      <c r="AF36" s="24" t="n">
        <f aca="false">AB36*(14.068*'Sem TS MC2020'!$P28^-0.457)/$Q36</f>
        <v>0.629028699173556</v>
      </c>
      <c r="AG36" s="24"/>
      <c r="AO36" s="4" t="n">
        <f aca="false">$AP$2*($AP$3+$AP$4*$F36/($N36*'Sem TS MC2020'!P28))*($AP$5*$G36+$AP$6*$B36/$N36)*('Sem TS MC2020'!P28^$AP$7/200000)*($J36-$M36)/($J36-$M36-$H36)+('Sem TS MC2020'!P28-$C36/$AP$8)*($AP$5*$G36+$AP$6*$B36/$N36)/200000</f>
        <v>0.0810818522157135</v>
      </c>
      <c r="AP36" s="4" t="n">
        <f aca="false">AO36/$Q36</f>
        <v>0.450454734531742</v>
      </c>
      <c r="AQ36" s="23" t="n">
        <f aca="false">AO36-$Q36</f>
        <v>-0.0989181477842865</v>
      </c>
    </row>
    <row r="37" customFormat="false" ht="14.25" hidden="false" customHeight="false" outlineLevel="0" collapsed="false">
      <c r="B37" s="2" t="n">
        <v>16</v>
      </c>
      <c r="C37" s="3" t="n">
        <v>571</v>
      </c>
      <c r="D37" s="3" t="n">
        <v>4</v>
      </c>
      <c r="E37" s="2" t="n">
        <v>37</v>
      </c>
      <c r="F37" s="4" t="n">
        <v>4.2588</v>
      </c>
      <c r="G37" s="2" t="n">
        <v>33</v>
      </c>
      <c r="H37" s="2" t="n">
        <v>59</v>
      </c>
      <c r="I37" s="1" t="n">
        <v>125</v>
      </c>
      <c r="J37" s="2" t="n">
        <v>250</v>
      </c>
      <c r="K37" s="3" t="n">
        <v>800</v>
      </c>
      <c r="L37" s="4" t="n">
        <v>19625</v>
      </c>
      <c r="M37" s="3" t="n">
        <v>87.082518617972</v>
      </c>
      <c r="N37" s="12" t="n">
        <v>0.0408</v>
      </c>
      <c r="O37" s="4" t="n">
        <v>26.2</v>
      </c>
      <c r="P37" s="3" t="n">
        <v>132.585769771664</v>
      </c>
      <c r="Q37" s="4" t="n">
        <v>0.2</v>
      </c>
      <c r="R37" s="13" t="n">
        <f aca="false">P37/200000</f>
        <v>0.000662928848858318</v>
      </c>
      <c r="V37" s="4" t="n">
        <f aca="false">$W$2*($W$3*$G37+$W$4*$B37^$W$5*$N37^$W$6)*$R37^$W$7</f>
        <v>0.137462572708287</v>
      </c>
      <c r="W37" s="4" t="n">
        <f aca="false">V37/$Q37</f>
        <v>0.687312863541436</v>
      </c>
      <c r="Y37" s="4" t="n">
        <f aca="false">$Z$2*$B37^$Z$3*$R37^$Z$4*($Z$5*$N37^$Z$6+$Z$7)</f>
        <v>0.136086775637982</v>
      </c>
      <c r="Z37" s="4" t="n">
        <f aca="false">Y37/$Q37</f>
        <v>0.680433878189908</v>
      </c>
      <c r="AB37" s="4" t="n">
        <f aca="false">$AC$2*($AC$3+$AC$4*$F37/($N37*'Sem TS MC2020'!P29))*($AC$5*$G37+$AC$6*$B37/$N37)*'Sem TS MC2020'!R29*($J37-$M37)/($J37-$M37-$H37)</f>
        <v>0.133951496816777</v>
      </c>
      <c r="AC37" s="4" t="n">
        <f aca="false">AB37/$Q37</f>
        <v>0.669757484083886</v>
      </c>
      <c r="AD37" s="23" t="n">
        <f aca="false">AB37-$Q37</f>
        <v>-0.0660485031832228</v>
      </c>
      <c r="AE37" s="24" t="n">
        <f aca="false">1/AC37</f>
        <v>1.49307775390943</v>
      </c>
      <c r="AF37" s="24" t="n">
        <f aca="false">AB37*(14.068*'Sem TS MC2020'!$P29^-0.457)/$Q37</f>
        <v>0.833679020595988</v>
      </c>
      <c r="AG37" s="24"/>
      <c r="AO37" s="4" t="n">
        <f aca="false">$AP$2*($AP$3+$AP$4*$F37/($N37*'Sem TS MC2020'!P29))*($AP$5*$G37+$AP$6*$B37/$N37)*('Sem TS MC2020'!P29^$AP$7/200000)*($J37-$M37)/($J37-$M37-$H37)+('Sem TS MC2020'!P29-$C37/$AP$8)*($AP$5*$G37+$AP$6*$B37/$N37)/200000</f>
        <v>0.139956087380863</v>
      </c>
      <c r="AP37" s="4" t="n">
        <f aca="false">AO37/$Q37</f>
        <v>0.699780436904317</v>
      </c>
      <c r="AQ37" s="23" t="n">
        <f aca="false">AO37-$Q37</f>
        <v>-0.0600439126191366</v>
      </c>
    </row>
    <row r="38" customFormat="false" ht="14.25" hidden="false" customHeight="false" outlineLevel="0" collapsed="false">
      <c r="B38" s="2" t="n">
        <v>16</v>
      </c>
      <c r="C38" s="3" t="n">
        <v>571</v>
      </c>
      <c r="D38" s="3" t="n">
        <v>4</v>
      </c>
      <c r="E38" s="2" t="n">
        <v>37</v>
      </c>
      <c r="F38" s="4" t="n">
        <v>4.2588</v>
      </c>
      <c r="G38" s="2" t="n">
        <v>33</v>
      </c>
      <c r="H38" s="2" t="n">
        <v>59</v>
      </c>
      <c r="I38" s="1" t="n">
        <v>125</v>
      </c>
      <c r="J38" s="2" t="n">
        <v>250</v>
      </c>
      <c r="K38" s="3" t="n">
        <v>800</v>
      </c>
      <c r="L38" s="4" t="n">
        <v>19625</v>
      </c>
      <c r="M38" s="3" t="n">
        <v>87.082518617972</v>
      </c>
      <c r="N38" s="12" t="n">
        <v>0.0408</v>
      </c>
      <c r="O38" s="4" t="n">
        <v>31.7</v>
      </c>
      <c r="P38" s="3" t="n">
        <v>182.106781023643</v>
      </c>
      <c r="Q38" s="4" t="n">
        <v>0.26</v>
      </c>
      <c r="R38" s="13" t="n">
        <f aca="false">P38/200000</f>
        <v>0.000910533905118216</v>
      </c>
      <c r="V38" s="4" t="n">
        <f aca="false">$W$2*($W$3*$G38+$W$4*$B38^$W$5*$N38^$W$6)*$R38^$W$7</f>
        <v>0.167195693190514</v>
      </c>
      <c r="W38" s="4" t="n">
        <f aca="false">V38/$Q38</f>
        <v>0.643060358425053</v>
      </c>
      <c r="Y38" s="4" t="n">
        <f aca="false">$Z$2*$B38^$Z$3*$R38^$Z$4*($Z$5*$N38^$Z$6+$Z$7)</f>
        <v>0.166101159429452</v>
      </c>
      <c r="Z38" s="4" t="n">
        <f aca="false">Y38/$Q38</f>
        <v>0.638850613190198</v>
      </c>
      <c r="AB38" s="4" t="n">
        <f aca="false">$AC$2*($AC$3+$AC$4*$F38/($N38*'Sem TS MC2020'!P30))*($AC$5*$G38+$AC$6*$B38/$N38)*'Sem TS MC2020'!R30*($J38-$M38)/($J38-$M38-$H38)</f>
        <v>0.173098351772172</v>
      </c>
      <c r="AC38" s="4" t="n">
        <f aca="false">AB38/$Q38</f>
        <v>0.665762891431429</v>
      </c>
      <c r="AD38" s="23" t="n">
        <f aca="false">AB38-$Q38</f>
        <v>-0.0869016482278285</v>
      </c>
      <c r="AE38" s="24" t="n">
        <f aca="false">1/AC38</f>
        <v>1.50203625475421</v>
      </c>
      <c r="AF38" s="24" t="n">
        <f aca="false">AB38*(14.068*'Sem TS MC2020'!$P30^-0.457)/$Q38</f>
        <v>0.759592187538028</v>
      </c>
      <c r="AG38" s="24"/>
      <c r="AO38" s="4" t="n">
        <f aca="false">$AP$2*($AP$3+$AP$4*$F38/($N38*'Sem TS MC2020'!P30))*($AP$5*$G38+$AP$6*$B38/$N38)*('Sem TS MC2020'!P30^$AP$7/200000)*($J38-$M38)/($J38-$M38-$H38)+('Sem TS MC2020'!P30-$C38/$AP$8)*($AP$5*$G38+$AP$6*$B38/$N38)/200000</f>
        <v>0.177986011789509</v>
      </c>
      <c r="AP38" s="4" t="n">
        <f aca="false">AO38/$Q38</f>
        <v>0.684561583805802</v>
      </c>
      <c r="AQ38" s="23" t="n">
        <f aca="false">AO38-$Q38</f>
        <v>-0.0820139882104915</v>
      </c>
    </row>
    <row r="39" customFormat="false" ht="14.25" hidden="false" customHeight="false" outlineLevel="0" collapsed="false">
      <c r="B39" s="2" t="n">
        <v>16</v>
      </c>
      <c r="C39" s="3" t="n">
        <v>571</v>
      </c>
      <c r="D39" s="3" t="n">
        <v>4</v>
      </c>
      <c r="E39" s="2" t="n">
        <v>37</v>
      </c>
      <c r="F39" s="4" t="n">
        <v>4.2588</v>
      </c>
      <c r="G39" s="2" t="n">
        <v>33</v>
      </c>
      <c r="H39" s="2" t="n">
        <v>59</v>
      </c>
      <c r="I39" s="1" t="n">
        <v>125</v>
      </c>
      <c r="J39" s="2" t="n">
        <v>250</v>
      </c>
      <c r="K39" s="3" t="n">
        <v>800</v>
      </c>
      <c r="L39" s="4" t="n">
        <v>19625</v>
      </c>
      <c r="M39" s="3" t="n">
        <v>87.082518617972</v>
      </c>
      <c r="N39" s="12" t="n">
        <v>0.0408</v>
      </c>
      <c r="O39" s="4" t="n">
        <v>40.8</v>
      </c>
      <c r="P39" s="3" t="n">
        <v>276.470215881514</v>
      </c>
      <c r="Q39" s="4" t="n">
        <v>0.44</v>
      </c>
      <c r="R39" s="13" t="n">
        <f aca="false">P39/200000</f>
        <v>0.00138235107940757</v>
      </c>
      <c r="V39" s="4" t="n">
        <f aca="false">$W$2*($W$3*$G39+$W$4*$B39^$W$5*$N39^$W$6)*$R39^$W$7</f>
        <v>0.216322107096855</v>
      </c>
      <c r="W39" s="4" t="n">
        <f aca="false">V39/$Q39</f>
        <v>0.491641152492853</v>
      </c>
      <c r="Y39" s="4" t="n">
        <f aca="false">$Z$2*$B39^$Z$3*$R39^$Z$4*($Z$5*$N39^$Z$6+$Z$7)</f>
        <v>0.21589521993003</v>
      </c>
      <c r="Z39" s="4" t="n">
        <f aca="false">Y39/$Q39</f>
        <v>0.490670954386433</v>
      </c>
      <c r="AB39" s="4" t="n">
        <f aca="false">$AC$2*($AC$3+$AC$4*$F39/($N39*'Sem TS MC2020'!P31))*($AC$5*$G39+$AC$6*$B39/$N39)*'Sem TS MC2020'!R31*($J39-$M39)/($J39-$M39-$H39)</f>
        <v>0.237868602698369</v>
      </c>
      <c r="AC39" s="4" t="n">
        <f aca="false">AB39/$Q39</f>
        <v>0.540610460678112</v>
      </c>
      <c r="AD39" s="23" t="n">
        <f aca="false">AB39-$Q39</f>
        <v>-0.202131397301631</v>
      </c>
      <c r="AE39" s="24" t="n">
        <f aca="false">1/AC39</f>
        <v>1.84976072927937</v>
      </c>
      <c r="AF39" s="24" t="n">
        <f aca="false">AB39*(14.068*'Sem TS MC2020'!$P31^-0.457)/$Q39</f>
        <v>0.549613938291152</v>
      </c>
      <c r="AG39" s="24"/>
      <c r="AO39" s="4" t="n">
        <f aca="false">$AP$2*($AP$3+$AP$4*$F39/($N39*'Sem TS MC2020'!P31))*($AP$5*$G39+$AP$6*$B39/$N39)*('Sem TS MC2020'!P31^$AP$7/200000)*($J39-$M39)/($J39-$M39-$H39)+('Sem TS MC2020'!P31-$C39/$AP$8)*($AP$5*$G39+$AP$6*$B39/$N39)/200000</f>
        <v>0.23793605336961</v>
      </c>
      <c r="AP39" s="4" t="n">
        <f aca="false">AO39/$Q39</f>
        <v>0.540763757658204</v>
      </c>
      <c r="AQ39" s="23" t="n">
        <f aca="false">AO39-$Q39</f>
        <v>-0.20206394663039</v>
      </c>
    </row>
    <row r="40" customFormat="false" ht="14.25" hidden="false" customHeight="false" outlineLevel="0" collapsed="false">
      <c r="B40" s="2" t="n">
        <v>16</v>
      </c>
      <c r="C40" s="3" t="n">
        <v>571</v>
      </c>
      <c r="D40" s="3" t="n">
        <v>4</v>
      </c>
      <c r="E40" s="2" t="n">
        <v>37</v>
      </c>
      <c r="F40" s="4" t="n">
        <v>4.2588</v>
      </c>
      <c r="G40" s="2" t="n">
        <v>33</v>
      </c>
      <c r="H40" s="2" t="n">
        <v>59</v>
      </c>
      <c r="I40" s="1" t="n">
        <v>125</v>
      </c>
      <c r="J40" s="2" t="n">
        <v>250</v>
      </c>
      <c r="K40" s="3" t="n">
        <v>800</v>
      </c>
      <c r="L40" s="4" t="n">
        <v>19625</v>
      </c>
      <c r="M40" s="3" t="n">
        <v>87.082518617972</v>
      </c>
      <c r="N40" s="12" t="n">
        <v>0.0408</v>
      </c>
      <c r="O40" s="4" t="n">
        <v>54.1</v>
      </c>
      <c r="P40" s="3" t="n">
        <v>412.877261019929</v>
      </c>
      <c r="Q40" s="4" t="n">
        <v>0.6</v>
      </c>
      <c r="R40" s="13" t="n">
        <f aca="false">P40/200000</f>
        <v>0.00206438630509965</v>
      </c>
      <c r="V40" s="4" t="n">
        <f aca="false">$W$2*($W$3*$G40+$W$4*$B40^$W$5*$N40^$W$6)*$R40^$W$7</f>
        <v>0.277054626636174</v>
      </c>
      <c r="W40" s="4" t="n">
        <f aca="false">V40/$Q40</f>
        <v>0.46175771106029</v>
      </c>
      <c r="Y40" s="4" t="n">
        <f aca="false">$Z$2*$B40^$Z$3*$R40^$Z$4*($Z$5*$N40^$Z$6+$Z$7)</f>
        <v>0.277730405375802</v>
      </c>
      <c r="Z40" s="4" t="n">
        <f aca="false">Y40/$Q40</f>
        <v>0.462884008959669</v>
      </c>
      <c r="AB40" s="4" t="n">
        <f aca="false">$AC$2*($AC$3+$AC$4*$F40/($N40*'Sem TS MC2020'!P32))*($AC$5*$G40+$AC$6*$B40/$N40)*'Sem TS MC2020'!R32*($J40-$M40)/($J40-$M40-$H40)</f>
        <v>0.332532815590505</v>
      </c>
      <c r="AC40" s="4" t="n">
        <f aca="false">AB40/$Q40</f>
        <v>0.554221359317508</v>
      </c>
      <c r="AD40" s="23" t="n">
        <f aca="false">AB40-$Q40</f>
        <v>-0.267467184409495</v>
      </c>
      <c r="AE40" s="24" t="n">
        <f aca="false">1/AC40</f>
        <v>1.80433320222707</v>
      </c>
      <c r="AF40" s="24" t="n">
        <f aca="false">AB40*(14.068*'Sem TS MC2020'!$P32^-0.457)/$Q40</f>
        <v>0.495287191098484</v>
      </c>
      <c r="AG40" s="24"/>
      <c r="AO40" s="4" t="n">
        <f aca="false">$AP$2*($AP$3+$AP$4*$F40/($N40*'Sem TS MC2020'!P32))*($AP$5*$G40+$AP$6*$B40/$N40)*('Sem TS MC2020'!P32^$AP$7/200000)*($J40-$M40)/($J40-$M40-$H40)+('Sem TS MC2020'!P32-$C40/$AP$8)*($AP$5*$G40+$AP$6*$B40/$N40)/200000</f>
        <v>0.32083231623628</v>
      </c>
      <c r="AP40" s="4" t="n">
        <f aca="false">AO40/$Q40</f>
        <v>0.534720527060467</v>
      </c>
      <c r="AQ40" s="23" t="n">
        <f aca="false">AO40-$Q40</f>
        <v>-0.27916768376372</v>
      </c>
    </row>
    <row r="41" customFormat="false" ht="14.25" hidden="false" customHeight="false" outlineLevel="0" collapsed="false">
      <c r="A41" s="1" t="s">
        <v>27</v>
      </c>
      <c r="B41" s="2" t="n">
        <v>12</v>
      </c>
      <c r="C41" s="3" t="n">
        <v>500</v>
      </c>
      <c r="D41" s="3" t="n">
        <v>4</v>
      </c>
      <c r="E41" s="2" t="n">
        <v>79.3</v>
      </c>
      <c r="F41" s="4" t="n">
        <v>2.69332921131829</v>
      </c>
      <c r="G41" s="2" t="n">
        <v>20</v>
      </c>
      <c r="H41" s="2" t="n">
        <v>38</v>
      </c>
      <c r="I41" s="1" t="n">
        <v>350</v>
      </c>
      <c r="J41" s="2" t="n">
        <v>450</v>
      </c>
      <c r="K41" s="3" t="n">
        <v>452</v>
      </c>
      <c r="L41" s="4" t="n">
        <v>34300</v>
      </c>
      <c r="M41" s="3" t="n">
        <v>76.1694282016424</v>
      </c>
      <c r="N41" s="12" t="n">
        <v>0.0131778425655977</v>
      </c>
      <c r="O41" s="4" t="n">
        <v>52.5</v>
      </c>
      <c r="P41" s="3" t="n">
        <v>218.681980739333</v>
      </c>
      <c r="Q41" s="4" t="n">
        <v>0.36</v>
      </c>
      <c r="R41" s="13" t="n">
        <f aca="false">P41/200000</f>
        <v>0.00109340990369666</v>
      </c>
      <c r="V41" s="4" t="n">
        <f aca="false">$W$2*($W$3*$G41+$W$4*$B41^$W$5*$N41^$W$6)*$R41^$W$7</f>
        <v>0.247466486867523</v>
      </c>
      <c r="W41" s="4" t="n">
        <f aca="false">V41/$Q41</f>
        <v>0.687406907965342</v>
      </c>
      <c r="Y41" s="4" t="n">
        <f aca="false">$Z$2*$B41^$Z$3*$R41^$Z$4*($Z$5*$N41^$Z$6+$Z$7)</f>
        <v>0.246240966949559</v>
      </c>
      <c r="Z41" s="4" t="n">
        <f aca="false">Y41/$Q41</f>
        <v>0.684002685970996</v>
      </c>
      <c r="AB41" s="4" t="n">
        <f aca="false">$AC$2*($AC$3+$AC$4*$F41/($N41*'Sem TS MC2020'!P33))*($AC$5*$G41+$AC$6*$B41/$N41)*'Sem TS MC2020'!R33*($J41-$M41)/($J41-$M41-$H41)</f>
        <v>0.208841185080966</v>
      </c>
      <c r="AC41" s="4" t="n">
        <f aca="false">AB41/$Q41</f>
        <v>0.580114403002682</v>
      </c>
      <c r="AD41" s="23" t="n">
        <f aca="false">AB41-$Q41</f>
        <v>-0.151158814919034</v>
      </c>
      <c r="AE41" s="24" t="n">
        <f aca="false">1/AC41</f>
        <v>1.72379791783135</v>
      </c>
      <c r="AF41" s="24" t="n">
        <f aca="false">AB41*(14.068*'Sem TS MC2020'!$P33^-0.457)/$Q41</f>
        <v>0.601748986925091</v>
      </c>
      <c r="AG41" s="24"/>
      <c r="AO41" s="4" t="n">
        <f aca="false">$AP$2*($AP$3+$AP$4*$F41/($N41*'Sem TS MC2020'!P33))*($AP$5*$G41+$AP$6*$B41/$N41)*('Sem TS MC2020'!P33^$AP$7/200000)*($J41-$M41)/($J41-$M41-$H41)+('Sem TS MC2020'!P33-$C41/$AP$8)*($AP$5*$G41+$AP$6*$B41/$N41)/200000</f>
        <v>0.223253354295275</v>
      </c>
      <c r="AP41" s="4" t="n">
        <f aca="false">AO41/$Q41</f>
        <v>0.620148206375765</v>
      </c>
      <c r="AQ41" s="23" t="n">
        <f aca="false">AO41-$Q41</f>
        <v>-0.136746645704725</v>
      </c>
    </row>
    <row r="42" customFormat="false" ht="14.25" hidden="false" customHeight="false" outlineLevel="0" collapsed="false">
      <c r="B42" s="2" t="n">
        <v>12</v>
      </c>
      <c r="C42" s="3" t="n">
        <v>500</v>
      </c>
      <c r="D42" s="3" t="n">
        <v>4</v>
      </c>
      <c r="E42" s="2" t="n">
        <v>79.3</v>
      </c>
      <c r="F42" s="4" t="n">
        <v>2.69332921131829</v>
      </c>
      <c r="G42" s="2" t="n">
        <v>20</v>
      </c>
      <c r="H42" s="2" t="n">
        <v>38</v>
      </c>
      <c r="I42" s="1" t="n">
        <v>350</v>
      </c>
      <c r="J42" s="2" t="n">
        <v>450</v>
      </c>
      <c r="K42" s="3" t="n">
        <v>452</v>
      </c>
      <c r="L42" s="4" t="n">
        <v>34300</v>
      </c>
      <c r="M42" s="3" t="n">
        <v>76.1694282016424</v>
      </c>
      <c r="N42" s="12" t="n">
        <v>0.0131778425655977</v>
      </c>
      <c r="O42" s="4" t="n">
        <v>67.5</v>
      </c>
      <c r="P42" s="3" t="n">
        <v>344.704832395587</v>
      </c>
      <c r="Q42" s="4" t="n">
        <v>0.43</v>
      </c>
      <c r="R42" s="13" t="n">
        <f aca="false">P42/200000</f>
        <v>0.00172352416197794</v>
      </c>
      <c r="V42" s="4" t="n">
        <f aca="false">$W$2*($W$3*$G42+$W$4*$B42^$W$5*$N42^$W$6)*$R42^$W$7</f>
        <v>0.327685180559496</v>
      </c>
      <c r="W42" s="4" t="n">
        <f aca="false">V42/$Q42</f>
        <v>0.762058559440689</v>
      </c>
      <c r="Y42" s="4" t="n">
        <f aca="false">$Z$2*$B42^$Z$3*$R42^$Z$4*($Z$5*$N42^$Z$6+$Z$7)</f>
        <v>0.327698681554217</v>
      </c>
      <c r="Z42" s="4" t="n">
        <f aca="false">Y42/$Q42</f>
        <v>0.76208995710283</v>
      </c>
      <c r="AB42" s="4" t="n">
        <f aca="false">$AC$2*($AC$3+$AC$4*$F42/($N42*'Sem TS MC2020'!P34))*($AC$5*$G42+$AC$6*$B42/$N42)*'Sem TS MC2020'!R34*($J42-$M42)/($J42-$M42-$H42)</f>
        <v>0.303570117391277</v>
      </c>
      <c r="AC42" s="4" t="n">
        <f aca="false">AB42/$Q42</f>
        <v>0.705977017189016</v>
      </c>
      <c r="AD42" s="23" t="n">
        <f aca="false">AB42-$Q42</f>
        <v>-0.126429882608723</v>
      </c>
      <c r="AE42" s="24" t="n">
        <f aca="false">1/AC42</f>
        <v>1.41647670625553</v>
      </c>
      <c r="AF42" s="24" t="n">
        <f aca="false">AB42*(14.068*'Sem TS MC2020'!$P34^-0.457)/$Q42</f>
        <v>0.652849776918561</v>
      </c>
      <c r="AG42" s="24"/>
      <c r="AO42" s="4" t="n">
        <f aca="false">$AP$2*($AP$3+$AP$4*$F42/($N42*'Sem TS MC2020'!P34))*($AP$5*$G42+$AP$6*$B42/$N42)*('Sem TS MC2020'!P34^$AP$7/200000)*($J42-$M42)/($J42-$M42-$H42)+('Sem TS MC2020'!P34-$C42/$AP$8)*($AP$5*$G42+$AP$6*$B42/$N42)/200000</f>
        <v>0.316661628496744</v>
      </c>
      <c r="AP42" s="4" t="n">
        <f aca="false">AO42/$Q42</f>
        <v>0.736422391852892</v>
      </c>
      <c r="AQ42" s="23" t="n">
        <f aca="false">AO42-$Q42</f>
        <v>-0.113338371503256</v>
      </c>
    </row>
    <row r="43" customFormat="false" ht="14.25" hidden="false" customHeight="false" outlineLevel="0" collapsed="false">
      <c r="B43" s="2" t="n">
        <v>12</v>
      </c>
      <c r="C43" s="3" t="n">
        <v>500</v>
      </c>
      <c r="D43" s="3" t="n">
        <v>4</v>
      </c>
      <c r="E43" s="2" t="n">
        <v>79.3</v>
      </c>
      <c r="F43" s="4" t="n">
        <v>2.69332921131829</v>
      </c>
      <c r="G43" s="2" t="n">
        <v>20</v>
      </c>
      <c r="H43" s="2" t="n">
        <v>38</v>
      </c>
      <c r="I43" s="1" t="n">
        <v>350</v>
      </c>
      <c r="J43" s="2" t="n">
        <v>450</v>
      </c>
      <c r="K43" s="3" t="n">
        <v>452</v>
      </c>
      <c r="L43" s="4" t="n">
        <v>34300</v>
      </c>
      <c r="M43" s="3" t="n">
        <v>76.1694282016424</v>
      </c>
      <c r="N43" s="12" t="n">
        <v>0.0131778425655977</v>
      </c>
      <c r="O43" s="4" t="n">
        <v>90</v>
      </c>
      <c r="P43" s="3" t="n">
        <v>500</v>
      </c>
      <c r="Q43" s="4" t="n">
        <v>0.56</v>
      </c>
      <c r="R43" s="13" t="n">
        <f aca="false">P43/200000</f>
        <v>0.0025</v>
      </c>
      <c r="V43" s="4" t="n">
        <f aca="false">$W$2*($W$3*$G43+$W$4*$B43^$W$5*$N43^$W$6)*$R43^$W$7</f>
        <v>0.412207856796638</v>
      </c>
      <c r="W43" s="4" t="n">
        <f aca="false">V43/$Q43</f>
        <v>0.736085458565426</v>
      </c>
      <c r="Y43" s="4" t="n">
        <f aca="false">$Z$2*$B43^$Z$3*$R43^$Z$4*($Z$5*$N43^$Z$6+$Z$7)</f>
        <v>0.413914754180658</v>
      </c>
      <c r="Z43" s="4" t="n">
        <f aca="false">Y43/$Q43</f>
        <v>0.739133489608318</v>
      </c>
      <c r="AB43" s="4" t="n">
        <f aca="false">$AC$2*($AC$3+$AC$4*$F43/($N43*'Sem TS MC2020'!P35))*($AC$5*$G43+$AC$6*$B43/$N43)*'Sem TS MC2020'!R35*($J43-$M43)/($J43-$M43-$H43)</f>
        <v>0.429079025336509</v>
      </c>
      <c r="AC43" s="4" t="n">
        <f aca="false">AB43/$Q43</f>
        <v>0.766212545243766</v>
      </c>
      <c r="AD43" s="23" t="n">
        <f aca="false">AB43-$Q43</f>
        <v>-0.130920974663491</v>
      </c>
      <c r="AE43" s="24" t="n">
        <f aca="false">1/AC43</f>
        <v>1.30512089133421</v>
      </c>
      <c r="AF43" s="24" t="n">
        <f aca="false">AB43*(14.068*'Sem TS MC2020'!$P35^-0.457)/$Q43</f>
        <v>0.629727016975478</v>
      </c>
      <c r="AG43" s="24"/>
      <c r="AO43" s="4" t="n">
        <f aca="false">$AP$2*($AP$3+$AP$4*$F43/($N43*'Sem TS MC2020'!P35))*($AP$5*$G43+$AP$6*$B43/$N43)*('Sem TS MC2020'!P35^$AP$7/200000)*($J43-$M43)/($J43-$M43-$H43)+('Sem TS MC2020'!P35-$C43/$AP$8)*($AP$5*$G43+$AP$6*$B43/$N43)/200000</f>
        <v>0.433616697796108</v>
      </c>
      <c r="AP43" s="4" t="n">
        <f aca="false">AO43/$Q43</f>
        <v>0.774315531778765</v>
      </c>
      <c r="AQ43" s="23" t="n">
        <f aca="false">AO43-$Q43</f>
        <v>-0.126383302203892</v>
      </c>
    </row>
    <row r="44" customFormat="false" ht="14.25" hidden="false" customHeight="false" outlineLevel="0" collapsed="false">
      <c r="B44" s="2" t="n">
        <v>12</v>
      </c>
      <c r="C44" s="3" t="n">
        <v>500</v>
      </c>
      <c r="D44" s="3" t="n">
        <v>4</v>
      </c>
      <c r="E44" s="2" t="n">
        <v>79.3</v>
      </c>
      <c r="F44" s="4" t="n">
        <v>2.69332921131829</v>
      </c>
      <c r="G44" s="2" t="n">
        <v>20</v>
      </c>
      <c r="H44" s="2" t="n">
        <v>38</v>
      </c>
      <c r="I44" s="1" t="n">
        <v>350</v>
      </c>
      <c r="J44" s="2" t="n">
        <v>450</v>
      </c>
      <c r="K44" s="3" t="n">
        <v>452</v>
      </c>
      <c r="L44" s="4" t="n">
        <v>34300</v>
      </c>
      <c r="M44" s="3" t="n">
        <v>76.1694282016424</v>
      </c>
      <c r="N44" s="12" t="n">
        <v>0.0131778425655977</v>
      </c>
      <c r="O44" s="4" t="n">
        <v>112.5</v>
      </c>
      <c r="P44" s="3" t="n">
        <v>500</v>
      </c>
      <c r="Q44" s="4" t="n">
        <v>0.71</v>
      </c>
      <c r="R44" s="13" t="n">
        <f aca="false">P44/200000</f>
        <v>0.0025</v>
      </c>
      <c r="V44" s="4" t="n">
        <f aca="false">$W$2*($W$3*$G44+$W$4*$B44^$W$5*$N44^$W$6)*$R44^$W$7</f>
        <v>0.412207856796638</v>
      </c>
      <c r="W44" s="4" t="n">
        <f aca="false">V44/$Q44</f>
        <v>0.580574446192449</v>
      </c>
      <c r="Y44" s="4" t="n">
        <f aca="false">$Z$2*$B44^$Z$3*$R44^$Z$4*($Z$5*$N44^$Z$6+$Z$7)</f>
        <v>0.413914754180658</v>
      </c>
      <c r="Z44" s="4" t="n">
        <f aca="false">Y44/$Q44</f>
        <v>0.582978527015011</v>
      </c>
      <c r="AB44" s="4" t="n">
        <f aca="false">$AC$2*($AC$3+$AC$4*$F44/($N44*'Sem TS MC2020'!P36))*($AC$5*$G44+$AC$6*$B44/$N44)*'Sem TS MC2020'!R36*($J44-$M44)/($J44-$M44-$H44)</f>
        <v>0.429079025336509</v>
      </c>
      <c r="AC44" s="4" t="n">
        <f aca="false">AB44/$Q44</f>
        <v>0.604336655403534</v>
      </c>
      <c r="AD44" s="23" t="n">
        <f aca="false">AB44-$Q44</f>
        <v>-0.280920974663491</v>
      </c>
      <c r="AE44" s="24" t="n">
        <f aca="false">1/AC44</f>
        <v>1.65470684437016</v>
      </c>
      <c r="AF44" s="24" t="n">
        <f aca="false">AB44*(14.068*'Sem TS MC2020'!$P36^-0.457)/$Q44</f>
        <v>0.496686097896152</v>
      </c>
      <c r="AG44" s="24"/>
      <c r="AO44" s="4" t="n">
        <f aca="false">$AP$2*($AP$3+$AP$4*$F44/($N44*'Sem TS MC2020'!P36))*($AP$5*$G44+$AP$6*$B44/$N44)*('Sem TS MC2020'!P36^$AP$7/200000)*($J44-$M44)/($J44-$M44-$H44)+('Sem TS MC2020'!P36-$C44/$AP$8)*($AP$5*$G44+$AP$6*$B44/$N44)/200000</f>
        <v>0.433616697796108</v>
      </c>
      <c r="AP44" s="4" t="n">
        <f aca="false">AO44/$Q44</f>
        <v>0.610727743374801</v>
      </c>
      <c r="AQ44" s="23" t="n">
        <f aca="false">AO44-$Q44</f>
        <v>-0.276383302203892</v>
      </c>
    </row>
    <row r="45" customFormat="false" ht="14.25" hidden="false" customHeight="false" outlineLevel="0" collapsed="false">
      <c r="B45" s="2" t="n">
        <v>12</v>
      </c>
      <c r="C45" s="3" t="n">
        <v>500</v>
      </c>
      <c r="D45" s="3" t="n">
        <v>4</v>
      </c>
      <c r="E45" s="2" t="n">
        <v>79.3</v>
      </c>
      <c r="F45" s="4" t="n">
        <v>2.69332921131829</v>
      </c>
      <c r="G45" s="2" t="n">
        <v>20</v>
      </c>
      <c r="H45" s="2" t="n">
        <v>38</v>
      </c>
      <c r="I45" s="1" t="n">
        <v>350</v>
      </c>
      <c r="J45" s="2" t="n">
        <v>450</v>
      </c>
      <c r="K45" s="3" t="n">
        <v>452</v>
      </c>
      <c r="L45" s="4" t="n">
        <v>34300</v>
      </c>
      <c r="M45" s="3" t="n">
        <v>76.1694282016424</v>
      </c>
      <c r="N45" s="12" t="n">
        <v>0.0131778425655977</v>
      </c>
      <c r="O45" s="4" t="n">
        <v>120</v>
      </c>
      <c r="P45" s="3" t="n">
        <v>500</v>
      </c>
      <c r="Q45" s="4" t="n">
        <v>0.79</v>
      </c>
      <c r="R45" s="13" t="n">
        <f aca="false">P45/200000</f>
        <v>0.0025</v>
      </c>
      <c r="V45" s="4" t="n">
        <f aca="false">$W$2*($W$3*$G45+$W$4*$B45^$W$5*$N45^$W$6)*$R45^$W$7</f>
        <v>0.412207856796638</v>
      </c>
      <c r="W45" s="4" t="n">
        <f aca="false">V45/$Q45</f>
        <v>0.521782097210935</v>
      </c>
      <c r="Y45" s="4" t="n">
        <f aca="false">$Z$2*$B45^$Z$3*$R45^$Z$4*($Z$5*$N45^$Z$6+$Z$7)</f>
        <v>0.413914754180658</v>
      </c>
      <c r="Z45" s="4" t="n">
        <f aca="false">Y45/$Q45</f>
        <v>0.52394272681096</v>
      </c>
      <c r="AB45" s="4" t="n">
        <f aca="false">$AC$2*($AC$3+$AC$4*$F45/($N45*'Sem TS MC2020'!P37))*($AC$5*$G45+$AC$6*$B45/$N45)*'Sem TS MC2020'!R37*($J45-$M45)/($J45-$M45-$H45)</f>
        <v>0.429079025336509</v>
      </c>
      <c r="AC45" s="4" t="n">
        <f aca="false">AB45/$Q45</f>
        <v>0.543138006755075</v>
      </c>
      <c r="AD45" s="23" t="n">
        <f aca="false">AB45-$Q45</f>
        <v>-0.360920974663491</v>
      </c>
      <c r="AE45" s="24" t="n">
        <f aca="false">1/AC45</f>
        <v>1.84115268598934</v>
      </c>
      <c r="AF45" s="24" t="n">
        <f aca="false">AB45*(14.068*'Sem TS MC2020'!$P37^-0.457)/$Q45</f>
        <v>0.446388771526921</v>
      </c>
      <c r="AG45" s="24"/>
      <c r="AO45" s="4" t="n">
        <f aca="false">$AP$2*($AP$3+$AP$4*$F45/($N45*'Sem TS MC2020'!P37))*($AP$5*$G45+$AP$6*$B45/$N45)*('Sem TS MC2020'!P37^$AP$7/200000)*($J45-$M45)/($J45-$M45-$H45)+('Sem TS MC2020'!P37-$C45/$AP$8)*($AP$5*$G45+$AP$6*$B45/$N45)/200000</f>
        <v>0.433616697796108</v>
      </c>
      <c r="AP45" s="4" t="n">
        <f aca="false">AO45/$Q45</f>
        <v>0.548881895944441</v>
      </c>
      <c r="AQ45" s="23" t="n">
        <f aca="false">AO45-$Q45</f>
        <v>-0.356383302203892</v>
      </c>
    </row>
    <row r="46" customFormat="false" ht="14.25" hidden="false" customHeight="false" outlineLevel="0" collapsed="false">
      <c r="A46" s="1" t="s">
        <v>28</v>
      </c>
      <c r="B46" s="2" t="n">
        <v>25</v>
      </c>
      <c r="C46" s="3" t="n">
        <v>500</v>
      </c>
      <c r="D46" s="3" t="n">
        <v>4</v>
      </c>
      <c r="E46" s="2" t="n">
        <v>62</v>
      </c>
      <c r="F46" s="4" t="n">
        <v>2.69332921131829</v>
      </c>
      <c r="G46" s="2" t="n">
        <v>20</v>
      </c>
      <c r="H46" s="2" t="n">
        <v>44.5</v>
      </c>
      <c r="I46" s="1" t="n">
        <v>350</v>
      </c>
      <c r="J46" s="2" t="n">
        <v>450</v>
      </c>
      <c r="K46" s="3" t="n">
        <v>1964</v>
      </c>
      <c r="L46" s="4" t="n">
        <v>54512.5</v>
      </c>
      <c r="M46" s="3" t="n">
        <v>140.92716892937</v>
      </c>
      <c r="N46" s="12" t="n">
        <v>0.0360284338454483</v>
      </c>
      <c r="O46" s="4" t="n">
        <v>75</v>
      </c>
      <c r="P46" s="3" t="n">
        <v>50.8503623319182</v>
      </c>
      <c r="Q46" s="4" t="n">
        <v>0.2</v>
      </c>
      <c r="R46" s="13" t="n">
        <f aca="false">P46/200000</f>
        <v>0.000254251811659591</v>
      </c>
      <c r="V46" s="4" t="n">
        <f aca="false">$W$2*($W$3*$G46+$W$4*$B46^$W$5*$N46^$W$6)*$R46^$W$7</f>
        <v>0.108324680278923</v>
      </c>
      <c r="W46" s="4" t="n">
        <f aca="false">V46/$Q46</f>
        <v>0.541623401394614</v>
      </c>
      <c r="Y46" s="4" t="n">
        <f aca="false">$Z$2*$B46^$Z$3*$R46^$Z$4*($Z$5*$N46^$Z$6+$Z$7)</f>
        <v>0.106865183555593</v>
      </c>
      <c r="Z46" s="4" t="n">
        <f aca="false">Y46/$Q46</f>
        <v>0.534325917777965</v>
      </c>
      <c r="AB46" s="4" t="n">
        <f aca="false">$AC$2*($AC$3+$AC$4*$F46/($N46*'Sem TS MC2020'!P38))*($AC$5*$G46+$AC$6*$B46/$N46)*'Sem TS MC2020'!R38*($J46-$M46)/($J46-$M46-$H46)</f>
        <v>0.0605551858946653</v>
      </c>
      <c r="AC46" s="4" t="n">
        <f aca="false">AB46/$Q46</f>
        <v>0.302775929473326</v>
      </c>
      <c r="AD46" s="23" t="n">
        <f aca="false">AB46-$Q46</f>
        <v>-0.139444814105335</v>
      </c>
      <c r="AE46" s="24" t="n">
        <f aca="false">1/AC46</f>
        <v>3.30277245532524</v>
      </c>
      <c r="AF46" s="24" t="n">
        <f aca="false">AB46*(14.068*'Sem TS MC2020'!$P38^-0.457)/$Q46</f>
        <v>0.504465362469803</v>
      </c>
      <c r="AG46" s="24"/>
      <c r="AO46" s="4" t="n">
        <f aca="false">$AP$2*($AP$3+$AP$4*$F46/($N46*'Sem TS MC2020'!P38))*($AP$5*$G46+$AP$6*$B46/$N46)*('Sem TS MC2020'!P38^$AP$7/200000)*($J46-$M46)/($J46-$M46-$H46)+('Sem TS MC2020'!P38-$C46/$AP$8)*($AP$5*$G46+$AP$6*$B46/$N46)/200000</f>
        <v>0.066702388695028</v>
      </c>
      <c r="AP46" s="4" t="n">
        <f aca="false">AO46/$Q46</f>
        <v>0.33351194347514</v>
      </c>
      <c r="AQ46" s="23" t="n">
        <f aca="false">AO46-$Q46</f>
        <v>-0.133297611304972</v>
      </c>
    </row>
    <row r="47" customFormat="false" ht="14.25" hidden="false" customHeight="false" outlineLevel="0" collapsed="false">
      <c r="B47" s="2" t="n">
        <v>25</v>
      </c>
      <c r="C47" s="3" t="n">
        <v>500</v>
      </c>
      <c r="D47" s="3" t="n">
        <v>4</v>
      </c>
      <c r="E47" s="2" t="n">
        <v>62</v>
      </c>
      <c r="F47" s="4" t="n">
        <v>2.69332921131829</v>
      </c>
      <c r="G47" s="2" t="n">
        <v>20</v>
      </c>
      <c r="H47" s="2" t="n">
        <v>44.5</v>
      </c>
      <c r="I47" s="1" t="n">
        <v>350</v>
      </c>
      <c r="J47" s="2" t="n">
        <v>450</v>
      </c>
      <c r="K47" s="3" t="n">
        <v>1964</v>
      </c>
      <c r="L47" s="4" t="n">
        <v>54512.5</v>
      </c>
      <c r="M47" s="3" t="n">
        <v>140.92716892937</v>
      </c>
      <c r="N47" s="12" t="n">
        <v>0.0360284338454483</v>
      </c>
      <c r="O47" s="4" t="n">
        <v>135</v>
      </c>
      <c r="P47" s="3" t="n">
        <v>136.392275585503</v>
      </c>
      <c r="Q47" s="4" t="n">
        <v>0.25</v>
      </c>
      <c r="R47" s="13" t="n">
        <f aca="false">P47/200000</f>
        <v>0.000681961377927515</v>
      </c>
      <c r="V47" s="4" t="n">
        <f aca="false">$W$2*($W$3*$G47+$W$4*$B47^$W$5*$N47^$W$6)*$R47^$W$7</f>
        <v>0.199117429558356</v>
      </c>
      <c r="W47" s="4" t="n">
        <f aca="false">V47/$Q47</f>
        <v>0.796469718233424</v>
      </c>
      <c r="Y47" s="4" t="n">
        <f aca="false">$Z$2*$B47^$Z$3*$R47^$Z$4*($Z$5*$N47^$Z$6+$Z$7)</f>
        <v>0.198578191147657</v>
      </c>
      <c r="Z47" s="4" t="n">
        <f aca="false">Y47/$Q47</f>
        <v>0.794312764590628</v>
      </c>
      <c r="AB47" s="4" t="n">
        <f aca="false">$AC$2*($AC$3+$AC$4*$F47/($N47*'Sem TS MC2020'!P39))*($AC$5*$G47+$AC$6*$B47/$N47)*'Sem TS MC2020'!R39*($J47-$M47)/($J47-$M47-$H47)</f>
        <v>0.138922752550471</v>
      </c>
      <c r="AC47" s="4" t="n">
        <f aca="false">AB47/$Q47</f>
        <v>0.555691010201885</v>
      </c>
      <c r="AD47" s="23" t="n">
        <f aca="false">AB47-$Q47</f>
        <v>-0.111077247449529</v>
      </c>
      <c r="AE47" s="24" t="n">
        <f aca="false">1/AC47</f>
        <v>1.79956123392512</v>
      </c>
      <c r="AF47" s="24" t="n">
        <f aca="false">AB47*(14.068*'Sem TS MC2020'!$P39^-0.457)/$Q47</f>
        <v>0.707756460309283</v>
      </c>
      <c r="AG47" s="24"/>
      <c r="AO47" s="4" t="n">
        <f aca="false">$AP$2*($AP$3+$AP$4*$F47/($N47*'Sem TS MC2020'!P39))*($AP$5*$G47+$AP$6*$B47/$N47)*('Sem TS MC2020'!P39^$AP$7/200000)*($J47-$M47)/($J47-$M47-$H47)+('Sem TS MC2020'!P39-$C47/$AP$8)*($AP$5*$G47+$AP$6*$B47/$N47)/200000</f>
        <v>0.154060510433564</v>
      </c>
      <c r="AP47" s="4" t="n">
        <f aca="false">AO47/$Q47</f>
        <v>0.616242041734257</v>
      </c>
      <c r="AQ47" s="23" t="n">
        <f aca="false">AO47-$Q47</f>
        <v>-0.0959394895664358</v>
      </c>
    </row>
    <row r="48" customFormat="false" ht="14.25" hidden="false" customHeight="false" outlineLevel="0" collapsed="false">
      <c r="B48" s="2" t="n">
        <v>25</v>
      </c>
      <c r="C48" s="3" t="n">
        <v>500</v>
      </c>
      <c r="D48" s="3" t="n">
        <v>4</v>
      </c>
      <c r="E48" s="2" t="n">
        <v>62</v>
      </c>
      <c r="F48" s="4" t="n">
        <v>2.69332921131829</v>
      </c>
      <c r="G48" s="2" t="n">
        <v>20</v>
      </c>
      <c r="H48" s="2" t="n">
        <v>44.5</v>
      </c>
      <c r="I48" s="1" t="n">
        <v>350</v>
      </c>
      <c r="J48" s="2" t="n">
        <v>450</v>
      </c>
      <c r="K48" s="3" t="n">
        <v>1964</v>
      </c>
      <c r="L48" s="4" t="n">
        <v>54512.5</v>
      </c>
      <c r="M48" s="3" t="n">
        <v>140.92716892937</v>
      </c>
      <c r="N48" s="12" t="n">
        <v>0.0360284338454483</v>
      </c>
      <c r="O48" s="4" t="n">
        <v>195</v>
      </c>
      <c r="P48" s="3" t="n">
        <v>238.242392804302</v>
      </c>
      <c r="Q48" s="4" t="n">
        <v>0.36</v>
      </c>
      <c r="R48" s="13" t="n">
        <f aca="false">P48/200000</f>
        <v>0.00119121196402151</v>
      </c>
      <c r="V48" s="4" t="n">
        <f aca="false">$W$2*($W$3*$G48+$W$4*$B48^$W$5*$N48^$W$6)*$R48^$W$7</f>
        <v>0.280908405766269</v>
      </c>
      <c r="W48" s="4" t="n">
        <f aca="false">V48/$Q48</f>
        <v>0.780301127128525</v>
      </c>
      <c r="Y48" s="4" t="n">
        <f aca="false">$Z$2*$B48^$Z$3*$R48^$Z$4*($Z$5*$N48^$Z$6+$Z$7)</f>
        <v>0.281871735897184</v>
      </c>
      <c r="Z48" s="4" t="n">
        <f aca="false">Y48/$Q48</f>
        <v>0.782977044158846</v>
      </c>
      <c r="AB48" s="4" t="n">
        <f aca="false">$AC$2*($AC$3+$AC$4*$F48/($N48*'Sem TS MC2020'!P40))*($AC$5*$G48+$AC$6*$B48/$N48)*'Sem TS MC2020'!R40*($J48-$M48)/($J48-$M48-$H48)</f>
        <v>0.217290319206277</v>
      </c>
      <c r="AC48" s="4" t="n">
        <f aca="false">AB48/$Q48</f>
        <v>0.603584220017436</v>
      </c>
      <c r="AD48" s="23" t="n">
        <f aca="false">AB48-$Q48</f>
        <v>-0.142709680793723</v>
      </c>
      <c r="AE48" s="24" t="n">
        <f aca="false">1/AC48</f>
        <v>1.65676962192801</v>
      </c>
      <c r="AF48" s="24" t="n">
        <f aca="false">AB48*(14.068*'Sem TS MC2020'!$P40^-0.457)/$Q48</f>
        <v>0.649837939594115</v>
      </c>
      <c r="AG48" s="24"/>
      <c r="AO48" s="4" t="n">
        <f aca="false">$AP$2*($AP$3+$AP$4*$F48/($N48*'Sem TS MC2020'!P40))*($AP$5*$G48+$AP$6*$B48/$N48)*('Sem TS MC2020'!P40^$AP$7/200000)*($J48-$M48)/($J48-$M48-$H48)+('Sem TS MC2020'!P40-$C48/$AP$8)*($AP$5*$G48+$AP$6*$B48/$N48)/200000</f>
        <v>0.233205293412371</v>
      </c>
      <c r="AP48" s="4" t="n">
        <f aca="false">AO48/$Q48</f>
        <v>0.647792481701032</v>
      </c>
      <c r="AQ48" s="23" t="n">
        <f aca="false">AO48-$Q48</f>
        <v>-0.126794706587629</v>
      </c>
    </row>
    <row r="49" customFormat="false" ht="14.25" hidden="false" customHeight="false" outlineLevel="0" collapsed="false">
      <c r="B49" s="2" t="n">
        <v>25</v>
      </c>
      <c r="C49" s="3" t="n">
        <v>500</v>
      </c>
      <c r="D49" s="3" t="n">
        <v>4</v>
      </c>
      <c r="E49" s="2" t="n">
        <v>62</v>
      </c>
      <c r="F49" s="4" t="n">
        <v>2.69332921131829</v>
      </c>
      <c r="G49" s="2" t="n">
        <v>20</v>
      </c>
      <c r="H49" s="2" t="n">
        <v>44.5</v>
      </c>
      <c r="I49" s="1" t="n">
        <v>350</v>
      </c>
      <c r="J49" s="2" t="n">
        <v>450</v>
      </c>
      <c r="K49" s="3" t="n">
        <v>1964</v>
      </c>
      <c r="L49" s="4" t="n">
        <v>54512.5</v>
      </c>
      <c r="M49" s="3" t="n">
        <v>140.92716892937</v>
      </c>
      <c r="N49" s="12" t="n">
        <v>0.0360284338454483</v>
      </c>
      <c r="O49" s="4" t="n">
        <v>255</v>
      </c>
      <c r="P49" s="3" t="n">
        <v>340.0925100231</v>
      </c>
      <c r="Q49" s="4" t="n">
        <v>0.47</v>
      </c>
      <c r="R49" s="13" t="n">
        <f aca="false">P49/200000</f>
        <v>0.0017004625501155</v>
      </c>
      <c r="V49" s="4" t="n">
        <f aca="false">$W$2*($W$3*$G49+$W$4*$B49^$W$5*$N49^$W$6)*$R49^$W$7</f>
        <v>0.349896321332871</v>
      </c>
      <c r="W49" s="4" t="n">
        <f aca="false">V49/$Q49</f>
        <v>0.744460258155044</v>
      </c>
      <c r="Y49" s="4" t="n">
        <f aca="false">$Z$2*$B49^$Z$3*$R49^$Z$4*($Z$5*$N49^$Z$6+$Z$7)</f>
        <v>0.352473547756281</v>
      </c>
      <c r="Z49" s="4" t="n">
        <f aca="false">Y49/$Q49</f>
        <v>0.749943718630386</v>
      </c>
      <c r="AB49" s="4" t="n">
        <f aca="false">$AC$2*($AC$3+$AC$4*$F49/($N49*'Sem TS MC2020'!P41))*($AC$5*$G49+$AC$6*$B49/$N49)*'Sem TS MC2020'!R41*($J49-$M49)/($J49-$M49-$H49)</f>
        <v>0.295657885862083</v>
      </c>
      <c r="AC49" s="4" t="n">
        <f aca="false">AB49/$Q49</f>
        <v>0.629059331621453</v>
      </c>
      <c r="AD49" s="23" t="n">
        <f aca="false">AB49-$Q49</f>
        <v>-0.174342114137917</v>
      </c>
      <c r="AE49" s="24" t="n">
        <f aca="false">1/AC49</f>
        <v>1.58967517010266</v>
      </c>
      <c r="AF49" s="24" t="n">
        <f aca="false">AB49*(14.068*'Sem TS MC2020'!$P41^-0.457)/$Q49</f>
        <v>0.599122666090842</v>
      </c>
      <c r="AG49" s="24"/>
      <c r="AO49" s="4" t="n">
        <f aca="false">$AP$2*($AP$3+$AP$4*$F49/($N49*'Sem TS MC2020'!P41))*($AP$5*$G49+$AP$6*$B49/$N49)*('Sem TS MC2020'!P41^$AP$7/200000)*($J49-$M49)/($J49-$M49-$H49)+('Sem TS MC2020'!P41-$C49/$AP$8)*($AP$5*$G49+$AP$6*$B49/$N49)/200000</f>
        <v>0.30759833986228</v>
      </c>
      <c r="AP49" s="4" t="n">
        <f aca="false">AO49/$Q49</f>
        <v>0.654464552898468</v>
      </c>
      <c r="AQ49" s="23" t="n">
        <f aca="false">AO49-$Q49</f>
        <v>-0.16240166013772</v>
      </c>
    </row>
    <row r="50" customFormat="false" ht="14.25" hidden="false" customHeight="false" outlineLevel="0" collapsed="false">
      <c r="B50" s="2" t="n">
        <v>25</v>
      </c>
      <c r="C50" s="3" t="n">
        <v>500</v>
      </c>
      <c r="D50" s="3" t="n">
        <v>4</v>
      </c>
      <c r="E50" s="2" t="n">
        <v>62</v>
      </c>
      <c r="F50" s="4" t="n">
        <v>2.69332921131829</v>
      </c>
      <c r="G50" s="2" t="n">
        <v>20</v>
      </c>
      <c r="H50" s="2" t="n">
        <v>44.5</v>
      </c>
      <c r="I50" s="1" t="n">
        <v>350</v>
      </c>
      <c r="J50" s="2" t="n">
        <v>450</v>
      </c>
      <c r="K50" s="3" t="n">
        <v>1964</v>
      </c>
      <c r="L50" s="4" t="n">
        <v>54512.5</v>
      </c>
      <c r="M50" s="3" t="n">
        <v>140.92716892937</v>
      </c>
      <c r="N50" s="12" t="n">
        <v>0.0360284338454483</v>
      </c>
      <c r="O50" s="4" t="n">
        <v>300</v>
      </c>
      <c r="P50" s="3" t="n">
        <v>416.4800979372</v>
      </c>
      <c r="Q50" s="4" t="n">
        <v>0.57</v>
      </c>
      <c r="R50" s="13" t="n">
        <f aca="false">P50/200000</f>
        <v>0.002082400489686</v>
      </c>
      <c r="V50" s="4" t="n">
        <f aca="false">$W$2*($W$3*$G50+$W$4*$B50^$W$5*$N50^$W$6)*$R50^$W$7</f>
        <v>0.396491279628574</v>
      </c>
      <c r="W50" s="4" t="n">
        <f aca="false">V50/$Q50</f>
        <v>0.695598736190481</v>
      </c>
      <c r="Y50" s="4" t="n">
        <f aca="false">$Z$2*$B50^$Z$3*$R50^$Z$4*($Z$5*$N50^$Z$6+$Z$7)</f>
        <v>0.400302923929897</v>
      </c>
      <c r="Z50" s="4" t="n">
        <f aca="false">Y50/$Q50</f>
        <v>0.70228583145596</v>
      </c>
      <c r="AB50" s="4" t="n">
        <f aca="false">$AC$2*($AC$3+$AC$4*$F50/($N50*'Sem TS MC2020'!P42))*($AC$5*$G50+$AC$6*$B50/$N50)*'Sem TS MC2020'!R42*($J50-$M50)/($J50-$M50-$H50)</f>
        <v>0.354433560853938</v>
      </c>
      <c r="AC50" s="4" t="n">
        <f aca="false">AB50/$Q50</f>
        <v>0.621813264656031</v>
      </c>
      <c r="AD50" s="23" t="n">
        <f aca="false">AB50-$Q50</f>
        <v>-0.215566439146062</v>
      </c>
      <c r="AE50" s="24" t="n">
        <f aca="false">1/AC50</f>
        <v>1.60819985169209</v>
      </c>
      <c r="AF50" s="24" t="n">
        <f aca="false">AB50*(14.068*'Sem TS MC2020'!$P42^-0.457)/$Q50</f>
        <v>0.549830177341714</v>
      </c>
      <c r="AG50" s="24"/>
      <c r="AO50" s="4" t="n">
        <f aca="false">$AP$2*($AP$3+$AP$4*$F50/($N50*'Sem TS MC2020'!P42))*($AP$5*$G50+$AP$6*$B50/$N50)*('Sem TS MC2020'!P42^$AP$7/200000)*($J50-$M50)/($J50-$M50-$H50)+('Sem TS MC2020'!P42-$C50/$AP$8)*($AP$5*$G50+$AP$6*$B50/$N50)/200000</f>
        <v>0.361191701250995</v>
      </c>
      <c r="AP50" s="4" t="n">
        <f aca="false">AO50/$Q50</f>
        <v>0.633669651317536</v>
      </c>
      <c r="AQ50" s="23" t="n">
        <f aca="false">AO50-$Q50</f>
        <v>-0.208808298749005</v>
      </c>
    </row>
    <row r="51" customFormat="false" ht="14.25" hidden="false" customHeight="false" outlineLevel="0" collapsed="false">
      <c r="B51" s="2" t="n">
        <v>25</v>
      </c>
      <c r="C51" s="3" t="n">
        <v>500</v>
      </c>
      <c r="D51" s="3" t="n">
        <v>4</v>
      </c>
      <c r="E51" s="2" t="n">
        <v>62</v>
      </c>
      <c r="F51" s="4" t="n">
        <v>2.69332921131829</v>
      </c>
      <c r="G51" s="2" t="n">
        <v>20</v>
      </c>
      <c r="H51" s="2" t="n">
        <v>44.5</v>
      </c>
      <c r="I51" s="1" t="n">
        <v>350</v>
      </c>
      <c r="J51" s="2" t="n">
        <v>450</v>
      </c>
      <c r="K51" s="3" t="n">
        <v>1964</v>
      </c>
      <c r="L51" s="4" t="n">
        <v>54512.5</v>
      </c>
      <c r="M51" s="3" t="n">
        <v>140.92716892937</v>
      </c>
      <c r="N51" s="12" t="n">
        <v>0.0360284338454483</v>
      </c>
      <c r="O51" s="4" t="n">
        <v>360</v>
      </c>
      <c r="P51" s="3" t="n">
        <v>500</v>
      </c>
      <c r="Q51" s="4" t="n">
        <v>0.78</v>
      </c>
      <c r="R51" s="13" t="n">
        <f aca="false">P51/200000</f>
        <v>0.0025</v>
      </c>
      <c r="V51" s="4" t="n">
        <f aca="false">$W$2*($W$3*$G51+$W$4*$B51^$W$5*$N51^$W$6)*$R51^$W$7</f>
        <v>0.443821644809653</v>
      </c>
      <c r="W51" s="4" t="n">
        <f aca="false">V51/$Q51</f>
        <v>0.569002108730324</v>
      </c>
      <c r="Y51" s="4" t="n">
        <f aca="false">$Z$2*$B51^$Z$3*$R51^$Z$4*($Z$5*$N51^$Z$6+$Z$7)</f>
        <v>0.44899006805271</v>
      </c>
      <c r="Z51" s="4" t="n">
        <f aca="false">Y51/$Q51</f>
        <v>0.575628292375269</v>
      </c>
      <c r="AB51" s="4" t="n">
        <f aca="false">$AC$2*($AC$3+$AC$4*$F51/($N51*'Sem TS MC2020'!P43))*($AC$5*$G51+$AC$6*$B51/$N51)*'Sem TS MC2020'!R43*($J51-$M51)/($J51-$M51-$H51)</f>
        <v>0.422444644644484</v>
      </c>
      <c r="AC51" s="4" t="n">
        <f aca="false">AB51/$Q51</f>
        <v>0.541595698262159</v>
      </c>
      <c r="AD51" s="23" t="n">
        <f aca="false">AB51-$Q51</f>
        <v>-0.357555355355516</v>
      </c>
      <c r="AE51" s="24" t="n">
        <f aca="false">1/AC51</f>
        <v>1.84639575832811</v>
      </c>
      <c r="AF51" s="24" t="n">
        <f aca="false">AB51*(14.068*'Sem TS MC2020'!$P43^-0.457)/$Q51</f>
        <v>0.445121194622146</v>
      </c>
      <c r="AG51" s="24"/>
      <c r="AO51" s="4" t="n">
        <f aca="false">$AP$2*($AP$3+$AP$4*$F51/($N51*'Sem TS MC2020'!P43))*($AP$5*$G51+$AP$6*$B51/$N51)*('Sem TS MC2020'!P43^$AP$7/200000)*($J51-$M51)/($J51-$M51-$H51)+('Sem TS MC2020'!P43-$C51/$AP$8)*($AP$5*$G51+$AP$6*$B51/$N51)/200000</f>
        <v>0.421381469719681</v>
      </c>
      <c r="AP51" s="4" t="n">
        <f aca="false">AO51/$Q51</f>
        <v>0.540232653486771</v>
      </c>
      <c r="AQ51" s="23" t="n">
        <f aca="false">AO51-$Q51</f>
        <v>-0.358618530280319</v>
      </c>
    </row>
    <row r="52" customFormat="false" ht="14.25" hidden="false" customHeight="false" outlineLevel="0" collapsed="false">
      <c r="A52" s="1" t="s">
        <v>29</v>
      </c>
      <c r="B52" s="2" t="n">
        <v>12</v>
      </c>
      <c r="C52" s="3" t="n">
        <v>500</v>
      </c>
      <c r="D52" s="3" t="n">
        <v>4</v>
      </c>
      <c r="E52" s="2" t="n">
        <v>79.3</v>
      </c>
      <c r="F52" s="4" t="n">
        <v>2.69332921131829</v>
      </c>
      <c r="G52" s="2" t="n">
        <v>20</v>
      </c>
      <c r="H52" s="2" t="n">
        <v>34</v>
      </c>
      <c r="I52" s="1" t="n">
        <v>350</v>
      </c>
      <c r="J52" s="2" t="n">
        <v>450</v>
      </c>
      <c r="K52" s="3" t="n">
        <v>452</v>
      </c>
      <c r="L52" s="4" t="n">
        <v>32900</v>
      </c>
      <c r="M52" s="3" t="n">
        <v>76.5758696896729</v>
      </c>
      <c r="N52" s="12" t="n">
        <v>0.0137386018237082</v>
      </c>
      <c r="O52" s="4" t="n">
        <v>37.5</v>
      </c>
      <c r="P52" s="3" t="n">
        <v>94.1521358627311</v>
      </c>
      <c r="Q52" s="4" t="n">
        <v>0.21</v>
      </c>
      <c r="R52" s="13" t="n">
        <f aca="false">P52/200000</f>
        <v>0.000470760679313655</v>
      </c>
      <c r="V52" s="4" t="n">
        <f aca="false">$W$2*($W$3*$G52+$W$4*$B52^$W$5*$N52^$W$6)*$R52^$W$7</f>
        <v>0.144593928944463</v>
      </c>
      <c r="W52" s="4" t="n">
        <f aca="false">V52/$Q52</f>
        <v>0.688542518783156</v>
      </c>
      <c r="Y52" s="4" t="n">
        <f aca="false">$Z$2*$B52^$Z$3*$R52^$Z$4*($Z$5*$N52^$Z$6+$Z$7)</f>
        <v>0.142235272211345</v>
      </c>
      <c r="Z52" s="4" t="n">
        <f aca="false">Y52/$Q52</f>
        <v>0.677310820054024</v>
      </c>
      <c r="AB52" s="4" t="n">
        <f aca="false">$AC$2*($AC$3+$AC$4*$F52/($N52*'Sem TS MC2020'!P44))*($AC$5*$G52+$AC$6*$B52/$N52)*'Sem TS MC2020'!R44*($J52-$M52)/($J52-$M52-$H52)</f>
        <v>0.111339717013543</v>
      </c>
      <c r="AC52" s="4" t="n">
        <f aca="false">AB52/$Q52</f>
        <v>0.53018912863592</v>
      </c>
      <c r="AD52" s="23" t="n">
        <f aca="false">AB52-$Q52</f>
        <v>-0.0986602829864568</v>
      </c>
      <c r="AE52" s="24" t="n">
        <f aca="false">1/AC52</f>
        <v>1.88611939775683</v>
      </c>
      <c r="AF52" s="24" t="n">
        <f aca="false">AB52*(14.068*'Sem TS MC2020'!$P44^-0.457)/$Q52</f>
        <v>0.644298490433148</v>
      </c>
      <c r="AG52" s="24"/>
      <c r="AO52" s="4" t="n">
        <f aca="false">$AP$2*($AP$3+$AP$4*$F52/($N52*'Sem TS MC2020'!P44))*($AP$5*$G52+$AP$6*$B52/$N52)*('Sem TS MC2020'!P44^$AP$7/200000)*($J52-$M52)/($J52-$M52-$H52)+('Sem TS MC2020'!P44-$C52/$AP$8)*($AP$5*$G52+$AP$6*$B52/$N52)/200000</f>
        <v>0.120240867099428</v>
      </c>
      <c r="AP52" s="4" t="n">
        <f aca="false">AO52/$Q52</f>
        <v>0.572575557616324</v>
      </c>
      <c r="AQ52" s="23" t="n">
        <f aca="false">AO52-$Q52</f>
        <v>-0.089759132900572</v>
      </c>
    </row>
    <row r="53" customFormat="false" ht="14.25" hidden="false" customHeight="false" outlineLevel="0" collapsed="false">
      <c r="B53" s="2" t="n">
        <v>12</v>
      </c>
      <c r="C53" s="3" t="n">
        <v>500</v>
      </c>
      <c r="D53" s="3" t="n">
        <v>4</v>
      </c>
      <c r="E53" s="2" t="n">
        <v>79.3</v>
      </c>
      <c r="F53" s="4" t="n">
        <v>2.69332921131829</v>
      </c>
      <c r="G53" s="2" t="n">
        <v>20</v>
      </c>
      <c r="H53" s="2" t="n">
        <v>34</v>
      </c>
      <c r="I53" s="1" t="n">
        <v>350</v>
      </c>
      <c r="J53" s="2" t="n">
        <v>450</v>
      </c>
      <c r="K53" s="3" t="n">
        <v>452</v>
      </c>
      <c r="L53" s="4" t="n">
        <v>32900</v>
      </c>
      <c r="M53" s="3" t="n">
        <v>76.5758696896729</v>
      </c>
      <c r="N53" s="12" t="n">
        <v>0.0137386018237082</v>
      </c>
      <c r="O53" s="4" t="n">
        <v>45</v>
      </c>
      <c r="P53" s="3" t="n">
        <v>155.793729022078</v>
      </c>
      <c r="Q53" s="4" t="n">
        <v>0.31</v>
      </c>
      <c r="R53" s="13" t="n">
        <f aca="false">P53/200000</f>
        <v>0.000778968645110391</v>
      </c>
      <c r="V53" s="4" t="n">
        <f aca="false">$W$2*($W$3*$G53+$W$4*$B53^$W$5*$N53^$W$6)*$R53^$W$7</f>
        <v>0.197287774047338</v>
      </c>
      <c r="W53" s="4" t="n">
        <f aca="false">V53/$Q53</f>
        <v>0.636412174346251</v>
      </c>
      <c r="Y53" s="4" t="n">
        <f aca="false">$Z$2*$B53^$Z$3*$R53^$Z$4*($Z$5*$N53^$Z$6+$Z$7)</f>
        <v>0.19514765645076</v>
      </c>
      <c r="Z53" s="4" t="n">
        <f aca="false">Y53/$Q53</f>
        <v>0.629508569196001</v>
      </c>
      <c r="AB53" s="4" t="n">
        <f aca="false">$AC$2*($AC$3+$AC$4*$F53/($N53*'Sem TS MC2020'!P45))*($AC$5*$G53+$AC$6*$B53/$N53)*'Sem TS MC2020'!R45*($J53-$M53)/($J53-$M53-$H53)</f>
        <v>0.156051894896339</v>
      </c>
      <c r="AC53" s="4" t="n">
        <f aca="false">AB53/$Q53</f>
        <v>0.50339320934303</v>
      </c>
      <c r="AD53" s="23" t="n">
        <f aca="false">AB53-$Q53</f>
        <v>-0.153948105103661</v>
      </c>
      <c r="AE53" s="24" t="n">
        <f aca="false">1/AC53</f>
        <v>1.98651865269514</v>
      </c>
      <c r="AF53" s="24" t="n">
        <f aca="false">AB53*(14.068*'Sem TS MC2020'!$P45^-0.457)/$Q53</f>
        <v>0.562830752311675</v>
      </c>
      <c r="AG53" s="24"/>
      <c r="AO53" s="4" t="n">
        <f aca="false">$AP$2*($AP$3+$AP$4*$F53/($N53*'Sem TS MC2020'!P45))*($AP$5*$G53+$AP$6*$B53/$N53)*('Sem TS MC2020'!P45^$AP$7/200000)*($J53-$M53)/($J53-$M53-$H53)+('Sem TS MC2020'!P45-$C53/$AP$8)*($AP$5*$G53+$AP$6*$B53/$N53)/200000</f>
        <v>0.168431377975007</v>
      </c>
      <c r="AP53" s="4" t="n">
        <f aca="false">AO53/$Q53</f>
        <v>0.543327025725828</v>
      </c>
      <c r="AQ53" s="23" t="n">
        <f aca="false">AO53-$Q53</f>
        <v>-0.141568622024993</v>
      </c>
    </row>
    <row r="54" customFormat="false" ht="14.25" hidden="false" customHeight="false" outlineLevel="0" collapsed="false">
      <c r="B54" s="2" t="n">
        <v>12</v>
      </c>
      <c r="C54" s="3" t="n">
        <v>500</v>
      </c>
      <c r="D54" s="3" t="n">
        <v>4</v>
      </c>
      <c r="E54" s="2" t="n">
        <v>79.3</v>
      </c>
      <c r="F54" s="4" t="n">
        <v>2.69332921131829</v>
      </c>
      <c r="G54" s="2" t="n">
        <v>20</v>
      </c>
      <c r="H54" s="2" t="n">
        <v>34</v>
      </c>
      <c r="I54" s="1" t="n">
        <v>350</v>
      </c>
      <c r="J54" s="2" t="n">
        <v>450</v>
      </c>
      <c r="K54" s="3" t="n">
        <v>452</v>
      </c>
      <c r="L54" s="4" t="n">
        <v>32900</v>
      </c>
      <c r="M54" s="3" t="n">
        <v>76.5758696896729</v>
      </c>
      <c r="N54" s="12" t="n">
        <v>0.0137386018237082</v>
      </c>
      <c r="O54" s="4" t="n">
        <v>52.5</v>
      </c>
      <c r="P54" s="3" t="n">
        <v>217.435322181425</v>
      </c>
      <c r="Q54" s="4" t="n">
        <v>0.38</v>
      </c>
      <c r="R54" s="13" t="n">
        <f aca="false">P54/200000</f>
        <v>0.00108717661090713</v>
      </c>
      <c r="V54" s="4" t="n">
        <f aca="false">$W$2*($W$3*$G54+$W$4*$B54^$W$5*$N54^$W$6)*$R54^$W$7</f>
        <v>0.242342458350887</v>
      </c>
      <c r="W54" s="4" t="n">
        <f aca="false">V54/$Q54</f>
        <v>0.637743311449704</v>
      </c>
      <c r="Y54" s="4" t="n">
        <f aca="false">$Z$2*$B54^$Z$3*$R54^$Z$4*($Z$5*$N54^$Z$6+$Z$7)</f>
        <v>0.240594257746538</v>
      </c>
      <c r="Z54" s="4" t="n">
        <f aca="false">Y54/$Q54</f>
        <v>0.63314278354352</v>
      </c>
      <c r="AB54" s="4" t="n">
        <f aca="false">$AC$2*($AC$3+$AC$4*$F54/($N54*'Sem TS MC2020'!P46))*($AC$5*$G54+$AC$6*$B54/$N54)*'Sem TS MC2020'!R46*($J54-$M54)/($J54-$M54-$H54)</f>
        <v>0.200764072779135</v>
      </c>
      <c r="AC54" s="4" t="n">
        <f aca="false">AB54/$Q54</f>
        <v>0.528326507313514</v>
      </c>
      <c r="AD54" s="23" t="n">
        <f aca="false">AB54-$Q54</f>
        <v>-0.179235927220865</v>
      </c>
      <c r="AE54" s="24" t="n">
        <f aca="false">1/AC54</f>
        <v>1.89276893390206</v>
      </c>
      <c r="AF54" s="24" t="n">
        <f aca="false">AB54*(14.068*'Sem TS MC2020'!$P46^-0.457)/$Q54</f>
        <v>0.550526442890061</v>
      </c>
      <c r="AG54" s="24"/>
      <c r="AO54" s="4" t="n">
        <f aca="false">$AP$2*($AP$3+$AP$4*$F54/($N54*'Sem TS MC2020'!P46))*($AP$5*$G54+$AP$6*$B54/$N54)*('Sem TS MC2020'!P46^$AP$7/200000)*($J54-$M54)/($J54-$M54-$H54)+('Sem TS MC2020'!P46-$C54/$AP$8)*($AP$5*$G54+$AP$6*$B54/$N54)/200000</f>
        <v>0.214665041127308</v>
      </c>
      <c r="AP54" s="4" t="n">
        <f aca="false">AO54/$Q54</f>
        <v>0.564908002966601</v>
      </c>
      <c r="AQ54" s="23" t="n">
        <f aca="false">AO54-$Q54</f>
        <v>-0.165334958872692</v>
      </c>
    </row>
    <row r="55" customFormat="false" ht="14.25" hidden="false" customHeight="false" outlineLevel="0" collapsed="false">
      <c r="B55" s="2" t="n">
        <v>12</v>
      </c>
      <c r="C55" s="3" t="n">
        <v>500</v>
      </c>
      <c r="D55" s="3" t="n">
        <v>4</v>
      </c>
      <c r="E55" s="2" t="n">
        <v>79.3</v>
      </c>
      <c r="F55" s="4" t="n">
        <v>2.69332921131829</v>
      </c>
      <c r="G55" s="2" t="n">
        <v>20</v>
      </c>
      <c r="H55" s="2" t="n">
        <v>34</v>
      </c>
      <c r="I55" s="1" t="n">
        <v>350</v>
      </c>
      <c r="J55" s="2" t="n">
        <v>450</v>
      </c>
      <c r="K55" s="3" t="n">
        <v>452</v>
      </c>
      <c r="L55" s="4" t="n">
        <v>32900</v>
      </c>
      <c r="M55" s="3" t="n">
        <v>76.5758696896729</v>
      </c>
      <c r="N55" s="12" t="n">
        <v>0.0137386018237082</v>
      </c>
      <c r="O55" s="4" t="n">
        <v>67.5</v>
      </c>
      <c r="P55" s="3" t="n">
        <v>340.718508500119</v>
      </c>
      <c r="Q55" s="4" t="n">
        <v>0.52</v>
      </c>
      <c r="R55" s="13" t="n">
        <f aca="false">P55/200000</f>
        <v>0.0017035925425006</v>
      </c>
      <c r="V55" s="4" t="n">
        <f aca="false">$W$2*($W$3*$G55+$W$4*$B55^$W$5*$N55^$W$6)*$R55^$W$7</f>
        <v>0.319731188943212</v>
      </c>
      <c r="W55" s="4" t="n">
        <f aca="false">V55/$Q55</f>
        <v>0.614867671044639</v>
      </c>
      <c r="Y55" s="4" t="n">
        <f aca="false">$Z$2*$B55^$Z$3*$R55^$Z$4*($Z$5*$N55^$Z$6+$Z$7)</f>
        <v>0.318996907834063</v>
      </c>
      <c r="Z55" s="4" t="n">
        <f aca="false">Y55/$Q55</f>
        <v>0.613455591988583</v>
      </c>
      <c r="AB55" s="4" t="n">
        <f aca="false">$AC$2*($AC$3+$AC$4*$F55/($N55*'Sem TS MC2020'!P47))*($AC$5*$G55+$AC$6*$B55/$N55)*'Sem TS MC2020'!R47*($J55-$M55)/($J55-$M55-$H55)</f>
        <v>0.290188428544727</v>
      </c>
      <c r="AC55" s="4" t="n">
        <f aca="false">AB55/$Q55</f>
        <v>0.558054670278322</v>
      </c>
      <c r="AD55" s="23" t="n">
        <f aca="false">AB55-$Q55</f>
        <v>-0.229811571455273</v>
      </c>
      <c r="AE55" s="24" t="n">
        <f aca="false">1/AC55</f>
        <v>1.79193912937108</v>
      </c>
      <c r="AF55" s="24" t="n">
        <f aca="false">AB55*(14.068*'Sem TS MC2020'!$P47^-0.457)/$Q55</f>
        <v>0.51841016380016</v>
      </c>
      <c r="AG55" s="24"/>
      <c r="AO55" s="4" t="n">
        <f aca="false">$AP$2*($AP$3+$AP$4*$F55/($N55*'Sem TS MC2020'!P47))*($AP$5*$G55+$AP$6*$B55/$N55)*('Sem TS MC2020'!P47^$AP$7/200000)*($J55-$M55)/($J55-$M55-$H55)+('Sem TS MC2020'!P47-$C55/$AP$8)*($AP$5*$G55+$AP$6*$B55/$N55)/200000</f>
        <v>0.302800643829597</v>
      </c>
      <c r="AP55" s="4" t="n">
        <f aca="false">AO55/$Q55</f>
        <v>0.582308930441533</v>
      </c>
      <c r="AQ55" s="23" t="n">
        <f aca="false">AO55-$Q55</f>
        <v>-0.217199356170403</v>
      </c>
    </row>
    <row r="56" customFormat="false" ht="14.25" hidden="false" customHeight="false" outlineLevel="0" collapsed="false">
      <c r="B56" s="2" t="n">
        <v>12</v>
      </c>
      <c r="C56" s="3" t="n">
        <v>500</v>
      </c>
      <c r="D56" s="3" t="n">
        <v>4</v>
      </c>
      <c r="E56" s="2" t="n">
        <v>79.3</v>
      </c>
      <c r="F56" s="4" t="n">
        <v>2.69332921131829</v>
      </c>
      <c r="G56" s="2" t="n">
        <v>20</v>
      </c>
      <c r="H56" s="2" t="n">
        <v>34</v>
      </c>
      <c r="I56" s="1" t="n">
        <v>350</v>
      </c>
      <c r="J56" s="2" t="n">
        <v>450</v>
      </c>
      <c r="K56" s="3" t="n">
        <v>452</v>
      </c>
      <c r="L56" s="4" t="n">
        <v>32900</v>
      </c>
      <c r="M56" s="3" t="n">
        <v>76.5758696896729</v>
      </c>
      <c r="N56" s="12" t="n">
        <v>0.0137386018237082</v>
      </c>
      <c r="O56" s="4" t="n">
        <v>90</v>
      </c>
      <c r="P56" s="3" t="n">
        <v>500</v>
      </c>
      <c r="Q56" s="4" t="n">
        <v>0.74</v>
      </c>
      <c r="R56" s="13" t="n">
        <f aca="false">P56/200000</f>
        <v>0.0025</v>
      </c>
      <c r="V56" s="4" t="n">
        <f aca="false">$W$2*($W$3*$G56+$W$4*$B56^$W$5*$N56^$W$6)*$R56^$W$7</f>
        <v>0.405099150444584</v>
      </c>
      <c r="W56" s="4" t="n">
        <f aca="false">V56/$Q56</f>
        <v>0.547431284384573</v>
      </c>
      <c r="Y56" s="4" t="n">
        <f aca="false">$Z$2*$B56^$Z$3*$R56^$Z$4*($Z$5*$N56^$Z$6+$Z$7)</f>
        <v>0.405877634056174</v>
      </c>
      <c r="Z56" s="4" t="n">
        <f aca="false">Y56/$Q56</f>
        <v>0.548483289265101</v>
      </c>
      <c r="AB56" s="4" t="n">
        <f aca="false">$AC$2*($AC$3+$AC$4*$F56/($N56*'Sem TS MC2020'!P48))*($AC$5*$G56+$AC$6*$B56/$N56)*'Sem TS MC2020'!R48*($J56-$M56)/($J56-$M56-$H56)</f>
        <v>0.41387593179883</v>
      </c>
      <c r="AC56" s="4" t="n">
        <f aca="false">AB56/$Q56</f>
        <v>0.559291799728149</v>
      </c>
      <c r="AD56" s="23" t="n">
        <f aca="false">AB56-$Q56</f>
        <v>-0.32612406820117</v>
      </c>
      <c r="AE56" s="24" t="n">
        <f aca="false">1/AC56</f>
        <v>1.78797543694734</v>
      </c>
      <c r="AF56" s="24" t="n">
        <f aca="false">AB56*(14.068*'Sem TS MC2020'!$P48^-0.457)/$Q56</f>
        <v>0.459665087511198</v>
      </c>
      <c r="AG56" s="24"/>
      <c r="AO56" s="4" t="n">
        <f aca="false">$AP$2*($AP$3+$AP$4*$F56/($N56*'Sem TS MC2020'!P48))*($AP$5*$G56+$AP$6*$B56/$N56)*('Sem TS MC2020'!P48^$AP$7/200000)*($J56-$M56)/($J56-$M56-$H56)+('Sem TS MC2020'!P48-$C56/$AP$8)*($AP$5*$G56+$AP$6*$B56/$N56)/200000</f>
        <v>0.417927146186738</v>
      </c>
      <c r="AP56" s="4" t="n">
        <f aca="false">AO56/$Q56</f>
        <v>0.564766413765862</v>
      </c>
      <c r="AQ56" s="23" t="n">
        <f aca="false">AO56-$Q56</f>
        <v>-0.322072853813262</v>
      </c>
    </row>
    <row r="57" customFormat="false" ht="14.25" hidden="false" customHeight="false" outlineLevel="0" collapsed="false">
      <c r="A57" s="1" t="s">
        <v>30</v>
      </c>
      <c r="B57" s="2" t="n">
        <v>12</v>
      </c>
      <c r="C57" s="3" t="n">
        <v>500</v>
      </c>
      <c r="D57" s="3" t="n">
        <v>4</v>
      </c>
      <c r="E57" s="2" t="n">
        <v>79.3</v>
      </c>
      <c r="F57" s="4" t="n">
        <v>2.69332921131829</v>
      </c>
      <c r="G57" s="2" t="n">
        <v>20</v>
      </c>
      <c r="H57" s="2" t="n">
        <v>34</v>
      </c>
      <c r="I57" s="1" t="n">
        <v>350</v>
      </c>
      <c r="J57" s="2" t="n">
        <v>450</v>
      </c>
      <c r="K57" s="3" t="n">
        <v>452</v>
      </c>
      <c r="L57" s="4" t="n">
        <v>32900</v>
      </c>
      <c r="M57" s="3" t="n">
        <v>76.5758696896729</v>
      </c>
      <c r="N57" s="12" t="n">
        <v>0.0137386018237082</v>
      </c>
      <c r="O57" s="4" t="n">
        <v>37.5</v>
      </c>
      <c r="P57" s="3" t="n">
        <v>94.1521358627311</v>
      </c>
      <c r="Q57" s="4" t="n">
        <v>0.17</v>
      </c>
      <c r="R57" s="13" t="n">
        <f aca="false">P57/200000</f>
        <v>0.000470760679313655</v>
      </c>
      <c r="V57" s="4" t="n">
        <f aca="false">$W$2*($W$3*$G57+$W$4*$B57^$W$5*$N57^$W$6)*$R57^$W$7</f>
        <v>0.144593928944463</v>
      </c>
      <c r="W57" s="4" t="n">
        <f aca="false">V57/$Q57</f>
        <v>0.850552523202723</v>
      </c>
      <c r="Y57" s="4" t="n">
        <f aca="false">$Z$2*$B57^$Z$3*$R57^$Z$4*($Z$5*$N57^$Z$6+$Z$7)</f>
        <v>0.142235272211345</v>
      </c>
      <c r="Z57" s="4" t="n">
        <f aca="false">Y57/$Q57</f>
        <v>0.836678071831442</v>
      </c>
      <c r="AB57" s="4" t="n">
        <f aca="false">$AC$2*($AC$3+$AC$4*$F57/($N57*'Sem TS MC2020'!P49))*($AC$5*$G57+$AC$6*$B57/$N57)*'Sem TS MC2020'!R49*($J57-$M57)/($J57-$M57-$H57)</f>
        <v>0.111339717013543</v>
      </c>
      <c r="AC57" s="4" t="n">
        <f aca="false">AB57/$Q57</f>
        <v>0.654939511844372</v>
      </c>
      <c r="AD57" s="23" t="n">
        <f aca="false">AB57-$Q57</f>
        <v>-0.0586602829864568</v>
      </c>
      <c r="AE57" s="24" t="n">
        <f aca="false">1/AC57</f>
        <v>1.52685856008886</v>
      </c>
      <c r="AF57" s="24" t="n">
        <f aca="false">AB57*(14.068*'Sem TS MC2020'!$P49^-0.457)/$Q57</f>
        <v>0.795898135240947</v>
      </c>
      <c r="AG57" s="24"/>
      <c r="AO57" s="4" t="n">
        <f aca="false">$AP$2*($AP$3+$AP$4*$F57/($N57*'Sem TS MC2020'!P49))*($AP$5*$G57+$AP$6*$B57/$N57)*('Sem TS MC2020'!P49^$AP$7/200000)*($J57-$M57)/($J57-$M57-$H57)+('Sem TS MC2020'!P49-$C57/$AP$8)*($AP$5*$G57+$AP$6*$B57/$N57)/200000</f>
        <v>0.120240867099428</v>
      </c>
      <c r="AP57" s="4" t="n">
        <f aca="false">AO57/$Q57</f>
        <v>0.707299218231929</v>
      </c>
      <c r="AQ57" s="23" t="n">
        <f aca="false">AO57-$Q57</f>
        <v>-0.049759132900572</v>
      </c>
    </row>
    <row r="58" customFormat="false" ht="14.25" hidden="false" customHeight="false" outlineLevel="0" collapsed="false">
      <c r="B58" s="2" t="n">
        <v>12</v>
      </c>
      <c r="C58" s="3" t="n">
        <v>500</v>
      </c>
      <c r="D58" s="3" t="n">
        <v>4</v>
      </c>
      <c r="E58" s="2" t="n">
        <v>79.3</v>
      </c>
      <c r="F58" s="4" t="n">
        <v>2.69332921131829</v>
      </c>
      <c r="G58" s="2" t="n">
        <v>20</v>
      </c>
      <c r="H58" s="2" t="n">
        <v>34</v>
      </c>
      <c r="I58" s="1" t="n">
        <v>350</v>
      </c>
      <c r="J58" s="2" t="n">
        <v>450</v>
      </c>
      <c r="K58" s="3" t="n">
        <v>452</v>
      </c>
      <c r="L58" s="4" t="n">
        <v>32900</v>
      </c>
      <c r="M58" s="3" t="n">
        <v>76.5758696896729</v>
      </c>
      <c r="N58" s="12" t="n">
        <v>0.0137386018237082</v>
      </c>
      <c r="O58" s="4" t="n">
        <v>52.5</v>
      </c>
      <c r="P58" s="3" t="n">
        <v>217.435322181425</v>
      </c>
      <c r="Q58" s="4" t="n">
        <v>0.36</v>
      </c>
      <c r="R58" s="13" t="n">
        <f aca="false">P58/200000</f>
        <v>0.00108717661090713</v>
      </c>
      <c r="V58" s="4" t="n">
        <f aca="false">$W$2*($W$3*$G58+$W$4*$B58^$W$5*$N58^$W$6)*$R58^$W$7</f>
        <v>0.242342458350887</v>
      </c>
      <c r="W58" s="4" t="n">
        <f aca="false">V58/$Q58</f>
        <v>0.673173495419132</v>
      </c>
      <c r="Y58" s="4" t="n">
        <f aca="false">$Z$2*$B58^$Z$3*$R58^$Z$4*($Z$5*$N58^$Z$6+$Z$7)</f>
        <v>0.240594257746538</v>
      </c>
      <c r="Z58" s="4" t="n">
        <f aca="false">Y58/$Q58</f>
        <v>0.668317382629271</v>
      </c>
      <c r="AB58" s="4" t="n">
        <f aca="false">$AC$2*($AC$3+$AC$4*$F58/($N58*'Sem TS MC2020'!P50))*($AC$5*$G58+$AC$6*$B58/$N58)*'Sem TS MC2020'!R50*($J58-$M58)/($J58-$M58-$H58)</f>
        <v>0.200764072779135</v>
      </c>
      <c r="AC58" s="4" t="n">
        <f aca="false">AB58/$Q58</f>
        <v>0.557677979942042</v>
      </c>
      <c r="AD58" s="23" t="n">
        <f aca="false">AB58-$Q58</f>
        <v>-0.159235927220865</v>
      </c>
      <c r="AE58" s="24" t="n">
        <f aca="false">1/AC58</f>
        <v>1.79314951632827</v>
      </c>
      <c r="AF58" s="24" t="n">
        <f aca="false">AB58*(14.068*'Sem TS MC2020'!$P50^-0.457)/$Q58</f>
        <v>0.581111245272842</v>
      </c>
      <c r="AG58" s="24"/>
      <c r="AO58" s="4" t="n">
        <f aca="false">$AP$2*($AP$3+$AP$4*$F58/($N58*'Sem TS MC2020'!P50))*($AP$5*$G58+$AP$6*$B58/$N58)*('Sem TS MC2020'!P50^$AP$7/200000)*($J58-$M58)/($J58-$M58-$H58)+('Sem TS MC2020'!P50-$C58/$AP$8)*($AP$5*$G58+$AP$6*$B58/$N58)/200000</f>
        <v>0.214665041127308</v>
      </c>
      <c r="AP58" s="4" t="n">
        <f aca="false">AO58/$Q58</f>
        <v>0.59629178090919</v>
      </c>
      <c r="AQ58" s="23" t="n">
        <f aca="false">AO58-$Q58</f>
        <v>-0.145334958872692</v>
      </c>
    </row>
    <row r="59" customFormat="false" ht="14.25" hidden="false" customHeight="false" outlineLevel="0" collapsed="false">
      <c r="B59" s="2" t="n">
        <v>12</v>
      </c>
      <c r="C59" s="3" t="n">
        <v>500</v>
      </c>
      <c r="D59" s="3" t="n">
        <v>4</v>
      </c>
      <c r="E59" s="2" t="n">
        <v>79.3</v>
      </c>
      <c r="F59" s="4" t="n">
        <v>2.69332921131829</v>
      </c>
      <c r="G59" s="2" t="n">
        <v>20</v>
      </c>
      <c r="H59" s="2" t="n">
        <v>34</v>
      </c>
      <c r="I59" s="1" t="n">
        <v>350</v>
      </c>
      <c r="J59" s="2" t="n">
        <v>450</v>
      </c>
      <c r="K59" s="3" t="n">
        <v>452</v>
      </c>
      <c r="L59" s="4" t="n">
        <v>32900</v>
      </c>
      <c r="M59" s="3" t="n">
        <v>76.5758696896729</v>
      </c>
      <c r="N59" s="12" t="n">
        <v>0.0137386018237082</v>
      </c>
      <c r="O59" s="4" t="n">
        <v>67.5</v>
      </c>
      <c r="P59" s="3" t="n">
        <v>340.718508500119</v>
      </c>
      <c r="Q59" s="4" t="n">
        <v>0.56</v>
      </c>
      <c r="R59" s="13" t="n">
        <f aca="false">P59/200000</f>
        <v>0.0017035925425006</v>
      </c>
      <c r="V59" s="4" t="n">
        <f aca="false">$W$2*($W$3*$G59+$W$4*$B59^$W$5*$N59^$W$6)*$R59^$W$7</f>
        <v>0.319731188943212</v>
      </c>
      <c r="W59" s="4" t="n">
        <f aca="false">V59/$Q59</f>
        <v>0.570948551684307</v>
      </c>
      <c r="Y59" s="4" t="n">
        <f aca="false">$Z$2*$B59^$Z$3*$R59^$Z$4*($Z$5*$N59^$Z$6+$Z$7)</f>
        <v>0.318996907834063</v>
      </c>
      <c r="Z59" s="4" t="n">
        <f aca="false">Y59/$Q59</f>
        <v>0.569637335417969</v>
      </c>
      <c r="AB59" s="4" t="n">
        <f aca="false">$AC$2*($AC$3+$AC$4*$F59/($N59*'Sem TS MC2020'!P51))*($AC$5*$G59+$AC$6*$B59/$N59)*'Sem TS MC2020'!R51*($J59-$M59)/($J59-$M59-$H59)</f>
        <v>0.290188428544727</v>
      </c>
      <c r="AC59" s="4" t="n">
        <f aca="false">AB59/$Q59</f>
        <v>0.518193622401299</v>
      </c>
      <c r="AD59" s="23" t="n">
        <f aca="false">AB59-$Q59</f>
        <v>-0.269811571455273</v>
      </c>
      <c r="AE59" s="24" t="n">
        <f aca="false">1/AC59</f>
        <v>1.92978060086116</v>
      </c>
      <c r="AF59" s="24" t="n">
        <f aca="false">AB59*(14.068*'Sem TS MC2020'!$P51^-0.457)/$Q59</f>
        <v>0.481380866385863</v>
      </c>
      <c r="AG59" s="24"/>
      <c r="AO59" s="4" t="n">
        <f aca="false">$AP$2*($AP$3+$AP$4*$F59/($N59*'Sem TS MC2020'!P51))*($AP$5*$G59+$AP$6*$B59/$N59)*('Sem TS MC2020'!P51^$AP$7/200000)*($J59-$M59)/($J59-$M59-$H59)+('Sem TS MC2020'!P51-$C59/$AP$8)*($AP$5*$G59+$AP$6*$B59/$N59)/200000</f>
        <v>0.302800643829597</v>
      </c>
      <c r="AP59" s="4" t="n">
        <f aca="false">AO59/$Q59</f>
        <v>0.540715435409995</v>
      </c>
      <c r="AQ59" s="23" t="n">
        <f aca="false">AO59-$Q59</f>
        <v>-0.257199356170403</v>
      </c>
    </row>
    <row r="60" customFormat="false" ht="14.25" hidden="false" customHeight="false" outlineLevel="0" collapsed="false">
      <c r="B60" s="2" t="n">
        <v>12</v>
      </c>
      <c r="C60" s="3" t="n">
        <v>500</v>
      </c>
      <c r="D60" s="3" t="n">
        <v>4</v>
      </c>
      <c r="E60" s="2" t="n">
        <v>79.3</v>
      </c>
      <c r="F60" s="4" t="n">
        <v>2.69332921131829</v>
      </c>
      <c r="G60" s="2" t="n">
        <v>20</v>
      </c>
      <c r="H60" s="2" t="n">
        <v>34</v>
      </c>
      <c r="I60" s="1" t="n">
        <v>350</v>
      </c>
      <c r="J60" s="2" t="n">
        <v>450</v>
      </c>
      <c r="K60" s="3" t="n">
        <v>452</v>
      </c>
      <c r="L60" s="4" t="n">
        <v>32900</v>
      </c>
      <c r="M60" s="3" t="n">
        <v>76.5758696896729</v>
      </c>
      <c r="N60" s="12" t="n">
        <v>0.0137386018237082</v>
      </c>
      <c r="O60" s="4" t="n">
        <v>90</v>
      </c>
      <c r="P60" s="3" t="n">
        <v>500</v>
      </c>
      <c r="Q60" s="4" t="n">
        <v>0.78</v>
      </c>
      <c r="R60" s="13" t="n">
        <f aca="false">P60/200000</f>
        <v>0.0025</v>
      </c>
      <c r="V60" s="4" t="n">
        <f aca="false">$W$2*($W$3*$G60+$W$4*$B60^$W$5*$N60^$W$6)*$R60^$W$7</f>
        <v>0.405099150444584</v>
      </c>
      <c r="W60" s="4" t="n">
        <f aca="false">V60/$Q60</f>
        <v>0.519357885185364</v>
      </c>
      <c r="Y60" s="4" t="n">
        <f aca="false">$Z$2*$B60^$Z$3*$R60^$Z$4*($Z$5*$N60^$Z$6+$Z$7)</f>
        <v>0.405877634056174</v>
      </c>
      <c r="Z60" s="4" t="n">
        <f aca="false">Y60/$Q60</f>
        <v>0.52035594109766</v>
      </c>
      <c r="AB60" s="4" t="n">
        <f aca="false">$AC$2*($AC$3+$AC$4*$F60/($N60*'Sem TS MC2020'!P52))*($AC$5*$G60+$AC$6*$B60/$N60)*'Sem TS MC2020'!R52*($J60-$M60)/($J60-$M60-$H60)</f>
        <v>0.41387593179883</v>
      </c>
      <c r="AC60" s="4" t="n">
        <f aca="false">AB60/$Q60</f>
        <v>0.530610168972859</v>
      </c>
      <c r="AD60" s="23" t="n">
        <f aca="false">AB60-$Q60</f>
        <v>-0.36612406820117</v>
      </c>
      <c r="AE60" s="24" t="n">
        <f aca="false">1/AC60</f>
        <v>1.88462275786341</v>
      </c>
      <c r="AF60" s="24" t="n">
        <f aca="false">AB60*(14.068*'Sem TS MC2020'!$P52^-0.457)/$Q60</f>
        <v>0.43609251892088</v>
      </c>
      <c r="AG60" s="24"/>
      <c r="AO60" s="4" t="n">
        <f aca="false">$AP$2*($AP$3+$AP$4*$F60/($N60*'Sem TS MC2020'!P52))*($AP$5*$G60+$AP$6*$B60/$N60)*('Sem TS MC2020'!P52^$AP$7/200000)*($J60-$M60)/($J60-$M60-$H60)+('Sem TS MC2020'!P52-$C60/$AP$8)*($AP$5*$G60+$AP$6*$B60/$N60)/200000</f>
        <v>0.417927146186738</v>
      </c>
      <c r="AP60" s="4" t="n">
        <f aca="false">AO60/$Q60</f>
        <v>0.535804033572741</v>
      </c>
      <c r="AQ60" s="23" t="n">
        <f aca="false">AO60-$Q60</f>
        <v>-0.362072853813262</v>
      </c>
    </row>
    <row r="61" customFormat="false" ht="14.25" hidden="false" customHeight="false" outlineLevel="0" collapsed="false">
      <c r="A61" s="1" t="s">
        <v>31</v>
      </c>
      <c r="B61" s="2" t="n">
        <v>12</v>
      </c>
      <c r="C61" s="3" t="n">
        <v>500</v>
      </c>
      <c r="D61" s="3" t="n">
        <v>4</v>
      </c>
      <c r="E61" s="2" t="n">
        <v>46</v>
      </c>
      <c r="F61" s="4" t="n">
        <v>2.69332921131829</v>
      </c>
      <c r="G61" s="2" t="n">
        <v>70</v>
      </c>
      <c r="H61" s="2" t="n">
        <v>88</v>
      </c>
      <c r="I61" s="1" t="n">
        <v>350</v>
      </c>
      <c r="J61" s="2" t="n">
        <v>450</v>
      </c>
      <c r="K61" s="3" t="n">
        <v>452</v>
      </c>
      <c r="L61" s="4" t="n">
        <v>42000</v>
      </c>
      <c r="M61" s="3" t="n">
        <v>70.9138918544459</v>
      </c>
      <c r="N61" s="12" t="n">
        <v>0.0107619047619048</v>
      </c>
      <c r="O61" s="4" t="n">
        <v>37.5</v>
      </c>
      <c r="P61" s="3" t="n">
        <v>115.383497199433</v>
      </c>
      <c r="Q61" s="4" t="n">
        <v>0.31</v>
      </c>
      <c r="R61" s="13" t="n">
        <f aca="false">P61/200000</f>
        <v>0.000576917485997167</v>
      </c>
      <c r="V61" s="4" t="n">
        <f aca="false">$W$2*($W$3*$G61+$W$4*$B61^$W$5*$N61^$W$6)*$R61^$W$7</f>
        <v>0.18107656453247</v>
      </c>
      <c r="W61" s="4" t="n">
        <f aca="false">V61/$Q61</f>
        <v>0.584117950104741</v>
      </c>
      <c r="Y61" s="4" t="n">
        <f aca="false">$Z$2*$B61^$Z$3*$R61^$Z$4*($Z$5*$N61^$Z$6+$Z$7)</f>
        <v>0.181619159729173</v>
      </c>
      <c r="Z61" s="4" t="n">
        <f aca="false">Y61/$Q61</f>
        <v>0.585868257190879</v>
      </c>
      <c r="AB61" s="4" t="n">
        <f aca="false">$AC$2*($AC$3+$AC$4*$F61/($N61*'Sem TS MC2020'!P53))*($AC$5*$G61+$AC$6*$B61/$N61)*'Sem TS MC2020'!R53*($J61-$M61)/($J61-$M61-$H61)</f>
        <v>0.215604112615127</v>
      </c>
      <c r="AC61" s="4" t="n">
        <f aca="false">AB61/$Q61</f>
        <v>0.695497137468151</v>
      </c>
      <c r="AD61" s="23" t="n">
        <f aca="false">AB61-$Q61</f>
        <v>-0.0943958873848732</v>
      </c>
      <c r="AE61" s="24" t="n">
        <f aca="false">1/AC61</f>
        <v>1.43782043969346</v>
      </c>
      <c r="AF61" s="24" t="n">
        <f aca="false">AB61*(14.068*'Sem TS MC2020'!$P53^-0.457)/$Q61</f>
        <v>0.791627890130687</v>
      </c>
      <c r="AG61" s="24"/>
      <c r="AO61" s="4" t="n">
        <f aca="false">$AP$2*($AP$3+$AP$4*$F61/($N61*'Sem TS MC2020'!P53))*($AP$5*$G61+$AP$6*$B61/$N61)*('Sem TS MC2020'!P53^$AP$7/200000)*($J61-$M61)/($J61-$M61-$H61)+('Sem TS MC2020'!P53-$C61/$AP$8)*($AP$5*$G61+$AP$6*$B61/$N61)/200000</f>
        <v>0.22249063072917</v>
      </c>
      <c r="AP61" s="4" t="n">
        <f aca="false">AO61/$Q61</f>
        <v>0.717711712029579</v>
      </c>
      <c r="AQ61" s="23" t="n">
        <f aca="false">AO61-$Q61</f>
        <v>-0.0875093692708304</v>
      </c>
    </row>
    <row r="62" customFormat="false" ht="14.25" hidden="false" customHeight="false" outlineLevel="0" collapsed="false">
      <c r="B62" s="2" t="n">
        <v>12</v>
      </c>
      <c r="C62" s="3" t="n">
        <v>500</v>
      </c>
      <c r="D62" s="3" t="n">
        <v>4</v>
      </c>
      <c r="E62" s="2" t="n">
        <v>46</v>
      </c>
      <c r="F62" s="4" t="n">
        <v>2.69332921131829</v>
      </c>
      <c r="G62" s="2" t="n">
        <v>70</v>
      </c>
      <c r="H62" s="2" t="n">
        <v>88</v>
      </c>
      <c r="I62" s="1" t="n">
        <v>350</v>
      </c>
      <c r="J62" s="2" t="n">
        <v>450</v>
      </c>
      <c r="K62" s="3" t="n">
        <v>452</v>
      </c>
      <c r="L62" s="4" t="n">
        <v>42000</v>
      </c>
      <c r="M62" s="3" t="n">
        <v>70.9138918544459</v>
      </c>
      <c r="N62" s="12" t="n">
        <v>0.0107619047619048</v>
      </c>
      <c r="O62" s="4" t="n">
        <v>45</v>
      </c>
      <c r="P62" s="3" t="n">
        <v>192.116183786739</v>
      </c>
      <c r="Q62" s="4" t="n">
        <v>0.44</v>
      </c>
      <c r="R62" s="13" t="n">
        <f aca="false">P62/200000</f>
        <v>0.000960580918933694</v>
      </c>
      <c r="V62" s="4" t="n">
        <f aca="false">$W$2*($W$3*$G62+$W$4*$B62^$W$5*$N62^$W$6)*$R62^$W$7</f>
        <v>0.248015339582644</v>
      </c>
      <c r="W62" s="4" t="n">
        <f aca="false">V62/$Q62</f>
        <v>0.563671226324191</v>
      </c>
      <c r="Y62" s="4" t="n">
        <f aca="false">$Z$2*$B62^$Z$3*$R62^$Z$4*($Z$5*$N62^$Z$6+$Z$7)</f>
        <v>0.25015753053376</v>
      </c>
      <c r="Z62" s="4" t="n">
        <f aca="false">Y62/$Q62</f>
        <v>0.568539842122183</v>
      </c>
      <c r="AB62" s="4" t="n">
        <f aca="false">$AC$2*($AC$3+$AC$4*$F62/($N62*'Sem TS MC2020'!P54))*($AC$5*$G62+$AC$6*$B62/$N62)*'Sem TS MC2020'!R54*($J62-$M62)/($J62-$M62-$H62)</f>
        <v>0.31256837060008</v>
      </c>
      <c r="AC62" s="4" t="n">
        <f aca="false">AB62/$Q62</f>
        <v>0.710382660454728</v>
      </c>
      <c r="AD62" s="23" t="n">
        <f aca="false">AB62-$Q62</f>
        <v>-0.12743162939992</v>
      </c>
      <c r="AE62" s="24" t="n">
        <f aca="false">1/AC62</f>
        <v>1.40769201680666</v>
      </c>
      <c r="AF62" s="24" t="n">
        <f aca="false">AB62*(14.068*'Sem TS MC2020'!$P54^-0.457)/$Q62</f>
        <v>0.743930325502661</v>
      </c>
      <c r="AG62" s="24"/>
      <c r="AO62" s="4" t="n">
        <f aca="false">$AP$2*($AP$3+$AP$4*$F62/($N62*'Sem TS MC2020'!P54))*($AP$5*$G62+$AP$6*$B62/$N62)*('Sem TS MC2020'!P54^$AP$7/200000)*($J62-$M62)/($J62-$M62-$H62)+('Sem TS MC2020'!P54-$C62/$AP$8)*($AP$5*$G62+$AP$6*$B62/$N62)/200000</f>
        <v>0.320658979363847</v>
      </c>
      <c r="AP62" s="4" t="n">
        <f aca="false">AO62/$Q62</f>
        <v>0.728770407645108</v>
      </c>
      <c r="AQ62" s="23" t="n">
        <f aca="false">AO62-$Q62</f>
        <v>-0.119341020636153</v>
      </c>
    </row>
    <row r="63" customFormat="false" ht="14.25" hidden="false" customHeight="false" outlineLevel="0" collapsed="false">
      <c r="A63" s="1" t="s">
        <v>32</v>
      </c>
      <c r="B63" s="2" t="n">
        <v>12</v>
      </c>
      <c r="C63" s="3" t="n">
        <v>500</v>
      </c>
      <c r="D63" s="3" t="n">
        <v>4</v>
      </c>
      <c r="E63" s="2" t="n">
        <v>46</v>
      </c>
      <c r="F63" s="4" t="n">
        <v>2.69332921131829</v>
      </c>
      <c r="G63" s="2" t="n">
        <v>70</v>
      </c>
      <c r="H63" s="2" t="n">
        <v>84</v>
      </c>
      <c r="I63" s="1" t="n">
        <v>350</v>
      </c>
      <c r="J63" s="2" t="n">
        <v>450</v>
      </c>
      <c r="K63" s="3" t="n">
        <v>452</v>
      </c>
      <c r="L63" s="4" t="n">
        <v>42000</v>
      </c>
      <c r="M63" s="3" t="n">
        <v>71.3470436587611</v>
      </c>
      <c r="N63" s="12" t="n">
        <v>0.0107619047619048</v>
      </c>
      <c r="O63" s="4" t="n">
        <v>30</v>
      </c>
      <c r="P63" s="3" t="n">
        <v>35.1927566244768</v>
      </c>
      <c r="Q63" s="4" t="n">
        <v>0.14</v>
      </c>
      <c r="R63" s="13" t="n">
        <f aca="false">P63/200000</f>
        <v>0.000175963783122384</v>
      </c>
      <c r="V63" s="4" t="n">
        <f aca="false">$W$2*($W$3*$G63+$W$4*$B63^$W$5*$N63^$W$6)*$R63^$W$7</f>
        <v>0.087032460598937</v>
      </c>
      <c r="W63" s="4" t="n">
        <f aca="false">V63/$Q63</f>
        <v>0.62166043284955</v>
      </c>
      <c r="Y63" s="4" t="n">
        <f aca="false">$Z$2*$B63^$Z$3*$R63^$Z$4*($Z$5*$N63^$Z$6+$Z$7)</f>
        <v>0.0861604747752486</v>
      </c>
      <c r="Z63" s="4" t="n">
        <f aca="false">Y63/$Q63</f>
        <v>0.615431962680347</v>
      </c>
      <c r="AB63" s="4" t="n">
        <f aca="false">$AC$2*($AC$3+$AC$4*$F63/($N63*'Sem TS MC2020'!P55))*($AC$5*$G63+$AC$6*$B63/$N63)*'Sem TS MC2020'!R55*($J63-$M63)/($J63-$M63-$H63)</f>
        <v>0.112757785302772</v>
      </c>
      <c r="AC63" s="4" t="n">
        <f aca="false">AB63/$Q63</f>
        <v>0.805412752162655</v>
      </c>
      <c r="AD63" s="23" t="n">
        <f aca="false">AB63-$Q63</f>
        <v>-0.0272422146972284</v>
      </c>
      <c r="AE63" s="24" t="n">
        <f aca="false">1/AC63</f>
        <v>1.24159941261775</v>
      </c>
      <c r="AF63" s="24" t="n">
        <f aca="false">AB63*(14.068*'Sem TS MC2020'!$P55^-0.457)/$Q63</f>
        <v>1.02042458305549</v>
      </c>
      <c r="AG63" s="24"/>
      <c r="AO63" s="4" t="n">
        <f aca="false">$AP$2*($AP$3+$AP$4*$F63/($N63*'Sem TS MC2020'!P55))*($AP$5*$G63+$AP$6*$B63/$N63)*('Sem TS MC2020'!P55^$AP$7/200000)*($J63-$M63)/($J63-$M63-$H63)+('Sem TS MC2020'!P55-$C63/$AP$8)*($AP$5*$G63+$AP$6*$B63/$N63)/200000</f>
        <v>0.112293925072956</v>
      </c>
      <c r="AP63" s="4" t="n">
        <f aca="false">AO63/$Q63</f>
        <v>0.802099464806825</v>
      </c>
      <c r="AQ63" s="23" t="n">
        <f aca="false">AO63-$Q63</f>
        <v>-0.0277060749270445</v>
      </c>
    </row>
    <row r="64" customFormat="false" ht="14.25" hidden="false" customHeight="false" outlineLevel="0" collapsed="false">
      <c r="B64" s="2" t="n">
        <v>12</v>
      </c>
      <c r="C64" s="3" t="n">
        <v>500</v>
      </c>
      <c r="D64" s="3" t="n">
        <v>4</v>
      </c>
      <c r="E64" s="2" t="n">
        <v>46</v>
      </c>
      <c r="F64" s="4" t="n">
        <v>2.69332921131829</v>
      </c>
      <c r="G64" s="2" t="n">
        <v>70</v>
      </c>
      <c r="H64" s="2" t="n">
        <v>84</v>
      </c>
      <c r="I64" s="1" t="n">
        <v>350</v>
      </c>
      <c r="J64" s="2" t="n">
        <v>450</v>
      </c>
      <c r="K64" s="3" t="n">
        <v>452</v>
      </c>
      <c r="L64" s="4" t="n">
        <v>42000</v>
      </c>
      <c r="M64" s="3" t="n">
        <v>71.3470436587611</v>
      </c>
      <c r="N64" s="12" t="n">
        <v>0.0107619047619048</v>
      </c>
      <c r="O64" s="4" t="n">
        <v>37.5</v>
      </c>
      <c r="P64" s="3" t="n">
        <v>111.060929714869</v>
      </c>
      <c r="Q64" s="4" t="n">
        <v>0.31</v>
      </c>
      <c r="R64" s="13" t="n">
        <f aca="false">P64/200000</f>
        <v>0.000555304648574347</v>
      </c>
      <c r="V64" s="4" t="n">
        <f aca="false">$W$2*($W$3*$G64+$W$4*$B64^$W$5*$N64^$W$6)*$R64^$W$7</f>
        <v>0.176860524899483</v>
      </c>
      <c r="W64" s="4" t="n">
        <f aca="false">V64/$Q64</f>
        <v>0.570517822256398</v>
      </c>
      <c r="Y64" s="4" t="n">
        <f aca="false">$Z$2*$B64^$Z$3*$R64^$Z$4*($Z$5*$N64^$Z$6+$Z$7)</f>
        <v>0.177315997310222</v>
      </c>
      <c r="Z64" s="4" t="n">
        <f aca="false">Y64/$Q64</f>
        <v>0.571987088097491</v>
      </c>
      <c r="AB64" s="4" t="n">
        <f aca="false">$AC$2*($AC$3+$AC$4*$F64/($N64*'Sem TS MC2020'!P56))*($AC$5*$G64+$AC$6*$B64/$N64)*'Sem TS MC2020'!R56*($J64-$M64)/($J64-$M64-$H64)</f>
        <v>0.207360818157519</v>
      </c>
      <c r="AC64" s="4" t="n">
        <f aca="false">AB64/$Q64</f>
        <v>0.668905865024256</v>
      </c>
      <c r="AD64" s="23" t="n">
        <f aca="false">AB64-$Q64</f>
        <v>-0.102639181842481</v>
      </c>
      <c r="AE64" s="24" t="n">
        <f aca="false">1/AC64</f>
        <v>1.49497866932851</v>
      </c>
      <c r="AF64" s="24" t="n">
        <f aca="false">AB64*(14.068*'Sem TS MC2020'!$P56^-0.457)/$Q64</f>
        <v>0.765313790391501</v>
      </c>
      <c r="AG64" s="24"/>
      <c r="AO64" s="4" t="n">
        <f aca="false">$AP$2*($AP$3+$AP$4*$F64/($N64*'Sem TS MC2020'!P56))*($AP$5*$G64+$AP$6*$B64/$N64)*('Sem TS MC2020'!P56^$AP$7/200000)*($J64-$M64)/($J64-$M64-$H64)+('Sem TS MC2020'!P56-$C64/$AP$8)*($AP$5*$G64+$AP$6*$B64/$N64)/200000</f>
        <v>0.213930136844323</v>
      </c>
      <c r="AP64" s="4" t="n">
        <f aca="false">AO64/$Q64</f>
        <v>0.690097215626847</v>
      </c>
      <c r="AQ64" s="23" t="n">
        <f aca="false">AO64-$Q64</f>
        <v>-0.0960698631556773</v>
      </c>
    </row>
    <row r="65" customFormat="false" ht="14.25" hidden="false" customHeight="false" outlineLevel="0" collapsed="false">
      <c r="B65" s="2" t="n">
        <v>12</v>
      </c>
      <c r="C65" s="3" t="n">
        <v>500</v>
      </c>
      <c r="D65" s="3" t="n">
        <v>4</v>
      </c>
      <c r="E65" s="2" t="n">
        <v>46</v>
      </c>
      <c r="F65" s="4" t="n">
        <v>2.69332921131829</v>
      </c>
      <c r="G65" s="2" t="n">
        <v>70</v>
      </c>
      <c r="H65" s="2" t="n">
        <v>84</v>
      </c>
      <c r="I65" s="1" t="n">
        <v>350</v>
      </c>
      <c r="J65" s="2" t="n">
        <v>450</v>
      </c>
      <c r="K65" s="3" t="n">
        <v>452</v>
      </c>
      <c r="L65" s="4" t="n">
        <v>42000</v>
      </c>
      <c r="M65" s="3" t="n">
        <v>71.3470436587611</v>
      </c>
      <c r="N65" s="12" t="n">
        <v>0.0107619047619048</v>
      </c>
      <c r="O65" s="4" t="n">
        <v>45</v>
      </c>
      <c r="P65" s="3" t="n">
        <v>186.929102805262</v>
      </c>
      <c r="Q65" s="4" t="n">
        <v>0.4</v>
      </c>
      <c r="R65" s="13" t="n">
        <f aca="false">P65/200000</f>
        <v>0.00093464551402631</v>
      </c>
      <c r="V65" s="4" t="n">
        <f aca="false">$W$2*($W$3*$G65+$W$4*$B65^$W$5*$N65^$W$6)*$R65^$W$7</f>
        <v>0.243862063949379</v>
      </c>
      <c r="W65" s="4" t="n">
        <f aca="false">V65/$Q65</f>
        <v>0.609655159873448</v>
      </c>
      <c r="Y65" s="4" t="n">
        <f aca="false">$Z$2*$B65^$Z$3*$R65^$Z$4*($Z$5*$N65^$Z$6+$Z$7)</f>
        <v>0.245894336696698</v>
      </c>
      <c r="Z65" s="4" t="n">
        <f aca="false">Y65/$Q65</f>
        <v>0.614735841741744</v>
      </c>
      <c r="AB65" s="4" t="n">
        <f aca="false">$AC$2*($AC$3+$AC$4*$F65/($N65*'Sem TS MC2020'!P57))*($AC$5*$G65+$AC$6*$B65/$N65)*'Sem TS MC2020'!R57*($J65-$M65)/($J65-$M65-$H65)</f>
        <v>0.301963851012267</v>
      </c>
      <c r="AC65" s="4" t="n">
        <f aca="false">AB65/$Q65</f>
        <v>0.754909627530667</v>
      </c>
      <c r="AD65" s="23" t="n">
        <f aca="false">AB65-$Q65</f>
        <v>-0.0980361489877332</v>
      </c>
      <c r="AE65" s="24" t="n">
        <f aca="false">1/AC65</f>
        <v>1.32466187147597</v>
      </c>
      <c r="AF65" s="24" t="n">
        <f aca="false">AB65*(14.068*'Sem TS MC2020'!$P57^-0.457)/$Q65</f>
        <v>0.794664239338267</v>
      </c>
      <c r="AG65" s="24"/>
      <c r="AO65" s="4" t="n">
        <f aca="false">$AP$2*($AP$3+$AP$4*$F65/($N65*'Sem TS MC2020'!P57))*($AP$5*$G65+$AP$6*$B65/$N65)*('Sem TS MC2020'!P57^$AP$7/200000)*($J65-$M65)/($J65-$M65-$H65)+('Sem TS MC2020'!P57-$C65/$AP$8)*($AP$5*$G65+$AP$6*$B65/$N65)/200000</f>
        <v>0.310073718739653</v>
      </c>
      <c r="AP65" s="4" t="n">
        <f aca="false">AO65/$Q65</f>
        <v>0.775184296849133</v>
      </c>
      <c r="AQ65" s="23" t="n">
        <f aca="false">AO65-$Q65</f>
        <v>-0.0899262812603468</v>
      </c>
    </row>
    <row r="66" customFormat="false" ht="14.25" hidden="false" customHeight="false" outlineLevel="0" collapsed="false">
      <c r="A66" s="1" t="s">
        <v>33</v>
      </c>
      <c r="B66" s="2" t="n">
        <v>12</v>
      </c>
      <c r="C66" s="3" t="n">
        <v>500</v>
      </c>
      <c r="D66" s="3" t="n">
        <v>4</v>
      </c>
      <c r="E66" s="2" t="n">
        <v>46</v>
      </c>
      <c r="F66" s="4" t="n">
        <v>2.69332921131829</v>
      </c>
      <c r="G66" s="2" t="n">
        <v>70</v>
      </c>
      <c r="H66" s="2" t="n">
        <v>84</v>
      </c>
      <c r="I66" s="1" t="n">
        <v>350</v>
      </c>
      <c r="J66" s="2" t="n">
        <v>450</v>
      </c>
      <c r="K66" s="3" t="n">
        <v>452</v>
      </c>
      <c r="L66" s="4" t="n">
        <v>42000</v>
      </c>
      <c r="M66" s="3" t="n">
        <v>71.3470436587611</v>
      </c>
      <c r="N66" s="12" t="n">
        <v>0.0107619047619048</v>
      </c>
      <c r="O66" s="4" t="n">
        <v>30</v>
      </c>
      <c r="P66" s="3" t="n">
        <v>35.1927566244768</v>
      </c>
      <c r="Q66" s="4" t="n">
        <v>0.25</v>
      </c>
      <c r="R66" s="13" t="n">
        <f aca="false">P66/200000</f>
        <v>0.000175963783122384</v>
      </c>
      <c r="V66" s="4" t="n">
        <f aca="false">$W$2*($W$3*$G66+$W$4*$B66^$W$5*$N66^$W$6)*$R66^$W$7</f>
        <v>0.087032460598937</v>
      </c>
      <c r="W66" s="4" t="n">
        <f aca="false">V66/$Q66</f>
        <v>0.348129842395748</v>
      </c>
      <c r="Y66" s="4" t="n">
        <f aca="false">$Z$2*$B66^$Z$3*$R66^$Z$4*($Z$5*$N66^$Z$6+$Z$7)</f>
        <v>0.0861604747752486</v>
      </c>
      <c r="Z66" s="4" t="n">
        <f aca="false">Y66/$Q66</f>
        <v>0.344641899100994</v>
      </c>
      <c r="AB66" s="4" t="n">
        <f aca="false">$AC$2*($AC$3+$AC$4*$F66/($N66*'Sem TS MC2020'!P58))*($AC$5*$G66+$AC$6*$B66/$N66)*'Sem TS MC2020'!R58*($J66-$M66)/($J66-$M66-$H66)</f>
        <v>0.112757785302772</v>
      </c>
      <c r="AC66" s="4" t="n">
        <f aca="false">AB66/$Q66</f>
        <v>0.451031141211087</v>
      </c>
      <c r="AD66" s="23" t="n">
        <f aca="false">AB66-$Q66</f>
        <v>-0.137242214697228</v>
      </c>
      <c r="AE66" s="24" t="n">
        <f aca="false">1/AC66</f>
        <v>2.21714180824599</v>
      </c>
      <c r="AF66" s="24" t="n">
        <f aca="false">AB66*(14.068*'Sem TS MC2020'!$P58^-0.457)/$Q66</f>
        <v>0.571437766511074</v>
      </c>
      <c r="AG66" s="24"/>
      <c r="AO66" s="4" t="n">
        <f aca="false">$AP$2*($AP$3+$AP$4*$F66/($N66*'Sem TS MC2020'!P58))*($AP$5*$G66+$AP$6*$B66/$N66)*('Sem TS MC2020'!P58^$AP$7/200000)*($J66-$M66)/($J66-$M66-$H66)+('Sem TS MC2020'!P58-$C66/$AP$8)*($AP$5*$G66+$AP$6*$B66/$N66)/200000</f>
        <v>0.112293925072956</v>
      </c>
      <c r="AP66" s="4" t="n">
        <f aca="false">AO66/$Q66</f>
        <v>0.449175700291822</v>
      </c>
      <c r="AQ66" s="23" t="n">
        <f aca="false">AO66-$Q66</f>
        <v>-0.137706074927044</v>
      </c>
    </row>
    <row r="67" customFormat="false" ht="14.25" hidden="false" customHeight="false" outlineLevel="0" collapsed="false">
      <c r="B67" s="2" t="n">
        <v>12</v>
      </c>
      <c r="C67" s="3" t="n">
        <v>500</v>
      </c>
      <c r="D67" s="3" t="n">
        <v>4</v>
      </c>
      <c r="E67" s="2" t="n">
        <v>46</v>
      </c>
      <c r="F67" s="4" t="n">
        <v>2.69332921131829</v>
      </c>
      <c r="G67" s="2" t="n">
        <v>70</v>
      </c>
      <c r="H67" s="2" t="n">
        <v>84</v>
      </c>
      <c r="I67" s="1" t="n">
        <v>350</v>
      </c>
      <c r="J67" s="2" t="n">
        <v>450</v>
      </c>
      <c r="K67" s="3" t="n">
        <v>452</v>
      </c>
      <c r="L67" s="4" t="n">
        <v>42000</v>
      </c>
      <c r="M67" s="3" t="n">
        <v>71.3470436587611</v>
      </c>
      <c r="N67" s="12" t="n">
        <v>0.0107619047619048</v>
      </c>
      <c r="O67" s="4" t="n">
        <v>37.5</v>
      </c>
      <c r="P67" s="3" t="n">
        <v>111.060929714869</v>
      </c>
      <c r="Q67" s="4" t="n">
        <v>0.44</v>
      </c>
      <c r="R67" s="13" t="n">
        <f aca="false">P67/200000</f>
        <v>0.000555304648574347</v>
      </c>
      <c r="V67" s="4" t="n">
        <f aca="false">$W$2*($W$3*$G67+$W$4*$B67^$W$5*$N67^$W$6)*$R67^$W$7</f>
        <v>0.176860524899483</v>
      </c>
      <c r="W67" s="4" t="n">
        <f aca="false">V67/$Q67</f>
        <v>0.401955738407917</v>
      </c>
      <c r="Y67" s="4" t="n">
        <f aca="false">$Z$2*$B67^$Z$3*$R67^$Z$4*($Z$5*$N67^$Z$6+$Z$7)</f>
        <v>0.177315997310222</v>
      </c>
      <c r="Z67" s="4" t="n">
        <f aca="false">Y67/$Q67</f>
        <v>0.402990902977778</v>
      </c>
      <c r="AB67" s="4" t="n">
        <f aca="false">$AC$2*($AC$3+$AC$4*$F67/($N67*'Sem TS MC2020'!P59))*($AC$5*$G67+$AC$6*$B67/$N67)*'Sem TS MC2020'!R59*($J67-$M67)/($J67-$M67-$H67)</f>
        <v>0.207360818157519</v>
      </c>
      <c r="AC67" s="4" t="n">
        <f aca="false">AB67/$Q67</f>
        <v>0.471274586721635</v>
      </c>
      <c r="AD67" s="23" t="n">
        <f aca="false">AB67-$Q67</f>
        <v>-0.232639181842481</v>
      </c>
      <c r="AE67" s="24" t="n">
        <f aca="false">1/AC67</f>
        <v>2.12190520807918</v>
      </c>
      <c r="AF67" s="24" t="n">
        <f aca="false">AB67*(14.068*'Sem TS MC2020'!$P59^-0.457)/$Q67</f>
        <v>0.539198352321285</v>
      </c>
      <c r="AG67" s="24"/>
      <c r="AO67" s="4" t="n">
        <f aca="false">$AP$2*($AP$3+$AP$4*$F67/($N67*'Sem TS MC2020'!P59))*($AP$5*$G67+$AP$6*$B67/$N67)*('Sem TS MC2020'!P59^$AP$7/200000)*($J67-$M67)/($J67-$M67-$H67)+('Sem TS MC2020'!P59-$C67/$AP$8)*($AP$5*$G67+$AP$6*$B67/$N67)/200000</f>
        <v>0.213930136844323</v>
      </c>
      <c r="AP67" s="4" t="n">
        <f aca="false">AO67/$Q67</f>
        <v>0.48620485646437</v>
      </c>
      <c r="AQ67" s="23" t="n">
        <f aca="false">AO67-$Q67</f>
        <v>-0.226069863155677</v>
      </c>
    </row>
    <row r="68" customFormat="false" ht="14.25" hidden="false" customHeight="false" outlineLevel="0" collapsed="false">
      <c r="B68" s="2" t="n">
        <v>12</v>
      </c>
      <c r="C68" s="3" t="n">
        <v>500</v>
      </c>
      <c r="D68" s="3" t="n">
        <v>4</v>
      </c>
      <c r="E68" s="2" t="n">
        <v>46</v>
      </c>
      <c r="F68" s="4" t="n">
        <v>2.69332921131829</v>
      </c>
      <c r="G68" s="2" t="n">
        <v>70</v>
      </c>
      <c r="H68" s="2" t="n">
        <v>84</v>
      </c>
      <c r="I68" s="1" t="n">
        <v>350</v>
      </c>
      <c r="J68" s="2" t="n">
        <v>450</v>
      </c>
      <c r="K68" s="3" t="n">
        <v>452</v>
      </c>
      <c r="L68" s="4" t="n">
        <v>42000</v>
      </c>
      <c r="M68" s="3" t="n">
        <v>71.3470436587611</v>
      </c>
      <c r="N68" s="12" t="n">
        <v>0.0107619047619048</v>
      </c>
      <c r="O68" s="4" t="n">
        <v>45</v>
      </c>
      <c r="P68" s="3" t="n">
        <v>186.929102805262</v>
      </c>
      <c r="Q68" s="4" t="n">
        <v>0.56</v>
      </c>
      <c r="R68" s="13" t="n">
        <f aca="false">P68/200000</f>
        <v>0.00093464551402631</v>
      </c>
      <c r="V68" s="4" t="n">
        <f aca="false">$W$2*($W$3*$G68+$W$4*$B68^$W$5*$N68^$W$6)*$R68^$W$7</f>
        <v>0.243862063949379</v>
      </c>
      <c r="W68" s="4" t="n">
        <f aca="false">V68/$Q68</f>
        <v>0.435467971338177</v>
      </c>
      <c r="Y68" s="4" t="n">
        <f aca="false">$Z$2*$B68^$Z$3*$R68^$Z$4*($Z$5*$N68^$Z$6+$Z$7)</f>
        <v>0.245894336696698</v>
      </c>
      <c r="Z68" s="4" t="n">
        <f aca="false">Y68/$Q68</f>
        <v>0.439097029815532</v>
      </c>
      <c r="AB68" s="4" t="n">
        <f aca="false">$AC$2*($AC$3+$AC$4*$F68/($N68*'Sem TS MC2020'!P60))*($AC$5*$G68+$AC$6*$B68/$N68)*'Sem TS MC2020'!R60*($J68-$M68)/($J68-$M68-$H68)</f>
        <v>0.301963851012267</v>
      </c>
      <c r="AC68" s="4" t="n">
        <f aca="false">AB68/$Q68</f>
        <v>0.539221162521905</v>
      </c>
      <c r="AD68" s="23" t="n">
        <f aca="false">AB68-$Q68</f>
        <v>-0.258036148987733</v>
      </c>
      <c r="AE68" s="24" t="n">
        <f aca="false">1/AC68</f>
        <v>1.85452662006636</v>
      </c>
      <c r="AF68" s="24" t="n">
        <f aca="false">AB68*(14.068*'Sem TS MC2020'!$P60^-0.457)/$Q68</f>
        <v>0.567617313813048</v>
      </c>
      <c r="AG68" s="24"/>
      <c r="AO68" s="4" t="n">
        <f aca="false">$AP$2*($AP$3+$AP$4*$F68/($N68*'Sem TS MC2020'!P60))*($AP$5*$G68+$AP$6*$B68/$N68)*('Sem TS MC2020'!P60^$AP$7/200000)*($J68-$M68)/($J68-$M68-$H68)+('Sem TS MC2020'!P60-$C68/$AP$8)*($AP$5*$G68+$AP$6*$B68/$N68)/200000</f>
        <v>0.310073718739653</v>
      </c>
      <c r="AP68" s="4" t="n">
        <f aca="false">AO68/$Q68</f>
        <v>0.553703069177952</v>
      </c>
      <c r="AQ68" s="23" t="n">
        <f aca="false">AO68-$Q68</f>
        <v>-0.249926281260347</v>
      </c>
    </row>
    <row r="69" customFormat="false" ht="14.25" hidden="false" customHeight="false" outlineLevel="0" collapsed="false">
      <c r="A69" s="1" t="s">
        <v>34</v>
      </c>
      <c r="B69" s="2" t="n">
        <v>25</v>
      </c>
      <c r="C69" s="3" t="n">
        <v>500</v>
      </c>
      <c r="D69" s="3" t="n">
        <v>4</v>
      </c>
      <c r="E69" s="2" t="n">
        <v>62</v>
      </c>
      <c r="F69" s="4" t="n">
        <v>2.69332921131829</v>
      </c>
      <c r="G69" s="2" t="n">
        <v>20</v>
      </c>
      <c r="H69" s="2" t="n">
        <v>40.5</v>
      </c>
      <c r="I69" s="1" t="n">
        <v>350</v>
      </c>
      <c r="J69" s="2" t="n">
        <v>450</v>
      </c>
      <c r="K69" s="3" t="n">
        <v>1964</v>
      </c>
      <c r="L69" s="4" t="n">
        <v>49612.5</v>
      </c>
      <c r="M69" s="3" t="n">
        <v>141.766460137701</v>
      </c>
      <c r="N69" s="12" t="n">
        <v>0.0395867976820358</v>
      </c>
      <c r="O69" s="4" t="n">
        <v>150</v>
      </c>
      <c r="P69" s="3" t="n">
        <v>162.977172789228</v>
      </c>
      <c r="Q69" s="4" t="n">
        <v>0.23</v>
      </c>
      <c r="R69" s="13" t="n">
        <f aca="false">P69/200000</f>
        <v>0.000814885863946141</v>
      </c>
      <c r="V69" s="4" t="n">
        <f aca="false">$W$2*($W$3*$G69+$W$4*$B69^$W$5*$N69^$W$6)*$R69^$W$7</f>
        <v>0.213674110324417</v>
      </c>
      <c r="W69" s="4" t="n">
        <f aca="false">V69/$Q69</f>
        <v>0.929017870975725</v>
      </c>
      <c r="Y69" s="4" t="n">
        <f aca="false">$Z$2*$B69^$Z$3*$R69^$Z$4*($Z$5*$N69^$Z$6+$Z$7)</f>
        <v>0.214237073251656</v>
      </c>
      <c r="Z69" s="4" t="n">
        <f aca="false">Y69/$Q69</f>
        <v>0.931465535876765</v>
      </c>
      <c r="AB69" s="4" t="n">
        <f aca="false">$AC$2*($AC$3+$AC$4*$F69/($N69*'Sem TS MC2020'!P61))*($AC$5*$G69+$AC$6*$B69/$N69)*'Sem TS MC2020'!R61*($J69-$M69)/($J69-$M69-$H69)</f>
        <v>0.14579257158924</v>
      </c>
      <c r="AC69" s="4" t="n">
        <f aca="false">AB69/$Q69</f>
        <v>0.633880746040172</v>
      </c>
      <c r="AD69" s="23" t="n">
        <f aca="false">AB69-$Q69</f>
        <v>-0.0842074284107605</v>
      </c>
      <c r="AE69" s="24" t="n">
        <f aca="false">1/AC69</f>
        <v>1.57758380617642</v>
      </c>
      <c r="AF69" s="24" t="n">
        <f aca="false">AB69*(14.068*'Sem TS MC2020'!$P61^-0.457)/$Q69</f>
        <v>0.773028850308038</v>
      </c>
      <c r="AG69" s="24"/>
      <c r="AO69" s="4" t="n">
        <f aca="false">$AP$2*($AP$3+$AP$4*$F69/($N69*'Sem TS MC2020'!P61))*($AP$5*$G69+$AP$6*$B69/$N69)*('Sem TS MC2020'!P61^$AP$7/200000)*($J69-$M69)/($J69-$M69-$H69)+('Sem TS MC2020'!P61-$C69/$AP$8)*($AP$5*$G69+$AP$6*$B69/$N69)/200000</f>
        <v>0.16017905203151</v>
      </c>
      <c r="AP69" s="4" t="n">
        <f aca="false">AO69/$Q69</f>
        <v>0.696430661006565</v>
      </c>
      <c r="AQ69" s="23" t="n">
        <f aca="false">AO69-$Q69</f>
        <v>-0.0698209479684901</v>
      </c>
    </row>
    <row r="70" customFormat="false" ht="14.25" hidden="false" customHeight="false" outlineLevel="0" collapsed="false">
      <c r="B70" s="2" t="n">
        <v>25</v>
      </c>
      <c r="C70" s="3" t="n">
        <v>500</v>
      </c>
      <c r="D70" s="3" t="n">
        <v>4</v>
      </c>
      <c r="E70" s="2" t="n">
        <v>62</v>
      </c>
      <c r="F70" s="4" t="n">
        <v>2.69332921131829</v>
      </c>
      <c r="G70" s="2" t="n">
        <v>20</v>
      </c>
      <c r="H70" s="2" t="n">
        <v>40.5</v>
      </c>
      <c r="I70" s="1" t="n">
        <v>350</v>
      </c>
      <c r="J70" s="2" t="n">
        <v>450</v>
      </c>
      <c r="K70" s="3" t="n">
        <v>1964</v>
      </c>
      <c r="L70" s="4" t="n">
        <v>49612.5</v>
      </c>
      <c r="M70" s="3" t="n">
        <v>141.766460137701</v>
      </c>
      <c r="N70" s="12" t="n">
        <v>0.0395867976820358</v>
      </c>
      <c r="O70" s="4" t="n">
        <v>225</v>
      </c>
      <c r="P70" s="3" t="n">
        <v>287.49119849252</v>
      </c>
      <c r="Q70" s="4" t="n">
        <v>0.35</v>
      </c>
      <c r="R70" s="13" t="n">
        <f aca="false">P70/200000</f>
        <v>0.0014374559924626</v>
      </c>
      <c r="V70" s="4" t="n">
        <f aca="false">$W$2*($W$3*$G70+$W$4*$B70^$W$5*$N70^$W$6)*$R70^$W$7</f>
        <v>0.303278086089166</v>
      </c>
      <c r="W70" s="4" t="n">
        <f aca="false">V70/$Q70</f>
        <v>0.866508817397619</v>
      </c>
      <c r="Y70" s="4" t="n">
        <f aca="false">$Z$2*$B70^$Z$3*$R70^$Z$4*($Z$5*$N70^$Z$6+$Z$7)</f>
        <v>0.305981541730525</v>
      </c>
      <c r="Z70" s="4" t="n">
        <f aca="false">Y70/$Q70</f>
        <v>0.874232976372928</v>
      </c>
      <c r="AB70" s="4" t="n">
        <f aca="false">$AC$2*($AC$3+$AC$4*$F70/($N70*'Sem TS MC2020'!P62))*($AC$5*$G70+$AC$6*$B70/$N70)*'Sem TS MC2020'!R62*($J70-$M70)/($J70-$M70-$H70)</f>
        <v>0.234211616577724</v>
      </c>
      <c r="AC70" s="4" t="n">
        <f aca="false">AB70/$Q70</f>
        <v>0.669176047364925</v>
      </c>
      <c r="AD70" s="23" t="n">
        <f aca="false">AB70-$Q70</f>
        <v>-0.115788383422276</v>
      </c>
      <c r="AE70" s="24" t="n">
        <f aca="false">1/AC70</f>
        <v>1.49437506607983</v>
      </c>
      <c r="AF70" s="24" t="n">
        <f aca="false">AB70*(14.068*'Sem TS MC2020'!$P62^-0.457)/$Q70</f>
        <v>0.678039233321478</v>
      </c>
      <c r="AG70" s="24"/>
      <c r="AO70" s="4" t="n">
        <f aca="false">$AP$2*($AP$3+$AP$4*$F70/($N70*'Sem TS MC2020'!P62))*($AP$5*$G70+$AP$6*$B70/$N70)*('Sem TS MC2020'!P62^$AP$7/200000)*($J70-$M70)/($J70-$M70-$H70)+('Sem TS MC2020'!P62-$C70/$AP$8)*($AP$5*$G70+$AP$6*$B70/$N70)/200000</f>
        <v>0.247010023906519</v>
      </c>
      <c r="AP70" s="4" t="n">
        <f aca="false">AO70/$Q70</f>
        <v>0.705742925447196</v>
      </c>
      <c r="AQ70" s="23" t="n">
        <f aca="false">AO70-$Q70</f>
        <v>-0.102989976093481</v>
      </c>
    </row>
    <row r="71" customFormat="false" ht="14.25" hidden="false" customHeight="false" outlineLevel="0" collapsed="false">
      <c r="B71" s="2" t="n">
        <v>25</v>
      </c>
      <c r="C71" s="3" t="n">
        <v>500</v>
      </c>
      <c r="D71" s="3" t="n">
        <v>4</v>
      </c>
      <c r="E71" s="2" t="n">
        <v>62</v>
      </c>
      <c r="F71" s="4" t="n">
        <v>2.69332921131829</v>
      </c>
      <c r="G71" s="2" t="n">
        <v>20</v>
      </c>
      <c r="H71" s="2" t="n">
        <v>40.5</v>
      </c>
      <c r="I71" s="1" t="n">
        <v>350</v>
      </c>
      <c r="J71" s="2" t="n">
        <v>450</v>
      </c>
      <c r="K71" s="3" t="n">
        <v>1964</v>
      </c>
      <c r="L71" s="4" t="n">
        <v>49612.5</v>
      </c>
      <c r="M71" s="3" t="n">
        <v>141.766460137701</v>
      </c>
      <c r="N71" s="12" t="n">
        <v>0.0395867976820358</v>
      </c>
      <c r="O71" s="4" t="n">
        <v>300</v>
      </c>
      <c r="P71" s="3" t="n">
        <v>412.005224195811</v>
      </c>
      <c r="Q71" s="4" t="n">
        <v>0.49</v>
      </c>
      <c r="R71" s="13" t="n">
        <f aca="false">P71/200000</f>
        <v>0.00206002612097905</v>
      </c>
      <c r="V71" s="4" t="n">
        <f aca="false">$W$2*($W$3*$G71+$W$4*$B71^$W$5*$N71^$W$6)*$R71^$W$7</f>
        <v>0.378673279874648</v>
      </c>
      <c r="W71" s="4" t="n">
        <f aca="false">V71/$Q71</f>
        <v>0.772802611989077</v>
      </c>
      <c r="Y71" s="4" t="n">
        <f aca="false">$Z$2*$B71^$Z$3*$R71^$Z$4*($Z$5*$N71^$Z$6+$Z$7)</f>
        <v>0.383564070651813</v>
      </c>
      <c r="Z71" s="4" t="n">
        <f aca="false">Y71/$Q71</f>
        <v>0.782783817656761</v>
      </c>
      <c r="AB71" s="4" t="n">
        <f aca="false">$AC$2*($AC$3+$AC$4*$F71/($N71*'Sem TS MC2020'!P63))*($AC$5*$G71+$AC$6*$B71/$N71)*'Sem TS MC2020'!R63*($J71-$M71)/($J71-$M71-$H71)</f>
        <v>0.322630661566208</v>
      </c>
      <c r="AC71" s="4" t="n">
        <f aca="false">AB71/$Q71</f>
        <v>0.65842992156369</v>
      </c>
      <c r="AD71" s="23" t="n">
        <f aca="false">AB71-$Q71</f>
        <v>-0.167369338433792</v>
      </c>
      <c r="AE71" s="24" t="n">
        <f aca="false">1/AC71</f>
        <v>1.51876451426315</v>
      </c>
      <c r="AF71" s="24" t="n">
        <f aca="false">AB71*(14.068*'Sem TS MC2020'!$P63^-0.457)/$Q71</f>
        <v>0.584961108651077</v>
      </c>
      <c r="AG71" s="24"/>
      <c r="AO71" s="4" t="n">
        <f aca="false">$AP$2*($AP$3+$AP$4*$F71/($N71*'Sem TS MC2020'!P63))*($AP$5*$G71+$AP$6*$B71/$N71)*('Sem TS MC2020'!P63^$AP$7/200000)*($J71-$M71)/($J71-$M71-$H71)+('Sem TS MC2020'!P63-$C71/$AP$8)*($AP$5*$G71+$AP$6*$B71/$N71)/200000</f>
        <v>0.328370309823544</v>
      </c>
      <c r="AP71" s="4" t="n">
        <f aca="false">AO71/$Q71</f>
        <v>0.670143489435804</v>
      </c>
      <c r="AQ71" s="23" t="n">
        <f aca="false">AO71-$Q71</f>
        <v>-0.161629690176456</v>
      </c>
    </row>
    <row r="72" customFormat="false" ht="14.25" hidden="false" customHeight="false" outlineLevel="0" collapsed="false">
      <c r="B72" s="2" t="n">
        <v>25</v>
      </c>
      <c r="C72" s="3" t="n">
        <v>500</v>
      </c>
      <c r="D72" s="3" t="n">
        <v>4</v>
      </c>
      <c r="E72" s="2" t="n">
        <v>62</v>
      </c>
      <c r="F72" s="4" t="n">
        <v>2.69332921131829</v>
      </c>
      <c r="G72" s="2" t="n">
        <v>20</v>
      </c>
      <c r="H72" s="2" t="n">
        <v>40.5</v>
      </c>
      <c r="I72" s="1" t="n">
        <v>350</v>
      </c>
      <c r="J72" s="2" t="n">
        <v>450</v>
      </c>
      <c r="K72" s="3" t="n">
        <v>1964</v>
      </c>
      <c r="L72" s="4" t="n">
        <v>49612.5</v>
      </c>
      <c r="M72" s="3" t="n">
        <v>141.766460137701</v>
      </c>
      <c r="N72" s="12" t="n">
        <v>0.0395867976820358</v>
      </c>
      <c r="O72" s="4" t="n">
        <v>375</v>
      </c>
      <c r="P72" s="3" t="n">
        <v>500</v>
      </c>
      <c r="Q72" s="4" t="n">
        <v>0.67</v>
      </c>
      <c r="R72" s="13" t="n">
        <f aca="false">P72/200000</f>
        <v>0.0025</v>
      </c>
      <c r="V72" s="4" t="n">
        <f aca="false">$W$2*($W$3*$G72+$W$4*$B72^$W$5*$N72^$W$6)*$R72^$W$7</f>
        <v>0.426711329606347</v>
      </c>
      <c r="W72" s="4" t="n">
        <f aca="false">V72/$Q72</f>
        <v>0.63688258150201</v>
      </c>
      <c r="Y72" s="4" t="n">
        <f aca="false">$Z$2*$B72^$Z$3*$R72^$Z$4*($Z$5*$N72^$Z$6+$Z$7)</f>
        <v>0.433143869274165</v>
      </c>
      <c r="Z72" s="4" t="n">
        <f aca="false">Y72/$Q72</f>
        <v>0.646483386976366</v>
      </c>
      <c r="AB72" s="4" t="n">
        <f aca="false">$AC$2*($AC$3+$AC$4*$F72/($N72*'Sem TS MC2020'!P64))*($AC$5*$G72+$AC$6*$B72/$N72)*'Sem TS MC2020'!R64*($J72-$M72)/($J72-$M72-$H72)</f>
        <v>0.388324965168053</v>
      </c>
      <c r="AC72" s="4" t="n">
        <f aca="false">AB72/$Q72</f>
        <v>0.579589500250825</v>
      </c>
      <c r="AD72" s="23" t="n">
        <f aca="false">AB72-$Q72</f>
        <v>-0.281675034831947</v>
      </c>
      <c r="AE72" s="24" t="n">
        <f aca="false">1/AC72</f>
        <v>1.72535906804253</v>
      </c>
      <c r="AF72" s="24" t="n">
        <f aca="false">AB72*(14.068*'Sem TS MC2020'!$P64^-0.457)/$Q72</f>
        <v>0.476347156319587</v>
      </c>
      <c r="AG72" s="24"/>
      <c r="AO72" s="4" t="n">
        <f aca="false">$AP$2*($AP$3+$AP$4*$F72/($N72*'Sem TS MC2020'!P64))*($AP$5*$G72+$AP$6*$B72/$N72)*('Sem TS MC2020'!P64^$AP$7/200000)*($J72-$M72)/($J72-$M72-$H72)+('Sem TS MC2020'!P64-$C72/$AP$8)*($AP$5*$G72+$AP$6*$B72/$N72)/200000</f>
        <v>0.386364916337009</v>
      </c>
      <c r="AP72" s="4" t="n">
        <f aca="false">AO72/$Q72</f>
        <v>0.576664054234342</v>
      </c>
      <c r="AQ72" s="23" t="n">
        <f aca="false">AO72-$Q72</f>
        <v>-0.283635083662991</v>
      </c>
    </row>
    <row r="73" customFormat="false" ht="14.25" hidden="false" customHeight="false" outlineLevel="0" collapsed="false">
      <c r="A73" s="1" t="s">
        <v>35</v>
      </c>
      <c r="B73" s="2" t="n">
        <v>25</v>
      </c>
      <c r="C73" s="3" t="n">
        <v>500</v>
      </c>
      <c r="D73" s="3" t="n">
        <v>4</v>
      </c>
      <c r="E73" s="2" t="n">
        <v>62</v>
      </c>
      <c r="F73" s="4" t="n">
        <v>2.69332921131829</v>
      </c>
      <c r="G73" s="2" t="n">
        <v>20</v>
      </c>
      <c r="H73" s="2" t="n">
        <v>40.5</v>
      </c>
      <c r="I73" s="1" t="n">
        <v>350</v>
      </c>
      <c r="J73" s="2" t="n">
        <v>450</v>
      </c>
      <c r="K73" s="3" t="n">
        <v>1964</v>
      </c>
      <c r="L73" s="4" t="n">
        <v>49612.5</v>
      </c>
      <c r="M73" s="3" t="n">
        <v>141.766460137701</v>
      </c>
      <c r="N73" s="12" t="n">
        <v>0.0395867976820358</v>
      </c>
      <c r="O73" s="4" t="n">
        <v>150</v>
      </c>
      <c r="P73" s="3" t="n">
        <v>162.977172789228</v>
      </c>
      <c r="Q73" s="4" t="n">
        <v>0.27</v>
      </c>
      <c r="R73" s="13" t="n">
        <f aca="false">P73/200000</f>
        <v>0.000814885863946141</v>
      </c>
      <c r="V73" s="4" t="n">
        <f aca="false">$W$2*($W$3*$G73+$W$4*$B73^$W$5*$N73^$W$6)*$R73^$W$7</f>
        <v>0.213674110324417</v>
      </c>
      <c r="W73" s="4" t="n">
        <f aca="false">V73/$Q73</f>
        <v>0.791385593794136</v>
      </c>
      <c r="Y73" s="4" t="n">
        <f aca="false">$Z$2*$B73^$Z$3*$R73^$Z$4*($Z$5*$N73^$Z$6+$Z$7)</f>
        <v>0.214237073251656</v>
      </c>
      <c r="Z73" s="4" t="n">
        <f aca="false">Y73/$Q73</f>
        <v>0.793470641672799</v>
      </c>
      <c r="AB73" s="4" t="n">
        <f aca="false">$AC$2*($AC$3+$AC$4*$F73/($N73*'Sem TS MC2020'!P65))*($AC$5*$G73+$AC$6*$B73/$N73)*'Sem TS MC2020'!R65*($J73-$M73)/($J73-$M73-$H73)</f>
        <v>0.14579257158924</v>
      </c>
      <c r="AC73" s="4" t="n">
        <f aca="false">AB73/$Q73</f>
        <v>0.539972487367554</v>
      </c>
      <c r="AD73" s="23" t="n">
        <f aca="false">AB73-$Q73</f>
        <v>-0.12420742841076</v>
      </c>
      <c r="AE73" s="24" t="n">
        <f aca="false">1/AC73</f>
        <v>1.85194620725057</v>
      </c>
      <c r="AF73" s="24" t="n">
        <f aca="false">AB73*(14.068*'Sem TS MC2020'!$P65^-0.457)/$Q73</f>
        <v>0.65850605766981</v>
      </c>
      <c r="AG73" s="24"/>
      <c r="AO73" s="4" t="n">
        <f aca="false">$AP$2*($AP$3+$AP$4*$F73/($N73*'Sem TS MC2020'!P65))*($AP$5*$G73+$AP$6*$B73/$N73)*('Sem TS MC2020'!P65^$AP$7/200000)*($J73-$M73)/($J73-$M73-$H73)+('Sem TS MC2020'!P65-$C73/$AP$8)*($AP$5*$G73+$AP$6*$B73/$N73)/200000</f>
        <v>0.16017905203151</v>
      </c>
      <c r="AP73" s="4" t="n">
        <f aca="false">AO73/$Q73</f>
        <v>0.593255748264851</v>
      </c>
      <c r="AQ73" s="23" t="n">
        <f aca="false">AO73-$Q73</f>
        <v>-0.10982094796849</v>
      </c>
    </row>
    <row r="74" customFormat="false" ht="14.25" hidden="false" customHeight="false" outlineLevel="0" collapsed="false">
      <c r="B74" s="2" t="n">
        <v>25</v>
      </c>
      <c r="C74" s="3" t="n">
        <v>500</v>
      </c>
      <c r="D74" s="3" t="n">
        <v>4</v>
      </c>
      <c r="E74" s="2" t="n">
        <v>62</v>
      </c>
      <c r="F74" s="4" t="n">
        <v>2.69332921131829</v>
      </c>
      <c r="G74" s="2" t="n">
        <v>20</v>
      </c>
      <c r="H74" s="2" t="n">
        <v>40.5</v>
      </c>
      <c r="I74" s="1" t="n">
        <v>350</v>
      </c>
      <c r="J74" s="2" t="n">
        <v>450</v>
      </c>
      <c r="K74" s="3" t="n">
        <v>1964</v>
      </c>
      <c r="L74" s="4" t="n">
        <v>49612.5</v>
      </c>
      <c r="M74" s="3" t="n">
        <v>141.766460137701</v>
      </c>
      <c r="N74" s="12" t="n">
        <v>0.0395867976820358</v>
      </c>
      <c r="O74" s="4" t="n">
        <v>225</v>
      </c>
      <c r="P74" s="3" t="n">
        <v>287.49119849252</v>
      </c>
      <c r="Q74" s="4" t="n">
        <v>0.4</v>
      </c>
      <c r="R74" s="13" t="n">
        <f aca="false">P74/200000</f>
        <v>0.0014374559924626</v>
      </c>
      <c r="V74" s="4" t="n">
        <f aca="false">$W$2*($W$3*$G74+$W$4*$B74^$W$5*$N74^$W$6)*$R74^$W$7</f>
        <v>0.303278086089166</v>
      </c>
      <c r="W74" s="4" t="n">
        <f aca="false">V74/$Q74</f>
        <v>0.758195215222916</v>
      </c>
      <c r="Y74" s="4" t="n">
        <f aca="false">$Z$2*$B74^$Z$3*$R74^$Z$4*($Z$5*$N74^$Z$6+$Z$7)</f>
        <v>0.305981541730525</v>
      </c>
      <c r="Z74" s="4" t="n">
        <f aca="false">Y74/$Q74</f>
        <v>0.764953854326312</v>
      </c>
      <c r="AB74" s="4" t="n">
        <f aca="false">$AC$2*($AC$3+$AC$4*$F74/($N74*'Sem TS MC2020'!P66))*($AC$5*$G74+$AC$6*$B74/$N74)*'Sem TS MC2020'!R66*($J74-$M74)/($J74-$M74-$H74)</f>
        <v>0.234211616577724</v>
      </c>
      <c r="AC74" s="4" t="n">
        <f aca="false">AB74/$Q74</f>
        <v>0.58552904144431</v>
      </c>
      <c r="AD74" s="23" t="n">
        <f aca="false">AB74-$Q74</f>
        <v>-0.165788383422276</v>
      </c>
      <c r="AE74" s="24" t="n">
        <f aca="false">1/AC74</f>
        <v>1.70785721837695</v>
      </c>
      <c r="AF74" s="24" t="n">
        <f aca="false">AB74*(14.068*'Sem TS MC2020'!$P66^-0.457)/$Q74</f>
        <v>0.593284329156293</v>
      </c>
      <c r="AG74" s="24"/>
      <c r="AO74" s="4" t="n">
        <f aca="false">$AP$2*($AP$3+$AP$4*$F74/($N74*'Sem TS MC2020'!P66))*($AP$5*$G74+$AP$6*$B74/$N74)*('Sem TS MC2020'!P66^$AP$7/200000)*($J74-$M74)/($J74-$M74-$H74)+('Sem TS MC2020'!P66-$C74/$AP$8)*($AP$5*$G74+$AP$6*$B74/$N74)/200000</f>
        <v>0.247010023906519</v>
      </c>
      <c r="AP74" s="4" t="n">
        <f aca="false">AO74/$Q74</f>
        <v>0.617525059766296</v>
      </c>
      <c r="AQ74" s="23" t="n">
        <f aca="false">AO74-$Q74</f>
        <v>-0.152989976093482</v>
      </c>
    </row>
    <row r="75" customFormat="false" ht="14.25" hidden="false" customHeight="false" outlineLevel="0" collapsed="false">
      <c r="B75" s="2" t="n">
        <v>25</v>
      </c>
      <c r="C75" s="3" t="n">
        <v>500</v>
      </c>
      <c r="D75" s="3" t="n">
        <v>4</v>
      </c>
      <c r="E75" s="2" t="n">
        <v>62</v>
      </c>
      <c r="F75" s="4" t="n">
        <v>2.69332921131829</v>
      </c>
      <c r="G75" s="2" t="n">
        <v>20</v>
      </c>
      <c r="H75" s="2" t="n">
        <v>40.5</v>
      </c>
      <c r="I75" s="1" t="n">
        <v>350</v>
      </c>
      <c r="J75" s="2" t="n">
        <v>450</v>
      </c>
      <c r="K75" s="3" t="n">
        <v>1964</v>
      </c>
      <c r="L75" s="4" t="n">
        <v>49612.5</v>
      </c>
      <c r="M75" s="3" t="n">
        <v>141.766460137701</v>
      </c>
      <c r="N75" s="12" t="n">
        <v>0.0395867976820358</v>
      </c>
      <c r="O75" s="4" t="n">
        <v>300</v>
      </c>
      <c r="P75" s="3" t="n">
        <v>412.005224195811</v>
      </c>
      <c r="Q75" s="4" t="n">
        <v>0.53</v>
      </c>
      <c r="R75" s="13" t="n">
        <f aca="false">P75/200000</f>
        <v>0.00206002612097905</v>
      </c>
      <c r="V75" s="4" t="n">
        <f aca="false">$W$2*($W$3*$G75+$W$4*$B75^$W$5*$N75^$W$6)*$R75^$W$7</f>
        <v>0.378673279874648</v>
      </c>
      <c r="W75" s="4" t="n">
        <f aca="false">V75/$Q75</f>
        <v>0.714477886555939</v>
      </c>
      <c r="Y75" s="4" t="n">
        <f aca="false">$Z$2*$B75^$Z$3*$R75^$Z$4*($Z$5*$N75^$Z$6+$Z$7)</f>
        <v>0.383564070651813</v>
      </c>
      <c r="Z75" s="4" t="n">
        <f aca="false">Y75/$Q75</f>
        <v>0.723705793682665</v>
      </c>
      <c r="AB75" s="4" t="n">
        <f aca="false">$AC$2*($AC$3+$AC$4*$F75/($N75*'Sem TS MC2020'!P67))*($AC$5*$G75+$AC$6*$B75/$N75)*'Sem TS MC2020'!R67*($J75-$M75)/($J75-$M75-$H75)</f>
        <v>0.322630661566208</v>
      </c>
      <c r="AC75" s="4" t="n">
        <f aca="false">AB75/$Q75</f>
        <v>0.608737097294732</v>
      </c>
      <c r="AD75" s="23" t="n">
        <f aca="false">AB75-$Q75</f>
        <v>-0.207369338433792</v>
      </c>
      <c r="AE75" s="24" t="n">
        <f aca="false">1/AC75</f>
        <v>1.64274529093769</v>
      </c>
      <c r="AF75" s="24" t="n">
        <f aca="false">AB75*(14.068*'Sem TS MC2020'!$P67^-0.457)/$Q75</f>
        <v>0.540813100450996</v>
      </c>
      <c r="AG75" s="24"/>
      <c r="AO75" s="4" t="n">
        <f aca="false">$AP$2*($AP$3+$AP$4*$F75/($N75*'Sem TS MC2020'!P67))*($AP$5*$G75+$AP$6*$B75/$N75)*('Sem TS MC2020'!P67^$AP$7/200000)*($J75-$M75)/($J75-$M75-$H75)+('Sem TS MC2020'!P67-$C75/$AP$8)*($AP$5*$G75+$AP$6*$B75/$N75)/200000</f>
        <v>0.328370309823544</v>
      </c>
      <c r="AP75" s="4" t="n">
        <f aca="false">AO75/$Q75</f>
        <v>0.619566622308574</v>
      </c>
      <c r="AQ75" s="23" t="n">
        <f aca="false">AO75-$Q75</f>
        <v>-0.201629690176456</v>
      </c>
    </row>
    <row r="76" customFormat="false" ht="14.25" hidden="false" customHeight="false" outlineLevel="0" collapsed="false">
      <c r="B76" s="2" t="n">
        <v>25</v>
      </c>
      <c r="C76" s="3" t="n">
        <v>500</v>
      </c>
      <c r="D76" s="3" t="n">
        <v>4</v>
      </c>
      <c r="E76" s="2" t="n">
        <v>62</v>
      </c>
      <c r="F76" s="4" t="n">
        <v>2.69332921131829</v>
      </c>
      <c r="G76" s="2" t="n">
        <v>20</v>
      </c>
      <c r="H76" s="2" t="n">
        <v>40.5</v>
      </c>
      <c r="I76" s="1" t="n">
        <v>350</v>
      </c>
      <c r="J76" s="2" t="n">
        <v>450</v>
      </c>
      <c r="K76" s="3" t="n">
        <v>1964</v>
      </c>
      <c r="L76" s="4" t="n">
        <v>49612.5</v>
      </c>
      <c r="M76" s="3" t="n">
        <v>141.766460137701</v>
      </c>
      <c r="N76" s="12" t="n">
        <v>0.0395867976820358</v>
      </c>
      <c r="O76" s="4" t="n">
        <v>375</v>
      </c>
      <c r="P76" s="3" t="n">
        <v>500</v>
      </c>
      <c r="Q76" s="4" t="n">
        <v>0.72</v>
      </c>
      <c r="R76" s="13" t="n">
        <f aca="false">P76/200000</f>
        <v>0.0025</v>
      </c>
      <c r="V76" s="4" t="n">
        <f aca="false">$W$2*($W$3*$G76+$W$4*$B76^$W$5*$N76^$W$6)*$R76^$W$7</f>
        <v>0.426711329606347</v>
      </c>
      <c r="W76" s="4" t="n">
        <f aca="false">V76/$Q76</f>
        <v>0.592654624453259</v>
      </c>
      <c r="Y76" s="4" t="n">
        <f aca="false">$Z$2*$B76^$Z$3*$R76^$Z$4*($Z$5*$N76^$Z$6+$Z$7)</f>
        <v>0.433143869274165</v>
      </c>
      <c r="Z76" s="4" t="n">
        <f aca="false">Y76/$Q76</f>
        <v>0.601588707325229</v>
      </c>
      <c r="AB76" s="4" t="n">
        <f aca="false">$AC$2*($AC$3+$AC$4*$F76/($N76*'Sem TS MC2020'!P68))*($AC$5*$G76+$AC$6*$B76/$N76)*'Sem TS MC2020'!R68*($J76-$M76)/($J76-$M76-$H76)</f>
        <v>0.388324965168053</v>
      </c>
      <c r="AC76" s="4" t="n">
        <f aca="false">AB76/$Q76</f>
        <v>0.539340229400074</v>
      </c>
      <c r="AD76" s="23" t="n">
        <f aca="false">AB76-$Q76</f>
        <v>-0.331675034831947</v>
      </c>
      <c r="AE76" s="24" t="n">
        <f aca="false">1/AC76</f>
        <v>1.85411720744869</v>
      </c>
      <c r="AF76" s="24" t="n">
        <f aca="false">AB76*(14.068*'Sem TS MC2020'!$P68^-0.457)/$Q76</f>
        <v>0.443267492686282</v>
      </c>
      <c r="AG76" s="24"/>
      <c r="AO76" s="4" t="n">
        <f aca="false">$AP$2*($AP$3+$AP$4*$F76/($N76*'Sem TS MC2020'!P68))*($AP$5*$G76+$AP$6*$B76/$N76)*('Sem TS MC2020'!P68^$AP$7/200000)*($J76-$M76)/($J76-$M76-$H76)+('Sem TS MC2020'!P68-$C76/$AP$8)*($AP$5*$G76+$AP$6*$B76/$N76)/200000</f>
        <v>0.386364916337009</v>
      </c>
      <c r="AP76" s="4" t="n">
        <f aca="false">AO76/$Q76</f>
        <v>0.536617939356957</v>
      </c>
      <c r="AQ76" s="23" t="n">
        <f aca="false">AO76-$Q76</f>
        <v>-0.333635083662991</v>
      </c>
    </row>
    <row r="77" customFormat="false" ht="14.25" hidden="false" customHeight="false" outlineLevel="0" collapsed="false">
      <c r="A77" s="1" t="s">
        <v>36</v>
      </c>
      <c r="B77" s="2" t="n">
        <v>25</v>
      </c>
      <c r="C77" s="3" t="n">
        <v>500</v>
      </c>
      <c r="D77" s="3" t="n">
        <v>4</v>
      </c>
      <c r="E77" s="2" t="n">
        <v>28.7</v>
      </c>
      <c r="F77" s="4" t="n">
        <v>2.69332921131829</v>
      </c>
      <c r="G77" s="2" t="n">
        <v>70</v>
      </c>
      <c r="H77" s="2" t="n">
        <v>94.5</v>
      </c>
      <c r="I77" s="1" t="n">
        <v>350</v>
      </c>
      <c r="J77" s="2" t="n">
        <v>450</v>
      </c>
      <c r="K77" s="3" t="n">
        <v>1964</v>
      </c>
      <c r="L77" s="4" t="n">
        <v>76825</v>
      </c>
      <c r="M77" s="3" t="n">
        <v>130.081813066926</v>
      </c>
      <c r="N77" s="12" t="n">
        <v>0.0255645948584445</v>
      </c>
      <c r="O77" s="4" t="n">
        <v>75</v>
      </c>
      <c r="P77" s="3" t="n">
        <v>48.3195397296772</v>
      </c>
      <c r="Q77" s="4" t="n">
        <v>0.3</v>
      </c>
      <c r="R77" s="13" t="n">
        <f aca="false">P77/200000</f>
        <v>0.000241597698648386</v>
      </c>
      <c r="V77" s="4" t="n">
        <f aca="false">$W$2*($W$3*$G77+$W$4*$B77^$W$5*$N77^$W$6)*$R77^$W$7</f>
        <v>0.12087137706522</v>
      </c>
      <c r="W77" s="4" t="n">
        <f aca="false">V77/$Q77</f>
        <v>0.402904590217399</v>
      </c>
      <c r="Y77" s="4" t="n">
        <f aca="false">$Z$2*$B77^$Z$3*$R77^$Z$4*($Z$5*$N77^$Z$6+$Z$7)</f>
        <v>0.11879479636131</v>
      </c>
      <c r="Z77" s="4" t="n">
        <f aca="false">Y77/$Q77</f>
        <v>0.3959826545377</v>
      </c>
      <c r="AB77" s="4" t="n">
        <f aca="false">$AC$2*($AC$3+$AC$4*$F77/($N77*'Sem TS MC2020'!P69))*($AC$5*$G77+$AC$6*$B77/$N77)*'Sem TS MC2020'!R69*($J77-$M77)/($J77-$M77-$H77)</f>
        <v>0.128193803539171</v>
      </c>
      <c r="AC77" s="4" t="n">
        <f aca="false">AB77/$Q77</f>
        <v>0.427312678463904</v>
      </c>
      <c r="AD77" s="23" t="n">
        <f aca="false">AB77-$Q77</f>
        <v>-0.171806196460829</v>
      </c>
      <c r="AE77" s="24" t="n">
        <f aca="false">1/AC77</f>
        <v>2.34020671606277</v>
      </c>
      <c r="AF77" s="24" t="n">
        <f aca="false">AB77*(14.068*'Sem TS MC2020'!$P69^-0.457)/$Q77</f>
        <v>0.668279443459466</v>
      </c>
      <c r="AG77" s="24"/>
      <c r="AO77" s="4" t="n">
        <f aca="false">$AP$2*($AP$3+$AP$4*$F77/($N77*'Sem TS MC2020'!P69))*($AP$5*$G77+$AP$6*$B77/$N77)*('Sem TS MC2020'!P69^$AP$7/200000)*($J77-$M77)/($J77-$M77-$H77)+('Sem TS MC2020'!P69-$C77/$AP$8)*($AP$5*$G77+$AP$6*$B77/$N77)/200000</f>
        <v>0.136421132446913</v>
      </c>
      <c r="AP77" s="4" t="n">
        <f aca="false">AO77/$Q77</f>
        <v>0.454737108156376</v>
      </c>
      <c r="AQ77" s="23" t="n">
        <f aca="false">AO77-$Q77</f>
        <v>-0.163578867553087</v>
      </c>
    </row>
    <row r="78" customFormat="false" ht="14.25" hidden="false" customHeight="false" outlineLevel="0" collapsed="false">
      <c r="B78" s="2" t="n">
        <v>25</v>
      </c>
      <c r="C78" s="3" t="n">
        <v>500</v>
      </c>
      <c r="D78" s="3" t="n">
        <v>4</v>
      </c>
      <c r="E78" s="2" t="n">
        <v>28.7</v>
      </c>
      <c r="F78" s="4" t="n">
        <v>2.69332921131829</v>
      </c>
      <c r="G78" s="2" t="n">
        <v>70</v>
      </c>
      <c r="H78" s="2" t="n">
        <v>94.5</v>
      </c>
      <c r="I78" s="1" t="n">
        <v>350</v>
      </c>
      <c r="J78" s="2" t="n">
        <v>450</v>
      </c>
      <c r="K78" s="3" t="n">
        <v>1964</v>
      </c>
      <c r="L78" s="4" t="n">
        <v>76825</v>
      </c>
      <c r="M78" s="3" t="n">
        <v>130.081813066926</v>
      </c>
      <c r="N78" s="12" t="n">
        <v>0.0255645948584445</v>
      </c>
      <c r="O78" s="4" t="n">
        <v>150</v>
      </c>
      <c r="P78" s="3" t="n">
        <v>184.854446138658</v>
      </c>
      <c r="Q78" s="4" t="n">
        <v>0.57</v>
      </c>
      <c r="R78" s="13" t="n">
        <f aca="false">P78/200000</f>
        <v>0.000924272230693289</v>
      </c>
      <c r="V78" s="4" t="n">
        <f aca="false">$W$2*($W$3*$G78+$W$4*$B78^$W$5*$N78^$W$6)*$R78^$W$7</f>
        <v>0.276601007760637</v>
      </c>
      <c r="W78" s="4" t="n">
        <f aca="false">V78/$Q78</f>
        <v>0.485264925895854</v>
      </c>
      <c r="Y78" s="4" t="n">
        <f aca="false">$Z$2*$B78^$Z$3*$R78^$Z$4*($Z$5*$N78^$Z$6+$Z$7)</f>
        <v>0.275890968489289</v>
      </c>
      <c r="Z78" s="4" t="n">
        <f aca="false">Y78/$Q78</f>
        <v>0.484019242963666</v>
      </c>
      <c r="AB78" s="4" t="n">
        <f aca="false">$AC$2*($AC$3+$AC$4*$F78/($N78*'Sem TS MC2020'!P70))*($AC$5*$G78+$AC$6*$B78/$N78)*'Sem TS MC2020'!R70*($J78-$M78)/($J78-$M78-$H78)</f>
        <v>0.369387129730748</v>
      </c>
      <c r="AC78" s="4" t="n">
        <f aca="false">AB78/$Q78</f>
        <v>0.648047596018856</v>
      </c>
      <c r="AD78" s="23" t="n">
        <f aca="false">AB78-$Q78</f>
        <v>-0.200612870269252</v>
      </c>
      <c r="AE78" s="24" t="n">
        <f aca="false">1/AC78</f>
        <v>1.54309653510528</v>
      </c>
      <c r="AF78" s="24" t="n">
        <f aca="false">AB78*(14.068*'Sem TS MC2020'!$P70^-0.457)/$Q78</f>
        <v>0.738326607333022</v>
      </c>
      <c r="AG78" s="24"/>
      <c r="AO78" s="4" t="n">
        <f aca="false">$AP$2*($AP$3+$AP$4*$F78/($N78*'Sem TS MC2020'!P70))*($AP$5*$G78+$AP$6*$B78/$N78)*('Sem TS MC2020'!P70^$AP$7/200000)*($J78-$M78)/($J78-$M78-$H78)+('Sem TS MC2020'!P70-$C78/$AP$8)*($AP$5*$G78+$AP$6*$B78/$N78)/200000</f>
        <v>0.386302660354677</v>
      </c>
      <c r="AP78" s="4" t="n">
        <f aca="false">AO78/$Q78</f>
        <v>0.677723965534521</v>
      </c>
      <c r="AQ78" s="23" t="n">
        <f aca="false">AO78-$Q78</f>
        <v>-0.183697339645323</v>
      </c>
    </row>
    <row r="79" customFormat="false" ht="14.25" hidden="false" customHeight="false" outlineLevel="0" collapsed="false">
      <c r="A79" s="1" t="s">
        <v>37</v>
      </c>
      <c r="B79" s="2" t="n">
        <v>25</v>
      </c>
      <c r="C79" s="3" t="n">
        <v>500</v>
      </c>
      <c r="D79" s="3" t="n">
        <v>4</v>
      </c>
      <c r="E79" s="2" t="n">
        <v>28.7</v>
      </c>
      <c r="F79" s="4" t="n">
        <v>2.69332921131829</v>
      </c>
      <c r="G79" s="2" t="n">
        <v>70</v>
      </c>
      <c r="H79" s="2" t="n">
        <v>90.5</v>
      </c>
      <c r="I79" s="1" t="n">
        <v>350</v>
      </c>
      <c r="J79" s="2" t="n">
        <v>450</v>
      </c>
      <c r="K79" s="3" t="n">
        <v>1964</v>
      </c>
      <c r="L79" s="4" t="n">
        <v>75425</v>
      </c>
      <c r="M79" s="3" t="n">
        <v>130.975130551886</v>
      </c>
      <c r="N79" s="12" t="n">
        <v>0.0260391117003646</v>
      </c>
      <c r="O79" s="4" t="n">
        <v>75</v>
      </c>
      <c r="P79" s="3" t="n">
        <v>48.0374206768183</v>
      </c>
      <c r="Q79" s="4" t="n">
        <v>0.26</v>
      </c>
      <c r="R79" s="13" t="n">
        <f aca="false">P79/200000</f>
        <v>0.000240187103384091</v>
      </c>
      <c r="V79" s="4" t="n">
        <f aca="false">$W$2*($W$3*$G79+$W$4*$B79^$W$5*$N79^$W$6)*$R79^$W$7</f>
        <v>0.119512629648296</v>
      </c>
      <c r="W79" s="4" t="n">
        <f aca="false">V79/$Q79</f>
        <v>0.459663960185755</v>
      </c>
      <c r="Y79" s="4" t="n">
        <f aca="false">$Z$2*$B79^$Z$3*$R79^$Z$4*($Z$5*$N79^$Z$6+$Z$7)</f>
        <v>0.117455151797916</v>
      </c>
      <c r="Z79" s="4" t="n">
        <f aca="false">Y79/$Q79</f>
        <v>0.451750583838139</v>
      </c>
      <c r="AB79" s="4" t="n">
        <f aca="false">$AC$2*($AC$3+$AC$4*$F79/($N79*'Sem TS MC2020'!P71))*($AC$5*$G79+$AC$6*$B79/$N79)*'Sem TS MC2020'!R71*($J79-$M79)/($J79-$M79-$H79)</f>
        <v>0.123828074606095</v>
      </c>
      <c r="AC79" s="4" t="n">
        <f aca="false">AB79/$Q79</f>
        <v>0.476261825408057</v>
      </c>
      <c r="AD79" s="23" t="n">
        <f aca="false">AB79-$Q79</f>
        <v>-0.136171925393905</v>
      </c>
      <c r="AE79" s="24" t="n">
        <f aca="false">1/AC79</f>
        <v>2.09968539708848</v>
      </c>
      <c r="AF79" s="24" t="n">
        <f aca="false">AB79*(14.068*'Sem TS MC2020'!$P71^-0.457)/$Q79</f>
        <v>0.748855961099704</v>
      </c>
      <c r="AG79" s="24"/>
      <c r="AO79" s="4" t="n">
        <f aca="false">$AP$2*($AP$3+$AP$4*$F79/($N79*'Sem TS MC2020'!P71))*($AP$5*$G79+$AP$6*$B79/$N79)*('Sem TS MC2020'!P71^$AP$7/200000)*($J79-$M79)/($J79-$M79-$H79)+('Sem TS MC2020'!P71-$C79/$AP$8)*($AP$5*$G79+$AP$6*$B79/$N79)/200000</f>
        <v>0.131530100461071</v>
      </c>
      <c r="AP79" s="4" t="n">
        <f aca="false">AO79/$Q79</f>
        <v>0.505885001773352</v>
      </c>
      <c r="AQ79" s="23" t="n">
        <f aca="false">AO79-$Q79</f>
        <v>-0.128469899538929</v>
      </c>
    </row>
    <row r="80" customFormat="false" ht="14.25" hidden="false" customHeight="false" outlineLevel="0" collapsed="false">
      <c r="B80" s="2" t="n">
        <v>25</v>
      </c>
      <c r="C80" s="3" t="n">
        <v>500</v>
      </c>
      <c r="D80" s="3" t="n">
        <v>4</v>
      </c>
      <c r="E80" s="2" t="n">
        <v>28.7</v>
      </c>
      <c r="F80" s="4" t="n">
        <v>2.69332921131829</v>
      </c>
      <c r="G80" s="2" t="n">
        <v>70</v>
      </c>
      <c r="H80" s="2" t="n">
        <v>90.5</v>
      </c>
      <c r="I80" s="1" t="n">
        <v>350</v>
      </c>
      <c r="J80" s="2" t="n">
        <v>450</v>
      </c>
      <c r="K80" s="3" t="n">
        <v>1964</v>
      </c>
      <c r="L80" s="4" t="n">
        <v>75425</v>
      </c>
      <c r="M80" s="3" t="n">
        <v>130.975130551886</v>
      </c>
      <c r="N80" s="12" t="n">
        <v>0.0260391117003646</v>
      </c>
      <c r="O80" s="4" t="n">
        <v>150</v>
      </c>
      <c r="P80" s="3" t="n">
        <v>182.184152739316</v>
      </c>
      <c r="Q80" s="4" t="n">
        <v>0.6</v>
      </c>
      <c r="R80" s="13" t="n">
        <f aca="false">P80/200000</f>
        <v>0.000910920763696581</v>
      </c>
      <c r="V80" s="4" t="n">
        <f aca="false">$W$2*($W$3*$G80+$W$4*$B80^$W$5*$N80^$W$6)*$R80^$W$7</f>
        <v>0.272028356743351</v>
      </c>
      <c r="W80" s="4" t="n">
        <f aca="false">V80/$Q80</f>
        <v>0.453380594572252</v>
      </c>
      <c r="Y80" s="4" t="n">
        <f aca="false">$Z$2*$B80^$Z$3*$R80^$Z$4*($Z$5*$N80^$Z$6+$Z$7)</f>
        <v>0.271294310707996</v>
      </c>
      <c r="Z80" s="4" t="n">
        <f aca="false">Y80/$Q80</f>
        <v>0.452157184513326</v>
      </c>
      <c r="AB80" s="4" t="n">
        <f aca="false">$AC$2*($AC$3+$AC$4*$F80/($N80*'Sem TS MC2020'!P72))*($AC$5*$G80+$AC$6*$B80/$N80)*'Sem TS MC2020'!R72*($J80-$M80)/($J80-$M80-$H80)</f>
        <v>0.355464175725036</v>
      </c>
      <c r="AC80" s="4" t="n">
        <f aca="false">AB80/$Q80</f>
        <v>0.59244029287506</v>
      </c>
      <c r="AD80" s="23" t="n">
        <f aca="false">AB80-$Q80</f>
        <v>-0.244535824274964</v>
      </c>
      <c r="AE80" s="24" t="n">
        <f aca="false">1/AC80</f>
        <v>1.68793380873385</v>
      </c>
      <c r="AF80" s="24" t="n">
        <f aca="false">AB80*(14.068*'Sem TS MC2020'!$P72^-0.457)/$Q80</f>
        <v>0.678619600223279</v>
      </c>
      <c r="AG80" s="24"/>
      <c r="AO80" s="4" t="n">
        <f aca="false">$AP$2*($AP$3+$AP$4*$F80/($N80*'Sem TS MC2020'!P72))*($AP$5*$G80+$AP$6*$B80/$N80)*('Sem TS MC2020'!P72^$AP$7/200000)*($J80-$M80)/($J80-$M80-$H80)+('Sem TS MC2020'!P72-$C80/$AP$8)*($AP$5*$G80+$AP$6*$B80/$N80)/200000</f>
        <v>0.371883355466016</v>
      </c>
      <c r="AP80" s="4" t="n">
        <f aca="false">AO80/$Q80</f>
        <v>0.619805592443361</v>
      </c>
      <c r="AQ80" s="23" t="n">
        <f aca="false">AO80-$Q80</f>
        <v>-0.228116644533984</v>
      </c>
    </row>
    <row r="81" customFormat="false" ht="14.25" hidden="false" customHeight="false" outlineLevel="0" collapsed="false">
      <c r="A81" s="1" t="s">
        <v>38</v>
      </c>
      <c r="B81" s="2" t="n">
        <v>25</v>
      </c>
      <c r="C81" s="3" t="n">
        <v>500</v>
      </c>
      <c r="D81" s="3" t="n">
        <v>4</v>
      </c>
      <c r="E81" s="2" t="n">
        <v>28.7</v>
      </c>
      <c r="F81" s="4" t="n">
        <v>2.69332921131829</v>
      </c>
      <c r="G81" s="2" t="n">
        <v>70</v>
      </c>
      <c r="H81" s="2" t="n">
        <v>90.5</v>
      </c>
      <c r="I81" s="1" t="n">
        <v>350</v>
      </c>
      <c r="J81" s="2" t="n">
        <v>450</v>
      </c>
      <c r="K81" s="3" t="n">
        <v>1964</v>
      </c>
      <c r="L81" s="4" t="n">
        <v>75425</v>
      </c>
      <c r="M81" s="3" t="n">
        <v>130.975130551886</v>
      </c>
      <c r="N81" s="12" t="n">
        <v>0.0260391117003646</v>
      </c>
      <c r="O81" s="4" t="n">
        <v>75</v>
      </c>
      <c r="P81" s="3" t="n">
        <v>48.0374206768183</v>
      </c>
      <c r="Q81" s="4" t="n">
        <v>0.27</v>
      </c>
      <c r="R81" s="13" t="n">
        <f aca="false">P81/200000</f>
        <v>0.000240187103384091</v>
      </c>
      <c r="V81" s="4" t="n">
        <f aca="false">$W$2*($W$3*$G81+$W$4*$B81^$W$5*$N81^$W$6)*$R81^$W$7</f>
        <v>0.119512629648296</v>
      </c>
      <c r="W81" s="4" t="n">
        <f aca="false">V81/$Q81</f>
        <v>0.442639369067764</v>
      </c>
      <c r="Y81" s="4" t="n">
        <f aca="false">$Z$2*$B81^$Z$3*$R81^$Z$4*($Z$5*$N81^$Z$6+$Z$7)</f>
        <v>0.117455151797916</v>
      </c>
      <c r="Z81" s="4" t="n">
        <f aca="false">Y81/$Q81</f>
        <v>0.435019080733023</v>
      </c>
      <c r="AB81" s="4" t="n">
        <f aca="false">$AC$2*($AC$3+$AC$4*$F81/($N81*'Sem TS MC2020'!P73))*($AC$5*$G81+$AC$6*$B81/$N81)*'Sem TS MC2020'!R73*($J81-$M81)/($J81-$M81-$H81)</f>
        <v>0.123828074606095</v>
      </c>
      <c r="AC81" s="4" t="n">
        <f aca="false">AB81/$Q81</f>
        <v>0.458622498541092</v>
      </c>
      <c r="AD81" s="23" t="n">
        <f aca="false">AB81-$Q81</f>
        <v>-0.146171925393905</v>
      </c>
      <c r="AE81" s="24" t="n">
        <f aca="false">1/AC81</f>
        <v>2.18044252774573</v>
      </c>
      <c r="AF81" s="24" t="n">
        <f aca="false">AB81*(14.068*'Sem TS MC2020'!$P73^-0.457)/$Q81</f>
        <v>0.721120555133048</v>
      </c>
      <c r="AG81" s="24"/>
      <c r="AO81" s="4" t="n">
        <f aca="false">$AP$2*($AP$3+$AP$4*$F81/($N81*'Sem TS MC2020'!P73))*($AP$5*$G81+$AP$6*$B81/$N81)*('Sem TS MC2020'!P73^$AP$7/200000)*($J81-$M81)/($J81-$M81-$H81)+('Sem TS MC2020'!P73-$C81/$AP$8)*($AP$5*$G81+$AP$6*$B81/$N81)/200000</f>
        <v>0.131530100461071</v>
      </c>
      <c r="AP81" s="4" t="n">
        <f aca="false">AO81/$Q81</f>
        <v>0.487148520226191</v>
      </c>
      <c r="AQ81" s="23" t="n">
        <f aca="false">AO81-$Q81</f>
        <v>-0.138469899538929</v>
      </c>
    </row>
    <row r="82" customFormat="false" ht="14.25" hidden="false" customHeight="false" outlineLevel="0" collapsed="false">
      <c r="B82" s="2" t="n">
        <v>25</v>
      </c>
      <c r="C82" s="3" t="n">
        <v>500</v>
      </c>
      <c r="D82" s="3" t="n">
        <v>4</v>
      </c>
      <c r="E82" s="2" t="n">
        <v>28.7</v>
      </c>
      <c r="F82" s="4" t="n">
        <v>2.69332921131829</v>
      </c>
      <c r="G82" s="2" t="n">
        <v>70</v>
      </c>
      <c r="H82" s="2" t="n">
        <v>90.5</v>
      </c>
      <c r="I82" s="1" t="n">
        <v>350</v>
      </c>
      <c r="J82" s="2" t="n">
        <v>450</v>
      </c>
      <c r="K82" s="3" t="n">
        <v>1964</v>
      </c>
      <c r="L82" s="4" t="n">
        <v>75425</v>
      </c>
      <c r="M82" s="3" t="n">
        <v>130.975130551886</v>
      </c>
      <c r="N82" s="12" t="n">
        <v>0.0260391117003646</v>
      </c>
      <c r="O82" s="4" t="n">
        <v>150</v>
      </c>
      <c r="P82" s="3" t="n">
        <v>182.184152739316</v>
      </c>
      <c r="Q82" s="4" t="n">
        <v>0.59</v>
      </c>
      <c r="R82" s="13" t="n">
        <f aca="false">P82/200000</f>
        <v>0.000910920763696581</v>
      </c>
      <c r="V82" s="4" t="n">
        <f aca="false">$W$2*($W$3*$G82+$W$4*$B82^$W$5*$N82^$W$6)*$R82^$W$7</f>
        <v>0.272028356743351</v>
      </c>
      <c r="W82" s="4" t="n">
        <f aca="false">V82/$Q82</f>
        <v>0.461065011429409</v>
      </c>
      <c r="Y82" s="4" t="n">
        <f aca="false">$Z$2*$B82^$Z$3*$R82^$Z$4*($Z$5*$N82^$Z$6+$Z$7)</f>
        <v>0.271294310707996</v>
      </c>
      <c r="Z82" s="4" t="n">
        <f aca="false">Y82/$Q82</f>
        <v>0.459820865606772</v>
      </c>
      <c r="AB82" s="4" t="n">
        <f aca="false">$AC$2*($AC$3+$AC$4*$F82/($N82*'Sem TS MC2020'!P74))*($AC$5*$G82+$AC$6*$B82/$N82)*'Sem TS MC2020'!R74*($J82-$M82)/($J82-$M82-$H82)</f>
        <v>0.355464175725036</v>
      </c>
      <c r="AC82" s="4" t="n">
        <f aca="false">AB82/$Q82</f>
        <v>0.602481653771248</v>
      </c>
      <c r="AD82" s="23" t="n">
        <f aca="false">AB82-$Q82</f>
        <v>-0.234535824274964</v>
      </c>
      <c r="AE82" s="24" t="n">
        <f aca="false">1/AC82</f>
        <v>1.65980157858829</v>
      </c>
      <c r="AF82" s="24" t="n">
        <f aca="false">AB82*(14.068*'Sem TS MC2020'!$P74^-0.457)/$Q82</f>
        <v>0.690121627345707</v>
      </c>
      <c r="AG82" s="24"/>
      <c r="AO82" s="4" t="n">
        <f aca="false">$AP$2*($AP$3+$AP$4*$F82/($N82*'Sem TS MC2020'!P74))*($AP$5*$G82+$AP$6*$B82/$N82)*('Sem TS MC2020'!P74^$AP$7/200000)*($J82-$M82)/($J82-$M82-$H82)+('Sem TS MC2020'!P74-$C82/$AP$8)*($AP$5*$G82+$AP$6*$B82/$N82)/200000</f>
        <v>0.371883355466016</v>
      </c>
      <c r="AP82" s="4" t="n">
        <f aca="false">AO82/$Q82</f>
        <v>0.630310771976299</v>
      </c>
      <c r="AQ82" s="23" t="n">
        <f aca="false">AO82-$Q82</f>
        <v>-0.218116644533984</v>
      </c>
    </row>
    <row r="83" customFormat="false" ht="14.25" hidden="false" customHeight="false" outlineLevel="0" collapsed="false">
      <c r="A83" s="1" t="s">
        <v>39</v>
      </c>
      <c r="B83" s="2" t="n">
        <v>9.52</v>
      </c>
      <c r="C83" s="3" t="n">
        <v>434</v>
      </c>
      <c r="D83" s="3" t="n">
        <v>3</v>
      </c>
      <c r="E83" s="2" t="n">
        <v>22.2</v>
      </c>
      <c r="F83" s="4" t="n">
        <v>3.56416000199951</v>
      </c>
      <c r="G83" s="2" t="n">
        <v>20.64</v>
      </c>
      <c r="H83" s="2" t="n">
        <v>25.4</v>
      </c>
      <c r="I83" s="1" t="n">
        <v>114.3</v>
      </c>
      <c r="J83" s="2" t="n">
        <v>228.6</v>
      </c>
      <c r="K83" s="3" t="n">
        <v>212.9</v>
      </c>
      <c r="L83" s="4" t="n">
        <v>8343.9</v>
      </c>
      <c r="M83" s="3" t="n">
        <v>56.390968153099</v>
      </c>
      <c r="N83" s="12" t="n">
        <v>0.0255156461606683</v>
      </c>
      <c r="O83" s="4" t="n">
        <v>11.6</v>
      </c>
      <c r="P83" s="3" t="n">
        <v>234.83059233149</v>
      </c>
      <c r="Q83" s="4" t="n">
        <v>0.15</v>
      </c>
      <c r="R83" s="13" t="n">
        <f aca="false">P83/200000</f>
        <v>0.00117415296165745</v>
      </c>
      <c r="V83" s="4" t="n">
        <f aca="false">$W$2*($W$3*$G83+$W$4*$B83^$W$5*$N83^$W$6)*$R83^$W$7</f>
        <v>0.167923204650792</v>
      </c>
      <c r="W83" s="4" t="n">
        <f aca="false">V83/$Q83</f>
        <v>1.11948803100528</v>
      </c>
      <c r="Y83" s="4" t="n">
        <f aca="false">$Z$2*$B83^$Z$3*$R83^$Z$4*($Z$5*$N83^$Z$6+$Z$7)</f>
        <v>0.163086640380436</v>
      </c>
      <c r="Z83" s="4" t="n">
        <f aca="false">Y83/$Q83</f>
        <v>1.08724426920291</v>
      </c>
      <c r="AB83" s="4" t="n">
        <f aca="false">$AC$2*($AC$3+$AC$4*$F83/($N83*'Sem TS MC2020'!P75))*($AC$5*$G83+$AC$6*$B83/$N83)*'Sem TS MC2020'!R75*($J83-$M83)/($J83-$M83-$H83)</f>
        <v>0.126001879188435</v>
      </c>
      <c r="AC83" s="4" t="n">
        <f aca="false">AB83/$Q83</f>
        <v>0.8400125279229</v>
      </c>
      <c r="AD83" s="23" t="n">
        <f aca="false">AB83-$Q83</f>
        <v>-0.023998120811565</v>
      </c>
      <c r="AE83" s="24" t="n">
        <f aca="false">1/AC83</f>
        <v>1.19045843574822</v>
      </c>
      <c r="AF83" s="24" t="n">
        <f aca="false">AB83*(14.068*'Sem TS MC2020'!$P75^-0.457)/$Q83</f>
        <v>0.877997093634012</v>
      </c>
      <c r="AG83" s="24"/>
      <c r="AO83" s="4" t="n">
        <f aca="false">$AP$2*($AP$3+$AP$4*$F83/($N83*'Sem TS MC2020'!P75))*($AP$5*$G83+$AP$6*$B83/$N83)*('Sem TS MC2020'!P75^$AP$7/200000)*($J83-$M83)/($J83-$M83-$H83)+('Sem TS MC2020'!P75-$C83/$AP$8)*($AP$5*$G83+$AP$6*$B83/$N83)/200000</f>
        <v>0.132103149504825</v>
      </c>
      <c r="AP83" s="4" t="n">
        <f aca="false">AO83/$Q83</f>
        <v>0.880687663365501</v>
      </c>
      <c r="AQ83" s="23" t="n">
        <f aca="false">AO83-$Q83</f>
        <v>-0.0178968504951748</v>
      </c>
    </row>
    <row r="84" customFormat="false" ht="14.25" hidden="false" customHeight="false" outlineLevel="0" collapsed="false">
      <c r="B84" s="2" t="n">
        <v>9.52</v>
      </c>
      <c r="C84" s="3" t="n">
        <v>434</v>
      </c>
      <c r="D84" s="3" t="n">
        <v>3</v>
      </c>
      <c r="E84" s="2" t="n">
        <v>22.2</v>
      </c>
      <c r="F84" s="4" t="n">
        <v>3.56416000199951</v>
      </c>
      <c r="G84" s="2" t="n">
        <v>20.64</v>
      </c>
      <c r="H84" s="2" t="n">
        <v>25.4</v>
      </c>
      <c r="I84" s="1" t="n">
        <v>114.3</v>
      </c>
      <c r="J84" s="2" t="n">
        <v>228.6</v>
      </c>
      <c r="K84" s="3" t="n">
        <v>212.9</v>
      </c>
      <c r="L84" s="4" t="n">
        <v>8343.9</v>
      </c>
      <c r="M84" s="3" t="n">
        <v>56.390968153099</v>
      </c>
      <c r="N84" s="12" t="n">
        <v>0.0255156461606683</v>
      </c>
      <c r="O84" s="4" t="n">
        <v>13.5</v>
      </c>
      <c r="P84" s="3" t="n">
        <v>299.568082313418</v>
      </c>
      <c r="Q84" s="4" t="n">
        <v>0.17</v>
      </c>
      <c r="R84" s="13" t="n">
        <f aca="false">P84/200000</f>
        <v>0.00149784041156709</v>
      </c>
      <c r="V84" s="4" t="n">
        <f aca="false">$W$2*($W$3*$G84+$W$4*$B84^$W$5*$N84^$W$6)*$R84^$W$7</f>
        <v>0.19514293288416</v>
      </c>
      <c r="W84" s="4" t="n">
        <f aca="false">V84/$Q84</f>
        <v>1.14789960520094</v>
      </c>
      <c r="Y84" s="4" t="n">
        <f aca="false">$Z$2*$B84^$Z$3*$R84^$Z$4*($Z$5*$N84^$Z$6+$Z$7)</f>
        <v>0.190030648283636</v>
      </c>
      <c r="Z84" s="4" t="n">
        <f aca="false">Y84/$Q84</f>
        <v>1.11782734284492</v>
      </c>
      <c r="AB84" s="4" t="n">
        <f aca="false">$AC$2*($AC$3+$AC$4*$F84/($N84*'Sem TS MC2020'!P76))*($AC$5*$G84+$AC$6*$B84/$N84)*'Sem TS MC2020'!R76*($J84-$M84)/($J84-$M84-$H84)</f>
        <v>0.153786201805412</v>
      </c>
      <c r="AC84" s="4" t="n">
        <f aca="false">AB84/$Q84</f>
        <v>0.904624716502425</v>
      </c>
      <c r="AD84" s="23" t="n">
        <f aca="false">AB84-$Q84</f>
        <v>-0.0162137981945877</v>
      </c>
      <c r="AE84" s="24" t="n">
        <f aca="false">1/AC84</f>
        <v>1.10543077339997</v>
      </c>
      <c r="AF84" s="24" t="n">
        <f aca="false">AB84*(14.068*'Sem TS MC2020'!$P76^-0.457)/$Q84</f>
        <v>0.882207069287072</v>
      </c>
      <c r="AG84" s="24"/>
      <c r="AO84" s="4" t="n">
        <f aca="false">$AP$2*($AP$3+$AP$4*$F84/($N84*'Sem TS MC2020'!P76))*($AP$5*$G84+$AP$6*$B84/$N84)*('Sem TS MC2020'!P76^$AP$7/200000)*($J84-$M84)/($J84-$M84-$H84)+('Sem TS MC2020'!P76-$C84/$AP$8)*($AP$5*$G84+$AP$6*$B84/$N84)/200000</f>
        <v>0.158392034558049</v>
      </c>
      <c r="AP84" s="4" t="n">
        <f aca="false">AO84/$Q84</f>
        <v>0.931717850341466</v>
      </c>
      <c r="AQ84" s="23" t="n">
        <f aca="false">AO84-$Q84</f>
        <v>-0.0116079654419508</v>
      </c>
    </row>
    <row r="85" customFormat="false" ht="14.25" hidden="false" customHeight="false" outlineLevel="0" collapsed="false">
      <c r="A85" s="1" t="s">
        <v>40</v>
      </c>
      <c r="B85" s="2" t="n">
        <v>12.7</v>
      </c>
      <c r="C85" s="3" t="n">
        <v>434</v>
      </c>
      <c r="D85" s="3" t="n">
        <v>3</v>
      </c>
      <c r="E85" s="2" t="n">
        <v>19.05</v>
      </c>
      <c r="F85" s="4" t="n">
        <v>3.97660816382294</v>
      </c>
      <c r="G85" s="2" t="n">
        <v>19.05</v>
      </c>
      <c r="H85" s="2" t="n">
        <v>25.4</v>
      </c>
      <c r="I85" s="1" t="n">
        <v>114.3</v>
      </c>
      <c r="J85" s="2" t="n">
        <v>228.6</v>
      </c>
      <c r="K85" s="3" t="n">
        <v>387.1</v>
      </c>
      <c r="L85" s="4" t="n">
        <v>10161.27</v>
      </c>
      <c r="M85" s="3" t="n">
        <v>70.3736575776165</v>
      </c>
      <c r="N85" s="12" t="n">
        <v>0.0380956317468191</v>
      </c>
      <c r="O85" s="4" t="n">
        <v>21.1</v>
      </c>
      <c r="P85" s="3" t="n">
        <v>257.58927994397</v>
      </c>
      <c r="Q85" s="4" t="n">
        <v>0.15</v>
      </c>
      <c r="R85" s="13" t="n">
        <f aca="false">P85/200000</f>
        <v>0.00128794639971985</v>
      </c>
      <c r="V85" s="4" t="n">
        <f aca="false">$W$2*($W$3*$G85+$W$4*$B85^$W$5*$N85^$W$6)*$R85^$W$7</f>
        <v>0.182598053714172</v>
      </c>
      <c r="W85" s="4" t="n">
        <f aca="false">V85/$Q85</f>
        <v>1.21732035809448</v>
      </c>
      <c r="Y85" s="4" t="n">
        <f aca="false">$Z$2*$B85^$Z$3*$R85^$Z$4*($Z$5*$N85^$Z$6+$Z$7)</f>
        <v>0.18024745109644</v>
      </c>
      <c r="Z85" s="4" t="n">
        <f aca="false">Y85/$Q85</f>
        <v>1.20164967397626</v>
      </c>
      <c r="AB85" s="4" t="n">
        <f aca="false">$AC$2*($AC$3+$AC$4*$F85/($N85*'Sem TS MC2020'!P77))*($AC$5*$G85+$AC$6*$B85/$N85)*'Sem TS MC2020'!R77*($J85-$M85)/($J85-$M85-$H85)</f>
        <v>0.12958543249716</v>
      </c>
      <c r="AC85" s="4" t="n">
        <f aca="false">AB85/$Q85</f>
        <v>0.863902883314401</v>
      </c>
      <c r="AD85" s="23" t="n">
        <f aca="false">AB85-$Q85</f>
        <v>-0.0204145675028399</v>
      </c>
      <c r="AE85" s="24" t="n">
        <f aca="false">1/AC85</f>
        <v>1.15753751875842</v>
      </c>
      <c r="AF85" s="24" t="n">
        <f aca="false">AB85*(14.068*'Sem TS MC2020'!$P77^-0.457)/$Q85</f>
        <v>0.892298925035174</v>
      </c>
      <c r="AG85" s="24"/>
      <c r="AO85" s="4" t="n">
        <f aca="false">$AP$2*($AP$3+$AP$4*$F85/($N85*'Sem TS MC2020'!P77))*($AP$5*$G85+$AP$6*$B85/$N85)*('Sem TS MC2020'!P77^$AP$7/200000)*($J85-$M85)/($J85-$M85-$H85)+('Sem TS MC2020'!P77-$C85/$AP$8)*($AP$5*$G85+$AP$6*$B85/$N85)/200000</f>
        <v>0.135222364910618</v>
      </c>
      <c r="AP85" s="4" t="n">
        <f aca="false">AO85/$Q85</f>
        <v>0.901482432737455</v>
      </c>
      <c r="AQ85" s="23" t="n">
        <f aca="false">AO85-$Q85</f>
        <v>-0.0147776350893817</v>
      </c>
    </row>
    <row r="86" customFormat="false" ht="14.25" hidden="false" customHeight="false" outlineLevel="0" collapsed="false">
      <c r="B86" s="2" t="n">
        <v>12.7</v>
      </c>
      <c r="C86" s="3" t="n">
        <v>434</v>
      </c>
      <c r="D86" s="3" t="n">
        <v>3</v>
      </c>
      <c r="E86" s="2" t="n">
        <v>19.05</v>
      </c>
      <c r="F86" s="4" t="n">
        <v>3.97660816382294</v>
      </c>
      <c r="G86" s="2" t="n">
        <v>19.05</v>
      </c>
      <c r="H86" s="2" t="n">
        <v>25.4</v>
      </c>
      <c r="I86" s="1" t="n">
        <v>114.3</v>
      </c>
      <c r="J86" s="2" t="n">
        <v>228.6</v>
      </c>
      <c r="K86" s="3" t="n">
        <v>387.1</v>
      </c>
      <c r="L86" s="4" t="n">
        <v>10161.27</v>
      </c>
      <c r="M86" s="3" t="n">
        <v>70.3736575776165</v>
      </c>
      <c r="N86" s="12" t="n">
        <v>0.0380956317468191</v>
      </c>
      <c r="O86" s="4" t="n">
        <v>24.2</v>
      </c>
      <c r="P86" s="3" t="n">
        <v>313.986356219284</v>
      </c>
      <c r="Q86" s="4" t="n">
        <v>0.17</v>
      </c>
      <c r="R86" s="13" t="n">
        <f aca="false">P86/200000</f>
        <v>0.00156993178109642</v>
      </c>
      <c r="V86" s="4" t="n">
        <f aca="false">$W$2*($W$3*$G86+$W$4*$B86^$W$5*$N86^$W$6)*$R86^$W$7</f>
        <v>0.20632300291574</v>
      </c>
      <c r="W86" s="4" t="n">
        <f aca="false">V86/$Q86</f>
        <v>1.21366472303377</v>
      </c>
      <c r="Y86" s="4" t="n">
        <f aca="false">$Z$2*$B86^$Z$3*$R86^$Z$4*($Z$5*$N86^$Z$6+$Z$7)</f>
        <v>0.204111018998326</v>
      </c>
      <c r="Z86" s="4" t="n">
        <f aca="false">Y86/$Q86</f>
        <v>1.20065305293133</v>
      </c>
      <c r="AB86" s="4" t="n">
        <f aca="false">$AC$2*($AC$3+$AC$4*$F86/($N86*'Sem TS MC2020'!P78))*($AC$5*$G86+$AC$6*$B86/$N86)*'Sem TS MC2020'!R78*($J86-$M86)/($J86-$M86-$H86)</f>
        <v>0.153010846647187</v>
      </c>
      <c r="AC86" s="4" t="n">
        <f aca="false">AB86/$Q86</f>
        <v>0.900063803806983</v>
      </c>
      <c r="AD86" s="23" t="n">
        <f aca="false">AB86-$Q86</f>
        <v>-0.016989153352813</v>
      </c>
      <c r="AE86" s="24" t="n">
        <f aca="false">1/AC86</f>
        <v>1.1110323465629</v>
      </c>
      <c r="AF86" s="24" t="n">
        <f aca="false">AB86*(14.068*'Sem TS MC2020'!$P78^-0.457)/$Q86</f>
        <v>0.873196935665039</v>
      </c>
      <c r="AG86" s="24"/>
      <c r="AO86" s="4" t="n">
        <f aca="false">$AP$2*($AP$3+$AP$4*$F86/($N86*'Sem TS MC2020'!P78))*($AP$5*$G86+$AP$6*$B86/$N86)*('Sem TS MC2020'!P78^$AP$7/200000)*($J86-$M86)/($J86-$M86-$H86)+('Sem TS MC2020'!P78-$C86/$AP$8)*($AP$5*$G86+$AP$6*$B86/$N86)/200000</f>
        <v>0.156986338322098</v>
      </c>
      <c r="AP86" s="4" t="n">
        <f aca="false">AO86/$Q86</f>
        <v>0.923449048953519</v>
      </c>
      <c r="AQ86" s="23" t="n">
        <f aca="false">AO86-$Q86</f>
        <v>-0.0130136616779018</v>
      </c>
    </row>
    <row r="87" customFormat="false" ht="14.25" hidden="false" customHeight="false" outlineLevel="0" collapsed="false">
      <c r="B87" s="2" t="n">
        <v>12.7</v>
      </c>
      <c r="C87" s="3" t="n">
        <v>434</v>
      </c>
      <c r="D87" s="3" t="n">
        <v>3</v>
      </c>
      <c r="E87" s="2" t="n">
        <v>19.05</v>
      </c>
      <c r="F87" s="4" t="n">
        <v>3.97660816382294</v>
      </c>
      <c r="G87" s="2" t="n">
        <v>19.05</v>
      </c>
      <c r="H87" s="2" t="n">
        <v>25.4</v>
      </c>
      <c r="I87" s="1" t="n">
        <v>114.3</v>
      </c>
      <c r="J87" s="2" t="n">
        <v>228.6</v>
      </c>
      <c r="K87" s="3" t="n">
        <v>387.1</v>
      </c>
      <c r="L87" s="4" t="n">
        <v>10161.27</v>
      </c>
      <c r="M87" s="3" t="n">
        <v>70.3736575776165</v>
      </c>
      <c r="N87" s="12" t="n">
        <v>0.0380956317468191</v>
      </c>
      <c r="O87" s="4" t="n">
        <v>28.6</v>
      </c>
      <c r="P87" s="3" t="n">
        <v>394.033819319729</v>
      </c>
      <c r="Q87" s="4" t="n">
        <v>0.2</v>
      </c>
      <c r="R87" s="13" t="n">
        <f aca="false">P87/200000</f>
        <v>0.00197016909659864</v>
      </c>
      <c r="V87" s="4" t="n">
        <f aca="false">$W$2*($W$3*$G87+$W$4*$B87^$W$5*$N87^$W$6)*$R87^$W$7</f>
        <v>0.237354718201411</v>
      </c>
      <c r="W87" s="4" t="n">
        <f aca="false">V87/$Q87</f>
        <v>1.18677359100705</v>
      </c>
      <c r="Y87" s="4" t="n">
        <f aca="false">$Z$2*$B87^$Z$3*$R87^$Z$4*($Z$5*$N87^$Z$6+$Z$7)</f>
        <v>0.23539732314067</v>
      </c>
      <c r="Z87" s="4" t="n">
        <f aca="false">Y87/$Q87</f>
        <v>1.17698661570335</v>
      </c>
      <c r="AB87" s="4" t="n">
        <f aca="false">$AC$2*($AC$3+$AC$4*$F87/($N87*'Sem TS MC2020'!P79))*($AC$5*$G87+$AC$6*$B87/$N87)*'Sem TS MC2020'!R79*($J87-$M87)/($J87-$M87-$H87)</f>
        <v>0.186259821569806</v>
      </c>
      <c r="AC87" s="4" t="n">
        <f aca="false">AB87/$Q87</f>
        <v>0.93129910784903</v>
      </c>
      <c r="AD87" s="23" t="n">
        <f aca="false">AB87-$Q87</f>
        <v>-0.013740178430194</v>
      </c>
      <c r="AE87" s="24" t="n">
        <f aca="false">1/AC87</f>
        <v>1.07376888002142</v>
      </c>
      <c r="AF87" s="24" t="n">
        <f aca="false">AB87*(14.068*'Sem TS MC2020'!$P79^-0.457)/$Q87</f>
        <v>0.837090548047562</v>
      </c>
      <c r="AG87" s="24"/>
      <c r="AO87" s="4" t="n">
        <f aca="false">$AP$2*($AP$3+$AP$4*$F87/($N87*'Sem TS MC2020'!P79))*($AP$5*$G87+$AP$6*$B87/$N87)*('Sem TS MC2020'!P79^$AP$7/200000)*($J87-$M87)/($J87-$M87-$H87)+('Sem TS MC2020'!P79-$C87/$AP$8)*($AP$5*$G87+$AP$6*$B87/$N87)/200000</f>
        <v>0.186951544737911</v>
      </c>
      <c r="AP87" s="4" t="n">
        <f aca="false">AO87/$Q87</f>
        <v>0.934757723689556</v>
      </c>
      <c r="AQ87" s="23" t="n">
        <f aca="false">AO87-$Q87</f>
        <v>-0.0130484552620888</v>
      </c>
    </row>
    <row r="88" customFormat="false" ht="14.25" hidden="false" customHeight="false" outlineLevel="0" collapsed="false">
      <c r="A88" s="1" t="s">
        <v>41</v>
      </c>
      <c r="B88" s="2" t="n">
        <v>15.9</v>
      </c>
      <c r="C88" s="3" t="n">
        <v>540</v>
      </c>
      <c r="D88" s="3" t="n">
        <v>3</v>
      </c>
      <c r="E88" s="2" t="n">
        <v>15.9</v>
      </c>
      <c r="F88" s="4" t="n">
        <v>3.97660816382294</v>
      </c>
      <c r="G88" s="2" t="n">
        <v>17.46</v>
      </c>
      <c r="H88" s="2" t="n">
        <v>25.4</v>
      </c>
      <c r="I88" s="1" t="n">
        <v>114.3</v>
      </c>
      <c r="J88" s="2" t="n">
        <v>228.6</v>
      </c>
      <c r="K88" s="3" t="n">
        <v>600</v>
      </c>
      <c r="L88" s="4" t="n">
        <v>10161.27</v>
      </c>
      <c r="M88" s="3" t="n">
        <v>83.2568223624363</v>
      </c>
      <c r="N88" s="12" t="n">
        <v>0.0590477371430933</v>
      </c>
      <c r="O88" s="4" t="n">
        <v>30.5</v>
      </c>
      <c r="P88" s="3" t="n">
        <v>254.923459599612</v>
      </c>
      <c r="Q88" s="4" t="n">
        <v>0.16</v>
      </c>
      <c r="R88" s="13" t="n">
        <f aca="false">P88/200000</f>
        <v>0.00127461729799806</v>
      </c>
      <c r="V88" s="4" t="n">
        <f aca="false">$W$2*($W$3*$G88+$W$4*$B88^$W$5*$N88^$W$6)*$R88^$W$7</f>
        <v>0.175775980073894</v>
      </c>
      <c r="W88" s="4" t="n">
        <f aca="false">V88/$Q88</f>
        <v>1.09859987546184</v>
      </c>
      <c r="Y88" s="4" t="n">
        <f aca="false">$Z$2*$B88^$Z$3*$R88^$Z$4*($Z$5*$N88^$Z$6+$Z$7)</f>
        <v>0.179074213559926</v>
      </c>
      <c r="Z88" s="4" t="n">
        <f aca="false">Y88/$Q88</f>
        <v>1.11921383474954</v>
      </c>
      <c r="AB88" s="4" t="n">
        <f aca="false">$AC$2*($AC$3+$AC$4*$F88/($N88*'Sem TS MC2020'!P80))*($AC$5*$G88+$AC$6*$B88/$N88)*'Sem TS MC2020'!R80*($J88-$M88)/($J88-$M88-$H88)</f>
        <v>0.113589709403067</v>
      </c>
      <c r="AC88" s="4" t="n">
        <f aca="false">AB88/$Q88</f>
        <v>0.70993568376917</v>
      </c>
      <c r="AD88" s="23" t="n">
        <f aca="false">AB88-$Q88</f>
        <v>-0.0464102905969329</v>
      </c>
      <c r="AE88" s="24" t="n">
        <f aca="false">1/AC88</f>
        <v>1.40857830203833</v>
      </c>
      <c r="AF88" s="24" t="n">
        <f aca="false">AB88*(14.068*'Sem TS MC2020'!$P80^-0.457)/$Q88</f>
        <v>0.748715767201158</v>
      </c>
      <c r="AG88" s="24"/>
      <c r="AO88" s="4" t="n">
        <f aca="false">$AP$2*($AP$3+$AP$4*$F88/($N88*'Sem TS MC2020'!P80))*($AP$5*$G88+$AP$6*$B88/$N88)*('Sem TS MC2020'!P80^$AP$7/200000)*($J88-$M88)/($J88-$M88-$H88)+('Sem TS MC2020'!P80-$C88/$AP$8)*($AP$5*$G88+$AP$6*$B88/$N88)/200000</f>
        <v>0.116904743776251</v>
      </c>
      <c r="AP88" s="4" t="n">
        <f aca="false">AO88/$Q88</f>
        <v>0.730654648601567</v>
      </c>
      <c r="AQ88" s="23" t="n">
        <f aca="false">AO88-$Q88</f>
        <v>-0.0430952562237494</v>
      </c>
    </row>
    <row r="89" customFormat="false" ht="14.25" hidden="false" customHeight="false" outlineLevel="0" collapsed="false">
      <c r="B89" s="2" t="n">
        <v>15.9</v>
      </c>
      <c r="C89" s="3" t="n">
        <v>540</v>
      </c>
      <c r="D89" s="3" t="n">
        <v>3</v>
      </c>
      <c r="E89" s="2" t="n">
        <v>15.9</v>
      </c>
      <c r="F89" s="4" t="n">
        <v>3.97660816382294</v>
      </c>
      <c r="G89" s="2" t="n">
        <v>17.46</v>
      </c>
      <c r="H89" s="2" t="n">
        <v>25.4</v>
      </c>
      <c r="I89" s="1" t="n">
        <v>114.3</v>
      </c>
      <c r="J89" s="2" t="n">
        <v>228.6</v>
      </c>
      <c r="K89" s="3" t="n">
        <v>600</v>
      </c>
      <c r="L89" s="4" t="n">
        <v>10161.27</v>
      </c>
      <c r="M89" s="3" t="n">
        <v>83.2568223624363</v>
      </c>
      <c r="N89" s="12" t="n">
        <v>0.0590477371430933</v>
      </c>
      <c r="O89" s="4" t="n">
        <v>40</v>
      </c>
      <c r="P89" s="3" t="n">
        <v>362.120498232757</v>
      </c>
      <c r="Q89" s="4" t="n">
        <v>0.21</v>
      </c>
      <c r="R89" s="13" t="n">
        <f aca="false">P89/200000</f>
        <v>0.00181060249116379</v>
      </c>
      <c r="V89" s="4" t="n">
        <f aca="false">$W$2*($W$3*$G89+$W$4*$B89^$W$5*$N89^$W$6)*$R89^$W$7</f>
        <v>0.218281559349459</v>
      </c>
      <c r="W89" s="4" t="n">
        <f aca="false">V89/$Q89</f>
        <v>1.03943599690218</v>
      </c>
      <c r="Y89" s="4" t="n">
        <f aca="false">$Z$2*$B89^$Z$3*$R89^$Z$4*($Z$5*$N89^$Z$6+$Z$7)</f>
        <v>0.22323765324614</v>
      </c>
      <c r="Z89" s="4" t="n">
        <f aca="false">Y89/$Q89</f>
        <v>1.06303644402924</v>
      </c>
      <c r="AB89" s="4" t="n">
        <f aca="false">$AC$2*($AC$3+$AC$4*$F89/($N89*'Sem TS MC2020'!P81))*($AC$5*$G89+$AC$6*$B89/$N89)*'Sem TS MC2020'!R81*($J89-$M89)/($J89-$M89-$H89)</f>
        <v>0.154091866101536</v>
      </c>
      <c r="AC89" s="4" t="n">
        <f aca="false">AB89/$Q89</f>
        <v>0.733770790959694</v>
      </c>
      <c r="AD89" s="23" t="n">
        <f aca="false">AB89-$Q89</f>
        <v>-0.0559081338984642</v>
      </c>
      <c r="AE89" s="24" t="n">
        <f aca="false">1/AC89</f>
        <v>1.36282339433559</v>
      </c>
      <c r="AF89" s="24" t="n">
        <f aca="false">AB89*(14.068*'Sem TS MC2020'!$P81^-0.457)/$Q89</f>
        <v>0.683662885445446</v>
      </c>
      <c r="AG89" s="24"/>
      <c r="AO89" s="4" t="n">
        <f aca="false">$AP$2*($AP$3+$AP$4*$F89/($N89*'Sem TS MC2020'!P81))*($AP$5*$G89+$AP$6*$B89/$N89)*('Sem TS MC2020'!P81^$AP$7/200000)*($J89-$M89)/($J89-$M89-$H89)+('Sem TS MC2020'!P81-$C89/$AP$8)*($AP$5*$G89+$AP$6*$B89/$N89)/200000</f>
        <v>0.153627519597396</v>
      </c>
      <c r="AP89" s="4" t="n">
        <f aca="false">AO89/$Q89</f>
        <v>0.731559617130456</v>
      </c>
      <c r="AQ89" s="23" t="n">
        <f aca="false">AO89-$Q89</f>
        <v>-0.0563724804026043</v>
      </c>
    </row>
    <row r="90" customFormat="false" ht="14.25" hidden="false" customHeight="false" outlineLevel="0" collapsed="false">
      <c r="A90" s="1" t="s">
        <v>42</v>
      </c>
      <c r="B90" s="2" t="n">
        <v>16</v>
      </c>
      <c r="C90" s="3" t="n">
        <v>500</v>
      </c>
      <c r="D90" s="3" t="n">
        <v>2</v>
      </c>
      <c r="E90" s="2" t="n">
        <v>138</v>
      </c>
      <c r="F90" s="4" t="n">
        <v>3.269</v>
      </c>
      <c r="G90" s="2" t="n">
        <v>40</v>
      </c>
      <c r="H90" s="2" t="n">
        <v>48</v>
      </c>
      <c r="I90" s="1" t="n">
        <v>250</v>
      </c>
      <c r="J90" s="2" t="n">
        <v>348</v>
      </c>
      <c r="K90" s="3" t="n">
        <v>400</v>
      </c>
      <c r="L90" s="4" t="n">
        <v>32000</v>
      </c>
      <c r="M90" s="3" t="n">
        <v>73.3862853425291</v>
      </c>
      <c r="N90" s="12" t="n">
        <v>0.0125</v>
      </c>
      <c r="O90" s="4" t="n">
        <v>20.42</v>
      </c>
      <c r="P90" s="3" t="n">
        <v>13.7953101812687</v>
      </c>
      <c r="Q90" s="4" t="n">
        <v>0.15</v>
      </c>
      <c r="R90" s="13" t="n">
        <f aca="false">P90/200000</f>
        <v>6.89765509063435E-005</v>
      </c>
      <c r="V90" s="4" t="n">
        <f aca="false">$W$2*($W$3*$G90+$W$4*$B90^$W$5*$N90^$W$6)*$R90^$W$7</f>
        <v>0.055758334408787</v>
      </c>
      <c r="W90" s="4" t="n">
        <f aca="false">V90/$Q90</f>
        <v>0.371722229391913</v>
      </c>
      <c r="Y90" s="4" t="n">
        <f aca="false">$Z$2*$B90^$Z$3*$R90^$Z$4*($Z$5*$N90^$Z$6+$Z$7)</f>
        <v>0.0544707878980271</v>
      </c>
      <c r="Z90" s="4" t="n">
        <f aca="false">Y90/$Q90</f>
        <v>0.363138585986847</v>
      </c>
      <c r="AB90" s="4" t="n">
        <f aca="false">$AC$2*($AC$3+$AC$4*$F90/($N90*'Sem TS MC2020'!P82))*($AC$5*$G90+$AC$6*$B90/$N90)*'Sem TS MC2020'!R82*($J90-$M90)/($J90-$M90-$H90)</f>
        <v>0.0767503622922262</v>
      </c>
      <c r="AC90" s="4" t="n">
        <f aca="false">AB90/$Q90</f>
        <v>0.511669081948175</v>
      </c>
      <c r="AD90" s="23" t="n">
        <f aca="false">AB90-$Q90</f>
        <v>-0.0732496377077738</v>
      </c>
      <c r="AE90" s="24" t="n">
        <f aca="false">1/AC90</f>
        <v>1.95438816860403</v>
      </c>
      <c r="AF90" s="24" t="n">
        <f aca="false">AB90*(14.068*'Sem TS MC2020'!$P82^-0.457)/$Q90</f>
        <v>0.661957880069928</v>
      </c>
      <c r="AG90" s="24"/>
      <c r="AO90" s="4" t="n">
        <f aca="false">$AP$2*($AP$3+$AP$4*$F90/($N90*'Sem TS MC2020'!P82))*($AP$5*$G90+$AP$6*$B90/$N90)*('Sem TS MC2020'!P82^$AP$7/200000)*($J90-$M90)/($J90-$M90-$H90)+('Sem TS MC2020'!P82-$C90/$AP$8)*($AP$5*$G90+$AP$6*$B90/$N90)/200000</f>
        <v>0.0746167369307209</v>
      </c>
      <c r="AP90" s="4" t="n">
        <f aca="false">AO90/$Q90</f>
        <v>0.497444912871473</v>
      </c>
      <c r="AQ90" s="23" t="n">
        <f aca="false">AO90-$Q90</f>
        <v>-0.0753832630692791</v>
      </c>
    </row>
    <row r="91" customFormat="false" ht="14.25" hidden="false" customHeight="false" outlineLevel="0" collapsed="false">
      <c r="B91" s="2" t="n">
        <v>16</v>
      </c>
      <c r="C91" s="3" t="n">
        <v>500</v>
      </c>
      <c r="D91" s="3" t="n">
        <v>2</v>
      </c>
      <c r="E91" s="2" t="n">
        <v>138</v>
      </c>
      <c r="F91" s="4" t="n">
        <v>3.269</v>
      </c>
      <c r="G91" s="2" t="n">
        <v>40</v>
      </c>
      <c r="H91" s="2" t="n">
        <v>48</v>
      </c>
      <c r="I91" s="1" t="n">
        <v>250</v>
      </c>
      <c r="J91" s="2" t="n">
        <v>348</v>
      </c>
      <c r="K91" s="3" t="n">
        <v>400</v>
      </c>
      <c r="L91" s="4" t="n">
        <v>32000</v>
      </c>
      <c r="M91" s="3" t="n">
        <v>73.3862853425291</v>
      </c>
      <c r="N91" s="12" t="n">
        <v>0.0125</v>
      </c>
      <c r="O91" s="4" t="n">
        <v>23.34</v>
      </c>
      <c r="P91" s="3" t="n">
        <v>53.370132317075</v>
      </c>
      <c r="Q91" s="4" t="n">
        <v>0.2</v>
      </c>
      <c r="R91" s="13" t="n">
        <f aca="false">P91/200000</f>
        <v>0.000266850661585375</v>
      </c>
      <c r="V91" s="4" t="n">
        <f aca="false">$W$2*($W$3*$G91+$W$4*$B91^$W$5*$N91^$W$6)*$R91^$W$7</f>
        <v>0.128480883325019</v>
      </c>
      <c r="W91" s="4" t="n">
        <f aca="false">V91/$Q91</f>
        <v>0.642404416625093</v>
      </c>
      <c r="Y91" s="4" t="n">
        <f aca="false">$Z$2*$B91^$Z$3*$R91^$Z$4*($Z$5*$N91^$Z$6+$Z$7)</f>
        <v>0.12739594764741</v>
      </c>
      <c r="Z91" s="4" t="n">
        <f aca="false">Y91/$Q91</f>
        <v>0.636979738237051</v>
      </c>
      <c r="AB91" s="4" t="n">
        <f aca="false">$AC$2*($AC$3+$AC$4*$F91/($N91*'Sem TS MC2020'!P83))*($AC$5*$G91+$AC$6*$B91/$N91)*'Sem TS MC2020'!R83*($J91-$M91)/($J91-$M91-$H91)</f>
        <v>0.124042769569577</v>
      </c>
      <c r="AC91" s="4" t="n">
        <f aca="false">AB91/$Q91</f>
        <v>0.620213847847885</v>
      </c>
      <c r="AD91" s="23" t="n">
        <f aca="false">AB91-$Q91</f>
        <v>-0.075957230430423</v>
      </c>
      <c r="AE91" s="24" t="n">
        <f aca="false">1/AC91</f>
        <v>1.61234710168107</v>
      </c>
      <c r="AF91" s="24" t="n">
        <f aca="false">AB91*(14.068*'Sem TS MC2020'!$P83^-0.457)/$Q91</f>
        <v>0.754841941464039</v>
      </c>
      <c r="AG91" s="24"/>
      <c r="AO91" s="4" t="n">
        <f aca="false">$AP$2*($AP$3+$AP$4*$F91/($N91*'Sem TS MC2020'!P83))*($AP$5*$G91+$AP$6*$B91/$N91)*('Sem TS MC2020'!P83^$AP$7/200000)*($J91-$M91)/($J91-$M91-$H91)+('Sem TS MC2020'!P83-$C91/$AP$8)*($AP$5*$G91+$AP$6*$B91/$N91)/200000</f>
        <v>0.128758615616405</v>
      </c>
      <c r="AP91" s="4" t="n">
        <f aca="false">AO91/$Q91</f>
        <v>0.643793078082024</v>
      </c>
      <c r="AQ91" s="23" t="n">
        <f aca="false">AO91-$Q91</f>
        <v>-0.0712413843835952</v>
      </c>
    </row>
    <row r="92" customFormat="false" ht="14.25" hidden="false" customHeight="false" outlineLevel="0" collapsed="false">
      <c r="B92" s="2" t="n">
        <v>16</v>
      </c>
      <c r="C92" s="3" t="n">
        <v>500</v>
      </c>
      <c r="D92" s="3" t="n">
        <v>2</v>
      </c>
      <c r="E92" s="2" t="n">
        <v>138</v>
      </c>
      <c r="F92" s="4" t="n">
        <v>3.269</v>
      </c>
      <c r="G92" s="2" t="n">
        <v>40</v>
      </c>
      <c r="H92" s="2" t="n">
        <v>48</v>
      </c>
      <c r="I92" s="1" t="n">
        <v>250</v>
      </c>
      <c r="J92" s="2" t="n">
        <v>348</v>
      </c>
      <c r="K92" s="3" t="n">
        <v>400</v>
      </c>
      <c r="L92" s="4" t="n">
        <v>32000</v>
      </c>
      <c r="M92" s="3" t="n">
        <v>73.3862853425291</v>
      </c>
      <c r="N92" s="12" t="n">
        <v>0.0125</v>
      </c>
      <c r="O92" s="4" t="n">
        <v>26.26</v>
      </c>
      <c r="P92" s="3" t="n">
        <v>95.8024475372333</v>
      </c>
      <c r="Q92" s="4" t="n">
        <v>0.25</v>
      </c>
      <c r="R92" s="13" t="n">
        <f aca="false">P92/200000</f>
        <v>0.000479012237686166</v>
      </c>
      <c r="V92" s="4" t="n">
        <f aca="false">$W$2*($W$3*$G92+$W$4*$B92^$W$5*$N92^$W$6)*$R92^$W$7</f>
        <v>0.184333742365355</v>
      </c>
      <c r="W92" s="4" t="n">
        <f aca="false">V92/$Q92</f>
        <v>0.737334969461421</v>
      </c>
      <c r="Y92" s="4" t="n">
        <f aca="false">$Z$2*$B92^$Z$3*$R92^$Z$4*($Z$5*$N92^$Z$6+$Z$7)</f>
        <v>0.183957204733583</v>
      </c>
      <c r="Z92" s="4" t="n">
        <f aca="false">Y92/$Q92</f>
        <v>0.735828818934333</v>
      </c>
      <c r="AB92" s="4" t="n">
        <f aca="false">$AC$2*($AC$3+$AC$4*$F92/($N92*'Sem TS MC2020'!P84))*($AC$5*$G92+$AC$6*$B92/$N92)*'Sem TS MC2020'!R84*($J92-$M92)/($J92-$M92-$H92)</f>
        <v>0.171335176846928</v>
      </c>
      <c r="AC92" s="4" t="n">
        <f aca="false">AB92/$Q92</f>
        <v>0.685340707387712</v>
      </c>
      <c r="AD92" s="23" t="n">
        <f aca="false">AB92-$Q92</f>
        <v>-0.0786648231530721</v>
      </c>
      <c r="AE92" s="24" t="n">
        <f aca="false">1/AC92</f>
        <v>1.45912826893307</v>
      </c>
      <c r="AF92" s="24" t="n">
        <f aca="false">AB92*(14.068*'Sem TS MC2020'!$P84^-0.457)/$Q92</f>
        <v>0.790360985590741</v>
      </c>
      <c r="AG92" s="24"/>
      <c r="AO92" s="4" t="n">
        <f aca="false">$AP$2*($AP$3+$AP$4*$F92/($N92*'Sem TS MC2020'!P84))*($AP$5*$G92+$AP$6*$B92/$N92)*('Sem TS MC2020'!P84^$AP$7/200000)*($J92-$M92)/($J92-$M92-$H92)+('Sem TS MC2020'!P84-$C92/$AP$8)*($AP$5*$G92+$AP$6*$B92/$N92)/200000</f>
        <v>0.180948708553396</v>
      </c>
      <c r="AP92" s="4" t="n">
        <f aca="false">AO92/$Q92</f>
        <v>0.723794834213586</v>
      </c>
      <c r="AQ92" s="23" t="n">
        <f aca="false">AO92-$Q92</f>
        <v>-0.0690512914466035</v>
      </c>
    </row>
    <row r="93" customFormat="false" ht="14.25" hidden="false" customHeight="false" outlineLevel="0" collapsed="false">
      <c r="B93" s="2" t="n">
        <v>16</v>
      </c>
      <c r="C93" s="3" t="n">
        <v>500</v>
      </c>
      <c r="D93" s="3" t="n">
        <v>2</v>
      </c>
      <c r="E93" s="2" t="n">
        <v>138</v>
      </c>
      <c r="F93" s="4" t="n">
        <v>3.269</v>
      </c>
      <c r="G93" s="2" t="n">
        <v>40</v>
      </c>
      <c r="H93" s="2" t="n">
        <v>48</v>
      </c>
      <c r="I93" s="1" t="n">
        <v>250</v>
      </c>
      <c r="J93" s="2" t="n">
        <v>348</v>
      </c>
      <c r="K93" s="3" t="n">
        <v>400</v>
      </c>
      <c r="L93" s="4" t="n">
        <v>32000</v>
      </c>
      <c r="M93" s="3" t="n">
        <v>73.3862853425291</v>
      </c>
      <c r="N93" s="12" t="n">
        <v>0.0125</v>
      </c>
      <c r="O93" s="4" t="n">
        <v>29.175</v>
      </c>
      <c r="P93" s="3" t="n">
        <v>138.162104683384</v>
      </c>
      <c r="Q93" s="4" t="n">
        <v>0.28</v>
      </c>
      <c r="R93" s="13" t="n">
        <f aca="false">P93/200000</f>
        <v>0.000690810523416921</v>
      </c>
      <c r="V93" s="4" t="n">
        <f aca="false">$W$2*($W$3*$G93+$W$4*$B93^$W$5*$N93^$W$6)*$R93^$W$7</f>
        <v>0.231055042836648</v>
      </c>
      <c r="W93" s="4" t="n">
        <f aca="false">V93/$Q93</f>
        <v>0.825196581559455</v>
      </c>
      <c r="Y93" s="4" t="n">
        <f aca="false">$Z$2*$B93^$Z$3*$R93^$Z$4*($Z$5*$N93^$Z$6+$Z$7)</f>
        <v>0.231513621588188</v>
      </c>
      <c r="Z93" s="4" t="n">
        <f aca="false">Y93/$Q93</f>
        <v>0.826834362814958</v>
      </c>
      <c r="AB93" s="4" t="n">
        <f aca="false">$AC$2*($AC$3+$AC$4*$F93/($N93*'Sem TS MC2020'!P85))*($AC$5*$G93+$AC$6*$B93/$N93)*'Sem TS MC2020'!R85*($J93-$M93)/($J93-$M93-$H93)</f>
        <v>0.218546603974831</v>
      </c>
      <c r="AC93" s="4" t="n">
        <f aca="false">AB93/$Q93</f>
        <v>0.780523585624397</v>
      </c>
      <c r="AD93" s="23" t="n">
        <f aca="false">AB93-$Q93</f>
        <v>-0.0614533960251688</v>
      </c>
      <c r="AE93" s="24" t="n">
        <f aca="false">1/AC93</f>
        <v>1.28119126496354</v>
      </c>
      <c r="AF93" s="24" t="n">
        <f aca="false">AB93*(14.068*'Sem TS MC2020'!$P85^-0.457)/$Q93</f>
        <v>0.857852693613051</v>
      </c>
      <c r="AG93" s="24"/>
      <c r="AO93" s="4" t="n">
        <f aca="false">$AP$2*($AP$3+$AP$4*$F93/($N93*'Sem TS MC2020'!P85))*($AP$5*$G93+$AP$6*$B93/$N93)*('Sem TS MC2020'!P85^$AP$7/200000)*($J93-$M93)/($J93-$M93-$H93)+('Sem TS MC2020'!P85-$C93/$AP$8)*($AP$5*$G93+$AP$6*$B93/$N93)/200000</f>
        <v>0.231451100136022</v>
      </c>
      <c r="AP93" s="4" t="n">
        <f aca="false">AO93/$Q93</f>
        <v>0.826611071914365</v>
      </c>
      <c r="AQ93" s="23" t="n">
        <f aca="false">AO93-$Q93</f>
        <v>-0.0485488998639779</v>
      </c>
    </row>
    <row r="94" customFormat="false" ht="14.25" hidden="false" customHeight="false" outlineLevel="0" collapsed="false">
      <c r="B94" s="2" t="n">
        <v>16</v>
      </c>
      <c r="C94" s="3" t="n">
        <v>500</v>
      </c>
      <c r="D94" s="3" t="n">
        <v>2</v>
      </c>
      <c r="E94" s="2" t="n">
        <v>138</v>
      </c>
      <c r="F94" s="4" t="n">
        <v>3.269</v>
      </c>
      <c r="G94" s="2" t="n">
        <v>40</v>
      </c>
      <c r="H94" s="2" t="n">
        <v>48</v>
      </c>
      <c r="I94" s="1" t="n">
        <v>250</v>
      </c>
      <c r="J94" s="2" t="n">
        <v>348</v>
      </c>
      <c r="K94" s="3" t="n">
        <v>400</v>
      </c>
      <c r="L94" s="4" t="n">
        <v>32000</v>
      </c>
      <c r="M94" s="3" t="n">
        <v>73.3862853425291</v>
      </c>
      <c r="N94" s="12" t="n">
        <v>0.0125</v>
      </c>
      <c r="O94" s="4" t="n">
        <v>32.09</v>
      </c>
      <c r="P94" s="3" t="n">
        <v>180.521761829535</v>
      </c>
      <c r="Q94" s="4" t="n">
        <v>0.28</v>
      </c>
      <c r="R94" s="13" t="n">
        <f aca="false">P94/200000</f>
        <v>0.000902608809147677</v>
      </c>
      <c r="V94" s="4" t="n">
        <f aca="false">$W$2*($W$3*$G94+$W$4*$B94^$W$5*$N94^$W$6)*$R94^$W$7</f>
        <v>0.272504837304168</v>
      </c>
      <c r="W94" s="4" t="n">
        <f aca="false">V94/$Q94</f>
        <v>0.973231561800598</v>
      </c>
      <c r="Y94" s="4" t="n">
        <f aca="false">$Z$2*$B94^$Z$3*$R94^$Z$4*($Z$5*$N94^$Z$6+$Z$7)</f>
        <v>0.2738500723414</v>
      </c>
      <c r="Z94" s="4" t="n">
        <f aca="false">Y94/$Q94</f>
        <v>0.978035972647859</v>
      </c>
      <c r="AB94" s="4" t="n">
        <f aca="false">$AC$2*($AC$3+$AC$4*$F94/($N94*'Sem TS MC2020'!P86))*($AC$5*$G94+$AC$6*$B94/$N94)*'Sem TS MC2020'!R86*($J94-$M94)/($J94-$M94-$H94)</f>
        <v>0.265758031102735</v>
      </c>
      <c r="AC94" s="4" t="n">
        <f aca="false">AB94/$Q94</f>
        <v>0.94913582536691</v>
      </c>
      <c r="AD94" s="23" t="n">
        <f aca="false">AB94-$Q94</f>
        <v>-0.0142419688972653</v>
      </c>
      <c r="AE94" s="24" t="n">
        <f aca="false">1/AC94</f>
        <v>1.05358998498811</v>
      </c>
      <c r="AF94" s="24" t="n">
        <f aca="false">AB94*(14.068*'Sem TS MC2020'!$P86^-0.457)/$Q94</f>
        <v>0.998743714211823</v>
      </c>
      <c r="AG94" s="24"/>
      <c r="AO94" s="4" t="n">
        <f aca="false">$AP$2*($AP$3+$AP$4*$F94/($N94*'Sem TS MC2020'!P86))*($AP$5*$G94+$AP$6*$B94/$N94)*('Sem TS MC2020'!P86^$AP$7/200000)*($J94-$M94)/($J94-$M94-$H94)+('Sem TS MC2020'!P86-$C94/$AP$8)*($AP$5*$G94+$AP$6*$B94/$N94)/200000</f>
        <v>0.280610356803792</v>
      </c>
      <c r="AP94" s="4" t="n">
        <f aca="false">AO94/$Q94</f>
        <v>1.00217984572783</v>
      </c>
      <c r="AQ94" s="23" t="n">
        <f aca="false">AO94-$Q94</f>
        <v>0.00061035680379179</v>
      </c>
    </row>
    <row r="95" customFormat="false" ht="14.25" hidden="false" customHeight="false" outlineLevel="0" collapsed="false">
      <c r="B95" s="2" t="n">
        <v>16</v>
      </c>
      <c r="C95" s="3" t="n">
        <v>500</v>
      </c>
      <c r="D95" s="3" t="n">
        <v>2</v>
      </c>
      <c r="E95" s="2" t="n">
        <v>138</v>
      </c>
      <c r="F95" s="4" t="n">
        <v>3.269</v>
      </c>
      <c r="G95" s="2" t="n">
        <v>40</v>
      </c>
      <c r="H95" s="2" t="n">
        <v>48</v>
      </c>
      <c r="I95" s="1" t="n">
        <v>250</v>
      </c>
      <c r="J95" s="2" t="n">
        <v>348</v>
      </c>
      <c r="K95" s="3" t="n">
        <v>400</v>
      </c>
      <c r="L95" s="4" t="n">
        <v>32000</v>
      </c>
      <c r="M95" s="3" t="n">
        <v>73.3862853425291</v>
      </c>
      <c r="N95" s="12" t="n">
        <v>0.0125</v>
      </c>
      <c r="O95" s="4" t="n">
        <v>35.01</v>
      </c>
      <c r="P95" s="3" t="n">
        <v>222.954077049693</v>
      </c>
      <c r="Q95" s="4" t="n">
        <v>0.3</v>
      </c>
      <c r="R95" s="13" t="n">
        <f aca="false">P95/200000</f>
        <v>0.00111477038524847</v>
      </c>
      <c r="V95" s="4" t="n">
        <f aca="false">$W$2*($W$3*$G95+$W$4*$B95^$W$5*$N95^$W$6)*$R95^$W$7</f>
        <v>0.310416207423178</v>
      </c>
      <c r="W95" s="4" t="n">
        <f aca="false">V95/$Q95</f>
        <v>1.03472069141059</v>
      </c>
      <c r="Y95" s="4" t="n">
        <f aca="false">$Z$2*$B95^$Z$3*$R95^$Z$4*($Z$5*$N95^$Z$6+$Z$7)</f>
        <v>0.312673861344388</v>
      </c>
      <c r="Z95" s="4" t="n">
        <f aca="false">Y95/$Q95</f>
        <v>1.04224620448129</v>
      </c>
      <c r="AB95" s="4" t="n">
        <f aca="false">$AC$2*($AC$3+$AC$4*$F95/($N95*'Sem TS MC2020'!P87))*($AC$5*$G95+$AC$6*$B95/$N95)*'Sem TS MC2020'!R87*($J95-$M95)/($J95-$M95-$H95)</f>
        <v>0.313050438380085</v>
      </c>
      <c r="AC95" s="4" t="n">
        <f aca="false">AB95/$Q95</f>
        <v>1.04350146126695</v>
      </c>
      <c r="AD95" s="23" t="n">
        <f aca="false">AB95-$Q95</f>
        <v>0.0130504383800855</v>
      </c>
      <c r="AE95" s="24" t="n">
        <f aca="false">1/AC95</f>
        <v>0.958312026497658</v>
      </c>
      <c r="AF95" s="24" t="n">
        <f aca="false">AB95*(14.068*'Sem TS MC2020'!$P87^-0.457)/$Q95</f>
        <v>1.05519790530829</v>
      </c>
      <c r="AG95" s="24"/>
      <c r="AO95" s="4" t="n">
        <f aca="false">$AP$2*($AP$3+$AP$4*$F95/($N95*'Sem TS MC2020'!P87))*($AP$5*$G95+$AP$6*$B95/$N95)*('Sem TS MC2020'!P87^$AP$7/200000)*($J95-$M95)/($J95-$M95-$H95)+('Sem TS MC2020'!P87-$C95/$AP$8)*($AP$5*$G95+$AP$6*$B95/$N95)/200000</f>
        <v>0.328699584108349</v>
      </c>
      <c r="AP95" s="4" t="n">
        <f aca="false">AO95/$Q95</f>
        <v>1.09566528036116</v>
      </c>
      <c r="AQ95" s="23" t="n">
        <f aca="false">AO95-$Q95</f>
        <v>0.0286995841083491</v>
      </c>
    </row>
    <row r="96" customFormat="false" ht="14.25" hidden="false" customHeight="false" outlineLevel="0" collapsed="false">
      <c r="B96" s="2" t="n">
        <v>16</v>
      </c>
      <c r="C96" s="3" t="n">
        <v>500</v>
      </c>
      <c r="D96" s="3" t="n">
        <v>2</v>
      </c>
      <c r="E96" s="2" t="n">
        <v>138</v>
      </c>
      <c r="F96" s="4" t="n">
        <v>3.269</v>
      </c>
      <c r="G96" s="2" t="n">
        <v>40</v>
      </c>
      <c r="H96" s="2" t="n">
        <v>48</v>
      </c>
      <c r="I96" s="1" t="n">
        <v>250</v>
      </c>
      <c r="J96" s="2" t="n">
        <v>348</v>
      </c>
      <c r="K96" s="3" t="n">
        <v>400</v>
      </c>
      <c r="L96" s="4" t="n">
        <v>32000</v>
      </c>
      <c r="M96" s="3" t="n">
        <v>73.3862853425291</v>
      </c>
      <c r="N96" s="12" t="n">
        <v>0.0125</v>
      </c>
      <c r="O96" s="4" t="n">
        <v>37.93</v>
      </c>
      <c r="P96" s="3" t="n">
        <v>265.386392269852</v>
      </c>
      <c r="Q96" s="4" t="n">
        <v>0.33</v>
      </c>
      <c r="R96" s="13" t="n">
        <f aca="false">P96/200000</f>
        <v>0.00132693196134926</v>
      </c>
      <c r="V96" s="4" t="n">
        <f aca="false">$W$2*($W$3*$G96+$W$4*$B96^$W$5*$N96^$W$6)*$R96^$W$7</f>
        <v>0.345643665984721</v>
      </c>
      <c r="W96" s="4" t="n">
        <f aca="false">V96/$Q96</f>
        <v>1.04740504843855</v>
      </c>
      <c r="Y96" s="4" t="n">
        <f aca="false">$Z$2*$B96^$Z$3*$R96^$Z$4*($Z$5*$N96^$Z$6+$Z$7)</f>
        <v>0.348825388600491</v>
      </c>
      <c r="Z96" s="4" t="n">
        <f aca="false">Y96/$Q96</f>
        <v>1.0570466321227</v>
      </c>
      <c r="AB96" s="4" t="n">
        <f aca="false">$AC$2*($AC$3+$AC$4*$F96/($N96*'Sem TS MC2020'!P88))*($AC$5*$G96+$AC$6*$B96/$N96)*'Sem TS MC2020'!R88*($J96-$M96)/($J96-$M96-$H96)</f>
        <v>0.360342845657436</v>
      </c>
      <c r="AC96" s="4" t="n">
        <f aca="false">AB96/$Q96</f>
        <v>1.09194801714375</v>
      </c>
      <c r="AD96" s="23" t="n">
        <f aca="false">AB96-$Q96</f>
        <v>0.0303428456574364</v>
      </c>
      <c r="AE96" s="24" t="n">
        <f aca="false">1/AC96</f>
        <v>0.915794510635901</v>
      </c>
      <c r="AF96" s="24" t="n">
        <f aca="false">AB96*(14.068*'Sem TS MC2020'!$P88^-0.457)/$Q96</f>
        <v>1.06449458940959</v>
      </c>
      <c r="AG96" s="24"/>
      <c r="AO96" s="4" t="n">
        <f aca="false">$AP$2*($AP$3+$AP$4*$F96/($N96*'Sem TS MC2020'!P88))*($AP$5*$G96+$AP$6*$B96/$N96)*('Sem TS MC2020'!P88^$AP$7/200000)*($J96-$M96)/($J96-$M96-$H96)+('Sem TS MC2020'!P88-$C96/$AP$8)*($AP$5*$G96+$AP$6*$B96/$N96)/200000</f>
        <v>0.375783056537699</v>
      </c>
      <c r="AP96" s="4" t="n">
        <f aca="false">AO96/$Q96</f>
        <v>1.13873653496272</v>
      </c>
      <c r="AQ96" s="23" t="n">
        <f aca="false">AO96-$Q96</f>
        <v>0.0457830565376991</v>
      </c>
    </row>
    <row r="97" customFormat="false" ht="14.25" hidden="false" customHeight="false" outlineLevel="0" collapsed="false">
      <c r="B97" s="2" t="n">
        <v>16</v>
      </c>
      <c r="C97" s="3" t="n">
        <v>500</v>
      </c>
      <c r="D97" s="3" t="n">
        <v>2</v>
      </c>
      <c r="E97" s="2" t="n">
        <v>138</v>
      </c>
      <c r="F97" s="4" t="n">
        <v>3.269</v>
      </c>
      <c r="G97" s="2" t="n">
        <v>40</v>
      </c>
      <c r="H97" s="2" t="n">
        <v>48</v>
      </c>
      <c r="I97" s="1" t="n">
        <v>250</v>
      </c>
      <c r="J97" s="2" t="n">
        <v>348</v>
      </c>
      <c r="K97" s="3" t="n">
        <v>400</v>
      </c>
      <c r="L97" s="4" t="n">
        <v>32000</v>
      </c>
      <c r="M97" s="3" t="n">
        <v>73.3862853425291</v>
      </c>
      <c r="N97" s="12" t="n">
        <v>0.0125</v>
      </c>
      <c r="O97" s="4" t="n">
        <v>40.84</v>
      </c>
      <c r="P97" s="3" t="n">
        <v>307.673391341996</v>
      </c>
      <c r="Q97" s="4" t="n">
        <v>0.33</v>
      </c>
      <c r="R97" s="13" t="n">
        <f aca="false">P97/200000</f>
        <v>0.00153836695670998</v>
      </c>
      <c r="V97" s="4" t="n">
        <f aca="false">$W$2*($W$3*$G97+$W$4*$B97^$W$5*$N97^$W$6)*$R97^$W$7</f>
        <v>0.378657852407131</v>
      </c>
      <c r="W97" s="4" t="n">
        <f aca="false">V97/$Q97</f>
        <v>1.14744803759737</v>
      </c>
      <c r="Y97" s="4" t="n">
        <f aca="false">$Z$2*$B97^$Z$3*$R97^$Z$4*($Z$5*$N97^$Z$6+$Z$7)</f>
        <v>0.382765490485851</v>
      </c>
      <c r="Z97" s="4" t="n">
        <f aca="false">Y97/$Q97</f>
        <v>1.1598954257147</v>
      </c>
      <c r="AB97" s="4" t="n">
        <f aca="false">$AC$2*($AC$3+$AC$4*$F97/($N97*'Sem TS MC2020'!P89))*($AC$5*$G97+$AC$6*$B97/$N97)*'Sem TS MC2020'!R89*($J97-$M97)/($J97-$M97-$H97)</f>
        <v>0.407473292635892</v>
      </c>
      <c r="AC97" s="4" t="n">
        <f aca="false">AB97/$Q97</f>
        <v>1.2347675534421</v>
      </c>
      <c r="AD97" s="23" t="n">
        <f aca="false">AB97-$Q97</f>
        <v>0.0774732926358924</v>
      </c>
      <c r="AE97" s="24" t="n">
        <f aca="false">1/AC97</f>
        <v>0.809869029366986</v>
      </c>
      <c r="AF97" s="24" t="n">
        <f aca="false">AB97*(14.068*'Sem TS MC2020'!$P89^-0.457)/$Q97</f>
        <v>1.16373924965605</v>
      </c>
      <c r="AG97" s="24"/>
      <c r="AO97" s="4" t="n">
        <f aca="false">$AP$2*($AP$3+$AP$4*$F97/($N97*'Sem TS MC2020'!P89))*($AP$5*$G97+$AP$6*$B97/$N97)*('Sem TS MC2020'!P89^$AP$7/200000)*($J97-$M97)/($J97-$M97-$H97)+('Sem TS MC2020'!P89-$C97/$AP$8)*($AP$5*$G97+$AP$6*$B97/$N97)/200000</f>
        <v>0.421822973518821</v>
      </c>
      <c r="AP97" s="4" t="n">
        <f aca="false">AO97/$Q97</f>
        <v>1.27825143490552</v>
      </c>
      <c r="AQ97" s="23" t="n">
        <f aca="false">AO97-$Q97</f>
        <v>0.091822973518821</v>
      </c>
    </row>
    <row r="98" customFormat="false" ht="14.25" hidden="false" customHeight="false" outlineLevel="0" collapsed="false">
      <c r="A98" s="1" t="s">
        <v>43</v>
      </c>
      <c r="B98" s="2" t="n">
        <v>16</v>
      </c>
      <c r="C98" s="3" t="n">
        <v>500</v>
      </c>
      <c r="D98" s="3" t="n">
        <v>2</v>
      </c>
      <c r="E98" s="2" t="n">
        <v>138</v>
      </c>
      <c r="F98" s="4" t="n">
        <v>3.269</v>
      </c>
      <c r="G98" s="2" t="n">
        <v>40</v>
      </c>
      <c r="H98" s="2" t="n">
        <v>48</v>
      </c>
      <c r="I98" s="1" t="n">
        <v>250</v>
      </c>
      <c r="J98" s="2" t="n">
        <v>348</v>
      </c>
      <c r="K98" s="3" t="n">
        <v>400</v>
      </c>
      <c r="L98" s="4" t="n">
        <v>32000</v>
      </c>
      <c r="M98" s="3" t="n">
        <v>73.3862853425291</v>
      </c>
      <c r="N98" s="12" t="n">
        <v>0.0125</v>
      </c>
      <c r="O98" s="4" t="n">
        <v>23.34</v>
      </c>
      <c r="P98" s="3" t="n">
        <v>53.370132317075</v>
      </c>
      <c r="Q98" s="4" t="n">
        <v>0.15</v>
      </c>
      <c r="R98" s="13" t="n">
        <f aca="false">P98/200000</f>
        <v>0.000266850661585375</v>
      </c>
      <c r="V98" s="4" t="n">
        <f aca="false">$W$2*($W$3*$G98+$W$4*$B98^$W$5*$N98^$W$6)*$R98^$W$7</f>
        <v>0.128480883325019</v>
      </c>
      <c r="W98" s="4" t="n">
        <f aca="false">V98/$Q98</f>
        <v>0.85653922216679</v>
      </c>
      <c r="Y98" s="4" t="n">
        <f aca="false">$Z$2*$B98^$Z$3*$R98^$Z$4*($Z$5*$N98^$Z$6+$Z$7)</f>
        <v>0.12739594764741</v>
      </c>
      <c r="Z98" s="4" t="n">
        <f aca="false">Y98/$Q98</f>
        <v>0.849306317649402</v>
      </c>
      <c r="AB98" s="4" t="n">
        <f aca="false">$AC$2*($AC$3+$AC$4*$F98/($N98*'Sem TS MC2020'!P90))*($AC$5*$G98+$AC$6*$B98/$N98)*'Sem TS MC2020'!R90*($J98-$M98)/($J98-$M98-$H98)</f>
        <v>0.124042769569577</v>
      </c>
      <c r="AC98" s="4" t="n">
        <f aca="false">AB98/$Q98</f>
        <v>0.826951797130513</v>
      </c>
      <c r="AD98" s="23" t="n">
        <f aca="false">AB98-$Q98</f>
        <v>-0.025957230430423</v>
      </c>
      <c r="AE98" s="24" t="n">
        <f aca="false">1/AC98</f>
        <v>1.2092603262608</v>
      </c>
      <c r="AF98" s="24" t="n">
        <f aca="false">AB98*(14.068*'Sem TS MC2020'!$P90^-0.457)/$Q98</f>
        <v>1.00645592195205</v>
      </c>
      <c r="AG98" s="24"/>
      <c r="AO98" s="4" t="n">
        <f aca="false">$AP$2*($AP$3+$AP$4*$F98/($N98*'Sem TS MC2020'!P90))*($AP$5*$G98+$AP$6*$B98/$N98)*('Sem TS MC2020'!P90^$AP$7/200000)*($J98-$M98)/($J98-$M98-$H98)+('Sem TS MC2020'!P90-$C98/$AP$8)*($AP$5*$G98+$AP$6*$B98/$N98)/200000</f>
        <v>0.128758615616405</v>
      </c>
      <c r="AP98" s="4" t="n">
        <f aca="false">AO98/$Q98</f>
        <v>0.858390770776032</v>
      </c>
      <c r="AQ98" s="23" t="n">
        <f aca="false">AO98-$Q98</f>
        <v>-0.0212413843835952</v>
      </c>
    </row>
    <row r="99" customFormat="false" ht="14.25" hidden="false" customHeight="false" outlineLevel="0" collapsed="false">
      <c r="B99" s="2" t="n">
        <v>16</v>
      </c>
      <c r="C99" s="3" t="n">
        <v>500</v>
      </c>
      <c r="D99" s="3" t="n">
        <v>2</v>
      </c>
      <c r="E99" s="2" t="n">
        <v>138</v>
      </c>
      <c r="F99" s="4" t="n">
        <v>3.269</v>
      </c>
      <c r="G99" s="2" t="n">
        <v>40</v>
      </c>
      <c r="H99" s="2" t="n">
        <v>48</v>
      </c>
      <c r="I99" s="1" t="n">
        <v>250</v>
      </c>
      <c r="J99" s="2" t="n">
        <v>348</v>
      </c>
      <c r="K99" s="3" t="n">
        <v>400</v>
      </c>
      <c r="L99" s="4" t="n">
        <v>32000</v>
      </c>
      <c r="M99" s="3" t="n">
        <v>73.3862853425291</v>
      </c>
      <c r="N99" s="12" t="n">
        <v>0.0125</v>
      </c>
      <c r="O99" s="4" t="n">
        <v>26.26</v>
      </c>
      <c r="P99" s="3" t="n">
        <v>95.8024475372333</v>
      </c>
      <c r="Q99" s="4" t="n">
        <v>0.18</v>
      </c>
      <c r="R99" s="13" t="n">
        <f aca="false">P99/200000</f>
        <v>0.000479012237686166</v>
      </c>
      <c r="V99" s="4" t="n">
        <f aca="false">$W$2*($W$3*$G99+$W$4*$B99^$W$5*$N99^$W$6)*$R99^$W$7</f>
        <v>0.184333742365355</v>
      </c>
      <c r="W99" s="4" t="n">
        <f aca="false">V99/$Q99</f>
        <v>1.0240763464742</v>
      </c>
      <c r="Y99" s="4" t="n">
        <f aca="false">$Z$2*$B99^$Z$3*$R99^$Z$4*($Z$5*$N99^$Z$6+$Z$7)</f>
        <v>0.183957204733583</v>
      </c>
      <c r="Z99" s="4" t="n">
        <f aca="false">Y99/$Q99</f>
        <v>1.02198447074213</v>
      </c>
      <c r="AB99" s="4" t="n">
        <f aca="false">$AC$2*($AC$3+$AC$4*$F99/($N99*'Sem TS MC2020'!P91))*($AC$5*$G99+$AC$6*$B99/$N99)*'Sem TS MC2020'!R91*($J99-$M99)/($J99-$M99-$H99)</f>
        <v>0.171335176846928</v>
      </c>
      <c r="AC99" s="4" t="n">
        <f aca="false">AB99/$Q99</f>
        <v>0.951862093594044</v>
      </c>
      <c r="AD99" s="23" t="n">
        <f aca="false">AB99-$Q99</f>
        <v>-0.0086648231530721</v>
      </c>
      <c r="AE99" s="24" t="n">
        <f aca="false">1/AC99</f>
        <v>1.05057235363181</v>
      </c>
      <c r="AF99" s="24" t="n">
        <f aca="false">AB99*(14.068*'Sem TS MC2020'!$P91^-0.457)/$Q99</f>
        <v>1.09772359109825</v>
      </c>
      <c r="AG99" s="24"/>
      <c r="AO99" s="4" t="n">
        <f aca="false">$AP$2*($AP$3+$AP$4*$F99/($N99*'Sem TS MC2020'!P91))*($AP$5*$G99+$AP$6*$B99/$N99)*('Sem TS MC2020'!P91^$AP$7/200000)*($J99-$M99)/($J99-$M99-$H99)+('Sem TS MC2020'!P91-$C99/$AP$8)*($AP$5*$G99+$AP$6*$B99/$N99)/200000</f>
        <v>0.180948708553396</v>
      </c>
      <c r="AP99" s="4" t="n">
        <f aca="false">AO99/$Q99</f>
        <v>1.00527060307443</v>
      </c>
      <c r="AQ99" s="23" t="n">
        <f aca="false">AO99-$Q99</f>
        <v>0.000948708553396488</v>
      </c>
    </row>
    <row r="100" customFormat="false" ht="14.25" hidden="false" customHeight="false" outlineLevel="0" collapsed="false">
      <c r="B100" s="2" t="n">
        <v>16</v>
      </c>
      <c r="C100" s="3" t="n">
        <v>500</v>
      </c>
      <c r="D100" s="3" t="n">
        <v>2</v>
      </c>
      <c r="E100" s="2" t="n">
        <v>138</v>
      </c>
      <c r="F100" s="4" t="n">
        <v>3.269</v>
      </c>
      <c r="G100" s="2" t="n">
        <v>40</v>
      </c>
      <c r="H100" s="2" t="n">
        <v>48</v>
      </c>
      <c r="I100" s="1" t="n">
        <v>250</v>
      </c>
      <c r="J100" s="2" t="n">
        <v>348</v>
      </c>
      <c r="K100" s="3" t="n">
        <v>400</v>
      </c>
      <c r="L100" s="4" t="n">
        <v>32000</v>
      </c>
      <c r="M100" s="3" t="n">
        <v>73.3862853425291</v>
      </c>
      <c r="N100" s="12" t="n">
        <v>0.0125</v>
      </c>
      <c r="O100" s="4" t="n">
        <v>29.175</v>
      </c>
      <c r="P100" s="3" t="n">
        <v>138.162104683384</v>
      </c>
      <c r="Q100" s="4" t="n">
        <v>0.2</v>
      </c>
      <c r="R100" s="13" t="n">
        <f aca="false">P100/200000</f>
        <v>0.000690810523416921</v>
      </c>
      <c r="V100" s="4" t="n">
        <f aca="false">$W$2*($W$3*$G100+$W$4*$B100^$W$5*$N100^$W$6)*$R100^$W$7</f>
        <v>0.231055042836648</v>
      </c>
      <c r="W100" s="4" t="n">
        <f aca="false">V100/$Q100</f>
        <v>1.15527521418324</v>
      </c>
      <c r="Y100" s="4" t="n">
        <f aca="false">$Z$2*$B100^$Z$3*$R100^$Z$4*($Z$5*$N100^$Z$6+$Z$7)</f>
        <v>0.231513621588188</v>
      </c>
      <c r="Z100" s="4" t="n">
        <f aca="false">Y100/$Q100</f>
        <v>1.15756810794094</v>
      </c>
      <c r="AB100" s="4" t="n">
        <f aca="false">$AC$2*($AC$3+$AC$4*$F100/($N100*'Sem TS MC2020'!P92))*($AC$5*$G100+$AC$6*$B100/$N100)*'Sem TS MC2020'!R92*($J100-$M100)/($J100-$M100-$H100)</f>
        <v>0.218546603974831</v>
      </c>
      <c r="AC100" s="4" t="n">
        <f aca="false">AB100/$Q100</f>
        <v>1.09273301987416</v>
      </c>
      <c r="AD100" s="23" t="n">
        <f aca="false">AB100-$Q100</f>
        <v>0.0185466039748313</v>
      </c>
      <c r="AE100" s="24" t="n">
        <f aca="false">1/AC100</f>
        <v>0.915136617831101</v>
      </c>
      <c r="AF100" s="24" t="n">
        <f aca="false">AB100*(14.068*'Sem TS MC2020'!$P92^-0.457)/$Q100</f>
        <v>1.20099377105827</v>
      </c>
      <c r="AG100" s="24"/>
      <c r="AO100" s="4" t="n">
        <f aca="false">$AP$2*($AP$3+$AP$4*$F100/($N100*'Sem TS MC2020'!P92))*($AP$5*$G100+$AP$6*$B100/$N100)*('Sem TS MC2020'!P92^$AP$7/200000)*($J100-$M100)/($J100-$M100-$H100)+('Sem TS MC2020'!P92-$C100/$AP$8)*($AP$5*$G100+$AP$6*$B100/$N100)/200000</f>
        <v>0.231451100136022</v>
      </c>
      <c r="AP100" s="4" t="n">
        <f aca="false">AO100/$Q100</f>
        <v>1.15725550068011</v>
      </c>
      <c r="AQ100" s="23" t="n">
        <f aca="false">AO100-$Q100</f>
        <v>0.0314511001360221</v>
      </c>
    </row>
    <row r="101" customFormat="false" ht="14.25" hidden="false" customHeight="false" outlineLevel="0" collapsed="false">
      <c r="B101" s="2" t="n">
        <v>16</v>
      </c>
      <c r="C101" s="3" t="n">
        <v>500</v>
      </c>
      <c r="D101" s="3" t="n">
        <v>2</v>
      </c>
      <c r="E101" s="2" t="n">
        <v>138</v>
      </c>
      <c r="F101" s="4" t="n">
        <v>3.269</v>
      </c>
      <c r="G101" s="2" t="n">
        <v>40</v>
      </c>
      <c r="H101" s="2" t="n">
        <v>48</v>
      </c>
      <c r="I101" s="1" t="n">
        <v>250</v>
      </c>
      <c r="J101" s="2" t="n">
        <v>348</v>
      </c>
      <c r="K101" s="3" t="n">
        <v>400</v>
      </c>
      <c r="L101" s="4" t="n">
        <v>32000</v>
      </c>
      <c r="M101" s="3" t="n">
        <v>73.3862853425291</v>
      </c>
      <c r="N101" s="12" t="n">
        <v>0.0125</v>
      </c>
      <c r="O101" s="4" t="n">
        <v>32.09</v>
      </c>
      <c r="P101" s="3" t="n">
        <v>180.521761829535</v>
      </c>
      <c r="Q101" s="4" t="n">
        <v>0.25</v>
      </c>
      <c r="R101" s="13" t="n">
        <f aca="false">P101/200000</f>
        <v>0.000902608809147677</v>
      </c>
      <c r="V101" s="4" t="n">
        <f aca="false">$W$2*($W$3*$G101+$W$4*$B101^$W$5*$N101^$W$6)*$R101^$W$7</f>
        <v>0.272504837304168</v>
      </c>
      <c r="W101" s="4" t="n">
        <f aca="false">V101/$Q101</f>
        <v>1.09001934921667</v>
      </c>
      <c r="Y101" s="4" t="n">
        <f aca="false">$Z$2*$B101^$Z$3*$R101^$Z$4*($Z$5*$N101^$Z$6+$Z$7)</f>
        <v>0.2738500723414</v>
      </c>
      <c r="Z101" s="4" t="n">
        <f aca="false">Y101/$Q101</f>
        <v>1.0954002893656</v>
      </c>
      <c r="AB101" s="4" t="n">
        <f aca="false">$AC$2*($AC$3+$AC$4*$F101/($N101*'Sem TS MC2020'!P93))*($AC$5*$G101+$AC$6*$B101/$N101)*'Sem TS MC2020'!R93*($J101-$M101)/($J101-$M101-$H101)</f>
        <v>0.265758031102735</v>
      </c>
      <c r="AC101" s="4" t="n">
        <f aca="false">AB101/$Q101</f>
        <v>1.06303212441094</v>
      </c>
      <c r="AD101" s="23" t="n">
        <f aca="false">AB101-$Q101</f>
        <v>0.0157580311027348</v>
      </c>
      <c r="AE101" s="24" t="n">
        <f aca="false">1/AC101</f>
        <v>0.940705343739384</v>
      </c>
      <c r="AF101" s="24" t="n">
        <f aca="false">AB101*(14.068*'Sem TS MC2020'!$P93^-0.457)/$Q101</f>
        <v>1.11859295991724</v>
      </c>
      <c r="AG101" s="24"/>
      <c r="AO101" s="4" t="n">
        <f aca="false">$AP$2*($AP$3+$AP$4*$F101/($N101*'Sem TS MC2020'!P93))*($AP$5*$G101+$AP$6*$B101/$N101)*('Sem TS MC2020'!P93^$AP$7/200000)*($J101-$M101)/($J101-$M101-$H101)+('Sem TS MC2020'!P93-$C101/$AP$8)*($AP$5*$G101+$AP$6*$B101/$N101)/200000</f>
        <v>0.280610356803792</v>
      </c>
      <c r="AP101" s="4" t="n">
        <f aca="false">AO101/$Q101</f>
        <v>1.12244142721517</v>
      </c>
      <c r="AQ101" s="23" t="n">
        <f aca="false">AO101-$Q101</f>
        <v>0.0306103568037918</v>
      </c>
    </row>
    <row r="102" customFormat="false" ht="14.25" hidden="false" customHeight="false" outlineLevel="0" collapsed="false">
      <c r="B102" s="2" t="n">
        <v>16</v>
      </c>
      <c r="C102" s="3" t="n">
        <v>500</v>
      </c>
      <c r="D102" s="3" t="n">
        <v>2</v>
      </c>
      <c r="E102" s="2" t="n">
        <v>138</v>
      </c>
      <c r="F102" s="4" t="n">
        <v>3.269</v>
      </c>
      <c r="G102" s="2" t="n">
        <v>40</v>
      </c>
      <c r="H102" s="2" t="n">
        <v>48</v>
      </c>
      <c r="I102" s="1" t="n">
        <v>250</v>
      </c>
      <c r="J102" s="2" t="n">
        <v>348</v>
      </c>
      <c r="K102" s="3" t="n">
        <v>400</v>
      </c>
      <c r="L102" s="4" t="n">
        <v>32000</v>
      </c>
      <c r="M102" s="3" t="n">
        <v>73.3862853425291</v>
      </c>
      <c r="N102" s="12" t="n">
        <v>0.0125</v>
      </c>
      <c r="O102" s="4" t="n">
        <v>35.01</v>
      </c>
      <c r="P102" s="3" t="n">
        <v>222.954077049693</v>
      </c>
      <c r="Q102" s="4" t="n">
        <v>0.3</v>
      </c>
      <c r="R102" s="13" t="n">
        <f aca="false">P102/200000</f>
        <v>0.00111477038524847</v>
      </c>
      <c r="V102" s="4" t="n">
        <f aca="false">$W$2*($W$3*$G102+$W$4*$B102^$W$5*$N102^$W$6)*$R102^$W$7</f>
        <v>0.310416207423178</v>
      </c>
      <c r="W102" s="4" t="n">
        <f aca="false">V102/$Q102</f>
        <v>1.03472069141059</v>
      </c>
      <c r="Y102" s="4" t="n">
        <f aca="false">$Z$2*$B102^$Z$3*$R102^$Z$4*($Z$5*$N102^$Z$6+$Z$7)</f>
        <v>0.312673861344388</v>
      </c>
      <c r="Z102" s="4" t="n">
        <f aca="false">Y102/$Q102</f>
        <v>1.04224620448129</v>
      </c>
      <c r="AB102" s="4" t="n">
        <f aca="false">$AC$2*($AC$3+$AC$4*$F102/($N102*'Sem TS MC2020'!P94))*($AC$5*$G102+$AC$6*$B102/$N102)*'Sem TS MC2020'!R94*($J102-$M102)/($J102-$M102-$H102)</f>
        <v>0.313050438380085</v>
      </c>
      <c r="AC102" s="4" t="n">
        <f aca="false">AB102/$Q102</f>
        <v>1.04350146126695</v>
      </c>
      <c r="AD102" s="23" t="n">
        <f aca="false">AB102-$Q102</f>
        <v>0.0130504383800855</v>
      </c>
      <c r="AE102" s="24" t="n">
        <f aca="false">1/AC102</f>
        <v>0.958312026497658</v>
      </c>
      <c r="AF102" s="24" t="n">
        <f aca="false">AB102*(14.068*'Sem TS MC2020'!$P94^-0.457)/$Q102</f>
        <v>1.05519790530829</v>
      </c>
      <c r="AG102" s="24"/>
      <c r="AO102" s="4" t="n">
        <f aca="false">$AP$2*($AP$3+$AP$4*$F102/($N102*'Sem TS MC2020'!P94))*($AP$5*$G102+$AP$6*$B102/$N102)*('Sem TS MC2020'!P94^$AP$7/200000)*($J102-$M102)/($J102-$M102-$H102)+('Sem TS MC2020'!P94-$C102/$AP$8)*($AP$5*$G102+$AP$6*$B102/$N102)/200000</f>
        <v>0.328699584108349</v>
      </c>
      <c r="AP102" s="4" t="n">
        <f aca="false">AO102/$Q102</f>
        <v>1.09566528036116</v>
      </c>
      <c r="AQ102" s="23" t="n">
        <f aca="false">AO102-$Q102</f>
        <v>0.0286995841083491</v>
      </c>
    </row>
    <row r="103" customFormat="false" ht="14.25" hidden="false" customHeight="false" outlineLevel="0" collapsed="false">
      <c r="B103" s="2" t="n">
        <v>16</v>
      </c>
      <c r="C103" s="3" t="n">
        <v>500</v>
      </c>
      <c r="D103" s="3" t="n">
        <v>2</v>
      </c>
      <c r="E103" s="2" t="n">
        <v>138</v>
      </c>
      <c r="F103" s="4" t="n">
        <v>3.269</v>
      </c>
      <c r="G103" s="2" t="n">
        <v>40</v>
      </c>
      <c r="H103" s="2" t="n">
        <v>48</v>
      </c>
      <c r="I103" s="1" t="n">
        <v>250</v>
      </c>
      <c r="J103" s="2" t="n">
        <v>348</v>
      </c>
      <c r="K103" s="3" t="n">
        <v>400</v>
      </c>
      <c r="L103" s="4" t="n">
        <v>32000</v>
      </c>
      <c r="M103" s="3" t="n">
        <v>73.3862853425291</v>
      </c>
      <c r="N103" s="12" t="n">
        <v>0.0125</v>
      </c>
      <c r="O103" s="4" t="n">
        <v>37.93</v>
      </c>
      <c r="P103" s="3" t="n">
        <v>265.386392269852</v>
      </c>
      <c r="Q103" s="4" t="n">
        <v>0.33</v>
      </c>
      <c r="R103" s="13" t="n">
        <f aca="false">P103/200000</f>
        <v>0.00132693196134926</v>
      </c>
      <c r="V103" s="4" t="n">
        <f aca="false">$W$2*($W$3*$G103+$W$4*$B103^$W$5*$N103^$W$6)*$R103^$W$7</f>
        <v>0.345643665984721</v>
      </c>
      <c r="W103" s="4" t="n">
        <f aca="false">V103/$Q103</f>
        <v>1.04740504843855</v>
      </c>
      <c r="Y103" s="4" t="n">
        <f aca="false">$Z$2*$B103^$Z$3*$R103^$Z$4*($Z$5*$N103^$Z$6+$Z$7)</f>
        <v>0.348825388600491</v>
      </c>
      <c r="Z103" s="4" t="n">
        <f aca="false">Y103/$Q103</f>
        <v>1.0570466321227</v>
      </c>
      <c r="AB103" s="4" t="n">
        <f aca="false">$AC$2*($AC$3+$AC$4*$F103/($N103*'Sem TS MC2020'!P95))*($AC$5*$G103+$AC$6*$B103/$N103)*'Sem TS MC2020'!R95*($J103-$M103)/($J103-$M103-$H103)</f>
        <v>0.360342845657436</v>
      </c>
      <c r="AC103" s="4" t="n">
        <f aca="false">AB103/$Q103</f>
        <v>1.09194801714375</v>
      </c>
      <c r="AD103" s="23" t="n">
        <f aca="false">AB103-$Q103</f>
        <v>0.0303428456574364</v>
      </c>
      <c r="AE103" s="24" t="n">
        <f aca="false">1/AC103</f>
        <v>0.915794510635901</v>
      </c>
      <c r="AF103" s="24" t="n">
        <f aca="false">AB103*(14.068*'Sem TS MC2020'!$P95^-0.457)/$Q103</f>
        <v>1.06449458940959</v>
      </c>
      <c r="AG103" s="24"/>
      <c r="AO103" s="4" t="n">
        <f aca="false">$AP$2*($AP$3+$AP$4*$F103/($N103*'Sem TS MC2020'!P95))*($AP$5*$G103+$AP$6*$B103/$N103)*('Sem TS MC2020'!P95^$AP$7/200000)*($J103-$M103)/($J103-$M103-$H103)+('Sem TS MC2020'!P95-$C103/$AP$8)*($AP$5*$G103+$AP$6*$B103/$N103)/200000</f>
        <v>0.375783056537699</v>
      </c>
      <c r="AP103" s="4" t="n">
        <f aca="false">AO103/$Q103</f>
        <v>1.13873653496272</v>
      </c>
      <c r="AQ103" s="23" t="n">
        <f aca="false">AO103-$Q103</f>
        <v>0.0457830565376991</v>
      </c>
    </row>
    <row r="104" customFormat="false" ht="14.25" hidden="false" customHeight="false" outlineLevel="0" collapsed="false">
      <c r="B104" s="2" t="n">
        <v>16</v>
      </c>
      <c r="C104" s="3" t="n">
        <v>500</v>
      </c>
      <c r="D104" s="3" t="n">
        <v>2</v>
      </c>
      <c r="E104" s="2" t="n">
        <v>138</v>
      </c>
      <c r="F104" s="4" t="n">
        <v>3.269</v>
      </c>
      <c r="G104" s="2" t="n">
        <v>40</v>
      </c>
      <c r="H104" s="2" t="n">
        <v>48</v>
      </c>
      <c r="I104" s="1" t="n">
        <v>250</v>
      </c>
      <c r="J104" s="2" t="n">
        <v>348</v>
      </c>
      <c r="K104" s="3" t="n">
        <v>400</v>
      </c>
      <c r="L104" s="4" t="n">
        <v>32000</v>
      </c>
      <c r="M104" s="3" t="n">
        <v>73.3862853425291</v>
      </c>
      <c r="N104" s="12" t="n">
        <v>0.0125</v>
      </c>
      <c r="O104" s="4" t="n">
        <v>40.84</v>
      </c>
      <c r="P104" s="3" t="n">
        <v>307.673391341996</v>
      </c>
      <c r="Q104" s="4" t="n">
        <v>0.38</v>
      </c>
      <c r="R104" s="13" t="n">
        <f aca="false">P104/200000</f>
        <v>0.00153836695670998</v>
      </c>
      <c r="V104" s="4" t="n">
        <f aca="false">$W$2*($W$3*$G104+$W$4*$B104^$W$5*$N104^$W$6)*$R104^$W$7</f>
        <v>0.378657852407131</v>
      </c>
      <c r="W104" s="4" t="n">
        <f aca="false">V104/$Q104</f>
        <v>0.996468032650346</v>
      </c>
      <c r="Y104" s="4" t="n">
        <f aca="false">$Z$2*$B104^$Z$3*$R104^$Z$4*($Z$5*$N104^$Z$6+$Z$7)</f>
        <v>0.382765490485851</v>
      </c>
      <c r="Z104" s="4" t="n">
        <f aca="false">Y104/$Q104</f>
        <v>1.00727760654171</v>
      </c>
      <c r="AB104" s="4" t="n">
        <f aca="false">$AC$2*($AC$3+$AC$4*$F104/($N104*'Sem TS MC2020'!P96))*($AC$5*$G104+$AC$6*$B104/$N104)*'Sem TS MC2020'!R96*($J104-$M104)/($J104-$M104-$H104)</f>
        <v>0.407473292635892</v>
      </c>
      <c r="AC104" s="4" t="n">
        <f aca="false">AB104/$Q104</f>
        <v>1.07229813851551</v>
      </c>
      <c r="AD104" s="23" t="n">
        <f aca="false">AB104-$Q104</f>
        <v>0.0274732926358924</v>
      </c>
      <c r="AE104" s="24" t="n">
        <f aca="false">1/AC104</f>
        <v>0.932576458058954</v>
      </c>
      <c r="AF104" s="24" t="n">
        <f aca="false">AB104*(14.068*'Sem TS MC2020'!$P96^-0.457)/$Q104</f>
        <v>1.01061566417499</v>
      </c>
      <c r="AG104" s="24"/>
      <c r="AO104" s="4" t="n">
        <f aca="false">$AP$2*($AP$3+$AP$4*$F104/($N104*'Sem TS MC2020'!P96))*($AP$5*$G104+$AP$6*$B104/$N104)*('Sem TS MC2020'!P96^$AP$7/200000)*($J104-$M104)/($J104-$M104-$H104)+('Sem TS MC2020'!P96-$C104/$AP$8)*($AP$5*$G104+$AP$6*$B104/$N104)/200000</f>
        <v>0.421822973518821</v>
      </c>
      <c r="AP104" s="4" t="n">
        <f aca="false">AO104/$Q104</f>
        <v>1.11006045662848</v>
      </c>
      <c r="AQ104" s="23" t="n">
        <f aca="false">AO104-$Q104</f>
        <v>0.041822973518821</v>
      </c>
    </row>
    <row r="105" customFormat="false" ht="14.25" hidden="false" customHeight="false" outlineLevel="0" collapsed="false">
      <c r="A105" s="1" t="s">
        <v>44</v>
      </c>
      <c r="B105" s="2" t="n">
        <v>16</v>
      </c>
      <c r="C105" s="3" t="n">
        <v>500</v>
      </c>
      <c r="D105" s="3" t="n">
        <v>2</v>
      </c>
      <c r="E105" s="2" t="n">
        <v>168</v>
      </c>
      <c r="F105" s="4" t="n">
        <v>3.269</v>
      </c>
      <c r="G105" s="2" t="n">
        <v>25</v>
      </c>
      <c r="H105" s="2" t="n">
        <v>33</v>
      </c>
      <c r="I105" s="1" t="n">
        <v>250</v>
      </c>
      <c r="J105" s="2" t="n">
        <v>333</v>
      </c>
      <c r="K105" s="3" t="n">
        <v>400</v>
      </c>
      <c r="L105" s="4" t="n">
        <v>12769</v>
      </c>
      <c r="M105" s="3" t="n">
        <v>73.3862853425291</v>
      </c>
      <c r="N105" s="12" t="n">
        <v>0.0157460983498901</v>
      </c>
      <c r="O105" s="4" t="n">
        <v>23.34</v>
      </c>
      <c r="P105" s="3" t="n">
        <v>83.250300076909</v>
      </c>
      <c r="Q105" s="4" t="n">
        <v>0.15</v>
      </c>
      <c r="R105" s="13" t="n">
        <f aca="false">P105/200000</f>
        <v>0.000416251500384545</v>
      </c>
      <c r="V105" s="4" t="n">
        <f aca="false">$W$2*($W$3*$G105+$W$4*$B105^$W$5*$N105^$W$6)*$R105^$W$7</f>
        <v>0.153600526986102</v>
      </c>
      <c r="W105" s="4" t="n">
        <f aca="false">V105/$Q105</f>
        <v>1.02400351324068</v>
      </c>
      <c r="Y105" s="4" t="n">
        <f aca="false">$Z$2*$B105^$Z$3*$R105^$Z$4*($Z$5*$N105^$Z$6+$Z$7)</f>
        <v>0.151203232770735</v>
      </c>
      <c r="Z105" s="4" t="n">
        <f aca="false">Y105/$Q105</f>
        <v>1.0080215518049</v>
      </c>
      <c r="AB105" s="4" t="n">
        <f aca="false">$AC$2*($AC$3+$AC$4*$F105/($N105*'Sem TS MC2020'!P97))*($AC$5*$G105+$AC$6*$B105/$N105)*'Sem TS MC2020'!R97*($J105-$M105)/($J105-$M105-$H105)</f>
        <v>0.127272540021034</v>
      </c>
      <c r="AC105" s="4" t="n">
        <f aca="false">AB105/$Q105</f>
        <v>0.848483600140224</v>
      </c>
      <c r="AD105" s="23" t="n">
        <f aca="false">AB105-$Q105</f>
        <v>-0.0227274599789665</v>
      </c>
      <c r="AE105" s="24" t="n">
        <f aca="false">1/AC105</f>
        <v>1.17857316256288</v>
      </c>
      <c r="AF105" s="24" t="n">
        <f aca="false">AB105*(14.068*'Sem TS MC2020'!$P97^-0.457)/$Q105</f>
        <v>1.03266157350831</v>
      </c>
      <c r="AG105" s="24"/>
      <c r="AO105" s="4" t="n">
        <f aca="false">$AP$2*($AP$3+$AP$4*$F105/($N105*'Sem TS MC2020'!P97))*($AP$5*$G105+$AP$6*$B105/$N105)*('Sem TS MC2020'!P97^$AP$7/200000)*($J105-$M105)/($J105-$M105-$H105)+('Sem TS MC2020'!P97-$C105/$AP$8)*($AP$5*$G105+$AP$6*$B105/$N105)/200000</f>
        <v>0.136740690363875</v>
      </c>
      <c r="AP105" s="4" t="n">
        <f aca="false">AO105/$Q105</f>
        <v>0.911604602425837</v>
      </c>
      <c r="AQ105" s="23" t="n">
        <f aca="false">AO105-$Q105</f>
        <v>-0.0132593096361245</v>
      </c>
    </row>
    <row r="106" customFormat="false" ht="14.25" hidden="false" customHeight="false" outlineLevel="0" collapsed="false">
      <c r="B106" s="2" t="n">
        <v>16</v>
      </c>
      <c r="C106" s="3" t="n">
        <v>500</v>
      </c>
      <c r="D106" s="3" t="n">
        <v>2</v>
      </c>
      <c r="E106" s="2" t="n">
        <v>168</v>
      </c>
      <c r="F106" s="4" t="n">
        <v>3.269</v>
      </c>
      <c r="G106" s="2" t="n">
        <v>25</v>
      </c>
      <c r="H106" s="2" t="n">
        <v>33</v>
      </c>
      <c r="I106" s="1" t="n">
        <v>250</v>
      </c>
      <c r="J106" s="2" t="n">
        <v>333</v>
      </c>
      <c r="K106" s="3" t="n">
        <v>400</v>
      </c>
      <c r="L106" s="4" t="n">
        <v>12769</v>
      </c>
      <c r="M106" s="3" t="n">
        <v>73.3862853425291</v>
      </c>
      <c r="N106" s="12" t="n">
        <v>0.0157460983498901</v>
      </c>
      <c r="O106" s="4" t="n">
        <v>26.26</v>
      </c>
      <c r="P106" s="3" t="n">
        <v>122.675935148359</v>
      </c>
      <c r="Q106" s="4" t="n">
        <v>0.18</v>
      </c>
      <c r="R106" s="13" t="n">
        <f aca="false">P106/200000</f>
        <v>0.000613379675741796</v>
      </c>
      <c r="V106" s="4" t="n">
        <f aca="false">$W$2*($W$3*$G106+$W$4*$B106^$W$5*$N106^$W$6)*$R106^$W$7</f>
        <v>0.195109851416948</v>
      </c>
      <c r="W106" s="4" t="n">
        <f aca="false">V106/$Q106</f>
        <v>1.08394361898304</v>
      </c>
      <c r="Y106" s="4" t="n">
        <f aca="false">$Z$2*$B106^$Z$3*$R106^$Z$4*($Z$5*$N106^$Z$6+$Z$7)</f>
        <v>0.192885543167252</v>
      </c>
      <c r="Z106" s="4" t="n">
        <f aca="false">Y106/$Q106</f>
        <v>1.07158635092918</v>
      </c>
      <c r="AB106" s="4" t="n">
        <f aca="false">$AC$2*($AC$3+$AC$4*$F106/($N106*'Sem TS MC2020'!P98))*($AC$5*$G106+$AC$6*$B106/$N106)*'Sem TS MC2020'!R98*($J106-$M106)/($J106-$M106-$H106)</f>
        <v>0.161394022394871</v>
      </c>
      <c r="AC106" s="4" t="n">
        <f aca="false">AB106/$Q106</f>
        <v>0.896633457749282</v>
      </c>
      <c r="AD106" s="23" t="n">
        <f aca="false">AB106-$Q106</f>
        <v>-0.0186059776051293</v>
      </c>
      <c r="AE106" s="24" t="n">
        <f aca="false">1/AC106</f>
        <v>1.11528294127032</v>
      </c>
      <c r="AF106" s="24" t="n">
        <f aca="false">AB106*(14.068*'Sem TS MC2020'!$P98^-0.457)/$Q106</f>
        <v>1.03403182642039</v>
      </c>
      <c r="AG106" s="24"/>
      <c r="AO106" s="4" t="n">
        <f aca="false">$AP$2*($AP$3+$AP$4*$F106/($N106*'Sem TS MC2020'!P98))*($AP$5*$G106+$AP$6*$B106/$N106)*('Sem TS MC2020'!P98^$AP$7/200000)*($J106-$M106)/($J106-$M106-$H106)+('Sem TS MC2020'!P98-$C106/$AP$8)*($AP$5*$G106+$AP$6*$B106/$N106)/200000</f>
        <v>0.173886416274092</v>
      </c>
      <c r="AP106" s="4" t="n">
        <f aca="false">AO106/$Q106</f>
        <v>0.966035645967179</v>
      </c>
      <c r="AQ106" s="23" t="n">
        <f aca="false">AO106-$Q106</f>
        <v>-0.0061135837259077</v>
      </c>
    </row>
    <row r="107" customFormat="false" ht="14.25" hidden="false" customHeight="false" outlineLevel="0" collapsed="false">
      <c r="B107" s="2" t="n">
        <v>16</v>
      </c>
      <c r="C107" s="3" t="n">
        <v>500</v>
      </c>
      <c r="D107" s="3" t="n">
        <v>2</v>
      </c>
      <c r="E107" s="2" t="n">
        <v>168</v>
      </c>
      <c r="F107" s="4" t="n">
        <v>3.269</v>
      </c>
      <c r="G107" s="2" t="n">
        <v>25</v>
      </c>
      <c r="H107" s="2" t="n">
        <v>33</v>
      </c>
      <c r="I107" s="1" t="n">
        <v>250</v>
      </c>
      <c r="J107" s="2" t="n">
        <v>333</v>
      </c>
      <c r="K107" s="3" t="n">
        <v>400</v>
      </c>
      <c r="L107" s="4" t="n">
        <v>12769</v>
      </c>
      <c r="M107" s="3" t="n">
        <v>73.3862853425291</v>
      </c>
      <c r="N107" s="12" t="n">
        <v>0.0157460983498901</v>
      </c>
      <c r="O107" s="4" t="n">
        <v>29.175</v>
      </c>
      <c r="P107" s="3" t="n">
        <v>162.034060570714</v>
      </c>
      <c r="Q107" s="4" t="n">
        <v>0.2</v>
      </c>
      <c r="R107" s="13" t="n">
        <f aca="false">P107/200000</f>
        <v>0.000810170302853571</v>
      </c>
      <c r="V107" s="4" t="n">
        <f aca="false">$W$2*($W$3*$G107+$W$4*$B107^$W$5*$N107^$W$6)*$R107^$W$7</f>
        <v>0.231655043068456</v>
      </c>
      <c r="W107" s="4" t="n">
        <f aca="false">V107/$Q107</f>
        <v>1.15827521534228</v>
      </c>
      <c r="Y107" s="4" t="n">
        <f aca="false">$Z$2*$B107^$Z$3*$R107^$Z$4*($Z$5*$N107^$Z$6+$Z$7)</f>
        <v>0.229716164084213</v>
      </c>
      <c r="Z107" s="4" t="n">
        <f aca="false">Y107/$Q107</f>
        <v>1.14858082042107</v>
      </c>
      <c r="AB107" s="4" t="n">
        <f aca="false">$AC$2*($AC$3+$AC$4*$F107/($N107*'Sem TS MC2020'!P99))*($AC$5*$G107+$AC$6*$B107/$N107)*'Sem TS MC2020'!R99*($J107-$M107)/($J107-$M107-$H107)</f>
        <v>0.195457077572862</v>
      </c>
      <c r="AC107" s="4" t="n">
        <f aca="false">AB107/$Q107</f>
        <v>0.977285387864311</v>
      </c>
      <c r="AD107" s="23" t="n">
        <f aca="false">AB107-$Q107</f>
        <v>-0.00454292242713783</v>
      </c>
      <c r="AE107" s="24" t="n">
        <f aca="false">1/AC107</f>
        <v>1.02324255782165</v>
      </c>
      <c r="AF107" s="24" t="n">
        <f aca="false">AB107*(14.068*'Sem TS MC2020'!$P99^-0.457)/$Q107</f>
        <v>1.07410835219977</v>
      </c>
      <c r="AG107" s="24"/>
      <c r="AO107" s="4" t="n">
        <f aca="false">$AP$2*($AP$3+$AP$4*$F107/($N107*'Sem TS MC2020'!P99))*($AP$5*$G107+$AP$6*$B107/$N107)*('Sem TS MC2020'!P99^$AP$7/200000)*($J107-$M107)/($J107-$M107-$H107)+('Sem TS MC2020'!P99-$C107/$AP$8)*($AP$5*$G107+$AP$6*$B107/$N107)/200000</f>
        <v>0.209919202645505</v>
      </c>
      <c r="AP107" s="4" t="n">
        <f aca="false">AO107/$Q107</f>
        <v>1.04959601322752</v>
      </c>
      <c r="AQ107" s="23" t="n">
        <f aca="false">AO107-$Q107</f>
        <v>0.0099192026455045</v>
      </c>
    </row>
    <row r="108" customFormat="false" ht="14.25" hidden="false" customHeight="false" outlineLevel="0" collapsed="false">
      <c r="B108" s="2" t="n">
        <v>16</v>
      </c>
      <c r="C108" s="3" t="n">
        <v>500</v>
      </c>
      <c r="D108" s="3" t="n">
        <v>2</v>
      </c>
      <c r="E108" s="2" t="n">
        <v>168</v>
      </c>
      <c r="F108" s="4" t="n">
        <v>3.269</v>
      </c>
      <c r="G108" s="2" t="n">
        <v>25</v>
      </c>
      <c r="H108" s="2" t="n">
        <v>33</v>
      </c>
      <c r="I108" s="1" t="n">
        <v>250</v>
      </c>
      <c r="J108" s="2" t="n">
        <v>333</v>
      </c>
      <c r="K108" s="3" t="n">
        <v>400</v>
      </c>
      <c r="L108" s="4" t="n">
        <v>12769</v>
      </c>
      <c r="M108" s="3" t="n">
        <v>73.3862853425291</v>
      </c>
      <c r="N108" s="12" t="n">
        <v>0.0157460983498901</v>
      </c>
      <c r="O108" s="4" t="n">
        <v>32.09</v>
      </c>
      <c r="P108" s="3" t="n">
        <v>201.392185993069</v>
      </c>
      <c r="Q108" s="4" t="n">
        <v>0.23</v>
      </c>
      <c r="R108" s="13" t="n">
        <f aca="false">P108/200000</f>
        <v>0.00100696092996535</v>
      </c>
      <c r="V108" s="4" t="n">
        <f aca="false">$W$2*($W$3*$G108+$W$4*$B108^$W$5*$N108^$W$6)*$R108^$W$7</f>
        <v>0.264916468169404</v>
      </c>
      <c r="W108" s="4" t="n">
        <f aca="false">V108/$Q108</f>
        <v>1.15181073117132</v>
      </c>
      <c r="Y108" s="4" t="n">
        <f aca="false">$Z$2*$B108^$Z$3*$R108^$Z$4*($Z$5*$N108^$Z$6+$Z$7)</f>
        <v>0.263328310203459</v>
      </c>
      <c r="Z108" s="4" t="n">
        <f aca="false">Y108/$Q108</f>
        <v>1.14490569653678</v>
      </c>
      <c r="AB108" s="4" t="n">
        <f aca="false">$AC$2*($AC$3+$AC$4*$F108/($N108*'Sem TS MC2020'!P100))*($AC$5*$G108+$AC$6*$B108/$N108)*'Sem TS MC2020'!R100*($J108-$M108)/($J108-$M108-$H108)</f>
        <v>0.229520132750854</v>
      </c>
      <c r="AC108" s="4" t="n">
        <f aca="false">AB108/$Q108</f>
        <v>0.997913620655886</v>
      </c>
      <c r="AD108" s="23" t="n">
        <f aca="false">AB108-$Q108</f>
        <v>-0.000479867249146226</v>
      </c>
      <c r="AE108" s="24" t="n">
        <f aca="false">1/AC108</f>
        <v>1.00209074142383</v>
      </c>
      <c r="AF108" s="24" t="n">
        <f aca="false">AB108*(14.068*'Sem TS MC2020'!$P100^-0.457)/$Q108</f>
        <v>1.05007094803438</v>
      </c>
      <c r="AG108" s="24"/>
      <c r="AO108" s="4" t="n">
        <f aca="false">$AP$2*($AP$3+$AP$4*$F108/($N108*'Sem TS MC2020'!P100))*($AP$5*$G108+$AP$6*$B108/$N108)*('Sem TS MC2020'!P100^$AP$7/200000)*($J108-$M108)/($J108-$M108-$H108)+('Sem TS MC2020'!P100-$C108/$AP$8)*($AP$5*$G108+$AP$6*$B108/$N108)/200000</f>
        <v>0.245064901482055</v>
      </c>
      <c r="AP108" s="4" t="n">
        <f aca="false">AO108/$Q108</f>
        <v>1.06549957166111</v>
      </c>
      <c r="AQ108" s="23" t="n">
        <f aca="false">AO108-$Q108</f>
        <v>0.0150649014820553</v>
      </c>
    </row>
    <row r="109" customFormat="false" ht="14.25" hidden="false" customHeight="false" outlineLevel="0" collapsed="false">
      <c r="B109" s="2" t="n">
        <v>16</v>
      </c>
      <c r="C109" s="3" t="n">
        <v>500</v>
      </c>
      <c r="D109" s="3" t="n">
        <v>2</v>
      </c>
      <c r="E109" s="2" t="n">
        <v>168</v>
      </c>
      <c r="F109" s="4" t="n">
        <v>3.269</v>
      </c>
      <c r="G109" s="2" t="n">
        <v>25</v>
      </c>
      <c r="H109" s="2" t="n">
        <v>33</v>
      </c>
      <c r="I109" s="1" t="n">
        <v>250</v>
      </c>
      <c r="J109" s="2" t="n">
        <v>333</v>
      </c>
      <c r="K109" s="3" t="n">
        <v>400</v>
      </c>
      <c r="L109" s="4" t="n">
        <v>12769</v>
      </c>
      <c r="M109" s="3" t="n">
        <v>73.3862853425291</v>
      </c>
      <c r="N109" s="12" t="n">
        <v>0.0157460983498901</v>
      </c>
      <c r="O109" s="4" t="n">
        <v>35.01</v>
      </c>
      <c r="P109" s="3" t="n">
        <v>240.817821064519</v>
      </c>
      <c r="Q109" s="4" t="n">
        <v>0.25</v>
      </c>
      <c r="R109" s="13" t="n">
        <f aca="false">P109/200000</f>
        <v>0.0012040891053226</v>
      </c>
      <c r="V109" s="4" t="n">
        <f aca="false">$W$2*($W$3*$G109+$W$4*$B109^$W$5*$N109^$W$6)*$R109^$W$7</f>
        <v>0.295812514116457</v>
      </c>
      <c r="W109" s="4" t="n">
        <f aca="false">V109/$Q109</f>
        <v>1.18325005646583</v>
      </c>
      <c r="Y109" s="4" t="n">
        <f aca="false">$Z$2*$B109^$Z$3*$R109^$Z$4*($Z$5*$N109^$Z$6+$Z$7)</f>
        <v>0.294617977884095</v>
      </c>
      <c r="Z109" s="4" t="n">
        <f aca="false">Y109/$Q109</f>
        <v>1.17847191153638</v>
      </c>
      <c r="AB109" s="4" t="n">
        <f aca="false">$AC$2*($AC$3+$AC$4*$F109/($N109*'Sem TS MC2020'!P101))*($AC$5*$G109+$AC$6*$B109/$N109)*'Sem TS MC2020'!R101*($J109-$M109)/($J109-$M109-$H109)</f>
        <v>0.263641615124691</v>
      </c>
      <c r="AC109" s="4" t="n">
        <f aca="false">AB109/$Q109</f>
        <v>1.05456646049876</v>
      </c>
      <c r="AD109" s="23" t="n">
        <f aca="false">AB109-$Q109</f>
        <v>0.013641615124691</v>
      </c>
      <c r="AE109" s="24" t="n">
        <f aca="false">1/AC109</f>
        <v>0.948256973322519</v>
      </c>
      <c r="AF109" s="24" t="n">
        <f aca="false">AB109*(14.068*'Sem TS MC2020'!$P101^-0.457)/$Q109</f>
        <v>1.0663869303792</v>
      </c>
      <c r="AG109" s="24"/>
      <c r="AO109" s="4" t="n">
        <f aca="false">$AP$2*($AP$3+$AP$4*$F109/($N109*'Sem TS MC2020'!P101))*($AP$5*$G109+$AP$6*$B109/$N109)*('Sem TS MC2020'!P101^$AP$7/200000)*($J109-$M109)/($J109-$M109-$H109)+('Sem TS MC2020'!P101-$C109/$AP$8)*($AP$5*$G109+$AP$6*$B109/$N109)/200000</f>
        <v>0.27950441759998</v>
      </c>
      <c r="AP109" s="4" t="n">
        <f aca="false">AO109/$Q109</f>
        <v>1.11801767039992</v>
      </c>
      <c r="AQ109" s="23" t="n">
        <f aca="false">AO109-$Q109</f>
        <v>0.0295044175999805</v>
      </c>
    </row>
    <row r="110" customFormat="false" ht="14.25" hidden="false" customHeight="false" outlineLevel="0" collapsed="false">
      <c r="B110" s="2" t="n">
        <v>16</v>
      </c>
      <c r="C110" s="3" t="n">
        <v>500</v>
      </c>
      <c r="D110" s="3" t="n">
        <v>2</v>
      </c>
      <c r="E110" s="2" t="n">
        <v>168</v>
      </c>
      <c r="F110" s="4" t="n">
        <v>3.269</v>
      </c>
      <c r="G110" s="2" t="n">
        <v>25</v>
      </c>
      <c r="H110" s="2" t="n">
        <v>33</v>
      </c>
      <c r="I110" s="1" t="n">
        <v>250</v>
      </c>
      <c r="J110" s="2" t="n">
        <v>333</v>
      </c>
      <c r="K110" s="3" t="n">
        <v>400</v>
      </c>
      <c r="L110" s="4" t="n">
        <v>12769</v>
      </c>
      <c r="M110" s="3" t="n">
        <v>73.3862853425291</v>
      </c>
      <c r="N110" s="12" t="n">
        <v>0.0157460983498901</v>
      </c>
      <c r="O110" s="4" t="n">
        <v>37.93</v>
      </c>
      <c r="P110" s="3" t="n">
        <v>280.24345613597</v>
      </c>
      <c r="Q110" s="4" t="n">
        <v>0.3</v>
      </c>
      <c r="R110" s="13" t="n">
        <f aca="false">P110/200000</f>
        <v>0.00140121728067985</v>
      </c>
      <c r="V110" s="4" t="n">
        <f aca="false">$W$2*($W$3*$G110+$W$4*$B110^$W$5*$N110^$W$6)*$R110^$W$7</f>
        <v>0.324820966149906</v>
      </c>
      <c r="W110" s="4" t="n">
        <f aca="false">V110/$Q110</f>
        <v>1.08273655383302</v>
      </c>
      <c r="Y110" s="4" t="n">
        <f aca="false">$Z$2*$B110^$Z$3*$R110^$Z$4*($Z$5*$N110^$Z$6+$Z$7)</f>
        <v>0.324049287646129</v>
      </c>
      <c r="Z110" s="4" t="n">
        <f aca="false">Y110/$Q110</f>
        <v>1.08016429215376</v>
      </c>
      <c r="AB110" s="4" t="n">
        <f aca="false">$AC$2*($AC$3+$AC$4*$F110/($N110*'Sem TS MC2020'!P102))*($AC$5*$G110+$AC$6*$B110/$N110)*'Sem TS MC2020'!R102*($J110-$M110)/($J110-$M110-$H110)</f>
        <v>0.297763097498528</v>
      </c>
      <c r="AC110" s="4" t="n">
        <f aca="false">AB110/$Q110</f>
        <v>0.992543658328427</v>
      </c>
      <c r="AD110" s="23" t="n">
        <f aca="false">AB110-$Q110</f>
        <v>-0.00223690250147196</v>
      </c>
      <c r="AE110" s="24" t="n">
        <f aca="false">1/AC110</f>
        <v>1.00751235636741</v>
      </c>
      <c r="AF110" s="24" t="n">
        <f aca="false">AB110*(14.068*'Sem TS MC2020'!$P102^-0.457)/$Q110</f>
        <v>0.96758942500495</v>
      </c>
      <c r="AG110" s="24"/>
      <c r="AO110" s="4" t="n">
        <f aca="false">$AP$2*($AP$3+$AP$4*$F110/($N110*'Sem TS MC2020'!P102))*($AP$5*$G110+$AP$6*$B110/$N110)*('Sem TS MC2020'!P102^$AP$7/200000)*($J110-$M110)/($J110-$M110-$H110)+('Sem TS MC2020'!P102-$C110/$AP$8)*($AP$5*$G110+$AP$6*$B110/$N110)/200000</f>
        <v>0.313272948375741</v>
      </c>
      <c r="AP110" s="4" t="n">
        <f aca="false">AO110/$Q110</f>
        <v>1.04424316125247</v>
      </c>
      <c r="AQ110" s="23" t="n">
        <f aca="false">AO110-$Q110</f>
        <v>0.0132729483757408</v>
      </c>
    </row>
    <row r="111" customFormat="false" ht="14.25" hidden="false" customHeight="false" outlineLevel="0" collapsed="false">
      <c r="B111" s="2" t="n">
        <v>16</v>
      </c>
      <c r="C111" s="3" t="n">
        <v>500</v>
      </c>
      <c r="D111" s="3" t="n">
        <v>2</v>
      </c>
      <c r="E111" s="2" t="n">
        <v>168</v>
      </c>
      <c r="F111" s="4" t="n">
        <v>3.269</v>
      </c>
      <c r="G111" s="2" t="n">
        <v>25</v>
      </c>
      <c r="H111" s="2" t="n">
        <v>33</v>
      </c>
      <c r="I111" s="1" t="n">
        <v>250</v>
      </c>
      <c r="J111" s="2" t="n">
        <v>333</v>
      </c>
      <c r="K111" s="3" t="n">
        <v>400</v>
      </c>
      <c r="L111" s="4" t="n">
        <v>12769</v>
      </c>
      <c r="M111" s="3" t="n">
        <v>73.3862853425291</v>
      </c>
      <c r="N111" s="12" t="n">
        <v>0.0157460983498901</v>
      </c>
      <c r="O111" s="4" t="n">
        <v>40.84</v>
      </c>
      <c r="P111" s="3" t="n">
        <v>319.53407190923</v>
      </c>
      <c r="Q111" s="4" t="n">
        <v>0.3</v>
      </c>
      <c r="R111" s="13" t="n">
        <f aca="false">P111/200000</f>
        <v>0.00159767035954615</v>
      </c>
      <c r="V111" s="4" t="n">
        <f aca="false">$W$2*($W$3*$G111+$W$4*$B111^$W$5*$N111^$W$6)*$R111^$W$7</f>
        <v>0.352210061861838</v>
      </c>
      <c r="W111" s="4" t="n">
        <f aca="false">V111/$Q111</f>
        <v>1.17403353953946</v>
      </c>
      <c r="Y111" s="4" t="n">
        <f aca="false">$Z$2*$B111^$Z$3*$R111^$Z$4*($Z$5*$N111^$Z$6+$Z$7)</f>
        <v>0.351880803159311</v>
      </c>
      <c r="Z111" s="4" t="n">
        <f aca="false">Y111/$Q111</f>
        <v>1.17293601053104</v>
      </c>
      <c r="AB111" s="4" t="n">
        <f aca="false">$AC$2*($AC$3+$AC$4*$F111/($N111*'Sem TS MC2020'!P103))*($AC$5*$G111+$AC$6*$B111/$N111)*'Sem TS MC2020'!R103*($J111-$M111)/($J111-$M111-$H111)</f>
        <v>0.331767725480674</v>
      </c>
      <c r="AC111" s="4" t="n">
        <f aca="false">AB111/$Q111</f>
        <v>1.10589241826891</v>
      </c>
      <c r="AD111" s="23" t="n">
        <f aca="false">AB111-$Q111</f>
        <v>0.0317677254806741</v>
      </c>
      <c r="AE111" s="24" t="n">
        <f aca="false">1/AC111</f>
        <v>0.904247089029989</v>
      </c>
      <c r="AF111" s="24" t="n">
        <f aca="false">AB111*(14.068*'Sem TS MC2020'!$P103^-0.457)/$Q111</f>
        <v>1.04227747922996</v>
      </c>
      <c r="AG111" s="24"/>
      <c r="AO111" s="4" t="n">
        <f aca="false">$AP$2*($AP$3+$AP$4*$F111/($N111*'Sem TS MC2020'!P103))*($AP$5*$G111+$AP$6*$B111/$N111)*('Sem TS MC2020'!P103^$AP$7/200000)*($J111-$M111)/($J111-$M111-$H111)+('Sem TS MC2020'!P103-$C111/$AP$8)*($AP$5*$G111+$AP$6*$B111/$N111)/200000</f>
        <v>0.346334681660198</v>
      </c>
      <c r="AP111" s="4" t="n">
        <f aca="false">AO111/$Q111</f>
        <v>1.15444893886733</v>
      </c>
      <c r="AQ111" s="23" t="n">
        <f aca="false">AO111-$Q111</f>
        <v>0.0463346816601984</v>
      </c>
    </row>
    <row r="112" customFormat="false" ht="14.25" hidden="false" customHeight="false" outlineLevel="0" collapsed="false">
      <c r="A112" s="1" t="s">
        <v>45</v>
      </c>
      <c r="B112" s="2" t="n">
        <v>16</v>
      </c>
      <c r="C112" s="3" t="n">
        <v>500</v>
      </c>
      <c r="D112" s="3" t="n">
        <v>2</v>
      </c>
      <c r="E112" s="2" t="n">
        <v>168</v>
      </c>
      <c r="F112" s="4" t="n">
        <v>3.269</v>
      </c>
      <c r="G112" s="2" t="n">
        <v>25</v>
      </c>
      <c r="H112" s="2" t="n">
        <v>33</v>
      </c>
      <c r="I112" s="1" t="n">
        <v>250</v>
      </c>
      <c r="J112" s="2" t="n">
        <v>333</v>
      </c>
      <c r="K112" s="3" t="n">
        <v>400</v>
      </c>
      <c r="L112" s="4" t="n">
        <v>12769</v>
      </c>
      <c r="M112" s="3" t="n">
        <v>73.3862853425291</v>
      </c>
      <c r="N112" s="12" t="n">
        <v>0.0157460983498901</v>
      </c>
      <c r="O112" s="4" t="n">
        <v>20.42</v>
      </c>
      <c r="P112" s="3" t="n">
        <v>46.1431193311785</v>
      </c>
      <c r="Q112" s="4" t="n">
        <v>0.15</v>
      </c>
      <c r="R112" s="13" t="n">
        <f aca="false">P112/200000</f>
        <v>0.000230715596655893</v>
      </c>
      <c r="V112" s="4" t="n">
        <f aca="false">$W$2*($W$3*$G112+$W$4*$B112^$W$5*$N112^$W$6)*$R112^$W$7</f>
        <v>0.106725611191628</v>
      </c>
      <c r="W112" s="4" t="n">
        <f aca="false">V112/$Q112</f>
        <v>0.711504074610855</v>
      </c>
      <c r="Y112" s="4" t="n">
        <f aca="false">$Z$2*$B112^$Z$3*$R112^$Z$4*($Z$5*$N112^$Z$6+$Z$7)</f>
        <v>0.104380158994087</v>
      </c>
      <c r="Z112" s="4" t="n">
        <f aca="false">Y112/$Q112</f>
        <v>0.695867726627244</v>
      </c>
      <c r="AB112" s="4" t="n">
        <f aca="false">$AC$2*($AC$3+$AC$4*$F112/($N112*'Sem TS MC2020'!P104))*($AC$5*$G112+$AC$6*$B112/$N112)*'Sem TS MC2020'!R104*($J112-$M112)/($J112-$M112-$H112)</f>
        <v>0.0931510576471963</v>
      </c>
      <c r="AC112" s="4" t="n">
        <f aca="false">AB112/$Q112</f>
        <v>0.621007050981309</v>
      </c>
      <c r="AD112" s="23" t="n">
        <f aca="false">AB112-$Q112</f>
        <v>-0.0568489423528037</v>
      </c>
      <c r="AE112" s="24" t="n">
        <f aca="false">1/AC112</f>
        <v>1.61028767454381</v>
      </c>
      <c r="AF112" s="24" t="n">
        <f aca="false">AB112*(14.068*'Sem TS MC2020'!$P104^-0.457)/$Q112</f>
        <v>0.803410886995321</v>
      </c>
      <c r="AG112" s="24"/>
      <c r="AO112" s="4" t="n">
        <f aca="false">$AP$2*($AP$3+$AP$4*$F112/($N112*'Sem TS MC2020'!P104))*($AP$5*$G112+$AP$6*$B112/$N112)*('Sem TS MC2020'!P104^$AP$7/200000)*($J112-$M112)/($J112-$M112-$H112)+('Sem TS MC2020'!P104-$C112/$AP$8)*($AP$5*$G112+$AP$6*$B112/$N112)/200000</f>
        <v>0.0983222715772575</v>
      </c>
      <c r="AP112" s="4" t="n">
        <f aca="false">AO112/$Q112</f>
        <v>0.65548181051505</v>
      </c>
      <c r="AQ112" s="23" t="n">
        <f aca="false">AO112-$Q112</f>
        <v>-0.0516777284227425</v>
      </c>
    </row>
    <row r="113" customFormat="false" ht="14.25" hidden="false" customHeight="false" outlineLevel="0" collapsed="false">
      <c r="B113" s="2" t="n">
        <v>16</v>
      </c>
      <c r="C113" s="3" t="n">
        <v>500</v>
      </c>
      <c r="D113" s="3" t="n">
        <v>2</v>
      </c>
      <c r="E113" s="2" t="n">
        <v>168</v>
      </c>
      <c r="F113" s="4" t="n">
        <v>3.269</v>
      </c>
      <c r="G113" s="2" t="n">
        <v>25</v>
      </c>
      <c r="H113" s="2" t="n">
        <v>33</v>
      </c>
      <c r="I113" s="1" t="n">
        <v>250</v>
      </c>
      <c r="J113" s="2" t="n">
        <v>333</v>
      </c>
      <c r="K113" s="3" t="n">
        <v>400</v>
      </c>
      <c r="L113" s="4" t="n">
        <v>12769</v>
      </c>
      <c r="M113" s="3" t="n">
        <v>73.3862853425291</v>
      </c>
      <c r="N113" s="12" t="n">
        <v>0.0157460983498901</v>
      </c>
      <c r="O113" s="4" t="n">
        <v>23.34</v>
      </c>
      <c r="P113" s="3" t="n">
        <v>83.250300076909</v>
      </c>
      <c r="Q113" s="4" t="n">
        <v>0.18</v>
      </c>
      <c r="R113" s="13" t="n">
        <f aca="false">P113/200000</f>
        <v>0.000416251500384545</v>
      </c>
      <c r="V113" s="4" t="n">
        <f aca="false">$W$2*($W$3*$G113+$W$4*$B113^$W$5*$N113^$W$6)*$R113^$W$7</f>
        <v>0.153600526986102</v>
      </c>
      <c r="W113" s="4" t="n">
        <f aca="false">V113/$Q113</f>
        <v>0.853336261033902</v>
      </c>
      <c r="Y113" s="4" t="n">
        <f aca="false">$Z$2*$B113^$Z$3*$R113^$Z$4*($Z$5*$N113^$Z$6+$Z$7)</f>
        <v>0.151203232770735</v>
      </c>
      <c r="Z113" s="4" t="n">
        <f aca="false">Y113/$Q113</f>
        <v>0.840017959837418</v>
      </c>
      <c r="AB113" s="4" t="n">
        <f aca="false">$AC$2*($AC$3+$AC$4*$F113/($N113*'Sem TS MC2020'!P105))*($AC$5*$G113+$AC$6*$B113/$N113)*'Sem TS MC2020'!R105*($J113-$M113)/($J113-$M113-$H113)</f>
        <v>0.127272540021034</v>
      </c>
      <c r="AC113" s="4" t="n">
        <f aca="false">AB113/$Q113</f>
        <v>0.70706966678352</v>
      </c>
      <c r="AD113" s="23" t="n">
        <f aca="false">AB113-$Q113</f>
        <v>-0.0527274599789665</v>
      </c>
      <c r="AE113" s="24" t="n">
        <f aca="false">1/AC113</f>
        <v>1.41428779507545</v>
      </c>
      <c r="AF113" s="24" t="n">
        <f aca="false">AB113*(14.068*'Sem TS MC2020'!$P105^-0.457)/$Q113</f>
        <v>0.860551311256929</v>
      </c>
      <c r="AG113" s="24"/>
      <c r="AO113" s="4" t="n">
        <f aca="false">$AP$2*($AP$3+$AP$4*$F113/($N113*'Sem TS MC2020'!P105))*($AP$5*$G113+$AP$6*$B113/$N113)*('Sem TS MC2020'!P105^$AP$7/200000)*($J113-$M113)/($J113-$M113-$H113)+('Sem TS MC2020'!P105-$C113/$AP$8)*($AP$5*$G113+$AP$6*$B113/$N113)/200000</f>
        <v>0.136740690363875</v>
      </c>
      <c r="AP113" s="4" t="n">
        <f aca="false">AO113/$Q113</f>
        <v>0.759670502021531</v>
      </c>
      <c r="AQ113" s="23" t="n">
        <f aca="false">AO113-$Q113</f>
        <v>-0.0432593096361245</v>
      </c>
    </row>
    <row r="114" customFormat="false" ht="14.25" hidden="false" customHeight="false" outlineLevel="0" collapsed="false">
      <c r="B114" s="2" t="n">
        <v>16</v>
      </c>
      <c r="C114" s="3" t="n">
        <v>500</v>
      </c>
      <c r="D114" s="3" t="n">
        <v>2</v>
      </c>
      <c r="E114" s="2" t="n">
        <v>168</v>
      </c>
      <c r="F114" s="4" t="n">
        <v>3.269</v>
      </c>
      <c r="G114" s="2" t="n">
        <v>25</v>
      </c>
      <c r="H114" s="2" t="n">
        <v>33</v>
      </c>
      <c r="I114" s="1" t="n">
        <v>250</v>
      </c>
      <c r="J114" s="2" t="n">
        <v>333</v>
      </c>
      <c r="K114" s="3" t="n">
        <v>400</v>
      </c>
      <c r="L114" s="4" t="n">
        <v>12769</v>
      </c>
      <c r="M114" s="3" t="n">
        <v>73.3862853425291</v>
      </c>
      <c r="N114" s="12" t="n">
        <v>0.0157460983498901</v>
      </c>
      <c r="O114" s="4" t="n">
        <v>26.26</v>
      </c>
      <c r="P114" s="3" t="n">
        <v>122.675935148359</v>
      </c>
      <c r="Q114" s="4" t="n">
        <v>0.18</v>
      </c>
      <c r="R114" s="13" t="n">
        <f aca="false">P114/200000</f>
        <v>0.000613379675741796</v>
      </c>
      <c r="V114" s="4" t="n">
        <f aca="false">$W$2*($W$3*$G114+$W$4*$B114^$W$5*$N114^$W$6)*$R114^$W$7</f>
        <v>0.195109851416948</v>
      </c>
      <c r="W114" s="4" t="n">
        <f aca="false">V114/$Q114</f>
        <v>1.08394361898304</v>
      </c>
      <c r="Y114" s="4" t="n">
        <f aca="false">$Z$2*$B114^$Z$3*$R114^$Z$4*($Z$5*$N114^$Z$6+$Z$7)</f>
        <v>0.192885543167252</v>
      </c>
      <c r="Z114" s="4" t="n">
        <f aca="false">Y114/$Q114</f>
        <v>1.07158635092918</v>
      </c>
      <c r="AB114" s="4" t="n">
        <f aca="false">$AC$2*($AC$3+$AC$4*$F114/($N114*'Sem TS MC2020'!P106))*($AC$5*$G114+$AC$6*$B114/$N114)*'Sem TS MC2020'!R106*($J114-$M114)/($J114-$M114-$H114)</f>
        <v>0.161394022394871</v>
      </c>
      <c r="AC114" s="4" t="n">
        <f aca="false">AB114/$Q114</f>
        <v>0.896633457749282</v>
      </c>
      <c r="AD114" s="23" t="n">
        <f aca="false">AB114-$Q114</f>
        <v>-0.0186059776051293</v>
      </c>
      <c r="AE114" s="24" t="n">
        <f aca="false">1/AC114</f>
        <v>1.11528294127032</v>
      </c>
      <c r="AF114" s="24" t="n">
        <f aca="false">AB114*(14.068*'Sem TS MC2020'!$P106^-0.457)/$Q114</f>
        <v>1.03403182642039</v>
      </c>
      <c r="AG114" s="24"/>
      <c r="AO114" s="4" t="n">
        <f aca="false">$AP$2*($AP$3+$AP$4*$F114/($N114*'Sem TS MC2020'!P106))*($AP$5*$G114+$AP$6*$B114/$N114)*('Sem TS MC2020'!P106^$AP$7/200000)*($J114-$M114)/($J114-$M114-$H114)+('Sem TS MC2020'!P106-$C114/$AP$8)*($AP$5*$G114+$AP$6*$B114/$N114)/200000</f>
        <v>0.173886416274092</v>
      </c>
      <c r="AP114" s="4" t="n">
        <f aca="false">AO114/$Q114</f>
        <v>0.966035645967179</v>
      </c>
      <c r="AQ114" s="23" t="n">
        <f aca="false">AO114-$Q114</f>
        <v>-0.0061135837259077</v>
      </c>
    </row>
    <row r="115" customFormat="false" ht="14.25" hidden="false" customHeight="false" outlineLevel="0" collapsed="false">
      <c r="B115" s="2" t="n">
        <v>16</v>
      </c>
      <c r="C115" s="3" t="n">
        <v>500</v>
      </c>
      <c r="D115" s="3" t="n">
        <v>2</v>
      </c>
      <c r="E115" s="2" t="n">
        <v>168</v>
      </c>
      <c r="F115" s="4" t="n">
        <v>3.269</v>
      </c>
      <c r="G115" s="2" t="n">
        <v>25</v>
      </c>
      <c r="H115" s="2" t="n">
        <v>33</v>
      </c>
      <c r="I115" s="1" t="n">
        <v>250</v>
      </c>
      <c r="J115" s="2" t="n">
        <v>333</v>
      </c>
      <c r="K115" s="3" t="n">
        <v>400</v>
      </c>
      <c r="L115" s="4" t="n">
        <v>12769</v>
      </c>
      <c r="M115" s="3" t="n">
        <v>73.3862853425291</v>
      </c>
      <c r="N115" s="12" t="n">
        <v>0.0157460983498901</v>
      </c>
      <c r="O115" s="4" t="n">
        <v>29.175</v>
      </c>
      <c r="P115" s="3" t="n">
        <v>162.034060570714</v>
      </c>
      <c r="Q115" s="4" t="n">
        <v>0.25</v>
      </c>
      <c r="R115" s="13" t="n">
        <f aca="false">P115/200000</f>
        <v>0.000810170302853571</v>
      </c>
      <c r="V115" s="4" t="n">
        <f aca="false">$W$2*($W$3*$G115+$W$4*$B115^$W$5*$N115^$W$6)*$R115^$W$7</f>
        <v>0.231655043068456</v>
      </c>
      <c r="W115" s="4" t="n">
        <f aca="false">V115/$Q115</f>
        <v>0.926620172273823</v>
      </c>
      <c r="Y115" s="4" t="n">
        <f aca="false">$Z$2*$B115^$Z$3*$R115^$Z$4*($Z$5*$N115^$Z$6+$Z$7)</f>
        <v>0.229716164084213</v>
      </c>
      <c r="Z115" s="4" t="n">
        <f aca="false">Y115/$Q115</f>
        <v>0.918864656336853</v>
      </c>
      <c r="AB115" s="4" t="n">
        <f aca="false">$AC$2*($AC$3+$AC$4*$F115/($N115*'Sem TS MC2020'!P107))*($AC$5*$G115+$AC$6*$B115/$N115)*'Sem TS MC2020'!R107*($J115-$M115)/($J115-$M115-$H115)</f>
        <v>0.195457077572862</v>
      </c>
      <c r="AC115" s="4" t="n">
        <f aca="false">AB115/$Q115</f>
        <v>0.781828310291449</v>
      </c>
      <c r="AD115" s="23" t="n">
        <f aca="false">AB115-$Q115</f>
        <v>-0.0545429224271378</v>
      </c>
      <c r="AE115" s="24" t="n">
        <f aca="false">1/AC115</f>
        <v>1.27905319727706</v>
      </c>
      <c r="AF115" s="24" t="n">
        <f aca="false">AB115*(14.068*'Sem TS MC2020'!$P107^-0.457)/$Q115</f>
        <v>0.859286681759812</v>
      </c>
      <c r="AG115" s="24"/>
      <c r="AO115" s="4" t="n">
        <f aca="false">$AP$2*($AP$3+$AP$4*$F115/($N115*'Sem TS MC2020'!P107))*($AP$5*$G115+$AP$6*$B115/$N115)*('Sem TS MC2020'!P107^$AP$7/200000)*($J115-$M115)/($J115-$M115-$H115)+('Sem TS MC2020'!P107-$C115/$AP$8)*($AP$5*$G115+$AP$6*$B115/$N115)/200000</f>
        <v>0.209919202645505</v>
      </c>
      <c r="AP115" s="4" t="n">
        <f aca="false">AO115/$Q115</f>
        <v>0.839676810582018</v>
      </c>
      <c r="AQ115" s="23" t="n">
        <f aca="false">AO115-$Q115</f>
        <v>-0.0400807973544955</v>
      </c>
    </row>
    <row r="116" customFormat="false" ht="14.25" hidden="false" customHeight="false" outlineLevel="0" collapsed="false">
      <c r="B116" s="2" t="n">
        <v>16</v>
      </c>
      <c r="C116" s="3" t="n">
        <v>500</v>
      </c>
      <c r="D116" s="3" t="n">
        <v>2</v>
      </c>
      <c r="E116" s="2" t="n">
        <v>168</v>
      </c>
      <c r="F116" s="4" t="n">
        <v>3.269</v>
      </c>
      <c r="G116" s="2" t="n">
        <v>25</v>
      </c>
      <c r="H116" s="2" t="n">
        <v>33</v>
      </c>
      <c r="I116" s="1" t="n">
        <v>250</v>
      </c>
      <c r="J116" s="2" t="n">
        <v>333</v>
      </c>
      <c r="K116" s="3" t="n">
        <v>400</v>
      </c>
      <c r="L116" s="4" t="n">
        <v>12769</v>
      </c>
      <c r="M116" s="3" t="n">
        <v>73.3862853425291</v>
      </c>
      <c r="N116" s="12" t="n">
        <v>0.0157460983498901</v>
      </c>
      <c r="O116" s="4" t="n">
        <v>32.09</v>
      </c>
      <c r="P116" s="3" t="n">
        <v>201.392185993069</v>
      </c>
      <c r="Q116" s="4" t="n">
        <v>0.28</v>
      </c>
      <c r="R116" s="13" t="n">
        <f aca="false">P116/200000</f>
        <v>0.00100696092996535</v>
      </c>
      <c r="V116" s="4" t="n">
        <f aca="false">$W$2*($W$3*$G116+$W$4*$B116^$W$5*$N116^$W$6)*$R116^$W$7</f>
        <v>0.264916468169404</v>
      </c>
      <c r="W116" s="4" t="n">
        <f aca="false">V116/$Q116</f>
        <v>0.946130243462158</v>
      </c>
      <c r="Y116" s="4" t="n">
        <f aca="false">$Z$2*$B116^$Z$3*$R116^$Z$4*($Z$5*$N116^$Z$6+$Z$7)</f>
        <v>0.263328310203459</v>
      </c>
      <c r="Z116" s="4" t="n">
        <f aca="false">Y116/$Q116</f>
        <v>0.940458250726638</v>
      </c>
      <c r="AB116" s="4" t="n">
        <f aca="false">$AC$2*($AC$3+$AC$4*$F116/($N116*'Sem TS MC2020'!P108))*($AC$5*$G116+$AC$6*$B116/$N116)*'Sem TS MC2020'!R108*($J116-$M116)/($J116-$M116-$H116)</f>
        <v>0.229520132750854</v>
      </c>
      <c r="AC116" s="4" t="n">
        <f aca="false">AB116/$Q116</f>
        <v>0.819714759824478</v>
      </c>
      <c r="AD116" s="23" t="n">
        <f aca="false">AB116-$Q116</f>
        <v>-0.0504798672491462</v>
      </c>
      <c r="AE116" s="24" t="n">
        <f aca="false">1/AC116</f>
        <v>1.21993655477684</v>
      </c>
      <c r="AF116" s="24" t="n">
        <f aca="false">AB116*(14.068*'Sem TS MC2020'!$P108^-0.457)/$Q116</f>
        <v>0.862558278742529</v>
      </c>
      <c r="AG116" s="24"/>
      <c r="AO116" s="4" t="n">
        <f aca="false">$AP$2*($AP$3+$AP$4*$F116/($N116*'Sem TS MC2020'!P108))*($AP$5*$G116+$AP$6*$B116/$N116)*('Sem TS MC2020'!P108^$AP$7/200000)*($J116-$M116)/($J116-$M116-$H116)+('Sem TS MC2020'!P108-$C116/$AP$8)*($AP$5*$G116+$AP$6*$B116/$N116)/200000</f>
        <v>0.245064901482055</v>
      </c>
      <c r="AP116" s="4" t="n">
        <f aca="false">AO116/$Q116</f>
        <v>0.87523179100734</v>
      </c>
      <c r="AQ116" s="23" t="n">
        <f aca="false">AO116-$Q116</f>
        <v>-0.0349350985179447</v>
      </c>
    </row>
    <row r="117" customFormat="false" ht="14.25" hidden="false" customHeight="false" outlineLevel="0" collapsed="false">
      <c r="B117" s="2" t="n">
        <v>16</v>
      </c>
      <c r="C117" s="3" t="n">
        <v>500</v>
      </c>
      <c r="D117" s="3" t="n">
        <v>2</v>
      </c>
      <c r="E117" s="2" t="n">
        <v>168</v>
      </c>
      <c r="F117" s="4" t="n">
        <v>3.269</v>
      </c>
      <c r="G117" s="2" t="n">
        <v>25</v>
      </c>
      <c r="H117" s="2" t="n">
        <v>33</v>
      </c>
      <c r="I117" s="1" t="n">
        <v>250</v>
      </c>
      <c r="J117" s="2" t="n">
        <v>333</v>
      </c>
      <c r="K117" s="3" t="n">
        <v>400</v>
      </c>
      <c r="L117" s="4" t="n">
        <v>12769</v>
      </c>
      <c r="M117" s="3" t="n">
        <v>73.3862853425291</v>
      </c>
      <c r="N117" s="12" t="n">
        <v>0.0157460983498901</v>
      </c>
      <c r="O117" s="4" t="n">
        <v>35.01</v>
      </c>
      <c r="P117" s="3" t="n">
        <v>240.817821064519</v>
      </c>
      <c r="Q117" s="4" t="n">
        <v>0.33</v>
      </c>
      <c r="R117" s="13" t="n">
        <f aca="false">P117/200000</f>
        <v>0.0012040891053226</v>
      </c>
      <c r="V117" s="4" t="n">
        <f aca="false">$W$2*($W$3*$G117+$W$4*$B117^$W$5*$N117^$W$6)*$R117^$W$7</f>
        <v>0.295812514116457</v>
      </c>
      <c r="W117" s="4" t="n">
        <f aca="false">V117/$Q117</f>
        <v>0.896401557928657</v>
      </c>
      <c r="Y117" s="4" t="n">
        <f aca="false">$Z$2*$B117^$Z$3*$R117^$Z$4*($Z$5*$N117^$Z$6+$Z$7)</f>
        <v>0.294617977884095</v>
      </c>
      <c r="Z117" s="4" t="n">
        <f aca="false">Y117/$Q117</f>
        <v>0.892781751163923</v>
      </c>
      <c r="AB117" s="4" t="n">
        <f aca="false">$AC$2*($AC$3+$AC$4*$F117/($N117*'Sem TS MC2020'!P109))*($AC$5*$G117+$AC$6*$B117/$N117)*'Sem TS MC2020'!R109*($J117-$M117)/($J117-$M117-$H117)</f>
        <v>0.263641615124691</v>
      </c>
      <c r="AC117" s="4" t="n">
        <f aca="false">AB117/$Q117</f>
        <v>0.798913985226336</v>
      </c>
      <c r="AD117" s="23" t="n">
        <f aca="false">AB117-$Q117</f>
        <v>-0.066358384875309</v>
      </c>
      <c r="AE117" s="24" t="n">
        <f aca="false">1/AC117</f>
        <v>1.25169920478573</v>
      </c>
      <c r="AF117" s="24" t="n">
        <f aca="false">AB117*(14.068*'Sem TS MC2020'!$P109^-0.457)/$Q117</f>
        <v>0.807868886650907</v>
      </c>
      <c r="AG117" s="24"/>
      <c r="AO117" s="4" t="n">
        <f aca="false">$AP$2*($AP$3+$AP$4*$F117/($N117*'Sem TS MC2020'!P109))*($AP$5*$G117+$AP$6*$B117/$N117)*('Sem TS MC2020'!P109^$AP$7/200000)*($J117-$M117)/($J117-$M117-$H117)+('Sem TS MC2020'!P109-$C117/$AP$8)*($AP$5*$G117+$AP$6*$B117/$N117)/200000</f>
        <v>0.27950441759998</v>
      </c>
      <c r="AP117" s="4" t="n">
        <f aca="false">AO117/$Q117</f>
        <v>0.846983083636304</v>
      </c>
      <c r="AQ117" s="23" t="n">
        <f aca="false">AO117-$Q117</f>
        <v>-0.0504955824000196</v>
      </c>
    </row>
    <row r="118" customFormat="false" ht="14.25" hidden="false" customHeight="false" outlineLevel="0" collapsed="false">
      <c r="B118" s="2" t="n">
        <v>16</v>
      </c>
      <c r="C118" s="3" t="n">
        <v>500</v>
      </c>
      <c r="D118" s="3" t="n">
        <v>2</v>
      </c>
      <c r="E118" s="2" t="n">
        <v>168</v>
      </c>
      <c r="F118" s="4" t="n">
        <v>3.269</v>
      </c>
      <c r="G118" s="2" t="n">
        <v>25</v>
      </c>
      <c r="H118" s="2" t="n">
        <v>33</v>
      </c>
      <c r="I118" s="1" t="n">
        <v>250</v>
      </c>
      <c r="J118" s="2" t="n">
        <v>333</v>
      </c>
      <c r="K118" s="3" t="n">
        <v>400</v>
      </c>
      <c r="L118" s="4" t="n">
        <v>12769</v>
      </c>
      <c r="M118" s="3" t="n">
        <v>73.3862853425291</v>
      </c>
      <c r="N118" s="12" t="n">
        <v>0.0157460983498901</v>
      </c>
      <c r="O118" s="4" t="n">
        <v>37.93</v>
      </c>
      <c r="P118" s="3" t="n">
        <v>280.24345613597</v>
      </c>
      <c r="Q118" s="4" t="n">
        <v>0.38</v>
      </c>
      <c r="R118" s="13" t="n">
        <f aca="false">P118/200000</f>
        <v>0.00140121728067985</v>
      </c>
      <c r="V118" s="4" t="n">
        <f aca="false">$W$2*($W$3*$G118+$W$4*$B118^$W$5*$N118^$W$6)*$R118^$W$7</f>
        <v>0.324820966149906</v>
      </c>
      <c r="W118" s="4" t="n">
        <f aca="false">V118/$Q118</f>
        <v>0.854792016183964</v>
      </c>
      <c r="Y118" s="4" t="n">
        <f aca="false">$Z$2*$B118^$Z$3*$R118^$Z$4*($Z$5*$N118^$Z$6+$Z$7)</f>
        <v>0.324049287646129</v>
      </c>
      <c r="Z118" s="4" t="n">
        <f aca="false">Y118/$Q118</f>
        <v>0.852761283279287</v>
      </c>
      <c r="AB118" s="4" t="n">
        <f aca="false">$AC$2*($AC$3+$AC$4*$F118/($N118*'Sem TS MC2020'!P110))*($AC$5*$G118+$AC$6*$B118/$N118)*'Sem TS MC2020'!R110*($J118-$M118)/($J118-$M118-$H118)</f>
        <v>0.297763097498528</v>
      </c>
      <c r="AC118" s="4" t="n">
        <f aca="false">AB118/$Q118</f>
        <v>0.783587098680337</v>
      </c>
      <c r="AD118" s="23" t="n">
        <f aca="false">AB118-$Q118</f>
        <v>-0.082236902501472</v>
      </c>
      <c r="AE118" s="24" t="n">
        <f aca="false">1/AC118</f>
        <v>1.27618231806538</v>
      </c>
      <c r="AF118" s="24" t="n">
        <f aca="false">AB118*(14.068*'Sem TS MC2020'!$P110^-0.457)/$Q118</f>
        <v>0.763886388161802</v>
      </c>
      <c r="AG118" s="24"/>
      <c r="AO118" s="4" t="n">
        <f aca="false">$AP$2*($AP$3+$AP$4*$F118/($N118*'Sem TS MC2020'!P110))*($AP$5*$G118+$AP$6*$B118/$N118)*('Sem TS MC2020'!P110^$AP$7/200000)*($J118-$M118)/($J118-$M118-$H118)+('Sem TS MC2020'!P110-$C118/$AP$8)*($AP$5*$G118+$AP$6*$B118/$N118)/200000</f>
        <v>0.313272948375741</v>
      </c>
      <c r="AP118" s="4" t="n">
        <f aca="false">AO118/$Q118</f>
        <v>0.824402495725634</v>
      </c>
      <c r="AQ118" s="23" t="n">
        <f aca="false">AO118-$Q118</f>
        <v>-0.0667270516242592</v>
      </c>
    </row>
    <row r="119" customFormat="false" ht="14.25" hidden="false" customHeight="false" outlineLevel="0" collapsed="false">
      <c r="B119" s="2" t="n">
        <v>16</v>
      </c>
      <c r="C119" s="3" t="n">
        <v>500</v>
      </c>
      <c r="D119" s="3" t="n">
        <v>2</v>
      </c>
      <c r="E119" s="2" t="n">
        <v>168</v>
      </c>
      <c r="F119" s="4" t="n">
        <v>3.269</v>
      </c>
      <c r="G119" s="2" t="n">
        <v>25</v>
      </c>
      <c r="H119" s="2" t="n">
        <v>33</v>
      </c>
      <c r="I119" s="1" t="n">
        <v>250</v>
      </c>
      <c r="J119" s="2" t="n">
        <v>333</v>
      </c>
      <c r="K119" s="3" t="n">
        <v>400</v>
      </c>
      <c r="L119" s="4" t="n">
        <v>12769</v>
      </c>
      <c r="M119" s="3" t="n">
        <v>73.3862853425291</v>
      </c>
      <c r="N119" s="12" t="n">
        <v>0.0157460983498901</v>
      </c>
      <c r="O119" s="4" t="n">
        <v>40.84</v>
      </c>
      <c r="P119" s="3" t="n">
        <v>319.53407190923</v>
      </c>
      <c r="Q119" s="4" t="n">
        <v>0.43</v>
      </c>
      <c r="R119" s="13" t="n">
        <f aca="false">P119/200000</f>
        <v>0.00159767035954615</v>
      </c>
      <c r="V119" s="4" t="n">
        <f aca="false">$W$2*($W$3*$G119+$W$4*$B119^$W$5*$N119^$W$6)*$R119^$W$7</f>
        <v>0.352210061861838</v>
      </c>
      <c r="W119" s="4" t="n">
        <f aca="false">V119/$Q119</f>
        <v>0.819093167120554</v>
      </c>
      <c r="Y119" s="4" t="n">
        <f aca="false">$Z$2*$B119^$Z$3*$R119^$Z$4*($Z$5*$N119^$Z$6+$Z$7)</f>
        <v>0.351880803159311</v>
      </c>
      <c r="Z119" s="4" t="n">
        <f aca="false">Y119/$Q119</f>
        <v>0.818327449207701</v>
      </c>
      <c r="AB119" s="4" t="n">
        <f aca="false">$AC$2*($AC$3+$AC$4*$F119/($N119*'Sem TS MC2020'!P111))*($AC$5*$G119+$AC$6*$B119/$N119)*'Sem TS MC2020'!R111*($J119-$M119)/($J119-$M119-$H119)</f>
        <v>0.331767725480674</v>
      </c>
      <c r="AC119" s="4" t="n">
        <f aca="false">AB119/$Q119</f>
        <v>0.771552849955056</v>
      </c>
      <c r="AD119" s="23" t="n">
        <f aca="false">AB119-$Q119</f>
        <v>-0.0982322745193259</v>
      </c>
      <c r="AE119" s="24" t="n">
        <f aca="false">1/AC119</f>
        <v>1.29608749427632</v>
      </c>
      <c r="AF119" s="24" t="n">
        <f aca="false">AB119*(14.068*'Sem TS MC2020'!$P111^-0.457)/$Q119</f>
        <v>0.727170334346485</v>
      </c>
      <c r="AG119" s="24"/>
      <c r="AO119" s="4" t="n">
        <f aca="false">$AP$2*($AP$3+$AP$4*$F119/($N119*'Sem TS MC2020'!P111))*($AP$5*$G119+$AP$6*$B119/$N119)*('Sem TS MC2020'!P111^$AP$7/200000)*($J119-$M119)/($J119-$M119-$H119)+('Sem TS MC2020'!P111-$C119/$AP$8)*($AP$5*$G119+$AP$6*$B119/$N119)/200000</f>
        <v>0.346334681660198</v>
      </c>
      <c r="AP119" s="4" t="n">
        <f aca="false">AO119/$Q119</f>
        <v>0.80542949223302</v>
      </c>
      <c r="AQ119" s="23" t="n">
        <f aca="false">AO119-$Q119</f>
        <v>-0.0836653183398016</v>
      </c>
    </row>
    <row r="120" customFormat="false" ht="14.25" hidden="false" customHeight="false" outlineLevel="0" collapsed="false">
      <c r="A120" s="1" t="s">
        <v>46</v>
      </c>
      <c r="B120" s="2" t="n">
        <v>16</v>
      </c>
      <c r="C120" s="3" t="n">
        <v>500</v>
      </c>
      <c r="D120" s="3" t="n">
        <v>3</v>
      </c>
      <c r="E120" s="2" t="n">
        <v>76</v>
      </c>
      <c r="F120" s="4" t="n">
        <v>3.269</v>
      </c>
      <c r="G120" s="2" t="n">
        <v>25</v>
      </c>
      <c r="H120" s="2" t="n">
        <v>33</v>
      </c>
      <c r="I120" s="1" t="n">
        <v>250</v>
      </c>
      <c r="J120" s="2" t="n">
        <v>333</v>
      </c>
      <c r="K120" s="3" t="n">
        <v>600</v>
      </c>
      <c r="L120" s="4" t="n">
        <v>28250</v>
      </c>
      <c r="M120" s="3" t="n">
        <v>87.1145054053498</v>
      </c>
      <c r="N120" s="12" t="n">
        <v>0.0212389380530973</v>
      </c>
      <c r="O120" s="4" t="n">
        <v>37.93</v>
      </c>
      <c r="P120" s="3" t="n">
        <v>142.623322211436</v>
      </c>
      <c r="Q120" s="4" t="n">
        <v>0.15</v>
      </c>
      <c r="R120" s="13" t="n">
        <f aca="false">P120/200000</f>
        <v>0.000713116611057179</v>
      </c>
      <c r="V120" s="4" t="n">
        <f aca="false">$W$2*($W$3*$G120+$W$4*$B120^$W$5*$N120^$W$6)*$R120^$W$7</f>
        <v>0.18896869999146</v>
      </c>
      <c r="W120" s="4" t="n">
        <f aca="false">V120/$Q120</f>
        <v>1.2597913332764</v>
      </c>
      <c r="Y120" s="4" t="n">
        <f aca="false">$Z$2*$B120^$Z$3*$R120^$Z$4*($Z$5*$N120^$Z$6+$Z$7)</f>
        <v>0.185524567053755</v>
      </c>
      <c r="Z120" s="4" t="n">
        <f aca="false">Y120/$Q120</f>
        <v>1.23683044702503</v>
      </c>
      <c r="AB120" s="4" t="n">
        <f aca="false">$AC$2*($AC$3+$AC$4*$F120/($N120*'Sem TS MC2020'!P112))*($AC$5*$G120+$AC$6*$B120/$N120)*'Sem TS MC2020'!R112*($J120-$M120)/($J120-$M120-$H120)</f>
        <v>0.151452179688127</v>
      </c>
      <c r="AC120" s="4" t="n">
        <f aca="false">AB120/$Q120</f>
        <v>1.00968119792085</v>
      </c>
      <c r="AD120" s="23" t="n">
        <f aca="false">AB120-$Q120</f>
        <v>0.00145217968812747</v>
      </c>
      <c r="AE120" s="24" t="n">
        <f aca="false">1/AC120</f>
        <v>0.990411628996573</v>
      </c>
      <c r="AF120" s="24" t="n">
        <f aca="false">AB120*(14.068*'Sem TS MC2020'!$P112^-0.457)/$Q120</f>
        <v>1.17564337652955</v>
      </c>
      <c r="AG120" s="24"/>
      <c r="AO120" s="4" t="n">
        <f aca="false">$AP$2*($AP$3+$AP$4*$F120/($N120*'Sem TS MC2020'!P112))*($AP$5*$G120+$AP$6*$B120/$N120)*('Sem TS MC2020'!P112^$AP$7/200000)*($J120-$M120)/($J120-$M120-$H120)+('Sem TS MC2020'!P112-$C120/$AP$8)*($AP$5*$G120+$AP$6*$B120/$N120)/200000</f>
        <v>0.163221605761795</v>
      </c>
      <c r="AP120" s="4" t="n">
        <f aca="false">AO120/$Q120</f>
        <v>1.08814403841197</v>
      </c>
      <c r="AQ120" s="23" t="n">
        <f aca="false">AO120-$Q120</f>
        <v>0.013221605761795</v>
      </c>
    </row>
    <row r="121" customFormat="false" ht="14.25" hidden="false" customHeight="false" outlineLevel="0" collapsed="false">
      <c r="B121" s="2" t="n">
        <v>16</v>
      </c>
      <c r="C121" s="3" t="n">
        <v>500</v>
      </c>
      <c r="D121" s="3" t="n">
        <v>3</v>
      </c>
      <c r="E121" s="2" t="n">
        <v>76</v>
      </c>
      <c r="F121" s="4" t="n">
        <v>3.269</v>
      </c>
      <c r="G121" s="2" t="n">
        <v>25</v>
      </c>
      <c r="H121" s="2" t="n">
        <v>33</v>
      </c>
      <c r="I121" s="1" t="n">
        <v>250</v>
      </c>
      <c r="J121" s="2" t="n">
        <v>333</v>
      </c>
      <c r="K121" s="3" t="n">
        <v>600</v>
      </c>
      <c r="L121" s="4" t="n">
        <v>28250</v>
      </c>
      <c r="M121" s="3" t="n">
        <v>87.1145054053498</v>
      </c>
      <c r="N121" s="12" t="n">
        <v>0.0212389380530973</v>
      </c>
      <c r="O121" s="4" t="n">
        <v>40.84</v>
      </c>
      <c r="P121" s="3" t="n">
        <v>167.23645175102</v>
      </c>
      <c r="Q121" s="4" t="n">
        <v>0.18</v>
      </c>
      <c r="R121" s="13" t="n">
        <f aca="false">P121/200000</f>
        <v>0.0008361822587551</v>
      </c>
      <c r="V121" s="4" t="n">
        <f aca="false">$W$2*($W$3*$G121+$W$4*$B121^$W$5*$N121^$W$6)*$R121^$W$7</f>
        <v>0.208472848131554</v>
      </c>
      <c r="W121" s="4" t="n">
        <f aca="false">V121/$Q121</f>
        <v>1.15818248961975</v>
      </c>
      <c r="Y121" s="4" t="n">
        <f aca="false">$Z$2*$B121^$Z$3*$R121^$Z$4*($Z$5*$N121^$Z$6+$Z$7)</f>
        <v>0.205031975179339</v>
      </c>
      <c r="Z121" s="4" t="n">
        <f aca="false">Y121/$Q121</f>
        <v>1.13906652877411</v>
      </c>
      <c r="AB121" s="4" t="n">
        <f aca="false">$AC$2*($AC$3+$AC$4*$F121/($N121*'Sem TS MC2020'!P113))*($AC$5*$G121+$AC$6*$B121/$N121)*'Sem TS MC2020'!R113*($J121-$M121)/($J121-$M121-$H121)</f>
        <v>0.169576824980133</v>
      </c>
      <c r="AC121" s="4" t="n">
        <f aca="false">AB121/$Q121</f>
        <v>0.942093472111849</v>
      </c>
      <c r="AD121" s="23" t="n">
        <f aca="false">AB121-$Q121</f>
        <v>-0.0104231750198672</v>
      </c>
      <c r="AE121" s="24" t="n">
        <f aca="false">1/AC121</f>
        <v>1.06146579888548</v>
      </c>
      <c r="AF121" s="24" t="n">
        <f aca="false">AB121*(14.068*'Sem TS MC2020'!$P113^-0.457)/$Q121</f>
        <v>1.06050887153859</v>
      </c>
      <c r="AG121" s="24"/>
      <c r="AO121" s="4" t="n">
        <f aca="false">$AP$2*($AP$3+$AP$4*$F121/($N121*'Sem TS MC2020'!P113))*($AP$5*$G121+$AP$6*$B121/$N121)*('Sem TS MC2020'!P113^$AP$7/200000)*($J121-$M121)/($J121-$M121-$H121)+('Sem TS MC2020'!P113-$C121/$AP$8)*($AP$5*$G121+$AP$6*$B121/$N121)/200000</f>
        <v>0.181953989975426</v>
      </c>
      <c r="AP121" s="4" t="n">
        <f aca="false">AO121/$Q121</f>
        <v>1.01085549986348</v>
      </c>
      <c r="AQ121" s="23" t="n">
        <f aca="false">AO121-$Q121</f>
        <v>0.00195398997542623</v>
      </c>
    </row>
    <row r="122" customFormat="false" ht="14.25" hidden="false" customHeight="false" outlineLevel="0" collapsed="false">
      <c r="B122" s="2" t="n">
        <v>16</v>
      </c>
      <c r="C122" s="3" t="n">
        <v>500</v>
      </c>
      <c r="D122" s="3" t="n">
        <v>3</v>
      </c>
      <c r="E122" s="2" t="n">
        <v>76</v>
      </c>
      <c r="F122" s="4" t="n">
        <v>3.269</v>
      </c>
      <c r="G122" s="2" t="n">
        <v>25</v>
      </c>
      <c r="H122" s="2" t="n">
        <v>33</v>
      </c>
      <c r="I122" s="1" t="n">
        <v>250</v>
      </c>
      <c r="J122" s="2" t="n">
        <v>333</v>
      </c>
      <c r="K122" s="3" t="n">
        <v>600</v>
      </c>
      <c r="L122" s="4" t="n">
        <v>28250</v>
      </c>
      <c r="M122" s="3" t="n">
        <v>87.1145054053498</v>
      </c>
      <c r="N122" s="12" t="n">
        <v>0.0212389380530973</v>
      </c>
      <c r="O122" s="4" t="n">
        <v>43.76</v>
      </c>
      <c r="P122" s="3" t="n">
        <v>191.934162491771</v>
      </c>
      <c r="Q122" s="4" t="n">
        <v>0.18</v>
      </c>
      <c r="R122" s="13" t="n">
        <f aca="false">P122/200000</f>
        <v>0.000959670812458856</v>
      </c>
      <c r="V122" s="4" t="n">
        <f aca="false">$W$2*($W$3*$G122+$W$4*$B122^$W$5*$N122^$W$6)*$R122^$W$7</f>
        <v>0.226965195758024</v>
      </c>
      <c r="W122" s="4" t="n">
        <f aca="false">V122/$Q122</f>
        <v>1.26091775421125</v>
      </c>
      <c r="Y122" s="4" t="n">
        <f aca="false">$Z$2*$B122^$Z$3*$R122^$Z$4*($Z$5*$N122^$Z$6+$Z$7)</f>
        <v>0.223557577758463</v>
      </c>
      <c r="Z122" s="4" t="n">
        <f aca="false">Y122/$Q122</f>
        <v>1.24198654310257</v>
      </c>
      <c r="AB122" s="4" t="n">
        <f aca="false">$AC$2*($AC$3+$AC$4*$F122/($N122*'Sem TS MC2020'!P114))*($AC$5*$G122+$AC$6*$B122/$N122)*'Sem TS MC2020'!R114*($J122-$M122)/($J122-$M122-$H122)</f>
        <v>0.187763754276578</v>
      </c>
      <c r="AC122" s="4" t="n">
        <f aca="false">AB122/$Q122</f>
        <v>1.04313196820321</v>
      </c>
      <c r="AD122" s="23" t="n">
        <f aca="false">AB122-$Q122</f>
        <v>0.00776375427657786</v>
      </c>
      <c r="AE122" s="24" t="n">
        <f aca="false">1/AC122</f>
        <v>0.958651475059762</v>
      </c>
      <c r="AF122" s="24" t="n">
        <f aca="false">AB122*(14.068*'Sem TS MC2020'!$P114^-0.457)/$Q122</f>
        <v>1.13776721286513</v>
      </c>
      <c r="AG122" s="24"/>
      <c r="AO122" s="4" t="n">
        <f aca="false">$AP$2*($AP$3+$AP$4*$F122/($N122*'Sem TS MC2020'!P114))*($AP$5*$G122+$AP$6*$B122/$N122)*('Sem TS MC2020'!P114^$AP$7/200000)*($J122-$M122)/($J122-$M122-$H122)+('Sem TS MC2020'!P114-$C122/$AP$8)*($AP$5*$G122+$AP$6*$B122/$N122)/200000</f>
        <v>0.200441375288832</v>
      </c>
      <c r="AP122" s="4" t="n">
        <f aca="false">AO122/$Q122</f>
        <v>1.11356319604907</v>
      </c>
      <c r="AQ122" s="23" t="n">
        <f aca="false">AO122-$Q122</f>
        <v>0.0204413752888317</v>
      </c>
    </row>
    <row r="123" customFormat="false" ht="14.25" hidden="false" customHeight="false" outlineLevel="0" collapsed="false">
      <c r="B123" s="2" t="n">
        <v>16</v>
      </c>
      <c r="C123" s="3" t="n">
        <v>500</v>
      </c>
      <c r="D123" s="3" t="n">
        <v>3</v>
      </c>
      <c r="E123" s="2" t="n">
        <v>76</v>
      </c>
      <c r="F123" s="4" t="n">
        <v>3.269</v>
      </c>
      <c r="G123" s="2" t="n">
        <v>25</v>
      </c>
      <c r="H123" s="2" t="n">
        <v>33</v>
      </c>
      <c r="I123" s="1" t="n">
        <v>250</v>
      </c>
      <c r="J123" s="2" t="n">
        <v>333</v>
      </c>
      <c r="K123" s="3" t="n">
        <v>600</v>
      </c>
      <c r="L123" s="4" t="n">
        <v>28250</v>
      </c>
      <c r="M123" s="3" t="n">
        <v>87.1145054053498</v>
      </c>
      <c r="N123" s="12" t="n">
        <v>0.0212389380530973</v>
      </c>
      <c r="O123" s="4" t="n">
        <v>46.68</v>
      </c>
      <c r="P123" s="3" t="n">
        <v>216.631873232522</v>
      </c>
      <c r="Q123" s="4" t="n">
        <v>0.2</v>
      </c>
      <c r="R123" s="13" t="n">
        <f aca="false">P123/200000</f>
        <v>0.00108315936616261</v>
      </c>
      <c r="V123" s="4" t="n">
        <f aca="false">$W$2*($W$3*$G123+$W$4*$B123^$W$5*$N123^$W$6)*$R123^$W$7</f>
        <v>0.244565391544294</v>
      </c>
      <c r="W123" s="4" t="n">
        <f aca="false">V123/$Q123</f>
        <v>1.22282695772147</v>
      </c>
      <c r="Y123" s="4" t="n">
        <f aca="false">$Z$2*$B123^$Z$3*$R123^$Z$4*($Z$5*$N123^$Z$6+$Z$7)</f>
        <v>0.241214494752196</v>
      </c>
      <c r="Z123" s="4" t="n">
        <f aca="false">Y123/$Q123</f>
        <v>1.20607247376098</v>
      </c>
      <c r="AB123" s="4" t="n">
        <f aca="false">$AC$2*($AC$3+$AC$4*$F123/($N123*'Sem TS MC2020'!P115))*($AC$5*$G123+$AC$6*$B123/$N123)*'Sem TS MC2020'!R115*($J123-$M123)/($J123-$M123-$H123)</f>
        <v>0.205950683573023</v>
      </c>
      <c r="AC123" s="4" t="n">
        <f aca="false">AB123/$Q123</f>
        <v>1.02975341786511</v>
      </c>
      <c r="AD123" s="23" t="n">
        <f aca="false">AB123-$Q123</f>
        <v>0.00595068357302289</v>
      </c>
      <c r="AE123" s="24" t="n">
        <f aca="false">1/AC123</f>
        <v>0.971106269375829</v>
      </c>
      <c r="AF123" s="24" t="n">
        <f aca="false">AB123*(14.068*'Sem TS MC2020'!$P115^-0.457)/$Q123</f>
        <v>1.09050318010738</v>
      </c>
      <c r="AG123" s="24"/>
      <c r="AO123" s="4" t="n">
        <f aca="false">$AP$2*($AP$3+$AP$4*$F123/($N123*'Sem TS MC2020'!P115))*($AP$5*$G123+$AP$6*$B123/$N123)*('Sem TS MC2020'!P115^$AP$7/200000)*($J123-$M123)/($J123-$M123-$H123)+('Sem TS MC2020'!P115-$C123/$AP$8)*($AP$5*$G123+$AP$6*$B123/$N123)/200000</f>
        <v>0.21864940119234</v>
      </c>
      <c r="AP123" s="4" t="n">
        <f aca="false">AO123/$Q123</f>
        <v>1.0932470059617</v>
      </c>
      <c r="AQ123" s="23" t="n">
        <f aca="false">AO123-$Q123</f>
        <v>0.01864940119234</v>
      </c>
    </row>
    <row r="124" customFormat="false" ht="14.25" hidden="false" customHeight="false" outlineLevel="0" collapsed="false">
      <c r="B124" s="2" t="n">
        <v>16</v>
      </c>
      <c r="C124" s="3" t="n">
        <v>500</v>
      </c>
      <c r="D124" s="3" t="n">
        <v>3</v>
      </c>
      <c r="E124" s="2" t="n">
        <v>76</v>
      </c>
      <c r="F124" s="4" t="n">
        <v>3.269</v>
      </c>
      <c r="G124" s="2" t="n">
        <v>25</v>
      </c>
      <c r="H124" s="2" t="n">
        <v>33</v>
      </c>
      <c r="I124" s="1" t="n">
        <v>250</v>
      </c>
      <c r="J124" s="2" t="n">
        <v>333</v>
      </c>
      <c r="K124" s="3" t="n">
        <v>600</v>
      </c>
      <c r="L124" s="4" t="n">
        <v>28250</v>
      </c>
      <c r="M124" s="3" t="n">
        <v>87.1145054053498</v>
      </c>
      <c r="N124" s="12" t="n">
        <v>0.0212389380530973</v>
      </c>
      <c r="O124" s="4" t="n">
        <v>49.6</v>
      </c>
      <c r="P124" s="3" t="n">
        <v>241.329583973274</v>
      </c>
      <c r="Q124" s="4" t="n">
        <v>0.2</v>
      </c>
      <c r="R124" s="13" t="n">
        <f aca="false">P124/200000</f>
        <v>0.00120664791986637</v>
      </c>
      <c r="V124" s="4" t="n">
        <f aca="false">$W$2*($W$3*$G124+$W$4*$B124^$W$5*$N124^$W$6)*$R124^$W$7</f>
        <v>0.261411702197639</v>
      </c>
      <c r="W124" s="4" t="n">
        <f aca="false">V124/$Q124</f>
        <v>1.30705851098819</v>
      </c>
      <c r="Y124" s="4" t="n">
        <f aca="false">$Z$2*$B124^$Z$3*$R124^$Z$4*($Z$5*$N124^$Z$6+$Z$7)</f>
        <v>0.258136368853816</v>
      </c>
      <c r="Z124" s="4" t="n">
        <f aca="false">Y124/$Q124</f>
        <v>1.29068184426908</v>
      </c>
      <c r="AB124" s="4" t="n">
        <f aca="false">$AC$2*($AC$3+$AC$4*$F124/($N124*'Sem TS MC2020'!P116))*($AC$5*$G124+$AC$6*$B124/$N124)*'Sem TS MC2020'!R116*($J124-$M124)/($J124-$M124-$H124)</f>
        <v>0.224137612869468</v>
      </c>
      <c r="AC124" s="4" t="n">
        <f aca="false">AB124/$Q124</f>
        <v>1.12068806434734</v>
      </c>
      <c r="AD124" s="23" t="n">
        <f aca="false">AB124-$Q124</f>
        <v>0.0241376128694681</v>
      </c>
      <c r="AE124" s="24" t="n">
        <f aca="false">1/AC124</f>
        <v>0.892308958945123</v>
      </c>
      <c r="AF124" s="24" t="n">
        <f aca="false">AB124*(14.068*'Sem TS MC2020'!$P116^-0.457)/$Q124</f>
        <v>1.15434629133248</v>
      </c>
      <c r="AG124" s="24"/>
      <c r="AO124" s="4" t="n">
        <f aca="false">$AP$2*($AP$3+$AP$4*$F124/($N124*'Sem TS MC2020'!P116))*($AP$5*$G124+$AP$6*$B124/$N124)*('Sem TS MC2020'!P116^$AP$7/200000)*($J124-$M124)/($J124-$M124-$H124)+('Sem TS MC2020'!P116-$C124/$AP$8)*($AP$5*$G124+$AP$6*$B124/$N124)/200000</f>
        <v>0.236603692911253</v>
      </c>
      <c r="AP124" s="4" t="n">
        <f aca="false">AO124/$Q124</f>
        <v>1.18301846455626</v>
      </c>
      <c r="AQ124" s="23" t="n">
        <f aca="false">AO124-$Q124</f>
        <v>0.0366036929112528</v>
      </c>
    </row>
    <row r="125" customFormat="false" ht="14.25" hidden="false" customHeight="false" outlineLevel="0" collapsed="false">
      <c r="A125" s="1" t="s">
        <v>47</v>
      </c>
      <c r="B125" s="2" t="n">
        <v>16</v>
      </c>
      <c r="C125" s="3" t="n">
        <v>500</v>
      </c>
      <c r="D125" s="3" t="n">
        <v>3</v>
      </c>
      <c r="E125" s="2" t="n">
        <v>76</v>
      </c>
      <c r="F125" s="4" t="n">
        <v>3.269</v>
      </c>
      <c r="G125" s="2" t="n">
        <v>25</v>
      </c>
      <c r="H125" s="2" t="n">
        <v>33</v>
      </c>
      <c r="I125" s="1" t="n">
        <v>250</v>
      </c>
      <c r="J125" s="2" t="n">
        <v>333</v>
      </c>
      <c r="K125" s="3" t="n">
        <v>600</v>
      </c>
      <c r="L125" s="4" t="n">
        <v>28250</v>
      </c>
      <c r="M125" s="3" t="n">
        <v>87.1145054053498</v>
      </c>
      <c r="N125" s="12" t="n">
        <v>0.0212389380530973</v>
      </c>
      <c r="O125" s="4" t="n">
        <v>40.84</v>
      </c>
      <c r="P125" s="3" t="n">
        <v>167.23645175102</v>
      </c>
      <c r="Q125" s="4" t="n">
        <v>0.15</v>
      </c>
      <c r="R125" s="13" t="n">
        <f aca="false">P125/200000</f>
        <v>0.0008361822587551</v>
      </c>
      <c r="V125" s="4" t="n">
        <f aca="false">$W$2*($W$3*$G125+$W$4*$B125^$W$5*$N125^$W$6)*$R125^$W$7</f>
        <v>0.208472848131554</v>
      </c>
      <c r="W125" s="4" t="n">
        <f aca="false">V125/$Q125</f>
        <v>1.38981898754369</v>
      </c>
      <c r="Y125" s="4" t="n">
        <f aca="false">$Z$2*$B125^$Z$3*$R125^$Z$4*($Z$5*$N125^$Z$6+$Z$7)</f>
        <v>0.205031975179339</v>
      </c>
      <c r="Z125" s="4" t="n">
        <f aca="false">Y125/$Q125</f>
        <v>1.36687983452893</v>
      </c>
      <c r="AB125" s="4" t="n">
        <f aca="false">$AC$2*($AC$3+$AC$4*$F125/($N125*'Sem TS MC2020'!P117))*($AC$5*$G125+$AC$6*$B125/$N125)*'Sem TS MC2020'!R117*($J125-$M125)/($J125-$M125-$H125)</f>
        <v>0.169576824980133</v>
      </c>
      <c r="AC125" s="4" t="n">
        <f aca="false">AB125/$Q125</f>
        <v>1.13051216653422</v>
      </c>
      <c r="AD125" s="23" t="n">
        <f aca="false">AB125-$Q125</f>
        <v>0.0195768249801328</v>
      </c>
      <c r="AE125" s="24" t="n">
        <f aca="false">1/AC125</f>
        <v>0.884554832404567</v>
      </c>
      <c r="AF125" s="24" t="n">
        <f aca="false">AB125*(14.068*'Sem TS MC2020'!$P117^-0.457)/$Q125</f>
        <v>1.27261064584631</v>
      </c>
      <c r="AG125" s="24"/>
      <c r="AO125" s="4" t="n">
        <f aca="false">$AP$2*($AP$3+$AP$4*$F125/($N125*'Sem TS MC2020'!P117))*($AP$5*$G125+$AP$6*$B125/$N125)*('Sem TS MC2020'!P117^$AP$7/200000)*($J125-$M125)/($J125-$M125-$H125)+('Sem TS MC2020'!P117-$C125/$AP$8)*($AP$5*$G125+$AP$6*$B125/$N125)/200000</f>
        <v>0.181953989975426</v>
      </c>
      <c r="AP125" s="4" t="n">
        <f aca="false">AO125/$Q125</f>
        <v>1.21302659983618</v>
      </c>
      <c r="AQ125" s="23" t="n">
        <f aca="false">AO125-$Q125</f>
        <v>0.0319539899754262</v>
      </c>
    </row>
    <row r="126" customFormat="false" ht="14.25" hidden="false" customHeight="false" outlineLevel="0" collapsed="false">
      <c r="B126" s="2" t="n">
        <v>16</v>
      </c>
      <c r="C126" s="3" t="n">
        <v>500</v>
      </c>
      <c r="D126" s="3" t="n">
        <v>3</v>
      </c>
      <c r="E126" s="2" t="n">
        <v>76</v>
      </c>
      <c r="F126" s="4" t="n">
        <v>3.269</v>
      </c>
      <c r="G126" s="2" t="n">
        <v>25</v>
      </c>
      <c r="H126" s="2" t="n">
        <v>33</v>
      </c>
      <c r="I126" s="1" t="n">
        <v>250</v>
      </c>
      <c r="J126" s="2" t="n">
        <v>333</v>
      </c>
      <c r="K126" s="3" t="n">
        <v>600</v>
      </c>
      <c r="L126" s="4" t="n">
        <v>28250</v>
      </c>
      <c r="M126" s="3" t="n">
        <v>87.1145054053498</v>
      </c>
      <c r="N126" s="12" t="n">
        <v>0.0212389380530973</v>
      </c>
      <c r="O126" s="4" t="n">
        <v>43.76</v>
      </c>
      <c r="P126" s="3" t="n">
        <v>191.934162491771</v>
      </c>
      <c r="Q126" s="4" t="n">
        <v>0.18</v>
      </c>
      <c r="R126" s="13" t="n">
        <f aca="false">P126/200000</f>
        <v>0.000959670812458856</v>
      </c>
      <c r="V126" s="4" t="n">
        <f aca="false">$W$2*($W$3*$G126+$W$4*$B126^$W$5*$N126^$W$6)*$R126^$W$7</f>
        <v>0.226965195758024</v>
      </c>
      <c r="W126" s="4" t="n">
        <f aca="false">V126/$Q126</f>
        <v>1.26091775421125</v>
      </c>
      <c r="Y126" s="4" t="n">
        <f aca="false">$Z$2*$B126^$Z$3*$R126^$Z$4*($Z$5*$N126^$Z$6+$Z$7)</f>
        <v>0.223557577758463</v>
      </c>
      <c r="Z126" s="4" t="n">
        <f aca="false">Y126/$Q126</f>
        <v>1.24198654310257</v>
      </c>
      <c r="AB126" s="4" t="n">
        <f aca="false">$AC$2*($AC$3+$AC$4*$F126/($N126*'Sem TS MC2020'!P118))*($AC$5*$G126+$AC$6*$B126/$N126)*'Sem TS MC2020'!R118*($J126-$M126)/($J126-$M126-$H126)</f>
        <v>0.187763754276578</v>
      </c>
      <c r="AC126" s="4" t="n">
        <f aca="false">AB126/$Q126</f>
        <v>1.04313196820321</v>
      </c>
      <c r="AD126" s="23" t="n">
        <f aca="false">AB126-$Q126</f>
        <v>0.00776375427657786</v>
      </c>
      <c r="AE126" s="24" t="n">
        <f aca="false">1/AC126</f>
        <v>0.958651475059762</v>
      </c>
      <c r="AF126" s="24" t="n">
        <f aca="false">AB126*(14.068*'Sem TS MC2020'!$P118^-0.457)/$Q126</f>
        <v>1.13776721286513</v>
      </c>
      <c r="AG126" s="24"/>
      <c r="AO126" s="4" t="n">
        <f aca="false">$AP$2*($AP$3+$AP$4*$F126/($N126*'Sem TS MC2020'!P118))*($AP$5*$G126+$AP$6*$B126/$N126)*('Sem TS MC2020'!P118^$AP$7/200000)*($J126-$M126)/($J126-$M126-$H126)+('Sem TS MC2020'!P118-$C126/$AP$8)*($AP$5*$G126+$AP$6*$B126/$N126)/200000</f>
        <v>0.200441375288832</v>
      </c>
      <c r="AP126" s="4" t="n">
        <f aca="false">AO126/$Q126</f>
        <v>1.11356319604907</v>
      </c>
      <c r="AQ126" s="23" t="n">
        <f aca="false">AO126-$Q126</f>
        <v>0.0204413752888317</v>
      </c>
    </row>
    <row r="127" customFormat="false" ht="14.25" hidden="false" customHeight="false" outlineLevel="0" collapsed="false">
      <c r="B127" s="2" t="n">
        <v>16</v>
      </c>
      <c r="C127" s="3" t="n">
        <v>500</v>
      </c>
      <c r="D127" s="3" t="n">
        <v>3</v>
      </c>
      <c r="E127" s="2" t="n">
        <v>76</v>
      </c>
      <c r="F127" s="4" t="n">
        <v>3.269</v>
      </c>
      <c r="G127" s="2" t="n">
        <v>25</v>
      </c>
      <c r="H127" s="2" t="n">
        <v>33</v>
      </c>
      <c r="I127" s="1" t="n">
        <v>250</v>
      </c>
      <c r="J127" s="2" t="n">
        <v>333</v>
      </c>
      <c r="K127" s="3" t="n">
        <v>600</v>
      </c>
      <c r="L127" s="4" t="n">
        <v>28250</v>
      </c>
      <c r="M127" s="3" t="n">
        <v>87.1145054053498</v>
      </c>
      <c r="N127" s="12" t="n">
        <v>0.0212389380530973</v>
      </c>
      <c r="O127" s="4" t="n">
        <v>46.68</v>
      </c>
      <c r="P127" s="3" t="n">
        <v>216.631873232522</v>
      </c>
      <c r="Q127" s="4" t="n">
        <v>0.2</v>
      </c>
      <c r="R127" s="13" t="n">
        <f aca="false">P127/200000</f>
        <v>0.00108315936616261</v>
      </c>
      <c r="V127" s="4" t="n">
        <f aca="false">$W$2*($W$3*$G127+$W$4*$B127^$W$5*$N127^$W$6)*$R127^$W$7</f>
        <v>0.244565391544294</v>
      </c>
      <c r="W127" s="4" t="n">
        <f aca="false">V127/$Q127</f>
        <v>1.22282695772147</v>
      </c>
      <c r="Y127" s="4" t="n">
        <f aca="false">$Z$2*$B127^$Z$3*$R127^$Z$4*($Z$5*$N127^$Z$6+$Z$7)</f>
        <v>0.241214494752196</v>
      </c>
      <c r="Z127" s="4" t="n">
        <f aca="false">Y127/$Q127</f>
        <v>1.20607247376098</v>
      </c>
      <c r="AB127" s="4" t="n">
        <f aca="false">$AC$2*($AC$3+$AC$4*$F127/($N127*'Sem TS MC2020'!P119))*($AC$5*$G127+$AC$6*$B127/$N127)*'Sem TS MC2020'!R119*($J127-$M127)/($J127-$M127-$H127)</f>
        <v>0.205950683573023</v>
      </c>
      <c r="AC127" s="4" t="n">
        <f aca="false">AB127/$Q127</f>
        <v>1.02975341786511</v>
      </c>
      <c r="AD127" s="23" t="n">
        <f aca="false">AB127-$Q127</f>
        <v>0.00595068357302289</v>
      </c>
      <c r="AE127" s="24" t="n">
        <f aca="false">1/AC127</f>
        <v>0.971106269375829</v>
      </c>
      <c r="AF127" s="24" t="n">
        <f aca="false">AB127*(14.068*'Sem TS MC2020'!$P119^-0.457)/$Q127</f>
        <v>1.09050318010738</v>
      </c>
      <c r="AG127" s="24"/>
      <c r="AO127" s="4" t="n">
        <f aca="false">$AP$2*($AP$3+$AP$4*$F127/($N127*'Sem TS MC2020'!P119))*($AP$5*$G127+$AP$6*$B127/$N127)*('Sem TS MC2020'!P119^$AP$7/200000)*($J127-$M127)/($J127-$M127-$H127)+('Sem TS MC2020'!P119-$C127/$AP$8)*($AP$5*$G127+$AP$6*$B127/$N127)/200000</f>
        <v>0.21864940119234</v>
      </c>
      <c r="AP127" s="4" t="n">
        <f aca="false">AO127/$Q127</f>
        <v>1.0932470059617</v>
      </c>
      <c r="AQ127" s="23" t="n">
        <f aca="false">AO127-$Q127</f>
        <v>0.01864940119234</v>
      </c>
    </row>
    <row r="128" customFormat="false" ht="14.25" hidden="false" customHeight="false" outlineLevel="0" collapsed="false">
      <c r="B128" s="2" t="n">
        <v>16</v>
      </c>
      <c r="C128" s="3" t="n">
        <v>500</v>
      </c>
      <c r="D128" s="3" t="n">
        <v>3</v>
      </c>
      <c r="E128" s="2" t="n">
        <v>76</v>
      </c>
      <c r="F128" s="4" t="n">
        <v>3.269</v>
      </c>
      <c r="G128" s="2" t="n">
        <v>25</v>
      </c>
      <c r="H128" s="2" t="n">
        <v>33</v>
      </c>
      <c r="I128" s="1" t="n">
        <v>250</v>
      </c>
      <c r="J128" s="2" t="n">
        <v>333</v>
      </c>
      <c r="K128" s="3" t="n">
        <v>600</v>
      </c>
      <c r="L128" s="4" t="n">
        <v>28250</v>
      </c>
      <c r="M128" s="3" t="n">
        <v>87.1145054053498</v>
      </c>
      <c r="N128" s="12" t="n">
        <v>0.0212389380530973</v>
      </c>
      <c r="O128" s="4" t="n">
        <v>49.6</v>
      </c>
      <c r="P128" s="3" t="n">
        <v>241.329583973274</v>
      </c>
      <c r="Q128" s="4" t="n">
        <v>0.2</v>
      </c>
      <c r="R128" s="13" t="n">
        <f aca="false">P128/200000</f>
        <v>0.00120664791986637</v>
      </c>
      <c r="V128" s="4" t="n">
        <f aca="false">$W$2*($W$3*$G128+$W$4*$B128^$W$5*$N128^$W$6)*$R128^$W$7</f>
        <v>0.261411702197639</v>
      </c>
      <c r="W128" s="4" t="n">
        <f aca="false">V128/$Q128</f>
        <v>1.30705851098819</v>
      </c>
      <c r="Y128" s="4" t="n">
        <f aca="false">$Z$2*$B128^$Z$3*$R128^$Z$4*($Z$5*$N128^$Z$6+$Z$7)</f>
        <v>0.258136368853816</v>
      </c>
      <c r="Z128" s="4" t="n">
        <f aca="false">Y128/$Q128</f>
        <v>1.29068184426908</v>
      </c>
      <c r="AB128" s="4" t="n">
        <f aca="false">$AC$2*($AC$3+$AC$4*$F128/($N128*'Sem TS MC2020'!P120))*($AC$5*$G128+$AC$6*$B128/$N128)*'Sem TS MC2020'!R120*($J128-$M128)/($J128-$M128-$H128)</f>
        <v>0.224137612869468</v>
      </c>
      <c r="AC128" s="4" t="n">
        <f aca="false">AB128/$Q128</f>
        <v>1.12068806434734</v>
      </c>
      <c r="AD128" s="23" t="n">
        <f aca="false">AB128-$Q128</f>
        <v>0.0241376128694681</v>
      </c>
      <c r="AE128" s="24" t="n">
        <f aca="false">1/AC128</f>
        <v>0.892308958945123</v>
      </c>
      <c r="AF128" s="24" t="n">
        <f aca="false">AB128*(14.068*'Sem TS MC2020'!$P120^-0.457)/$Q128</f>
        <v>1.15434629133248</v>
      </c>
      <c r="AG128" s="24"/>
      <c r="AO128" s="4" t="n">
        <f aca="false">$AP$2*($AP$3+$AP$4*$F128/($N128*'Sem TS MC2020'!P120))*($AP$5*$G128+$AP$6*$B128/$N128)*('Sem TS MC2020'!P120^$AP$7/200000)*($J128-$M128)/($J128-$M128-$H128)+('Sem TS MC2020'!P120-$C128/$AP$8)*($AP$5*$G128+$AP$6*$B128/$N128)/200000</f>
        <v>0.236603692911253</v>
      </c>
      <c r="AP128" s="4" t="n">
        <f aca="false">AO128/$Q128</f>
        <v>1.18301846455626</v>
      </c>
      <c r="AQ128" s="23" t="n">
        <f aca="false">AO128-$Q128</f>
        <v>0.0366036929112528</v>
      </c>
    </row>
    <row r="129" customFormat="false" ht="14.25" hidden="false" customHeight="false" outlineLevel="0" collapsed="false">
      <c r="A129" s="1" t="s">
        <v>48</v>
      </c>
      <c r="B129" s="2" t="n">
        <v>12</v>
      </c>
      <c r="C129" s="3" t="n">
        <v>500</v>
      </c>
      <c r="D129" s="3" t="n">
        <v>2</v>
      </c>
      <c r="E129" s="2" t="n">
        <v>296</v>
      </c>
      <c r="F129" s="4" t="n">
        <v>3.269</v>
      </c>
      <c r="G129" s="2" t="n">
        <v>25</v>
      </c>
      <c r="H129" s="2" t="n">
        <v>31</v>
      </c>
      <c r="I129" s="1" t="n">
        <v>400</v>
      </c>
      <c r="J129" s="2" t="n">
        <v>161</v>
      </c>
      <c r="K129" s="3" t="n">
        <v>220</v>
      </c>
      <c r="L129" s="4" t="n">
        <v>9646</v>
      </c>
      <c r="M129" s="3" t="n">
        <v>28.7588606062944</v>
      </c>
      <c r="N129" s="12" t="n">
        <v>0.0117247911599868</v>
      </c>
      <c r="O129" s="4" t="n">
        <v>4.67</v>
      </c>
      <c r="P129" s="3" t="n">
        <v>0</v>
      </c>
      <c r="Q129" s="4" t="n">
        <v>0.2</v>
      </c>
      <c r="R129" s="13" t="n">
        <f aca="false">P129/200000</f>
        <v>0</v>
      </c>
      <c r="V129" s="4" t="n">
        <f aca="false">$W$2*($W$3*$G129+$W$4*$B129^$W$5*$N129^$W$6)*$R129^$W$7</f>
        <v>0</v>
      </c>
      <c r="W129" s="4" t="n">
        <f aca="false">V129/$Q129</f>
        <v>0</v>
      </c>
      <c r="Y129" s="4" t="n">
        <f aca="false">$Z$2*$B129^$Z$3*$R129^$Z$4*($Z$5*$N129^$Z$6+$Z$7)</f>
        <v>0</v>
      </c>
      <c r="Z129" s="4" t="n">
        <f aca="false">Y129/$Q129</f>
        <v>0</v>
      </c>
      <c r="AB129" s="4" t="n">
        <f aca="false">$AC$2*($AC$3+$AC$4*$F129/($N129*'Sem TS MC2020'!P121))*($AC$5*$G129+$AC$6*$B129/$N129)*'Sem TS MC2020'!R121*($J129-$M129)/($J129-$M129-$H129)</f>
        <v>0.03634801695757</v>
      </c>
      <c r="AC129" s="4" t="n">
        <f aca="false">AB129/$Q129</f>
        <v>0.18174008478785</v>
      </c>
      <c r="AD129" s="23" t="n">
        <f aca="false">AB129-$Q129</f>
        <v>-0.16365198304243</v>
      </c>
      <c r="AE129" s="24" t="n">
        <f aca="false">1/AC129</f>
        <v>5.50236345034903</v>
      </c>
      <c r="AF129" s="24" t="n">
        <f aca="false">AB129*(14.068*'Sem TS MC2020'!$P121^-0.457)/$Q129</f>
        <v>0.240525621356933</v>
      </c>
      <c r="AG129" s="24"/>
      <c r="AO129" s="4" t="n">
        <f aca="false">$AP$2*($AP$3+$AP$4*$F129/($N129*'Sem TS MC2020'!P121))*($AP$5*$G129+$AP$6*$B129/$N129)*('Sem TS MC2020'!P121^$AP$7/200000)*($J129-$M129)/($J129-$M129-$H129)+('Sem TS MC2020'!P121-$C129/$AP$8)*($AP$5*$G129+$AP$6*$B129/$N129)/200000</f>
        <v>0.0304955679567299</v>
      </c>
      <c r="AP129" s="4" t="n">
        <f aca="false">AO129/$Q129</f>
        <v>0.152477839783649</v>
      </c>
      <c r="AQ129" s="23" t="n">
        <f aca="false">AO129-$Q129</f>
        <v>-0.16950443204327</v>
      </c>
    </row>
    <row r="130" customFormat="false" ht="14.25" hidden="false" customHeight="false" outlineLevel="0" collapsed="false">
      <c r="B130" s="2" t="n">
        <v>12</v>
      </c>
      <c r="C130" s="3" t="n">
        <v>500</v>
      </c>
      <c r="D130" s="3" t="n">
        <v>2</v>
      </c>
      <c r="E130" s="2" t="n">
        <v>296</v>
      </c>
      <c r="F130" s="4" t="n">
        <v>3.269</v>
      </c>
      <c r="G130" s="2" t="n">
        <v>25</v>
      </c>
      <c r="H130" s="2" t="n">
        <v>31</v>
      </c>
      <c r="I130" s="1" t="n">
        <v>400</v>
      </c>
      <c r="J130" s="2" t="n">
        <v>161</v>
      </c>
      <c r="K130" s="3" t="n">
        <v>220</v>
      </c>
      <c r="L130" s="4" t="n">
        <v>9646</v>
      </c>
      <c r="M130" s="3" t="n">
        <v>28.7588606062944</v>
      </c>
      <c r="N130" s="12" t="n">
        <v>0.0117247911599868</v>
      </c>
      <c r="O130" s="4" t="n">
        <v>6.42</v>
      </c>
      <c r="P130" s="3" t="n">
        <v>93.8749624813842</v>
      </c>
      <c r="Q130" s="4" t="n">
        <v>0.25</v>
      </c>
      <c r="R130" s="13" t="n">
        <f aca="false">P130/200000</f>
        <v>0.000469374812406921</v>
      </c>
      <c r="V130" s="4" t="n">
        <f aca="false">$W$2*($W$3*$G130+$W$4*$B130^$W$5*$N130^$W$6)*$R130^$W$7</f>
        <v>0.154165265300073</v>
      </c>
      <c r="W130" s="4" t="n">
        <f aca="false">V130/$Q130</f>
        <v>0.616661061200292</v>
      </c>
      <c r="Y130" s="4" t="n">
        <f aca="false">$Z$2*$B130^$Z$3*$R130^$Z$4*($Z$5*$N130^$Z$6+$Z$7)</f>
        <v>0.153070915528009</v>
      </c>
      <c r="Z130" s="4" t="n">
        <f aca="false">Y130/$Q130</f>
        <v>0.612283662112036</v>
      </c>
      <c r="AB130" s="4" t="n">
        <f aca="false">$AC$2*($AC$3+$AC$4*$F130/($N130*'Sem TS MC2020'!P122))*($AC$5*$G130+$AC$6*$B130/$N130)*'Sem TS MC2020'!R122*($J130-$M130)/($J130-$M130-$H130)</f>
        <v>0.13395010992863</v>
      </c>
      <c r="AC130" s="4" t="n">
        <f aca="false">AB130/$Q130</f>
        <v>0.535800439714521</v>
      </c>
      <c r="AD130" s="23" t="n">
        <f aca="false">AB130-$Q130</f>
        <v>-0.11604989007137</v>
      </c>
      <c r="AE130" s="24" t="n">
        <f aca="false">1/AC130</f>
        <v>1.86636651610963</v>
      </c>
      <c r="AF130" s="24" t="n">
        <f aca="false">AB130*(14.068*'Sem TS MC2020'!$P122^-0.457)/$Q130</f>
        <v>0.61312354089136</v>
      </c>
      <c r="AG130" s="24"/>
      <c r="AO130" s="4" t="n">
        <f aca="false">$AP$2*($AP$3+$AP$4*$F130/($N130*'Sem TS MC2020'!P122))*($AP$5*$G130+$AP$6*$B130/$N130)*('Sem TS MC2020'!P122^$AP$7/200000)*($J130-$M130)/($J130-$M130-$H130)+('Sem TS MC2020'!P122-$C130/$AP$8)*($AP$5*$G130+$AP$6*$B130/$N130)/200000</f>
        <v>0.14192346588992</v>
      </c>
      <c r="AP130" s="4" t="n">
        <f aca="false">AO130/$Q130</f>
        <v>0.567693863559681</v>
      </c>
      <c r="AQ130" s="23" t="n">
        <f aca="false">AO130-$Q130</f>
        <v>-0.10807653411008</v>
      </c>
    </row>
    <row r="131" customFormat="false" ht="14.25" hidden="false" customHeight="false" outlineLevel="0" collapsed="false">
      <c r="B131" s="2" t="n">
        <v>12</v>
      </c>
      <c r="C131" s="3" t="n">
        <v>500</v>
      </c>
      <c r="D131" s="3" t="n">
        <v>2</v>
      </c>
      <c r="E131" s="2" t="n">
        <v>296</v>
      </c>
      <c r="F131" s="4" t="n">
        <v>3.269</v>
      </c>
      <c r="G131" s="2" t="n">
        <v>25</v>
      </c>
      <c r="H131" s="2" t="n">
        <v>31</v>
      </c>
      <c r="I131" s="1" t="n">
        <v>400</v>
      </c>
      <c r="J131" s="2" t="n">
        <v>161</v>
      </c>
      <c r="K131" s="3" t="n">
        <v>220</v>
      </c>
      <c r="L131" s="4" t="n">
        <v>9646</v>
      </c>
      <c r="M131" s="3" t="n">
        <v>28.7588606062944</v>
      </c>
      <c r="N131" s="12" t="n">
        <v>0.0117247911599868</v>
      </c>
      <c r="O131" s="4" t="n">
        <v>8.17</v>
      </c>
      <c r="P131" s="3" t="n">
        <v>202.081566483245</v>
      </c>
      <c r="Q131" s="4" t="n">
        <v>0.33</v>
      </c>
      <c r="R131" s="13" t="n">
        <f aca="false">P131/200000</f>
        <v>0.00101040783241622</v>
      </c>
      <c r="V131" s="4" t="n">
        <f aca="false">$W$2*($W$3*$G131+$W$4*$B131^$W$5*$N131^$W$6)*$R131^$W$7</f>
        <v>0.247419141882804</v>
      </c>
      <c r="W131" s="4" t="n">
        <f aca="false">V131/$Q131</f>
        <v>0.749754975402436</v>
      </c>
      <c r="Y131" s="4" t="n">
        <f aca="false">$Z$2*$B131^$Z$3*$R131^$Z$4*($Z$5*$N131^$Z$6+$Z$7)</f>
        <v>0.247743453677168</v>
      </c>
      <c r="Z131" s="4" t="n">
        <f aca="false">Y131/$Q131</f>
        <v>0.75073773841566</v>
      </c>
      <c r="AB131" s="4" t="n">
        <f aca="false">$AC$2*($AC$3+$AC$4*$F131/($N131*'Sem TS MC2020'!P123))*($AC$5*$G131+$AC$6*$B131/$N131)*'Sem TS MC2020'!R123*($J131-$M131)/($J131-$M131-$H131)</f>
        <v>0.23155220289969</v>
      </c>
      <c r="AC131" s="4" t="n">
        <f aca="false">AB131/$Q131</f>
        <v>0.701673342120274</v>
      </c>
      <c r="AD131" s="23" t="n">
        <f aca="false">AB131-$Q131</f>
        <v>-0.0984477971003096</v>
      </c>
      <c r="AE131" s="24" t="n">
        <f aca="false">1/AC131</f>
        <v>1.42516458866495</v>
      </c>
      <c r="AF131" s="24" t="n">
        <f aca="false">AB131*(14.068*'Sem TS MC2020'!$P123^-0.457)/$Q131</f>
        <v>0.719180545284093</v>
      </c>
      <c r="AG131" s="24"/>
      <c r="AO131" s="4" t="n">
        <f aca="false">$AP$2*($AP$3+$AP$4*$F131/($N131*'Sem TS MC2020'!P123))*($AP$5*$G131+$AP$6*$B131/$N131)*('Sem TS MC2020'!P123^$AP$7/200000)*($J131-$M131)/($J131-$M131-$H131)+('Sem TS MC2020'!P123-$C131/$AP$8)*($AP$5*$G131+$AP$6*$B131/$N131)/200000</f>
        <v>0.244816469653209</v>
      </c>
      <c r="AP131" s="4" t="n">
        <f aca="false">AO131/$Q131</f>
        <v>0.741868089858208</v>
      </c>
      <c r="AQ131" s="23" t="n">
        <f aca="false">AO131-$Q131</f>
        <v>-0.0851835303467915</v>
      </c>
    </row>
    <row r="132" customFormat="false" ht="14.25" hidden="false" customHeight="false" outlineLevel="0" collapsed="false">
      <c r="A132" s="1" t="s">
        <v>49</v>
      </c>
      <c r="B132" s="2" t="n">
        <v>12</v>
      </c>
      <c r="C132" s="3" t="n">
        <v>500</v>
      </c>
      <c r="D132" s="3" t="n">
        <v>2</v>
      </c>
      <c r="E132" s="2" t="n">
        <v>296</v>
      </c>
      <c r="F132" s="4" t="n">
        <v>3.269</v>
      </c>
      <c r="G132" s="2" t="n">
        <v>25</v>
      </c>
      <c r="H132" s="2" t="n">
        <v>31</v>
      </c>
      <c r="I132" s="1" t="n">
        <v>400</v>
      </c>
      <c r="J132" s="2" t="n">
        <v>161</v>
      </c>
      <c r="K132" s="3" t="n">
        <v>220</v>
      </c>
      <c r="L132" s="4" t="n">
        <v>9646</v>
      </c>
      <c r="M132" s="3" t="n">
        <v>28.7588606062944</v>
      </c>
      <c r="N132" s="12" t="n">
        <v>0.0117247911599868</v>
      </c>
      <c r="O132" s="4" t="n">
        <v>6.42</v>
      </c>
      <c r="P132" s="3" t="n">
        <v>93.8749624813842</v>
      </c>
      <c r="Q132" s="4" t="n">
        <v>0.23</v>
      </c>
      <c r="R132" s="13" t="n">
        <f aca="false">P132/200000</f>
        <v>0.000469374812406921</v>
      </c>
      <c r="V132" s="4" t="n">
        <f aca="false">$W$2*($W$3*$G132+$W$4*$B132^$W$5*$N132^$W$6)*$R132^$W$7</f>
        <v>0.154165265300073</v>
      </c>
      <c r="W132" s="4" t="n">
        <f aca="false">V132/$Q132</f>
        <v>0.670283762174231</v>
      </c>
      <c r="Y132" s="4" t="n">
        <f aca="false">$Z$2*$B132^$Z$3*$R132^$Z$4*($Z$5*$N132^$Z$6+$Z$7)</f>
        <v>0.153070915528009</v>
      </c>
      <c r="Z132" s="4" t="n">
        <f aca="false">Y132/$Q132</f>
        <v>0.665525719686996</v>
      </c>
      <c r="AB132" s="4" t="n">
        <f aca="false">$AC$2*($AC$3+$AC$4*$F132/($N132*'Sem TS MC2020'!P124))*($AC$5*$G132+$AC$6*$B132/$N132)*'Sem TS MC2020'!R124*($J132-$M132)/($J132-$M132-$H132)</f>
        <v>0.13395010992863</v>
      </c>
      <c r="AC132" s="4" t="n">
        <f aca="false">AB132/$Q132</f>
        <v>0.582391782298392</v>
      </c>
      <c r="AD132" s="23" t="n">
        <f aca="false">AB132-$Q132</f>
        <v>-0.0960498900713699</v>
      </c>
      <c r="AE132" s="24" t="n">
        <f aca="false">1/AC132</f>
        <v>1.71705719482086</v>
      </c>
      <c r="AF132" s="24" t="n">
        <f aca="false">AB132*(14.068*'Sem TS MC2020'!$P124^-0.457)/$Q132</f>
        <v>0.666438631403652</v>
      </c>
      <c r="AG132" s="24"/>
      <c r="AO132" s="4" t="n">
        <f aca="false">$AP$2*($AP$3+$AP$4*$F132/($N132*'Sem TS MC2020'!P124))*($AP$5*$G132+$AP$6*$B132/$N132)*('Sem TS MC2020'!P124^$AP$7/200000)*($J132-$M132)/($J132-$M132-$H132)+('Sem TS MC2020'!P124-$C132/$AP$8)*($AP$5*$G132+$AP$6*$B132/$N132)/200000</f>
        <v>0.14192346588992</v>
      </c>
      <c r="AP132" s="4" t="n">
        <f aca="false">AO132/$Q132</f>
        <v>0.617058547347479</v>
      </c>
      <c r="AQ132" s="23" t="n">
        <f aca="false">AO132-$Q132</f>
        <v>-0.0880765341100799</v>
      </c>
    </row>
    <row r="133" customFormat="false" ht="14.25" hidden="false" customHeight="false" outlineLevel="0" collapsed="false">
      <c r="B133" s="2" t="n">
        <v>12</v>
      </c>
      <c r="C133" s="3" t="n">
        <v>500</v>
      </c>
      <c r="D133" s="3" t="n">
        <v>2</v>
      </c>
      <c r="E133" s="2" t="n">
        <v>296</v>
      </c>
      <c r="F133" s="4" t="n">
        <v>3.269</v>
      </c>
      <c r="G133" s="2" t="n">
        <v>25</v>
      </c>
      <c r="H133" s="2" t="n">
        <v>31</v>
      </c>
      <c r="I133" s="1" t="n">
        <v>400</v>
      </c>
      <c r="J133" s="2" t="n">
        <v>161</v>
      </c>
      <c r="K133" s="3" t="n">
        <v>220</v>
      </c>
      <c r="L133" s="4" t="n">
        <v>9646</v>
      </c>
      <c r="M133" s="3" t="n">
        <v>28.7588606062944</v>
      </c>
      <c r="N133" s="12" t="n">
        <v>0.0117247911599868</v>
      </c>
      <c r="O133" s="4" t="n">
        <v>8.17</v>
      </c>
      <c r="P133" s="3" t="n">
        <v>202.081566483245</v>
      </c>
      <c r="Q133" s="4" t="n">
        <v>0.28</v>
      </c>
      <c r="R133" s="13" t="n">
        <f aca="false">P133/200000</f>
        <v>0.00101040783241622</v>
      </c>
      <c r="V133" s="4" t="n">
        <f aca="false">$W$2*($W$3*$G133+$W$4*$B133^$W$5*$N133^$W$6)*$R133^$W$7</f>
        <v>0.247419141882804</v>
      </c>
      <c r="W133" s="4" t="n">
        <f aca="false">V133/$Q133</f>
        <v>0.883639792438585</v>
      </c>
      <c r="Y133" s="4" t="n">
        <f aca="false">$Z$2*$B133^$Z$3*$R133^$Z$4*($Z$5*$N133^$Z$6+$Z$7)</f>
        <v>0.247743453677168</v>
      </c>
      <c r="Z133" s="4" t="n">
        <f aca="false">Y133/$Q133</f>
        <v>0.884798048847027</v>
      </c>
      <c r="AB133" s="4" t="n">
        <f aca="false">$AC$2*($AC$3+$AC$4*$F133/($N133*'Sem TS MC2020'!P125))*($AC$5*$G133+$AC$6*$B133/$N133)*'Sem TS MC2020'!R125*($J133-$M133)/($J133-$M133-$H133)</f>
        <v>0.23155220289969</v>
      </c>
      <c r="AC133" s="4" t="n">
        <f aca="false">AB133/$Q133</f>
        <v>0.82697215321318</v>
      </c>
      <c r="AD133" s="23" t="n">
        <f aca="false">AB133-$Q133</f>
        <v>-0.0484477971003096</v>
      </c>
      <c r="AE133" s="24" t="n">
        <f aca="false">1/AC133</f>
        <v>1.20923056007935</v>
      </c>
      <c r="AF133" s="24" t="n">
        <f aca="false">AB133*(14.068*'Sem TS MC2020'!$P125^-0.457)/$Q133</f>
        <v>0.847605642656252</v>
      </c>
      <c r="AG133" s="24"/>
      <c r="AO133" s="4" t="n">
        <f aca="false">$AP$2*($AP$3+$AP$4*$F133/($N133*'Sem TS MC2020'!P125))*($AP$5*$G133+$AP$6*$B133/$N133)*('Sem TS MC2020'!P125^$AP$7/200000)*($J133-$M133)/($J133-$M133-$H133)+('Sem TS MC2020'!P125-$C133/$AP$8)*($AP$5*$G133+$AP$6*$B133/$N133)/200000</f>
        <v>0.244816469653209</v>
      </c>
      <c r="AP133" s="4" t="n">
        <f aca="false">AO133/$Q133</f>
        <v>0.874344534475745</v>
      </c>
      <c r="AQ133" s="23" t="n">
        <f aca="false">AO133-$Q133</f>
        <v>-0.0351835303467915</v>
      </c>
    </row>
    <row r="134" customFormat="false" ht="14.25" hidden="false" customHeight="false" outlineLevel="0" collapsed="false">
      <c r="A134" s="1" t="s">
        <v>50</v>
      </c>
      <c r="B134" s="2" t="n">
        <v>12</v>
      </c>
      <c r="C134" s="3" t="n">
        <v>500</v>
      </c>
      <c r="D134" s="3" t="n">
        <v>3</v>
      </c>
      <c r="E134" s="2" t="n">
        <v>142</v>
      </c>
      <c r="F134" s="4" t="n">
        <v>3.269</v>
      </c>
      <c r="G134" s="2" t="n">
        <v>25</v>
      </c>
      <c r="H134" s="2" t="n">
        <v>31</v>
      </c>
      <c r="I134" s="1" t="n">
        <v>400</v>
      </c>
      <c r="J134" s="2" t="n">
        <v>161</v>
      </c>
      <c r="K134" s="3" t="n">
        <v>330</v>
      </c>
      <c r="L134" s="4" t="n">
        <v>9646</v>
      </c>
      <c r="M134" s="3" t="n">
        <v>34.253185076506</v>
      </c>
      <c r="N134" s="12" t="n">
        <v>0.0117247911599868</v>
      </c>
      <c r="O134" s="4" t="n">
        <v>8.17</v>
      </c>
      <c r="P134" s="3" t="n">
        <v>38.8928744315686</v>
      </c>
      <c r="Q134" s="4" t="n">
        <v>0.18</v>
      </c>
      <c r="R134" s="13" t="n">
        <f aca="false">P134/200000</f>
        <v>0.000194464372157843</v>
      </c>
      <c r="V134" s="4" t="n">
        <f aca="false">$W$2*($W$3*$G134+$W$4*$B134^$W$5*$N134^$W$6)*$R134^$W$7</f>
        <v>0.0895103258552805</v>
      </c>
      <c r="W134" s="4" t="n">
        <f aca="false">V134/$Q134</f>
        <v>0.497279588084892</v>
      </c>
      <c r="Y134" s="4" t="n">
        <f aca="false">$Z$2*$B134^$Z$3*$R134^$Z$4*($Z$5*$N134^$Z$6+$Z$7)</f>
        <v>0.0880176575230474</v>
      </c>
      <c r="Z134" s="4" t="n">
        <f aca="false">Y134/$Q134</f>
        <v>0.488986986239152</v>
      </c>
      <c r="AB134" s="4" t="n">
        <f aca="false">$AC$2*($AC$3+$AC$4*$F134/($N134*'Sem TS MC2020'!P126))*($AC$5*$G134+$AC$6*$B134/$N134)*'Sem TS MC2020'!R126*($J134-$M134)/($J134-$M134-$H134)</f>
        <v>0.0854911582198967</v>
      </c>
      <c r="AC134" s="4" t="n">
        <f aca="false">AB134/$Q134</f>
        <v>0.474950878999426</v>
      </c>
      <c r="AD134" s="23" t="n">
        <f aca="false">AB134-$Q134</f>
        <v>-0.0945088417801033</v>
      </c>
      <c r="AE134" s="24" t="n">
        <f aca="false">1/AC134</f>
        <v>2.10548089121698</v>
      </c>
      <c r="AF134" s="24" t="n">
        <f aca="false">AB134*(14.068*'Sem TS MC2020'!$P126^-0.457)/$Q134</f>
        <v>0.581813077919482</v>
      </c>
      <c r="AG134" s="24"/>
      <c r="AO134" s="4" t="n">
        <f aca="false">$AP$2*($AP$3+$AP$4*$F134/($N134*'Sem TS MC2020'!P126))*($AP$5*$G134+$AP$6*$B134/$N134)*('Sem TS MC2020'!P126^$AP$7/200000)*($J134-$M134)/($J134-$M134-$H134)+('Sem TS MC2020'!P126-$C134/$AP$8)*($AP$5*$G134+$AP$6*$B134/$N134)/200000</f>
        <v>0.0878606625564897</v>
      </c>
      <c r="AP134" s="4" t="n">
        <f aca="false">AO134/$Q134</f>
        <v>0.488114791980498</v>
      </c>
      <c r="AQ134" s="23" t="n">
        <f aca="false">AO134-$Q134</f>
        <v>-0.0921393374435103</v>
      </c>
    </row>
    <row r="135" customFormat="false" ht="14.25" hidden="false" customHeight="false" outlineLevel="0" collapsed="false">
      <c r="B135" s="2" t="n">
        <v>12</v>
      </c>
      <c r="C135" s="3" t="n">
        <v>500</v>
      </c>
      <c r="D135" s="3" t="n">
        <v>3</v>
      </c>
      <c r="E135" s="2" t="n">
        <v>142</v>
      </c>
      <c r="F135" s="4" t="n">
        <v>3.269</v>
      </c>
      <c r="G135" s="2" t="n">
        <v>25</v>
      </c>
      <c r="H135" s="2" t="n">
        <v>31</v>
      </c>
      <c r="I135" s="1" t="n">
        <v>400</v>
      </c>
      <c r="J135" s="2" t="n">
        <v>161</v>
      </c>
      <c r="K135" s="3" t="n">
        <v>330</v>
      </c>
      <c r="L135" s="4" t="n">
        <v>9646</v>
      </c>
      <c r="M135" s="3" t="n">
        <v>34.253185076506</v>
      </c>
      <c r="N135" s="12" t="n">
        <v>0.0117247911599868</v>
      </c>
      <c r="O135" s="4" t="n">
        <v>9.92</v>
      </c>
      <c r="P135" s="3" t="n">
        <v>112.144740233866</v>
      </c>
      <c r="Q135" s="4" t="n">
        <v>0.23</v>
      </c>
      <c r="R135" s="13" t="n">
        <f aca="false">P135/200000</f>
        <v>0.000560723701169329</v>
      </c>
      <c r="V135" s="4" t="n">
        <f aca="false">$W$2*($W$3*$G135+$W$4*$B135^$W$5*$N135^$W$6)*$R135^$W$7</f>
        <v>0.172042961430911</v>
      </c>
      <c r="W135" s="4" t="n">
        <f aca="false">V135/$Q135</f>
        <v>0.748012875786568</v>
      </c>
      <c r="Y135" s="4" t="n">
        <f aca="false">$Z$2*$B135^$Z$3*$R135^$Z$4*($Z$5*$N135^$Z$6+$Z$7)</f>
        <v>0.171156176137085</v>
      </c>
      <c r="Z135" s="4" t="n">
        <f aca="false">Y135/$Q135</f>
        <v>0.744157287552542</v>
      </c>
      <c r="AB135" s="4" t="n">
        <f aca="false">$AC$2*($AC$3+$AC$4*$F135/($N135*'Sem TS MC2020'!P127))*($AC$5*$G135+$AC$6*$B135/$N135)*'Sem TS MC2020'!R127*($J135-$M135)/($J135-$M135-$H135)</f>
        <v>0.152452972976637</v>
      </c>
      <c r="AC135" s="4" t="n">
        <f aca="false">AB135/$Q135</f>
        <v>0.6628390129419</v>
      </c>
      <c r="AD135" s="23" t="n">
        <f aca="false">AB135-$Q135</f>
        <v>-0.0775470270233631</v>
      </c>
      <c r="AE135" s="24" t="n">
        <f aca="false">1/AC135</f>
        <v>1.50866195331755</v>
      </c>
      <c r="AF135" s="24" t="n">
        <f aca="false">AB135*(14.068*'Sem TS MC2020'!$P127^-0.457)/$Q135</f>
        <v>0.743057617693713</v>
      </c>
      <c r="AG135" s="24"/>
      <c r="AO135" s="4" t="n">
        <f aca="false">$AP$2*($AP$3+$AP$4*$F135/($N135*'Sem TS MC2020'!P127))*($AP$5*$G135+$AP$6*$B135/$N135)*('Sem TS MC2020'!P127^$AP$7/200000)*($J135-$M135)/($J135-$M135-$H135)+('Sem TS MC2020'!P127-$C135/$AP$8)*($AP$5*$G135+$AP$6*$B135/$N135)/200000</f>
        <v>0.16193665736015</v>
      </c>
      <c r="AP135" s="4" t="n">
        <f aca="false">AO135/$Q135</f>
        <v>0.704072423305001</v>
      </c>
      <c r="AQ135" s="23" t="n">
        <f aca="false">AO135-$Q135</f>
        <v>-0.0680633426398499</v>
      </c>
    </row>
    <row r="136" customFormat="false" ht="14.25" hidden="false" customHeight="false" outlineLevel="0" collapsed="false">
      <c r="B136" s="2" t="n">
        <v>12</v>
      </c>
      <c r="C136" s="3" t="n">
        <v>500</v>
      </c>
      <c r="D136" s="3" t="n">
        <v>3</v>
      </c>
      <c r="E136" s="2" t="n">
        <v>142</v>
      </c>
      <c r="F136" s="4" t="n">
        <v>3.269</v>
      </c>
      <c r="G136" s="2" t="n">
        <v>25</v>
      </c>
      <c r="H136" s="2" t="n">
        <v>31</v>
      </c>
      <c r="I136" s="1" t="n">
        <v>400</v>
      </c>
      <c r="J136" s="2" t="n">
        <v>161</v>
      </c>
      <c r="K136" s="3" t="n">
        <v>330</v>
      </c>
      <c r="L136" s="4" t="n">
        <v>9646</v>
      </c>
      <c r="M136" s="3" t="n">
        <v>34.253185076506</v>
      </c>
      <c r="N136" s="12" t="n">
        <v>0.0117247911599868</v>
      </c>
      <c r="O136" s="4" t="n">
        <v>11.67</v>
      </c>
      <c r="P136" s="3" t="n">
        <v>185.396606036163</v>
      </c>
      <c r="Q136" s="4" t="n">
        <v>0.25</v>
      </c>
      <c r="R136" s="13" t="n">
        <f aca="false">P136/200000</f>
        <v>0.000926983030180814</v>
      </c>
      <c r="V136" s="4" t="n">
        <f aca="false">$W$2*($W$3*$G136+$W$4*$B136^$W$5*$N136^$W$6)*$R136^$W$7</f>
        <v>0.234607623620309</v>
      </c>
      <c r="W136" s="4" t="n">
        <f aca="false">V136/$Q136</f>
        <v>0.938430494481235</v>
      </c>
      <c r="Y136" s="4" t="n">
        <f aca="false">$Z$2*$B136^$Z$3*$R136^$Z$4*($Z$5*$N136^$Z$6+$Z$7)</f>
        <v>0.234692568337393</v>
      </c>
      <c r="Z136" s="4" t="n">
        <f aca="false">Y136/$Q136</f>
        <v>0.938770273349572</v>
      </c>
      <c r="AB136" s="4" t="n">
        <f aca="false">$AC$2*($AC$3+$AC$4*$F136/($N136*'Sem TS MC2020'!P128))*($AC$5*$G136+$AC$6*$B136/$N136)*'Sem TS MC2020'!R128*($J136-$M136)/($J136-$M136-$H136)</f>
        <v>0.219414787733377</v>
      </c>
      <c r="AC136" s="4" t="n">
        <f aca="false">AB136/$Q136</f>
        <v>0.877659150933508</v>
      </c>
      <c r="AD136" s="23" t="n">
        <f aca="false">AB136-$Q136</f>
        <v>-0.0305852122666231</v>
      </c>
      <c r="AE136" s="24" t="n">
        <f aca="false">1/AC136</f>
        <v>1.13939448923465</v>
      </c>
      <c r="AF136" s="24" t="n">
        <f aca="false">AB136*(14.068*'Sem TS MC2020'!$P128^-0.457)/$Q136</f>
        <v>0.913471006142374</v>
      </c>
      <c r="AG136" s="24"/>
      <c r="AO136" s="4" t="n">
        <f aca="false">$AP$2*($AP$3+$AP$4*$F136/($N136*'Sem TS MC2020'!P128))*($AP$5*$G136+$AP$6*$B136/$N136)*('Sem TS MC2020'!P128^$AP$7/200000)*($J136-$M136)/($J136-$M136-$H136)+('Sem TS MC2020'!P128-$C136/$AP$8)*($AP$5*$G136+$AP$6*$B136/$N136)/200000</f>
        <v>0.232397473547188</v>
      </c>
      <c r="AP136" s="4" t="n">
        <f aca="false">AO136/$Q136</f>
        <v>0.929589894188751</v>
      </c>
      <c r="AQ136" s="23" t="n">
        <f aca="false">AO136-$Q136</f>
        <v>-0.0176025264528123</v>
      </c>
    </row>
    <row r="137" customFormat="false" ht="14.25" hidden="false" customHeight="false" outlineLevel="0" collapsed="false">
      <c r="A137" s="1" t="s">
        <v>51</v>
      </c>
      <c r="B137" s="2" t="n">
        <v>12</v>
      </c>
      <c r="C137" s="3" t="n">
        <v>500</v>
      </c>
      <c r="D137" s="3" t="n">
        <v>3</v>
      </c>
      <c r="E137" s="2" t="n">
        <v>142</v>
      </c>
      <c r="F137" s="4" t="n">
        <v>3.269</v>
      </c>
      <c r="G137" s="2" t="n">
        <v>25</v>
      </c>
      <c r="H137" s="2" t="n">
        <v>31</v>
      </c>
      <c r="I137" s="1" t="n">
        <v>400</v>
      </c>
      <c r="J137" s="2" t="n">
        <v>161</v>
      </c>
      <c r="K137" s="3" t="n">
        <v>330</v>
      </c>
      <c r="L137" s="4" t="n">
        <v>9646</v>
      </c>
      <c r="M137" s="3" t="n">
        <v>34.253185076506</v>
      </c>
      <c r="N137" s="12" t="n">
        <v>0.0117247911599868</v>
      </c>
      <c r="O137" s="4" t="n">
        <v>8.17</v>
      </c>
      <c r="P137" s="3" t="n">
        <v>38.8928744315686</v>
      </c>
      <c r="Q137" s="4" t="n">
        <v>0.18</v>
      </c>
      <c r="R137" s="13" t="n">
        <f aca="false">P137/200000</f>
        <v>0.000194464372157843</v>
      </c>
      <c r="V137" s="4" t="n">
        <f aca="false">$W$2*($W$3*$G137+$W$4*$B137^$W$5*$N137^$W$6)*$R137^$W$7</f>
        <v>0.0895103258552805</v>
      </c>
      <c r="W137" s="4" t="n">
        <f aca="false">V137/$Q137</f>
        <v>0.497279588084892</v>
      </c>
      <c r="Y137" s="4" t="n">
        <f aca="false">$Z$2*$B137^$Z$3*$R137^$Z$4*($Z$5*$N137^$Z$6+$Z$7)</f>
        <v>0.0880176575230474</v>
      </c>
      <c r="Z137" s="4" t="n">
        <f aca="false">Y137/$Q137</f>
        <v>0.488986986239152</v>
      </c>
      <c r="AB137" s="4" t="n">
        <f aca="false">$AC$2*($AC$3+$AC$4*$F137/($N137*'Sem TS MC2020'!P129))*($AC$5*$G137+$AC$6*$B137/$N137)*'Sem TS MC2020'!R129*($J137-$M137)/($J137-$M137-$H137)</f>
        <v>0.0854911582198967</v>
      </c>
      <c r="AC137" s="4" t="n">
        <f aca="false">AB137/$Q137</f>
        <v>0.474950878999426</v>
      </c>
      <c r="AD137" s="23" t="n">
        <f aca="false">AB137-$Q137</f>
        <v>-0.0945088417801033</v>
      </c>
      <c r="AE137" s="24" t="n">
        <f aca="false">1/AC137</f>
        <v>2.10548089121698</v>
      </c>
      <c r="AF137" s="24" t="n">
        <f aca="false">AB137*(14.068*'Sem TS MC2020'!$P129^-0.457)/$Q137</f>
        <v>0.581813077919482</v>
      </c>
      <c r="AG137" s="24"/>
      <c r="AO137" s="4" t="n">
        <f aca="false">$AP$2*($AP$3+$AP$4*$F137/($N137*'Sem TS MC2020'!P129))*($AP$5*$G137+$AP$6*$B137/$N137)*('Sem TS MC2020'!P129^$AP$7/200000)*($J137-$M137)/($J137-$M137-$H137)+('Sem TS MC2020'!P129-$C137/$AP$8)*($AP$5*$G137+$AP$6*$B137/$N137)/200000</f>
        <v>0.0878606625564897</v>
      </c>
      <c r="AP137" s="4" t="n">
        <f aca="false">AO137/$Q137</f>
        <v>0.488114791980498</v>
      </c>
      <c r="AQ137" s="23" t="n">
        <f aca="false">AO137-$Q137</f>
        <v>-0.0921393374435103</v>
      </c>
    </row>
    <row r="138" customFormat="false" ht="14.25" hidden="false" customHeight="false" outlineLevel="0" collapsed="false">
      <c r="B138" s="2" t="n">
        <v>12</v>
      </c>
      <c r="C138" s="3" t="n">
        <v>500</v>
      </c>
      <c r="D138" s="3" t="n">
        <v>3</v>
      </c>
      <c r="E138" s="2" t="n">
        <v>142</v>
      </c>
      <c r="F138" s="4" t="n">
        <v>3.269</v>
      </c>
      <c r="G138" s="2" t="n">
        <v>25</v>
      </c>
      <c r="H138" s="2" t="n">
        <v>31</v>
      </c>
      <c r="I138" s="1" t="n">
        <v>400</v>
      </c>
      <c r="J138" s="2" t="n">
        <v>161</v>
      </c>
      <c r="K138" s="3" t="n">
        <v>330</v>
      </c>
      <c r="L138" s="4" t="n">
        <v>9646</v>
      </c>
      <c r="M138" s="3" t="n">
        <v>34.253185076506</v>
      </c>
      <c r="N138" s="12" t="n">
        <v>0.0117247911599868</v>
      </c>
      <c r="O138" s="4" t="n">
        <v>9.92</v>
      </c>
      <c r="P138" s="3" t="n">
        <v>112.144740233866</v>
      </c>
      <c r="Q138" s="4" t="n">
        <v>0.23</v>
      </c>
      <c r="R138" s="13" t="n">
        <f aca="false">P138/200000</f>
        <v>0.000560723701169329</v>
      </c>
      <c r="V138" s="4" t="n">
        <f aca="false">$W$2*($W$3*$G138+$W$4*$B138^$W$5*$N138^$W$6)*$R138^$W$7</f>
        <v>0.172042961430911</v>
      </c>
      <c r="W138" s="4" t="n">
        <f aca="false">V138/$Q138</f>
        <v>0.748012875786568</v>
      </c>
      <c r="Y138" s="4" t="n">
        <f aca="false">$Z$2*$B138^$Z$3*$R138^$Z$4*($Z$5*$N138^$Z$6+$Z$7)</f>
        <v>0.171156176137085</v>
      </c>
      <c r="Z138" s="4" t="n">
        <f aca="false">Y138/$Q138</f>
        <v>0.744157287552542</v>
      </c>
      <c r="AB138" s="4" t="n">
        <f aca="false">$AC$2*($AC$3+$AC$4*$F138/($N138*'Sem TS MC2020'!P130))*($AC$5*$G138+$AC$6*$B138/$N138)*'Sem TS MC2020'!R130*($J138-$M138)/($J138-$M138-$H138)</f>
        <v>0.152452972976637</v>
      </c>
      <c r="AC138" s="4" t="n">
        <f aca="false">AB138/$Q138</f>
        <v>0.6628390129419</v>
      </c>
      <c r="AD138" s="23" t="n">
        <f aca="false">AB138-$Q138</f>
        <v>-0.0775470270233631</v>
      </c>
      <c r="AE138" s="24" t="n">
        <f aca="false">1/AC138</f>
        <v>1.50866195331755</v>
      </c>
      <c r="AF138" s="24" t="n">
        <f aca="false">AB138*(14.068*'Sem TS MC2020'!$P130^-0.457)/$Q138</f>
        <v>0.743057617693713</v>
      </c>
      <c r="AG138" s="24"/>
      <c r="AO138" s="4" t="n">
        <f aca="false">$AP$2*($AP$3+$AP$4*$F138/($N138*'Sem TS MC2020'!P130))*($AP$5*$G138+$AP$6*$B138/$N138)*('Sem TS MC2020'!P130^$AP$7/200000)*($J138-$M138)/($J138-$M138-$H138)+('Sem TS MC2020'!P130-$C138/$AP$8)*($AP$5*$G138+$AP$6*$B138/$N138)/200000</f>
        <v>0.16193665736015</v>
      </c>
      <c r="AP138" s="4" t="n">
        <f aca="false">AO138/$Q138</f>
        <v>0.704072423305001</v>
      </c>
      <c r="AQ138" s="23" t="n">
        <f aca="false">AO138-$Q138</f>
        <v>-0.0680633426398499</v>
      </c>
    </row>
    <row r="139" customFormat="false" ht="14.25" hidden="false" customHeight="false" outlineLevel="0" collapsed="false">
      <c r="B139" s="2" t="n">
        <v>12</v>
      </c>
      <c r="C139" s="3" t="n">
        <v>500</v>
      </c>
      <c r="D139" s="3" t="n">
        <v>3</v>
      </c>
      <c r="E139" s="2" t="n">
        <v>142</v>
      </c>
      <c r="F139" s="4" t="n">
        <v>3.269</v>
      </c>
      <c r="G139" s="2" t="n">
        <v>25</v>
      </c>
      <c r="H139" s="2" t="n">
        <v>31</v>
      </c>
      <c r="I139" s="1" t="n">
        <v>400</v>
      </c>
      <c r="J139" s="2" t="n">
        <v>161</v>
      </c>
      <c r="K139" s="3" t="n">
        <v>330</v>
      </c>
      <c r="L139" s="4" t="n">
        <v>9646</v>
      </c>
      <c r="M139" s="3" t="n">
        <v>34.253185076506</v>
      </c>
      <c r="N139" s="12" t="n">
        <v>0.0117247911599868</v>
      </c>
      <c r="O139" s="4" t="n">
        <v>11.67</v>
      </c>
      <c r="P139" s="3" t="n">
        <v>185.396606036163</v>
      </c>
      <c r="Q139" s="4" t="n">
        <v>0.25</v>
      </c>
      <c r="R139" s="13" t="n">
        <f aca="false">P139/200000</f>
        <v>0.000926983030180814</v>
      </c>
      <c r="V139" s="4" t="n">
        <f aca="false">$W$2*($W$3*$G139+$W$4*$B139^$W$5*$N139^$W$6)*$R139^$W$7</f>
        <v>0.234607623620309</v>
      </c>
      <c r="W139" s="4" t="n">
        <f aca="false">V139/$Q139</f>
        <v>0.938430494481235</v>
      </c>
      <c r="Y139" s="4" t="n">
        <f aca="false">$Z$2*$B139^$Z$3*$R139^$Z$4*($Z$5*$N139^$Z$6+$Z$7)</f>
        <v>0.234692568337393</v>
      </c>
      <c r="Z139" s="4" t="n">
        <f aca="false">Y139/$Q139</f>
        <v>0.938770273349572</v>
      </c>
      <c r="AB139" s="4" t="n">
        <f aca="false">$AC$2*($AC$3+$AC$4*$F139/($N139*'Sem TS MC2020'!P131))*($AC$5*$G139+$AC$6*$B139/$N139)*'Sem TS MC2020'!R131*($J139-$M139)/($J139-$M139-$H139)</f>
        <v>0.219414787733377</v>
      </c>
      <c r="AC139" s="4" t="n">
        <f aca="false">AB139/$Q139</f>
        <v>0.877659150933508</v>
      </c>
      <c r="AD139" s="23" t="n">
        <f aca="false">AB139-$Q139</f>
        <v>-0.0305852122666231</v>
      </c>
      <c r="AE139" s="24" t="n">
        <f aca="false">1/AC139</f>
        <v>1.13939448923465</v>
      </c>
      <c r="AF139" s="24" t="n">
        <f aca="false">AB139*(14.068*'Sem TS MC2020'!$P131^-0.457)/$Q139</f>
        <v>0.913471006142374</v>
      </c>
      <c r="AG139" s="24"/>
      <c r="AO139" s="4" t="n">
        <f aca="false">$AP$2*($AP$3+$AP$4*$F139/($N139*'Sem TS MC2020'!P131))*($AP$5*$G139+$AP$6*$B139/$N139)*('Sem TS MC2020'!P131^$AP$7/200000)*($J139-$M139)/($J139-$M139-$H139)+('Sem TS MC2020'!P131-$C139/$AP$8)*($AP$5*$G139+$AP$6*$B139/$N139)/200000</f>
        <v>0.232397473547188</v>
      </c>
      <c r="AP139" s="4" t="n">
        <f aca="false">AO139/$Q139</f>
        <v>0.929589894188751</v>
      </c>
      <c r="AQ139" s="23" t="n">
        <f aca="false">AO139-$Q139</f>
        <v>-0.0176025264528123</v>
      </c>
    </row>
    <row r="140" customFormat="false" ht="14.25" hidden="false" customHeight="false" outlineLevel="0" collapsed="false">
      <c r="A140" s="1" t="s">
        <v>52</v>
      </c>
      <c r="B140" s="2" t="n">
        <v>12</v>
      </c>
      <c r="C140" s="3" t="n">
        <v>500</v>
      </c>
      <c r="D140" s="3" t="n">
        <v>4</v>
      </c>
      <c r="E140" s="2" t="n">
        <v>90.67</v>
      </c>
      <c r="F140" s="4" t="n">
        <v>3.269</v>
      </c>
      <c r="G140" s="2" t="n">
        <v>25</v>
      </c>
      <c r="H140" s="2" t="n">
        <v>31</v>
      </c>
      <c r="I140" s="1" t="n">
        <v>400</v>
      </c>
      <c r="J140" s="2" t="n">
        <v>161</v>
      </c>
      <c r="K140" s="3" t="n">
        <v>440</v>
      </c>
      <c r="L140" s="4" t="n">
        <v>36400</v>
      </c>
      <c r="M140" s="3" t="n">
        <v>38.6362611891593</v>
      </c>
      <c r="N140" s="12" t="n">
        <v>0.0120879120879121</v>
      </c>
      <c r="O140" s="4" t="n">
        <v>11.67</v>
      </c>
      <c r="P140" s="3" t="n">
        <v>72.228463882631</v>
      </c>
      <c r="Q140" s="4" t="n">
        <v>0.15</v>
      </c>
      <c r="R140" s="13" t="n">
        <f aca="false">P140/200000</f>
        <v>0.000361142319413155</v>
      </c>
      <c r="V140" s="4" t="n">
        <f aca="false">$W$2*($W$3*$G140+$W$4*$B140^$W$5*$N140^$W$6)*$R140^$W$7</f>
        <v>0.129483909212585</v>
      </c>
      <c r="W140" s="4" t="n">
        <f aca="false">V140/$Q140</f>
        <v>0.863226061417233</v>
      </c>
      <c r="Y140" s="4" t="n">
        <f aca="false">$Z$2*$B140^$Z$3*$R140^$Z$4*($Z$5*$N140^$Z$6+$Z$7)</f>
        <v>0.127952103099491</v>
      </c>
      <c r="Z140" s="4" t="n">
        <f aca="false">Y140/$Q140</f>
        <v>0.853014020663272</v>
      </c>
      <c r="AB140" s="4" t="n">
        <f aca="false">$AC$2*($AC$3+$AC$4*$F140/($N140*'Sem TS MC2020'!P132))*($AC$5*$G140+$AC$6*$B140/$N140)*'Sem TS MC2020'!R132*($J140-$M140)/($J140-$M140-$H140)</f>
        <v>0.117097703347483</v>
      </c>
      <c r="AC140" s="4" t="n">
        <f aca="false">AB140/$Q140</f>
        <v>0.780651355649887</v>
      </c>
      <c r="AD140" s="23" t="n">
        <f aca="false">AB140-$Q140</f>
        <v>-0.032902296652517</v>
      </c>
      <c r="AE140" s="24" t="n">
        <f aca="false">1/AC140</f>
        <v>1.28098157104654</v>
      </c>
      <c r="AF140" s="24" t="n">
        <f aca="false">AB140*(14.068*'Sem TS MC2020'!$P132^-0.457)/$Q140</f>
        <v>0.921430275634321</v>
      </c>
      <c r="AG140" s="24"/>
      <c r="AO140" s="4" t="n">
        <f aca="false">$AP$2*($AP$3+$AP$4*$F140/($N140*'Sem TS MC2020'!P132))*($AP$5*$G140+$AP$6*$B140/$N140)*('Sem TS MC2020'!P132^$AP$7/200000)*($J140-$M140)/($J140-$M140-$H140)+('Sem TS MC2020'!P132-$C140/$AP$8)*($AP$5*$G140+$AP$6*$B140/$N140)/200000</f>
        <v>0.123531612391299</v>
      </c>
      <c r="AP140" s="4" t="n">
        <f aca="false">AO140/$Q140</f>
        <v>0.823544082608661</v>
      </c>
      <c r="AQ140" s="23" t="n">
        <f aca="false">AO140-$Q140</f>
        <v>-0.0264683876087009</v>
      </c>
    </row>
    <row r="141" customFormat="false" ht="14.25" hidden="false" customHeight="false" outlineLevel="0" collapsed="false">
      <c r="B141" s="2" t="n">
        <v>12</v>
      </c>
      <c r="C141" s="3" t="n">
        <v>500</v>
      </c>
      <c r="D141" s="3" t="n">
        <v>4</v>
      </c>
      <c r="E141" s="2" t="n">
        <v>90.67</v>
      </c>
      <c r="F141" s="4" t="n">
        <v>3.269</v>
      </c>
      <c r="G141" s="2" t="n">
        <v>25</v>
      </c>
      <c r="H141" s="2" t="n">
        <v>31</v>
      </c>
      <c r="I141" s="1" t="n">
        <v>400</v>
      </c>
      <c r="J141" s="2" t="n">
        <v>161</v>
      </c>
      <c r="K141" s="3" t="n">
        <v>440</v>
      </c>
      <c r="L141" s="4" t="n">
        <v>36400</v>
      </c>
      <c r="M141" s="3" t="n">
        <v>38.6362611891593</v>
      </c>
      <c r="N141" s="12" t="n">
        <v>0.0120879120879121</v>
      </c>
      <c r="O141" s="4" t="n">
        <v>13.42</v>
      </c>
      <c r="P141" s="3" t="n">
        <v>127.253993639138</v>
      </c>
      <c r="Q141" s="4" t="n">
        <v>0.15</v>
      </c>
      <c r="R141" s="13" t="n">
        <f aca="false">P141/200000</f>
        <v>0.000636269968195688</v>
      </c>
      <c r="V141" s="4" t="n">
        <f aca="false">$W$2*($W$3*$G141+$W$4*$B141^$W$5*$N141^$W$6)*$R141^$W$7</f>
        <v>0.183643262509844</v>
      </c>
      <c r="W141" s="4" t="n">
        <f aca="false">V141/$Q141</f>
        <v>1.2242884167323</v>
      </c>
      <c r="Y141" s="4" t="n">
        <f aca="false">$Z$2*$B141^$Z$3*$R141^$Z$4*($Z$5*$N141^$Z$6+$Z$7)</f>
        <v>0.182604812514198</v>
      </c>
      <c r="Z141" s="4" t="n">
        <f aca="false">Y141/$Q141</f>
        <v>1.21736541676132</v>
      </c>
      <c r="AB141" s="4" t="n">
        <f aca="false">$AC$2*($AC$3+$AC$4*$F141/($N141*'Sem TS MC2020'!P133))*($AC$5*$G141+$AC$6*$B141/$N141)*'Sem TS MC2020'!R133*($J141-$M141)/($J141-$M141-$H141)</f>
        <v>0.167225187493648</v>
      </c>
      <c r="AC141" s="4" t="n">
        <f aca="false">AB141/$Q141</f>
        <v>1.11483458329099</v>
      </c>
      <c r="AD141" s="23" t="n">
        <f aca="false">AB141-$Q141</f>
        <v>0.017225187493648</v>
      </c>
      <c r="AE141" s="24" t="n">
        <f aca="false">1/AC141</f>
        <v>0.896994060812147</v>
      </c>
      <c r="AF141" s="24" t="n">
        <f aca="false">AB141*(14.068*'Sem TS MC2020'!$P133^-0.457)/$Q141</f>
        <v>1.23448061215716</v>
      </c>
      <c r="AG141" s="24"/>
      <c r="AO141" s="4" t="n">
        <f aca="false">$AP$2*($AP$3+$AP$4*$F141/($N141*'Sem TS MC2020'!P133))*($AP$5*$G141+$AP$6*$B141/$N141)*('Sem TS MC2020'!P133^$AP$7/200000)*($J141-$M141)/($J141-$M141-$H141)+('Sem TS MC2020'!P133-$C141/$AP$8)*($AP$5*$G141+$AP$6*$B141/$N141)/200000</f>
        <v>0.177872075570276</v>
      </c>
      <c r="AP141" s="4" t="n">
        <f aca="false">AO141/$Q141</f>
        <v>1.18581383713517</v>
      </c>
      <c r="AQ141" s="23" t="n">
        <f aca="false">AO141-$Q141</f>
        <v>0.0278720755702755</v>
      </c>
    </row>
    <row r="142" customFormat="false" ht="14.25" hidden="false" customHeight="false" outlineLevel="0" collapsed="false">
      <c r="B142" s="2" t="n">
        <v>12</v>
      </c>
      <c r="C142" s="3" t="n">
        <v>500</v>
      </c>
      <c r="D142" s="3" t="n">
        <v>4</v>
      </c>
      <c r="E142" s="2" t="n">
        <v>90.67</v>
      </c>
      <c r="F142" s="4" t="n">
        <v>3.269</v>
      </c>
      <c r="G142" s="2" t="n">
        <v>25</v>
      </c>
      <c r="H142" s="2" t="n">
        <v>31</v>
      </c>
      <c r="I142" s="1" t="n">
        <v>400</v>
      </c>
      <c r="J142" s="2" t="n">
        <v>161</v>
      </c>
      <c r="K142" s="3" t="n">
        <v>440</v>
      </c>
      <c r="L142" s="4" t="n">
        <v>36400</v>
      </c>
      <c r="M142" s="3" t="n">
        <v>38.6362611891593</v>
      </c>
      <c r="N142" s="12" t="n">
        <v>0.0120879120879121</v>
      </c>
      <c r="O142" s="4" t="n">
        <v>15.17</v>
      </c>
      <c r="P142" s="3" t="n">
        <v>182.279523395644</v>
      </c>
      <c r="Q142" s="4" t="n">
        <v>0.18</v>
      </c>
      <c r="R142" s="13" t="n">
        <f aca="false">P142/200000</f>
        <v>0.000911397616978222</v>
      </c>
      <c r="V142" s="4" t="n">
        <f aca="false">$W$2*($W$3*$G142+$W$4*$B142^$W$5*$N142^$W$6)*$R142^$W$7</f>
        <v>0.229228180733557</v>
      </c>
      <c r="W142" s="4" t="n">
        <f aca="false">V142/$Q142</f>
        <v>1.27348989296421</v>
      </c>
      <c r="Y142" s="4" t="n">
        <f aca="false">$Z$2*$B142^$Z$3*$R142^$Z$4*($Z$5*$N142^$Z$6+$Z$7)</f>
        <v>0.2288347409074</v>
      </c>
      <c r="Z142" s="4" t="n">
        <f aca="false">Y142/$Q142</f>
        <v>1.27130411615222</v>
      </c>
      <c r="AB142" s="4" t="n">
        <f aca="false">$AC$2*($AC$3+$AC$4*$F142/($N142*'Sem TS MC2020'!P134))*($AC$5*$G142+$AC$6*$B142/$N142)*'Sem TS MC2020'!R134*($J142-$M142)/($J142-$M142-$H142)</f>
        <v>0.217352671639813</v>
      </c>
      <c r="AC142" s="4" t="n">
        <f aca="false">AB142/$Q142</f>
        <v>1.20751484244341</v>
      </c>
      <c r="AD142" s="23" t="n">
        <f aca="false">AB142-$Q142</f>
        <v>0.0373526716398132</v>
      </c>
      <c r="AE142" s="24" t="n">
        <f aca="false">1/AC142</f>
        <v>0.828147170412001</v>
      </c>
      <c r="AF142" s="24" t="n">
        <f aca="false">AB142*(14.068*'Sem TS MC2020'!$P134^-0.457)/$Q142</f>
        <v>1.26426701751274</v>
      </c>
      <c r="AG142" s="24"/>
      <c r="AO142" s="4" t="n">
        <f aca="false">$AP$2*($AP$3+$AP$4*$F142/($N142*'Sem TS MC2020'!P134))*($AP$5*$G142+$AP$6*$B142/$N142)*('Sem TS MC2020'!P134^$AP$7/200000)*($J142-$M142)/($J142-$M142-$H142)+('Sem TS MC2020'!P134-$C142/$AP$8)*($AP$5*$G142+$AP$6*$B142/$N142)/200000</f>
        <v>0.230286113781626</v>
      </c>
      <c r="AP142" s="4" t="n">
        <f aca="false">AO142/$Q142</f>
        <v>1.27936729878681</v>
      </c>
      <c r="AQ142" s="23" t="n">
        <f aca="false">AO142-$Q142</f>
        <v>0.0502861137816256</v>
      </c>
    </row>
    <row r="143" customFormat="false" ht="14.25" hidden="false" customHeight="false" outlineLevel="0" collapsed="false">
      <c r="A143" s="1" t="s">
        <v>53</v>
      </c>
      <c r="B143" s="2" t="n">
        <v>12</v>
      </c>
      <c r="C143" s="3" t="n">
        <v>500</v>
      </c>
      <c r="D143" s="3" t="n">
        <v>4</v>
      </c>
      <c r="E143" s="2" t="n">
        <v>90.67</v>
      </c>
      <c r="F143" s="4" t="n">
        <v>3.269</v>
      </c>
      <c r="G143" s="2" t="n">
        <v>25</v>
      </c>
      <c r="H143" s="2" t="n">
        <v>31</v>
      </c>
      <c r="I143" s="1" t="n">
        <v>400</v>
      </c>
      <c r="J143" s="2" t="n">
        <v>161</v>
      </c>
      <c r="K143" s="3" t="n">
        <v>440</v>
      </c>
      <c r="L143" s="4" t="n">
        <v>36400</v>
      </c>
      <c r="M143" s="3" t="n">
        <v>38.6362611891593</v>
      </c>
      <c r="N143" s="12" t="n">
        <v>0.0120879120879121</v>
      </c>
      <c r="O143" s="4" t="n">
        <v>11.67</v>
      </c>
      <c r="P143" s="3" t="n">
        <v>72.228463882631</v>
      </c>
      <c r="Q143" s="4" t="n">
        <v>0.18</v>
      </c>
      <c r="R143" s="13" t="n">
        <f aca="false">P143/200000</f>
        <v>0.000361142319413155</v>
      </c>
      <c r="V143" s="4" t="n">
        <f aca="false">$W$2*($W$3*$G143+$W$4*$B143^$W$5*$N143^$W$6)*$R143^$W$7</f>
        <v>0.129483909212585</v>
      </c>
      <c r="W143" s="4" t="n">
        <f aca="false">V143/$Q143</f>
        <v>0.719355051181028</v>
      </c>
      <c r="Y143" s="4" t="n">
        <f aca="false">$Z$2*$B143^$Z$3*$R143^$Z$4*($Z$5*$N143^$Z$6+$Z$7)</f>
        <v>0.127952103099491</v>
      </c>
      <c r="Z143" s="4" t="n">
        <f aca="false">Y143/$Q143</f>
        <v>0.710845017219393</v>
      </c>
      <c r="AB143" s="4" t="n">
        <f aca="false">$AC$2*($AC$3+$AC$4*$F143/($N143*'Sem TS MC2020'!P135))*($AC$5*$G143+$AC$6*$B143/$N143)*'Sem TS MC2020'!R135*($J143-$M143)/($J143-$M143-$H143)</f>
        <v>0.117097703347483</v>
      </c>
      <c r="AC143" s="4" t="n">
        <f aca="false">AB143/$Q143</f>
        <v>0.650542796374906</v>
      </c>
      <c r="AD143" s="23" t="n">
        <f aca="false">AB143-$Q143</f>
        <v>-0.062902296652517</v>
      </c>
      <c r="AE143" s="24" t="n">
        <f aca="false">1/AC143</f>
        <v>1.53717788525584</v>
      </c>
      <c r="AF143" s="24" t="n">
        <f aca="false">AB143*(14.068*'Sem TS MC2020'!$P135^-0.457)/$Q143</f>
        <v>0.767858563028601</v>
      </c>
      <c r="AG143" s="24"/>
      <c r="AO143" s="4" t="n">
        <f aca="false">$AP$2*($AP$3+$AP$4*$F143/($N143*'Sem TS MC2020'!P135))*($AP$5*$G143+$AP$6*$B143/$N143)*('Sem TS MC2020'!P135^$AP$7/200000)*($J143-$M143)/($J143-$M143-$H143)+('Sem TS MC2020'!P135-$C143/$AP$8)*($AP$5*$G143+$AP$6*$B143/$N143)/200000</f>
        <v>0.123531612391299</v>
      </c>
      <c r="AP143" s="4" t="n">
        <f aca="false">AO143/$Q143</f>
        <v>0.686286735507217</v>
      </c>
      <c r="AQ143" s="23" t="n">
        <f aca="false">AO143-$Q143</f>
        <v>-0.0564683876087009</v>
      </c>
    </row>
    <row r="144" customFormat="false" ht="14.25" hidden="false" customHeight="false" outlineLevel="0" collapsed="false">
      <c r="B144" s="2" t="n">
        <v>12</v>
      </c>
      <c r="C144" s="3" t="n">
        <v>500</v>
      </c>
      <c r="D144" s="3" t="n">
        <v>4</v>
      </c>
      <c r="E144" s="2" t="n">
        <v>90.67</v>
      </c>
      <c r="F144" s="4" t="n">
        <v>3.269</v>
      </c>
      <c r="G144" s="2" t="n">
        <v>25</v>
      </c>
      <c r="H144" s="2" t="n">
        <v>31</v>
      </c>
      <c r="I144" s="1" t="n">
        <v>400</v>
      </c>
      <c r="J144" s="2" t="n">
        <v>161</v>
      </c>
      <c r="K144" s="3" t="n">
        <v>440</v>
      </c>
      <c r="L144" s="4" t="n">
        <v>36400</v>
      </c>
      <c r="M144" s="3" t="n">
        <v>38.6362611891593</v>
      </c>
      <c r="N144" s="12" t="n">
        <v>0.0120879120879121</v>
      </c>
      <c r="O144" s="4" t="n">
        <v>13.42</v>
      </c>
      <c r="P144" s="3" t="n">
        <v>127.253993639138</v>
      </c>
      <c r="Q144" s="4" t="n">
        <v>0.2</v>
      </c>
      <c r="R144" s="13" t="n">
        <f aca="false">P144/200000</f>
        <v>0.000636269968195688</v>
      </c>
      <c r="V144" s="4" t="n">
        <f aca="false">$W$2*($W$3*$G144+$W$4*$B144^$W$5*$N144^$W$6)*$R144^$W$7</f>
        <v>0.183643262509844</v>
      </c>
      <c r="W144" s="4" t="n">
        <f aca="false">V144/$Q144</f>
        <v>0.918216312549221</v>
      </c>
      <c r="Y144" s="4" t="n">
        <f aca="false">$Z$2*$B144^$Z$3*$R144^$Z$4*($Z$5*$N144^$Z$6+$Z$7)</f>
        <v>0.182604812514198</v>
      </c>
      <c r="Z144" s="4" t="n">
        <f aca="false">Y144/$Q144</f>
        <v>0.913024062570989</v>
      </c>
      <c r="AB144" s="4" t="n">
        <f aca="false">$AC$2*($AC$3+$AC$4*$F144/($N144*'Sem TS MC2020'!P136))*($AC$5*$G144+$AC$6*$B144/$N144)*'Sem TS MC2020'!R136*($J144-$M144)/($J144-$M144-$H144)</f>
        <v>0.167225187493648</v>
      </c>
      <c r="AC144" s="4" t="n">
        <f aca="false">AB144/$Q144</f>
        <v>0.83612593746824</v>
      </c>
      <c r="AD144" s="23" t="n">
        <f aca="false">AB144-$Q144</f>
        <v>-0.032774812506352</v>
      </c>
      <c r="AE144" s="24" t="n">
        <f aca="false">1/AC144</f>
        <v>1.19599208108286</v>
      </c>
      <c r="AF144" s="24" t="n">
        <f aca="false">AB144*(14.068*'Sem TS MC2020'!$P136^-0.457)/$Q144</f>
        <v>0.925860459117868</v>
      </c>
      <c r="AG144" s="24"/>
      <c r="AO144" s="4" t="n">
        <f aca="false">$AP$2*($AP$3+$AP$4*$F144/($N144*'Sem TS MC2020'!P136))*($AP$5*$G144+$AP$6*$B144/$N144)*('Sem TS MC2020'!P136^$AP$7/200000)*($J144-$M144)/($J144-$M144-$H144)+('Sem TS MC2020'!P136-$C144/$AP$8)*($AP$5*$G144+$AP$6*$B144/$N144)/200000</f>
        <v>0.177872075570276</v>
      </c>
      <c r="AP144" s="4" t="n">
        <f aca="false">AO144/$Q144</f>
        <v>0.889360377851378</v>
      </c>
      <c r="AQ144" s="23" t="n">
        <f aca="false">AO144-$Q144</f>
        <v>-0.0221279244297245</v>
      </c>
    </row>
    <row r="145" customFormat="false" ht="14.25" hidden="false" customHeight="false" outlineLevel="0" collapsed="false">
      <c r="B145" s="2" t="n">
        <v>12</v>
      </c>
      <c r="C145" s="3" t="n">
        <v>500</v>
      </c>
      <c r="D145" s="3" t="n">
        <v>4</v>
      </c>
      <c r="E145" s="2" t="n">
        <v>90.67</v>
      </c>
      <c r="F145" s="4" t="n">
        <v>3.269</v>
      </c>
      <c r="G145" s="2" t="n">
        <v>25</v>
      </c>
      <c r="H145" s="2" t="n">
        <v>31</v>
      </c>
      <c r="I145" s="1" t="n">
        <v>400</v>
      </c>
      <c r="J145" s="2" t="n">
        <v>161</v>
      </c>
      <c r="K145" s="3" t="n">
        <v>440</v>
      </c>
      <c r="L145" s="4" t="n">
        <v>36400</v>
      </c>
      <c r="M145" s="3" t="n">
        <v>38.6362611891593</v>
      </c>
      <c r="N145" s="12" t="n">
        <v>0.0120879120879121</v>
      </c>
      <c r="O145" s="4" t="n">
        <v>15.17</v>
      </c>
      <c r="P145" s="3" t="n">
        <v>182.279523395644</v>
      </c>
      <c r="Q145" s="4" t="n">
        <v>0.23</v>
      </c>
      <c r="R145" s="13" t="n">
        <f aca="false">P145/200000</f>
        <v>0.000911397616978222</v>
      </c>
      <c r="V145" s="4" t="n">
        <f aca="false">$W$2*($W$3*$G145+$W$4*$B145^$W$5*$N145^$W$6)*$R145^$W$7</f>
        <v>0.229228180733557</v>
      </c>
      <c r="W145" s="4" t="n">
        <f aca="false">V145/$Q145</f>
        <v>0.996644264058944</v>
      </c>
      <c r="Y145" s="4" t="n">
        <f aca="false">$Z$2*$B145^$Z$3*$R145^$Z$4*($Z$5*$N145^$Z$6+$Z$7)</f>
        <v>0.2288347409074</v>
      </c>
      <c r="Z145" s="4" t="n">
        <f aca="false">Y145/$Q145</f>
        <v>0.994933656119129</v>
      </c>
      <c r="AB145" s="4" t="n">
        <f aca="false">$AC$2*($AC$3+$AC$4*$F145/($N145*'Sem TS MC2020'!P137))*($AC$5*$G145+$AC$6*$B145/$N145)*'Sem TS MC2020'!R137*($J145-$M145)/($J145-$M145-$H145)</f>
        <v>0.217352671639813</v>
      </c>
      <c r="AC145" s="4" t="n">
        <f aca="false">AB145/$Q145</f>
        <v>0.945011615825275</v>
      </c>
      <c r="AD145" s="23" t="n">
        <f aca="false">AB145-$Q145</f>
        <v>-0.0126473283601868</v>
      </c>
      <c r="AE145" s="24" t="n">
        <f aca="false">1/AC145</f>
        <v>1.058188051082</v>
      </c>
      <c r="AF145" s="24" t="n">
        <f aca="false">AB145*(14.068*'Sem TS MC2020'!$P137^-0.457)/$Q145</f>
        <v>0.989426361531712</v>
      </c>
      <c r="AG145" s="24"/>
      <c r="AO145" s="4" t="n">
        <f aca="false">$AP$2*($AP$3+$AP$4*$F145/($N145*'Sem TS MC2020'!P137))*($AP$5*$G145+$AP$6*$B145/$N145)*('Sem TS MC2020'!P137^$AP$7/200000)*($J145-$M145)/($J145-$M145-$H145)+('Sem TS MC2020'!P137-$C145/$AP$8)*($AP$5*$G145+$AP$6*$B145/$N145)/200000</f>
        <v>0.230286113781626</v>
      </c>
      <c r="AP145" s="4" t="n">
        <f aca="false">AO145/$Q145</f>
        <v>1.00124397296359</v>
      </c>
      <c r="AQ145" s="23" t="n">
        <f aca="false">AO145-$Q145</f>
        <v>0.000286113781625574</v>
      </c>
    </row>
    <row r="146" customFormat="false" ht="14.25" hidden="false" customHeight="false" outlineLevel="0" collapsed="false">
      <c r="A146" s="1" t="s">
        <v>54</v>
      </c>
      <c r="B146" s="2" t="n">
        <v>10</v>
      </c>
      <c r="C146" s="3" t="n">
        <v>528</v>
      </c>
      <c r="D146" s="3" t="n">
        <v>1</v>
      </c>
      <c r="E146" s="2" t="n">
        <v>45</v>
      </c>
      <c r="F146" s="4" t="n">
        <v>2.8</v>
      </c>
      <c r="G146" s="2" t="n">
        <v>40</v>
      </c>
      <c r="H146" s="2" t="n">
        <v>45</v>
      </c>
      <c r="I146" s="1" t="n">
        <v>100</v>
      </c>
      <c r="J146" s="2" t="n">
        <v>250</v>
      </c>
      <c r="K146" s="3" t="n">
        <v>78.5</v>
      </c>
      <c r="L146" s="4" t="n">
        <v>9500</v>
      </c>
      <c r="M146" s="3" t="n">
        <v>43.4459689087927</v>
      </c>
      <c r="N146" s="12" t="n">
        <v>0.00826315789473684</v>
      </c>
      <c r="O146" s="4" t="n">
        <v>4.1</v>
      </c>
      <c r="P146" s="3" t="n">
        <v>99.7811011722766</v>
      </c>
      <c r="Q146" s="4" t="n">
        <v>0.16</v>
      </c>
      <c r="R146" s="13" t="n">
        <f aca="false">P146/200000</f>
        <v>0.000498905505861383</v>
      </c>
      <c r="V146" s="4" t="n">
        <f aca="false">$W$2*($W$3*$G146+$W$4*$B146^$W$5*$N146^$W$6)*$R146^$W$7</f>
        <v>0.16375258304938</v>
      </c>
      <c r="W146" s="4" t="n">
        <f aca="false">V146/$Q146</f>
        <v>1.02345364405863</v>
      </c>
      <c r="Y146" s="4" t="n">
        <f aca="false">$Z$2*$B146^$Z$3*$R146^$Z$4*($Z$5*$N146^$Z$6+$Z$7)</f>
        <v>0.166311128934563</v>
      </c>
      <c r="Z146" s="4" t="n">
        <f aca="false">Y146/$Q146</f>
        <v>1.03944455584102</v>
      </c>
      <c r="AB146" s="4" t="n">
        <f aca="false">$AC$2*($AC$3+$AC$4*$F146/($N146*'Sem TS MC2020'!P138))*($AC$5*$G146+$AC$6*$B146/$N146)*'Sem TS MC2020'!R138*($J146-$M146)/($J146-$M146-$H146)</f>
        <v>0.161563401025151</v>
      </c>
      <c r="AC146" s="4" t="n">
        <f aca="false">AB146/$Q146</f>
        <v>1.0097712564072</v>
      </c>
      <c r="AD146" s="23" t="n">
        <f aca="false">AB146-$Q146</f>
        <v>0.00156340102515137</v>
      </c>
      <c r="AE146" s="24" t="n">
        <f aca="false">1/AC146</f>
        <v>0.990323297137648</v>
      </c>
      <c r="AF146" s="24" t="n">
        <f aca="false">AB146*(14.068*'Sem TS MC2020'!$P138^-0.457)/$Q146</f>
        <v>1.09219288616003</v>
      </c>
      <c r="AG146" s="24"/>
      <c r="AO146" s="4" t="n">
        <f aca="false">$AP$2*($AP$3+$AP$4*$F146/($N146*'Sem TS MC2020'!P138))*($AP$5*$G146+$AP$6*$B146/$N146)*('Sem TS MC2020'!P138^$AP$7/200000)*($J146-$M146)/($J146-$M146-$H146)+('Sem TS MC2020'!P138-$C146/$AP$8)*($AP$5*$G146+$AP$6*$B146/$N146)/200000</f>
        <v>0.166656737207231</v>
      </c>
      <c r="AP146" s="4" t="n">
        <f aca="false">AO146/$Q146</f>
        <v>1.0416046075452</v>
      </c>
      <c r="AQ146" s="23" t="n">
        <f aca="false">AO146-$Q146</f>
        <v>0.0066567372072314</v>
      </c>
    </row>
    <row r="147" customFormat="false" ht="14.25" hidden="false" customHeight="false" outlineLevel="0" collapsed="false">
      <c r="B147" s="2" t="n">
        <v>10</v>
      </c>
      <c r="C147" s="3" t="n">
        <v>528</v>
      </c>
      <c r="D147" s="3" t="n">
        <v>1</v>
      </c>
      <c r="E147" s="2" t="n">
        <v>45</v>
      </c>
      <c r="F147" s="4" t="n">
        <v>2.8</v>
      </c>
      <c r="G147" s="2" t="n">
        <v>40</v>
      </c>
      <c r="H147" s="2" t="n">
        <v>45</v>
      </c>
      <c r="I147" s="1" t="n">
        <v>100</v>
      </c>
      <c r="J147" s="2" t="n">
        <v>250</v>
      </c>
      <c r="K147" s="3" t="n">
        <v>78.5</v>
      </c>
      <c r="L147" s="4" t="n">
        <v>9500</v>
      </c>
      <c r="M147" s="3" t="n">
        <v>43.4459689087927</v>
      </c>
      <c r="N147" s="12" t="n">
        <v>0.00826315789473684</v>
      </c>
      <c r="O147" s="4" t="n">
        <v>4.4</v>
      </c>
      <c r="P147" s="3" t="n">
        <v>133.400989976617</v>
      </c>
      <c r="Q147" s="4" t="n">
        <v>0.18</v>
      </c>
      <c r="R147" s="13" t="n">
        <f aca="false">P147/200000</f>
        <v>0.000667004949883084</v>
      </c>
      <c r="V147" s="4" t="n">
        <f aca="false">$W$2*($W$3*$G147+$W$4*$B147^$W$5*$N147^$W$6)*$R147^$W$7</f>
        <v>0.195883790016133</v>
      </c>
      <c r="W147" s="4" t="n">
        <f aca="false">V147/$Q147</f>
        <v>1.08824327786741</v>
      </c>
      <c r="Y147" s="4" t="n">
        <f aca="false">$Z$2*$B147^$Z$3*$R147^$Z$4*($Z$5*$N147^$Z$6+$Z$7)</f>
        <v>0.19958085045744</v>
      </c>
      <c r="Z147" s="4" t="n">
        <f aca="false">Y147/$Q147</f>
        <v>1.10878250254133</v>
      </c>
      <c r="AB147" s="4" t="n">
        <f aca="false">$AC$2*($AC$3+$AC$4*$F147/($N147*'Sem TS MC2020'!P139))*($AC$5*$G147+$AC$6*$B147/$N147)*'Sem TS MC2020'!R139*($J147-$M147)/($J147-$M147-$H147)</f>
        <v>0.197655713434602</v>
      </c>
      <c r="AC147" s="4" t="n">
        <f aca="false">AB147/$Q147</f>
        <v>1.0980872968589</v>
      </c>
      <c r="AD147" s="23" t="n">
        <f aca="false">AB147-$Q147</f>
        <v>0.0176557134346021</v>
      </c>
      <c r="AE147" s="24" t="n">
        <f aca="false">1/AC147</f>
        <v>0.910674408911312</v>
      </c>
      <c r="AF147" s="24" t="n">
        <f aca="false">AB147*(14.068*'Sem TS MC2020'!$P139^-0.457)/$Q147</f>
        <v>1.14999924752642</v>
      </c>
      <c r="AG147" s="24"/>
      <c r="AO147" s="4" t="n">
        <f aca="false">$AP$2*($AP$3+$AP$4*$F147/($N147*'Sem TS MC2020'!P139))*($AP$5*$G147+$AP$6*$B147/$N147)*('Sem TS MC2020'!P139^$AP$7/200000)*($J147-$M147)/($J147-$M147-$H147)+('Sem TS MC2020'!P139-$C147/$AP$8)*($AP$5*$G147+$AP$6*$B147/$N147)/200000</f>
        <v>0.204859728445667</v>
      </c>
      <c r="AP147" s="4" t="n">
        <f aca="false">AO147/$Q147</f>
        <v>1.13810960247593</v>
      </c>
      <c r="AQ147" s="23" t="n">
        <f aca="false">AO147-$Q147</f>
        <v>0.0248597284456673</v>
      </c>
    </row>
    <row r="148" customFormat="false" ht="14.25" hidden="false" customHeight="false" outlineLevel="0" collapsed="false">
      <c r="B148" s="2" t="n">
        <v>10</v>
      </c>
      <c r="C148" s="3" t="n">
        <v>528</v>
      </c>
      <c r="D148" s="3" t="n">
        <v>1</v>
      </c>
      <c r="E148" s="2" t="n">
        <v>45</v>
      </c>
      <c r="F148" s="4" t="n">
        <v>2.8</v>
      </c>
      <c r="G148" s="2" t="n">
        <v>40</v>
      </c>
      <c r="H148" s="2" t="n">
        <v>45</v>
      </c>
      <c r="I148" s="1" t="n">
        <v>100</v>
      </c>
      <c r="J148" s="2" t="n">
        <v>250</v>
      </c>
      <c r="K148" s="3" t="n">
        <v>78.5</v>
      </c>
      <c r="L148" s="4" t="n">
        <v>9500</v>
      </c>
      <c r="M148" s="3" t="n">
        <v>43.4459689087927</v>
      </c>
      <c r="N148" s="12" t="n">
        <v>0.00826315789473684</v>
      </c>
      <c r="O148" s="4" t="n">
        <v>4.74</v>
      </c>
      <c r="P148" s="3" t="n">
        <v>171.503530621536</v>
      </c>
      <c r="Q148" s="4" t="n">
        <v>0.2</v>
      </c>
      <c r="R148" s="13" t="n">
        <f aca="false">P148/200000</f>
        <v>0.000857517653107678</v>
      </c>
      <c r="V148" s="4" t="n">
        <f aca="false">$W$2*($W$3*$G148+$W$4*$B148^$W$5*$N148^$W$6)*$R148^$W$7</f>
        <v>0.228729322701806</v>
      </c>
      <c r="W148" s="4" t="n">
        <f aca="false">V148/$Q148</f>
        <v>1.14364661350903</v>
      </c>
      <c r="Y148" s="4" t="n">
        <f aca="false">$Z$2*$B148^$Z$3*$R148^$Z$4*($Z$5*$N148^$Z$6+$Z$7)</f>
        <v>0.233691259227613</v>
      </c>
      <c r="Z148" s="4" t="n">
        <f aca="false">Y148/$Q148</f>
        <v>1.16845629613807</v>
      </c>
      <c r="AB148" s="4" t="n">
        <f aca="false">$AC$2*($AC$3+$AC$4*$F148/($N148*'Sem TS MC2020'!P140))*($AC$5*$G148+$AC$6*$B148/$N148)*'Sem TS MC2020'!R140*($J148-$M148)/($J148-$M148-$H148)</f>
        <v>0.238560334165313</v>
      </c>
      <c r="AC148" s="4" t="n">
        <f aca="false">AB148/$Q148</f>
        <v>1.19280167082656</v>
      </c>
      <c r="AD148" s="23" t="n">
        <f aca="false">AB148-$Q148</f>
        <v>0.0385603341653127</v>
      </c>
      <c r="AE148" s="24" t="n">
        <f aca="false">1/AC148</f>
        <v>0.838362340075396</v>
      </c>
      <c r="AF148" s="24" t="n">
        <f aca="false">AB148*(14.068*'Sem TS MC2020'!$P140^-0.457)/$Q148</f>
        <v>1.20741369781178</v>
      </c>
      <c r="AG148" s="24"/>
      <c r="AO148" s="4" t="n">
        <f aca="false">$AP$2*($AP$3+$AP$4*$F148/($N148*'Sem TS MC2020'!P140))*($AP$5*$G148+$AP$6*$B148/$N148)*('Sem TS MC2020'!P140^$AP$7/200000)*($J148-$M148)/($J148-$M148-$H148)+('Sem TS MC2020'!P140-$C148/$AP$8)*($AP$5*$G148+$AP$6*$B148/$N148)/200000</f>
        <v>0.247272206962896</v>
      </c>
      <c r="AP148" s="4" t="n">
        <f aca="false">AO148/$Q148</f>
        <v>1.23636103481448</v>
      </c>
      <c r="AQ148" s="23" t="n">
        <f aca="false">AO148-$Q148</f>
        <v>0.0472722069628958</v>
      </c>
    </row>
    <row r="149" customFormat="false" ht="14.25" hidden="false" customHeight="false" outlineLevel="0" collapsed="false">
      <c r="B149" s="2" t="n">
        <v>10</v>
      </c>
      <c r="C149" s="3" t="n">
        <v>528</v>
      </c>
      <c r="D149" s="3" t="n">
        <v>1</v>
      </c>
      <c r="E149" s="2" t="n">
        <v>45</v>
      </c>
      <c r="F149" s="4" t="n">
        <v>2.8</v>
      </c>
      <c r="G149" s="2" t="n">
        <v>40</v>
      </c>
      <c r="H149" s="2" t="n">
        <v>45</v>
      </c>
      <c r="I149" s="1" t="n">
        <v>100</v>
      </c>
      <c r="J149" s="2" t="n">
        <v>250</v>
      </c>
      <c r="K149" s="3" t="n">
        <v>78.5</v>
      </c>
      <c r="L149" s="4" t="n">
        <v>9500</v>
      </c>
      <c r="M149" s="3" t="n">
        <v>43.4459689087927</v>
      </c>
      <c r="N149" s="12" t="n">
        <v>0.00826315789473684</v>
      </c>
      <c r="O149" s="4" t="n">
        <v>5.04</v>
      </c>
      <c r="P149" s="3" t="n">
        <v>205.123419425876</v>
      </c>
      <c r="Q149" s="4" t="n">
        <v>0.22</v>
      </c>
      <c r="R149" s="13" t="n">
        <f aca="false">P149/200000</f>
        <v>0.00102561709712938</v>
      </c>
      <c r="V149" s="4" t="n">
        <f aca="false">$W$2*($W$3*$G149+$W$4*$B149^$W$5*$N149^$W$6)*$R149^$W$7</f>
        <v>0.255439920675464</v>
      </c>
      <c r="W149" s="4" t="n">
        <f aca="false">V149/$Q149</f>
        <v>1.16109054852484</v>
      </c>
      <c r="Y149" s="4" t="n">
        <f aca="false">$Z$2*$B149^$Z$3*$R149^$Z$4*($Z$5*$N149^$Z$6+$Z$7)</f>
        <v>0.26149570461454</v>
      </c>
      <c r="Z149" s="4" t="n">
        <f aca="false">Y149/$Q149</f>
        <v>1.188616839157</v>
      </c>
      <c r="AB149" s="4" t="n">
        <f aca="false">$AC$2*($AC$3+$AC$4*$F149/($N149*'Sem TS MC2020'!P141))*($AC$5*$G149+$AC$6*$B149/$N149)*'Sem TS MC2020'!R141*($J149-$M149)/($J149-$M149-$H149)</f>
        <v>0.274652646574763</v>
      </c>
      <c r="AC149" s="4" t="n">
        <f aca="false">AB149/$Q149</f>
        <v>1.24842112079438</v>
      </c>
      <c r="AD149" s="23" t="n">
        <f aca="false">AB149-$Q149</f>
        <v>0.0546526465747633</v>
      </c>
      <c r="AE149" s="24" t="n">
        <f aca="false">1/AC149</f>
        <v>0.801011760649879</v>
      </c>
      <c r="AF149" s="24" t="n">
        <f aca="false">AB149*(14.068*'Sem TS MC2020'!$P141^-0.457)/$Q149</f>
        <v>1.22876523113939</v>
      </c>
      <c r="AG149" s="24"/>
      <c r="AO149" s="4" t="n">
        <f aca="false">$AP$2*($AP$3+$AP$4*$F149/($N149*'Sem TS MC2020'!P141))*($AP$5*$G149+$AP$6*$B149/$N149)*('Sem TS MC2020'!P141^$AP$7/200000)*($J149-$M149)/($J149-$M149-$H149)+('Sem TS MC2020'!P141-$C149/$AP$8)*($AP$5*$G149+$AP$6*$B149/$N149)/200000</f>
        <v>0.283998428828016</v>
      </c>
      <c r="AP149" s="4" t="n">
        <f aca="false">AO149/$Q149</f>
        <v>1.29090194921826</v>
      </c>
      <c r="AQ149" s="23" t="n">
        <f aca="false">AO149-$Q149</f>
        <v>0.0639984288280163</v>
      </c>
    </row>
    <row r="150" customFormat="false" ht="14.25" hidden="false" customHeight="false" outlineLevel="0" collapsed="false">
      <c r="B150" s="2" t="n">
        <v>10</v>
      </c>
      <c r="C150" s="3" t="n">
        <v>528</v>
      </c>
      <c r="D150" s="3" t="n">
        <v>1</v>
      </c>
      <c r="E150" s="2" t="n">
        <v>45</v>
      </c>
      <c r="F150" s="4" t="n">
        <v>2.8</v>
      </c>
      <c r="G150" s="2" t="n">
        <v>40</v>
      </c>
      <c r="H150" s="2" t="n">
        <v>45</v>
      </c>
      <c r="I150" s="1" t="n">
        <v>100</v>
      </c>
      <c r="J150" s="2" t="n">
        <v>250</v>
      </c>
      <c r="K150" s="3" t="n">
        <v>78.5</v>
      </c>
      <c r="L150" s="4" t="n">
        <v>9500</v>
      </c>
      <c r="M150" s="3" t="n">
        <v>43.4459689087927</v>
      </c>
      <c r="N150" s="12" t="n">
        <v>0.00826315789473684</v>
      </c>
      <c r="O150" s="4" t="n">
        <v>5.38</v>
      </c>
      <c r="P150" s="3" t="n">
        <v>243.225960070795</v>
      </c>
      <c r="Q150" s="4" t="n">
        <v>0.24</v>
      </c>
      <c r="R150" s="13" t="n">
        <f aca="false">P150/200000</f>
        <v>0.00121612980035397</v>
      </c>
      <c r="V150" s="4" t="n">
        <f aca="false">$W$2*($W$3*$G150+$W$4*$B150^$W$5*$N150^$W$6)*$R150^$W$7</f>
        <v>0.283754976822363</v>
      </c>
      <c r="W150" s="4" t="n">
        <f aca="false">V150/$Q150</f>
        <v>1.18231240342651</v>
      </c>
      <c r="Y150" s="4" t="n">
        <f aca="false">$Z$2*$B150^$Z$3*$R150^$Z$4*($Z$5*$N150^$Z$6+$Z$7)</f>
        <v>0.291026956570946</v>
      </c>
      <c r="Z150" s="4" t="n">
        <f aca="false">Y150/$Q150</f>
        <v>1.21261231904561</v>
      </c>
      <c r="AB150" s="4" t="n">
        <f aca="false">$AC$2*($AC$3+$AC$4*$F150/($N150*'Sem TS MC2020'!P142))*($AC$5*$G150+$AC$6*$B150/$N150)*'Sem TS MC2020'!R142*($J150-$M150)/($J150-$M150-$H150)</f>
        <v>0.315557267305474</v>
      </c>
      <c r="AC150" s="4" t="n">
        <f aca="false">AB150/$Q150</f>
        <v>1.31482194710614</v>
      </c>
      <c r="AD150" s="23" t="n">
        <f aca="false">AB150-$Q150</f>
        <v>0.0755572673054739</v>
      </c>
      <c r="AE150" s="24" t="n">
        <f aca="false">1/AC150</f>
        <v>0.760559254582684</v>
      </c>
      <c r="AF150" s="24" t="n">
        <f aca="false">AB150*(14.068*'Sem TS MC2020'!$P142^-0.457)/$Q150</f>
        <v>1.25608204204728</v>
      </c>
      <c r="AG150" s="24"/>
      <c r="AO150" s="4" t="n">
        <f aca="false">$AP$2*($AP$3+$AP$4*$F150/($N150*'Sem TS MC2020'!P142))*($AP$5*$G150+$AP$6*$B150/$N150)*('Sem TS MC2020'!P142^$AP$7/200000)*($J150-$M150)/($J150-$M150-$H150)+('Sem TS MC2020'!P142-$C150/$AP$8)*($AP$5*$G150+$AP$6*$B150/$N150)/200000</f>
        <v>0.324913834647165</v>
      </c>
      <c r="AP150" s="4" t="n">
        <f aca="false">AO150/$Q150</f>
        <v>1.35380764436319</v>
      </c>
      <c r="AQ150" s="23" t="n">
        <f aca="false">AO150-$Q150</f>
        <v>0.0849138346471646</v>
      </c>
    </row>
    <row r="151" customFormat="false" ht="14.25" hidden="false" customHeight="false" outlineLevel="0" collapsed="false">
      <c r="B151" s="2" t="n">
        <v>10</v>
      </c>
      <c r="C151" s="3" t="n">
        <v>528</v>
      </c>
      <c r="D151" s="3" t="n">
        <v>1</v>
      </c>
      <c r="E151" s="2" t="n">
        <v>45</v>
      </c>
      <c r="F151" s="4" t="n">
        <v>2.8</v>
      </c>
      <c r="G151" s="2" t="n">
        <v>40</v>
      </c>
      <c r="H151" s="2" t="n">
        <v>45</v>
      </c>
      <c r="I151" s="1" t="n">
        <v>100</v>
      </c>
      <c r="J151" s="2" t="n">
        <v>250</v>
      </c>
      <c r="K151" s="3" t="n">
        <v>78.5</v>
      </c>
      <c r="L151" s="4" t="n">
        <v>9500</v>
      </c>
      <c r="M151" s="3" t="n">
        <v>43.4459689087927</v>
      </c>
      <c r="N151" s="12" t="n">
        <v>0.00826315789473684</v>
      </c>
      <c r="O151" s="4" t="n">
        <v>5.68</v>
      </c>
      <c r="P151" s="3" t="n">
        <v>276.845848875135</v>
      </c>
      <c r="Q151" s="4" t="n">
        <v>0.26</v>
      </c>
      <c r="R151" s="13" t="n">
        <f aca="false">P151/200000</f>
        <v>0.00138422924437567</v>
      </c>
      <c r="V151" s="4" t="n">
        <f aca="false">$W$2*($W$3*$G151+$W$4*$B151^$W$5*$N151^$W$6)*$R151^$W$7</f>
        <v>0.307352123991928</v>
      </c>
      <c r="W151" s="4" t="n">
        <f aca="false">V151/$Q151</f>
        <v>1.18212355381511</v>
      </c>
      <c r="Y151" s="4" t="n">
        <f aca="false">$Z$2*$B151^$Z$3*$R151^$Z$4*($Z$5*$N151^$Z$6+$Z$7)</f>
        <v>0.315678102872625</v>
      </c>
      <c r="Z151" s="4" t="n">
        <f aca="false">Y151/$Q151</f>
        <v>1.2141465495101</v>
      </c>
      <c r="AB151" s="4" t="n">
        <f aca="false">$AC$2*($AC$3+$AC$4*$F151/($N151*'Sem TS MC2020'!P143))*($AC$5*$G151+$AC$6*$B151/$N151)*'Sem TS MC2020'!R143*($J151-$M151)/($J151-$M151-$H151)</f>
        <v>0.351649579714924</v>
      </c>
      <c r="AC151" s="4" t="n">
        <f aca="false">AB151/$Q151</f>
        <v>1.35249838351894</v>
      </c>
      <c r="AD151" s="23" t="n">
        <f aca="false">AB151-$Q151</f>
        <v>0.0916495797149244</v>
      </c>
      <c r="AE151" s="24" t="n">
        <f aca="false">1/AC151</f>
        <v>0.73937241787912</v>
      </c>
      <c r="AF151" s="24" t="n">
        <f aca="false">AB151*(14.068*'Sem TS MC2020'!$P143^-0.457)/$Q151</f>
        <v>1.26042824624254</v>
      </c>
      <c r="AG151" s="24"/>
      <c r="AO151" s="4" t="n">
        <f aca="false">$AP$2*($AP$3+$AP$4*$F151/($N151*'Sem TS MC2020'!P143))*($AP$5*$G151+$AP$6*$B151/$N151)*('Sem TS MC2020'!P143^$AP$7/200000)*($J151-$M151)/($J151-$M151-$H151)+('Sem TS MC2020'!P143-$C151/$AP$8)*($AP$5*$G151+$AP$6*$B151/$N151)/200000</f>
        <v>0.360449255551958</v>
      </c>
      <c r="AP151" s="4" t="n">
        <f aca="false">AO151/$Q151</f>
        <v>1.38634329058445</v>
      </c>
      <c r="AQ151" s="23" t="n">
        <f aca="false">AO151-$Q151</f>
        <v>0.100449255551958</v>
      </c>
    </row>
    <row r="152" customFormat="false" ht="14.25" hidden="false" customHeight="false" outlineLevel="0" collapsed="false">
      <c r="B152" s="2" t="n">
        <v>10</v>
      </c>
      <c r="C152" s="3" t="n">
        <v>528</v>
      </c>
      <c r="D152" s="3" t="n">
        <v>1</v>
      </c>
      <c r="E152" s="2" t="n">
        <v>45</v>
      </c>
      <c r="F152" s="4" t="n">
        <v>2.8</v>
      </c>
      <c r="G152" s="2" t="n">
        <v>40</v>
      </c>
      <c r="H152" s="2" t="n">
        <v>45</v>
      </c>
      <c r="I152" s="1" t="n">
        <v>100</v>
      </c>
      <c r="J152" s="2" t="n">
        <v>250</v>
      </c>
      <c r="K152" s="3" t="n">
        <v>78.5</v>
      </c>
      <c r="L152" s="4" t="n">
        <v>9500</v>
      </c>
      <c r="M152" s="3" t="n">
        <v>43.4459689087927</v>
      </c>
      <c r="N152" s="12" t="n">
        <v>0.00826315789473684</v>
      </c>
      <c r="O152" s="4" t="n">
        <v>6.04</v>
      </c>
      <c r="P152" s="3" t="n">
        <v>317.189715440343</v>
      </c>
      <c r="Q152" s="4" t="n">
        <v>0.28</v>
      </c>
      <c r="R152" s="13" t="n">
        <f aca="false">P152/200000</f>
        <v>0.00158594857720172</v>
      </c>
      <c r="V152" s="4" t="n">
        <f aca="false">$W$2*($W$3*$G152+$W$4*$B152^$W$5*$N152^$W$6)*$R152^$W$7</f>
        <v>0.334263722934685</v>
      </c>
      <c r="W152" s="4" t="n">
        <f aca="false">V152/$Q152</f>
        <v>1.19379901048102</v>
      </c>
      <c r="Y152" s="4" t="n">
        <f aca="false">$Z$2*$B152^$Z$3*$R152^$Z$4*($Z$5*$N152^$Z$6+$Z$7)</f>
        <v>0.343832857880284</v>
      </c>
      <c r="Z152" s="4" t="n">
        <f aca="false">Y152/$Q152</f>
        <v>1.22797449242959</v>
      </c>
      <c r="AB152" s="4" t="n">
        <f aca="false">$AC$2*($AC$3+$AC$4*$F152/($N152*'Sem TS MC2020'!P144))*($AC$5*$G152+$AC$6*$B152/$N152)*'Sem TS MC2020'!R144*($J152-$M152)/($J152-$M152-$H152)</f>
        <v>0.394960354606265</v>
      </c>
      <c r="AC152" s="4" t="n">
        <f aca="false">AB152/$Q152</f>
        <v>1.41057269502238</v>
      </c>
      <c r="AD152" s="23" t="n">
        <f aca="false">AB152-$Q152</f>
        <v>0.114960354606265</v>
      </c>
      <c r="AE152" s="24" t="n">
        <f aca="false">1/AC152</f>
        <v>0.708931913632524</v>
      </c>
      <c r="AF152" s="24" t="n">
        <f aca="false">AB152*(14.068*'Sem TS MC2020'!$P144^-0.457)/$Q152</f>
        <v>1.27814508319544</v>
      </c>
      <c r="AG152" s="24"/>
      <c r="AO152" s="4" t="n">
        <f aca="false">$AP$2*($AP$3+$AP$4*$F152/($N152*'Sem TS MC2020'!P144))*($AP$5*$G152+$AP$6*$B152/$N152)*('Sem TS MC2020'!P144^$AP$7/200000)*($J152-$M152)/($J152-$M152-$H152)+('Sem TS MC2020'!P144-$C152/$AP$8)*($AP$5*$G152+$AP$6*$B152/$N152)/200000</f>
        <v>0.402455406248479</v>
      </c>
      <c r="AP152" s="4" t="n">
        <f aca="false">AO152/$Q152</f>
        <v>1.43734073660171</v>
      </c>
      <c r="AQ152" s="23" t="n">
        <f aca="false">AO152-$Q152</f>
        <v>0.122455406248479</v>
      </c>
    </row>
    <row r="153" customFormat="false" ht="14.25" hidden="false" customHeight="false" outlineLevel="0" collapsed="false">
      <c r="A153" s="1" t="s">
        <v>55</v>
      </c>
      <c r="B153" s="2" t="n">
        <v>10</v>
      </c>
      <c r="C153" s="3" t="n">
        <v>528</v>
      </c>
      <c r="D153" s="3" t="n">
        <v>1</v>
      </c>
      <c r="E153" s="2" t="n">
        <v>45</v>
      </c>
      <c r="F153" s="4" t="n">
        <v>2.8</v>
      </c>
      <c r="G153" s="2" t="n">
        <v>40</v>
      </c>
      <c r="H153" s="2" t="n">
        <v>45</v>
      </c>
      <c r="I153" s="1" t="n">
        <v>100</v>
      </c>
      <c r="J153" s="2" t="n">
        <v>250</v>
      </c>
      <c r="K153" s="3" t="n">
        <v>78.5</v>
      </c>
      <c r="L153" s="4" t="n">
        <v>9500</v>
      </c>
      <c r="M153" s="3" t="n">
        <v>43.4459689087927</v>
      </c>
      <c r="N153" s="12" t="n">
        <v>0.00826315789473684</v>
      </c>
      <c r="O153" s="4" t="n">
        <v>3.76</v>
      </c>
      <c r="P153" s="3" t="n">
        <v>61.6785605273578</v>
      </c>
      <c r="Q153" s="4" t="n">
        <v>0.15</v>
      </c>
      <c r="R153" s="13" t="n">
        <f aca="false">P153/200000</f>
        <v>0.000308392802636789</v>
      </c>
      <c r="V153" s="4" t="n">
        <f aca="false">$W$2*($W$3*$G153+$W$4*$B153^$W$5*$N153^$W$6)*$R153^$W$7</f>
        <v>0.12169932864824</v>
      </c>
      <c r="W153" s="4" t="n">
        <f aca="false">V153/$Q153</f>
        <v>0.811328857654934</v>
      </c>
      <c r="Y153" s="4" t="n">
        <f aca="false">$Z$2*$B153^$Z$3*$R153^$Z$4*($Z$5*$N153^$Z$6+$Z$7)</f>
        <v>0.122948512860364</v>
      </c>
      <c r="Z153" s="4" t="n">
        <f aca="false">Y153/$Q153</f>
        <v>0.819656752402428</v>
      </c>
      <c r="AB153" s="4" t="n">
        <f aca="false">$AC$2*($AC$3+$AC$4*$F153/($N153*'Sem TS MC2020'!P145))*($AC$5*$G153+$AC$6*$B153/$N153)*'Sem TS MC2020'!R145*($J153-$M153)/($J153-$M153-$H153)</f>
        <v>0.120658780294441</v>
      </c>
      <c r="AC153" s="4" t="n">
        <f aca="false">AB153/$Q153</f>
        <v>0.804391868629605</v>
      </c>
      <c r="AD153" s="23" t="n">
        <f aca="false">AB153-$Q153</f>
        <v>-0.0293412197055592</v>
      </c>
      <c r="AE153" s="24" t="n">
        <f aca="false">1/AC153</f>
        <v>1.24317517244877</v>
      </c>
      <c r="AF153" s="24" t="n">
        <f aca="false">AB153*(14.068*'Sem TS MC2020'!$P145^-0.457)/$Q153</f>
        <v>0.905160072444628</v>
      </c>
      <c r="AG153" s="24"/>
      <c r="AO153" s="4" t="n">
        <f aca="false">$AP$2*($AP$3+$AP$4*$F153/($N153*'Sem TS MC2020'!P145))*($AP$5*$G153+$AP$6*$B153/$N153)*('Sem TS MC2020'!P145^$AP$7/200000)*($J153-$M153)/($J153-$M153-$H153)+('Sem TS MC2020'!P145-$C153/$AP$8)*($AP$5*$G153+$AP$6*$B153/$N153)/200000</f>
        <v>0.122354375432084</v>
      </c>
      <c r="AP153" s="4" t="n">
        <f aca="false">AO153/$Q153</f>
        <v>0.81569583621389</v>
      </c>
      <c r="AQ153" s="23" t="n">
        <f aca="false">AO153-$Q153</f>
        <v>-0.0276456245679164</v>
      </c>
    </row>
    <row r="154" customFormat="false" ht="14.25" hidden="false" customHeight="false" outlineLevel="0" collapsed="false">
      <c r="B154" s="2" t="n">
        <v>10</v>
      </c>
      <c r="C154" s="3" t="n">
        <v>528</v>
      </c>
      <c r="D154" s="3" t="n">
        <v>1</v>
      </c>
      <c r="E154" s="2" t="n">
        <v>45</v>
      </c>
      <c r="F154" s="4" t="n">
        <v>2.8</v>
      </c>
      <c r="G154" s="2" t="n">
        <v>40</v>
      </c>
      <c r="H154" s="2" t="n">
        <v>45</v>
      </c>
      <c r="I154" s="1" t="n">
        <v>100</v>
      </c>
      <c r="J154" s="2" t="n">
        <v>250</v>
      </c>
      <c r="K154" s="3" t="n">
        <v>78.5</v>
      </c>
      <c r="L154" s="4" t="n">
        <v>9500</v>
      </c>
      <c r="M154" s="3" t="n">
        <v>43.4459689087927</v>
      </c>
      <c r="N154" s="12" t="n">
        <v>0.00826315789473684</v>
      </c>
      <c r="O154" s="4" t="n">
        <v>4.1</v>
      </c>
      <c r="P154" s="3" t="n">
        <v>99.7811011722766</v>
      </c>
      <c r="Q154" s="4" t="n">
        <v>0.17</v>
      </c>
      <c r="R154" s="13" t="n">
        <f aca="false">P154/200000</f>
        <v>0.000498905505861383</v>
      </c>
      <c r="V154" s="4" t="n">
        <f aca="false">$W$2*($W$3*$G154+$W$4*$B154^$W$5*$N154^$W$6)*$R154^$W$7</f>
        <v>0.16375258304938</v>
      </c>
      <c r="W154" s="4" t="n">
        <f aca="false">V154/$Q154</f>
        <v>0.963250488525765</v>
      </c>
      <c r="Y154" s="4" t="n">
        <f aca="false">$Z$2*$B154^$Z$3*$R154^$Z$4*($Z$5*$N154^$Z$6+$Z$7)</f>
        <v>0.166311128934563</v>
      </c>
      <c r="Z154" s="4" t="n">
        <f aca="false">Y154/$Q154</f>
        <v>0.978300758438604</v>
      </c>
      <c r="AB154" s="4" t="n">
        <f aca="false">$AC$2*($AC$3+$AC$4*$F154/($N154*'Sem TS MC2020'!P146))*($AC$5*$G154+$AC$6*$B154/$N154)*'Sem TS MC2020'!R146*($J154-$M154)/($J154-$M154-$H154)</f>
        <v>0.161563401025151</v>
      </c>
      <c r="AC154" s="4" t="n">
        <f aca="false">AB154/$Q154</f>
        <v>0.950372947206773</v>
      </c>
      <c r="AD154" s="23" t="n">
        <f aca="false">AB154-$Q154</f>
        <v>-0.00843659897484864</v>
      </c>
      <c r="AE154" s="24" t="n">
        <f aca="false">1/AC154</f>
        <v>1.05221850320875</v>
      </c>
      <c r="AF154" s="24" t="n">
        <f aca="false">AB154*(14.068*'Sem TS MC2020'!$P146^-0.457)/$Q154</f>
        <v>1.02794624579767</v>
      </c>
      <c r="AG154" s="24"/>
      <c r="AO154" s="4" t="n">
        <f aca="false">$AP$2*($AP$3+$AP$4*$F154/($N154*'Sem TS MC2020'!P146))*($AP$5*$G154+$AP$6*$B154/$N154)*('Sem TS MC2020'!P146^$AP$7/200000)*($J154-$M154)/($J154-$M154-$H154)+('Sem TS MC2020'!P146-$C154/$AP$8)*($AP$5*$G154+$AP$6*$B154/$N154)/200000</f>
        <v>0.166656737207231</v>
      </c>
      <c r="AP154" s="4" t="n">
        <f aca="false">AO154/$Q154</f>
        <v>0.980333748277832</v>
      </c>
      <c r="AQ154" s="23" t="n">
        <f aca="false">AO154-$Q154</f>
        <v>-0.00334326279276861</v>
      </c>
    </row>
    <row r="155" customFormat="false" ht="14.25" hidden="false" customHeight="false" outlineLevel="0" collapsed="false">
      <c r="B155" s="2" t="n">
        <v>10</v>
      </c>
      <c r="C155" s="3" t="n">
        <v>528</v>
      </c>
      <c r="D155" s="3" t="n">
        <v>1</v>
      </c>
      <c r="E155" s="2" t="n">
        <v>45</v>
      </c>
      <c r="F155" s="4" t="n">
        <v>2.8</v>
      </c>
      <c r="G155" s="2" t="n">
        <v>40</v>
      </c>
      <c r="H155" s="2" t="n">
        <v>45</v>
      </c>
      <c r="I155" s="1" t="n">
        <v>100</v>
      </c>
      <c r="J155" s="2" t="n">
        <v>250</v>
      </c>
      <c r="K155" s="3" t="n">
        <v>78.5</v>
      </c>
      <c r="L155" s="4" t="n">
        <v>9500</v>
      </c>
      <c r="M155" s="3" t="n">
        <v>43.4459689087927</v>
      </c>
      <c r="N155" s="12" t="n">
        <v>0.00826315789473684</v>
      </c>
      <c r="O155" s="4" t="n">
        <v>4.42</v>
      </c>
      <c r="P155" s="3" t="n">
        <v>135.642315896906</v>
      </c>
      <c r="Q155" s="4" t="n">
        <v>0.19</v>
      </c>
      <c r="R155" s="13" t="n">
        <f aca="false">P155/200000</f>
        <v>0.000678211579484531</v>
      </c>
      <c r="V155" s="4" t="n">
        <f aca="false">$W$2*($W$3*$G155+$W$4*$B155^$W$5*$N155^$W$6)*$R155^$W$7</f>
        <v>0.197907931151018</v>
      </c>
      <c r="W155" s="4" t="n">
        <f aca="false">V155/$Q155</f>
        <v>1.04162069026852</v>
      </c>
      <c r="Y155" s="4" t="n">
        <f aca="false">$Z$2*$B155^$Z$3*$R155^$Z$4*($Z$5*$N155^$Z$6+$Z$7)</f>
        <v>0.20168015530534</v>
      </c>
      <c r="Z155" s="4" t="n">
        <f aca="false">Y155/$Q155</f>
        <v>1.06147450160705</v>
      </c>
      <c r="AB155" s="4" t="n">
        <f aca="false">$AC$2*($AC$3+$AC$4*$F155/($N155*'Sem TS MC2020'!P147))*($AC$5*$G155+$AC$6*$B155/$N155)*'Sem TS MC2020'!R147*($J155-$M155)/($J155-$M155-$H155)</f>
        <v>0.200061867595232</v>
      </c>
      <c r="AC155" s="4" t="n">
        <f aca="false">AB155/$Q155</f>
        <v>1.05295719786964</v>
      </c>
      <c r="AD155" s="23" t="n">
        <f aca="false">AB155-$Q155</f>
        <v>0.010061867595232</v>
      </c>
      <c r="AE155" s="24" t="n">
        <f aca="false">1/AC155</f>
        <v>0.949706219800021</v>
      </c>
      <c r="AF155" s="24" t="n">
        <f aca="false">AB155*(14.068*'Sem TS MC2020'!$P147^-0.457)/$Q155</f>
        <v>1.10045250280758</v>
      </c>
      <c r="AG155" s="24"/>
      <c r="AO155" s="4" t="n">
        <f aca="false">$AP$2*($AP$3+$AP$4*$F155/($N155*'Sem TS MC2020'!P147))*($AP$5*$G155+$AP$6*$B155/$N155)*('Sem TS MC2020'!P147^$AP$7/200000)*($J155-$M155)/($J155-$M155-$H155)+('Sem TS MC2020'!P147-$C155/$AP$8)*($AP$5*$G155+$AP$6*$B155/$N155)/200000</f>
        <v>0.207379545317589</v>
      </c>
      <c r="AP155" s="4" t="n">
        <f aca="false">AO155/$Q155</f>
        <v>1.0914712911452</v>
      </c>
      <c r="AQ155" s="23" t="n">
        <f aca="false">AO155-$Q155</f>
        <v>0.0173795453175886</v>
      </c>
    </row>
    <row r="156" customFormat="false" ht="14.25" hidden="false" customHeight="false" outlineLevel="0" collapsed="false">
      <c r="B156" s="2" t="n">
        <v>10</v>
      </c>
      <c r="C156" s="3" t="n">
        <v>528</v>
      </c>
      <c r="D156" s="3" t="n">
        <v>1</v>
      </c>
      <c r="E156" s="2" t="n">
        <v>45</v>
      </c>
      <c r="F156" s="4" t="n">
        <v>2.8</v>
      </c>
      <c r="G156" s="2" t="n">
        <v>40</v>
      </c>
      <c r="H156" s="2" t="n">
        <v>45</v>
      </c>
      <c r="I156" s="1" t="n">
        <v>100</v>
      </c>
      <c r="J156" s="2" t="n">
        <v>250</v>
      </c>
      <c r="K156" s="3" t="n">
        <v>78.5</v>
      </c>
      <c r="L156" s="4" t="n">
        <v>9500</v>
      </c>
      <c r="M156" s="3" t="n">
        <v>43.4459689087927</v>
      </c>
      <c r="N156" s="12" t="n">
        <v>0.00826315789473684</v>
      </c>
      <c r="O156" s="4" t="n">
        <v>4.71</v>
      </c>
      <c r="P156" s="3" t="n">
        <v>168.141541741102</v>
      </c>
      <c r="Q156" s="4" t="n">
        <v>0.2</v>
      </c>
      <c r="R156" s="13" t="n">
        <f aca="false">P156/200000</f>
        <v>0.000840707708705509</v>
      </c>
      <c r="V156" s="4" t="n">
        <f aca="false">$W$2*($W$3*$G156+$W$4*$B156^$W$5*$N156^$W$6)*$R156^$W$7</f>
        <v>0.225952345285683</v>
      </c>
      <c r="W156" s="4" t="n">
        <f aca="false">V156/$Q156</f>
        <v>1.12976172642842</v>
      </c>
      <c r="Y156" s="4" t="n">
        <f aca="false">$Z$2*$B156^$Z$3*$R156^$Z$4*($Z$5*$N156^$Z$6+$Z$7)</f>
        <v>0.230803770747569</v>
      </c>
      <c r="Z156" s="4" t="n">
        <f aca="false">Y156/$Q156</f>
        <v>1.15401885373785</v>
      </c>
      <c r="AB156" s="4" t="n">
        <f aca="false">$AC$2*($AC$3+$AC$4*$F156/($N156*'Sem TS MC2020'!P148))*($AC$5*$G156+$AC$6*$B156/$N156)*'Sem TS MC2020'!R148*($J156-$M156)/($J156-$M156-$H156)</f>
        <v>0.234951102924368</v>
      </c>
      <c r="AC156" s="4" t="n">
        <f aca="false">AB156/$Q156</f>
        <v>1.17475551462184</v>
      </c>
      <c r="AD156" s="23" t="n">
        <f aca="false">AB156-$Q156</f>
        <v>0.0349511029243677</v>
      </c>
      <c r="AE156" s="24" t="n">
        <f aca="false">1/AC156</f>
        <v>0.851240949757879</v>
      </c>
      <c r="AF156" s="24" t="n">
        <f aca="false">AB156*(14.068*'Sem TS MC2020'!$P148^-0.457)/$Q156</f>
        <v>1.19260190768144</v>
      </c>
      <c r="AG156" s="24"/>
      <c r="AO156" s="4" t="n">
        <f aca="false">$AP$2*($AP$3+$AP$4*$F156/($N156*'Sem TS MC2020'!P148))*($AP$5*$G156+$AP$6*$B156/$N156)*('Sem TS MC2020'!P148^$AP$7/200000)*($J156-$M156)/($J156-$M156-$H156)+('Sem TS MC2020'!P148-$C156/$AP$8)*($AP$5*$G156+$AP$6*$B156/$N156)/200000</f>
        <v>0.243564961396962</v>
      </c>
      <c r="AP156" s="4" t="n">
        <f aca="false">AO156/$Q156</f>
        <v>1.21782480698481</v>
      </c>
      <c r="AQ156" s="23" t="n">
        <f aca="false">AO156-$Q156</f>
        <v>0.0435649613969618</v>
      </c>
    </row>
    <row r="157" customFormat="false" ht="14.25" hidden="false" customHeight="false" outlineLevel="0" collapsed="false">
      <c r="B157" s="2" t="n">
        <v>10</v>
      </c>
      <c r="C157" s="3" t="n">
        <v>528</v>
      </c>
      <c r="D157" s="3" t="n">
        <v>1</v>
      </c>
      <c r="E157" s="2" t="n">
        <v>45</v>
      </c>
      <c r="F157" s="4" t="n">
        <v>2.8</v>
      </c>
      <c r="G157" s="2" t="n">
        <v>40</v>
      </c>
      <c r="H157" s="2" t="n">
        <v>45</v>
      </c>
      <c r="I157" s="1" t="n">
        <v>100</v>
      </c>
      <c r="J157" s="2" t="n">
        <v>250</v>
      </c>
      <c r="K157" s="3" t="n">
        <v>78.5</v>
      </c>
      <c r="L157" s="4" t="n">
        <v>9500</v>
      </c>
      <c r="M157" s="3" t="n">
        <v>43.4459689087927</v>
      </c>
      <c r="N157" s="12" t="n">
        <v>0.00826315789473684</v>
      </c>
      <c r="O157" s="4" t="n">
        <v>5.04</v>
      </c>
      <c r="P157" s="3" t="n">
        <v>205.123419425876</v>
      </c>
      <c r="Q157" s="4" t="n">
        <v>0.22</v>
      </c>
      <c r="R157" s="13" t="n">
        <f aca="false">P157/200000</f>
        <v>0.00102561709712938</v>
      </c>
      <c r="V157" s="4" t="n">
        <f aca="false">$W$2*($W$3*$G157+$W$4*$B157^$W$5*$N157^$W$6)*$R157^$W$7</f>
        <v>0.255439920675464</v>
      </c>
      <c r="W157" s="4" t="n">
        <f aca="false">V157/$Q157</f>
        <v>1.16109054852484</v>
      </c>
      <c r="Y157" s="4" t="n">
        <f aca="false">$Z$2*$B157^$Z$3*$R157^$Z$4*($Z$5*$N157^$Z$6+$Z$7)</f>
        <v>0.26149570461454</v>
      </c>
      <c r="Z157" s="4" t="n">
        <f aca="false">Y157/$Q157</f>
        <v>1.188616839157</v>
      </c>
      <c r="AB157" s="4" t="n">
        <f aca="false">$AC$2*($AC$3+$AC$4*$F157/($N157*'Sem TS MC2020'!P149))*($AC$5*$G157+$AC$6*$B157/$N157)*'Sem TS MC2020'!R149*($J157-$M157)/($J157-$M157-$H157)</f>
        <v>0.274652646574763</v>
      </c>
      <c r="AC157" s="4" t="n">
        <f aca="false">AB157/$Q157</f>
        <v>1.24842112079438</v>
      </c>
      <c r="AD157" s="23" t="n">
        <f aca="false">AB157-$Q157</f>
        <v>0.0546526465747633</v>
      </c>
      <c r="AE157" s="24" t="n">
        <f aca="false">1/AC157</f>
        <v>0.801011760649879</v>
      </c>
      <c r="AF157" s="24" t="n">
        <f aca="false">AB157*(14.068*'Sem TS MC2020'!$P149^-0.457)/$Q157</f>
        <v>1.22876523113939</v>
      </c>
      <c r="AG157" s="24"/>
      <c r="AO157" s="4" t="n">
        <f aca="false">$AP$2*($AP$3+$AP$4*$F157/($N157*'Sem TS MC2020'!P149))*($AP$5*$G157+$AP$6*$B157/$N157)*('Sem TS MC2020'!P149^$AP$7/200000)*($J157-$M157)/($J157-$M157-$H157)+('Sem TS MC2020'!P149-$C157/$AP$8)*($AP$5*$G157+$AP$6*$B157/$N157)/200000</f>
        <v>0.283998428828016</v>
      </c>
      <c r="AP157" s="4" t="n">
        <f aca="false">AO157/$Q157</f>
        <v>1.29090194921826</v>
      </c>
      <c r="AQ157" s="23" t="n">
        <f aca="false">AO157-$Q157</f>
        <v>0.0639984288280163</v>
      </c>
    </row>
    <row r="158" customFormat="false" ht="14.25" hidden="false" customHeight="false" outlineLevel="0" collapsed="false">
      <c r="B158" s="2" t="n">
        <v>10</v>
      </c>
      <c r="C158" s="3" t="n">
        <v>528</v>
      </c>
      <c r="D158" s="3" t="n">
        <v>1</v>
      </c>
      <c r="E158" s="2" t="n">
        <v>45</v>
      </c>
      <c r="F158" s="4" t="n">
        <v>2.8</v>
      </c>
      <c r="G158" s="2" t="n">
        <v>40</v>
      </c>
      <c r="H158" s="2" t="n">
        <v>45</v>
      </c>
      <c r="I158" s="1" t="n">
        <v>100</v>
      </c>
      <c r="J158" s="2" t="n">
        <v>250</v>
      </c>
      <c r="K158" s="3" t="n">
        <v>78.5</v>
      </c>
      <c r="L158" s="4" t="n">
        <v>9500</v>
      </c>
      <c r="M158" s="3" t="n">
        <v>43.4459689087927</v>
      </c>
      <c r="N158" s="12" t="n">
        <v>0.00826315789473684</v>
      </c>
      <c r="O158" s="4" t="n">
        <v>5.37</v>
      </c>
      <c r="P158" s="3" t="n">
        <v>242.10529711065</v>
      </c>
      <c r="Q158" s="4" t="n">
        <v>0.24</v>
      </c>
      <c r="R158" s="13" t="n">
        <f aca="false">P158/200000</f>
        <v>0.00121052648555325</v>
      </c>
      <c r="V158" s="4" t="n">
        <f aca="false">$W$2*($W$3*$G158+$W$4*$B158^$W$5*$N158^$W$6)*$R158^$W$7</f>
        <v>0.282947597573317</v>
      </c>
      <c r="W158" s="4" t="n">
        <f aca="false">V158/$Q158</f>
        <v>1.17894832322216</v>
      </c>
      <c r="Y158" s="4" t="n">
        <f aca="false">$Z$2*$B158^$Z$3*$R158^$Z$4*($Z$5*$N158^$Z$6+$Z$7)</f>
        <v>0.290184144460515</v>
      </c>
      <c r="Z158" s="4" t="n">
        <f aca="false">Y158/$Q158</f>
        <v>1.20910060191881</v>
      </c>
      <c r="AB158" s="4" t="n">
        <f aca="false">$AC$2*($AC$3+$AC$4*$F158/($N158*'Sem TS MC2020'!P150))*($AC$5*$G158+$AC$6*$B158/$N158)*'Sem TS MC2020'!R150*($J158-$M158)/($J158-$M158-$H158)</f>
        <v>0.314354190225159</v>
      </c>
      <c r="AC158" s="4" t="n">
        <f aca="false">AB158/$Q158</f>
        <v>1.30980912593816</v>
      </c>
      <c r="AD158" s="23" t="n">
        <f aca="false">AB158-$Q158</f>
        <v>0.074354190225159</v>
      </c>
      <c r="AE158" s="24" t="n">
        <f aca="false">1/AC158</f>
        <v>0.763470020323565</v>
      </c>
      <c r="AF158" s="24" t="n">
        <f aca="false">AB158*(14.068*'Sem TS MC2020'!$P150^-0.457)/$Q158</f>
        <v>1.25235751246421</v>
      </c>
      <c r="AG158" s="24"/>
      <c r="AO158" s="4" t="n">
        <f aca="false">$AP$2*($AP$3+$AP$4*$F158/($N158*'Sem TS MC2020'!P150))*($AP$5*$G158+$AP$6*$B158/$N158)*('Sem TS MC2020'!P150^$AP$7/200000)*($J158-$M158)/($J158-$M158-$H158)+('Sem TS MC2020'!P150-$C158/$AP$8)*($AP$5*$G158+$AP$6*$B158/$N158)/200000</f>
        <v>0.323720477264139</v>
      </c>
      <c r="AP158" s="4" t="n">
        <f aca="false">AO158/$Q158</f>
        <v>1.34883532193391</v>
      </c>
      <c r="AQ158" s="23" t="n">
        <f aca="false">AO158-$Q158</f>
        <v>0.0837204772641394</v>
      </c>
    </row>
    <row r="159" customFormat="false" ht="14.25" hidden="false" customHeight="false" outlineLevel="0" collapsed="false">
      <c r="B159" s="2" t="n">
        <v>10</v>
      </c>
      <c r="C159" s="3" t="n">
        <v>528</v>
      </c>
      <c r="D159" s="3" t="n">
        <v>1</v>
      </c>
      <c r="E159" s="2" t="n">
        <v>45</v>
      </c>
      <c r="F159" s="4" t="n">
        <v>2.8</v>
      </c>
      <c r="G159" s="2" t="n">
        <v>40</v>
      </c>
      <c r="H159" s="2" t="n">
        <v>45</v>
      </c>
      <c r="I159" s="1" t="n">
        <v>100</v>
      </c>
      <c r="J159" s="2" t="n">
        <v>250</v>
      </c>
      <c r="K159" s="3" t="n">
        <v>78.5</v>
      </c>
      <c r="L159" s="4" t="n">
        <v>9500</v>
      </c>
      <c r="M159" s="3" t="n">
        <v>43.4459689087927</v>
      </c>
      <c r="N159" s="12" t="n">
        <v>0.00826315789473684</v>
      </c>
      <c r="O159" s="4" t="n">
        <v>5.65</v>
      </c>
      <c r="P159" s="3" t="n">
        <v>273.483859994701</v>
      </c>
      <c r="Q159" s="4" t="n">
        <v>0.26</v>
      </c>
      <c r="R159" s="13" t="n">
        <f aca="false">P159/200000</f>
        <v>0.0013674192999735</v>
      </c>
      <c r="V159" s="4" t="n">
        <f aca="false">$W$2*($W$3*$G159+$W$4*$B159^$W$5*$N159^$W$6)*$R159^$W$7</f>
        <v>0.305043814030168</v>
      </c>
      <c r="W159" s="4" t="n">
        <f aca="false">V159/$Q159</f>
        <v>1.17324543857757</v>
      </c>
      <c r="Y159" s="4" t="n">
        <f aca="false">$Z$2*$B159^$Z$3*$R159^$Z$4*($Z$5*$N159^$Z$6+$Z$7)</f>
        <v>0.313265156349246</v>
      </c>
      <c r="Z159" s="4" t="n">
        <f aca="false">Y159/$Q159</f>
        <v>1.20486598595864</v>
      </c>
      <c r="AB159" s="4" t="n">
        <f aca="false">$AC$2*($AC$3+$AC$4*$F159/($N159*'Sem TS MC2020'!P151))*($AC$5*$G159+$AC$6*$B159/$N159)*'Sem TS MC2020'!R151*($J159-$M159)/($J159-$M159-$H159)</f>
        <v>0.348040348473979</v>
      </c>
      <c r="AC159" s="4" t="n">
        <f aca="false">AB159/$Q159</f>
        <v>1.33861672489992</v>
      </c>
      <c r="AD159" s="23" t="n">
        <f aca="false">AB159-$Q159</f>
        <v>0.0880403484739795</v>
      </c>
      <c r="AE159" s="24" t="n">
        <f aca="false">1/AC159</f>
        <v>0.747039822078096</v>
      </c>
      <c r="AF159" s="24" t="n">
        <f aca="false">AB159*(14.068*'Sem TS MC2020'!$P151^-0.457)/$Q159</f>
        <v>1.25051431636285</v>
      </c>
      <c r="AG159" s="24"/>
      <c r="AO159" s="4" t="n">
        <f aca="false">$AP$2*($AP$3+$AP$4*$F159/($N159*'Sem TS MC2020'!P151))*($AP$5*$G159+$AP$6*$B159/$N159)*('Sem TS MC2020'!P151^$AP$7/200000)*($J159-$M159)/($J159-$M159-$H159)+('Sem TS MC2020'!P151-$C159/$AP$8)*($AP$5*$G159+$AP$6*$B159/$N159)/200000</f>
        <v>0.356918201730684</v>
      </c>
      <c r="AP159" s="4" t="n">
        <f aca="false">AO159/$Q159</f>
        <v>1.37276231434879</v>
      </c>
      <c r="AQ159" s="23" t="n">
        <f aca="false">AO159-$Q159</f>
        <v>0.0969182017306843</v>
      </c>
    </row>
    <row r="160" customFormat="false" ht="14.25" hidden="false" customHeight="false" outlineLevel="0" collapsed="false">
      <c r="B160" s="2" t="n">
        <v>10</v>
      </c>
      <c r="C160" s="3" t="n">
        <v>528</v>
      </c>
      <c r="D160" s="3" t="n">
        <v>1</v>
      </c>
      <c r="E160" s="2" t="n">
        <v>45</v>
      </c>
      <c r="F160" s="4" t="n">
        <v>2.8</v>
      </c>
      <c r="G160" s="2" t="n">
        <v>40</v>
      </c>
      <c r="H160" s="2" t="n">
        <v>45</v>
      </c>
      <c r="I160" s="1" t="n">
        <v>100</v>
      </c>
      <c r="J160" s="2" t="n">
        <v>250</v>
      </c>
      <c r="K160" s="3" t="n">
        <v>78.5</v>
      </c>
      <c r="L160" s="4" t="n">
        <v>9500</v>
      </c>
      <c r="M160" s="3" t="n">
        <v>43.4459689087927</v>
      </c>
      <c r="N160" s="12" t="n">
        <v>0.00826315789473684</v>
      </c>
      <c r="O160" s="4" t="n">
        <v>5.92</v>
      </c>
      <c r="P160" s="3" t="n">
        <v>303.741759918607</v>
      </c>
      <c r="Q160" s="4" t="n">
        <v>0.29</v>
      </c>
      <c r="R160" s="13" t="n">
        <f aca="false">P160/200000</f>
        <v>0.00151870879959303</v>
      </c>
      <c r="V160" s="4" t="n">
        <f aca="false">$W$2*($W$3*$G160+$W$4*$B160^$W$5*$N160^$W$6)*$R160^$W$7</f>
        <v>0.325447277205843</v>
      </c>
      <c r="W160" s="4" t="n">
        <f aca="false">V160/$Q160</f>
        <v>1.12223199036498</v>
      </c>
      <c r="Y160" s="4" t="n">
        <f aca="false">$Z$2*$B160^$Z$3*$R160^$Z$4*($Z$5*$N160^$Z$6+$Z$7)</f>
        <v>0.334604527499891</v>
      </c>
      <c r="Z160" s="4" t="n">
        <f aca="false">Y160/$Q160</f>
        <v>1.15380871551686</v>
      </c>
      <c r="AB160" s="4" t="n">
        <f aca="false">$AC$2*($AC$3+$AC$4*$F160/($N160*'Sem TS MC2020'!P152))*($AC$5*$G160+$AC$6*$B160/$N160)*'Sem TS MC2020'!R152*($J160-$M160)/($J160-$M160-$H160)</f>
        <v>0.380523429642485</v>
      </c>
      <c r="AC160" s="4" t="n">
        <f aca="false">AB160/$Q160</f>
        <v>1.31214975738788</v>
      </c>
      <c r="AD160" s="23" t="n">
        <f aca="false">AB160-$Q160</f>
        <v>0.090523429642485</v>
      </c>
      <c r="AE160" s="24" t="n">
        <f aca="false">1/AC160</f>
        <v>0.762108131613512</v>
      </c>
      <c r="AF160" s="24" t="n">
        <f aca="false">AB160*(14.068*'Sem TS MC2020'!$P152^-0.457)/$Q160</f>
        <v>1.19991628181074</v>
      </c>
      <c r="AG160" s="24"/>
      <c r="AO160" s="4" t="n">
        <f aca="false">$AP$2*($AP$3+$AP$4*$F160/($N160*'Sem TS MC2020'!P152))*($AP$5*$G160+$AP$6*$B160/$N160)*('Sem TS MC2020'!P152^$AP$7/200000)*($J160-$M160)/($J160-$M160-$H160)+('Sem TS MC2020'!P152-$C160/$AP$8)*($AP$5*$G160+$AP$6*$B160/$N160)/200000</f>
        <v>0.388526702838581</v>
      </c>
      <c r="AP160" s="4" t="n">
        <f aca="false">AO160/$Q160</f>
        <v>1.33974725116752</v>
      </c>
      <c r="AQ160" s="23" t="n">
        <f aca="false">AO160-$Q160</f>
        <v>0.098526702838581</v>
      </c>
    </row>
    <row r="161" customFormat="false" ht="14.25" hidden="false" customHeight="false" outlineLevel="0" collapsed="false">
      <c r="A161" s="1" t="s">
        <v>56</v>
      </c>
      <c r="B161" s="2" t="n">
        <v>20</v>
      </c>
      <c r="C161" s="3" t="n">
        <v>598</v>
      </c>
      <c r="D161" s="3" t="n">
        <v>1</v>
      </c>
      <c r="E161" s="2" t="n">
        <v>40</v>
      </c>
      <c r="F161" s="4" t="n">
        <v>2.8</v>
      </c>
      <c r="G161" s="2" t="n">
        <v>40</v>
      </c>
      <c r="H161" s="2" t="n">
        <v>50</v>
      </c>
      <c r="I161" s="1" t="n">
        <v>100</v>
      </c>
      <c r="J161" s="2" t="n">
        <v>250</v>
      </c>
      <c r="K161" s="3" t="n">
        <v>315</v>
      </c>
      <c r="L161" s="4" t="n">
        <v>15000</v>
      </c>
      <c r="M161" s="3" t="n">
        <v>75.4003930660822</v>
      </c>
      <c r="N161" s="12" t="n">
        <v>0.021</v>
      </c>
      <c r="O161" s="4" t="n">
        <v>11.09</v>
      </c>
      <c r="P161" s="3" t="n">
        <v>109.165243530495</v>
      </c>
      <c r="Q161" s="4" t="n">
        <v>0.17</v>
      </c>
      <c r="R161" s="13" t="n">
        <f aca="false">P161/200000</f>
        <v>0.000545826217652473</v>
      </c>
      <c r="V161" s="4" t="n">
        <f aca="false">$W$2*($W$3*$G161+$W$4*$B161^$W$5*$N161^$W$6)*$R161^$W$7</f>
        <v>0.186944510427119</v>
      </c>
      <c r="W161" s="4" t="n">
        <f aca="false">V161/$Q161</f>
        <v>1.09967359074776</v>
      </c>
      <c r="Y161" s="4" t="n">
        <f aca="false">$Z$2*$B161^$Z$3*$R161^$Z$4*($Z$5*$N161^$Z$6+$Z$7)</f>
        <v>0.184312217036826</v>
      </c>
      <c r="Z161" s="4" t="n">
        <f aca="false">Y161/$Q161</f>
        <v>1.08418951198133</v>
      </c>
      <c r="AB161" s="4" t="n">
        <f aca="false">$AC$2*($AC$3+$AC$4*$F161/($N161*'Sem TS MC2020'!P153))*($AC$5*$G161+$AC$6*$B161/$N161)*'Sem TS MC2020'!R153*($J161-$M161)/($J161-$M161-$H161)</f>
        <v>0.210160488098032</v>
      </c>
      <c r="AC161" s="4" t="n">
        <f aca="false">AB161/$Q161</f>
        <v>1.23623816528254</v>
      </c>
      <c r="AD161" s="23" t="n">
        <f aca="false">AB161-$Q161</f>
        <v>0.0401604880980324</v>
      </c>
      <c r="AE161" s="24" t="n">
        <f aca="false">1/AC161</f>
        <v>0.808905620359528</v>
      </c>
      <c r="AF161" s="24" t="n">
        <f aca="false">AB161*(14.068*'Sem TS MC2020'!$P153^-0.457)/$Q161</f>
        <v>1.53973392212024</v>
      </c>
      <c r="AG161" s="24"/>
      <c r="AO161" s="4" t="n">
        <f aca="false">$AP$2*($AP$3+$AP$4*$F161/($N161*'Sem TS MC2020'!P153))*($AP$5*$G161+$AP$6*$B161/$N161)*('Sem TS MC2020'!P153^$AP$7/200000)*($J161-$M161)/($J161-$M161-$H161)+('Sem TS MC2020'!P153-$C161/$AP$8)*($AP$5*$G161+$AP$6*$B161/$N161)/200000</f>
        <v>0.223091148061314</v>
      </c>
      <c r="AP161" s="4" t="n">
        <f aca="false">AO161/$Q161</f>
        <v>1.3123008709489</v>
      </c>
      <c r="AQ161" s="23" t="n">
        <f aca="false">AO161-$Q161</f>
        <v>0.0530911480613137</v>
      </c>
    </row>
    <row r="162" customFormat="false" ht="14.25" hidden="false" customHeight="false" outlineLevel="0" collapsed="false">
      <c r="B162" s="2" t="n">
        <v>20</v>
      </c>
      <c r="C162" s="3" t="n">
        <v>598</v>
      </c>
      <c r="D162" s="3" t="n">
        <v>1</v>
      </c>
      <c r="E162" s="2" t="n">
        <v>40</v>
      </c>
      <c r="F162" s="4" t="n">
        <v>2.8</v>
      </c>
      <c r="G162" s="2" t="n">
        <v>40</v>
      </c>
      <c r="H162" s="2" t="n">
        <v>50</v>
      </c>
      <c r="I162" s="1" t="n">
        <v>100</v>
      </c>
      <c r="J162" s="2" t="n">
        <v>250</v>
      </c>
      <c r="K162" s="3" t="n">
        <v>315</v>
      </c>
      <c r="L162" s="4" t="n">
        <v>15000</v>
      </c>
      <c r="M162" s="3" t="n">
        <v>75.4003930660822</v>
      </c>
      <c r="N162" s="12" t="n">
        <v>0.021</v>
      </c>
      <c r="O162" s="4" t="n">
        <v>12.96</v>
      </c>
      <c r="P162" s="3" t="n">
        <v>151.466537335881</v>
      </c>
      <c r="Q162" s="4" t="n">
        <v>0.2</v>
      </c>
      <c r="R162" s="13" t="n">
        <f aca="false">P162/200000</f>
        <v>0.000757332686679407</v>
      </c>
      <c r="V162" s="4" t="n">
        <f aca="false">$W$2*($W$3*$G162+$W$4*$B162^$W$5*$N162^$W$6)*$R162^$W$7</f>
        <v>0.228807392303539</v>
      </c>
      <c r="W162" s="4" t="n">
        <f aca="false">V162/$Q162</f>
        <v>1.14403696151769</v>
      </c>
      <c r="Y162" s="4" t="n">
        <f aca="false">$Z$2*$B162^$Z$3*$R162^$Z$4*($Z$5*$N162^$Z$6+$Z$7)</f>
        <v>0.22639978669059</v>
      </c>
      <c r="Z162" s="4" t="n">
        <f aca="false">Y162/$Q162</f>
        <v>1.13199893345295</v>
      </c>
      <c r="AB162" s="4" t="n">
        <f aca="false">$AC$2*($AC$3+$AC$4*$F162/($N162*'Sem TS MC2020'!P154))*($AC$5*$G162+$AC$6*$B162/$N162)*'Sem TS MC2020'!R154*($J162-$M162)/($J162-$M162-$H162)</f>
        <v>0.265556738887621</v>
      </c>
      <c r="AC162" s="4" t="n">
        <f aca="false">AB162/$Q162</f>
        <v>1.32778369443811</v>
      </c>
      <c r="AD162" s="23" t="n">
        <f aca="false">AB162-$Q162</f>
        <v>0.0655567388876214</v>
      </c>
      <c r="AE162" s="24" t="n">
        <f aca="false">1/AC162</f>
        <v>0.753134719298674</v>
      </c>
      <c r="AF162" s="24" t="n">
        <f aca="false">AB162*(14.068*'Sem TS MC2020'!$P154^-0.457)/$Q162</f>
        <v>1.54008287880975</v>
      </c>
      <c r="AG162" s="24"/>
      <c r="AO162" s="4" t="n">
        <f aca="false">$AP$2*($AP$3+$AP$4*$F162/($N162*'Sem TS MC2020'!P154))*($AP$5*$G162+$AP$6*$B162/$N162)*('Sem TS MC2020'!P154^$AP$7/200000)*($J162-$M162)/($J162-$M162-$H162)+('Sem TS MC2020'!P154-$C162/$AP$8)*($AP$5*$G162+$AP$6*$B162/$N162)/200000</f>
        <v>0.280046244682146</v>
      </c>
      <c r="AP162" s="4" t="n">
        <f aca="false">AO162/$Q162</f>
        <v>1.40023122341073</v>
      </c>
      <c r="AQ162" s="23" t="n">
        <f aca="false">AO162-$Q162</f>
        <v>0.0800462446821462</v>
      </c>
    </row>
    <row r="163" customFormat="false" ht="14.25" hidden="false" customHeight="false" outlineLevel="0" collapsed="false">
      <c r="B163" s="2" t="n">
        <v>20</v>
      </c>
      <c r="C163" s="3" t="n">
        <v>598</v>
      </c>
      <c r="D163" s="3" t="n">
        <v>1</v>
      </c>
      <c r="E163" s="2" t="n">
        <v>40</v>
      </c>
      <c r="F163" s="4" t="n">
        <v>2.8</v>
      </c>
      <c r="G163" s="2" t="n">
        <v>40</v>
      </c>
      <c r="H163" s="2" t="n">
        <v>50</v>
      </c>
      <c r="I163" s="1" t="n">
        <v>100</v>
      </c>
      <c r="J163" s="2" t="n">
        <v>250</v>
      </c>
      <c r="K163" s="3" t="n">
        <v>315</v>
      </c>
      <c r="L163" s="4" t="n">
        <v>15000</v>
      </c>
      <c r="M163" s="3" t="n">
        <v>75.4003930660822</v>
      </c>
      <c r="N163" s="12" t="n">
        <v>0.021</v>
      </c>
      <c r="O163" s="4" t="n">
        <v>14.77</v>
      </c>
      <c r="P163" s="3" t="n">
        <v>194.074012813532</v>
      </c>
      <c r="Q163" s="4" t="n">
        <v>0.24</v>
      </c>
      <c r="R163" s="13" t="n">
        <f aca="false">P163/200000</f>
        <v>0.000970370064067659</v>
      </c>
      <c r="V163" s="4" t="n">
        <f aca="false">$W$2*($W$3*$G163+$W$4*$B163^$W$5*$N163^$W$6)*$R163^$W$7</f>
        <v>0.266618650795356</v>
      </c>
      <c r="W163" s="4" t="n">
        <f aca="false">V163/$Q163</f>
        <v>1.11091104498065</v>
      </c>
      <c r="Y163" s="4" t="n">
        <f aca="false">$Z$2*$B163^$Z$3*$R163^$Z$4*($Z$5*$N163^$Z$6+$Z$7)</f>
        <v>0.26453348033249</v>
      </c>
      <c r="Z163" s="4" t="n">
        <f aca="false">Y163/$Q163</f>
        <v>1.10222283471871</v>
      </c>
      <c r="AB163" s="4" t="n">
        <f aca="false">$AC$2*($AC$3+$AC$4*$F163/($N163*'Sem TS MC2020'!P155))*($AC$5*$G163+$AC$6*$B163/$N163)*'Sem TS MC2020'!R155*($J163-$M163)/($J163-$M163-$H163)</f>
        <v>0.31917556986578</v>
      </c>
      <c r="AC163" s="4" t="n">
        <f aca="false">AB163/$Q163</f>
        <v>1.32989820777408</v>
      </c>
      <c r="AD163" s="23" t="n">
        <f aca="false">AB163-$Q163</f>
        <v>0.0791755698657797</v>
      </c>
      <c r="AE163" s="24" t="n">
        <f aca="false">1/AC163</f>
        <v>0.751937249147625</v>
      </c>
      <c r="AF163" s="24" t="n">
        <f aca="false">AB163*(14.068*'Sem TS MC2020'!$P155^-0.457)/$Q163</f>
        <v>1.45307744570439</v>
      </c>
      <c r="AG163" s="24"/>
      <c r="AO163" s="4" t="n">
        <f aca="false">$AP$2*($AP$3+$AP$4*$F163/($N163*'Sem TS MC2020'!P155))*($AP$5*$G163+$AP$6*$B163/$N163)*('Sem TS MC2020'!P155^$AP$7/200000)*($J163-$M163)/($J163-$M163-$H163)+('Sem TS MC2020'!P155-$C163/$AP$8)*($AP$5*$G163+$AP$6*$B163/$N163)/200000</f>
        <v>0.333385303366978</v>
      </c>
      <c r="AP163" s="4" t="n">
        <f aca="false">AO163/$Q163</f>
        <v>1.38910543069574</v>
      </c>
      <c r="AQ163" s="23" t="n">
        <f aca="false">AO163-$Q163</f>
        <v>0.0933853033669777</v>
      </c>
    </row>
    <row r="164" customFormat="false" ht="14.25" hidden="false" customHeight="false" outlineLevel="0" collapsed="false">
      <c r="B164" s="2" t="n">
        <v>20</v>
      </c>
      <c r="C164" s="3" t="n">
        <v>598</v>
      </c>
      <c r="D164" s="3" t="n">
        <v>1</v>
      </c>
      <c r="E164" s="2" t="n">
        <v>40</v>
      </c>
      <c r="F164" s="4" t="n">
        <v>2.8</v>
      </c>
      <c r="G164" s="2" t="n">
        <v>40</v>
      </c>
      <c r="H164" s="2" t="n">
        <v>50</v>
      </c>
      <c r="I164" s="1" t="n">
        <v>100</v>
      </c>
      <c r="J164" s="2" t="n">
        <v>250</v>
      </c>
      <c r="K164" s="3" t="n">
        <v>315</v>
      </c>
      <c r="L164" s="4" t="n">
        <v>15000</v>
      </c>
      <c r="M164" s="3" t="n">
        <v>75.4003930660822</v>
      </c>
      <c r="N164" s="12" t="n">
        <v>0.021</v>
      </c>
      <c r="O164" s="4" t="n">
        <v>16.57</v>
      </c>
      <c r="P164" s="3" t="n">
        <v>236.446087874179</v>
      </c>
      <c r="Q164" s="4" t="n">
        <v>0.27</v>
      </c>
      <c r="R164" s="13" t="n">
        <f aca="false">P164/200000</f>
        <v>0.00118223043937089</v>
      </c>
      <c r="V164" s="4" t="n">
        <f aca="false">$W$2*($W$3*$G164+$W$4*$B164^$W$5*$N164^$W$6)*$R164^$W$7</f>
        <v>0.30116699475999</v>
      </c>
      <c r="W164" s="4" t="n">
        <f aca="false">V164/$Q164</f>
        <v>1.11543331392589</v>
      </c>
      <c r="Y164" s="4" t="n">
        <f aca="false">$Z$2*$B164^$Z$3*$R164^$Z$4*($Z$5*$N164^$Z$6+$Z$7)</f>
        <v>0.299461438817519</v>
      </c>
      <c r="Z164" s="4" t="n">
        <f aca="false">Y164/$Q164</f>
        <v>1.10911644006489</v>
      </c>
      <c r="AB164" s="4" t="n">
        <f aca="false">$AC$2*($AC$3+$AC$4*$F164/($N164*'Sem TS MC2020'!P156))*($AC$5*$G164+$AC$6*$B164/$N164)*'Sem TS MC2020'!R156*($J164-$M164)/($J164-$M164-$H164)</f>
        <v>0.372498164208699</v>
      </c>
      <c r="AC164" s="4" t="n">
        <f aca="false">AB164/$Q164</f>
        <v>1.37962283040259</v>
      </c>
      <c r="AD164" s="23" t="n">
        <f aca="false">AB164-$Q164</f>
        <v>0.102498164208699</v>
      </c>
      <c r="AE164" s="24" t="n">
        <f aca="false">1/AC164</f>
        <v>0.724835786972435</v>
      </c>
      <c r="AF164" s="24" t="n">
        <f aca="false">AB164*(14.068*'Sem TS MC2020'!$P156^-0.457)/$Q164</f>
        <v>1.43023444671876</v>
      </c>
      <c r="AG164" s="24"/>
      <c r="AO164" s="4" t="n">
        <f aca="false">$AP$2*($AP$3+$AP$4*$F164/($N164*'Sem TS MC2020'!P156))*($AP$5*$G164+$AP$6*$B164/$N164)*('Sem TS MC2020'!P156^$AP$7/200000)*($J164-$M164)/($J164-$M164-$H164)+('Sem TS MC2020'!P156-$C164/$AP$8)*($AP$5*$G164+$AP$6*$B164/$N164)/200000</f>
        <v>0.384996860919815</v>
      </c>
      <c r="AP164" s="4" t="n">
        <f aca="false">AO164/$Q164</f>
        <v>1.42591429970302</v>
      </c>
      <c r="AQ164" s="23" t="n">
        <f aca="false">AO164-$Q164</f>
        <v>0.114996860919814</v>
      </c>
    </row>
    <row r="165" customFormat="false" ht="14.25" hidden="false" customHeight="false" outlineLevel="0" collapsed="false">
      <c r="B165" s="2" t="n">
        <v>20</v>
      </c>
      <c r="C165" s="3" t="n">
        <v>598</v>
      </c>
      <c r="D165" s="3" t="n">
        <v>1</v>
      </c>
      <c r="E165" s="2" t="n">
        <v>40</v>
      </c>
      <c r="F165" s="4" t="n">
        <v>2.8</v>
      </c>
      <c r="G165" s="2" t="n">
        <v>40</v>
      </c>
      <c r="H165" s="2" t="n">
        <v>50</v>
      </c>
      <c r="I165" s="1" t="n">
        <v>100</v>
      </c>
      <c r="J165" s="2" t="n">
        <v>250</v>
      </c>
      <c r="K165" s="3" t="n">
        <v>315</v>
      </c>
      <c r="L165" s="4" t="n">
        <v>15000</v>
      </c>
      <c r="M165" s="3" t="n">
        <v>75.4003930660822</v>
      </c>
      <c r="N165" s="12" t="n">
        <v>0.021</v>
      </c>
      <c r="O165" s="4" t="n">
        <v>18.35</v>
      </c>
      <c r="P165" s="3" t="n">
        <v>278.347362100818</v>
      </c>
      <c r="Q165" s="4" t="n">
        <v>0.32</v>
      </c>
      <c r="R165" s="13" t="n">
        <f aca="false">P165/200000</f>
        <v>0.00139173681050409</v>
      </c>
      <c r="V165" s="4" t="n">
        <f aca="false">$W$2*($W$3*$G165+$W$4*$B165^$W$5*$N165^$W$6)*$R165^$W$7</f>
        <v>0.33306185470397</v>
      </c>
      <c r="W165" s="4" t="n">
        <f aca="false">V165/$Q165</f>
        <v>1.04081829594991</v>
      </c>
      <c r="Y165" s="4" t="n">
        <f aca="false">$Z$2*$B165^$Z$3*$R165^$Z$4*($Z$5*$N165^$Z$6+$Z$7)</f>
        <v>0.331770549817883</v>
      </c>
      <c r="Z165" s="4" t="n">
        <f aca="false">Y165/$Q165</f>
        <v>1.03678296818088</v>
      </c>
      <c r="AB165" s="4" t="n">
        <f aca="false">$AC$2*($AC$3+$AC$4*$F165/($N165*'Sem TS MC2020'!P157))*($AC$5*$G165+$AC$6*$B165/$N165)*'Sem TS MC2020'!R157*($J165-$M165)/($J165-$M165-$H165)</f>
        <v>0.425228285281143</v>
      </c>
      <c r="AC165" s="4" t="n">
        <f aca="false">AB165/$Q165</f>
        <v>1.32883839150357</v>
      </c>
      <c r="AD165" s="23" t="n">
        <f aca="false">AB165-$Q165</f>
        <v>0.105228285281143</v>
      </c>
      <c r="AE165" s="24" t="n">
        <f aca="false">1/AC165</f>
        <v>0.752536957386148</v>
      </c>
      <c r="AF165" s="24" t="n">
        <f aca="false">AB165*(14.068*'Sem TS MC2020'!$P157^-0.457)/$Q165</f>
        <v>1.31482432724637</v>
      </c>
      <c r="AG165" s="24"/>
      <c r="AO165" s="4" t="n">
        <f aca="false">$AP$2*($AP$3+$AP$4*$F165/($N165*'Sem TS MC2020'!P157))*($AP$5*$G165+$AP$6*$B165/$N165)*('Sem TS MC2020'!P157^$AP$7/200000)*($J165-$M165)/($J165-$M165-$H165)+('Sem TS MC2020'!P157-$C165/$AP$8)*($AP$5*$G165+$AP$6*$B165/$N165)/200000</f>
        <v>0.434847055123442</v>
      </c>
      <c r="AP165" s="4" t="n">
        <f aca="false">AO165/$Q165</f>
        <v>1.35889704726076</v>
      </c>
      <c r="AQ165" s="23" t="n">
        <f aca="false">AO165-$Q165</f>
        <v>0.114847055123442</v>
      </c>
    </row>
    <row r="166" customFormat="false" ht="14.25" hidden="false" customHeight="false" outlineLevel="0" collapsed="false">
      <c r="B166" s="2" t="n">
        <v>20</v>
      </c>
      <c r="C166" s="3" t="n">
        <v>598</v>
      </c>
      <c r="D166" s="3" t="n">
        <v>1</v>
      </c>
      <c r="E166" s="2" t="n">
        <v>40</v>
      </c>
      <c r="F166" s="4" t="n">
        <v>2.8</v>
      </c>
      <c r="G166" s="2" t="n">
        <v>40</v>
      </c>
      <c r="H166" s="2" t="n">
        <v>50</v>
      </c>
      <c r="I166" s="1" t="n">
        <v>100</v>
      </c>
      <c r="J166" s="2" t="n">
        <v>250</v>
      </c>
      <c r="K166" s="3" t="n">
        <v>315</v>
      </c>
      <c r="L166" s="4" t="n">
        <v>15000</v>
      </c>
      <c r="M166" s="3" t="n">
        <v>75.4003930660822</v>
      </c>
      <c r="N166" s="12" t="n">
        <v>0.021</v>
      </c>
      <c r="O166" s="4" t="n">
        <v>20.18</v>
      </c>
      <c r="P166" s="3" t="n">
        <v>321.425638412476</v>
      </c>
      <c r="Q166" s="4" t="n">
        <v>0.34</v>
      </c>
      <c r="R166" s="13" t="n">
        <f aca="false">P166/200000</f>
        <v>0.00160712819206238</v>
      </c>
      <c r="V166" s="4" t="n">
        <f aca="false">$W$2*($W$3*$G166+$W$4*$B166^$W$5*$N166^$W$6)*$R166^$W$7</f>
        <v>0.363984866494449</v>
      </c>
      <c r="W166" s="4" t="n">
        <f aca="false">V166/$Q166</f>
        <v>1.07054372498367</v>
      </c>
      <c r="Y166" s="4" t="n">
        <f aca="false">$Z$2*$B166^$Z$3*$R166^$Z$4*($Z$5*$N166^$Z$6+$Z$7)</f>
        <v>0.363148028740427</v>
      </c>
      <c r="Z166" s="4" t="n">
        <f aca="false">Y166/$Q166</f>
        <v>1.06808243747184</v>
      </c>
      <c r="AB166" s="4" t="n">
        <f aca="false">$AC$2*($AC$3+$AC$4*$F166/($N166*'Sem TS MC2020'!P158))*($AC$5*$G166+$AC$6*$B166/$N166)*'Sem TS MC2020'!R158*($J166-$M166)/($J166-$M166-$H166)</f>
        <v>0.479439589529778</v>
      </c>
      <c r="AC166" s="4" t="n">
        <f aca="false">AB166/$Q166</f>
        <v>1.41011643979346</v>
      </c>
      <c r="AD166" s="23" t="n">
        <f aca="false">AB166-$Q166</f>
        <v>0.139439589529778</v>
      </c>
      <c r="AE166" s="24" t="n">
        <f aca="false">1/AC166</f>
        <v>0.709161294613704</v>
      </c>
      <c r="AF166" s="24" t="n">
        <f aca="false">AB166*(14.068*'Sem TS MC2020'!$P158^-0.457)/$Q166</f>
        <v>1.33592861475652</v>
      </c>
      <c r="AG166" s="24"/>
      <c r="AO166" s="4" t="n">
        <f aca="false">$AP$2*($AP$3+$AP$4*$F166/($N166*'Sem TS MC2020'!P158))*($AP$5*$G166+$AP$6*$B166/$N166)*('Sem TS MC2020'!P158^$AP$7/200000)*($J166-$M166)/($J166-$M166-$H166)+('Sem TS MC2020'!P158-$C166/$AP$8)*($AP$5*$G166+$AP$6*$B166/$N166)/200000</f>
        <v>0.485036131311996</v>
      </c>
      <c r="AP166" s="4" t="n">
        <f aca="false">AO166/$Q166</f>
        <v>1.42657685679999</v>
      </c>
      <c r="AQ166" s="23" t="n">
        <f aca="false">AO166-$Q166</f>
        <v>0.145036131311996</v>
      </c>
    </row>
    <row r="167" customFormat="false" ht="14.25" hidden="false" customHeight="false" outlineLevel="0" collapsed="false">
      <c r="A167" s="1" t="s">
        <v>57</v>
      </c>
      <c r="B167" s="2" t="n">
        <v>20</v>
      </c>
      <c r="C167" s="3" t="n">
        <v>598</v>
      </c>
      <c r="D167" s="3" t="n">
        <v>1</v>
      </c>
      <c r="E167" s="2" t="n">
        <v>40</v>
      </c>
      <c r="F167" s="4" t="n">
        <v>2.8</v>
      </c>
      <c r="G167" s="2" t="n">
        <v>40</v>
      </c>
      <c r="H167" s="2" t="n">
        <v>50</v>
      </c>
      <c r="I167" s="1" t="n">
        <v>100</v>
      </c>
      <c r="J167" s="2" t="n">
        <v>250</v>
      </c>
      <c r="K167" s="3" t="n">
        <v>315</v>
      </c>
      <c r="L167" s="4" t="n">
        <v>15000</v>
      </c>
      <c r="M167" s="3" t="n">
        <v>75.4003930660822</v>
      </c>
      <c r="N167" s="12" t="n">
        <v>0.021</v>
      </c>
      <c r="O167" s="4" t="n">
        <v>9.35</v>
      </c>
      <c r="P167" s="3" t="n">
        <v>77.5765264357903</v>
      </c>
      <c r="Q167" s="4" t="n">
        <v>0.16</v>
      </c>
      <c r="R167" s="13" t="n">
        <f aca="false">P167/200000</f>
        <v>0.000387882632178952</v>
      </c>
      <c r="V167" s="4" t="n">
        <f aca="false">$W$2*($W$3*$G167+$W$4*$B167^$W$5*$N167^$W$6)*$R167^$W$7</f>
        <v>0.151418264037444</v>
      </c>
      <c r="W167" s="4" t="n">
        <f aca="false">V167/$Q167</f>
        <v>0.946364150234025</v>
      </c>
      <c r="Y167" s="4" t="n">
        <f aca="false">$Z$2*$B167^$Z$3*$R167^$Z$4*($Z$5*$N167^$Z$6+$Z$7)</f>
        <v>0.148726300295447</v>
      </c>
      <c r="Z167" s="4" t="n">
        <f aca="false">Y167/$Q167</f>
        <v>0.929539376846544</v>
      </c>
      <c r="AB167" s="4" t="n">
        <f aca="false">$AC$2*($AC$3+$AC$4*$F167/($N167*'Sem TS MC2020'!P159))*($AC$5*$G167+$AC$6*$B167/$N167)*'Sem TS MC2020'!R159*($J167-$M167)/($J167-$M167-$H167)</f>
        <v>0.158615313566543</v>
      </c>
      <c r="AC167" s="4" t="n">
        <f aca="false">AB167/$Q167</f>
        <v>0.991345709790894</v>
      </c>
      <c r="AD167" s="23" t="n">
        <f aca="false">AB167-$Q167</f>
        <v>-0.00138468643345699</v>
      </c>
      <c r="AE167" s="24" t="n">
        <f aca="false">1/AC167</f>
        <v>1.00872984078474</v>
      </c>
      <c r="AF167" s="24" t="n">
        <f aca="false">AB167*(14.068*'Sem TS MC2020'!$P159^-0.457)/$Q167</f>
        <v>1.33487768389844</v>
      </c>
      <c r="AG167" s="24"/>
      <c r="AO167" s="4" t="n">
        <f aca="false">$AP$2*($AP$3+$AP$4*$F167/($N167*'Sem TS MC2020'!P159))*($AP$5*$G167+$AP$6*$B167/$N167)*('Sem TS MC2020'!P159^$AP$7/200000)*($J167-$M167)/($J167-$M167-$H167)+('Sem TS MC2020'!P159-$C167/$AP$8)*($AP$5*$G167+$AP$6*$B167/$N167)/200000</f>
        <v>0.167974482864053</v>
      </c>
      <c r="AP167" s="4" t="n">
        <f aca="false">AO167/$Q167</f>
        <v>1.04984051790033</v>
      </c>
      <c r="AQ167" s="23" t="n">
        <f aca="false">AO167-$Q167</f>
        <v>0.00797448286405258</v>
      </c>
    </row>
    <row r="168" customFormat="false" ht="14.25" hidden="false" customHeight="false" outlineLevel="0" collapsed="false">
      <c r="B168" s="2" t="n">
        <v>20</v>
      </c>
      <c r="C168" s="3" t="n">
        <v>598</v>
      </c>
      <c r="D168" s="3" t="n">
        <v>1</v>
      </c>
      <c r="E168" s="2" t="n">
        <v>40</v>
      </c>
      <c r="F168" s="4" t="n">
        <v>2.8</v>
      </c>
      <c r="G168" s="2" t="n">
        <v>40</v>
      </c>
      <c r="H168" s="2" t="n">
        <v>50</v>
      </c>
      <c r="I168" s="1" t="n">
        <v>100</v>
      </c>
      <c r="J168" s="2" t="n">
        <v>250</v>
      </c>
      <c r="K168" s="3" t="n">
        <v>315</v>
      </c>
      <c r="L168" s="4" t="n">
        <v>15000</v>
      </c>
      <c r="M168" s="3" t="n">
        <v>75.4003930660822</v>
      </c>
      <c r="N168" s="12" t="n">
        <v>0.021</v>
      </c>
      <c r="O168" s="4" t="n">
        <v>11.12</v>
      </c>
      <c r="P168" s="3" t="n">
        <v>109.709876583852</v>
      </c>
      <c r="Q168" s="4" t="n">
        <v>0.2</v>
      </c>
      <c r="R168" s="13" t="n">
        <f aca="false">P168/200000</f>
        <v>0.000548549382919258</v>
      </c>
      <c r="V168" s="4" t="n">
        <f aca="false">$W$2*($W$3*$G168+$W$4*$B168^$W$5*$N168^$W$6)*$R168^$W$7</f>
        <v>0.187519424995349</v>
      </c>
      <c r="W168" s="4" t="n">
        <f aca="false">V168/$Q168</f>
        <v>0.937597124976747</v>
      </c>
      <c r="Y168" s="4" t="n">
        <f aca="false">$Z$2*$B168^$Z$3*$R168^$Z$4*($Z$5*$N168^$Z$6+$Z$7)</f>
        <v>0.184889157625515</v>
      </c>
      <c r="Z168" s="4" t="n">
        <f aca="false">Y168/$Q168</f>
        <v>0.924445788127573</v>
      </c>
      <c r="AB168" s="4" t="n">
        <f aca="false">$AC$2*($AC$3+$AC$4*$F168/($N168*'Sem TS MC2020'!P160))*($AC$5*$G168+$AC$6*$B168/$N168)*'Sem TS MC2020'!R160*($J168-$M168)/($J168-$M168-$H168)</f>
        <v>0.211049198003748</v>
      </c>
      <c r="AC168" s="4" t="n">
        <f aca="false">AB168/$Q168</f>
        <v>1.05524599001874</v>
      </c>
      <c r="AD168" s="23" t="n">
        <f aca="false">AB168-$Q168</f>
        <v>0.0110491980037477</v>
      </c>
      <c r="AE168" s="24" t="n">
        <f aca="false">1/AC168</f>
        <v>0.94764633977168</v>
      </c>
      <c r="AF168" s="24" t="n">
        <f aca="false">AB168*(14.068*'Sem TS MC2020'!$P160^-0.457)/$Q168</f>
        <v>1.31268665498858</v>
      </c>
      <c r="AG168" s="24"/>
      <c r="AO168" s="4" t="n">
        <f aca="false">$AP$2*($AP$3+$AP$4*$F168/($N168*'Sem TS MC2020'!P160))*($AP$5*$G168+$AP$6*$B168/$N168)*('Sem TS MC2020'!P160^$AP$7/200000)*($J168-$M168)/($J168-$M168-$H168)+('Sem TS MC2020'!P160-$C168/$AP$8)*($AP$5*$G168+$AP$6*$B168/$N168)/200000</f>
        <v>0.224021991417595</v>
      </c>
      <c r="AP168" s="4" t="n">
        <f aca="false">AO168/$Q168</f>
        <v>1.12010995708798</v>
      </c>
      <c r="AQ168" s="23" t="n">
        <f aca="false">AO168-$Q168</f>
        <v>0.0240219914175955</v>
      </c>
    </row>
    <row r="169" customFormat="false" ht="14.25" hidden="false" customHeight="false" outlineLevel="0" collapsed="false">
      <c r="B169" s="2" t="n">
        <v>20</v>
      </c>
      <c r="C169" s="3" t="n">
        <v>598</v>
      </c>
      <c r="D169" s="3" t="n">
        <v>1</v>
      </c>
      <c r="E169" s="2" t="n">
        <v>40</v>
      </c>
      <c r="F169" s="4" t="n">
        <v>2.8</v>
      </c>
      <c r="G169" s="2" t="n">
        <v>40</v>
      </c>
      <c r="H169" s="2" t="n">
        <v>50</v>
      </c>
      <c r="I169" s="1" t="n">
        <v>100</v>
      </c>
      <c r="J169" s="2" t="n">
        <v>250</v>
      </c>
      <c r="K169" s="3" t="n">
        <v>315</v>
      </c>
      <c r="L169" s="4" t="n">
        <v>15000</v>
      </c>
      <c r="M169" s="3" t="n">
        <v>75.4003930660822</v>
      </c>
      <c r="N169" s="12" t="n">
        <v>0.021</v>
      </c>
      <c r="O169" s="4" t="n">
        <v>12.93</v>
      </c>
      <c r="P169" s="3" t="n">
        <v>150.760336084871</v>
      </c>
      <c r="Q169" s="4" t="n">
        <v>0.24</v>
      </c>
      <c r="R169" s="13" t="n">
        <f aca="false">P169/200000</f>
        <v>0.000753801680424353</v>
      </c>
      <c r="V169" s="4" t="n">
        <f aca="false">$W$2*($W$3*$G169+$W$4*$B169^$W$5*$N169^$W$6)*$R169^$W$7</f>
        <v>0.228148589521229</v>
      </c>
      <c r="W169" s="4" t="n">
        <f aca="false">V169/$Q169</f>
        <v>0.950619123005122</v>
      </c>
      <c r="Y169" s="4" t="n">
        <f aca="false">$Z$2*$B169^$Z$3*$R169^$Z$4*($Z$5*$N169^$Z$6+$Z$7)</f>
        <v>0.225736311468075</v>
      </c>
      <c r="Z169" s="4" t="n">
        <f aca="false">Y169/$Q169</f>
        <v>0.940567964450311</v>
      </c>
      <c r="AB169" s="4" t="n">
        <f aca="false">$AC$2*($AC$3+$AC$4*$F169/($N169*'Sem TS MC2020'!P161))*($AC$5*$G169+$AC$6*$B169/$N169)*'Sem TS MC2020'!R161*($J169-$M169)/($J169-$M169-$H169)</f>
        <v>0.264668028981906</v>
      </c>
      <c r="AC169" s="4" t="n">
        <f aca="false">AB169/$Q169</f>
        <v>1.10278345409128</v>
      </c>
      <c r="AD169" s="23" t="n">
        <f aca="false">AB169-$Q169</f>
        <v>0.024668028981906</v>
      </c>
      <c r="AE169" s="24" t="n">
        <f aca="false">1/AC169</f>
        <v>0.906796340015845</v>
      </c>
      <c r="AF169" s="24" t="n">
        <f aca="false">AB169*(14.068*'Sem TS MC2020'!$P161^-0.457)/$Q169</f>
        <v>1.28046279151053</v>
      </c>
      <c r="AG169" s="24"/>
      <c r="AO169" s="4" t="n">
        <f aca="false">$AP$2*($AP$3+$AP$4*$F169/($N169*'Sem TS MC2020'!P161))*($AP$5*$G169+$AP$6*$B169/$N169)*('Sem TS MC2020'!P161^$AP$7/200000)*($J169-$M169)/($J169-$M169-$H169)+('Sem TS MC2020'!P161-$C169/$AP$8)*($AP$5*$G169+$AP$6*$B169/$N169)/200000</f>
        <v>0.279148401278385</v>
      </c>
      <c r="AP169" s="4" t="n">
        <f aca="false">AO169/$Q169</f>
        <v>1.16311833865994</v>
      </c>
      <c r="AQ169" s="23" t="n">
        <f aca="false">AO169-$Q169</f>
        <v>0.0391484012783851</v>
      </c>
    </row>
    <row r="170" customFormat="false" ht="14.25" hidden="false" customHeight="false" outlineLevel="0" collapsed="false">
      <c r="B170" s="2" t="n">
        <v>20</v>
      </c>
      <c r="C170" s="3" t="n">
        <v>598</v>
      </c>
      <c r="D170" s="3" t="n">
        <v>1</v>
      </c>
      <c r="E170" s="2" t="n">
        <v>40</v>
      </c>
      <c r="F170" s="4" t="n">
        <v>2.8</v>
      </c>
      <c r="G170" s="2" t="n">
        <v>40</v>
      </c>
      <c r="H170" s="2" t="n">
        <v>50</v>
      </c>
      <c r="I170" s="1" t="n">
        <v>100</v>
      </c>
      <c r="J170" s="2" t="n">
        <v>250</v>
      </c>
      <c r="K170" s="3" t="n">
        <v>315</v>
      </c>
      <c r="L170" s="4" t="n">
        <v>15000</v>
      </c>
      <c r="M170" s="3" t="n">
        <v>75.4003930660822</v>
      </c>
      <c r="N170" s="12" t="n">
        <v>0.021</v>
      </c>
      <c r="O170" s="4" t="n">
        <v>14.72</v>
      </c>
      <c r="P170" s="3" t="n">
        <v>192.897010728514</v>
      </c>
      <c r="Q170" s="4" t="n">
        <v>0.27</v>
      </c>
      <c r="R170" s="13" t="n">
        <f aca="false">P170/200000</f>
        <v>0.000964485053642569</v>
      </c>
      <c r="V170" s="4" t="n">
        <f aca="false">$W$2*($W$3*$G170+$W$4*$B170^$W$5*$N170^$W$6)*$R170^$W$7</f>
        <v>0.265619822024044</v>
      </c>
      <c r="W170" s="4" t="n">
        <f aca="false">V170/$Q170</f>
        <v>0.98377711860757</v>
      </c>
      <c r="Y170" s="4" t="n">
        <f aca="false">$Z$2*$B170^$Z$3*$R170^$Z$4*($Z$5*$N170^$Z$6+$Z$7)</f>
        <v>0.263524828872221</v>
      </c>
      <c r="Z170" s="4" t="n">
        <f aca="false">Y170/$Q170</f>
        <v>0.97601788471193</v>
      </c>
      <c r="AB170" s="4" t="n">
        <f aca="false">$AC$2*($AC$3+$AC$4*$F170/($N170*'Sem TS MC2020'!P162))*($AC$5*$G170+$AC$6*$B170/$N170)*'Sem TS MC2020'!R162*($J170-$M170)/($J170-$M170-$H170)</f>
        <v>0.317694386689588</v>
      </c>
      <c r="AC170" s="4" t="n">
        <f aca="false">AB170/$Q170</f>
        <v>1.1766458766281</v>
      </c>
      <c r="AD170" s="23" t="n">
        <f aca="false">AB170-$Q170</f>
        <v>0.0476943866895875</v>
      </c>
      <c r="AE170" s="24" t="n">
        <f aca="false">1/AC170</f>
        <v>0.849873373003003</v>
      </c>
      <c r="AF170" s="24" t="n">
        <f aca="false">AB170*(14.068*'Sem TS MC2020'!$P162^-0.457)/$Q170</f>
        <v>1.28762427452393</v>
      </c>
      <c r="AG170" s="24"/>
      <c r="AO170" s="4" t="n">
        <f aca="false">$AP$2*($AP$3+$AP$4*$F170/($N170*'Sem TS MC2020'!P162))*($AP$5*$G170+$AP$6*$B170/$N170)*('Sem TS MC2020'!P162^$AP$7/200000)*($J170-$M170)/($J170-$M170-$H170)+('Sem TS MC2020'!P162-$C170/$AP$8)*($AP$5*$G170+$AP$6*$B170/$N170)/200000</f>
        <v>0.331932444481565</v>
      </c>
      <c r="AP170" s="4" t="n">
        <f aca="false">AO170/$Q170</f>
        <v>1.2293794240058</v>
      </c>
      <c r="AQ170" s="23" t="n">
        <f aca="false">AO170-$Q170</f>
        <v>0.0619324444815654</v>
      </c>
    </row>
    <row r="171" customFormat="false" ht="14.25" hidden="false" customHeight="false" outlineLevel="0" collapsed="false">
      <c r="B171" s="2" t="n">
        <v>20</v>
      </c>
      <c r="C171" s="3" t="n">
        <v>598</v>
      </c>
      <c r="D171" s="3" t="n">
        <v>1</v>
      </c>
      <c r="E171" s="2" t="n">
        <v>40</v>
      </c>
      <c r="F171" s="4" t="n">
        <v>2.8</v>
      </c>
      <c r="G171" s="2" t="n">
        <v>40</v>
      </c>
      <c r="H171" s="2" t="n">
        <v>50</v>
      </c>
      <c r="I171" s="1" t="n">
        <v>100</v>
      </c>
      <c r="J171" s="2" t="n">
        <v>250</v>
      </c>
      <c r="K171" s="3" t="n">
        <v>315</v>
      </c>
      <c r="L171" s="4" t="n">
        <v>15000</v>
      </c>
      <c r="M171" s="3" t="n">
        <v>75.4003930660822</v>
      </c>
      <c r="N171" s="12" t="n">
        <v>0.021</v>
      </c>
      <c r="O171" s="4" t="n">
        <v>16.58</v>
      </c>
      <c r="P171" s="3" t="n">
        <v>236.681488291182</v>
      </c>
      <c r="Q171" s="4" t="n">
        <v>0.29</v>
      </c>
      <c r="R171" s="13" t="n">
        <f aca="false">P171/200000</f>
        <v>0.00118340744145591</v>
      </c>
      <c r="V171" s="4" t="n">
        <f aca="false">$W$2*($W$3*$G171+$W$4*$B171^$W$5*$N171^$W$6)*$R171^$W$7</f>
        <v>0.30135195776173</v>
      </c>
      <c r="W171" s="4" t="n">
        <f aca="false">V171/$Q171</f>
        <v>1.039144681937</v>
      </c>
      <c r="Y171" s="4" t="n">
        <f aca="false">$Z$2*$B171^$Z$3*$R171^$Z$4*($Z$5*$N171^$Z$6+$Z$7)</f>
        <v>0.299648634252357</v>
      </c>
      <c r="Z171" s="4" t="n">
        <f aca="false">Y171/$Q171</f>
        <v>1.03327115259433</v>
      </c>
      <c r="AB171" s="4" t="n">
        <f aca="false">$AC$2*($AC$3+$AC$4*$F171/($N171*'Sem TS MC2020'!P163))*($AC$5*$G171+$AC$6*$B171/$N171)*'Sem TS MC2020'!R163*($J171-$M171)/($J171-$M171-$H171)</f>
        <v>0.372794400843938</v>
      </c>
      <c r="AC171" s="4" t="n">
        <f aca="false">AB171/$Q171</f>
        <v>1.28549793394461</v>
      </c>
      <c r="AD171" s="23" t="n">
        <f aca="false">AB171-$Q171</f>
        <v>0.0827944008439379</v>
      </c>
      <c r="AE171" s="24" t="n">
        <f aca="false">1/AC171</f>
        <v>0.777908679270647</v>
      </c>
      <c r="AF171" s="24" t="n">
        <f aca="false">AB171*(14.068*'Sem TS MC2020'!$P163^-0.457)/$Q171</f>
        <v>1.33228918332354</v>
      </c>
      <c r="AG171" s="24"/>
      <c r="AO171" s="4" t="n">
        <f aca="false">$AP$2*($AP$3+$AP$4*$F171/($N171*'Sem TS MC2020'!P163))*($AP$5*$G171+$AP$6*$B171/$N171)*('Sem TS MC2020'!P163^$AP$7/200000)*($J171-$M171)/($J171-$M171-$H171)+('Sem TS MC2020'!P163-$C171/$AP$8)*($AP$5*$G171+$AP$6*$B171/$N171)/200000</f>
        <v>0.385280044262122</v>
      </c>
      <c r="AP171" s="4" t="n">
        <f aca="false">AO171/$Q171</f>
        <v>1.32855187676594</v>
      </c>
      <c r="AQ171" s="23" t="n">
        <f aca="false">AO171-$Q171</f>
        <v>0.0952800442621221</v>
      </c>
    </row>
    <row r="172" customFormat="false" ht="14.25" hidden="false" customHeight="false" outlineLevel="0" collapsed="false">
      <c r="B172" s="2" t="n">
        <v>20</v>
      </c>
      <c r="C172" s="3" t="n">
        <v>598</v>
      </c>
      <c r="D172" s="3" t="n">
        <v>1</v>
      </c>
      <c r="E172" s="2" t="n">
        <v>40</v>
      </c>
      <c r="F172" s="4" t="n">
        <v>2.8</v>
      </c>
      <c r="G172" s="2" t="n">
        <v>40</v>
      </c>
      <c r="H172" s="2" t="n">
        <v>50</v>
      </c>
      <c r="I172" s="1" t="n">
        <v>100</v>
      </c>
      <c r="J172" s="2" t="n">
        <v>250</v>
      </c>
      <c r="K172" s="3" t="n">
        <v>315</v>
      </c>
      <c r="L172" s="4" t="n">
        <v>15000</v>
      </c>
      <c r="M172" s="3" t="n">
        <v>75.4003930660822</v>
      </c>
      <c r="N172" s="12" t="n">
        <v>0.021</v>
      </c>
      <c r="O172" s="4" t="n">
        <v>18.35</v>
      </c>
      <c r="P172" s="3" t="n">
        <v>278.347362100818</v>
      </c>
      <c r="Q172" s="4" t="n">
        <v>0.32</v>
      </c>
      <c r="R172" s="13" t="n">
        <f aca="false">P172/200000</f>
        <v>0.00139173681050409</v>
      </c>
      <c r="V172" s="4" t="n">
        <f aca="false">$W$2*($W$3*$G172+$W$4*$B172^$W$5*$N172^$W$6)*$R172^$W$7</f>
        <v>0.33306185470397</v>
      </c>
      <c r="W172" s="4" t="n">
        <f aca="false">V172/$Q172</f>
        <v>1.04081829594991</v>
      </c>
      <c r="Y172" s="4" t="n">
        <f aca="false">$Z$2*$B172^$Z$3*$R172^$Z$4*($Z$5*$N172^$Z$6+$Z$7)</f>
        <v>0.331770549817883</v>
      </c>
      <c r="Z172" s="4" t="n">
        <f aca="false">Y172/$Q172</f>
        <v>1.03678296818088</v>
      </c>
      <c r="AB172" s="4" t="n">
        <f aca="false">$AC$2*($AC$3+$AC$4*$F172/($N172*'Sem TS MC2020'!P164))*($AC$5*$G172+$AC$6*$B172/$N172)*'Sem TS MC2020'!R164*($J172-$M172)/($J172-$M172-$H172)</f>
        <v>0.425228285281143</v>
      </c>
      <c r="AC172" s="4" t="n">
        <f aca="false">AB172/$Q172</f>
        <v>1.32883839150357</v>
      </c>
      <c r="AD172" s="23" t="n">
        <f aca="false">AB172-$Q172</f>
        <v>0.105228285281143</v>
      </c>
      <c r="AE172" s="24" t="n">
        <f aca="false">1/AC172</f>
        <v>0.752536957386148</v>
      </c>
      <c r="AF172" s="24" t="n">
        <f aca="false">AB172*(14.068*'Sem TS MC2020'!$P164^-0.457)/$Q172</f>
        <v>1.31482432724637</v>
      </c>
      <c r="AG172" s="24"/>
      <c r="AO172" s="4" t="n">
        <f aca="false">$AP$2*($AP$3+$AP$4*$F172/($N172*'Sem TS MC2020'!P164))*($AP$5*$G172+$AP$6*$B172/$N172)*('Sem TS MC2020'!P164^$AP$7/200000)*($J172-$M172)/($J172-$M172-$H172)+('Sem TS MC2020'!P164-$C172/$AP$8)*($AP$5*$G172+$AP$6*$B172/$N172)/200000</f>
        <v>0.434847055123442</v>
      </c>
      <c r="AP172" s="4" t="n">
        <f aca="false">AO172/$Q172</f>
        <v>1.35889704726076</v>
      </c>
      <c r="AQ172" s="23" t="n">
        <f aca="false">AO172-$Q172</f>
        <v>0.114847055123442</v>
      </c>
    </row>
    <row r="173" customFormat="false" ht="14.25" hidden="false" customHeight="false" outlineLevel="0" collapsed="false">
      <c r="B173" s="2" t="n">
        <v>20</v>
      </c>
      <c r="C173" s="3" t="n">
        <v>598</v>
      </c>
      <c r="D173" s="3" t="n">
        <v>1</v>
      </c>
      <c r="E173" s="2" t="n">
        <v>40</v>
      </c>
      <c r="F173" s="4" t="n">
        <v>2.8</v>
      </c>
      <c r="G173" s="2" t="n">
        <v>40</v>
      </c>
      <c r="H173" s="2" t="n">
        <v>50</v>
      </c>
      <c r="I173" s="1" t="n">
        <v>100</v>
      </c>
      <c r="J173" s="2" t="n">
        <v>250</v>
      </c>
      <c r="K173" s="3" t="n">
        <v>315</v>
      </c>
      <c r="L173" s="4" t="n">
        <v>15000</v>
      </c>
      <c r="M173" s="3" t="n">
        <v>75.4003930660822</v>
      </c>
      <c r="N173" s="12" t="n">
        <v>0.021</v>
      </c>
      <c r="O173" s="4" t="n">
        <v>19.21</v>
      </c>
      <c r="P173" s="3" t="n">
        <v>298.591797963127</v>
      </c>
      <c r="Q173" s="4" t="n">
        <v>0.33</v>
      </c>
      <c r="R173" s="13" t="n">
        <f aca="false">P173/200000</f>
        <v>0.00149295898981564</v>
      </c>
      <c r="V173" s="4" t="n">
        <f aca="false">$W$2*($W$3*$G173+$W$4*$B173^$W$5*$N173^$W$6)*$R173^$W$7</f>
        <v>0.347806502794298</v>
      </c>
      <c r="W173" s="4" t="n">
        <f aca="false">V173/$Q173</f>
        <v>1.05395909937666</v>
      </c>
      <c r="Y173" s="4" t="n">
        <f aca="false">$Z$2*$B173^$Z$3*$R173^$Z$4*($Z$5*$N173^$Z$6+$Z$7)</f>
        <v>0.346725698960969</v>
      </c>
      <c r="Z173" s="4" t="n">
        <f aca="false">Y173/$Q173</f>
        <v>1.05068393624536</v>
      </c>
      <c r="AB173" s="4" t="n">
        <f aca="false">$AC$2*($AC$3+$AC$4*$F173/($N173*'Sem TS MC2020'!P165))*($AC$5*$G173+$AC$6*$B173/$N173)*'Sem TS MC2020'!R165*($J173-$M173)/($J173-$M173-$H173)</f>
        <v>0.450704635911649</v>
      </c>
      <c r="AC173" s="4" t="n">
        <f aca="false">AB173/$Q173</f>
        <v>1.36577162397469</v>
      </c>
      <c r="AD173" s="23" t="n">
        <f aca="false">AB173-$Q173</f>
        <v>0.120704635911649</v>
      </c>
      <c r="AE173" s="24" t="n">
        <f aca="false">1/AC173</f>
        <v>0.732186833029802</v>
      </c>
      <c r="AF173" s="24" t="n">
        <f aca="false">AB173*(14.068*'Sem TS MC2020'!$P165^-0.457)/$Q173</f>
        <v>1.32337622171872</v>
      </c>
      <c r="AG173" s="24"/>
      <c r="AO173" s="4" t="n">
        <f aca="false">$AP$2*($AP$3+$AP$4*$F173/($N173*'Sem TS MC2020'!P165))*($AP$5*$G173+$AP$6*$B173/$N173)*('Sem TS MC2020'!P165^$AP$7/200000)*($J173-$M173)/($J173-$M173-$H173)+('Sem TS MC2020'!P165-$C173/$AP$8)*($AP$5*$G173+$AP$6*$B173/$N173)/200000</f>
        <v>0.458558319839606</v>
      </c>
      <c r="AP173" s="4" t="n">
        <f aca="false">AO173/$Q173</f>
        <v>1.38957066618062</v>
      </c>
      <c r="AQ173" s="23" t="n">
        <f aca="false">AO173-$Q173</f>
        <v>0.128558319839606</v>
      </c>
    </row>
    <row r="174" customFormat="false" ht="14.25" hidden="false" customHeight="false" outlineLevel="0" collapsed="false">
      <c r="A174" s="1" t="s">
        <v>58</v>
      </c>
      <c r="B174" s="2" t="n">
        <v>10</v>
      </c>
      <c r="C174" s="3" t="n">
        <v>528</v>
      </c>
      <c r="D174" s="3" t="n">
        <v>1</v>
      </c>
      <c r="E174" s="2" t="n">
        <v>45</v>
      </c>
      <c r="F174" s="4" t="n">
        <v>2.8</v>
      </c>
      <c r="G174" s="2" t="n">
        <v>40</v>
      </c>
      <c r="H174" s="2" t="n">
        <v>45</v>
      </c>
      <c r="I174" s="1" t="n">
        <v>100</v>
      </c>
      <c r="J174" s="2" t="n">
        <v>350</v>
      </c>
      <c r="K174" s="3" t="n">
        <v>78.5</v>
      </c>
      <c r="L174" s="4" t="n">
        <v>9500</v>
      </c>
      <c r="M174" s="3" t="n">
        <v>54.1386548495659</v>
      </c>
      <c r="N174" s="12" t="n">
        <v>0.00826315789473684</v>
      </c>
      <c r="O174" s="4" t="n">
        <v>6.99</v>
      </c>
      <c r="P174" s="3" t="n">
        <v>160.396623000304</v>
      </c>
      <c r="Q174" s="4" t="n">
        <v>0.15</v>
      </c>
      <c r="R174" s="13" t="n">
        <f aca="false">P174/200000</f>
        <v>0.000801983115001521</v>
      </c>
      <c r="V174" s="4" t="n">
        <f aca="false">$W$2*($W$3*$G174+$W$4*$B174^$W$5*$N174^$W$6)*$R174^$W$7</f>
        <v>0.219472855343461</v>
      </c>
      <c r="W174" s="4" t="n">
        <f aca="false">V174/$Q174</f>
        <v>1.46315236895641</v>
      </c>
      <c r="Y174" s="4" t="n">
        <f aca="false">$Z$2*$B174^$Z$3*$R174^$Z$4*($Z$5*$N174^$Z$6+$Z$7)</f>
        <v>0.224068900110245</v>
      </c>
      <c r="Z174" s="4" t="n">
        <f aca="false">Y174/$Q174</f>
        <v>1.49379266740163</v>
      </c>
      <c r="AB174" s="4" t="n">
        <f aca="false">$AC$2*($AC$3+$AC$4*$F174/($N174*'Sem TS MC2020'!P166))*($AC$5*$G174+$AC$6*$B174/$N174)*'Sem TS MC2020'!R166*($J174-$M174)/($J174-$M174-$H174)</f>
        <v>0.209058912689384</v>
      </c>
      <c r="AC174" s="4" t="n">
        <f aca="false">AB174/$Q174</f>
        <v>1.39372608459589</v>
      </c>
      <c r="AD174" s="23" t="n">
        <f aca="false">AB174-$Q174</f>
        <v>0.0590589126893842</v>
      </c>
      <c r="AE174" s="24" t="n">
        <f aca="false">1/AC174</f>
        <v>0.717501100863694</v>
      </c>
      <c r="AF174" s="24" t="n">
        <f aca="false">AB174*(14.068*'Sem TS MC2020'!$P166^-0.457)/$Q174</f>
        <v>1.42448937432949</v>
      </c>
      <c r="AG174" s="24"/>
      <c r="AO174" s="4" t="n">
        <f aca="false">$AP$2*($AP$3+$AP$4*$F174/($N174*'Sem TS MC2020'!P166))*($AP$5*$G174+$AP$6*$B174/$N174)*('Sem TS MC2020'!P166^$AP$7/200000)*($J174-$M174)/($J174-$M174-$H174)+('Sem TS MC2020'!P166-$C174/$AP$8)*($AP$5*$G174+$AP$6*$B174/$N174)/200000</f>
        <v>0.217185674987748</v>
      </c>
      <c r="AP174" s="4" t="n">
        <f aca="false">AO174/$Q174</f>
        <v>1.44790449991832</v>
      </c>
      <c r="AQ174" s="23" t="n">
        <f aca="false">AO174-$Q174</f>
        <v>0.0671856749877479</v>
      </c>
    </row>
    <row r="175" customFormat="false" ht="14.25" hidden="false" customHeight="false" outlineLevel="0" collapsed="false">
      <c r="B175" s="2" t="n">
        <v>10</v>
      </c>
      <c r="C175" s="3" t="n">
        <v>528</v>
      </c>
      <c r="D175" s="3" t="n">
        <v>1</v>
      </c>
      <c r="E175" s="2" t="n">
        <v>45</v>
      </c>
      <c r="F175" s="4" t="n">
        <v>2.8</v>
      </c>
      <c r="G175" s="2" t="n">
        <v>40</v>
      </c>
      <c r="H175" s="2" t="n">
        <v>45</v>
      </c>
      <c r="I175" s="1" t="n">
        <v>100</v>
      </c>
      <c r="J175" s="2" t="n">
        <v>350</v>
      </c>
      <c r="K175" s="3" t="n">
        <v>78.5</v>
      </c>
      <c r="L175" s="4" t="n">
        <v>9500</v>
      </c>
      <c r="M175" s="3" t="n">
        <v>54.1386548495659</v>
      </c>
      <c r="N175" s="12" t="n">
        <v>0.00826315789473684</v>
      </c>
      <c r="O175" s="4" t="n">
        <v>7.44</v>
      </c>
      <c r="P175" s="3" t="n">
        <v>193.878640306356</v>
      </c>
      <c r="Q175" s="4" t="n">
        <v>0.19</v>
      </c>
      <c r="R175" s="13" t="n">
        <f aca="false">P175/200000</f>
        <v>0.000969393201531782</v>
      </c>
      <c r="V175" s="4" t="n">
        <f aca="false">$W$2*($W$3*$G175+$W$4*$B175^$W$5*$N175^$W$6)*$R175^$W$7</f>
        <v>0.246706931405485</v>
      </c>
      <c r="W175" s="4" t="n">
        <f aca="false">V175/$Q175</f>
        <v>1.29845753371308</v>
      </c>
      <c r="Y175" s="4" t="n">
        <f aca="false">$Z$2*$B175^$Z$3*$R175^$Z$4*($Z$5*$N175^$Z$6+$Z$7)</f>
        <v>0.252399100099323</v>
      </c>
      <c r="Z175" s="4" t="n">
        <f aca="false">Y175/$Q175</f>
        <v>1.32841631631223</v>
      </c>
      <c r="AB175" s="4" t="n">
        <f aca="false">$AC$2*($AC$3+$AC$4*$F175/($N175*'Sem TS MC2020'!P167))*($AC$5*$G175+$AC$6*$B175/$N175)*'Sem TS MC2020'!R167*($J175-$M175)/($J175-$M175-$H175)</f>
        <v>0.242215410878619</v>
      </c>
      <c r="AC175" s="4" t="n">
        <f aca="false">AB175/$Q175</f>
        <v>1.27481795199273</v>
      </c>
      <c r="AD175" s="23" t="n">
        <f aca="false">AB175-$Q175</f>
        <v>0.052215410878619</v>
      </c>
      <c r="AE175" s="24" t="n">
        <f aca="false">1/AC175</f>
        <v>0.784425727953431</v>
      </c>
      <c r="AF175" s="24" t="n">
        <f aca="false">AB175*(14.068*'Sem TS MC2020'!$P167^-0.457)/$Q175</f>
        <v>1.26633087039973</v>
      </c>
      <c r="AG175" s="24"/>
      <c r="AO175" s="4" t="n">
        <f aca="false">$AP$2*($AP$3+$AP$4*$F175/($N175*'Sem TS MC2020'!P167))*($AP$5*$G175+$AP$6*$B175/$N175)*('Sem TS MC2020'!P167^$AP$7/200000)*($J175-$M175)/($J175-$M175-$H175)+('Sem TS MC2020'!P167-$C175/$AP$8)*($AP$5*$G175+$AP$6*$B175/$N175)/200000</f>
        <v>0.251294028248055</v>
      </c>
      <c r="AP175" s="4" t="n">
        <f aca="false">AO175/$Q175</f>
        <v>1.32260014867397</v>
      </c>
      <c r="AQ175" s="23" t="n">
        <f aca="false">AO175-$Q175</f>
        <v>0.0612940282480549</v>
      </c>
    </row>
    <row r="176" customFormat="false" ht="14.25" hidden="false" customHeight="false" outlineLevel="0" collapsed="false">
      <c r="B176" s="2" t="n">
        <v>10</v>
      </c>
      <c r="C176" s="3" t="n">
        <v>528</v>
      </c>
      <c r="D176" s="3" t="n">
        <v>1</v>
      </c>
      <c r="E176" s="2" t="n">
        <v>45</v>
      </c>
      <c r="F176" s="4" t="n">
        <v>2.8</v>
      </c>
      <c r="G176" s="2" t="n">
        <v>40</v>
      </c>
      <c r="H176" s="2" t="n">
        <v>45</v>
      </c>
      <c r="I176" s="1" t="n">
        <v>100</v>
      </c>
      <c r="J176" s="2" t="n">
        <v>350</v>
      </c>
      <c r="K176" s="3" t="n">
        <v>78.5</v>
      </c>
      <c r="L176" s="4" t="n">
        <v>9500</v>
      </c>
      <c r="M176" s="3" t="n">
        <v>54.1386548495659</v>
      </c>
      <c r="N176" s="12" t="n">
        <v>0.00826315789473684</v>
      </c>
      <c r="O176" s="4" t="n">
        <v>7.53</v>
      </c>
      <c r="P176" s="3" t="n">
        <v>200.575043767567</v>
      </c>
      <c r="Q176" s="4" t="n">
        <v>0.2</v>
      </c>
      <c r="R176" s="13" t="n">
        <f aca="false">P176/200000</f>
        <v>0.00100287521883783</v>
      </c>
      <c r="V176" s="4" t="n">
        <f aca="false">$W$2*($W$3*$G176+$W$4*$B176^$W$5*$N176^$W$6)*$R176^$W$7</f>
        <v>0.251930186106523</v>
      </c>
      <c r="W176" s="4" t="n">
        <f aca="false">V176/$Q176</f>
        <v>1.25965093053261</v>
      </c>
      <c r="Y176" s="4" t="n">
        <f aca="false">$Z$2*$B176^$Z$3*$R176^$Z$4*($Z$5*$N176^$Z$6+$Z$7)</f>
        <v>0.257839158074584</v>
      </c>
      <c r="Z176" s="4" t="n">
        <f aca="false">Y176/$Q176</f>
        <v>1.28919579037292</v>
      </c>
      <c r="AB176" s="4" t="n">
        <f aca="false">$AC$2*($AC$3+$AC$4*$F176/($N176*'Sem TS MC2020'!P168))*($AC$5*$G176+$AC$6*$B176/$N176)*'Sem TS MC2020'!R168*($J176-$M176)/($J176-$M176-$H176)</f>
        <v>0.248846710516466</v>
      </c>
      <c r="AC176" s="4" t="n">
        <f aca="false">AB176/$Q176</f>
        <v>1.24423355258233</v>
      </c>
      <c r="AD176" s="23" t="n">
        <f aca="false">AB176-$Q176</f>
        <v>0.048846710516466</v>
      </c>
      <c r="AE176" s="24" t="n">
        <f aca="false">1/AC176</f>
        <v>0.803707630231127</v>
      </c>
      <c r="AF176" s="24" t="n">
        <f aca="false">AB176*(14.068*'Sem TS MC2020'!$P168^-0.457)/$Q176</f>
        <v>1.22917709702887</v>
      </c>
      <c r="AG176" s="24"/>
      <c r="AO176" s="4" t="n">
        <f aca="false">$AP$2*($AP$3+$AP$4*$F176/($N176*'Sem TS MC2020'!P168))*($AP$5*$G176+$AP$6*$B176/$N176)*('Sem TS MC2020'!P168^$AP$7/200000)*($J176-$M176)/($J176-$M176-$H176)+('Sem TS MC2020'!P168-$C176/$AP$8)*($AP$5*$G176+$AP$6*$B176/$N176)/200000</f>
        <v>0.258047277838687</v>
      </c>
      <c r="AP176" s="4" t="n">
        <f aca="false">AO176/$Q176</f>
        <v>1.29023638919343</v>
      </c>
      <c r="AQ176" s="23" t="n">
        <f aca="false">AO176-$Q176</f>
        <v>0.0580472778386866</v>
      </c>
    </row>
    <row r="177" customFormat="false" ht="14.25" hidden="false" customHeight="false" outlineLevel="0" collapsed="false">
      <c r="B177" s="2" t="n">
        <v>10</v>
      </c>
      <c r="C177" s="3" t="n">
        <v>528</v>
      </c>
      <c r="D177" s="3" t="n">
        <v>1</v>
      </c>
      <c r="E177" s="2" t="n">
        <v>45</v>
      </c>
      <c r="F177" s="4" t="n">
        <v>2.8</v>
      </c>
      <c r="G177" s="2" t="n">
        <v>40</v>
      </c>
      <c r="H177" s="2" t="n">
        <v>45</v>
      </c>
      <c r="I177" s="1" t="n">
        <v>100</v>
      </c>
      <c r="J177" s="2" t="n">
        <v>350</v>
      </c>
      <c r="K177" s="3" t="n">
        <v>78.5</v>
      </c>
      <c r="L177" s="4" t="n">
        <v>9500</v>
      </c>
      <c r="M177" s="3" t="n">
        <v>54.1386548495659</v>
      </c>
      <c r="N177" s="12" t="n">
        <v>0.00826315789473684</v>
      </c>
      <c r="O177" s="4" t="n">
        <v>7.91</v>
      </c>
      <c r="P177" s="3" t="n">
        <v>228.848747270455</v>
      </c>
      <c r="Q177" s="4" t="n">
        <v>0.23</v>
      </c>
      <c r="R177" s="13" t="n">
        <f aca="false">P177/200000</f>
        <v>0.00114424373635228</v>
      </c>
      <c r="V177" s="4" t="n">
        <f aca="false">$W$2*($W$3*$G177+$W$4*$B177^$W$5*$N177^$W$6)*$R177^$W$7</f>
        <v>0.273285639836506</v>
      </c>
      <c r="W177" s="4" t="n">
        <f aca="false">V177/$Q177</f>
        <v>1.18819843407176</v>
      </c>
      <c r="Y177" s="4" t="n">
        <f aca="false">$Z$2*$B177^$Z$3*$R177^$Z$4*($Z$5*$N177^$Z$6+$Z$7)</f>
        <v>0.280101520720949</v>
      </c>
      <c r="Z177" s="4" t="n">
        <f aca="false">Y177/$Q177</f>
        <v>1.21783269878673</v>
      </c>
      <c r="AB177" s="4" t="n">
        <f aca="false">$AC$2*($AC$3+$AC$4*$F177/($N177*'Sem TS MC2020'!P169))*($AC$5*$G177+$AC$6*$B177/$N177)*'Sem TS MC2020'!R169*($J177-$M177)/($J177-$M177-$H177)</f>
        <v>0.276845531209597</v>
      </c>
      <c r="AC177" s="4" t="n">
        <f aca="false">AB177/$Q177</f>
        <v>1.20367622265042</v>
      </c>
      <c r="AD177" s="23" t="n">
        <f aca="false">AB177-$Q177</f>
        <v>0.0468455312095974</v>
      </c>
      <c r="AE177" s="24" t="n">
        <f aca="false">1/AC177</f>
        <v>0.830788198007318</v>
      </c>
      <c r="AF177" s="24" t="n">
        <f aca="false">AB177*(14.068*'Sem TS MC2020'!$P169^-0.457)/$Q177</f>
        <v>1.16265505385277</v>
      </c>
      <c r="AG177" s="24"/>
      <c r="AO177" s="4" t="n">
        <f aca="false">$AP$2*($AP$3+$AP$4*$F177/($N177*'Sem TS MC2020'!P169))*($AP$5*$G177+$AP$6*$B177/$N177)*('Sem TS MC2020'!P169^$AP$7/200000)*($J177-$M177)/($J177-$M177-$H177)+('Sem TS MC2020'!P169-$C177/$AP$8)*($AP$5*$G177+$AP$6*$B177/$N177)/200000</f>
        <v>0.286325866018011</v>
      </c>
      <c r="AP177" s="4" t="n">
        <f aca="false">AO177/$Q177</f>
        <v>1.24489506964353</v>
      </c>
      <c r="AQ177" s="23" t="n">
        <f aca="false">AO177-$Q177</f>
        <v>0.0563258660180115</v>
      </c>
    </row>
    <row r="178" customFormat="false" ht="14.25" hidden="false" customHeight="false" outlineLevel="0" collapsed="false">
      <c r="B178" s="2" t="n">
        <v>10</v>
      </c>
      <c r="C178" s="3" t="n">
        <v>528</v>
      </c>
      <c r="D178" s="3" t="n">
        <v>1</v>
      </c>
      <c r="E178" s="2" t="n">
        <v>45</v>
      </c>
      <c r="F178" s="4" t="n">
        <v>2.8</v>
      </c>
      <c r="G178" s="2" t="n">
        <v>40</v>
      </c>
      <c r="H178" s="2" t="n">
        <v>45</v>
      </c>
      <c r="I178" s="1" t="n">
        <v>100</v>
      </c>
      <c r="J178" s="2" t="n">
        <v>350</v>
      </c>
      <c r="K178" s="3" t="n">
        <v>78.5</v>
      </c>
      <c r="L178" s="4" t="n">
        <v>9500</v>
      </c>
      <c r="M178" s="3" t="n">
        <v>54.1386548495659</v>
      </c>
      <c r="N178" s="12" t="n">
        <v>0.00826315789473684</v>
      </c>
      <c r="O178" s="4" t="n">
        <v>8.17</v>
      </c>
      <c r="P178" s="3" t="n">
        <v>248.193912825063</v>
      </c>
      <c r="Q178" s="4" t="n">
        <v>0.25</v>
      </c>
      <c r="R178" s="13" t="n">
        <f aca="false">P178/200000</f>
        <v>0.00124096956412532</v>
      </c>
      <c r="V178" s="4" t="n">
        <f aca="false">$W$2*($W$3*$G178+$W$4*$B178^$W$5*$N178^$W$6)*$R178^$W$7</f>
        <v>0.287317108756472</v>
      </c>
      <c r="W178" s="4" t="n">
        <f aca="false">V178/$Q178</f>
        <v>1.14926843502589</v>
      </c>
      <c r="Y178" s="4" t="n">
        <f aca="false">$Z$2*$B178^$Z$3*$R178^$Z$4*($Z$5*$N178^$Z$6+$Z$7)</f>
        <v>0.294745926002708</v>
      </c>
      <c r="Z178" s="4" t="n">
        <f aca="false">Y178/$Q178</f>
        <v>1.17898370401083</v>
      </c>
      <c r="AB178" s="4" t="n">
        <f aca="false">$AC$2*($AC$3+$AC$4*$F178/($N178*'Sem TS MC2020'!P170))*($AC$5*$G178+$AC$6*$B178/$N178)*'Sem TS MC2020'!R170*($J178-$M178)/($J178-$M178-$H178)</f>
        <v>0.296002619052266</v>
      </c>
      <c r="AC178" s="4" t="n">
        <f aca="false">AB178/$Q178</f>
        <v>1.18401047620906</v>
      </c>
      <c r="AD178" s="23" t="n">
        <f aca="false">AB178-$Q178</f>
        <v>0.0460026190522662</v>
      </c>
      <c r="AE178" s="24" t="n">
        <f aca="false">1/AC178</f>
        <v>0.844587121561437</v>
      </c>
      <c r="AF178" s="24" t="n">
        <f aca="false">AB178*(14.068*'Sem TS MC2020'!$P170^-0.457)/$Q178</f>
        <v>1.12688064689939</v>
      </c>
      <c r="AG178" s="24"/>
      <c r="AO178" s="4" t="n">
        <f aca="false">$AP$2*($AP$3+$AP$4*$F178/($N178*'Sem TS MC2020'!P170))*($AP$5*$G178+$AP$6*$B178/$N178)*('Sem TS MC2020'!P170^$AP$7/200000)*($J178-$M178)/($J178-$M178-$H178)+('Sem TS MC2020'!P170-$C178/$AP$8)*($AP$5*$G178+$AP$6*$B178/$N178)/200000</f>
        <v>0.305466123738925</v>
      </c>
      <c r="AP178" s="4" t="n">
        <f aca="false">AO178/$Q178</f>
        <v>1.2218644949557</v>
      </c>
      <c r="AQ178" s="23" t="n">
        <f aca="false">AO178-$Q178</f>
        <v>0.0554661237389252</v>
      </c>
    </row>
    <row r="179" customFormat="false" ht="14.25" hidden="false" customHeight="false" outlineLevel="0" collapsed="false">
      <c r="B179" s="2" t="n">
        <v>10</v>
      </c>
      <c r="C179" s="3" t="n">
        <v>528</v>
      </c>
      <c r="D179" s="3" t="n">
        <v>1</v>
      </c>
      <c r="E179" s="2" t="n">
        <v>45</v>
      </c>
      <c r="F179" s="4" t="n">
        <v>2.8</v>
      </c>
      <c r="G179" s="2" t="n">
        <v>40</v>
      </c>
      <c r="H179" s="2" t="n">
        <v>45</v>
      </c>
      <c r="I179" s="1" t="n">
        <v>100</v>
      </c>
      <c r="J179" s="2" t="n">
        <v>350</v>
      </c>
      <c r="K179" s="3" t="n">
        <v>78.5</v>
      </c>
      <c r="L179" s="4" t="n">
        <v>9500</v>
      </c>
      <c r="M179" s="3" t="n">
        <v>54.1386548495659</v>
      </c>
      <c r="N179" s="12" t="n">
        <v>0.00826315789473684</v>
      </c>
      <c r="O179" s="4" t="n">
        <v>8.46</v>
      </c>
      <c r="P179" s="3" t="n">
        <v>269.771212866741</v>
      </c>
      <c r="Q179" s="4" t="n">
        <v>0.28</v>
      </c>
      <c r="R179" s="13" t="n">
        <f aca="false">P179/200000</f>
        <v>0.00134885606433371</v>
      </c>
      <c r="V179" s="4" t="n">
        <f aca="false">$W$2*($W$3*$G179+$W$4*$B179^$W$5*$N179^$W$6)*$R179^$W$7</f>
        <v>0.302482080059109</v>
      </c>
      <c r="W179" s="4" t="n">
        <f aca="false">V179/$Q179</f>
        <v>1.08029314306825</v>
      </c>
      <c r="Y179" s="4" t="n">
        <f aca="false">$Z$2*$B179^$Z$3*$R179^$Z$4*($Z$5*$N179^$Z$6+$Z$7)</f>
        <v>0.310587679189796</v>
      </c>
      <c r="Z179" s="4" t="n">
        <f aca="false">Y179/$Q179</f>
        <v>1.10924171139213</v>
      </c>
      <c r="AB179" s="4" t="n">
        <f aca="false">$AC$2*($AC$3+$AC$4*$F179/($N179*'Sem TS MC2020'!P171))*($AC$5*$G179+$AC$6*$B179/$N179)*'Sem TS MC2020'!R171*($J179-$M179)/($J179-$M179-$H179)</f>
        <v>0.317370140107551</v>
      </c>
      <c r="AC179" s="4" t="n">
        <f aca="false">AB179/$Q179</f>
        <v>1.1334647860984</v>
      </c>
      <c r="AD179" s="23" t="n">
        <f aca="false">AB179-$Q179</f>
        <v>0.0373701401075509</v>
      </c>
      <c r="AE179" s="24" t="n">
        <f aca="false">1/AC179</f>
        <v>0.882250610927396</v>
      </c>
      <c r="AF179" s="24" t="n">
        <f aca="false">AB179*(14.068*'Sem TS MC2020'!$P171^-0.457)/$Q179</f>
        <v>1.06171421354057</v>
      </c>
      <c r="AG179" s="24"/>
      <c r="AO179" s="4" t="n">
        <f aca="false">$AP$2*($AP$3+$AP$4*$F179/($N179*'Sem TS MC2020'!P171))*($AP$5*$G179+$AP$6*$B179/$N179)*('Sem TS MC2020'!P171^$AP$7/200000)*($J179-$M179)/($J179-$M179-$H179)+('Sem TS MC2020'!P171-$C179/$AP$8)*($AP$5*$G179+$AP$6*$B179/$N179)/200000</f>
        <v>0.326627346031432</v>
      </c>
      <c r="AP179" s="4" t="n">
        <f aca="false">AO179/$Q179</f>
        <v>1.16652623582654</v>
      </c>
      <c r="AQ179" s="23" t="n">
        <f aca="false">AO179-$Q179</f>
        <v>0.0466273460314315</v>
      </c>
    </row>
    <row r="180" customFormat="false" ht="14.25" hidden="false" customHeight="false" outlineLevel="0" collapsed="false">
      <c r="B180" s="2" t="n">
        <v>10</v>
      </c>
      <c r="C180" s="3" t="n">
        <v>528</v>
      </c>
      <c r="D180" s="3" t="n">
        <v>1</v>
      </c>
      <c r="E180" s="2" t="n">
        <v>45</v>
      </c>
      <c r="F180" s="4" t="n">
        <v>2.8</v>
      </c>
      <c r="G180" s="2" t="n">
        <v>40</v>
      </c>
      <c r="H180" s="2" t="n">
        <v>45</v>
      </c>
      <c r="I180" s="1" t="n">
        <v>100</v>
      </c>
      <c r="J180" s="2" t="n">
        <v>350</v>
      </c>
      <c r="K180" s="3" t="n">
        <v>78.5</v>
      </c>
      <c r="L180" s="4" t="n">
        <v>9500</v>
      </c>
      <c r="M180" s="3" t="n">
        <v>54.1386548495659</v>
      </c>
      <c r="N180" s="12" t="n">
        <v>0.00826315789473684</v>
      </c>
      <c r="O180" s="4" t="n">
        <v>8.72</v>
      </c>
      <c r="P180" s="3" t="n">
        <v>289.116378421349</v>
      </c>
      <c r="Q180" s="4" t="n">
        <v>0.31</v>
      </c>
      <c r="R180" s="13" t="n">
        <f aca="false">P180/200000</f>
        <v>0.00144558189210675</v>
      </c>
      <c r="V180" s="4" t="n">
        <f aca="false">$W$2*($W$3*$G180+$W$4*$B180^$W$5*$N180^$W$6)*$R180^$W$7</f>
        <v>0.315687376362366</v>
      </c>
      <c r="W180" s="4" t="n">
        <f aca="false">V180/$Q180</f>
        <v>1.01834637536247</v>
      </c>
      <c r="Y180" s="4" t="n">
        <f aca="false">$Z$2*$B180^$Z$3*$R180^$Z$4*($Z$5*$N180^$Z$6+$Z$7)</f>
        <v>0.324393868223182</v>
      </c>
      <c r="Z180" s="4" t="n">
        <f aca="false">Y180/$Q180</f>
        <v>1.04643183297801</v>
      </c>
      <c r="AB180" s="4" t="n">
        <f aca="false">$AC$2*($AC$3+$AC$4*$F180/($N180*'Sem TS MC2020'!P172))*($AC$5*$G180+$AC$6*$B180/$N180)*'Sem TS MC2020'!R172*($J180-$M180)/($J180-$M180-$H180)</f>
        <v>0.33652722795022</v>
      </c>
      <c r="AC180" s="4" t="n">
        <f aca="false">AB180/$Q180</f>
        <v>1.08557170306523</v>
      </c>
      <c r="AD180" s="23" t="n">
        <f aca="false">AB180-$Q180</f>
        <v>0.0265272279502198</v>
      </c>
      <c r="AE180" s="24" t="n">
        <f aca="false">1/AC180</f>
        <v>0.921173605738244</v>
      </c>
      <c r="AF180" s="24" t="n">
        <f aca="false">AB180*(14.068*'Sem TS MC2020'!$P172^-0.457)/$Q180</f>
        <v>1.00288315293221</v>
      </c>
      <c r="AG180" s="24"/>
      <c r="AO180" s="4" t="n">
        <f aca="false">$AP$2*($AP$3+$AP$4*$F180/($N180*'Sem TS MC2020'!P172))*($AP$5*$G180+$AP$6*$B180/$N180)*('Sem TS MC2020'!P172^$AP$7/200000)*($J180-$M180)/($J180-$M180-$H180)+('Sem TS MC2020'!P172-$C180/$AP$8)*($AP$5*$G180+$AP$6*$B180/$N180)/200000</f>
        <v>0.345439880651216</v>
      </c>
      <c r="AP180" s="4" t="n">
        <f aca="false">AO180/$Q180</f>
        <v>1.11432219564909</v>
      </c>
      <c r="AQ180" s="23" t="n">
        <f aca="false">AO180-$Q180</f>
        <v>0.0354398806512164</v>
      </c>
    </row>
    <row r="181" customFormat="false" ht="14.25" hidden="false" customHeight="false" outlineLevel="0" collapsed="false">
      <c r="B181" s="2" t="n">
        <v>10</v>
      </c>
      <c r="C181" s="3" t="n">
        <v>528</v>
      </c>
      <c r="D181" s="3" t="n">
        <v>1</v>
      </c>
      <c r="E181" s="2" t="n">
        <v>45</v>
      </c>
      <c r="F181" s="4" t="n">
        <v>2.8</v>
      </c>
      <c r="G181" s="2" t="n">
        <v>40</v>
      </c>
      <c r="H181" s="2" t="n">
        <v>45</v>
      </c>
      <c r="I181" s="1" t="n">
        <v>100</v>
      </c>
      <c r="J181" s="2" t="n">
        <v>350</v>
      </c>
      <c r="K181" s="3" t="n">
        <v>78.5</v>
      </c>
      <c r="L181" s="4" t="n">
        <v>9500</v>
      </c>
      <c r="M181" s="3" t="n">
        <v>54.1386548495659</v>
      </c>
      <c r="N181" s="12" t="n">
        <v>0.00826315789473684</v>
      </c>
      <c r="O181" s="4" t="n">
        <v>9.03</v>
      </c>
      <c r="P181" s="3" t="n">
        <v>312.181768121074</v>
      </c>
      <c r="Q181" s="4" t="n">
        <v>0.36</v>
      </c>
      <c r="R181" s="13" t="n">
        <f aca="false">P181/200000</f>
        <v>0.00156090884060537</v>
      </c>
      <c r="V181" s="4" t="n">
        <f aca="false">$W$2*($W$3*$G181+$W$4*$B181^$W$5*$N181^$W$6)*$R181^$W$7</f>
        <v>0.330997575462498</v>
      </c>
      <c r="W181" s="4" t="n">
        <f aca="false">V181/$Q181</f>
        <v>0.91943770961805</v>
      </c>
      <c r="Y181" s="4" t="n">
        <f aca="false">$Z$2*$B181^$Z$3*$R181^$Z$4*($Z$5*$N181^$Z$6+$Z$7)</f>
        <v>0.340413611073592</v>
      </c>
      <c r="Z181" s="4" t="n">
        <f aca="false">Y181/$Q181</f>
        <v>0.945593364093311</v>
      </c>
      <c r="AB181" s="4" t="n">
        <f aca="false">$AC$2*($AC$3+$AC$4*$F181/($N181*'Sem TS MC2020'!P173))*($AC$5*$G181+$AC$6*$B181/$N181)*'Sem TS MC2020'!R173*($J181-$M181)/($J181-$M181-$H181)</f>
        <v>0.359368371147248</v>
      </c>
      <c r="AC181" s="4" t="n">
        <f aca="false">AB181/$Q181</f>
        <v>0.998245475409022</v>
      </c>
      <c r="AD181" s="23" t="n">
        <f aca="false">AB181-$Q181</f>
        <v>-0.000631628852752197</v>
      </c>
      <c r="AE181" s="24" t="n">
        <f aca="false">1/AC181</f>
        <v>1.00175760835806</v>
      </c>
      <c r="AF181" s="24" t="n">
        <f aca="false">AB181*(14.068*'Sem TS MC2020'!$P173^-0.457)/$Q181</f>
        <v>0.907602960095828</v>
      </c>
      <c r="AG181" s="24"/>
      <c r="AO181" s="4" t="n">
        <f aca="false">$AP$2*($AP$3+$AP$4*$F181/($N181*'Sem TS MC2020'!P173))*($AP$5*$G181+$AP$6*$B181/$N181)*('Sem TS MC2020'!P173^$AP$7/200000)*($J181-$M181)/($J181-$M181-$H181)+('Sem TS MC2020'!P173-$C181/$AP$8)*($AP$5*$G181+$AP$6*$B181/$N181)/200000</f>
        <v>0.367683222203138</v>
      </c>
      <c r="AP181" s="4" t="n">
        <f aca="false">AO181/$Q181</f>
        <v>1.02134228389761</v>
      </c>
      <c r="AQ181" s="23" t="n">
        <f aca="false">AO181-$Q181</f>
        <v>0.00768322220313844</v>
      </c>
    </row>
    <row r="182" customFormat="false" ht="14.25" hidden="false" customHeight="false" outlineLevel="0" collapsed="false">
      <c r="A182" s="1" t="s">
        <v>59</v>
      </c>
      <c r="B182" s="2" t="n">
        <v>10</v>
      </c>
      <c r="C182" s="3" t="n">
        <v>528</v>
      </c>
      <c r="D182" s="3" t="n">
        <v>1</v>
      </c>
      <c r="E182" s="2" t="n">
        <v>45</v>
      </c>
      <c r="F182" s="4" t="n">
        <v>2.8</v>
      </c>
      <c r="G182" s="2" t="n">
        <v>40</v>
      </c>
      <c r="H182" s="2" t="n">
        <v>45</v>
      </c>
      <c r="I182" s="1" t="n">
        <v>100</v>
      </c>
      <c r="J182" s="2" t="n">
        <v>350</v>
      </c>
      <c r="K182" s="3" t="n">
        <v>78.5</v>
      </c>
      <c r="L182" s="4" t="n">
        <v>9500</v>
      </c>
      <c r="M182" s="3" t="n">
        <v>54.1386548495659</v>
      </c>
      <c r="N182" s="12" t="n">
        <v>0.00826315789473684</v>
      </c>
      <c r="O182" s="4" t="n">
        <v>6.96</v>
      </c>
      <c r="P182" s="3" t="n">
        <v>158.164488513234</v>
      </c>
      <c r="Q182" s="4" t="n">
        <v>0.16</v>
      </c>
      <c r="R182" s="13" t="n">
        <f aca="false">P182/200000</f>
        <v>0.000790822442566171</v>
      </c>
      <c r="V182" s="4" t="n">
        <f aca="false">$W$2*($W$3*$G182+$W$4*$B182^$W$5*$N182^$W$6)*$R182^$W$7</f>
        <v>0.217583322570895</v>
      </c>
      <c r="W182" s="4" t="n">
        <f aca="false">V182/$Q182</f>
        <v>1.35989576606809</v>
      </c>
      <c r="Y182" s="4" t="n">
        <f aca="false">$Z$2*$B182^$Z$3*$R182^$Z$4*($Z$5*$N182^$Z$6+$Z$7)</f>
        <v>0.222105556780117</v>
      </c>
      <c r="Z182" s="4" t="n">
        <f aca="false">Y182/$Q182</f>
        <v>1.38815972987573</v>
      </c>
      <c r="AB182" s="4" t="n">
        <f aca="false">$AC$2*($AC$3+$AC$4*$F182/($N182*'Sem TS MC2020'!P174))*($AC$5*$G182+$AC$6*$B182/$N182)*'Sem TS MC2020'!R174*($J182-$M182)/($J182-$M182-$H182)</f>
        <v>0.206848479476769</v>
      </c>
      <c r="AC182" s="4" t="n">
        <f aca="false">AB182/$Q182</f>
        <v>1.2928029967298</v>
      </c>
      <c r="AD182" s="23" t="n">
        <f aca="false">AB182-$Q182</f>
        <v>0.0468484794767687</v>
      </c>
      <c r="AE182" s="24" t="n">
        <f aca="false">1/AC182</f>
        <v>0.773513058470269</v>
      </c>
      <c r="AF182" s="24" t="n">
        <f aca="false">AB182*(14.068*'Sem TS MC2020'!$P174^-0.457)/$Q182</f>
        <v>1.32393841208417</v>
      </c>
      <c r="AG182" s="24"/>
      <c r="AO182" s="4" t="n">
        <f aca="false">$AP$2*($AP$3+$AP$4*$F182/($N182*'Sem TS MC2020'!P174))*($AP$5*$G182+$AP$6*$B182/$N182)*('Sem TS MC2020'!P174^$AP$7/200000)*($J182-$M182)/($J182-$M182-$H182)+('Sem TS MC2020'!P174-$C182/$AP$8)*($AP$5*$G182+$AP$6*$B182/$N182)/200000</f>
        <v>0.214890621118379</v>
      </c>
      <c r="AP182" s="4" t="n">
        <f aca="false">AO182/$Q182</f>
        <v>1.34306638198987</v>
      </c>
      <c r="AQ182" s="23" t="n">
        <f aca="false">AO182-$Q182</f>
        <v>0.0548906211183791</v>
      </c>
    </row>
    <row r="183" customFormat="false" ht="14.25" hidden="false" customHeight="false" outlineLevel="0" collapsed="false">
      <c r="B183" s="2" t="n">
        <v>10</v>
      </c>
      <c r="C183" s="3" t="n">
        <v>528</v>
      </c>
      <c r="D183" s="3" t="n">
        <v>1</v>
      </c>
      <c r="E183" s="2" t="n">
        <v>45</v>
      </c>
      <c r="F183" s="4" t="n">
        <v>2.8</v>
      </c>
      <c r="G183" s="2" t="n">
        <v>40</v>
      </c>
      <c r="H183" s="2" t="n">
        <v>45</v>
      </c>
      <c r="I183" s="1" t="n">
        <v>100</v>
      </c>
      <c r="J183" s="2" t="n">
        <v>350</v>
      </c>
      <c r="K183" s="3" t="n">
        <v>78.5</v>
      </c>
      <c r="L183" s="4" t="n">
        <v>9500</v>
      </c>
      <c r="M183" s="3" t="n">
        <v>54.1386548495659</v>
      </c>
      <c r="N183" s="12" t="n">
        <v>0.00826315789473684</v>
      </c>
      <c r="O183" s="4" t="n">
        <v>7.26</v>
      </c>
      <c r="P183" s="3" t="n">
        <v>180.485833383936</v>
      </c>
      <c r="Q183" s="4" t="n">
        <v>0.18</v>
      </c>
      <c r="R183" s="13" t="n">
        <f aca="false">P183/200000</f>
        <v>0.000902429166919678</v>
      </c>
      <c r="V183" s="4" t="n">
        <f aca="false">$W$2*($W$3*$G183+$W$4*$B183^$W$5*$N183^$W$6)*$R183^$W$7</f>
        <v>0.236048240404471</v>
      </c>
      <c r="W183" s="4" t="n">
        <f aca="false">V183/$Q183</f>
        <v>1.31137911335817</v>
      </c>
      <c r="Y183" s="4" t="n">
        <f aca="false">$Z$2*$B183^$Z$3*$R183^$Z$4*($Z$5*$N183^$Z$6+$Z$7)</f>
        <v>0.241304412079155</v>
      </c>
      <c r="Z183" s="4" t="n">
        <f aca="false">Y183/$Q183</f>
        <v>1.34058006710642</v>
      </c>
      <c r="AB183" s="4" t="n">
        <f aca="false">$AC$2*($AC$3+$AC$4*$F183/($N183*'Sem TS MC2020'!P175))*($AC$5*$G183+$AC$6*$B183/$N183)*'Sem TS MC2020'!R175*($J183-$M183)/($J183-$M183-$H183)</f>
        <v>0.228952811602925</v>
      </c>
      <c r="AC183" s="4" t="n">
        <f aca="false">AB183/$Q183</f>
        <v>1.2719600644607</v>
      </c>
      <c r="AD183" s="23" t="n">
        <f aca="false">AB183-$Q183</f>
        <v>0.0489528116029251</v>
      </c>
      <c r="AE183" s="24" t="n">
        <f aca="false">1/AC183</f>
        <v>0.786188205070727</v>
      </c>
      <c r="AF183" s="24" t="n">
        <f aca="false">AB183*(14.068*'Sem TS MC2020'!$P175^-0.457)/$Q183</f>
        <v>1.27771294703384</v>
      </c>
      <c r="AG183" s="24"/>
      <c r="AO183" s="4" t="n">
        <f aca="false">$AP$2*($AP$3+$AP$4*$F183/($N183*'Sem TS MC2020'!P175))*($AP$5*$G183+$AP$6*$B183/$N183)*('Sem TS MC2020'!P175^$AP$7/200000)*($J183-$M183)/($J183-$M183-$H183)+('Sem TS MC2020'!P175-$C183/$AP$8)*($AP$5*$G183+$AP$6*$B183/$N183)/200000</f>
        <v>0.237720490951445</v>
      </c>
      <c r="AP183" s="4" t="n">
        <f aca="false">AO183/$Q183</f>
        <v>1.3206693941747</v>
      </c>
      <c r="AQ183" s="23" t="n">
        <f aca="false">AO183-$Q183</f>
        <v>0.0577204909514452</v>
      </c>
    </row>
    <row r="184" customFormat="false" ht="14.25" hidden="false" customHeight="false" outlineLevel="0" collapsed="false">
      <c r="B184" s="2" t="n">
        <v>10</v>
      </c>
      <c r="C184" s="3" t="n">
        <v>528</v>
      </c>
      <c r="D184" s="3" t="n">
        <v>1</v>
      </c>
      <c r="E184" s="2" t="n">
        <v>45</v>
      </c>
      <c r="F184" s="4" t="n">
        <v>2.8</v>
      </c>
      <c r="G184" s="2" t="n">
        <v>40</v>
      </c>
      <c r="H184" s="2" t="n">
        <v>45</v>
      </c>
      <c r="I184" s="1" t="n">
        <v>100</v>
      </c>
      <c r="J184" s="2" t="n">
        <v>350</v>
      </c>
      <c r="K184" s="3" t="n">
        <v>78.5</v>
      </c>
      <c r="L184" s="4" t="n">
        <v>9500</v>
      </c>
      <c r="M184" s="3" t="n">
        <v>54.1386548495659</v>
      </c>
      <c r="N184" s="12" t="n">
        <v>0.00826315789473684</v>
      </c>
      <c r="O184" s="4" t="n">
        <v>7.54</v>
      </c>
      <c r="P184" s="3" t="n">
        <v>201.31908859659</v>
      </c>
      <c r="Q184" s="4" t="n">
        <v>0.2</v>
      </c>
      <c r="R184" s="13" t="n">
        <f aca="false">P184/200000</f>
        <v>0.00100659544298295</v>
      </c>
      <c r="V184" s="4" t="n">
        <f aca="false">$W$2*($W$3*$G184+$W$4*$B184^$W$5*$N184^$W$6)*$R184^$W$7</f>
        <v>0.252506394369012</v>
      </c>
      <c r="W184" s="4" t="n">
        <f aca="false">V184/$Q184</f>
        <v>1.26253197184506</v>
      </c>
      <c r="Y184" s="4" t="n">
        <f aca="false">$Z$2*$B184^$Z$3*$R184^$Z$4*($Z$5*$N184^$Z$6+$Z$7)</f>
        <v>0.25843940711695</v>
      </c>
      <c r="Z184" s="4" t="n">
        <f aca="false">Y184/$Q184</f>
        <v>1.29219703558475</v>
      </c>
      <c r="AB184" s="4" t="n">
        <f aca="false">$AC$2*($AC$3+$AC$4*$F184/($N184*'Sem TS MC2020'!P176))*($AC$5*$G184+$AC$6*$B184/$N184)*'Sem TS MC2020'!R176*($J184-$M184)/($J184-$M184-$H184)</f>
        <v>0.249583521587338</v>
      </c>
      <c r="AC184" s="4" t="n">
        <f aca="false">AB184/$Q184</f>
        <v>1.24791760793669</v>
      </c>
      <c r="AD184" s="23" t="n">
        <f aca="false">AB184-$Q184</f>
        <v>0.0495835215873378</v>
      </c>
      <c r="AE184" s="24" t="n">
        <f aca="false">1/AC184</f>
        <v>0.80133495484001</v>
      </c>
      <c r="AF184" s="24" t="n">
        <f aca="false">AB184*(14.068*'Sem TS MC2020'!$P176^-0.457)/$Q184</f>
        <v>1.23206909132855</v>
      </c>
      <c r="AG184" s="24"/>
      <c r="AO184" s="4" t="n">
        <f aca="false">$AP$2*($AP$3+$AP$4*$F184/($N184*'Sem TS MC2020'!P176))*($AP$5*$G184+$AP$6*$B184/$N184)*('Sem TS MC2020'!P176^$AP$7/200000)*($J184-$M184)/($J184-$M184-$H184)+('Sem TS MC2020'!P176-$C184/$AP$8)*($AP$5*$G184+$AP$6*$B184/$N184)/200000</f>
        <v>0.258796287518489</v>
      </c>
      <c r="AP184" s="4" t="n">
        <f aca="false">AO184/$Q184</f>
        <v>1.29398143759245</v>
      </c>
      <c r="AQ184" s="23" t="n">
        <f aca="false">AO184-$Q184</f>
        <v>0.058796287518489</v>
      </c>
    </row>
    <row r="185" customFormat="false" ht="14.25" hidden="false" customHeight="false" outlineLevel="0" collapsed="false">
      <c r="B185" s="2" t="n">
        <v>10</v>
      </c>
      <c r="C185" s="3" t="n">
        <v>528</v>
      </c>
      <c r="D185" s="3" t="n">
        <v>1</v>
      </c>
      <c r="E185" s="2" t="n">
        <v>45</v>
      </c>
      <c r="F185" s="4" t="n">
        <v>2.8</v>
      </c>
      <c r="G185" s="2" t="n">
        <v>40</v>
      </c>
      <c r="H185" s="2" t="n">
        <v>45</v>
      </c>
      <c r="I185" s="1" t="n">
        <v>100</v>
      </c>
      <c r="J185" s="2" t="n">
        <v>350</v>
      </c>
      <c r="K185" s="3" t="n">
        <v>78.5</v>
      </c>
      <c r="L185" s="4" t="n">
        <v>9500</v>
      </c>
      <c r="M185" s="3" t="n">
        <v>54.1386548495659</v>
      </c>
      <c r="N185" s="12" t="n">
        <v>0.00826315789473684</v>
      </c>
      <c r="O185" s="4" t="n">
        <v>7.83</v>
      </c>
      <c r="P185" s="3" t="n">
        <v>222.896388638268</v>
      </c>
      <c r="Q185" s="4" t="n">
        <v>0.23</v>
      </c>
      <c r="R185" s="13" t="n">
        <f aca="false">P185/200000</f>
        <v>0.00111448194319134</v>
      </c>
      <c r="V185" s="4" t="n">
        <f aca="false">$W$2*($W$3*$G185+$W$4*$B185^$W$5*$N185^$W$6)*$R185^$W$7</f>
        <v>0.268877792372199</v>
      </c>
      <c r="W185" s="4" t="n">
        <f aca="false">V185/$Q185</f>
        <v>1.16903387987913</v>
      </c>
      <c r="Y185" s="4" t="n">
        <f aca="false">$Z$2*$B185^$Z$3*$R185^$Z$4*($Z$5*$N185^$Z$6+$Z$7)</f>
        <v>0.275503860065619</v>
      </c>
      <c r="Z185" s="4" t="n">
        <f aca="false">Y185/$Q185</f>
        <v>1.19784286985052</v>
      </c>
      <c r="AB185" s="4" t="n">
        <f aca="false">$AC$2*($AC$3+$AC$4*$F185/($N185*'Sem TS MC2020'!P177))*($AC$5*$G185+$AC$6*$B185/$N185)*'Sem TS MC2020'!R177*($J185-$M185)/($J185-$M185-$H185)</f>
        <v>0.270951042642622</v>
      </c>
      <c r="AC185" s="4" t="n">
        <f aca="false">AB185/$Q185</f>
        <v>1.17804801148966</v>
      </c>
      <c r="AD185" s="23" t="n">
        <f aca="false">AB185-$Q185</f>
        <v>0.0409510426426223</v>
      </c>
      <c r="AE185" s="24" t="n">
        <f aca="false">1/AC185</f>
        <v>0.848861837757769</v>
      </c>
      <c r="AF185" s="24" t="n">
        <f aca="false">AB185*(14.068*'Sem TS MC2020'!$P177^-0.457)/$Q185</f>
        <v>1.14319869599354</v>
      </c>
      <c r="AG185" s="24"/>
      <c r="AO185" s="4" t="n">
        <f aca="false">$AP$2*($AP$3+$AP$4*$F185/($N185*'Sem TS MC2020'!P177))*($AP$5*$G185+$AP$6*$B185/$N185)*('Sem TS MC2020'!P177^$AP$7/200000)*($J185-$M185)/($J185-$M185-$H185)+('Sem TS MC2020'!P177-$C185/$AP$8)*($AP$5*$G185+$AP$6*$B185/$N185)/200000</f>
        <v>0.280403216832245</v>
      </c>
      <c r="AP185" s="4" t="n">
        <f aca="false">AO185/$Q185</f>
        <v>1.21914442100976</v>
      </c>
      <c r="AQ185" s="23" t="n">
        <f aca="false">AO185-$Q185</f>
        <v>0.050403216832245</v>
      </c>
    </row>
    <row r="186" customFormat="false" ht="14.25" hidden="false" customHeight="false" outlineLevel="0" collapsed="false">
      <c r="B186" s="2" t="n">
        <v>10</v>
      </c>
      <c r="C186" s="3" t="n">
        <v>528</v>
      </c>
      <c r="D186" s="3" t="n">
        <v>1</v>
      </c>
      <c r="E186" s="2" t="n">
        <v>45</v>
      </c>
      <c r="F186" s="4" t="n">
        <v>2.8</v>
      </c>
      <c r="G186" s="2" t="n">
        <v>40</v>
      </c>
      <c r="H186" s="2" t="n">
        <v>45</v>
      </c>
      <c r="I186" s="1" t="n">
        <v>100</v>
      </c>
      <c r="J186" s="2" t="n">
        <v>350</v>
      </c>
      <c r="K186" s="3" t="n">
        <v>78.5</v>
      </c>
      <c r="L186" s="4" t="n">
        <v>9500</v>
      </c>
      <c r="M186" s="3" t="n">
        <v>54.1386548495659</v>
      </c>
      <c r="N186" s="12" t="n">
        <v>0.00826315789473684</v>
      </c>
      <c r="O186" s="4" t="n">
        <v>8.14</v>
      </c>
      <c r="P186" s="3" t="n">
        <v>245.961778337993</v>
      </c>
      <c r="Q186" s="4" t="n">
        <v>0.24</v>
      </c>
      <c r="R186" s="13" t="n">
        <f aca="false">P186/200000</f>
        <v>0.00122980889168997</v>
      </c>
      <c r="V186" s="4" t="n">
        <f aca="false">$W$2*($W$3*$G186+$W$4*$B186^$W$5*$N186^$W$6)*$R186^$W$7</f>
        <v>0.285720030051079</v>
      </c>
      <c r="W186" s="4" t="n">
        <f aca="false">V186/$Q186</f>
        <v>1.19050012521283</v>
      </c>
      <c r="Y186" s="4" t="n">
        <f aca="false">$Z$2*$B186^$Z$3*$R186^$Z$4*($Z$5*$N186^$Z$6+$Z$7)</f>
        <v>0.293078427075516</v>
      </c>
      <c r="Z186" s="4" t="n">
        <f aca="false">Y186/$Q186</f>
        <v>1.22116011281465</v>
      </c>
      <c r="AB186" s="4" t="n">
        <f aca="false">$AC$2*($AC$3+$AC$4*$F186/($N186*'Sem TS MC2020'!P178))*($AC$5*$G186+$AC$6*$B186/$N186)*'Sem TS MC2020'!R178*($J186-$M186)/($J186-$M186-$H186)</f>
        <v>0.293792185839651</v>
      </c>
      <c r="AC186" s="4" t="n">
        <f aca="false">AB186/$Q186</f>
        <v>1.22413410766521</v>
      </c>
      <c r="AD186" s="23" t="n">
        <f aca="false">AB186-$Q186</f>
        <v>0.0537921858396507</v>
      </c>
      <c r="AE186" s="24" t="n">
        <f aca="false">1/AC186</f>
        <v>0.816903959899702</v>
      </c>
      <c r="AF186" s="24" t="n">
        <f aca="false">AB186*(14.068*'Sem TS MC2020'!$P178^-0.457)/$Q186</f>
        <v>1.16702860406047</v>
      </c>
      <c r="AG186" s="24"/>
      <c r="AO186" s="4" t="n">
        <f aca="false">$AP$2*($AP$3+$AP$4*$F186/($N186*'Sem TS MC2020'!P178))*($AP$5*$G186+$AP$6*$B186/$N186)*('Sem TS MC2020'!P178^$AP$7/200000)*($J186-$M186)/($J186-$M186-$H186)+('Sem TS MC2020'!P178-$C186/$AP$8)*($AP$5*$G186+$AP$6*$B186/$N186)/200000</f>
        <v>0.303265915482536</v>
      </c>
      <c r="AP186" s="4" t="n">
        <f aca="false">AO186/$Q186</f>
        <v>1.26360798117723</v>
      </c>
      <c r="AQ186" s="23" t="n">
        <f aca="false">AO186-$Q186</f>
        <v>0.0632659154825361</v>
      </c>
    </row>
    <row r="187" customFormat="false" ht="14.25" hidden="false" customHeight="false" outlineLevel="0" collapsed="false">
      <c r="B187" s="2" t="n">
        <v>10</v>
      </c>
      <c r="C187" s="3" t="n">
        <v>528</v>
      </c>
      <c r="D187" s="3" t="n">
        <v>1</v>
      </c>
      <c r="E187" s="2" t="n">
        <v>45</v>
      </c>
      <c r="F187" s="4" t="n">
        <v>2.8</v>
      </c>
      <c r="G187" s="2" t="n">
        <v>40</v>
      </c>
      <c r="H187" s="2" t="n">
        <v>45</v>
      </c>
      <c r="I187" s="1" t="n">
        <v>100</v>
      </c>
      <c r="J187" s="2" t="n">
        <v>350</v>
      </c>
      <c r="K187" s="3" t="n">
        <v>78.5</v>
      </c>
      <c r="L187" s="4" t="n">
        <v>9500</v>
      </c>
      <c r="M187" s="3" t="n">
        <v>54.1386548495659</v>
      </c>
      <c r="N187" s="12" t="n">
        <v>0.00826315789473684</v>
      </c>
      <c r="O187" s="4" t="n">
        <v>8.46</v>
      </c>
      <c r="P187" s="3" t="n">
        <v>269.771212866741</v>
      </c>
      <c r="Q187" s="4" t="n">
        <v>0.25</v>
      </c>
      <c r="R187" s="13" t="n">
        <f aca="false">P187/200000</f>
        <v>0.00134885606433371</v>
      </c>
      <c r="V187" s="4" t="n">
        <f aca="false">$W$2*($W$3*$G187+$W$4*$B187^$W$5*$N187^$W$6)*$R187^$W$7</f>
        <v>0.302482080059109</v>
      </c>
      <c r="W187" s="4" t="n">
        <f aca="false">V187/$Q187</f>
        <v>1.20992832023644</v>
      </c>
      <c r="Y187" s="4" t="n">
        <f aca="false">$Z$2*$B187^$Z$3*$R187^$Z$4*($Z$5*$N187^$Z$6+$Z$7)</f>
        <v>0.310587679189796</v>
      </c>
      <c r="Z187" s="4" t="n">
        <f aca="false">Y187/$Q187</f>
        <v>1.24235071675918</v>
      </c>
      <c r="AB187" s="4" t="n">
        <f aca="false">$AC$2*($AC$3+$AC$4*$F187/($N187*'Sem TS MC2020'!P179))*($AC$5*$G187+$AC$6*$B187/$N187)*'Sem TS MC2020'!R179*($J187-$M187)/($J187-$M187-$H187)</f>
        <v>0.317370140107551</v>
      </c>
      <c r="AC187" s="4" t="n">
        <f aca="false">AB187/$Q187</f>
        <v>1.2694805604302</v>
      </c>
      <c r="AD187" s="23" t="n">
        <f aca="false">AB187-$Q187</f>
        <v>0.0673701401075509</v>
      </c>
      <c r="AE187" s="24" t="n">
        <f aca="false">1/AC187</f>
        <v>0.787723759756604</v>
      </c>
      <c r="AF187" s="24" t="n">
        <f aca="false">AB187*(14.068*'Sem TS MC2020'!$P179^-0.457)/$Q187</f>
        <v>1.18911991916543</v>
      </c>
      <c r="AG187" s="24"/>
      <c r="AO187" s="4" t="n">
        <f aca="false">$AP$2*($AP$3+$AP$4*$F187/($N187*'Sem TS MC2020'!P179))*($AP$5*$G187+$AP$6*$B187/$N187)*('Sem TS MC2020'!P179^$AP$7/200000)*($J187-$M187)/($J187-$M187-$H187)+('Sem TS MC2020'!P179-$C187/$AP$8)*($AP$5*$G187+$AP$6*$B187/$N187)/200000</f>
        <v>0.326627346031432</v>
      </c>
      <c r="AP187" s="4" t="n">
        <f aca="false">AO187/$Q187</f>
        <v>1.30650938412573</v>
      </c>
      <c r="AQ187" s="23" t="n">
        <f aca="false">AO187-$Q187</f>
        <v>0.0766273460314316</v>
      </c>
    </row>
    <row r="188" customFormat="false" ht="14.25" hidden="false" customHeight="false" outlineLevel="0" collapsed="false">
      <c r="B188" s="2" t="n">
        <v>10</v>
      </c>
      <c r="C188" s="3" t="n">
        <v>528</v>
      </c>
      <c r="D188" s="3" t="n">
        <v>1</v>
      </c>
      <c r="E188" s="2" t="n">
        <v>45</v>
      </c>
      <c r="F188" s="4" t="n">
        <v>2.8</v>
      </c>
      <c r="G188" s="2" t="n">
        <v>40</v>
      </c>
      <c r="H188" s="2" t="n">
        <v>45</v>
      </c>
      <c r="I188" s="1" t="n">
        <v>100</v>
      </c>
      <c r="J188" s="2" t="n">
        <v>350</v>
      </c>
      <c r="K188" s="3" t="n">
        <v>78.5</v>
      </c>
      <c r="L188" s="4" t="n">
        <v>9500</v>
      </c>
      <c r="M188" s="3" t="n">
        <v>54.1386548495659</v>
      </c>
      <c r="N188" s="12" t="n">
        <v>0.00826315789473684</v>
      </c>
      <c r="O188" s="4" t="n">
        <v>8.75</v>
      </c>
      <c r="P188" s="3" t="n">
        <v>291.348512908419</v>
      </c>
      <c r="Q188" s="4" t="n">
        <v>0.27</v>
      </c>
      <c r="R188" s="13" t="n">
        <f aca="false">P188/200000</f>
        <v>0.0014567425645421</v>
      </c>
      <c r="V188" s="4" t="n">
        <f aca="false">$W$2*($W$3*$G188+$W$4*$B188^$W$5*$N188^$W$6)*$R188^$W$7</f>
        <v>0.317188960763635</v>
      </c>
      <c r="W188" s="4" t="n">
        <f aca="false">V188/$Q188</f>
        <v>1.17477392875421</v>
      </c>
      <c r="Y188" s="4" t="n">
        <f aca="false">$Z$2*$B188^$Z$3*$R188^$Z$4*($Z$5*$N188^$Z$6+$Z$7)</f>
        <v>0.325964440885536</v>
      </c>
      <c r="Z188" s="4" t="n">
        <f aca="false">Y188/$Q188</f>
        <v>1.20727570698347</v>
      </c>
      <c r="AB188" s="4" t="n">
        <f aca="false">$AC$2*($AC$3+$AC$4*$F188/($N188*'Sem TS MC2020'!P180))*($AC$5*$G188+$AC$6*$B188/$N188)*'Sem TS MC2020'!R180*($J188-$M188)/($J188-$M188-$H188)</f>
        <v>0.338737661162835</v>
      </c>
      <c r="AC188" s="4" t="n">
        <f aca="false">AB188/$Q188</f>
        <v>1.25458393023272</v>
      </c>
      <c r="AD188" s="23" t="n">
        <f aca="false">AB188-$Q188</f>
        <v>0.0687376611628354</v>
      </c>
      <c r="AE188" s="24" t="n">
        <f aca="false">1/AC188</f>
        <v>0.797077003699945</v>
      </c>
      <c r="AF188" s="24" t="n">
        <f aca="false">AB188*(14.068*'Sem TS MC2020'!$P180^-0.457)/$Q188</f>
        <v>1.15720391781286</v>
      </c>
      <c r="AG188" s="24"/>
      <c r="AO188" s="4" t="n">
        <f aca="false">$AP$2*($AP$3+$AP$4*$F188/($N188*'Sem TS MC2020'!P180))*($AP$5*$G188+$AP$6*$B188/$N188)*('Sem TS MC2020'!P180^$AP$7/200000)*($J188-$M188)/($J188-$M188-$H188)+('Sem TS MC2020'!P180-$C188/$AP$8)*($AP$5*$G188+$AP$6*$B188/$N188)/200000</f>
        <v>0.347601194856555</v>
      </c>
      <c r="AP188" s="4" t="n">
        <f aca="false">AO188/$Q188</f>
        <v>1.28741183280205</v>
      </c>
      <c r="AQ188" s="23" t="n">
        <f aca="false">AO188-$Q188</f>
        <v>0.0776011948565545</v>
      </c>
    </row>
    <row r="189" customFormat="false" ht="14.25" hidden="false" customHeight="false" outlineLevel="0" collapsed="false">
      <c r="B189" s="2" t="n">
        <v>10</v>
      </c>
      <c r="C189" s="3" t="n">
        <v>528</v>
      </c>
      <c r="D189" s="3" t="n">
        <v>1</v>
      </c>
      <c r="E189" s="2" t="n">
        <v>45</v>
      </c>
      <c r="F189" s="4" t="n">
        <v>2.8</v>
      </c>
      <c r="G189" s="2" t="n">
        <v>40</v>
      </c>
      <c r="H189" s="2" t="n">
        <v>45</v>
      </c>
      <c r="I189" s="1" t="n">
        <v>100</v>
      </c>
      <c r="J189" s="2" t="n">
        <v>350</v>
      </c>
      <c r="K189" s="3" t="n">
        <v>78.5</v>
      </c>
      <c r="L189" s="4" t="n">
        <v>9500</v>
      </c>
      <c r="M189" s="3" t="n">
        <v>54.1386548495659</v>
      </c>
      <c r="N189" s="12" t="n">
        <v>0.00826315789473684</v>
      </c>
      <c r="O189" s="4" t="n">
        <v>9.01</v>
      </c>
      <c r="P189" s="3" t="n">
        <v>310.693678463027</v>
      </c>
      <c r="Q189" s="4" t="n">
        <v>0.29</v>
      </c>
      <c r="R189" s="13" t="n">
        <f aca="false">P189/200000</f>
        <v>0.00155346839231514</v>
      </c>
      <c r="V189" s="4" t="n">
        <f aca="false">$W$2*($W$3*$G189+$W$4*$B189^$W$5*$N189^$W$6)*$R189^$W$7</f>
        <v>0.330023194772863</v>
      </c>
      <c r="W189" s="4" t="n">
        <f aca="false">V189/$Q189</f>
        <v>1.13801101645815</v>
      </c>
      <c r="Y189" s="4" t="n">
        <f aca="false">$Z$2*$B189^$Z$3*$R189^$Z$4*($Z$5*$N189^$Z$6+$Z$7)</f>
        <v>0.339393672904549</v>
      </c>
      <c r="Z189" s="4" t="n">
        <f aca="false">Y189/$Q189</f>
        <v>1.17032301001569</v>
      </c>
      <c r="AB189" s="4" t="n">
        <f aca="false">$AC$2*($AC$3+$AC$4*$F189/($N189*'Sem TS MC2020'!P181))*($AC$5*$G189+$AC$6*$B189/$N189)*'Sem TS MC2020'!R181*($J189-$M189)/($J189-$M189-$H189)</f>
        <v>0.357894749005504</v>
      </c>
      <c r="AC189" s="4" t="n">
        <f aca="false">AB189/$Q189</f>
        <v>1.23411982415691</v>
      </c>
      <c r="AD189" s="23" t="n">
        <f aca="false">AB189-$Q189</f>
        <v>0.0678947490055044</v>
      </c>
      <c r="AE189" s="24" t="n">
        <f aca="false">1/AC189</f>
        <v>0.81029409010843</v>
      </c>
      <c r="AF189" s="24" t="n">
        <f aca="false">AB189*(14.068*'Sem TS MC2020'!$P181^-0.457)/$Q189</f>
        <v>1.12319705030405</v>
      </c>
      <c r="AG189" s="24"/>
      <c r="AO189" s="4" t="n">
        <f aca="false">$AP$2*($AP$3+$AP$4*$F189/($N189*'Sem TS MC2020'!P181))*($AP$5*$G189+$AP$6*$B189/$N189)*('Sem TS MC2020'!P181^$AP$7/200000)*($J189-$M189)/($J189-$M189-$H189)+('Sem TS MC2020'!P181-$C189/$AP$8)*($AP$5*$G189+$AP$6*$B189/$N189)/200000</f>
        <v>0.366254104987486</v>
      </c>
      <c r="AP189" s="4" t="n">
        <f aca="false">AO189/$Q189</f>
        <v>1.26294518961202</v>
      </c>
      <c r="AQ189" s="23" t="n">
        <f aca="false">AO189-$Q189</f>
        <v>0.0762541049874861</v>
      </c>
    </row>
    <row r="190" customFormat="false" ht="14.25" hidden="false" customHeight="false" outlineLevel="0" collapsed="false">
      <c r="A190" s="1" t="s">
        <v>60</v>
      </c>
      <c r="B190" s="2" t="n">
        <v>10</v>
      </c>
      <c r="C190" s="3" t="n">
        <v>528</v>
      </c>
      <c r="D190" s="3" t="n">
        <v>1</v>
      </c>
      <c r="E190" s="2" t="n">
        <v>45</v>
      </c>
      <c r="F190" s="4" t="n">
        <v>2.8</v>
      </c>
      <c r="G190" s="2" t="n">
        <v>40</v>
      </c>
      <c r="H190" s="2" t="n">
        <v>45</v>
      </c>
      <c r="I190" s="1" t="n">
        <v>100</v>
      </c>
      <c r="J190" s="2" t="n">
        <v>350</v>
      </c>
      <c r="K190" s="3" t="n">
        <v>78.5</v>
      </c>
      <c r="L190" s="4" t="n">
        <v>9500</v>
      </c>
      <c r="M190" s="3" t="n">
        <v>54.1386548495659</v>
      </c>
      <c r="N190" s="12" t="n">
        <v>0.00826315789473684</v>
      </c>
      <c r="O190" s="4" t="n">
        <v>7.29</v>
      </c>
      <c r="P190" s="3" t="n">
        <v>182.717967871006</v>
      </c>
      <c r="Q190" s="4" t="n">
        <v>0.15</v>
      </c>
      <c r="R190" s="13" t="n">
        <f aca="false">P190/200000</f>
        <v>0.000913589839355029</v>
      </c>
      <c r="V190" s="4" t="n">
        <f aca="false">$W$2*($W$3*$G190+$W$4*$B190^$W$5*$N190^$W$6)*$R190^$W$7</f>
        <v>0.237845203770144</v>
      </c>
      <c r="W190" s="4" t="n">
        <f aca="false">V190/$Q190</f>
        <v>1.58563469180096</v>
      </c>
      <c r="Y190" s="4" t="n">
        <f aca="false">$Z$2*$B190^$Z$3*$R190^$Z$4*($Z$5*$N190^$Z$6+$Z$7)</f>
        <v>0.243174265639411</v>
      </c>
      <c r="Z190" s="4" t="n">
        <f aca="false">Y190/$Q190</f>
        <v>1.62116177092941</v>
      </c>
      <c r="AB190" s="4" t="n">
        <f aca="false">$AC$2*($AC$3+$AC$4*$F190/($N190*'Sem TS MC2020'!P182))*($AC$5*$G190+$AC$6*$B190/$N190)*'Sem TS MC2020'!R182*($J190-$M190)/($J190-$M190-$H190)</f>
        <v>0.231163244815541</v>
      </c>
      <c r="AC190" s="4" t="n">
        <f aca="false">AB190/$Q190</f>
        <v>1.54108829877027</v>
      </c>
      <c r="AD190" s="23" t="n">
        <f aca="false">AB190-$Q190</f>
        <v>0.0811632448155408</v>
      </c>
      <c r="AE190" s="24" t="n">
        <f aca="false">1/AC190</f>
        <v>0.648892085416495</v>
      </c>
      <c r="AF190" s="24" t="n">
        <f aca="false">AB190*(14.068*'Sem TS MC2020'!$P182^-0.457)/$Q190</f>
        <v>1.54514377872098</v>
      </c>
      <c r="AG190" s="24"/>
      <c r="AO190" s="4" t="n">
        <f aca="false">$AP$2*($AP$3+$AP$4*$F190/($N190*'Sem TS MC2020'!P182))*($AP$5*$G190+$AP$6*$B190/$N190)*('Sem TS MC2020'!P182^$AP$7/200000)*($J190-$M190)/($J190-$M190-$H190)+('Sem TS MC2020'!P182-$C190/$AP$8)*($AP$5*$G190+$AP$6*$B190/$N190)/200000</f>
        <v>0.239989064961359</v>
      </c>
      <c r="AP190" s="4" t="n">
        <f aca="false">AO190/$Q190</f>
        <v>1.59992709974239</v>
      </c>
      <c r="AQ190" s="23" t="n">
        <f aca="false">AO190-$Q190</f>
        <v>0.0899890649613589</v>
      </c>
    </row>
    <row r="191" customFormat="false" ht="14.25" hidden="false" customHeight="false" outlineLevel="0" collapsed="false">
      <c r="B191" s="2" t="n">
        <v>10</v>
      </c>
      <c r="C191" s="3" t="n">
        <v>528</v>
      </c>
      <c r="D191" s="3" t="n">
        <v>1</v>
      </c>
      <c r="E191" s="2" t="n">
        <v>45</v>
      </c>
      <c r="F191" s="4" t="n">
        <v>2.8</v>
      </c>
      <c r="G191" s="2" t="n">
        <v>40</v>
      </c>
      <c r="H191" s="2" t="n">
        <v>45</v>
      </c>
      <c r="I191" s="1" t="n">
        <v>100</v>
      </c>
      <c r="J191" s="2" t="n">
        <v>350</v>
      </c>
      <c r="K191" s="3" t="n">
        <v>78.5</v>
      </c>
      <c r="L191" s="4" t="n">
        <v>9500</v>
      </c>
      <c r="M191" s="3" t="n">
        <v>54.1386548495659</v>
      </c>
      <c r="N191" s="12" t="n">
        <v>0.00826315789473684</v>
      </c>
      <c r="O191" s="4" t="n">
        <v>7.58</v>
      </c>
      <c r="P191" s="3" t="n">
        <v>204.295267912684</v>
      </c>
      <c r="Q191" s="4" t="n">
        <v>0.16</v>
      </c>
      <c r="R191" s="13" t="n">
        <f aca="false">P191/200000</f>
        <v>0.00102147633956342</v>
      </c>
      <c r="V191" s="4" t="n">
        <f aca="false">$W$2*($W$3*$G191+$W$4*$B191^$W$5*$N191^$W$6)*$R191^$W$7</f>
        <v>0.254803118178727</v>
      </c>
      <c r="W191" s="4" t="n">
        <f aca="false">V191/$Q191</f>
        <v>1.59251948861705</v>
      </c>
      <c r="Y191" s="4" t="n">
        <f aca="false">$Z$2*$B191^$Z$3*$R191^$Z$4*($Z$5*$N191^$Z$6+$Z$7)</f>
        <v>0.260832197831753</v>
      </c>
      <c r="Z191" s="4" t="n">
        <f aca="false">Y191/$Q191</f>
        <v>1.63020123644846</v>
      </c>
      <c r="AB191" s="4" t="n">
        <f aca="false">$AC$2*($AC$3+$AC$4*$F191/($N191*'Sem TS MC2020'!P183))*($AC$5*$G191+$AC$6*$B191/$N191)*'Sem TS MC2020'!R183*($J191-$M191)/($J191-$M191-$H191)</f>
        <v>0.252530765870825</v>
      </c>
      <c r="AC191" s="4" t="n">
        <f aca="false">AB191/$Q191</f>
        <v>1.57831728669266</v>
      </c>
      <c r="AD191" s="23" t="n">
        <f aca="false">AB191-$Q191</f>
        <v>0.0925307658708253</v>
      </c>
      <c r="AE191" s="24" t="n">
        <f aca="false">1/AC191</f>
        <v>0.633586167009224</v>
      </c>
      <c r="AF191" s="24" t="n">
        <f aca="false">AB191*(14.068*'Sem TS MC2020'!$P183^-0.457)/$Q191</f>
        <v>1.55450935997236</v>
      </c>
      <c r="AG191" s="24"/>
      <c r="AO191" s="4" t="n">
        <f aca="false">$AP$2*($AP$3+$AP$4*$F191/($N191*'Sem TS MC2020'!P183))*($AP$5*$G191+$AP$6*$B191/$N191)*('Sem TS MC2020'!P183^$AP$7/200000)*($J191-$M191)/($J191-$M191-$H191)+('Sem TS MC2020'!P183-$C191/$AP$8)*($AP$5*$G191+$AP$6*$B191/$N191)/200000</f>
        <v>0.261789650639827</v>
      </c>
      <c r="AP191" s="4" t="n">
        <f aca="false">AO191/$Q191</f>
        <v>1.63618531649892</v>
      </c>
      <c r="AQ191" s="23" t="n">
        <f aca="false">AO191-$Q191</f>
        <v>0.101789650639827</v>
      </c>
    </row>
    <row r="192" customFormat="false" ht="14.25" hidden="false" customHeight="false" outlineLevel="0" collapsed="false">
      <c r="B192" s="2" t="n">
        <v>10</v>
      </c>
      <c r="C192" s="3" t="n">
        <v>528</v>
      </c>
      <c r="D192" s="3" t="n">
        <v>1</v>
      </c>
      <c r="E192" s="2" t="n">
        <v>45</v>
      </c>
      <c r="F192" s="4" t="n">
        <v>2.8</v>
      </c>
      <c r="G192" s="2" t="n">
        <v>40</v>
      </c>
      <c r="H192" s="2" t="n">
        <v>45</v>
      </c>
      <c r="I192" s="1" t="n">
        <v>100</v>
      </c>
      <c r="J192" s="2" t="n">
        <v>350</v>
      </c>
      <c r="K192" s="3" t="n">
        <v>78.5</v>
      </c>
      <c r="L192" s="4" t="n">
        <v>9500</v>
      </c>
      <c r="M192" s="3" t="n">
        <v>54.1386548495659</v>
      </c>
      <c r="N192" s="12" t="n">
        <v>0.00826315789473684</v>
      </c>
      <c r="O192" s="4" t="n">
        <v>7.99</v>
      </c>
      <c r="P192" s="3" t="n">
        <v>234.801105902642</v>
      </c>
      <c r="Q192" s="4" t="n">
        <v>0.18</v>
      </c>
      <c r="R192" s="13" t="n">
        <f aca="false">P192/200000</f>
        <v>0.00117400552951321</v>
      </c>
      <c r="V192" s="4" t="n">
        <f aca="false">$W$2*($W$3*$G192+$W$4*$B192^$W$5*$N192^$W$6)*$R192^$W$7</f>
        <v>0.277649789200041</v>
      </c>
      <c r="W192" s="4" t="n">
        <f aca="false">V192/$Q192</f>
        <v>1.54249882888912</v>
      </c>
      <c r="Y192" s="4" t="n">
        <f aca="false">$Z$2*$B192^$Z$3*$R192^$Z$4*($Z$5*$N192^$Z$6+$Z$7)</f>
        <v>0.284654904308646</v>
      </c>
      <c r="Z192" s="4" t="n">
        <f aca="false">Y192/$Q192</f>
        <v>1.58141613504804</v>
      </c>
      <c r="AB192" s="4" t="n">
        <f aca="false">$AC$2*($AC$3+$AC$4*$F192/($N192*'Sem TS MC2020'!P184))*($AC$5*$G192+$AC$6*$B192/$N192)*'Sem TS MC2020'!R184*($J192-$M192)/($J192-$M192-$H192)</f>
        <v>0.282740019776573</v>
      </c>
      <c r="AC192" s="4" t="n">
        <f aca="false">AB192/$Q192</f>
        <v>1.57077788764763</v>
      </c>
      <c r="AD192" s="23" t="n">
        <f aca="false">AB192-$Q192</f>
        <v>0.102740019776573</v>
      </c>
      <c r="AE192" s="24" t="n">
        <f aca="false">1/AC192</f>
        <v>0.636627245560215</v>
      </c>
      <c r="AF192" s="24" t="n">
        <f aca="false">AB192*(14.068*'Sem TS MC2020'!$P184^-0.457)/$Q192</f>
        <v>1.51028446746814</v>
      </c>
      <c r="AG192" s="24"/>
      <c r="AO192" s="4" t="n">
        <f aca="false">$AP$2*($AP$3+$AP$4*$F192/($N192*'Sem TS MC2020'!P184))*($AP$5*$G192+$AP$6*$B192/$N192)*('Sem TS MC2020'!P184^$AP$7/200000)*($J192-$M192)/($J192-$M192-$H192)+('Sem TS MC2020'!P184-$C192/$AP$8)*($AP$5*$G192+$AP$6*$B192/$N192)/200000</f>
        <v>0.292232635994298</v>
      </c>
      <c r="AP192" s="4" t="n">
        <f aca="false">AO192/$Q192</f>
        <v>1.62351464441277</v>
      </c>
      <c r="AQ192" s="23" t="n">
        <f aca="false">AO192-$Q192</f>
        <v>0.112232635994298</v>
      </c>
    </row>
    <row r="193" customFormat="false" ht="14.25" hidden="false" customHeight="false" outlineLevel="0" collapsed="false">
      <c r="B193" s="2" t="n">
        <v>10</v>
      </c>
      <c r="C193" s="3" t="n">
        <v>528</v>
      </c>
      <c r="D193" s="3" t="n">
        <v>1</v>
      </c>
      <c r="E193" s="2" t="n">
        <v>45</v>
      </c>
      <c r="F193" s="4" t="n">
        <v>2.8</v>
      </c>
      <c r="G193" s="2" t="n">
        <v>40</v>
      </c>
      <c r="H193" s="2" t="n">
        <v>45</v>
      </c>
      <c r="I193" s="1" t="n">
        <v>100</v>
      </c>
      <c r="J193" s="2" t="n">
        <v>350</v>
      </c>
      <c r="K193" s="3" t="n">
        <v>78.5</v>
      </c>
      <c r="L193" s="4" t="n">
        <v>9500</v>
      </c>
      <c r="M193" s="3" t="n">
        <v>54.1386548495659</v>
      </c>
      <c r="N193" s="12" t="n">
        <v>0.00826315789473684</v>
      </c>
      <c r="O193" s="4" t="n">
        <v>8.23</v>
      </c>
      <c r="P193" s="3" t="n">
        <v>252.658181799204</v>
      </c>
      <c r="Q193" s="4" t="n">
        <v>0.18</v>
      </c>
      <c r="R193" s="13" t="n">
        <f aca="false">P193/200000</f>
        <v>0.00126329090899602</v>
      </c>
      <c r="V193" s="4" t="n">
        <f aca="false">$W$2*($W$3*$G193+$W$4*$B193^$W$5*$N193^$W$6)*$R193^$W$7</f>
        <v>0.290494858396368</v>
      </c>
      <c r="W193" s="4" t="n">
        <f aca="false">V193/$Q193</f>
        <v>1.61386032442427</v>
      </c>
      <c r="Y193" s="4" t="n">
        <f aca="false">$Z$2*$B193^$Z$3*$R193^$Z$4*($Z$5*$N193^$Z$6+$Z$7)</f>
        <v>0.298064283272763</v>
      </c>
      <c r="Z193" s="4" t="n">
        <f aca="false">Y193/$Q193</f>
        <v>1.65591268484868</v>
      </c>
      <c r="AB193" s="4" t="n">
        <f aca="false">$AC$2*($AC$3+$AC$4*$F193/($N193*'Sem TS MC2020'!P185))*($AC$5*$G193+$AC$6*$B193/$N193)*'Sem TS MC2020'!R185*($J193-$M193)/($J193-$M193-$H193)</f>
        <v>0.300423485477498</v>
      </c>
      <c r="AC193" s="4" t="n">
        <f aca="false">AB193/$Q193</f>
        <v>1.66901936376388</v>
      </c>
      <c r="AD193" s="23" t="n">
        <f aca="false">AB193-$Q193</f>
        <v>0.120423485477498</v>
      </c>
      <c r="AE193" s="24" t="n">
        <f aca="false">1/AC193</f>
        <v>0.599154222959318</v>
      </c>
      <c r="AF193" s="24" t="n">
        <f aca="false">AB193*(14.068*'Sem TS MC2020'!$P185^-0.457)/$Q193</f>
        <v>1.583184414214</v>
      </c>
      <c r="AG193" s="24"/>
      <c r="AO193" s="4" t="n">
        <f aca="false">$AP$2*($AP$3+$AP$4*$F193/($N193*'Sem TS MC2020'!P185))*($AP$5*$G193+$AP$6*$B193/$N193)*('Sem TS MC2020'!P185^$AP$7/200000)*($J193-$M193)/($J193-$M193-$H193)+('Sem TS MC2020'!P185-$C193/$AP$8)*($AP$5*$G193+$AP$6*$B193/$N193)/200000</f>
        <v>0.309860193963445</v>
      </c>
      <c r="AP193" s="4" t="n">
        <f aca="false">AO193/$Q193</f>
        <v>1.72144552201914</v>
      </c>
      <c r="AQ193" s="23" t="n">
        <f aca="false">AO193-$Q193</f>
        <v>0.129860193963445</v>
      </c>
    </row>
    <row r="194" customFormat="false" ht="14.25" hidden="false" customHeight="false" outlineLevel="0" collapsed="false">
      <c r="B194" s="2" t="n">
        <v>10</v>
      </c>
      <c r="C194" s="3" t="n">
        <v>528</v>
      </c>
      <c r="D194" s="3" t="n">
        <v>1</v>
      </c>
      <c r="E194" s="2" t="n">
        <v>45</v>
      </c>
      <c r="F194" s="4" t="n">
        <v>2.8</v>
      </c>
      <c r="G194" s="2" t="n">
        <v>40</v>
      </c>
      <c r="H194" s="2" t="n">
        <v>45</v>
      </c>
      <c r="I194" s="1" t="n">
        <v>100</v>
      </c>
      <c r="J194" s="2" t="n">
        <v>350</v>
      </c>
      <c r="K194" s="3" t="n">
        <v>78.5</v>
      </c>
      <c r="L194" s="4" t="n">
        <v>9500</v>
      </c>
      <c r="M194" s="3" t="n">
        <v>54.1386548495659</v>
      </c>
      <c r="N194" s="12" t="n">
        <v>0.00826315789473684</v>
      </c>
      <c r="O194" s="4" t="n">
        <v>8.46</v>
      </c>
      <c r="P194" s="3" t="n">
        <v>269.771212866741</v>
      </c>
      <c r="Q194" s="4" t="n">
        <v>0.19</v>
      </c>
      <c r="R194" s="13" t="n">
        <f aca="false">P194/200000</f>
        <v>0.00134885606433371</v>
      </c>
      <c r="V194" s="4" t="n">
        <f aca="false">$W$2*($W$3*$G194+$W$4*$B194^$W$5*$N194^$W$6)*$R194^$W$7</f>
        <v>0.302482080059109</v>
      </c>
      <c r="W194" s="4" t="n">
        <f aca="false">V194/$Q194</f>
        <v>1.59201094767952</v>
      </c>
      <c r="Y194" s="4" t="n">
        <f aca="false">$Z$2*$B194^$Z$3*$R194^$Z$4*($Z$5*$N194^$Z$6+$Z$7)</f>
        <v>0.310587679189796</v>
      </c>
      <c r="Z194" s="4" t="n">
        <f aca="false">Y194/$Q194</f>
        <v>1.63467199573577</v>
      </c>
      <c r="AB194" s="4" t="n">
        <f aca="false">$AC$2*($AC$3+$AC$4*$F194/($N194*'Sem TS MC2020'!P186))*($AC$5*$G194+$AC$6*$B194/$N194)*'Sem TS MC2020'!R186*($J194-$M194)/($J194-$M194-$H194)</f>
        <v>0.317370140107551</v>
      </c>
      <c r="AC194" s="4" t="n">
        <f aca="false">AB194/$Q194</f>
        <v>1.67036915846079</v>
      </c>
      <c r="AD194" s="23" t="n">
        <f aca="false">AB194-$Q194</f>
        <v>0.127370140107551</v>
      </c>
      <c r="AE194" s="24" t="n">
        <f aca="false">1/AC194</f>
        <v>0.598670057415019</v>
      </c>
      <c r="AF194" s="24" t="n">
        <f aca="false">AB194*(14.068*'Sem TS MC2020'!$P186^-0.457)/$Q194</f>
        <v>1.5646314725861</v>
      </c>
      <c r="AG194" s="24"/>
      <c r="AO194" s="4" t="n">
        <f aca="false">$AP$2*($AP$3+$AP$4*$F194/($N194*'Sem TS MC2020'!P186))*($AP$5*$G194+$AP$6*$B194/$N194)*('Sem TS MC2020'!P186^$AP$7/200000)*($J194-$M194)/($J194-$M194-$H194)+('Sem TS MC2020'!P186-$C194/$AP$8)*($AP$5*$G194+$AP$6*$B194/$N194)/200000</f>
        <v>0.326627346031432</v>
      </c>
      <c r="AP194" s="4" t="n">
        <f aca="false">AO194/$Q194</f>
        <v>1.71909129490227</v>
      </c>
      <c r="AQ194" s="23" t="n">
        <f aca="false">AO194-$Q194</f>
        <v>0.136627346031432</v>
      </c>
    </row>
    <row r="195" customFormat="false" ht="14.25" hidden="false" customHeight="false" outlineLevel="0" collapsed="false">
      <c r="B195" s="2" t="n">
        <v>10</v>
      </c>
      <c r="C195" s="3" t="n">
        <v>528</v>
      </c>
      <c r="D195" s="3" t="n">
        <v>1</v>
      </c>
      <c r="E195" s="2" t="n">
        <v>45</v>
      </c>
      <c r="F195" s="4" t="n">
        <v>2.8</v>
      </c>
      <c r="G195" s="2" t="n">
        <v>40</v>
      </c>
      <c r="H195" s="2" t="n">
        <v>45</v>
      </c>
      <c r="I195" s="1" t="n">
        <v>100</v>
      </c>
      <c r="J195" s="2" t="n">
        <v>350</v>
      </c>
      <c r="K195" s="3" t="n">
        <v>78.5</v>
      </c>
      <c r="L195" s="4" t="n">
        <v>9500</v>
      </c>
      <c r="M195" s="3" t="n">
        <v>54.1386548495659</v>
      </c>
      <c r="N195" s="12" t="n">
        <v>0.00826315789473684</v>
      </c>
      <c r="O195" s="4" t="n">
        <v>8.71</v>
      </c>
      <c r="P195" s="3" t="n">
        <v>288.372333592326</v>
      </c>
      <c r="Q195" s="4" t="n">
        <v>0.2</v>
      </c>
      <c r="R195" s="13" t="n">
        <f aca="false">P195/200000</f>
        <v>0.00144186166796163</v>
      </c>
      <c r="V195" s="4" t="n">
        <f aca="false">$W$2*($W$3*$G195+$W$4*$B195^$W$5*$N195^$W$6)*$R195^$W$7</f>
        <v>0.315185862408278</v>
      </c>
      <c r="W195" s="4" t="n">
        <f aca="false">V195/$Q195</f>
        <v>1.57592931204139</v>
      </c>
      <c r="Y195" s="4" t="n">
        <f aca="false">$Z$2*$B195^$Z$3*$R195^$Z$4*($Z$5*$N195^$Z$6+$Z$7)</f>
        <v>0.323869342527694</v>
      </c>
      <c r="Z195" s="4" t="n">
        <f aca="false">Y195/$Q195</f>
        <v>1.61934671263847</v>
      </c>
      <c r="AB195" s="4" t="n">
        <f aca="false">$AC$2*($AC$3+$AC$4*$F195/($N195*'Sem TS MC2020'!P187))*($AC$5*$G195+$AC$6*$B195/$N195)*'Sem TS MC2020'!R187*($J195-$M195)/($J195-$M195-$H195)</f>
        <v>0.335790416879348</v>
      </c>
      <c r="AC195" s="4" t="n">
        <f aca="false">AB195/$Q195</f>
        <v>1.67895208439674</v>
      </c>
      <c r="AD195" s="23" t="n">
        <f aca="false">AB195-$Q195</f>
        <v>0.135790416879348</v>
      </c>
      <c r="AE195" s="24" t="n">
        <f aca="false">1/AC195</f>
        <v>0.595609612265562</v>
      </c>
      <c r="AF195" s="24" t="n">
        <f aca="false">AB195*(14.068*'Sem TS MC2020'!$P187^-0.457)/$Q195</f>
        <v>1.55187901418257</v>
      </c>
      <c r="AG195" s="24"/>
      <c r="AO195" s="4" t="n">
        <f aca="false">$AP$2*($AP$3+$AP$4*$F195/($N195*'Sem TS MC2020'!P187))*($AP$5*$G195+$AP$6*$B195/$N195)*('Sem TS MC2020'!P187^$AP$7/200000)*($J195-$M195)/($J195-$M195-$H195)+('Sem TS MC2020'!P187-$C195/$AP$8)*($AP$5*$G195+$AP$6*$B195/$N195)/200000</f>
        <v>0.344719018684666</v>
      </c>
      <c r="AP195" s="4" t="n">
        <f aca="false">AO195/$Q195</f>
        <v>1.72359509342333</v>
      </c>
      <c r="AQ195" s="23" t="n">
        <f aca="false">AO195-$Q195</f>
        <v>0.144719018684666</v>
      </c>
    </row>
    <row r="196" customFormat="false" ht="14.25" hidden="false" customHeight="false" outlineLevel="0" collapsed="false">
      <c r="B196" s="2" t="n">
        <v>10</v>
      </c>
      <c r="C196" s="3" t="n">
        <v>528</v>
      </c>
      <c r="D196" s="3" t="n">
        <v>1</v>
      </c>
      <c r="E196" s="2" t="n">
        <v>45</v>
      </c>
      <c r="F196" s="4" t="n">
        <v>2.8</v>
      </c>
      <c r="G196" s="2" t="n">
        <v>40</v>
      </c>
      <c r="H196" s="2" t="n">
        <v>45</v>
      </c>
      <c r="I196" s="1" t="n">
        <v>100</v>
      </c>
      <c r="J196" s="2" t="n">
        <v>350</v>
      </c>
      <c r="K196" s="3" t="n">
        <v>78.5</v>
      </c>
      <c r="L196" s="4" t="n">
        <v>9500</v>
      </c>
      <c r="M196" s="3" t="n">
        <v>54.1386548495659</v>
      </c>
      <c r="N196" s="12" t="n">
        <v>0.00826315789473684</v>
      </c>
      <c r="O196" s="4" t="n">
        <v>9.04</v>
      </c>
      <c r="P196" s="3" t="n">
        <v>312.925812950098</v>
      </c>
      <c r="Q196" s="4" t="n">
        <v>0.22</v>
      </c>
      <c r="R196" s="13" t="n">
        <f aca="false">P196/200000</f>
        <v>0.00156462906475049</v>
      </c>
      <c r="V196" s="4" t="n">
        <f aca="false">$W$2*($W$3*$G196+$W$4*$B196^$W$5*$N196^$W$6)*$R196^$W$7</f>
        <v>0.331484098598016</v>
      </c>
      <c r="W196" s="4" t="n">
        <f aca="false">V196/$Q196</f>
        <v>1.50674590271825</v>
      </c>
      <c r="Y196" s="4" t="n">
        <f aca="false">$Z$2*$B196^$Z$3*$R196^$Z$4*($Z$5*$N196^$Z$6+$Z$7)</f>
        <v>0.340922901799999</v>
      </c>
      <c r="Z196" s="4" t="n">
        <f aca="false">Y196/$Q196</f>
        <v>1.54964955363636</v>
      </c>
      <c r="AB196" s="4" t="n">
        <f aca="false">$AC$2*($AC$3+$AC$4*$F196/($N196*'Sem TS MC2020'!P188))*($AC$5*$G196+$AC$6*$B196/$N196)*'Sem TS MC2020'!R188*($J196-$M196)/($J196-$M196-$H196)</f>
        <v>0.36010518221812</v>
      </c>
      <c r="AC196" s="4" t="n">
        <f aca="false">AB196/$Q196</f>
        <v>1.63684173735509</v>
      </c>
      <c r="AD196" s="23" t="n">
        <f aca="false">AB196-$Q196</f>
        <v>0.14010518221812</v>
      </c>
      <c r="AE196" s="24" t="n">
        <f aca="false">1/AC196</f>
        <v>0.610932613201727</v>
      </c>
      <c r="AF196" s="24" t="n">
        <f aca="false">AB196*(14.068*'Sem TS MC2020'!$P188^-0.457)/$Q196</f>
        <v>1.48746094913171</v>
      </c>
      <c r="AG196" s="24"/>
      <c r="AO196" s="4" t="n">
        <f aca="false">$AP$2*($AP$3+$AP$4*$F196/($N196*'Sem TS MC2020'!P188))*($AP$5*$G196+$AP$6*$B196/$N196)*('Sem TS MC2020'!P188^$AP$7/200000)*($J196-$M196)/($J196-$M196-$H196)+('Sem TS MC2020'!P188-$C196/$AP$8)*($AP$5*$G196+$AP$6*$B196/$N196)/200000</f>
        <v>0.368397479491127</v>
      </c>
      <c r="AP196" s="4" t="n">
        <f aca="false">AO196/$Q196</f>
        <v>1.67453399768694</v>
      </c>
      <c r="AQ196" s="23" t="n">
        <f aca="false">AO196-$Q196</f>
        <v>0.148397479491127</v>
      </c>
    </row>
    <row r="197" customFormat="false" ht="14.25" hidden="false" customHeight="false" outlineLevel="0" collapsed="false">
      <c r="A197" s="1" t="s">
        <v>61</v>
      </c>
      <c r="B197" s="2" t="n">
        <v>20</v>
      </c>
      <c r="C197" s="3" t="n">
        <v>598</v>
      </c>
      <c r="D197" s="3" t="n">
        <v>1</v>
      </c>
      <c r="E197" s="2" t="n">
        <v>40</v>
      </c>
      <c r="F197" s="4" t="n">
        <v>2.8</v>
      </c>
      <c r="G197" s="2" t="n">
        <v>40</v>
      </c>
      <c r="H197" s="2" t="n">
        <v>50</v>
      </c>
      <c r="I197" s="1" t="n">
        <v>100</v>
      </c>
      <c r="J197" s="2" t="n">
        <v>350</v>
      </c>
      <c r="K197" s="3" t="n">
        <v>315</v>
      </c>
      <c r="L197" s="4" t="n">
        <v>15000</v>
      </c>
      <c r="M197" s="3" t="n">
        <v>96.3869213691258</v>
      </c>
      <c r="N197" s="12" t="n">
        <v>0.021</v>
      </c>
      <c r="O197" s="4" t="n">
        <v>18.98</v>
      </c>
      <c r="P197" s="3" t="n">
        <v>138.052653306689</v>
      </c>
      <c r="Q197" s="4" t="n">
        <v>0.16</v>
      </c>
      <c r="R197" s="13" t="n">
        <f aca="false">P197/200000</f>
        <v>0.000690263266533444</v>
      </c>
      <c r="V197" s="4" t="n">
        <f aca="false">$W$2*($W$3*$G197+$W$4*$B197^$W$5*$N197^$W$6)*$R197^$W$7</f>
        <v>0.216083828065326</v>
      </c>
      <c r="W197" s="4" t="n">
        <f aca="false">V197/$Q197</f>
        <v>1.35052392540829</v>
      </c>
      <c r="Y197" s="4" t="n">
        <f aca="false">$Z$2*$B197^$Z$3*$R197^$Z$4*($Z$5*$N197^$Z$6+$Z$7)</f>
        <v>0.213592124524448</v>
      </c>
      <c r="Z197" s="4" t="n">
        <f aca="false">Y197/$Q197</f>
        <v>1.3349507782778</v>
      </c>
      <c r="AB197" s="4" t="n">
        <f aca="false">$AC$2*($AC$3+$AC$4*$F197/($N197*'Sem TS MC2020'!P189))*($AC$5*$G197+$AC$6*$B197/$N197)*'Sem TS MC2020'!R189*($J197-$M197)/($J197-$M197-$H197)</f>
        <v>0.22104140045309</v>
      </c>
      <c r="AC197" s="4" t="n">
        <f aca="false">AB197/$Q197</f>
        <v>1.38150875283181</v>
      </c>
      <c r="AD197" s="23" t="n">
        <f aca="false">AB197-$Q197</f>
        <v>0.0610414004530898</v>
      </c>
      <c r="AE197" s="24" t="n">
        <f aca="false">1/AC197</f>
        <v>0.723846300611707</v>
      </c>
      <c r="AF197" s="24" t="n">
        <f aca="false">AB197*(14.068*'Sem TS MC2020'!$P189^-0.457)/$Q197</f>
        <v>1.63566597759039</v>
      </c>
      <c r="AG197" s="24"/>
      <c r="AO197" s="4" t="n">
        <f aca="false">$AP$2*($AP$3+$AP$4*$F197/($N197*'Sem TS MC2020'!P189))*($AP$5*$G197+$AP$6*$B197/$N197)*('Sem TS MC2020'!P189^$AP$7/200000)*($J197-$M197)/($J197-$M197-$H197)+('Sem TS MC2020'!P189-$C197/$AP$8)*($AP$5*$G197+$AP$6*$B197/$N197)/200000</f>
        <v>0.232916789302326</v>
      </c>
      <c r="AP197" s="4" t="n">
        <f aca="false">AO197/$Q197</f>
        <v>1.45572993313954</v>
      </c>
      <c r="AQ197" s="23" t="n">
        <f aca="false">AO197-$Q197</f>
        <v>0.0729167893023258</v>
      </c>
    </row>
    <row r="198" customFormat="false" ht="14.25" hidden="false" customHeight="false" outlineLevel="0" collapsed="false">
      <c r="B198" s="2" t="n">
        <v>20</v>
      </c>
      <c r="C198" s="3" t="n">
        <v>598</v>
      </c>
      <c r="D198" s="3" t="n">
        <v>1</v>
      </c>
      <c r="E198" s="2" t="n">
        <v>40</v>
      </c>
      <c r="F198" s="4" t="n">
        <v>2.8</v>
      </c>
      <c r="G198" s="2" t="n">
        <v>40</v>
      </c>
      <c r="H198" s="2" t="n">
        <v>50</v>
      </c>
      <c r="I198" s="1" t="n">
        <v>100</v>
      </c>
      <c r="J198" s="2" t="n">
        <v>350</v>
      </c>
      <c r="K198" s="3" t="n">
        <v>315</v>
      </c>
      <c r="L198" s="4" t="n">
        <v>15000</v>
      </c>
      <c r="M198" s="3" t="n">
        <v>96.3869213691258</v>
      </c>
      <c r="N198" s="12" t="n">
        <v>0.021</v>
      </c>
      <c r="O198" s="4" t="n">
        <v>21.93</v>
      </c>
      <c r="P198" s="3" t="n">
        <v>183.385209492254</v>
      </c>
      <c r="Q198" s="4" t="n">
        <v>0.2</v>
      </c>
      <c r="R198" s="13" t="n">
        <f aca="false">P198/200000</f>
        <v>0.000916926047461268</v>
      </c>
      <c r="V198" s="4" t="n">
        <f aca="false">$W$2*($W$3*$G198+$W$4*$B198^$W$5*$N198^$W$6)*$R198^$W$7</f>
        <v>0.257460391915019</v>
      </c>
      <c r="W198" s="4" t="n">
        <f aca="false">V198/$Q198</f>
        <v>1.28730195957509</v>
      </c>
      <c r="Y198" s="4" t="n">
        <f aca="false">$Z$2*$B198^$Z$3*$R198^$Z$4*($Z$5*$N198^$Z$6+$Z$7)</f>
        <v>0.255287712299933</v>
      </c>
      <c r="Z198" s="4" t="n">
        <f aca="false">Y198/$Q198</f>
        <v>1.27643856149967</v>
      </c>
      <c r="AB198" s="4" t="n">
        <f aca="false">$AC$2*($AC$3+$AC$4*$F198/($N198*'Sem TS MC2020'!P190))*($AC$5*$G198+$AC$6*$B198/$N198)*'Sem TS MC2020'!R190*($J198-$M198)/($J198-$M198-$H198)</f>
        <v>0.271749943542551</v>
      </c>
      <c r="AC198" s="4" t="n">
        <f aca="false">AB198/$Q198</f>
        <v>1.35874971771275</v>
      </c>
      <c r="AD198" s="23" t="n">
        <f aca="false">AB198-$Q198</f>
        <v>0.0717499435425509</v>
      </c>
      <c r="AE198" s="24" t="n">
        <f aca="false">1/AC198</f>
        <v>0.735970714079224</v>
      </c>
      <c r="AF198" s="24" t="n">
        <f aca="false">AB198*(14.068*'Sem TS MC2020'!$P190^-0.457)/$Q198</f>
        <v>1.50593823090835</v>
      </c>
      <c r="AG198" s="24"/>
      <c r="AO198" s="4" t="n">
        <f aca="false">$AP$2*($AP$3+$AP$4*$F198/($N198*'Sem TS MC2020'!P190))*($AP$5*$G198+$AP$6*$B198/$N198)*('Sem TS MC2020'!P190^$AP$7/200000)*($J198-$M198)/($J198-$M198-$H198)+('Sem TS MC2020'!P190-$C198/$AP$8)*($AP$5*$G198+$AP$6*$B198/$N198)/200000</f>
        <v>0.284163544929392</v>
      </c>
      <c r="AP198" s="4" t="n">
        <f aca="false">AO198/$Q198</f>
        <v>1.42081772464696</v>
      </c>
      <c r="AQ198" s="23" t="n">
        <f aca="false">AO198-$Q198</f>
        <v>0.0841635449293921</v>
      </c>
    </row>
    <row r="199" customFormat="false" ht="14.25" hidden="false" customHeight="false" outlineLevel="0" collapsed="false">
      <c r="B199" s="2" t="n">
        <v>20</v>
      </c>
      <c r="C199" s="3" t="n">
        <v>598</v>
      </c>
      <c r="D199" s="3" t="n">
        <v>1</v>
      </c>
      <c r="E199" s="2" t="n">
        <v>40</v>
      </c>
      <c r="F199" s="4" t="n">
        <v>2.8</v>
      </c>
      <c r="G199" s="2" t="n">
        <v>40</v>
      </c>
      <c r="H199" s="2" t="n">
        <v>50</v>
      </c>
      <c r="I199" s="1" t="n">
        <v>100</v>
      </c>
      <c r="J199" s="2" t="n">
        <v>350</v>
      </c>
      <c r="K199" s="3" t="n">
        <v>315</v>
      </c>
      <c r="L199" s="4" t="n">
        <v>15000</v>
      </c>
      <c r="M199" s="3" t="n">
        <v>96.3869213691258</v>
      </c>
      <c r="N199" s="12" t="n">
        <v>0.021</v>
      </c>
      <c r="O199" s="4" t="n">
        <v>24.87</v>
      </c>
      <c r="P199" s="3" t="n">
        <v>228.564095995833</v>
      </c>
      <c r="Q199" s="4" t="n">
        <v>0.23</v>
      </c>
      <c r="R199" s="13" t="n">
        <f aca="false">P199/200000</f>
        <v>0.00114282047997917</v>
      </c>
      <c r="V199" s="4" t="n">
        <f aca="false">$W$2*($W$3*$G199+$W$4*$B199^$W$5*$N199^$W$6)*$R199^$W$7</f>
        <v>0.294932472533676</v>
      </c>
      <c r="W199" s="4" t="n">
        <f aca="false">V199/$Q199</f>
        <v>1.2823150979725</v>
      </c>
      <c r="Y199" s="4" t="n">
        <f aca="false">$Z$2*$B199^$Z$3*$R199^$Z$4*($Z$5*$N199^$Z$6+$Z$7)</f>
        <v>0.29315287514101</v>
      </c>
      <c r="Z199" s="4" t="n">
        <f aca="false">Y199/$Q199</f>
        <v>1.27457771800439</v>
      </c>
      <c r="AB199" s="4" t="n">
        <f aca="false">$AC$2*($AC$3+$AC$4*$F199/($N199*'Sem TS MC2020'!P191))*($AC$5*$G199+$AC$6*$B199/$N199)*'Sem TS MC2020'!R191*($J199-$M199)/($J199-$M199-$H199)</f>
        <v>0.322286593265607</v>
      </c>
      <c r="AC199" s="4" t="n">
        <f aca="false">AB199/$Q199</f>
        <v>1.40124605767655</v>
      </c>
      <c r="AD199" s="23" t="n">
        <f aca="false">AB199-$Q199</f>
        <v>0.0922865932656072</v>
      </c>
      <c r="AE199" s="24" t="n">
        <f aca="false">1/AC199</f>
        <v>0.713650535908111</v>
      </c>
      <c r="AF199" s="24" t="n">
        <f aca="false">AB199*(14.068*'Sem TS MC2020'!$P191^-0.457)/$Q199</f>
        <v>1.46626651402029</v>
      </c>
      <c r="AG199" s="24"/>
      <c r="AO199" s="4" t="n">
        <f aca="false">$AP$2*($AP$3+$AP$4*$F199/($N199*'Sem TS MC2020'!P191))*($AP$5*$G199+$AP$6*$B199/$N199)*('Sem TS MC2020'!P191^$AP$7/200000)*($J199-$M199)/($J199-$M199-$H199)+('Sem TS MC2020'!P191-$C199/$AP$8)*($AP$5*$G199+$AP$6*$B199/$N199)/200000</f>
        <v>0.333721016040442</v>
      </c>
      <c r="AP199" s="4" t="n">
        <f aca="false">AO199/$Q199</f>
        <v>1.45096093930627</v>
      </c>
      <c r="AQ199" s="23" t="n">
        <f aca="false">AO199-$Q199</f>
        <v>0.103721016040442</v>
      </c>
    </row>
    <row r="200" customFormat="false" ht="14.25" hidden="false" customHeight="false" outlineLevel="0" collapsed="false">
      <c r="A200" s="1" t="s">
        <v>62</v>
      </c>
      <c r="B200" s="2" t="n">
        <v>20</v>
      </c>
      <c r="C200" s="3" t="n">
        <v>598</v>
      </c>
      <c r="D200" s="3" t="n">
        <v>1</v>
      </c>
      <c r="E200" s="2" t="n">
        <v>40</v>
      </c>
      <c r="F200" s="4" t="n">
        <v>2.8</v>
      </c>
      <c r="G200" s="2" t="n">
        <v>40</v>
      </c>
      <c r="H200" s="2" t="n">
        <v>50</v>
      </c>
      <c r="I200" s="1" t="n">
        <v>100</v>
      </c>
      <c r="J200" s="2" t="n">
        <v>350</v>
      </c>
      <c r="K200" s="3" t="n">
        <v>315</v>
      </c>
      <c r="L200" s="4" t="n">
        <v>15000</v>
      </c>
      <c r="M200" s="3" t="n">
        <v>96.3869213691258</v>
      </c>
      <c r="N200" s="12" t="n">
        <v>0.021</v>
      </c>
      <c r="O200" s="4" t="n">
        <v>18.98</v>
      </c>
      <c r="P200" s="3" t="n">
        <v>152.450291925162</v>
      </c>
      <c r="Q200" s="4" t="n">
        <v>0.14</v>
      </c>
      <c r="R200" s="13" t="n">
        <f aca="false">P200/200000</f>
        <v>0.000762251459625812</v>
      </c>
      <c r="V200" s="4" t="n">
        <f aca="false">$W$2*($W$3*$G200+$W$4*$B200^$W$5*$N200^$W$6)*$R200^$W$7</f>
        <v>0.229723162289864</v>
      </c>
      <c r="W200" s="4" t="n">
        <f aca="false">V200/$Q200</f>
        <v>1.64087973064188</v>
      </c>
      <c r="Y200" s="4" t="n">
        <f aca="false">$Z$2*$B200^$Z$3*$R200^$Z$4*($Z$5*$N200^$Z$6+$Z$7)</f>
        <v>0.227322108166726</v>
      </c>
      <c r="Z200" s="4" t="n">
        <f aca="false">Y200/$Q200</f>
        <v>1.62372934404804</v>
      </c>
      <c r="AB200" s="4" t="n">
        <f aca="false">$AC$2*($AC$3+$AC$4*$F200/($N200*'Sem TS MC2020'!P192))*($AC$5*$G200+$AC$6*$B200/$N200)*'Sem TS MC2020'!R192*($J200-$M200)/($J200-$M200-$H200)</f>
        <v>0.22104140045309</v>
      </c>
      <c r="AC200" s="4" t="n">
        <f aca="false">AB200/$Q200</f>
        <v>1.5788671460935</v>
      </c>
      <c r="AD200" s="23" t="n">
        <f aca="false">AB200-$Q200</f>
        <v>0.0810414004530898</v>
      </c>
      <c r="AE200" s="24" t="n">
        <f aca="false">1/AC200</f>
        <v>0.633365513035244</v>
      </c>
      <c r="AF200" s="24" t="n">
        <f aca="false">AB200*(14.068*'Sem TS MC2020'!$P192^-0.457)/$Q200</f>
        <v>1.86933254581759</v>
      </c>
      <c r="AG200" s="24"/>
      <c r="AO200" s="4" t="n">
        <f aca="false">$AP$2*($AP$3+$AP$4*$F200/($N200*'Sem TS MC2020'!P192))*($AP$5*$G200+$AP$6*$B200/$N200)*('Sem TS MC2020'!P192^$AP$7/200000)*($J200-$M200)/($J200-$M200-$H200)+('Sem TS MC2020'!P192-$C200/$AP$8)*($AP$5*$G200+$AP$6*$B200/$N200)/200000</f>
        <v>0.232916789302326</v>
      </c>
      <c r="AP200" s="4" t="n">
        <f aca="false">AO200/$Q200</f>
        <v>1.66369135215947</v>
      </c>
      <c r="AQ200" s="23" t="n">
        <f aca="false">AO200-$Q200</f>
        <v>0.0929167893023258</v>
      </c>
    </row>
    <row r="201" customFormat="false" ht="14.25" hidden="false" customHeight="false" outlineLevel="0" collapsed="false">
      <c r="B201" s="2" t="n">
        <v>20</v>
      </c>
      <c r="C201" s="3" t="n">
        <v>598</v>
      </c>
      <c r="D201" s="3" t="n">
        <v>1</v>
      </c>
      <c r="E201" s="2" t="n">
        <v>40</v>
      </c>
      <c r="F201" s="4" t="n">
        <v>2.8</v>
      </c>
      <c r="G201" s="2" t="n">
        <v>40</v>
      </c>
      <c r="H201" s="2" t="n">
        <v>50</v>
      </c>
      <c r="I201" s="1" t="n">
        <v>100</v>
      </c>
      <c r="J201" s="2" t="n">
        <v>350</v>
      </c>
      <c r="K201" s="3" t="n">
        <v>315</v>
      </c>
      <c r="L201" s="4" t="n">
        <v>15000</v>
      </c>
      <c r="M201" s="3" t="n">
        <v>96.3869213691258</v>
      </c>
      <c r="N201" s="12" t="n">
        <v>0.021</v>
      </c>
      <c r="O201" s="4" t="n">
        <v>21.89</v>
      </c>
      <c r="P201" s="3" t="n">
        <v>195.554342766269</v>
      </c>
      <c r="Q201" s="4" t="n">
        <v>0.17</v>
      </c>
      <c r="R201" s="13" t="n">
        <f aca="false">P201/200000</f>
        <v>0.000977771713831343</v>
      </c>
      <c r="V201" s="4" t="n">
        <f aca="false">$W$2*($W$3*$G201+$W$4*$B201^$W$5*$N201^$W$6)*$R201^$W$7</f>
        <v>0.26787160217618</v>
      </c>
      <c r="W201" s="4" t="n">
        <f aca="false">V201/$Q201</f>
        <v>1.57571530691871</v>
      </c>
      <c r="Y201" s="4" t="n">
        <f aca="false">$Z$2*$B201^$Z$3*$R201^$Z$4*($Z$5*$N201^$Z$6+$Z$7)</f>
        <v>0.265798848727463</v>
      </c>
      <c r="Z201" s="4" t="n">
        <f aca="false">Y201/$Q201</f>
        <v>1.56352263957331</v>
      </c>
      <c r="AB201" s="4" t="n">
        <f aca="false">$AC$2*($AC$3+$AC$4*$F201/($N201*'Sem TS MC2020'!P193))*($AC$5*$G201+$AC$6*$B201/$N201)*'Sem TS MC2020'!R193*($J201-$M201)/($J201-$M201-$H201)</f>
        <v>0.271062370076931</v>
      </c>
      <c r="AC201" s="4" t="n">
        <f aca="false">AB201/$Q201</f>
        <v>1.5944845298643</v>
      </c>
      <c r="AD201" s="23" t="n">
        <f aca="false">AB201-$Q201</f>
        <v>0.101062370076931</v>
      </c>
      <c r="AE201" s="24" t="n">
        <f aca="false">1/AC201</f>
        <v>0.62716193307006</v>
      </c>
      <c r="AF201" s="24" t="n">
        <f aca="false">AB201*(14.068*'Sem TS MC2020'!$P193^-0.457)/$Q201</f>
        <v>1.76868439260115</v>
      </c>
      <c r="AG201" s="24"/>
      <c r="AO201" s="4" t="n">
        <f aca="false">$AP$2*($AP$3+$AP$4*$F201/($N201*'Sem TS MC2020'!P193))*($AP$5*$G201+$AP$6*$B201/$N201)*('Sem TS MC2020'!P193^$AP$7/200000)*($J201-$M201)/($J201-$M201-$H201)+('Sem TS MC2020'!P193-$C201/$AP$8)*($AP$5*$G201+$AP$6*$B201/$N201)/200000</f>
        <v>0.283479542523006</v>
      </c>
      <c r="AP201" s="4" t="n">
        <f aca="false">AO201/$Q201</f>
        <v>1.66752672072356</v>
      </c>
      <c r="AQ201" s="23" t="n">
        <f aca="false">AO201-$Q201</f>
        <v>0.113479542523006</v>
      </c>
    </row>
    <row r="202" customFormat="false" ht="14.25" hidden="false" customHeight="false" outlineLevel="0" collapsed="false">
      <c r="B202" s="2" t="n">
        <v>20</v>
      </c>
      <c r="C202" s="3" t="n">
        <v>598</v>
      </c>
      <c r="D202" s="3" t="n">
        <v>1</v>
      </c>
      <c r="E202" s="2" t="n">
        <v>40</v>
      </c>
      <c r="F202" s="4" t="n">
        <v>2.8</v>
      </c>
      <c r="G202" s="2" t="n">
        <v>40</v>
      </c>
      <c r="H202" s="2" t="n">
        <v>50</v>
      </c>
      <c r="I202" s="1" t="n">
        <v>100</v>
      </c>
      <c r="J202" s="2" t="n">
        <v>350</v>
      </c>
      <c r="K202" s="3" t="n">
        <v>315</v>
      </c>
      <c r="L202" s="4" t="n">
        <v>15000</v>
      </c>
      <c r="M202" s="3" t="n">
        <v>96.3869213691258</v>
      </c>
      <c r="N202" s="12" t="n">
        <v>0.021</v>
      </c>
      <c r="O202" s="4" t="n">
        <v>24.82</v>
      </c>
      <c r="P202" s="3" t="n">
        <v>237.919989367084</v>
      </c>
      <c r="Q202" s="4" t="n">
        <v>0.21</v>
      </c>
      <c r="R202" s="13" t="n">
        <f aca="false">P202/200000</f>
        <v>0.00118959994683542</v>
      </c>
      <c r="V202" s="4" t="n">
        <f aca="false">$W$2*($W$3*$G202+$W$4*$B202^$W$5*$N202^$W$6)*$R202^$W$7</f>
        <v>0.302323936826997</v>
      </c>
      <c r="W202" s="4" t="n">
        <f aca="false">V202/$Q202</f>
        <v>1.43963779441427</v>
      </c>
      <c r="Y202" s="4" t="n">
        <f aca="false">$Z$2*$B202^$Z$3*$R202^$Z$4*($Z$5*$N202^$Z$6+$Z$7)</f>
        <v>0.300632378372085</v>
      </c>
      <c r="Z202" s="4" t="n">
        <f aca="false">Y202/$Q202</f>
        <v>1.43158275415278</v>
      </c>
      <c r="AB202" s="4" t="n">
        <f aca="false">$AC$2*($AC$3+$AC$4*$F202/($N202*'Sem TS MC2020'!P194))*($AC$5*$G202+$AC$6*$B202/$N202)*'Sem TS MC2020'!R194*($J202-$M202)/($J202-$M202-$H202)</f>
        <v>0.321427126433582</v>
      </c>
      <c r="AC202" s="4" t="n">
        <f aca="false">AB202/$Q202</f>
        <v>1.53060536396944</v>
      </c>
      <c r="AD202" s="23" t="n">
        <f aca="false">AB202-$Q202</f>
        <v>0.111427126433582</v>
      </c>
      <c r="AE202" s="24" t="n">
        <f aca="false">1/AC202</f>
        <v>0.653336270432648</v>
      </c>
      <c r="AF202" s="24" t="n">
        <f aca="false">AB202*(14.068*'Sem TS MC2020'!$P194^-0.457)/$Q202</f>
        <v>1.60310203488022</v>
      </c>
      <c r="AG202" s="24"/>
      <c r="AO202" s="4" t="n">
        <f aca="false">$AP$2*($AP$3+$AP$4*$F202/($N202*'Sem TS MC2020'!P194))*($AP$5*$G202+$AP$6*$B202/$N202)*('Sem TS MC2020'!P194^$AP$7/200000)*($J202-$M202)/($J202-$M202-$H202)+('Sem TS MC2020'!P194-$C202/$AP$8)*($AP$5*$G202+$AP$6*$B202/$N202)/200000</f>
        <v>0.332889322980335</v>
      </c>
      <c r="AP202" s="4" t="n">
        <f aca="false">AO202/$Q202</f>
        <v>1.58518725228731</v>
      </c>
      <c r="AQ202" s="23" t="n">
        <f aca="false">AO202-$Q202</f>
        <v>0.122889322980335</v>
      </c>
    </row>
    <row r="203" customFormat="false" ht="14.25" hidden="false" customHeight="false" outlineLevel="0" collapsed="false">
      <c r="A203" s="1" t="s">
        <v>63</v>
      </c>
      <c r="B203" s="2" t="n">
        <v>20</v>
      </c>
      <c r="C203" s="3" t="n">
        <v>598</v>
      </c>
      <c r="D203" s="3" t="n">
        <v>1</v>
      </c>
      <c r="E203" s="2" t="n">
        <v>40</v>
      </c>
      <c r="F203" s="4" t="n">
        <v>2.8</v>
      </c>
      <c r="G203" s="2" t="n">
        <v>40</v>
      </c>
      <c r="H203" s="2" t="n">
        <v>50</v>
      </c>
      <c r="I203" s="1" t="n">
        <v>100</v>
      </c>
      <c r="J203" s="2" t="n">
        <v>350</v>
      </c>
      <c r="K203" s="3" t="n">
        <v>315</v>
      </c>
      <c r="L203" s="4" t="n">
        <v>15000</v>
      </c>
      <c r="M203" s="3" t="n">
        <v>96.3869213691258</v>
      </c>
      <c r="N203" s="12" t="n">
        <v>0.021</v>
      </c>
      <c r="O203" s="4" t="n">
        <v>13.02</v>
      </c>
      <c r="P203" s="3" t="n">
        <v>62.1356715374158</v>
      </c>
      <c r="Q203" s="4" t="n">
        <v>0.21</v>
      </c>
      <c r="R203" s="13" t="n">
        <f aca="false">P203/200000</f>
        <v>0.000310678357687079</v>
      </c>
      <c r="V203" s="4" t="n">
        <f aca="false">$W$2*($W$3*$G203+$W$4*$B203^$W$5*$N203^$W$6)*$R203^$W$7</f>
        <v>0.132040160676693</v>
      </c>
      <c r="W203" s="4" t="n">
        <f aca="false">V203/$Q203</f>
        <v>0.628762669889015</v>
      </c>
      <c r="Y203" s="4" t="n">
        <f aca="false">$Z$2*$B203^$Z$3*$R203^$Z$4*($Z$5*$N203^$Z$6+$Z$7)</f>
        <v>0.129376462813933</v>
      </c>
      <c r="Z203" s="4" t="n">
        <f aca="false">Y203/$Q203</f>
        <v>0.616078394352061</v>
      </c>
      <c r="AB203" s="4" t="n">
        <f aca="false">$AC$2*($AC$3+$AC$4*$F203/($N203*'Sem TS MC2020'!P195))*($AC$5*$G203+$AC$6*$B203/$N203)*'Sem TS MC2020'!R195*($J203-$M203)/($J203-$M203-$H203)</f>
        <v>0.118592954075738</v>
      </c>
      <c r="AC203" s="4" t="n">
        <f aca="false">AB203/$Q203</f>
        <v>0.564728352741608</v>
      </c>
      <c r="AD203" s="23" t="n">
        <f aca="false">AB203-$Q203</f>
        <v>-0.0914070459242623</v>
      </c>
      <c r="AE203" s="24" t="n">
        <f aca="false">1/AC203</f>
        <v>1.77076287235316</v>
      </c>
      <c r="AF203" s="24" t="n">
        <f aca="false">AB203*(14.068*'Sem TS MC2020'!$P195^-0.457)/$Q203</f>
        <v>0.794300286590872</v>
      </c>
      <c r="AG203" s="24"/>
      <c r="AO203" s="4" t="n">
        <f aca="false">$AP$2*($AP$3+$AP$4*$F203/($N203*'Sem TS MC2020'!P195))*($AP$5*$G203+$AP$6*$B203/$N203)*('Sem TS MC2020'!P195^$AP$7/200000)*($J203-$M203)/($J203-$M203-$H203)+('Sem TS MC2020'!P195-$C203/$AP$8)*($AP$5*$G203+$AP$6*$B203/$N203)/200000</f>
        <v>0.123022979698413</v>
      </c>
      <c r="AP203" s="4" t="n">
        <f aca="false">AO203/$Q203</f>
        <v>0.585823712849585</v>
      </c>
      <c r="AQ203" s="23" t="n">
        <f aca="false">AO203-$Q203</f>
        <v>-0.0869770203015871</v>
      </c>
    </row>
    <row r="204" customFormat="false" ht="14.25" hidden="false" customHeight="false" outlineLevel="0" collapsed="false">
      <c r="B204" s="2" t="n">
        <v>20</v>
      </c>
      <c r="C204" s="3" t="n">
        <v>598</v>
      </c>
      <c r="D204" s="3" t="n">
        <v>1</v>
      </c>
      <c r="E204" s="2" t="n">
        <v>40</v>
      </c>
      <c r="F204" s="4" t="n">
        <v>2.8</v>
      </c>
      <c r="G204" s="2" t="n">
        <v>40</v>
      </c>
      <c r="H204" s="2" t="n">
        <v>50</v>
      </c>
      <c r="I204" s="1" t="n">
        <v>100</v>
      </c>
      <c r="J204" s="2" t="n">
        <v>350</v>
      </c>
      <c r="K204" s="3" t="n">
        <v>315</v>
      </c>
      <c r="L204" s="4" t="n">
        <v>15000</v>
      </c>
      <c r="M204" s="3" t="n">
        <v>96.3869213691258</v>
      </c>
      <c r="N204" s="12" t="n">
        <v>0.021</v>
      </c>
      <c r="O204" s="4" t="n">
        <v>16.06</v>
      </c>
      <c r="P204" s="3" t="n">
        <v>98.1634338054311</v>
      </c>
      <c r="Q204" s="4" t="n">
        <v>0.25</v>
      </c>
      <c r="R204" s="13" t="n">
        <f aca="false">P204/200000</f>
        <v>0.000490817169027155</v>
      </c>
      <c r="V204" s="4" t="n">
        <f aca="false">$W$2*($W$3*$G204+$W$4*$B204^$W$5*$N204^$W$6)*$R204^$W$7</f>
        <v>0.175084475735561</v>
      </c>
      <c r="W204" s="4" t="n">
        <f aca="false">V204/$Q204</f>
        <v>0.700337902942242</v>
      </c>
      <c r="Y204" s="4" t="n">
        <f aca="false">$Z$2*$B204^$Z$3*$R204^$Z$4*($Z$5*$N204^$Z$6+$Z$7)</f>
        <v>0.172417588021247</v>
      </c>
      <c r="Z204" s="4" t="n">
        <f aca="false">Y204/$Q204</f>
        <v>0.689670352084987</v>
      </c>
      <c r="AB204" s="4" t="n">
        <f aca="false">$AC$2*($AC$3+$AC$4*$F204/($N204*'Sem TS MC2020'!P196))*($AC$5*$G204+$AC$6*$B204/$N204)*'Sem TS MC2020'!R196*($J204-$M204)/($J204-$M204-$H204)</f>
        <v>0.170848537462844</v>
      </c>
      <c r="AC204" s="4" t="n">
        <f aca="false">AB204/$Q204</f>
        <v>0.683394149851374</v>
      </c>
      <c r="AD204" s="23" t="n">
        <f aca="false">AB204-$Q204</f>
        <v>-0.0791514625371565</v>
      </c>
      <c r="AE204" s="24" t="n">
        <f aca="false">1/AC204</f>
        <v>1.46328440215282</v>
      </c>
      <c r="AF204" s="24" t="n">
        <f aca="false">AB204*(14.068*'Sem TS MC2020'!$P196^-0.457)/$Q204</f>
        <v>0.873308909984425</v>
      </c>
      <c r="AG204" s="24"/>
      <c r="AO204" s="4" t="n">
        <f aca="false">$AP$2*($AP$3+$AP$4*$F204/($N204*'Sem TS MC2020'!P196))*($AP$5*$G204+$AP$6*$B204/$N204)*('Sem TS MC2020'!P196^$AP$7/200000)*($J204-$M204)/($J204-$M204-$H204)+('Sem TS MC2020'!P196-$C204/$AP$8)*($AP$5*$G204+$AP$6*$B204/$N204)/200000</f>
        <v>0.180329761297329</v>
      </c>
      <c r="AP204" s="4" t="n">
        <f aca="false">AO204/$Q204</f>
        <v>0.721319045189317</v>
      </c>
      <c r="AQ204" s="23" t="n">
        <f aca="false">AO204-$Q204</f>
        <v>-0.0696702387026708</v>
      </c>
    </row>
    <row r="205" customFormat="false" ht="14.25" hidden="false" customHeight="false" outlineLevel="0" collapsed="false">
      <c r="B205" s="2" t="n">
        <v>20</v>
      </c>
      <c r="C205" s="3" t="n">
        <v>598</v>
      </c>
      <c r="D205" s="3" t="n">
        <v>1</v>
      </c>
      <c r="E205" s="2" t="n">
        <v>40</v>
      </c>
      <c r="F205" s="4" t="n">
        <v>2.8</v>
      </c>
      <c r="G205" s="2" t="n">
        <v>40</v>
      </c>
      <c r="H205" s="2" t="n">
        <v>50</v>
      </c>
      <c r="I205" s="1" t="n">
        <v>100</v>
      </c>
      <c r="J205" s="2" t="n">
        <v>350</v>
      </c>
      <c r="K205" s="3" t="n">
        <v>315</v>
      </c>
      <c r="L205" s="4" t="n">
        <v>15000</v>
      </c>
      <c r="M205" s="3" t="n">
        <v>96.3869213691258</v>
      </c>
      <c r="N205" s="12" t="n">
        <v>0.021</v>
      </c>
      <c r="O205" s="4" t="n">
        <v>18.93</v>
      </c>
      <c r="P205" s="3" t="n">
        <v>137.284304896764</v>
      </c>
      <c r="Q205" s="4" t="n">
        <v>0.29</v>
      </c>
      <c r="R205" s="13" t="n">
        <f aca="false">P205/200000</f>
        <v>0.00068642152448382</v>
      </c>
      <c r="V205" s="4" t="n">
        <f aca="false">$W$2*($W$3*$G205+$W$4*$B205^$W$5*$N205^$W$6)*$R205^$W$7</f>
        <v>0.215341006181485</v>
      </c>
      <c r="W205" s="4" t="n">
        <f aca="false">V205/$Q205</f>
        <v>0.742555193729258</v>
      </c>
      <c r="Y205" s="4" t="n">
        <f aca="false">$Z$2*$B205^$Z$3*$R205^$Z$4*($Z$5*$N205^$Z$6+$Z$7)</f>
        <v>0.212844800719397</v>
      </c>
      <c r="Z205" s="4" t="n">
        <f aca="false">Y205/$Q205</f>
        <v>0.733947588687575</v>
      </c>
      <c r="AB205" s="4" t="n">
        <f aca="false">$AC$2*($AC$3+$AC$4*$F205/($N205*'Sem TS MC2020'!P197))*($AC$5*$G205+$AC$6*$B205/$N205)*'Sem TS MC2020'!R197*($J205-$M205)/($J205-$M205-$H205)</f>
        <v>0.220181933621065</v>
      </c>
      <c r="AC205" s="4" t="n">
        <f aca="false">AB205/$Q205</f>
        <v>0.75924804696919</v>
      </c>
      <c r="AD205" s="23" t="n">
        <f aca="false">AB205-$Q205</f>
        <v>-0.069818066378935</v>
      </c>
      <c r="AE205" s="24" t="n">
        <f aca="false">1/AC205</f>
        <v>1.31709262077375</v>
      </c>
      <c r="AF205" s="24" t="n">
        <f aca="false">AB205*(14.068*'Sem TS MC2020'!$P197^-0.457)/$Q205</f>
        <v>0.900011791618038</v>
      </c>
      <c r="AG205" s="24"/>
      <c r="AO205" s="4" t="n">
        <f aca="false">$AP$2*($AP$3+$AP$4*$F205/($N205*'Sem TS MC2020'!P197))*($AP$5*$G205+$AP$6*$B205/$N205)*('Sem TS MC2020'!P197^$AP$7/200000)*($J205-$M205)/($J205-$M205-$H205)+('Sem TS MC2020'!P197-$C205/$AP$8)*($AP$5*$G205+$AP$6*$B205/$N205)/200000</f>
        <v>0.232033149630332</v>
      </c>
      <c r="AP205" s="4" t="n">
        <f aca="false">AO205/$Q205</f>
        <v>0.800114309070109</v>
      </c>
      <c r="AQ205" s="23" t="n">
        <f aca="false">AO205-$Q205</f>
        <v>-0.0579668503696685</v>
      </c>
    </row>
    <row r="206" customFormat="false" ht="14.25" hidden="false" customHeight="false" outlineLevel="0" collapsed="false">
      <c r="B206" s="2" t="n">
        <v>20</v>
      </c>
      <c r="C206" s="3" t="n">
        <v>598</v>
      </c>
      <c r="D206" s="3" t="n">
        <v>1</v>
      </c>
      <c r="E206" s="2" t="n">
        <v>40</v>
      </c>
      <c r="F206" s="4" t="n">
        <v>2.8</v>
      </c>
      <c r="G206" s="2" t="n">
        <v>40</v>
      </c>
      <c r="H206" s="2" t="n">
        <v>50</v>
      </c>
      <c r="I206" s="1" t="n">
        <v>100</v>
      </c>
      <c r="J206" s="2" t="n">
        <v>350</v>
      </c>
      <c r="K206" s="3" t="n">
        <v>315</v>
      </c>
      <c r="L206" s="4" t="n">
        <v>15000</v>
      </c>
      <c r="M206" s="3" t="n">
        <v>96.3869213691258</v>
      </c>
      <c r="N206" s="12" t="n">
        <v>0.021</v>
      </c>
      <c r="O206" s="4" t="n">
        <v>21.81</v>
      </c>
      <c r="P206" s="3" t="n">
        <v>181.541173308434</v>
      </c>
      <c r="Q206" s="4" t="n">
        <v>0.33</v>
      </c>
      <c r="R206" s="13" t="n">
        <f aca="false">P206/200000</f>
        <v>0.000907705866542169</v>
      </c>
      <c r="V206" s="4" t="n">
        <f aca="false">$W$2*($W$3*$G206+$W$4*$B206^$W$5*$N206^$W$6)*$R206^$W$7</f>
        <v>0.255859949311025</v>
      </c>
      <c r="W206" s="4" t="n">
        <f aca="false">V206/$Q206</f>
        <v>0.77533317973038</v>
      </c>
      <c r="Y206" s="4" t="n">
        <f aca="false">$Z$2*$B206^$Z$3*$R206^$Z$4*($Z$5*$N206^$Z$6+$Z$7)</f>
        <v>0.253672573114093</v>
      </c>
      <c r="Z206" s="4" t="n">
        <f aca="false">Y206/$Q206</f>
        <v>0.768704767012404</v>
      </c>
      <c r="AB206" s="4" t="n">
        <f aca="false">$AC$2*($AC$3+$AC$4*$F206/($N206*'Sem TS MC2020'!P198))*($AC$5*$G206+$AC$6*$B206/$N206)*'Sem TS MC2020'!R198*($J206-$M206)/($J206-$M206-$H206)</f>
        <v>0.269687223145691</v>
      </c>
      <c r="AC206" s="4" t="n">
        <f aca="false">AB206/$Q206</f>
        <v>0.817234009532398</v>
      </c>
      <c r="AD206" s="23" t="n">
        <f aca="false">AB206-$Q206</f>
        <v>-0.0603127768543086</v>
      </c>
      <c r="AE206" s="24" t="n">
        <f aca="false">1/AC206</f>
        <v>1.22363972660924</v>
      </c>
      <c r="AF206" s="24" t="n">
        <f aca="false">AB206*(14.068*'Sem TS MC2020'!$P198^-0.457)/$Q206</f>
        <v>0.908036150924693</v>
      </c>
      <c r="AG206" s="24"/>
      <c r="AO206" s="4" t="n">
        <f aca="false">$AP$2*($AP$3+$AP$4*$F206/($N206*'Sem TS MC2020'!P198))*($AP$5*$G206+$AP$6*$B206/$N206)*('Sem TS MC2020'!P198^$AP$7/200000)*($J206-$M206)/($J206-$M206-$H206)+('Sem TS MC2020'!P198-$C206/$AP$8)*($AP$5*$G206+$AP$6*$B206/$N206)/200000</f>
        <v>0.282110699569933</v>
      </c>
      <c r="AP206" s="4" t="n">
        <f aca="false">AO206/$Q206</f>
        <v>0.854880907787675</v>
      </c>
      <c r="AQ206" s="23" t="n">
        <f aca="false">AO206-$Q206</f>
        <v>-0.0478893004300673</v>
      </c>
    </row>
    <row r="207" customFormat="false" ht="14.25" hidden="false" customHeight="false" outlineLevel="0" collapsed="false">
      <c r="B207" s="2" t="n">
        <v>20</v>
      </c>
      <c r="C207" s="3" t="n">
        <v>598</v>
      </c>
      <c r="D207" s="3" t="n">
        <v>1</v>
      </c>
      <c r="E207" s="2" t="n">
        <v>40</v>
      </c>
      <c r="F207" s="4" t="n">
        <v>2.8</v>
      </c>
      <c r="G207" s="2" t="n">
        <v>40</v>
      </c>
      <c r="H207" s="2" t="n">
        <v>50</v>
      </c>
      <c r="I207" s="1" t="n">
        <v>100</v>
      </c>
      <c r="J207" s="2" t="n">
        <v>350</v>
      </c>
      <c r="K207" s="3" t="n">
        <v>315</v>
      </c>
      <c r="L207" s="4" t="n">
        <v>15000</v>
      </c>
      <c r="M207" s="3" t="n">
        <v>96.3869213691258</v>
      </c>
      <c r="N207" s="12" t="n">
        <v>0.021</v>
      </c>
      <c r="O207" s="4" t="n">
        <v>25.88</v>
      </c>
      <c r="P207" s="3" t="n">
        <v>244.084733876315</v>
      </c>
      <c r="Q207" s="4" t="n">
        <v>0.37</v>
      </c>
      <c r="R207" s="13" t="n">
        <f aca="false">P207/200000</f>
        <v>0.00122042366938157</v>
      </c>
      <c r="V207" s="4" t="n">
        <f aca="false">$W$2*($W$3*$G207+$W$4*$B207^$W$5*$N207^$W$6)*$R207^$W$7</f>
        <v>0.3071335152509</v>
      </c>
      <c r="W207" s="4" t="n">
        <f aca="false">V207/$Q207</f>
        <v>0.83009058175919</v>
      </c>
      <c r="Y207" s="4" t="n">
        <f aca="false">$Z$2*$B207^$Z$3*$R207^$Z$4*($Z$5*$N207^$Z$6+$Z$7)</f>
        <v>0.305500999441146</v>
      </c>
      <c r="Z207" s="4" t="n">
        <f aca="false">Y207/$Q207</f>
        <v>0.825678376867962</v>
      </c>
      <c r="AB207" s="4" t="n">
        <f aca="false">$AC$2*($AC$3+$AC$4*$F207/($N207*'Sem TS MC2020'!P199))*($AC$5*$G207+$AC$6*$B207/$N207)*'Sem TS MC2020'!R199*($J207-$M207)/($J207-$M207-$H207)</f>
        <v>0.339647823272507</v>
      </c>
      <c r="AC207" s="4" t="n">
        <f aca="false">AB207/$Q207</f>
        <v>0.917967089925695</v>
      </c>
      <c r="AD207" s="23" t="n">
        <f aca="false">AB207-$Q207</f>
        <v>-0.0303521767274927</v>
      </c>
      <c r="AE207" s="24" t="n">
        <f aca="false">1/AC207</f>
        <v>1.0893636721562</v>
      </c>
      <c r="AF207" s="24" t="n">
        <f aca="false">AB207*(14.068*'Sem TS MC2020'!$P199^-0.457)/$Q207</f>
        <v>0.943245595309036</v>
      </c>
      <c r="AG207" s="24"/>
      <c r="AO207" s="4" t="n">
        <f aca="false">$AP$2*($AP$3+$AP$4*$F207/($N207*'Sem TS MC2020'!P199))*($AP$5*$G207+$AP$6*$B207/$N207)*('Sem TS MC2020'!P199^$AP$7/200000)*($J207-$M207)/($J207-$M207-$H207)+('Sem TS MC2020'!P199-$C207/$AP$8)*($AP$5*$G207+$AP$6*$B207/$N207)/200000</f>
        <v>0.350445090369138</v>
      </c>
      <c r="AP207" s="4" t="n">
        <f aca="false">AO207/$Q207</f>
        <v>0.947148892889563</v>
      </c>
      <c r="AQ207" s="23" t="n">
        <f aca="false">AO207-$Q207</f>
        <v>-0.0195549096308618</v>
      </c>
    </row>
    <row r="208" customFormat="false" ht="14.25" hidden="false" customHeight="false" outlineLevel="0" collapsed="false">
      <c r="A208" s="1" t="s">
        <v>64</v>
      </c>
      <c r="B208" s="2" t="n">
        <v>20</v>
      </c>
      <c r="C208" s="3" t="n">
        <v>430</v>
      </c>
      <c r="D208" s="3" t="n">
        <v>6</v>
      </c>
      <c r="E208" s="2" t="n">
        <v>84</v>
      </c>
      <c r="F208" s="4" t="n">
        <v>3.50882128585544</v>
      </c>
      <c r="G208" s="2" t="n">
        <v>50</v>
      </c>
      <c r="H208" s="2" t="n">
        <v>64</v>
      </c>
      <c r="I208" s="1" t="n">
        <v>600</v>
      </c>
      <c r="J208" s="2" t="n">
        <v>400</v>
      </c>
      <c r="K208" s="3" t="n">
        <v>1884</v>
      </c>
      <c r="L208" s="4" t="n">
        <v>98400</v>
      </c>
      <c r="M208" s="3" t="n">
        <v>96.251010941285</v>
      </c>
      <c r="N208" s="12" t="n">
        <v>0.0191463414634146</v>
      </c>
      <c r="O208" s="4" t="n">
        <v>103</v>
      </c>
      <c r="P208" s="3" t="n">
        <v>56.9759910016755</v>
      </c>
      <c r="Q208" s="4" t="n">
        <v>0.15</v>
      </c>
      <c r="R208" s="13" t="n">
        <f aca="false">P208/200000</f>
        <v>0.000284879955008378</v>
      </c>
      <c r="V208" s="4" t="n">
        <f aca="false">$W$2*($W$3*$G208+$W$4*$B208^$W$5*$N208^$W$6)*$R208^$W$7</f>
        <v>0.130032864245722</v>
      </c>
      <c r="W208" s="4" t="n">
        <f aca="false">V208/$Q208</f>
        <v>0.866885761638147</v>
      </c>
      <c r="Y208" s="4" t="n">
        <f aca="false">$Z$2*$B208^$Z$3*$R208^$Z$4*($Z$5*$N208^$Z$6+$Z$7)</f>
        <v>0.127589249048793</v>
      </c>
      <c r="Z208" s="4" t="n">
        <f aca="false">Y208/$Q208</f>
        <v>0.850594993658618</v>
      </c>
      <c r="AB208" s="4" t="n">
        <f aca="false">$AC$2*($AC$3+$AC$4*$F208/($N208*'Sem TS MC2020'!P200))*($AC$5*$G208+$AC$6*$B208/$N208)*'Sem TS MC2020'!R200*($J208-$M208)/($J208-$M208-$H208)</f>
        <v>0.133914962387391</v>
      </c>
      <c r="AC208" s="4" t="n">
        <f aca="false">AB208/$Q208</f>
        <v>0.892766415915939</v>
      </c>
      <c r="AD208" s="23" t="n">
        <f aca="false">AB208-$Q208</f>
        <v>-0.0160850376126092</v>
      </c>
      <c r="AE208" s="24" t="n">
        <f aca="false">1/AC208</f>
        <v>1.12011381944071</v>
      </c>
      <c r="AF208" s="24" t="n">
        <f aca="false">AB208*(14.068*'Sem TS MC2020'!$P200^-0.457)/$Q208</f>
        <v>1.17066910607815</v>
      </c>
      <c r="AG208" s="24"/>
      <c r="AO208" s="4" t="n">
        <f aca="false">$AP$2*($AP$3+$AP$4*$F208/($N208*'Sem TS MC2020'!P200))*($AP$5*$G208+$AP$6*$B208/$N208)*('Sem TS MC2020'!P200^$AP$7/200000)*($J208-$M208)/($J208-$M208-$H208)+('Sem TS MC2020'!P200-$C208/$AP$8)*($AP$5*$G208+$AP$6*$B208/$N208)/200000</f>
        <v>0.144564407548712</v>
      </c>
      <c r="AP208" s="4" t="n">
        <f aca="false">AO208/$Q208</f>
        <v>0.963762716991412</v>
      </c>
      <c r="AQ208" s="23" t="n">
        <f aca="false">AO208-$Q208</f>
        <v>-0.00543559245128825</v>
      </c>
    </row>
    <row r="209" customFormat="false" ht="14.25" hidden="false" customHeight="false" outlineLevel="0" collapsed="false">
      <c r="B209" s="2" t="n">
        <v>20</v>
      </c>
      <c r="C209" s="3" t="n">
        <v>430</v>
      </c>
      <c r="D209" s="3" t="n">
        <v>6</v>
      </c>
      <c r="E209" s="2" t="n">
        <v>84</v>
      </c>
      <c r="F209" s="4" t="n">
        <v>3.50882128585544</v>
      </c>
      <c r="G209" s="2" t="n">
        <v>50</v>
      </c>
      <c r="H209" s="2" t="n">
        <v>64</v>
      </c>
      <c r="I209" s="1" t="n">
        <v>600</v>
      </c>
      <c r="J209" s="2" t="n">
        <v>400</v>
      </c>
      <c r="K209" s="3" t="n">
        <v>1884</v>
      </c>
      <c r="L209" s="4" t="n">
        <v>98400</v>
      </c>
      <c r="M209" s="3" t="n">
        <v>96.251010941285</v>
      </c>
      <c r="N209" s="12" t="n">
        <v>0.0191463414634146</v>
      </c>
      <c r="O209" s="4" t="n">
        <v>129</v>
      </c>
      <c r="P209" s="3" t="n">
        <v>112.968616956582</v>
      </c>
      <c r="Q209" s="4" t="n">
        <v>0.23</v>
      </c>
      <c r="R209" s="13" t="n">
        <f aca="false">P209/200000</f>
        <v>0.00056484308478291</v>
      </c>
      <c r="V209" s="4" t="n">
        <f aca="false">$W$2*($W$3*$G209+$W$4*$B209^$W$5*$N209^$W$6)*$R209^$W$7</f>
        <v>0.198365528672106</v>
      </c>
      <c r="W209" s="4" t="n">
        <f aca="false">V209/$Q209</f>
        <v>0.862458820313505</v>
      </c>
      <c r="Y209" s="4" t="n">
        <f aca="false">$Z$2*$B209^$Z$3*$R209^$Z$4*($Z$5*$N209^$Z$6+$Z$7)</f>
        <v>0.196108799742053</v>
      </c>
      <c r="Z209" s="4" t="n">
        <f aca="false">Y209/$Q209</f>
        <v>0.852646955400232</v>
      </c>
      <c r="AB209" s="4" t="n">
        <f aca="false">$AC$2*($AC$3+$AC$4*$F209/($N209*'Sem TS MC2020'!P201))*($AC$5*$G209+$AC$6*$B209/$N209)*'Sem TS MC2020'!R201*($J209-$M209)/($J209-$M209-$H209)</f>
        <v>0.209750572842492</v>
      </c>
      <c r="AC209" s="4" t="n">
        <f aca="false">AB209/$Q209</f>
        <v>0.911959012358659</v>
      </c>
      <c r="AD209" s="23" t="n">
        <f aca="false">AB209-$Q209</f>
        <v>-0.0202494271575085</v>
      </c>
      <c r="AE209" s="24" t="n">
        <f aca="false">1/AC209</f>
        <v>1.09654050943982</v>
      </c>
      <c r="AF209" s="24" t="n">
        <f aca="false">AB209*(14.068*'Sem TS MC2020'!$P201^-0.457)/$Q209</f>
        <v>1.07894360815505</v>
      </c>
      <c r="AG209" s="24"/>
      <c r="AO209" s="4" t="n">
        <f aca="false">$AP$2*($AP$3+$AP$4*$F209/($N209*'Sem TS MC2020'!P201))*($AP$5*$G209+$AP$6*$B209/$N209)*('Sem TS MC2020'!P201^$AP$7/200000)*($J209-$M209)/($J209-$M209-$H209)+('Sem TS MC2020'!P201-$C209/$AP$8)*($AP$5*$G209+$AP$6*$B209/$N209)/200000</f>
        <v>0.226092313696009</v>
      </c>
      <c r="AP209" s="4" t="n">
        <f aca="false">AO209/$Q209</f>
        <v>0.983010059547867</v>
      </c>
      <c r="AQ209" s="23" t="n">
        <f aca="false">AO209-$Q209</f>
        <v>-0.00390768630399055</v>
      </c>
    </row>
    <row r="210" customFormat="false" ht="14.25" hidden="false" customHeight="false" outlineLevel="0" collapsed="false">
      <c r="B210" s="2" t="n">
        <v>20</v>
      </c>
      <c r="C210" s="3" t="n">
        <v>430</v>
      </c>
      <c r="D210" s="3" t="n">
        <v>6</v>
      </c>
      <c r="E210" s="2" t="n">
        <v>84</v>
      </c>
      <c r="F210" s="4" t="n">
        <v>3.50882128585544</v>
      </c>
      <c r="G210" s="2" t="n">
        <v>50</v>
      </c>
      <c r="H210" s="2" t="n">
        <v>64</v>
      </c>
      <c r="I210" s="1" t="n">
        <v>600</v>
      </c>
      <c r="J210" s="2" t="n">
        <v>400</v>
      </c>
      <c r="K210" s="3" t="n">
        <v>1884</v>
      </c>
      <c r="L210" s="4" t="n">
        <v>98400</v>
      </c>
      <c r="M210" s="3" t="n">
        <v>96.251010941285</v>
      </c>
      <c r="N210" s="12" t="n">
        <v>0.0191463414634146</v>
      </c>
      <c r="O210" s="4" t="n">
        <v>155</v>
      </c>
      <c r="P210" s="3" t="n">
        <v>177.025770772034</v>
      </c>
      <c r="Q210" s="4" t="n">
        <v>0.28</v>
      </c>
      <c r="R210" s="13" t="n">
        <f aca="false">P210/200000</f>
        <v>0.000885128853860168</v>
      </c>
      <c r="V210" s="4" t="n">
        <f aca="false">$W$2*($W$3*$G210+$W$4*$B210^$W$5*$N210^$W$6)*$R210^$W$7</f>
        <v>0.261715684778905</v>
      </c>
      <c r="W210" s="4" t="n">
        <f aca="false">V210/$Q210</f>
        <v>0.934698874210376</v>
      </c>
      <c r="Y210" s="4" t="n">
        <f aca="false">$Z$2*$B210^$Z$3*$R210^$Z$4*($Z$5*$N210^$Z$6+$Z$7)</f>
        <v>0.260019844383968</v>
      </c>
      <c r="Z210" s="4" t="n">
        <f aca="false">Y210/$Q210</f>
        <v>0.928642301371314</v>
      </c>
      <c r="AB210" s="4" t="n">
        <f aca="false">$AC$2*($AC$3+$AC$4*$F210/($N210*'Sem TS MC2020'!P202))*($AC$5*$G210+$AC$6*$B210/$N210)*'Sem TS MC2020'!R202*($J210-$M210)/($J210-$M210-$H210)</f>
        <v>0.285586183297592</v>
      </c>
      <c r="AC210" s="4" t="n">
        <f aca="false">AB210/$Q210</f>
        <v>1.01995065463426</v>
      </c>
      <c r="AD210" s="23" t="n">
        <f aca="false">AB210-$Q210</f>
        <v>0.00558618329759208</v>
      </c>
      <c r="AE210" s="24" t="n">
        <f aca="false">1/AC210</f>
        <v>0.980439588382429</v>
      </c>
      <c r="AF210" s="24" t="n">
        <f aca="false">AB210*(14.068*'Sem TS MC2020'!$P202^-0.457)/$Q210</f>
        <v>1.10958480192764</v>
      </c>
      <c r="AG210" s="24"/>
      <c r="AO210" s="4" t="n">
        <f aca="false">$AP$2*($AP$3+$AP$4*$F210/($N210*'Sem TS MC2020'!P202))*($AP$5*$G210+$AP$6*$B210/$N210)*('Sem TS MC2020'!P202^$AP$7/200000)*($J210-$M210)/($J210-$M210-$H210)+('Sem TS MC2020'!P202-$C210/$AP$8)*($AP$5*$G210+$AP$6*$B210/$N210)/200000</f>
        <v>0.303507966116626</v>
      </c>
      <c r="AP210" s="4" t="n">
        <f aca="false">AO210/$Q210</f>
        <v>1.08395702184509</v>
      </c>
      <c r="AQ210" s="23" t="n">
        <f aca="false">AO210-$Q210</f>
        <v>0.0235079661166258</v>
      </c>
    </row>
    <row r="211" customFormat="false" ht="14.25" hidden="false" customHeight="false" outlineLevel="0" collapsed="false">
      <c r="A211" s="1" t="s">
        <v>65</v>
      </c>
      <c r="B211" s="2" t="n">
        <v>20</v>
      </c>
      <c r="C211" s="3" t="n">
        <v>430</v>
      </c>
      <c r="D211" s="3" t="n">
        <v>9</v>
      </c>
      <c r="E211" s="2" t="n">
        <v>45</v>
      </c>
      <c r="F211" s="4" t="n">
        <v>3.50882128585544</v>
      </c>
      <c r="G211" s="2" t="n">
        <v>50</v>
      </c>
      <c r="H211" s="2" t="n">
        <v>64</v>
      </c>
      <c r="I211" s="1" t="n">
        <v>600</v>
      </c>
      <c r="J211" s="2" t="n">
        <v>400</v>
      </c>
      <c r="K211" s="3" t="n">
        <v>2826</v>
      </c>
      <c r="L211" s="4" t="n">
        <v>98400</v>
      </c>
      <c r="M211" s="3" t="n">
        <v>113.550333982961</v>
      </c>
      <c r="N211" s="12" t="n">
        <v>0.028719512195122</v>
      </c>
      <c r="O211" s="4" t="n">
        <v>149</v>
      </c>
      <c r="P211" s="3" t="n">
        <v>90.5801799423233</v>
      </c>
      <c r="Q211" s="4" t="n">
        <v>0.18</v>
      </c>
      <c r="R211" s="13" t="n">
        <f aca="false">P211/200000</f>
        <v>0.000452900899711616</v>
      </c>
      <c r="V211" s="4" t="n">
        <f aca="false">$W$2*($W$3*$G211+$W$4*$B211^$W$5*$N211^$W$6)*$R211^$W$7</f>
        <v>0.146108922623377</v>
      </c>
      <c r="W211" s="4" t="n">
        <f aca="false">V211/$Q211</f>
        <v>0.81171623679654</v>
      </c>
      <c r="Y211" s="4" t="n">
        <f aca="false">$Z$2*$B211^$Z$3*$R211^$Z$4*($Z$5*$N211^$Z$6+$Z$7)</f>
        <v>0.143686084577002</v>
      </c>
      <c r="Z211" s="4" t="n">
        <f aca="false">Y211/$Q211</f>
        <v>0.798256025427789</v>
      </c>
      <c r="AB211" s="4" t="n">
        <f aca="false">$AC$2*($AC$3+$AC$4*$F211/($N211*'Sem TS MC2020'!P203))*($AC$5*$G211+$AC$6*$B211/$N211)*'Sem TS MC2020'!R203*($J211-$M211)/($J211-$M211-$H211)</f>
        <v>0.14073849187619</v>
      </c>
      <c r="AC211" s="4" t="n">
        <f aca="false">AB211/$Q211</f>
        <v>0.78188051042328</v>
      </c>
      <c r="AD211" s="23" t="n">
        <f aca="false">AB211-$Q211</f>
        <v>-0.0392615081238096</v>
      </c>
      <c r="AE211" s="24" t="n">
        <f aca="false">1/AC211</f>
        <v>1.27896780475912</v>
      </c>
      <c r="AF211" s="24" t="n">
        <f aca="false">AB211*(14.068*'Sem TS MC2020'!$P203^-0.457)/$Q211</f>
        <v>1.0333059603613</v>
      </c>
      <c r="AG211" s="24"/>
      <c r="AO211" s="4" t="n">
        <f aca="false">$AP$2*($AP$3+$AP$4*$F211/($N211*'Sem TS MC2020'!P203))*($AP$5*$G211+$AP$6*$B211/$N211)*('Sem TS MC2020'!P203^$AP$7/200000)*($J211-$M211)/($J211-$M211-$H211)+('Sem TS MC2020'!P203-$C211/$AP$8)*($AP$5*$G211+$AP$6*$B211/$N211)/200000</f>
        <v>0.152381885267337</v>
      </c>
      <c r="AP211" s="4" t="n">
        <f aca="false">AO211/$Q211</f>
        <v>0.846566029262986</v>
      </c>
      <c r="AQ211" s="23" t="n">
        <f aca="false">AO211-$Q211</f>
        <v>-0.0276181147326626</v>
      </c>
    </row>
    <row r="212" customFormat="false" ht="14.25" hidden="false" customHeight="false" outlineLevel="0" collapsed="false">
      <c r="B212" s="2" t="n">
        <v>20</v>
      </c>
      <c r="C212" s="3" t="n">
        <v>430</v>
      </c>
      <c r="D212" s="3" t="n">
        <v>9</v>
      </c>
      <c r="E212" s="2" t="n">
        <v>45</v>
      </c>
      <c r="F212" s="4" t="n">
        <v>3.50882128585544</v>
      </c>
      <c r="G212" s="2" t="n">
        <v>50</v>
      </c>
      <c r="H212" s="2" t="n">
        <v>64</v>
      </c>
      <c r="I212" s="1" t="n">
        <v>600</v>
      </c>
      <c r="J212" s="2" t="n">
        <v>400</v>
      </c>
      <c r="K212" s="3" t="n">
        <v>2826</v>
      </c>
      <c r="L212" s="4" t="n">
        <v>98400</v>
      </c>
      <c r="M212" s="3" t="n">
        <v>113.550333982961</v>
      </c>
      <c r="N212" s="12" t="n">
        <v>0.028719512195122</v>
      </c>
      <c r="O212" s="4" t="n">
        <v>186</v>
      </c>
      <c r="P212" s="3" t="n">
        <v>140.611556966765</v>
      </c>
      <c r="Q212" s="4" t="n">
        <v>0.26</v>
      </c>
      <c r="R212" s="13" t="n">
        <f aca="false">P212/200000</f>
        <v>0.000703057784833826</v>
      </c>
      <c r="V212" s="4" t="n">
        <f aca="false">$W$2*($W$3*$G212+$W$4*$B212^$W$5*$N212^$W$6)*$R212^$W$7</f>
        <v>0.191653270363711</v>
      </c>
      <c r="W212" s="4" t="n">
        <f aca="false">V212/$Q212</f>
        <v>0.737127962937349</v>
      </c>
      <c r="Y212" s="4" t="n">
        <f aca="false">$Z$2*$B212^$Z$3*$R212^$Z$4*($Z$5*$N212^$Z$6+$Z$7)</f>
        <v>0.189389140355416</v>
      </c>
      <c r="Z212" s="4" t="n">
        <f aca="false">Y212/$Q212</f>
        <v>0.728419770597754</v>
      </c>
      <c r="AB212" s="4" t="n">
        <f aca="false">$AC$2*($AC$3+$AC$4*$F212/($N212*'Sem TS MC2020'!P204))*($AC$5*$G212+$AC$6*$B212/$N212)*'Sem TS MC2020'!R204*($J212-$M212)/($J212-$M212-$H212)</f>
        <v>0.196733939682637</v>
      </c>
      <c r="AC212" s="4" t="n">
        <f aca="false">AB212/$Q212</f>
        <v>0.756668998779373</v>
      </c>
      <c r="AD212" s="23" t="n">
        <f aca="false">AB212-$Q212</f>
        <v>-0.063266060317363</v>
      </c>
      <c r="AE212" s="24" t="n">
        <f aca="false">1/AC212</f>
        <v>1.32158182985316</v>
      </c>
      <c r="AF212" s="24" t="n">
        <f aca="false">AB212*(14.068*'Sem TS MC2020'!$P204^-0.457)/$Q212</f>
        <v>0.903593705370392</v>
      </c>
      <c r="AG212" s="24"/>
      <c r="AO212" s="4" t="n">
        <f aca="false">$AP$2*($AP$3+$AP$4*$F212/($N212*'Sem TS MC2020'!P204))*($AP$5*$G212+$AP$6*$B212/$N212)*('Sem TS MC2020'!P204^$AP$7/200000)*($J212-$M212)/($J212-$M212-$H212)+('Sem TS MC2020'!P204-$C212/$AP$8)*($AP$5*$G212+$AP$6*$B212/$N212)/200000</f>
        <v>0.209821826235882</v>
      </c>
      <c r="AP212" s="4" t="n">
        <f aca="false">AO212/$Q212</f>
        <v>0.807007023984163</v>
      </c>
      <c r="AQ212" s="23" t="n">
        <f aca="false">AO212-$Q212</f>
        <v>-0.0501781737641176</v>
      </c>
    </row>
    <row r="213" customFormat="false" ht="14.25" hidden="false" customHeight="false" outlineLevel="0" collapsed="false">
      <c r="B213" s="2" t="n">
        <v>20</v>
      </c>
      <c r="C213" s="3" t="n">
        <v>430</v>
      </c>
      <c r="D213" s="3" t="n">
        <v>9</v>
      </c>
      <c r="E213" s="2" t="n">
        <v>45</v>
      </c>
      <c r="F213" s="4" t="n">
        <v>3.50882128585544</v>
      </c>
      <c r="G213" s="2" t="n">
        <v>50</v>
      </c>
      <c r="H213" s="2" t="n">
        <v>64</v>
      </c>
      <c r="I213" s="1" t="n">
        <v>600</v>
      </c>
      <c r="J213" s="2" t="n">
        <v>400</v>
      </c>
      <c r="K213" s="3" t="n">
        <v>2826</v>
      </c>
      <c r="L213" s="4" t="n">
        <v>98400</v>
      </c>
      <c r="M213" s="3" t="n">
        <v>113.550333982961</v>
      </c>
      <c r="N213" s="12" t="n">
        <v>0.028719512195122</v>
      </c>
      <c r="O213" s="4" t="n">
        <v>223</v>
      </c>
      <c r="P213" s="3" t="n">
        <v>197.181217674082</v>
      </c>
      <c r="Q213" s="4" t="n">
        <v>0.34</v>
      </c>
      <c r="R213" s="13" t="n">
        <f aca="false">P213/200000</f>
        <v>0.000985906088370408</v>
      </c>
      <c r="V213" s="4" t="n">
        <f aca="false">$W$2*($W$3*$G213+$W$4*$B213^$W$5*$N213^$W$6)*$R213^$W$7</f>
        <v>0.236112678347646</v>
      </c>
      <c r="W213" s="4" t="n">
        <f aca="false">V213/$Q213</f>
        <v>0.694449053963664</v>
      </c>
      <c r="Y213" s="4" t="n">
        <f aca="false">$Z$2*$B213^$Z$3*$R213^$Z$4*($Z$5*$N213^$Z$6+$Z$7)</f>
        <v>0.234192744325143</v>
      </c>
      <c r="Z213" s="4" t="n">
        <f aca="false">Y213/$Q213</f>
        <v>0.688802189191598</v>
      </c>
      <c r="AB213" s="4" t="n">
        <f aca="false">$AC$2*($AC$3+$AC$4*$F213/($N213*'Sem TS MC2020'!P205))*($AC$5*$G213+$AC$6*$B213/$N213)*'Sem TS MC2020'!R205*($J213-$M213)/($J213-$M213-$H213)</f>
        <v>0.252729387489083</v>
      </c>
      <c r="AC213" s="4" t="n">
        <f aca="false">AB213/$Q213</f>
        <v>0.743321727909069</v>
      </c>
      <c r="AD213" s="23" t="n">
        <f aca="false">AB213-$Q213</f>
        <v>-0.0872706125109166</v>
      </c>
      <c r="AE213" s="24" t="n">
        <f aca="false">1/AC213</f>
        <v>1.34531248375176</v>
      </c>
      <c r="AF213" s="24" t="n">
        <f aca="false">AB213*(14.068*'Sem TS MC2020'!$P205^-0.457)/$Q213</f>
        <v>0.817026563525819</v>
      </c>
      <c r="AG213" s="24"/>
      <c r="AO213" s="4" t="n">
        <f aca="false">$AP$2*($AP$3+$AP$4*$F213/($N213*'Sem TS MC2020'!P205))*($AP$5*$G213+$AP$6*$B213/$N213)*('Sem TS MC2020'!P205^$AP$7/200000)*($J213-$M213)/($J213-$M213-$H213)+('Sem TS MC2020'!P205-$C213/$AP$8)*($AP$5*$G213+$AP$6*$B213/$N213)/200000</f>
        <v>0.264685007964475</v>
      </c>
      <c r="AP213" s="4" t="n">
        <f aca="false">AO213/$Q213</f>
        <v>0.778485317542572</v>
      </c>
      <c r="AQ213" s="23" t="n">
        <f aca="false">AO213-$Q213</f>
        <v>-0.0753149920355255</v>
      </c>
    </row>
    <row r="214" customFormat="false" ht="14.25" hidden="false" customHeight="false" outlineLevel="0" collapsed="false">
      <c r="A214" s="1" t="s">
        <v>66</v>
      </c>
      <c r="B214" s="2" t="n">
        <v>16</v>
      </c>
      <c r="C214" s="3" t="n">
        <v>528</v>
      </c>
      <c r="D214" s="3" t="n">
        <v>2</v>
      </c>
      <c r="E214" s="2" t="n">
        <v>52</v>
      </c>
      <c r="F214" s="4" t="n">
        <v>3.42</v>
      </c>
      <c r="G214" s="2" t="n">
        <v>27</v>
      </c>
      <c r="H214" s="2" t="n">
        <v>35</v>
      </c>
      <c r="I214" s="1" t="n">
        <v>150</v>
      </c>
      <c r="J214" s="2" t="n">
        <v>235</v>
      </c>
      <c r="K214" s="3" t="n">
        <v>402</v>
      </c>
      <c r="L214" s="4" t="n">
        <v>17250</v>
      </c>
      <c r="M214" s="3" t="n">
        <v>69.8404266407112</v>
      </c>
      <c r="N214" s="12" t="n">
        <v>0.023304347826087</v>
      </c>
      <c r="O214" s="4" t="n">
        <v>16.675</v>
      </c>
      <c r="P214" s="3" t="n">
        <v>148.381408652443</v>
      </c>
      <c r="Q214" s="4" t="n">
        <v>0.15</v>
      </c>
      <c r="R214" s="13" t="n">
        <f aca="false">P214/200000</f>
        <v>0.000741907043262214</v>
      </c>
      <c r="V214" s="4" t="n">
        <f aca="false">$W$2*($W$3*$G214+$W$4*$B214^$W$5*$N214^$W$6)*$R214^$W$7</f>
        <v>0.186259517225144</v>
      </c>
      <c r="W214" s="4" t="n">
        <f aca="false">V214/$Q214</f>
        <v>1.24173011483429</v>
      </c>
      <c r="Y214" s="4" t="n">
        <f aca="false">$Z$2*$B214^$Z$3*$R214^$Z$4*($Z$5*$N214^$Z$6+$Z$7)</f>
        <v>0.18275811270502</v>
      </c>
      <c r="Z214" s="4" t="n">
        <f aca="false">Y214/$Q214</f>
        <v>1.21838741803347</v>
      </c>
      <c r="AB214" s="4" t="n">
        <f aca="false">$AC$2*($AC$3+$AC$4*$F214/($N214*'Sem TS MC2020'!P206))*($AC$5*$G214+$AC$6*$B214/$N214)*'Sem TS MC2020'!R206*($J214-$M214)/($J214-$M214-$H214)</f>
        <v>0.162567232720173</v>
      </c>
      <c r="AC214" s="4" t="n">
        <f aca="false">AB214/$Q214</f>
        <v>1.08378155146782</v>
      </c>
      <c r="AD214" s="23" t="n">
        <f aca="false">AB214-$Q214</f>
        <v>0.0125672327201733</v>
      </c>
      <c r="AE214" s="24" t="n">
        <f aca="false">1/AC214</f>
        <v>0.922695167347744</v>
      </c>
      <c r="AF214" s="24" t="n">
        <f aca="false">AB214*(14.068*'Sem TS MC2020'!$P206^-0.457)/$Q214</f>
        <v>1.25843484882133</v>
      </c>
      <c r="AG214" s="24"/>
      <c r="AO214" s="4" t="n">
        <f aca="false">$AP$2*($AP$3+$AP$4*$F214/($N214*'Sem TS MC2020'!P206))*($AP$5*$G214+$AP$6*$B214/$N214)*('Sem TS MC2020'!P206^$AP$7/200000)*($J214-$M214)/($J214-$M214-$H214)+('Sem TS MC2020'!P206-$C214/$AP$8)*($AP$5*$G214+$AP$6*$B214/$N214)/200000</f>
        <v>0.173423925821931</v>
      </c>
      <c r="AP214" s="4" t="n">
        <f aca="false">AO214/$Q214</f>
        <v>1.15615950547954</v>
      </c>
      <c r="AQ214" s="23" t="n">
        <f aca="false">AO214-$Q214</f>
        <v>0.0234239258219313</v>
      </c>
    </row>
    <row r="215" customFormat="false" ht="14.25" hidden="false" customHeight="false" outlineLevel="0" collapsed="false">
      <c r="B215" s="2" t="n">
        <v>16</v>
      </c>
      <c r="C215" s="3" t="n">
        <v>528</v>
      </c>
      <c r="D215" s="3" t="n">
        <v>2</v>
      </c>
      <c r="E215" s="2" t="n">
        <v>52</v>
      </c>
      <c r="F215" s="4" t="n">
        <v>3.42</v>
      </c>
      <c r="G215" s="2" t="n">
        <v>27</v>
      </c>
      <c r="H215" s="2" t="n">
        <v>35</v>
      </c>
      <c r="I215" s="1" t="n">
        <v>150</v>
      </c>
      <c r="J215" s="2" t="n">
        <v>235</v>
      </c>
      <c r="K215" s="3" t="n">
        <v>402</v>
      </c>
      <c r="L215" s="4" t="n">
        <v>17250</v>
      </c>
      <c r="M215" s="3" t="n">
        <v>69.8404266407112</v>
      </c>
      <c r="N215" s="12" t="n">
        <v>0.023304347826087</v>
      </c>
      <c r="O215" s="4" t="n">
        <v>22.425</v>
      </c>
      <c r="P215" s="3" t="n">
        <v>258.397342308967</v>
      </c>
      <c r="Q215" s="4" t="n">
        <v>0.19</v>
      </c>
      <c r="R215" s="13" t="n">
        <f aca="false">P215/200000</f>
        <v>0.00129198671154484</v>
      </c>
      <c r="V215" s="4" t="n">
        <f aca="false">$W$2*($W$3*$G215+$W$4*$B215^$W$5*$N215^$W$6)*$R215^$W$7</f>
        <v>0.262276301018198</v>
      </c>
      <c r="W215" s="4" t="n">
        <f aca="false">V215/$Q215</f>
        <v>1.3804015843063</v>
      </c>
      <c r="Y215" s="4" t="n">
        <f aca="false">$Z$2*$B215^$Z$3*$R215^$Z$4*($Z$5*$N215^$Z$6+$Z$7)</f>
        <v>0.258920976173707</v>
      </c>
      <c r="Z215" s="4" t="n">
        <f aca="false">Y215/$Q215</f>
        <v>1.36274197986162</v>
      </c>
      <c r="AB215" s="4" t="n">
        <f aca="false">$AC$2*($AC$3+$AC$4*$F215/($N215*'Sem TS MC2020'!P207))*($AC$5*$G215+$AC$6*$B215/$N215)*'Sem TS MC2020'!R207*($J215-$M215)/($J215-$M215-$H215)</f>
        <v>0.247522018918417</v>
      </c>
      <c r="AC215" s="4" t="n">
        <f aca="false">AB215/$Q215</f>
        <v>1.30274746799167</v>
      </c>
      <c r="AD215" s="23" t="n">
        <f aca="false">AB215-$Q215</f>
        <v>0.0575220189184168</v>
      </c>
      <c r="AE215" s="24" t="n">
        <f aca="false">1/AC215</f>
        <v>0.76760847713764</v>
      </c>
      <c r="AF215" s="24" t="n">
        <f aca="false">AB215*(14.068*'Sem TS MC2020'!$P207^-0.457)/$Q215</f>
        <v>1.32113920257806</v>
      </c>
      <c r="AG215" s="24"/>
      <c r="AO215" s="4" t="n">
        <f aca="false">$AP$2*($AP$3+$AP$4*$F215/($N215*'Sem TS MC2020'!P207))*($AP$5*$G215+$AP$6*$B215/$N215)*('Sem TS MC2020'!P207^$AP$7/200000)*($J215-$M215)/($J215-$M215-$H215)+('Sem TS MC2020'!P207-$C215/$AP$8)*($AP$5*$G215+$AP$6*$B215/$N215)/200000</f>
        <v>0.257502303142735</v>
      </c>
      <c r="AP215" s="4" t="n">
        <f aca="false">AO215/$Q215</f>
        <v>1.35527527969861</v>
      </c>
      <c r="AQ215" s="23" t="n">
        <f aca="false">AO215-$Q215</f>
        <v>0.0675023031427354</v>
      </c>
    </row>
    <row r="216" customFormat="false" ht="14.25" hidden="false" customHeight="false" outlineLevel="0" collapsed="false">
      <c r="B216" s="2" t="n">
        <v>16</v>
      </c>
      <c r="C216" s="3" t="n">
        <v>528</v>
      </c>
      <c r="D216" s="3" t="n">
        <v>2</v>
      </c>
      <c r="E216" s="2" t="n">
        <v>52</v>
      </c>
      <c r="F216" s="4" t="n">
        <v>3.42</v>
      </c>
      <c r="G216" s="2" t="n">
        <v>27</v>
      </c>
      <c r="H216" s="2" t="n">
        <v>35</v>
      </c>
      <c r="I216" s="1" t="n">
        <v>150</v>
      </c>
      <c r="J216" s="2" t="n">
        <v>235</v>
      </c>
      <c r="K216" s="3" t="n">
        <v>402</v>
      </c>
      <c r="L216" s="4" t="n">
        <v>17250</v>
      </c>
      <c r="M216" s="3" t="n">
        <v>69.8404266407112</v>
      </c>
      <c r="N216" s="12" t="n">
        <v>0.023304347826087</v>
      </c>
      <c r="O216" s="4" t="n">
        <v>25.875</v>
      </c>
      <c r="P216" s="3" t="n">
        <v>324.406902502882</v>
      </c>
      <c r="Q216" s="4" t="n">
        <v>0.22</v>
      </c>
      <c r="R216" s="13" t="n">
        <f aca="false">P216/200000</f>
        <v>0.00162203451251441</v>
      </c>
      <c r="V216" s="4" t="n">
        <f aca="false">$W$2*($W$3*$G216+$W$4*$B216^$W$5*$N216^$W$6)*$R216^$W$7</f>
        <v>0.301800469468982</v>
      </c>
      <c r="W216" s="4" t="n">
        <f aca="false">V216/$Q216</f>
        <v>1.3718203157681</v>
      </c>
      <c r="Y216" s="4" t="n">
        <f aca="false">$Z$2*$B216^$Z$3*$R216^$Z$4*($Z$5*$N216^$Z$6+$Z$7)</f>
        <v>0.298686035995675</v>
      </c>
      <c r="Z216" s="4" t="n">
        <f aca="false">Y216/$Q216</f>
        <v>1.35766379998034</v>
      </c>
      <c r="AB216" s="4" t="n">
        <f aca="false">$AC$2*($AC$3+$AC$4*$F216/($N216*'Sem TS MC2020'!P208))*($AC$5*$G216+$AC$6*$B216/$N216)*'Sem TS MC2020'!R208*($J216-$M216)/($J216-$M216-$H216)</f>
        <v>0.298494890637363</v>
      </c>
      <c r="AC216" s="4" t="n">
        <f aca="false">AB216/$Q216</f>
        <v>1.35679495744256</v>
      </c>
      <c r="AD216" s="23" t="n">
        <f aca="false">AB216-$Q216</f>
        <v>0.0784948906373628</v>
      </c>
      <c r="AE216" s="24" t="n">
        <f aca="false">1/AC216</f>
        <v>0.73703104106822</v>
      </c>
      <c r="AF216" s="24" t="n">
        <f aca="false">AB216*(14.068*'Sem TS MC2020'!$P208^-0.457)/$Q216</f>
        <v>1.28884582610252</v>
      </c>
      <c r="AG216" s="24"/>
      <c r="AO216" s="4" t="n">
        <f aca="false">$AP$2*($AP$3+$AP$4*$F216/($N216*'Sem TS MC2020'!P208))*($AP$5*$G216+$AP$6*$B216/$N216)*('Sem TS MC2020'!P208^$AP$7/200000)*($J216-$M216)/($J216-$M216-$H216)+('Sem TS MC2020'!P208-$C216/$AP$8)*($AP$5*$G216+$AP$6*$B216/$N216)/200000</f>
        <v>0.305615217404576</v>
      </c>
      <c r="AP216" s="4" t="n">
        <f aca="false">AO216/$Q216</f>
        <v>1.38916007911171</v>
      </c>
      <c r="AQ216" s="23" t="n">
        <f aca="false">AO216-$Q216</f>
        <v>0.0856152174045762</v>
      </c>
    </row>
    <row r="217" customFormat="false" ht="14.25" hidden="false" customHeight="false" outlineLevel="0" collapsed="false">
      <c r="B217" s="2" t="n">
        <v>16</v>
      </c>
      <c r="C217" s="3" t="n">
        <v>528</v>
      </c>
      <c r="D217" s="3" t="n">
        <v>2</v>
      </c>
      <c r="E217" s="2" t="n">
        <v>52</v>
      </c>
      <c r="F217" s="4" t="n">
        <v>3.42</v>
      </c>
      <c r="G217" s="2" t="n">
        <v>27</v>
      </c>
      <c r="H217" s="2" t="n">
        <v>35</v>
      </c>
      <c r="I217" s="1" t="n">
        <v>150</v>
      </c>
      <c r="J217" s="2" t="n">
        <v>235</v>
      </c>
      <c r="K217" s="3" t="n">
        <v>402</v>
      </c>
      <c r="L217" s="4" t="n">
        <v>17250</v>
      </c>
      <c r="M217" s="3" t="n">
        <v>69.8404266407112</v>
      </c>
      <c r="N217" s="12" t="n">
        <v>0.023304347826087</v>
      </c>
      <c r="O217" s="4" t="n">
        <v>28.75</v>
      </c>
      <c r="P217" s="3" t="n">
        <v>379.414869331144</v>
      </c>
      <c r="Q217" s="4" t="n">
        <v>0.22</v>
      </c>
      <c r="R217" s="13" t="n">
        <f aca="false">P217/200000</f>
        <v>0.00189707434665572</v>
      </c>
      <c r="V217" s="4" t="n">
        <f aca="false">$W$2*($W$3*$G217+$W$4*$B217^$W$5*$N217^$W$6)*$R217^$W$7</f>
        <v>0.332422858651355</v>
      </c>
      <c r="W217" s="4" t="n">
        <f aca="false">V217/$Q217</f>
        <v>1.5110129938698</v>
      </c>
      <c r="Y217" s="4" t="n">
        <f aca="false">$Z$2*$B217^$Z$3*$R217^$Z$4*($Z$5*$N217^$Z$6+$Z$7)</f>
        <v>0.329559742542217</v>
      </c>
      <c r="Z217" s="4" t="n">
        <f aca="false">Y217/$Q217</f>
        <v>1.49799882973735</v>
      </c>
      <c r="AB217" s="4" t="n">
        <f aca="false">$AC$2*($AC$3+$AC$4*$F217/($N217*'Sem TS MC2020'!P209))*($AC$5*$G217+$AC$6*$B217/$N217)*'Sem TS MC2020'!R209*($J217-$M217)/($J217-$M217-$H217)</f>
        <v>0.340972283736484</v>
      </c>
      <c r="AC217" s="4" t="n">
        <f aca="false">AB217/$Q217</f>
        <v>1.54987401698402</v>
      </c>
      <c r="AD217" s="23" t="n">
        <f aca="false">AB217-$Q217</f>
        <v>0.120972283736484</v>
      </c>
      <c r="AE217" s="24" t="n">
        <f aca="false">1/AC217</f>
        <v>0.645213732885174</v>
      </c>
      <c r="AF217" s="24" t="n">
        <f aca="false">AB217*(14.068*'Sem TS MC2020'!$P209^-0.457)/$Q217</f>
        <v>1.40304620348843</v>
      </c>
      <c r="AG217" s="24"/>
      <c r="AO217" s="4" t="n">
        <f aca="false">$AP$2*($AP$3+$AP$4*$F217/($N217*'Sem TS MC2020'!P209))*($AP$5*$G217+$AP$6*$B217/$N217)*('Sem TS MC2020'!P209^$AP$7/200000)*($J217-$M217)/($J217-$M217-$H217)+('Sem TS MC2020'!P209-$C217/$AP$8)*($AP$5*$G217+$AP$6*$B217/$N217)/200000</f>
        <v>0.344674215667988</v>
      </c>
      <c r="AP217" s="4" t="n">
        <f aca="false">AO217/$Q217</f>
        <v>1.56670098030904</v>
      </c>
      <c r="AQ217" s="23" t="n">
        <f aca="false">AO217-$Q217</f>
        <v>0.124674215667988</v>
      </c>
    </row>
    <row r="218" customFormat="false" ht="14.25" hidden="false" customHeight="false" outlineLevel="0" collapsed="false">
      <c r="B218" s="2" t="n">
        <v>16</v>
      </c>
      <c r="C218" s="3" t="n">
        <v>528</v>
      </c>
      <c r="D218" s="3" t="n">
        <v>2</v>
      </c>
      <c r="E218" s="2" t="n">
        <v>52</v>
      </c>
      <c r="F218" s="4" t="n">
        <v>3.42</v>
      </c>
      <c r="G218" s="2" t="n">
        <v>27</v>
      </c>
      <c r="H218" s="2" t="n">
        <v>35</v>
      </c>
      <c r="I218" s="1" t="n">
        <v>150</v>
      </c>
      <c r="J218" s="2" t="n">
        <v>235</v>
      </c>
      <c r="K218" s="3" t="n">
        <v>402</v>
      </c>
      <c r="L218" s="4" t="n">
        <v>17250</v>
      </c>
      <c r="M218" s="3" t="n">
        <v>69.8404266407112</v>
      </c>
      <c r="N218" s="12" t="n">
        <v>0.023304347826087</v>
      </c>
      <c r="O218" s="4" t="n">
        <v>33.35</v>
      </c>
      <c r="P218" s="3" t="n">
        <v>467.427616256363</v>
      </c>
      <c r="Q218" s="4" t="n">
        <v>0.25</v>
      </c>
      <c r="R218" s="13" t="n">
        <f aca="false">P218/200000</f>
        <v>0.00233713808128182</v>
      </c>
      <c r="V218" s="4" t="n">
        <f aca="false">$W$2*($W$3*$G218+$W$4*$B218^$W$5*$N218^$W$6)*$R218^$W$7</f>
        <v>0.378086431993848</v>
      </c>
      <c r="W218" s="4" t="n">
        <f aca="false">V218/$Q218</f>
        <v>1.51234572797539</v>
      </c>
      <c r="Y218" s="4" t="n">
        <f aca="false">$Z$2*$B218^$Z$3*$R218^$Z$4*($Z$5*$N218^$Z$6+$Z$7)</f>
        <v>0.375691152708181</v>
      </c>
      <c r="Z218" s="4" t="n">
        <f aca="false">Y218/$Q218</f>
        <v>1.50276461083273</v>
      </c>
      <c r="AB218" s="4" t="n">
        <f aca="false">$AC$2*($AC$3+$AC$4*$F218/($N218*'Sem TS MC2020'!P210))*($AC$5*$G218+$AC$6*$B218/$N218)*'Sem TS MC2020'!R210*($J218-$M218)/($J218-$M218-$H218)</f>
        <v>0.408936112695079</v>
      </c>
      <c r="AC218" s="4" t="n">
        <f aca="false">AB218/$Q218</f>
        <v>1.63574445078032</v>
      </c>
      <c r="AD218" s="23" t="n">
        <f aca="false">AB218-$Q218</f>
        <v>0.158936112695079</v>
      </c>
      <c r="AE218" s="24" t="n">
        <f aca="false">1/AC218</f>
        <v>0.611342437703493</v>
      </c>
      <c r="AF218" s="24" t="n">
        <f aca="false">AB218*(14.068*'Sem TS MC2020'!$P210^-0.457)/$Q218</f>
        <v>1.38367383933221</v>
      </c>
      <c r="AG218" s="24"/>
      <c r="AO218" s="4" t="n">
        <f aca="false">$AP$2*($AP$3+$AP$4*$F218/($N218*'Sem TS MC2020'!P210))*($AP$5*$G218+$AP$6*$B218/$N218)*('Sem TS MC2020'!P210^$AP$7/200000)*($J218-$M218)/($J218-$M218-$H218)+('Sem TS MC2020'!P210-$C218/$AP$8)*($AP$5*$G218+$AP$6*$B218/$N218)/200000</f>
        <v>0.405545399385632</v>
      </c>
      <c r="AP218" s="4" t="n">
        <f aca="false">AO218/$Q218</f>
        <v>1.62218159754253</v>
      </c>
      <c r="AQ218" s="23" t="n">
        <f aca="false">AO218-$Q218</f>
        <v>0.155545399385632</v>
      </c>
    </row>
    <row r="219" customFormat="false" ht="14.25" hidden="false" customHeight="false" outlineLevel="0" collapsed="false">
      <c r="B219" s="2" t="n">
        <v>16</v>
      </c>
      <c r="C219" s="3" t="n">
        <v>528</v>
      </c>
      <c r="D219" s="3" t="n">
        <v>2</v>
      </c>
      <c r="E219" s="2" t="n">
        <v>52</v>
      </c>
      <c r="F219" s="4" t="n">
        <v>3.42</v>
      </c>
      <c r="G219" s="2" t="n">
        <v>27</v>
      </c>
      <c r="H219" s="2" t="n">
        <v>35</v>
      </c>
      <c r="I219" s="1" t="n">
        <v>150</v>
      </c>
      <c r="J219" s="2" t="n">
        <v>235</v>
      </c>
      <c r="K219" s="3" t="n">
        <v>402</v>
      </c>
      <c r="L219" s="4" t="n">
        <v>17250</v>
      </c>
      <c r="M219" s="3" t="n">
        <v>69.8404266407112</v>
      </c>
      <c r="N219" s="12" t="n">
        <v>0.023304347826087</v>
      </c>
      <c r="O219" s="4" t="n">
        <v>37.375</v>
      </c>
      <c r="P219" s="3" t="n">
        <v>526.101808707204</v>
      </c>
      <c r="Q219" s="4" t="n">
        <v>0.29</v>
      </c>
      <c r="R219" s="13" t="n">
        <f aca="false">P219/200000</f>
        <v>0.00263050904353602</v>
      </c>
      <c r="V219" s="4" t="n">
        <f aca="false">$W$2*($W$3*$G219+$W$4*$B219^$W$5*$N219^$W$6)*$R219^$W$7</f>
        <v>0.406703014321194</v>
      </c>
      <c r="W219" s="4" t="n">
        <f aca="false">V219/$Q219</f>
        <v>1.40242418731446</v>
      </c>
      <c r="Y219" s="4" t="n">
        <f aca="false">$Z$2*$B219^$Z$3*$R219^$Z$4*($Z$5*$N219^$Z$6+$Z$7)</f>
        <v>0.404652451858705</v>
      </c>
      <c r="Z219" s="4" t="n">
        <f aca="false">Y219/$Q219</f>
        <v>1.3953532822714</v>
      </c>
      <c r="AB219" s="4" t="n">
        <f aca="false">$AC$2*($AC$3+$AC$4*$F219/($N219*'Sem TS MC2020'!P211))*($AC$5*$G219+$AC$6*$B219/$N219)*'Sem TS MC2020'!R211*($J219-$M219)/($J219-$M219-$H219)</f>
        <v>0.46840446303385</v>
      </c>
      <c r="AC219" s="4" t="n">
        <f aca="false">AB219/$Q219</f>
        <v>1.615187803565</v>
      </c>
      <c r="AD219" s="23" t="n">
        <f aca="false">AB219-$Q219</f>
        <v>0.17840446303385</v>
      </c>
      <c r="AE219" s="24" t="n">
        <f aca="false">1/AC219</f>
        <v>0.619123050454459</v>
      </c>
      <c r="AF219" s="24" t="n">
        <f aca="false">AB219*(14.068*'Sem TS MC2020'!$P211^-0.457)/$Q219</f>
        <v>1.29695972487623</v>
      </c>
      <c r="AG219" s="24"/>
      <c r="AO219" s="4" t="n">
        <f aca="false">$AP$2*($AP$3+$AP$4*$F219/($N219*'Sem TS MC2020'!P211))*($AP$5*$G219+$AP$6*$B219/$N219)*('Sem TS MC2020'!P211^$AP$7/200000)*($J219-$M219)/($J219-$M219-$H219)+('Sem TS MC2020'!P211-$C219/$AP$8)*($AP$5*$G219+$AP$6*$B219/$N219)/200000</f>
        <v>0.457426120185758</v>
      </c>
      <c r="AP219" s="4" t="n">
        <f aca="false">AO219/$Q219</f>
        <v>1.57733144891641</v>
      </c>
      <c r="AQ219" s="23" t="n">
        <f aca="false">AO219-$Q219</f>
        <v>0.167426120185758</v>
      </c>
    </row>
    <row r="220" customFormat="false" ht="14.25" hidden="false" customHeight="false" outlineLevel="0" collapsed="false">
      <c r="A220" s="1" t="s">
        <v>67</v>
      </c>
      <c r="B220" s="2" t="n">
        <v>20</v>
      </c>
      <c r="C220" s="3" t="n">
        <v>528</v>
      </c>
      <c r="D220" s="3" t="n">
        <v>2</v>
      </c>
      <c r="E220" s="2" t="n">
        <v>44</v>
      </c>
      <c r="F220" s="4" t="n">
        <v>3.42</v>
      </c>
      <c r="G220" s="2" t="n">
        <v>25</v>
      </c>
      <c r="H220" s="2" t="n">
        <v>35</v>
      </c>
      <c r="I220" s="1" t="n">
        <v>150</v>
      </c>
      <c r="J220" s="2" t="n">
        <v>235</v>
      </c>
      <c r="K220" s="3" t="n">
        <v>628</v>
      </c>
      <c r="L220" s="4" t="n">
        <v>18375</v>
      </c>
      <c r="M220" s="3" t="n">
        <v>82.8238244445564</v>
      </c>
      <c r="N220" s="12" t="n">
        <v>0.0341768707482993</v>
      </c>
      <c r="O220" s="4" t="n">
        <v>29.325</v>
      </c>
      <c r="P220" s="3" t="n">
        <v>217.581792256533</v>
      </c>
      <c r="Q220" s="4" t="n">
        <v>0.17</v>
      </c>
      <c r="R220" s="13" t="n">
        <f aca="false">P220/200000</f>
        <v>0.00108790896128266</v>
      </c>
      <c r="V220" s="4" t="n">
        <f aca="false">$W$2*($W$3*$G220+$W$4*$B220^$W$5*$N220^$W$6)*$R220^$W$7</f>
        <v>0.233620300199854</v>
      </c>
      <c r="W220" s="4" t="n">
        <f aca="false">V220/$Q220</f>
        <v>1.37423705999914</v>
      </c>
      <c r="Y220" s="4" t="n">
        <f aca="false">$Z$2*$B220^$Z$3*$R220^$Z$4*($Z$5*$N220^$Z$6+$Z$7)</f>
        <v>0.232421919502999</v>
      </c>
      <c r="Z220" s="4" t="n">
        <f aca="false">Y220/$Q220</f>
        <v>1.36718776178235</v>
      </c>
      <c r="AB220" s="4" t="n">
        <f aca="false">$AC$2*($AC$3+$AC$4*$F220/($N220*'Sem TS MC2020'!P212))*($AC$5*$G220+$AC$6*$B220/$N220)*'Sem TS MC2020'!R212*($J220-$M220)/($J220-$M220-$H220)</f>
        <v>0.201905867566179</v>
      </c>
      <c r="AC220" s="4" t="n">
        <f aca="false">AB220/$Q220</f>
        <v>1.1876815739187</v>
      </c>
      <c r="AD220" s="23" t="n">
        <f aca="false">AB220-$Q220</f>
        <v>0.0319058675661795</v>
      </c>
      <c r="AE220" s="24" t="n">
        <f aca="false">1/AC220</f>
        <v>0.841976521283011</v>
      </c>
      <c r="AF220" s="24" t="n">
        <f aca="false">AB220*(14.068*'Sem TS MC2020'!$P212^-0.457)/$Q220</f>
        <v>1.29169668754193</v>
      </c>
      <c r="AG220" s="24"/>
      <c r="AO220" s="4" t="n">
        <f aca="false">$AP$2*($AP$3+$AP$4*$F220/($N220*'Sem TS MC2020'!P212))*($AP$5*$G220+$AP$6*$B220/$N220)*('Sem TS MC2020'!P212^$AP$7/200000)*($J220-$M220)/($J220-$M220-$H220)+('Sem TS MC2020'!P212-$C220/$AP$8)*($AP$5*$G220+$AP$6*$B220/$N220)/200000</f>
        <v>0.213090934249486</v>
      </c>
      <c r="AP220" s="4" t="n">
        <f aca="false">AO220/$Q220</f>
        <v>1.2534760838205</v>
      </c>
      <c r="AQ220" s="23" t="n">
        <f aca="false">AO220-$Q220</f>
        <v>0.0430909342494858</v>
      </c>
    </row>
    <row r="221" customFormat="false" ht="14.25" hidden="false" customHeight="false" outlineLevel="0" collapsed="false">
      <c r="B221" s="2" t="n">
        <v>20</v>
      </c>
      <c r="C221" s="3" t="n">
        <v>528</v>
      </c>
      <c r="D221" s="3" t="n">
        <v>2</v>
      </c>
      <c r="E221" s="2" t="n">
        <v>44</v>
      </c>
      <c r="F221" s="4" t="n">
        <v>3.42</v>
      </c>
      <c r="G221" s="2" t="n">
        <v>25</v>
      </c>
      <c r="H221" s="2" t="n">
        <v>35</v>
      </c>
      <c r="I221" s="1" t="n">
        <v>150</v>
      </c>
      <c r="J221" s="2" t="n">
        <v>235</v>
      </c>
      <c r="K221" s="3" t="n">
        <v>628</v>
      </c>
      <c r="L221" s="4" t="n">
        <v>18375</v>
      </c>
      <c r="M221" s="3" t="n">
        <v>82.8238244445564</v>
      </c>
      <c r="N221" s="12" t="n">
        <v>0.0341768707482993</v>
      </c>
      <c r="O221" s="4" t="n">
        <v>33.35</v>
      </c>
      <c r="P221" s="3" t="n">
        <v>264.462650004919</v>
      </c>
      <c r="Q221" s="4" t="n">
        <v>0.19</v>
      </c>
      <c r="R221" s="13" t="n">
        <f aca="false">P221/200000</f>
        <v>0.0013223132500246</v>
      </c>
      <c r="V221" s="4" t="n">
        <f aca="false">$W$2*($W$3*$G221+$W$4*$B221^$W$5*$N221^$W$6)*$R221^$W$7</f>
        <v>0.263509493088955</v>
      </c>
      <c r="W221" s="4" t="n">
        <f aca="false">V221/$Q221</f>
        <v>1.38689206888924</v>
      </c>
      <c r="Y221" s="4" t="n">
        <f aca="false">$Z$2*$B221^$Z$3*$R221^$Z$4*($Z$5*$N221^$Z$6+$Z$7)</f>
        <v>0.262721086331175</v>
      </c>
      <c r="Z221" s="4" t="n">
        <f aca="false">Y221/$Q221</f>
        <v>1.38274255963776</v>
      </c>
      <c r="AB221" s="4" t="n">
        <f aca="false">$AC$2*($AC$3+$AC$4*$F221/($N221*'Sem TS MC2020'!P213))*($AC$5*$G221+$AC$6*$B221/$N221)*'Sem TS MC2020'!R213*($J221-$M221)/($J221-$M221-$H221)</f>
        <v>0.236589304836322</v>
      </c>
      <c r="AC221" s="4" t="n">
        <f aca="false">AB221/$Q221</f>
        <v>1.24520686755959</v>
      </c>
      <c r="AD221" s="23" t="n">
        <f aca="false">AB221-$Q221</f>
        <v>0.0465893048363224</v>
      </c>
      <c r="AE221" s="24" t="n">
        <f aca="false">1/AC221</f>
        <v>0.803079412788529</v>
      </c>
      <c r="AF221" s="24" t="n">
        <f aca="false">AB221*(14.068*'Sem TS MC2020'!$P213^-0.457)/$Q221</f>
        <v>1.27695329116409</v>
      </c>
      <c r="AG221" s="24"/>
      <c r="AO221" s="4" t="n">
        <f aca="false">$AP$2*($AP$3+$AP$4*$F221/($N221*'Sem TS MC2020'!P213))*($AP$5*$G221+$AP$6*$B221/$N221)*('Sem TS MC2020'!P213^$AP$7/200000)*($J221-$M221)/($J221-$M221-$H221)+('Sem TS MC2020'!P213-$C221/$AP$8)*($AP$5*$G221+$AP$6*$B221/$N221)/200000</f>
        <v>0.246254396017291</v>
      </c>
      <c r="AP221" s="4" t="n">
        <f aca="false">AO221/$Q221</f>
        <v>1.29607576851206</v>
      </c>
      <c r="AQ221" s="23" t="n">
        <f aca="false">AO221-$Q221</f>
        <v>0.056254396017291</v>
      </c>
    </row>
    <row r="222" customFormat="false" ht="14.25" hidden="false" customHeight="false" outlineLevel="0" collapsed="false">
      <c r="B222" s="2" t="n">
        <v>20</v>
      </c>
      <c r="C222" s="3" t="n">
        <v>528</v>
      </c>
      <c r="D222" s="3" t="n">
        <v>2</v>
      </c>
      <c r="E222" s="2" t="n">
        <v>44</v>
      </c>
      <c r="F222" s="4" t="n">
        <v>3.42</v>
      </c>
      <c r="G222" s="2" t="n">
        <v>25</v>
      </c>
      <c r="H222" s="2" t="n">
        <v>35</v>
      </c>
      <c r="I222" s="1" t="n">
        <v>150</v>
      </c>
      <c r="J222" s="2" t="n">
        <v>235</v>
      </c>
      <c r="K222" s="3" t="n">
        <v>628</v>
      </c>
      <c r="L222" s="4" t="n">
        <v>18375</v>
      </c>
      <c r="M222" s="3" t="n">
        <v>82.8238244445564</v>
      </c>
      <c r="N222" s="12" t="n">
        <v>0.0341768707482993</v>
      </c>
      <c r="O222" s="4" t="n">
        <v>38.525</v>
      </c>
      <c r="P222" s="3" t="n">
        <v>324.73803853856</v>
      </c>
      <c r="Q222" s="4" t="n">
        <v>0.21</v>
      </c>
      <c r="R222" s="13" t="n">
        <f aca="false">P222/200000</f>
        <v>0.0016236901926928</v>
      </c>
      <c r="V222" s="4" t="n">
        <f aca="false">$W$2*($W$3*$G222+$W$4*$B222^$W$5*$N222^$W$6)*$R222^$W$7</f>
        <v>0.29909794290332</v>
      </c>
      <c r="W222" s="4" t="n">
        <f aca="false">V222/$Q222</f>
        <v>1.42427591858724</v>
      </c>
      <c r="Y222" s="4" t="n">
        <f aca="false">$Z$2*$B222^$Z$3*$R222^$Z$4*($Z$5*$N222^$Z$6+$Z$7)</f>
        <v>0.29887731206612</v>
      </c>
      <c r="Z222" s="4" t="n">
        <f aca="false">Y222/$Q222</f>
        <v>1.42322529555295</v>
      </c>
      <c r="AB222" s="4" t="n">
        <f aca="false">$AC$2*($AC$3+$AC$4*$F222/($N222*'Sem TS MC2020'!P214))*($AC$5*$G222+$AC$6*$B222/$N222)*'Sem TS MC2020'!R214*($J222-$M222)/($J222-$M222-$H222)</f>
        <v>0.281182295612221</v>
      </c>
      <c r="AC222" s="4" t="n">
        <f aca="false">AB222/$Q222</f>
        <v>1.33896331243915</v>
      </c>
      <c r="AD222" s="23" t="n">
        <f aca="false">AB222-$Q222</f>
        <v>0.0711822956122208</v>
      </c>
      <c r="AE222" s="24" t="n">
        <f aca="false">1/AC222</f>
        <v>0.746846452557637</v>
      </c>
      <c r="AF222" s="24" t="n">
        <f aca="false">AB222*(14.068*'Sem TS MC2020'!$P214^-0.457)/$Q222</f>
        <v>1.28550150753727</v>
      </c>
      <c r="AG222" s="24"/>
      <c r="AO222" s="4" t="n">
        <f aca="false">$AP$2*($AP$3+$AP$4*$F222/($N222*'Sem TS MC2020'!P214))*($AP$5*$G222+$AP$6*$B222/$N222)*('Sem TS MC2020'!P214^$AP$7/200000)*($J222-$M222)/($J222-$M222-$H222)+('Sem TS MC2020'!P214-$C222/$AP$8)*($AP$5*$G222+$AP$6*$B222/$N222)/200000</f>
        <v>0.28772309279096</v>
      </c>
      <c r="AP222" s="4" t="n">
        <f aca="false">AO222/$Q222</f>
        <v>1.37010996567124</v>
      </c>
      <c r="AQ222" s="23" t="n">
        <f aca="false">AO222-$Q222</f>
        <v>0.0777230927909595</v>
      </c>
    </row>
    <row r="223" customFormat="false" ht="14.25" hidden="false" customHeight="false" outlineLevel="0" collapsed="false">
      <c r="B223" s="2" t="n">
        <v>20</v>
      </c>
      <c r="C223" s="3" t="n">
        <v>528</v>
      </c>
      <c r="D223" s="3" t="n">
        <v>2</v>
      </c>
      <c r="E223" s="2" t="n">
        <v>44</v>
      </c>
      <c r="F223" s="4" t="n">
        <v>3.42</v>
      </c>
      <c r="G223" s="2" t="n">
        <v>25</v>
      </c>
      <c r="H223" s="2" t="n">
        <v>35</v>
      </c>
      <c r="I223" s="1" t="n">
        <v>150</v>
      </c>
      <c r="J223" s="2" t="n">
        <v>235</v>
      </c>
      <c r="K223" s="3" t="n">
        <v>628</v>
      </c>
      <c r="L223" s="4" t="n">
        <v>18375</v>
      </c>
      <c r="M223" s="3" t="n">
        <v>82.8238244445564</v>
      </c>
      <c r="N223" s="12" t="n">
        <v>0.0341768707482993</v>
      </c>
      <c r="O223" s="4" t="n">
        <v>40.825</v>
      </c>
      <c r="P223" s="3" t="n">
        <v>351.527100109067</v>
      </c>
      <c r="Q223" s="4" t="n">
        <v>0.23</v>
      </c>
      <c r="R223" s="13" t="n">
        <f aca="false">P223/200000</f>
        <v>0.00175763550054533</v>
      </c>
      <c r="V223" s="4" t="n">
        <f aca="false">$W$2*($W$3*$G223+$W$4*$B223^$W$5*$N223^$W$6)*$R223^$W$7</f>
        <v>0.314089957756596</v>
      </c>
      <c r="W223" s="4" t="n">
        <f aca="false">V223/$Q223</f>
        <v>1.3656085119852</v>
      </c>
      <c r="Y223" s="4" t="n">
        <f aca="false">$Z$2*$B223^$Z$3*$R223^$Z$4*($Z$5*$N223^$Z$6+$Z$7)</f>
        <v>0.314132055380548</v>
      </c>
      <c r="Z223" s="4" t="n">
        <f aca="false">Y223/$Q223</f>
        <v>1.36579154513282</v>
      </c>
      <c r="AB223" s="4" t="n">
        <f aca="false">$AC$2*($AC$3+$AC$4*$F223/($N223*'Sem TS MC2020'!P215))*($AC$5*$G223+$AC$6*$B223/$N223)*'Sem TS MC2020'!R215*($J223-$M223)/($J223-$M223-$H223)</f>
        <v>0.301001402623731</v>
      </c>
      <c r="AC223" s="4" t="n">
        <f aca="false">AB223/$Q223</f>
        <v>1.30870175053796</v>
      </c>
      <c r="AD223" s="23" t="n">
        <f aca="false">AB223-$Q223</f>
        <v>0.071001402623731</v>
      </c>
      <c r="AE223" s="24" t="n">
        <f aca="false">1/AC223</f>
        <v>0.764116040640227</v>
      </c>
      <c r="AF223" s="24" t="n">
        <f aca="false">AB223*(14.068*'Sem TS MC2020'!$P215^-0.457)/$Q223</f>
        <v>1.22358942690748</v>
      </c>
      <c r="AG223" s="24"/>
      <c r="AO223" s="4" t="n">
        <f aca="false">$AP$2*($AP$3+$AP$4*$F223/($N223*'Sem TS MC2020'!P215))*($AP$5*$G223+$AP$6*$B223/$N223)*('Sem TS MC2020'!P215^$AP$7/200000)*($J223-$M223)/($J223-$M223-$H223)+('Sem TS MC2020'!P215-$C223/$AP$8)*($AP$5*$G223+$AP$6*$B223/$N223)/200000</f>
        <v>0.305790119764535</v>
      </c>
      <c r="AP223" s="4" t="n">
        <f aca="false">AO223/$Q223</f>
        <v>1.32952225984581</v>
      </c>
      <c r="AQ223" s="23" t="n">
        <f aca="false">AO223-$Q223</f>
        <v>0.0757901197645353</v>
      </c>
    </row>
    <row r="224" customFormat="false" ht="14.25" hidden="false" customHeight="false" outlineLevel="0" collapsed="false">
      <c r="B224" s="2" t="n">
        <v>20</v>
      </c>
      <c r="C224" s="3" t="n">
        <v>528</v>
      </c>
      <c r="D224" s="3" t="n">
        <v>2</v>
      </c>
      <c r="E224" s="2" t="n">
        <v>44</v>
      </c>
      <c r="F224" s="4" t="n">
        <v>3.42</v>
      </c>
      <c r="G224" s="2" t="n">
        <v>25</v>
      </c>
      <c r="H224" s="2" t="n">
        <v>35</v>
      </c>
      <c r="I224" s="1" t="n">
        <v>150</v>
      </c>
      <c r="J224" s="2" t="n">
        <v>235</v>
      </c>
      <c r="K224" s="3" t="n">
        <v>628</v>
      </c>
      <c r="L224" s="4" t="n">
        <v>18375</v>
      </c>
      <c r="M224" s="3" t="n">
        <v>82.8238244445564</v>
      </c>
      <c r="N224" s="12" t="n">
        <v>0.0341768707482993</v>
      </c>
      <c r="O224" s="4" t="n">
        <v>46</v>
      </c>
      <c r="P224" s="3" t="n">
        <v>411.802488642707</v>
      </c>
      <c r="Q224" s="4" t="n">
        <v>0.25</v>
      </c>
      <c r="R224" s="13" t="n">
        <f aca="false">P224/200000</f>
        <v>0.00205901244321354</v>
      </c>
      <c r="V224" s="4" t="n">
        <f aca="false">$W$2*($W$3*$G224+$W$4*$B224^$W$5*$N224^$W$6)*$R224^$W$7</f>
        <v>0.346306431324635</v>
      </c>
      <c r="W224" s="4" t="n">
        <f aca="false">V224/$Q224</f>
        <v>1.38522572529854</v>
      </c>
      <c r="Y224" s="4" t="n">
        <f aca="false">$Z$2*$B224^$Z$3*$R224^$Z$4*($Z$5*$N224^$Z$6+$Z$7)</f>
        <v>0.346956312556142</v>
      </c>
      <c r="Z224" s="4" t="n">
        <f aca="false">Y224/$Q224</f>
        <v>1.38782525022457</v>
      </c>
      <c r="AB224" s="4" t="n">
        <f aca="false">$AC$2*($AC$3+$AC$4*$F224/($N224*'Sem TS MC2020'!P216))*($AC$5*$G224+$AC$6*$B224/$N224)*'Sem TS MC2020'!R216*($J224-$M224)/($J224-$M224-$H224)</f>
        <v>0.345594393399629</v>
      </c>
      <c r="AC224" s="4" t="n">
        <f aca="false">AB224/$Q224</f>
        <v>1.38237757359852</v>
      </c>
      <c r="AD224" s="23" t="n">
        <f aca="false">AB224-$Q224</f>
        <v>0.0955943933996293</v>
      </c>
      <c r="AE224" s="24" t="n">
        <f aca="false">1/AC224</f>
        <v>0.723391365064513</v>
      </c>
      <c r="AF224" s="24" t="n">
        <f aca="false">AB224*(14.068*'Sem TS MC2020'!$P216^-0.457)/$Q224</f>
        <v>1.22386820726233</v>
      </c>
      <c r="AG224" s="24"/>
      <c r="AO224" s="4" t="n">
        <f aca="false">$AP$2*($AP$3+$AP$4*$F224/($N224*'Sem TS MC2020'!P216))*($AP$5*$G224+$AP$6*$B224/$N224)*('Sem TS MC2020'!P216^$AP$7/200000)*($J224-$M224)/($J224-$M224-$H224)+('Sem TS MC2020'!P216-$C224/$AP$8)*($AP$5*$G224+$AP$6*$B224/$N224)/200000</f>
        <v>0.345733642700108</v>
      </c>
      <c r="AP224" s="4" t="n">
        <f aca="false">AO224/$Q224</f>
        <v>1.38293457080043</v>
      </c>
      <c r="AQ224" s="23" t="n">
        <f aca="false">AO224-$Q224</f>
        <v>0.0957336427001082</v>
      </c>
    </row>
    <row r="225" customFormat="false" ht="14.25" hidden="false" customHeight="false" outlineLevel="0" collapsed="false">
      <c r="B225" s="2" t="n">
        <v>20</v>
      </c>
      <c r="C225" s="3" t="n">
        <v>528</v>
      </c>
      <c r="D225" s="3" t="n">
        <v>2</v>
      </c>
      <c r="E225" s="2" t="n">
        <v>44</v>
      </c>
      <c r="F225" s="4" t="n">
        <v>3.42</v>
      </c>
      <c r="G225" s="2" t="n">
        <v>25</v>
      </c>
      <c r="H225" s="2" t="n">
        <v>35</v>
      </c>
      <c r="I225" s="1" t="n">
        <v>150</v>
      </c>
      <c r="J225" s="2" t="n">
        <v>235</v>
      </c>
      <c r="K225" s="3" t="n">
        <v>628</v>
      </c>
      <c r="L225" s="4" t="n">
        <v>18375</v>
      </c>
      <c r="M225" s="3" t="n">
        <v>82.8238244445564</v>
      </c>
      <c r="N225" s="12" t="n">
        <v>0.0341768707482993</v>
      </c>
      <c r="O225" s="4" t="n">
        <v>56.925</v>
      </c>
      <c r="P225" s="3" t="n">
        <v>525.80672936788</v>
      </c>
      <c r="Q225" s="4" t="n">
        <v>0.25</v>
      </c>
      <c r="R225" s="13" t="n">
        <f aca="false">P225/200000</f>
        <v>0.0026290336468394</v>
      </c>
      <c r="V225" s="4" t="n">
        <f aca="false">$W$2*($W$3*$G225+$W$4*$B225^$W$5*$N225^$W$6)*$R225^$W$7</f>
        <v>0.402668069711199</v>
      </c>
      <c r="W225" s="4" t="n">
        <f aca="false">V225/$Q225</f>
        <v>1.6106722788448</v>
      </c>
      <c r="Y225" s="4" t="n">
        <f aca="false">$Z$2*$B225^$Z$3*$R225^$Z$4*($Z$5*$N225^$Z$6+$Z$7)</f>
        <v>0.404509698057385</v>
      </c>
      <c r="Z225" s="4" t="n">
        <f aca="false">Y225/$Q225</f>
        <v>1.61803879222954</v>
      </c>
      <c r="AB225" s="4" t="n">
        <f aca="false">$AC$2*($AC$3+$AC$4*$F225/($N225*'Sem TS MC2020'!P217))*($AC$5*$G225+$AC$6*$B225/$N225)*'Sem TS MC2020'!R217*($J225-$M225)/($J225-$M225-$H225)</f>
        <v>0.439735151704303</v>
      </c>
      <c r="AC225" s="4" t="n">
        <f aca="false">AB225/$Q225</f>
        <v>1.75894060681721</v>
      </c>
      <c r="AD225" s="23" t="n">
        <f aca="false">AB225-$Q225</f>
        <v>0.189735151704303</v>
      </c>
      <c r="AE225" s="24" t="n">
        <f aca="false">1/AC225</f>
        <v>0.568524028681952</v>
      </c>
      <c r="AF225" s="24" t="n">
        <f aca="false">AB225*(14.068*'Sem TS MC2020'!$P217^-0.457)/$Q225</f>
        <v>1.4127521886822</v>
      </c>
      <c r="AG225" s="24"/>
      <c r="AO225" s="4" t="n">
        <f aca="false">$AP$2*($AP$3+$AP$4*$F225/($N225*'Sem TS MC2020'!P217))*($AP$5*$G225+$AP$6*$B225/$N225)*('Sem TS MC2020'!P217^$AP$7/200000)*($J225-$M225)/($J225-$M225-$H225)+('Sem TS MC2020'!P217-$C225/$AP$8)*($AP$5*$G225+$AP$6*$B225/$N225)/200000</f>
        <v>0.427367964801487</v>
      </c>
      <c r="AP225" s="4" t="n">
        <f aca="false">AO225/$Q225</f>
        <v>1.70947185920595</v>
      </c>
      <c r="AQ225" s="23" t="n">
        <f aca="false">AO225-$Q225</f>
        <v>0.177367964801487</v>
      </c>
    </row>
    <row r="226" customFormat="false" ht="14.25" hidden="false" customHeight="false" outlineLevel="0" collapsed="false">
      <c r="A226" s="1" t="s">
        <v>68</v>
      </c>
      <c r="B226" s="2" t="n">
        <v>20</v>
      </c>
      <c r="C226" s="3" t="n">
        <v>528</v>
      </c>
      <c r="D226" s="3" t="n">
        <v>3</v>
      </c>
      <c r="E226" s="2" t="n">
        <v>12</v>
      </c>
      <c r="F226" s="4" t="n">
        <v>3.42</v>
      </c>
      <c r="G226" s="2" t="n">
        <v>25</v>
      </c>
      <c r="H226" s="2" t="n">
        <v>35</v>
      </c>
      <c r="I226" s="1" t="n">
        <v>150</v>
      </c>
      <c r="J226" s="2" t="n">
        <v>235</v>
      </c>
      <c r="K226" s="3" t="n">
        <v>942</v>
      </c>
      <c r="L226" s="4" t="n">
        <v>18375</v>
      </c>
      <c r="M226" s="3" t="n">
        <v>95.7017321457163</v>
      </c>
      <c r="N226" s="12" t="n">
        <v>0.051265306122449</v>
      </c>
      <c r="O226" s="4" t="n">
        <v>39.1</v>
      </c>
      <c r="P226" s="3" t="n">
        <v>203.402157984646</v>
      </c>
      <c r="Q226" s="4" t="n">
        <v>0.18</v>
      </c>
      <c r="R226" s="13" t="n">
        <f aca="false">P226/200000</f>
        <v>0.00101701078992323</v>
      </c>
      <c r="V226" s="4" t="n">
        <f aca="false">$W$2*($W$3*$G226+$W$4*$B226^$W$5*$N226^$W$6)*$R226^$W$7</f>
        <v>0.189196091499573</v>
      </c>
      <c r="W226" s="4" t="n">
        <f aca="false">V226/$Q226</f>
        <v>1.05108939721985</v>
      </c>
      <c r="Y226" s="4" t="n">
        <f aca="false">$Z$2*$B226^$Z$3*$R226^$Z$4*($Z$5*$N226^$Z$6+$Z$7)</f>
        <v>0.191632586880149</v>
      </c>
      <c r="Z226" s="4" t="n">
        <f aca="false">Y226/$Q226</f>
        <v>1.06462548266749</v>
      </c>
      <c r="AB226" s="4" t="n">
        <f aca="false">$AC$2*($AC$3+$AC$4*$F226/($N226*'Sem TS MC2020'!P218))*($AC$5*$G226+$AC$6*$B226/$N226)*'Sem TS MC2020'!R218*($J226-$M226)/($J226-$M226-$H226)</f>
        <v>0.150392115603302</v>
      </c>
      <c r="AC226" s="4" t="n">
        <f aca="false">AB226/$Q226</f>
        <v>0.83551175335168</v>
      </c>
      <c r="AD226" s="23" t="n">
        <f aca="false">AB226-$Q226</f>
        <v>-0.0296078843966976</v>
      </c>
      <c r="AE226" s="24" t="n">
        <f aca="false">1/AC226</f>
        <v>1.19687125404098</v>
      </c>
      <c r="AF226" s="24" t="n">
        <f aca="false">AB226*(14.068*'Sem TS MC2020'!$P218^-0.457)/$Q226</f>
        <v>0.947949432754833</v>
      </c>
      <c r="AG226" s="24"/>
      <c r="AO226" s="4" t="n">
        <f aca="false">$AP$2*($AP$3+$AP$4*$F226/($N226*'Sem TS MC2020'!P218))*($AP$5*$G226+$AP$6*$B226/$N226)*('Sem TS MC2020'!P218^$AP$7/200000)*($J226-$M226)/($J226-$M226-$H226)+('Sem TS MC2020'!P218-$C226/$AP$8)*($AP$5*$G226+$AP$6*$B226/$N226)/200000</f>
        <v>0.15779083010308</v>
      </c>
      <c r="AP226" s="4" t="n">
        <f aca="false">AO226/$Q226</f>
        <v>0.876615722794888</v>
      </c>
      <c r="AQ226" s="23" t="n">
        <f aca="false">AO226-$Q226</f>
        <v>-0.0222091698969202</v>
      </c>
    </row>
    <row r="227" customFormat="false" ht="14.25" hidden="false" customHeight="false" outlineLevel="0" collapsed="false">
      <c r="B227" s="2" t="n">
        <v>20</v>
      </c>
      <c r="C227" s="3" t="n">
        <v>528</v>
      </c>
      <c r="D227" s="3" t="n">
        <v>3</v>
      </c>
      <c r="E227" s="2" t="n">
        <v>12</v>
      </c>
      <c r="F227" s="4" t="n">
        <v>3.42</v>
      </c>
      <c r="G227" s="2" t="n">
        <v>25</v>
      </c>
      <c r="H227" s="2" t="n">
        <v>35</v>
      </c>
      <c r="I227" s="1" t="n">
        <v>150</v>
      </c>
      <c r="J227" s="2" t="n">
        <v>235</v>
      </c>
      <c r="K227" s="3" t="n">
        <v>942</v>
      </c>
      <c r="L227" s="4" t="n">
        <v>18375</v>
      </c>
      <c r="M227" s="3" t="n">
        <v>95.7017321457163</v>
      </c>
      <c r="N227" s="12" t="n">
        <v>0.051265306122449</v>
      </c>
      <c r="O227" s="4" t="n">
        <v>44.85</v>
      </c>
      <c r="P227" s="3" t="n">
        <v>246.641129901166</v>
      </c>
      <c r="Q227" s="4" t="n">
        <v>0.19</v>
      </c>
      <c r="R227" s="13" t="n">
        <f aca="false">P227/200000</f>
        <v>0.00123320564950583</v>
      </c>
      <c r="V227" s="4" t="n">
        <f aca="false">$W$2*($W$3*$G227+$W$4*$B227^$W$5*$N227^$W$6)*$R227^$W$7</f>
        <v>0.213089081005033</v>
      </c>
      <c r="W227" s="4" t="n">
        <f aca="false">V227/$Q227</f>
        <v>1.12152147897386</v>
      </c>
      <c r="Y227" s="4" t="n">
        <f aca="false">$Z$2*$B227^$Z$3*$R227^$Z$4*($Z$5*$N227^$Z$6+$Z$7)</f>
        <v>0.216291378098838</v>
      </c>
      <c r="Z227" s="4" t="n">
        <f aca="false">Y227/$Q227</f>
        <v>1.13837567420441</v>
      </c>
      <c r="AB227" s="4" t="n">
        <f aca="false">$AC$2*($AC$3+$AC$4*$F227/($N227*'Sem TS MC2020'!P219))*($AC$5*$G227+$AC$6*$B227/$N227)*'Sem TS MC2020'!R219*($J227-$M227)/($J227-$M227-$H227)</f>
        <v>0.176319566101482</v>
      </c>
      <c r="AC227" s="4" t="n">
        <f aca="false">AB227/$Q227</f>
        <v>0.92799771632359</v>
      </c>
      <c r="AD227" s="23" t="n">
        <f aca="false">AB227-$Q227</f>
        <v>-0.0136804338985179</v>
      </c>
      <c r="AE227" s="24" t="n">
        <f aca="false">1/AC227</f>
        <v>1.07758885868993</v>
      </c>
      <c r="AF227" s="24" t="n">
        <f aca="false">AB227*(14.068*'Sem TS MC2020'!$P219^-0.457)/$Q227</f>
        <v>0.988891979648702</v>
      </c>
      <c r="AG227" s="24"/>
      <c r="AO227" s="4" t="n">
        <f aca="false">$AP$2*($AP$3+$AP$4*$F227/($N227*'Sem TS MC2020'!P219))*($AP$5*$G227+$AP$6*$B227/$N227)*('Sem TS MC2020'!P219^$AP$7/200000)*($J227-$M227)/($J227-$M227-$H227)+('Sem TS MC2020'!P219-$C227/$AP$8)*($AP$5*$G227+$AP$6*$B227/$N227)/200000</f>
        <v>0.182215096189737</v>
      </c>
      <c r="AP227" s="4" t="n">
        <f aca="false">AO227/$Q227</f>
        <v>0.959026822051246</v>
      </c>
      <c r="AQ227" s="23" t="n">
        <f aca="false">AO227-$Q227</f>
        <v>-0.00778490381026337</v>
      </c>
    </row>
    <row r="228" customFormat="false" ht="14.25" hidden="false" customHeight="false" outlineLevel="0" collapsed="false">
      <c r="B228" s="2" t="n">
        <v>20</v>
      </c>
      <c r="C228" s="3" t="n">
        <v>528</v>
      </c>
      <c r="D228" s="3" t="n">
        <v>3</v>
      </c>
      <c r="E228" s="2" t="n">
        <v>12</v>
      </c>
      <c r="F228" s="4" t="n">
        <v>3.42</v>
      </c>
      <c r="G228" s="2" t="n">
        <v>25</v>
      </c>
      <c r="H228" s="2" t="n">
        <v>35</v>
      </c>
      <c r="I228" s="1" t="n">
        <v>150</v>
      </c>
      <c r="J228" s="2" t="n">
        <v>235</v>
      </c>
      <c r="K228" s="3" t="n">
        <v>942</v>
      </c>
      <c r="L228" s="4" t="n">
        <v>18375</v>
      </c>
      <c r="M228" s="3" t="n">
        <v>95.7017321457163</v>
      </c>
      <c r="N228" s="12" t="n">
        <v>0.051265306122449</v>
      </c>
      <c r="O228" s="4" t="n">
        <v>50.025</v>
      </c>
      <c r="P228" s="3" t="n">
        <v>285.556204626033</v>
      </c>
      <c r="Q228" s="4" t="n">
        <v>0.21</v>
      </c>
      <c r="R228" s="13" t="n">
        <f aca="false">P228/200000</f>
        <v>0.00142778102313016</v>
      </c>
      <c r="V228" s="4" t="n">
        <f aca="false">$W$2*($W$3*$G228+$W$4*$B228^$W$5*$N228^$W$6)*$R228^$W$7</f>
        <v>0.233248306884743</v>
      </c>
      <c r="W228" s="4" t="n">
        <f aca="false">V228/$Q228</f>
        <v>1.11070622326068</v>
      </c>
      <c r="Y228" s="4" t="n">
        <f aca="false">$Z$2*$B228^$Z$3*$R228^$Z$4*($Z$5*$N228^$Z$6+$Z$7)</f>
        <v>0.237135403992654</v>
      </c>
      <c r="Z228" s="4" t="n">
        <f aca="false">Y228/$Q228</f>
        <v>1.12921620948883</v>
      </c>
      <c r="AB228" s="4" t="n">
        <f aca="false">$AC$2*($AC$3+$AC$4*$F228/($N228*'Sem TS MC2020'!P220))*($AC$5*$G228+$AC$6*$B228/$N228)*'Sem TS MC2020'!R220*($J228-$M228)/($J228-$M228-$H228)</f>
        <v>0.199654271549844</v>
      </c>
      <c r="AC228" s="4" t="n">
        <f aca="false">AB228/$Q228</f>
        <v>0.950734626427828</v>
      </c>
      <c r="AD228" s="23" t="n">
        <f aca="false">AB228-$Q228</f>
        <v>-0.0103457284501562</v>
      </c>
      <c r="AE228" s="24" t="n">
        <f aca="false">1/AC228</f>
        <v>1.05181821741076</v>
      </c>
      <c r="AF228" s="24" t="n">
        <f aca="false">AB228*(14.068*'Sem TS MC2020'!$P220^-0.457)/$Q228</f>
        <v>0.963802822052169</v>
      </c>
      <c r="AG228" s="24"/>
      <c r="AO228" s="4" t="n">
        <f aca="false">$AP$2*($AP$3+$AP$4*$F228/($N228*'Sem TS MC2020'!P220))*($AP$5*$G228+$AP$6*$B228/$N228)*('Sem TS MC2020'!P220^$AP$7/200000)*($J228-$M228)/($J228-$M228-$H228)+('Sem TS MC2020'!P220-$C228/$AP$8)*($AP$5*$G228+$AP$6*$B228/$N228)/200000</f>
        <v>0.203677741793669</v>
      </c>
      <c r="AP228" s="4" t="n">
        <f aca="false">AO228/$Q228</f>
        <v>0.969894008541283</v>
      </c>
      <c r="AQ228" s="23" t="n">
        <f aca="false">AO228-$Q228</f>
        <v>-0.00632225820633053</v>
      </c>
    </row>
    <row r="229" customFormat="false" ht="14.25" hidden="false" customHeight="false" outlineLevel="0" collapsed="false">
      <c r="B229" s="2" t="n">
        <v>20</v>
      </c>
      <c r="C229" s="3" t="n">
        <v>528</v>
      </c>
      <c r="D229" s="3" t="n">
        <v>3</v>
      </c>
      <c r="E229" s="2" t="n">
        <v>12</v>
      </c>
      <c r="F229" s="4" t="n">
        <v>3.42</v>
      </c>
      <c r="G229" s="2" t="n">
        <v>25</v>
      </c>
      <c r="H229" s="2" t="n">
        <v>35</v>
      </c>
      <c r="I229" s="1" t="n">
        <v>150</v>
      </c>
      <c r="J229" s="2" t="n">
        <v>235</v>
      </c>
      <c r="K229" s="3" t="n">
        <v>942</v>
      </c>
      <c r="L229" s="4" t="n">
        <v>18375</v>
      </c>
      <c r="M229" s="3" t="n">
        <v>95.7017321457163</v>
      </c>
      <c r="N229" s="12" t="n">
        <v>0.051265306122449</v>
      </c>
      <c r="O229" s="4" t="n">
        <v>56.35</v>
      </c>
      <c r="P229" s="3" t="n">
        <v>333.119073734204</v>
      </c>
      <c r="Q229" s="4" t="n">
        <v>0.23</v>
      </c>
      <c r="R229" s="13" t="n">
        <f aca="false">P229/200000</f>
        <v>0.00166559536867102</v>
      </c>
      <c r="V229" s="4" t="n">
        <f aca="false">$W$2*($W$3*$G229+$W$4*$B229^$W$5*$N229^$W$6)*$R229^$W$7</f>
        <v>0.25650785781651</v>
      </c>
      <c r="W229" s="4" t="n">
        <f aca="false">V229/$Q229</f>
        <v>1.11525155572396</v>
      </c>
      <c r="Y229" s="4" t="n">
        <f aca="false">$Z$2*$B229^$Z$3*$R229^$Z$4*($Z$5*$N229^$Z$6+$Z$7)</f>
        <v>0.261224892475132</v>
      </c>
      <c r="Z229" s="4" t="n">
        <f aca="false">Y229/$Q229</f>
        <v>1.13576040206579</v>
      </c>
      <c r="AB229" s="4" t="n">
        <f aca="false">$AC$2*($AC$3+$AC$4*$F229/($N229*'Sem TS MC2020'!P221))*($AC$5*$G229+$AC$6*$B229/$N229)*'Sem TS MC2020'!R221*($J229-$M229)/($J229-$M229-$H229)</f>
        <v>0.228174467097841</v>
      </c>
      <c r="AC229" s="4" t="n">
        <f aca="false">AB229/$Q229</f>
        <v>0.992062900425397</v>
      </c>
      <c r="AD229" s="23" t="n">
        <f aca="false">AB229-$Q229</f>
        <v>-0.00182553290215862</v>
      </c>
      <c r="AE229" s="24" t="n">
        <f aca="false">1/AC229</f>
        <v>1.00800060114253</v>
      </c>
      <c r="AF229" s="24" t="n">
        <f aca="false">AB229*(14.068*'Sem TS MC2020'!$P221^-0.457)/$Q229</f>
        <v>0.952440979163205</v>
      </c>
      <c r="AG229" s="24"/>
      <c r="AO229" s="4" t="n">
        <f aca="false">$AP$2*($AP$3+$AP$4*$F229/($N229*'Sem TS MC2020'!P221))*($AP$5*$G229+$AP$6*$B229/$N229)*('Sem TS MC2020'!P221^$AP$7/200000)*($J229-$M229)/($J229-$M229-$H229)+('Sem TS MC2020'!P221-$C229/$AP$8)*($AP$5*$G229+$AP$6*$B229/$N229)/200000</f>
        <v>0.22934169693424</v>
      </c>
      <c r="AP229" s="4" t="n">
        <f aca="false">AO229/$Q229</f>
        <v>0.997137812757563</v>
      </c>
      <c r="AQ229" s="23" t="n">
        <f aca="false">AO229-$Q229</f>
        <v>-0.000658303065760452</v>
      </c>
    </row>
    <row r="230" customFormat="false" ht="14.25" hidden="false" customHeight="false" outlineLevel="0" collapsed="false">
      <c r="B230" s="2" t="n">
        <v>20</v>
      </c>
      <c r="C230" s="3" t="n">
        <v>528</v>
      </c>
      <c r="D230" s="3" t="n">
        <v>3</v>
      </c>
      <c r="E230" s="2" t="n">
        <v>12</v>
      </c>
      <c r="F230" s="4" t="n">
        <v>3.42</v>
      </c>
      <c r="G230" s="2" t="n">
        <v>25</v>
      </c>
      <c r="H230" s="2" t="n">
        <v>35</v>
      </c>
      <c r="I230" s="1" t="n">
        <v>150</v>
      </c>
      <c r="J230" s="2" t="n">
        <v>235</v>
      </c>
      <c r="K230" s="3" t="n">
        <v>942</v>
      </c>
      <c r="L230" s="4" t="n">
        <v>18375</v>
      </c>
      <c r="M230" s="3" t="n">
        <v>95.7017321457163</v>
      </c>
      <c r="N230" s="12" t="n">
        <v>0.051265306122449</v>
      </c>
      <c r="O230" s="4" t="n">
        <v>62.675</v>
      </c>
      <c r="P230" s="3" t="n">
        <v>380.681942842375</v>
      </c>
      <c r="Q230" s="4" t="n">
        <v>0.25</v>
      </c>
      <c r="R230" s="13" t="n">
        <f aca="false">P230/200000</f>
        <v>0.00190340971421188</v>
      </c>
      <c r="V230" s="4" t="n">
        <f aca="false">$W$2*($W$3*$G230+$W$4*$B230^$W$5*$N230^$W$6)*$R230^$W$7</f>
        <v>0.278524694840677</v>
      </c>
      <c r="W230" s="4" t="n">
        <f aca="false">V230/$Q230</f>
        <v>1.11409877936271</v>
      </c>
      <c r="Y230" s="4" t="n">
        <f aca="false">$Z$2*$B230^$Z$3*$R230^$Z$4*($Z$5*$N230^$Z$6+$Z$7)</f>
        <v>0.284063335949051</v>
      </c>
      <c r="Z230" s="4" t="n">
        <f aca="false">Y230/$Q230</f>
        <v>1.1362533437962</v>
      </c>
      <c r="AB230" s="4" t="n">
        <f aca="false">$AC$2*($AC$3+$AC$4*$F230/($N230*'Sem TS MC2020'!P222))*($AC$5*$G230+$AC$6*$B230/$N230)*'Sem TS MC2020'!R222*($J230-$M230)/($J230-$M230-$H230)</f>
        <v>0.256694662645839</v>
      </c>
      <c r="AC230" s="4" t="n">
        <f aca="false">AB230/$Q230</f>
        <v>1.02677865058336</v>
      </c>
      <c r="AD230" s="23" t="n">
        <f aca="false">AB230-$Q230</f>
        <v>0.00669466264583907</v>
      </c>
      <c r="AE230" s="24" t="n">
        <f aca="false">1/AC230</f>
        <v>0.973919743492775</v>
      </c>
      <c r="AF230" s="24" t="n">
        <f aca="false">AB230*(14.068*'Sem TS MC2020'!$P222^-0.457)/$Q230</f>
        <v>0.93899245135914</v>
      </c>
      <c r="AG230" s="24"/>
      <c r="AO230" s="4" t="n">
        <f aca="false">$AP$2*($AP$3+$AP$4*$F230/($N230*'Sem TS MC2020'!P222))*($AP$5*$G230+$AP$6*$B230/$N230)*('Sem TS MC2020'!P222^$AP$7/200000)*($J230-$M230)/($J230-$M230-$H230)+('Sem TS MC2020'!P222-$C230/$AP$8)*($AP$5*$G230+$AP$6*$B230/$N230)/200000</f>
        <v>0.254466035040815</v>
      </c>
      <c r="AP230" s="4" t="n">
        <f aca="false">AO230/$Q230</f>
        <v>1.01786414016326</v>
      </c>
      <c r="AQ230" s="23" t="n">
        <f aca="false">AO230-$Q230</f>
        <v>0.004466035040815</v>
      </c>
    </row>
    <row r="231" customFormat="false" ht="14.25" hidden="false" customHeight="false" outlineLevel="0" collapsed="false">
      <c r="B231" s="2" t="n">
        <v>20</v>
      </c>
      <c r="C231" s="3" t="n">
        <v>528</v>
      </c>
      <c r="D231" s="3" t="n">
        <v>3</v>
      </c>
      <c r="E231" s="2" t="n">
        <v>12</v>
      </c>
      <c r="F231" s="4" t="n">
        <v>3.42</v>
      </c>
      <c r="G231" s="2" t="n">
        <v>25</v>
      </c>
      <c r="H231" s="2" t="n">
        <v>35</v>
      </c>
      <c r="I231" s="1" t="n">
        <v>150</v>
      </c>
      <c r="J231" s="2" t="n">
        <v>235</v>
      </c>
      <c r="K231" s="3" t="n">
        <v>942</v>
      </c>
      <c r="L231" s="4" t="n">
        <v>18375</v>
      </c>
      <c r="M231" s="3" t="n">
        <v>95.7017321457163</v>
      </c>
      <c r="N231" s="12" t="n">
        <v>0.051265306122449</v>
      </c>
      <c r="O231" s="4" t="n">
        <v>68.425</v>
      </c>
      <c r="P231" s="3" t="n">
        <v>423.920914758895</v>
      </c>
      <c r="Q231" s="4" t="n">
        <v>0.29</v>
      </c>
      <c r="R231" s="13" t="n">
        <f aca="false">P231/200000</f>
        <v>0.00211960457379447</v>
      </c>
      <c r="V231" s="4" t="n">
        <f aca="false">$W$2*($W$3*$G231+$W$4*$B231^$W$5*$N231^$W$6)*$R231^$W$7</f>
        <v>0.297640160898663</v>
      </c>
      <c r="W231" s="4" t="n">
        <f aca="false">V231/$Q231</f>
        <v>1.02634538240918</v>
      </c>
      <c r="Y231" s="4" t="n">
        <f aca="false">$Z$2*$B231^$Z$3*$R231^$Z$4*($Z$5*$N231^$Z$6+$Z$7)</f>
        <v>0.303918372407168</v>
      </c>
      <c r="Z231" s="4" t="n">
        <f aca="false">Y231/$Q231</f>
        <v>1.04799438761092</v>
      </c>
      <c r="AB231" s="4" t="n">
        <f aca="false">$AC$2*($AC$3+$AC$4*$F231/($N231*'Sem TS MC2020'!P223))*($AC$5*$G231+$AC$6*$B231/$N231)*'Sem TS MC2020'!R223*($J231-$M231)/($J231-$M231-$H231)</f>
        <v>0.282622113144019</v>
      </c>
      <c r="AC231" s="4" t="n">
        <f aca="false">AB231/$Q231</f>
        <v>0.974559010841444</v>
      </c>
      <c r="AD231" s="23" t="n">
        <f aca="false">AB231-$Q231</f>
        <v>-0.00737788685598118</v>
      </c>
      <c r="AE231" s="24" t="n">
        <f aca="false">1/AC231</f>
        <v>1.0261051294745</v>
      </c>
      <c r="AF231" s="24" t="n">
        <f aca="false">AB231*(14.068*'Sem TS MC2020'!$P223^-0.457)/$Q231</f>
        <v>0.856194355763229</v>
      </c>
      <c r="AG231" s="24"/>
      <c r="AO231" s="4" t="n">
        <f aca="false">$AP$2*($AP$3+$AP$4*$F231/($N231*'Sem TS MC2020'!P223))*($AP$5*$G231+$AP$6*$B231/$N231)*('Sem TS MC2020'!P223^$AP$7/200000)*($J231-$M231)/($J231-$M231-$H231)+('Sem TS MC2020'!P223-$C231/$AP$8)*($AP$5*$G231+$AP$6*$B231/$N231)/200000</f>
        <v>0.276897483981498</v>
      </c>
      <c r="AP231" s="4" t="n">
        <f aca="false">AO231/$Q231</f>
        <v>0.954818910281029</v>
      </c>
      <c r="AQ231" s="23" t="n">
        <f aca="false">AO231-$Q231</f>
        <v>-0.0131025160185017</v>
      </c>
    </row>
    <row r="232" customFormat="false" ht="14.25" hidden="false" customHeight="false" outlineLevel="0" collapsed="false">
      <c r="B232" s="2" t="n">
        <v>20</v>
      </c>
      <c r="C232" s="3" t="n">
        <v>528</v>
      </c>
      <c r="D232" s="3" t="n">
        <v>3</v>
      </c>
      <c r="E232" s="2" t="n">
        <v>12</v>
      </c>
      <c r="F232" s="4" t="n">
        <v>3.42</v>
      </c>
      <c r="G232" s="2" t="n">
        <v>25</v>
      </c>
      <c r="H232" s="2" t="n">
        <v>35</v>
      </c>
      <c r="I232" s="1" t="n">
        <v>150</v>
      </c>
      <c r="J232" s="2" t="n">
        <v>235</v>
      </c>
      <c r="K232" s="3" t="n">
        <v>942</v>
      </c>
      <c r="L232" s="4" t="n">
        <v>18375</v>
      </c>
      <c r="M232" s="3" t="n">
        <v>95.7017321457163</v>
      </c>
      <c r="N232" s="12" t="n">
        <v>0.051265306122449</v>
      </c>
      <c r="O232" s="4" t="n">
        <v>74.175</v>
      </c>
      <c r="P232" s="3" t="n">
        <v>467.159886675414</v>
      </c>
      <c r="Q232" s="4" t="n">
        <v>0.31</v>
      </c>
      <c r="R232" s="13" t="n">
        <f aca="false">P232/200000</f>
        <v>0.00233579943337707</v>
      </c>
      <c r="V232" s="4" t="n">
        <f aca="false">$W$2*($W$3*$G232+$W$4*$B232^$W$5*$N232^$W$6)*$R232^$W$7</f>
        <v>0.31602178588391</v>
      </c>
      <c r="W232" s="4" t="n">
        <f aca="false">V232/$Q232</f>
        <v>1.01942511575455</v>
      </c>
      <c r="Y232" s="4" t="n">
        <f aca="false">$Z$2*$B232^$Z$3*$R232^$Z$4*($Z$5*$N232^$Z$6+$Z$7)</f>
        <v>0.32303266091138</v>
      </c>
      <c r="Z232" s="4" t="n">
        <f aca="false">Y232/$Q232</f>
        <v>1.04204084164961</v>
      </c>
      <c r="AB232" s="4" t="n">
        <f aca="false">$AC$2*($AC$3+$AC$4*$F232/($N232*'Sem TS MC2020'!P224))*($AC$5*$G232+$AC$6*$B232/$N232)*'Sem TS MC2020'!R224*($J232-$M232)/($J232-$M232-$H232)</f>
        <v>0.308549563642199</v>
      </c>
      <c r="AC232" s="4" t="n">
        <f aca="false">AB232/$Q232</f>
        <v>0.99532117303935</v>
      </c>
      <c r="AD232" s="23" t="n">
        <f aca="false">AB232-$Q232</f>
        <v>-0.00145043635780151</v>
      </c>
      <c r="AE232" s="24" t="n">
        <f aca="false">1/AC232</f>
        <v>1.00470082129004</v>
      </c>
      <c r="AF232" s="24" t="n">
        <f aca="false">AB232*(14.068*'Sem TS MC2020'!$P224^-0.457)/$Q232</f>
        <v>0.842777486638019</v>
      </c>
      <c r="AG232" s="24"/>
      <c r="AO232" s="4" t="n">
        <f aca="false">$AP$2*($AP$3+$AP$4*$F232/($N232*'Sem TS MC2020'!P224))*($AP$5*$G232+$AP$6*$B232/$N232)*('Sem TS MC2020'!P224^$AP$7/200000)*($J232-$M232)/($J232-$M232-$H232)+('Sem TS MC2020'!P224-$C232/$AP$8)*($AP$5*$G232+$AP$6*$B232/$N232)/200000</f>
        <v>0.298982948048125</v>
      </c>
      <c r="AP232" s="4" t="n">
        <f aca="false">AO232/$Q232</f>
        <v>0.964461122735889</v>
      </c>
      <c r="AQ232" s="23" t="n">
        <f aca="false">AO232-$Q232</f>
        <v>-0.0110170519518746</v>
      </c>
    </row>
    <row r="233" customFormat="false" ht="14.25" hidden="false" customHeight="false" outlineLevel="0" collapsed="false">
      <c r="B233" s="2" t="n">
        <v>20</v>
      </c>
      <c r="C233" s="3" t="n">
        <v>528</v>
      </c>
      <c r="D233" s="3" t="n">
        <v>3</v>
      </c>
      <c r="E233" s="2" t="n">
        <v>12</v>
      </c>
      <c r="F233" s="4" t="n">
        <v>3.42</v>
      </c>
      <c r="G233" s="2" t="n">
        <v>25</v>
      </c>
      <c r="H233" s="2" t="n">
        <v>35</v>
      </c>
      <c r="I233" s="1" t="n">
        <v>150</v>
      </c>
      <c r="J233" s="2" t="n">
        <v>235</v>
      </c>
      <c r="K233" s="3" t="n">
        <v>942</v>
      </c>
      <c r="L233" s="4" t="n">
        <v>18375</v>
      </c>
      <c r="M233" s="3" t="n">
        <v>95.7017321457163</v>
      </c>
      <c r="N233" s="12" t="n">
        <v>0.051265306122449</v>
      </c>
      <c r="O233" s="4" t="n">
        <v>79.35</v>
      </c>
      <c r="P233" s="3" t="n">
        <v>501.106235095073</v>
      </c>
      <c r="Q233" s="4" t="n">
        <v>0.37</v>
      </c>
      <c r="R233" s="13" t="n">
        <f aca="false">P233/200000</f>
        <v>0.00250553117547537</v>
      </c>
      <c r="V233" s="4" t="n">
        <f aca="false">$W$2*($W$3*$G233+$W$4*$B233^$W$5*$N233^$W$6)*$R233^$W$7</f>
        <v>0.329999645050852</v>
      </c>
      <c r="W233" s="4" t="n">
        <f aca="false">V233/$Q233</f>
        <v>0.89189093256987</v>
      </c>
      <c r="Y233" s="4" t="n">
        <f aca="false">$Z$2*$B233^$Z$3*$R233^$Z$4*($Z$5*$N233^$Z$6+$Z$7)</f>
        <v>0.337580996980732</v>
      </c>
      <c r="Z233" s="4" t="n">
        <f aca="false">Y233/$Q233</f>
        <v>0.912381072920897</v>
      </c>
      <c r="AB233" s="4" t="n">
        <f aca="false">$AC$2*($AC$3+$AC$4*$F233/($N233*'Sem TS MC2020'!P225))*($AC$5*$G233+$AC$6*$B233/$N233)*'Sem TS MC2020'!R225*($J233-$M233)/($J233-$M233-$H233)</f>
        <v>0.33188426909056</v>
      </c>
      <c r="AC233" s="4" t="n">
        <f aca="false">AB233/$Q233</f>
        <v>0.896984511055568</v>
      </c>
      <c r="AD233" s="23" t="n">
        <f aca="false">AB233-$Q233</f>
        <v>-0.0381157309094399</v>
      </c>
      <c r="AE233" s="24" t="n">
        <f aca="false">1/AC233</f>
        <v>1.11484645239103</v>
      </c>
      <c r="AF233" s="24" t="n">
        <f aca="false">AB233*(14.068*'Sem TS MC2020'!$P225^-0.457)/$Q233</f>
        <v>0.736460370098729</v>
      </c>
      <c r="AG233" s="24"/>
      <c r="AO233" s="4" t="n">
        <f aca="false">$AP$2*($AP$3+$AP$4*$F233/($N233*'Sem TS MC2020'!P225))*($AP$5*$G233+$AP$6*$B233/$N233)*('Sem TS MC2020'!P225^$AP$7/200000)*($J233-$M233)/($J233-$M233-$H233)+('Sem TS MC2020'!P225-$C233/$AP$8)*($AP$5*$G233+$AP$6*$B233/$N233)/200000</f>
        <v>0.318592428184338</v>
      </c>
      <c r="AP233" s="4" t="n">
        <f aca="false">AO233/$Q233</f>
        <v>0.861060616714428</v>
      </c>
      <c r="AQ233" s="23" t="n">
        <f aca="false">AO233-$Q233</f>
        <v>-0.0514075718156616</v>
      </c>
    </row>
    <row r="234" customFormat="false" ht="14.25" hidden="false" customHeight="false" outlineLevel="0" collapsed="false">
      <c r="A234" s="1" t="s">
        <v>69</v>
      </c>
      <c r="B234" s="2" t="n">
        <v>16</v>
      </c>
      <c r="C234" s="3" t="n">
        <v>528</v>
      </c>
      <c r="D234" s="3" t="n">
        <v>2</v>
      </c>
      <c r="E234" s="2" t="n">
        <v>52</v>
      </c>
      <c r="F234" s="4" t="n">
        <v>2.98</v>
      </c>
      <c r="G234" s="2" t="n">
        <v>27</v>
      </c>
      <c r="H234" s="2" t="n">
        <v>35</v>
      </c>
      <c r="I234" s="1" t="n">
        <v>150</v>
      </c>
      <c r="J234" s="2" t="n">
        <v>235</v>
      </c>
      <c r="K234" s="3" t="n">
        <v>402</v>
      </c>
      <c r="L234" s="4" t="n">
        <v>17250</v>
      </c>
      <c r="M234" s="3" t="n">
        <v>67.594050734713</v>
      </c>
      <c r="N234" s="12" t="n">
        <v>0.023304347826087</v>
      </c>
      <c r="O234" s="4" t="n">
        <v>26.45</v>
      </c>
      <c r="P234" s="3" t="n">
        <v>338.456713481225</v>
      </c>
      <c r="Q234" s="4" t="n">
        <v>0.16</v>
      </c>
      <c r="R234" s="13" t="n">
        <f aca="false">P234/200000</f>
        <v>0.00169228356740612</v>
      </c>
      <c r="V234" s="4" t="n">
        <f aca="false">$W$2*($W$3*$G234+$W$4*$B234^$W$5*$N234^$W$6)*$R234^$W$7</f>
        <v>0.309799534495655</v>
      </c>
      <c r="W234" s="4" t="n">
        <f aca="false">V234/$Q234</f>
        <v>1.93624709059784</v>
      </c>
      <c r="Y234" s="4" t="n">
        <f aca="false">$Z$2*$B234^$Z$3*$R234^$Z$4*($Z$5*$N234^$Z$6+$Z$7)</f>
        <v>0.306745579286764</v>
      </c>
      <c r="Z234" s="4" t="n">
        <f aca="false">Y234/$Q234</f>
        <v>1.91715987054227</v>
      </c>
      <c r="AB234" s="4" t="n">
        <f aca="false">$AC$2*($AC$3+$AC$4*$F234/($N234*'Sem TS MC2020'!P226))*($AC$5*$G234+$AC$6*$B234/$N234)*'Sem TS MC2020'!R226*($J234-$M234)/($J234-$M234-$H234)</f>
        <v>0.314986434559002</v>
      </c>
      <c r="AC234" s="4" t="n">
        <f aca="false">AB234/$Q234</f>
        <v>1.96866521599376</v>
      </c>
      <c r="AD234" s="23" t="n">
        <f aca="false">AB234-$Q234</f>
        <v>0.154986434559002</v>
      </c>
      <c r="AE234" s="24" t="n">
        <f aca="false">1/AC234</f>
        <v>0.507958383109447</v>
      </c>
      <c r="AF234" s="24" t="n">
        <f aca="false">AB234*(14.068*'Sem TS MC2020'!$P226^-0.457)/$Q234</f>
        <v>1.85496445259083</v>
      </c>
      <c r="AG234" s="24"/>
      <c r="AO234" s="4" t="n">
        <f aca="false">$AP$2*($AP$3+$AP$4*$F234/($N234*'Sem TS MC2020'!P226))*($AP$5*$G234+$AP$6*$B234/$N234)*('Sem TS MC2020'!P226^$AP$7/200000)*($J234-$M234)/($J234-$M234-$H234)+('Sem TS MC2020'!P226-$C234/$AP$8)*($AP$5*$G234+$AP$6*$B234/$N234)/200000</f>
        <v>0.321860019998145</v>
      </c>
      <c r="AP234" s="4" t="n">
        <f aca="false">AO234/$Q234</f>
        <v>2.0116251249884</v>
      </c>
      <c r="AQ234" s="23" t="n">
        <f aca="false">AO234-$Q234</f>
        <v>0.161860019998145</v>
      </c>
    </row>
    <row r="235" customFormat="false" ht="14.25" hidden="false" customHeight="false" outlineLevel="0" collapsed="false">
      <c r="B235" s="2" t="n">
        <v>16</v>
      </c>
      <c r="C235" s="3" t="n">
        <v>528</v>
      </c>
      <c r="D235" s="3" t="n">
        <v>2</v>
      </c>
      <c r="E235" s="2" t="n">
        <v>52</v>
      </c>
      <c r="F235" s="4" t="n">
        <v>2.98</v>
      </c>
      <c r="G235" s="2" t="n">
        <v>27</v>
      </c>
      <c r="H235" s="2" t="n">
        <v>35</v>
      </c>
      <c r="I235" s="1" t="n">
        <v>150</v>
      </c>
      <c r="J235" s="2" t="n">
        <v>235</v>
      </c>
      <c r="K235" s="3" t="n">
        <v>402</v>
      </c>
      <c r="L235" s="4" t="n">
        <v>17250</v>
      </c>
      <c r="M235" s="3" t="n">
        <v>67.594050734713</v>
      </c>
      <c r="N235" s="12" t="n">
        <v>0.023304347826087</v>
      </c>
      <c r="O235" s="4" t="n">
        <v>31.625</v>
      </c>
      <c r="P235" s="3" t="n">
        <v>433.448741301709</v>
      </c>
      <c r="Q235" s="4" t="n">
        <v>0.2</v>
      </c>
      <c r="R235" s="13" t="n">
        <f aca="false">P235/200000</f>
        <v>0.00216724370650854</v>
      </c>
      <c r="V235" s="4" t="n">
        <f aca="false">$W$2*($W$3*$G235+$W$4*$B235^$W$5*$N235^$W$6)*$R235^$W$7</f>
        <v>0.36088424045636</v>
      </c>
      <c r="W235" s="4" t="n">
        <f aca="false">V235/$Q235</f>
        <v>1.8044212022818</v>
      </c>
      <c r="Y235" s="4" t="n">
        <f aca="false">$Z$2*$B235^$Z$3*$R235^$Z$4*($Z$5*$N235^$Z$6+$Z$7)</f>
        <v>0.358300364182374</v>
      </c>
      <c r="Z235" s="4" t="n">
        <f aca="false">Y235/$Q235</f>
        <v>1.79150182091187</v>
      </c>
      <c r="AB235" s="4" t="n">
        <f aca="false">$AC$2*($AC$3+$AC$4*$F235/($N235*'Sem TS MC2020'!P227))*($AC$5*$G235+$AC$6*$B235/$N235)*'Sem TS MC2020'!R227*($J235-$M235)/($J235-$M235-$H235)</f>
        <v>0.390849401161328</v>
      </c>
      <c r="AC235" s="4" t="n">
        <f aca="false">AB235/$Q235</f>
        <v>1.95424700580664</v>
      </c>
      <c r="AD235" s="23" t="n">
        <f aca="false">AB235-$Q235</f>
        <v>0.190849401161328</v>
      </c>
      <c r="AE235" s="24" t="n">
        <f aca="false">1/AC235</f>
        <v>0.511706041779113</v>
      </c>
      <c r="AF235" s="24" t="n">
        <f aca="false">AB235*(14.068*'Sem TS MC2020'!$P227^-0.457)/$Q235</f>
        <v>1.69698404376843</v>
      </c>
      <c r="AG235" s="24"/>
      <c r="AO235" s="4" t="n">
        <f aca="false">$AP$2*($AP$3+$AP$4*$F235/($N235*'Sem TS MC2020'!P227))*($AP$5*$G235+$AP$6*$B235/$N235)*('Sem TS MC2020'!P227^$AP$7/200000)*($J235-$M235)/($J235-$M235-$H235)+('Sem TS MC2020'!P227-$C235/$AP$8)*($AP$5*$G235+$AP$6*$B235/$N235)/200000</f>
        <v>0.390483935514498</v>
      </c>
      <c r="AP235" s="4" t="n">
        <f aca="false">AO235/$Q235</f>
        <v>1.95241967757249</v>
      </c>
      <c r="AQ235" s="23" t="n">
        <f aca="false">AO235-$Q235</f>
        <v>0.190483935514498</v>
      </c>
    </row>
    <row r="236" customFormat="false" ht="14.25" hidden="false" customHeight="false" outlineLevel="0" collapsed="false">
      <c r="B236" s="2" t="n">
        <v>16</v>
      </c>
      <c r="C236" s="3" t="n">
        <v>528</v>
      </c>
      <c r="D236" s="3" t="n">
        <v>2</v>
      </c>
      <c r="E236" s="2" t="n">
        <v>52</v>
      </c>
      <c r="F236" s="4" t="n">
        <v>2.98</v>
      </c>
      <c r="G236" s="2" t="n">
        <v>27</v>
      </c>
      <c r="H236" s="2" t="n">
        <v>35</v>
      </c>
      <c r="I236" s="1" t="n">
        <v>150</v>
      </c>
      <c r="J236" s="2" t="n">
        <v>235</v>
      </c>
      <c r="K236" s="3" t="n">
        <v>402</v>
      </c>
      <c r="L236" s="4" t="n">
        <v>17250</v>
      </c>
      <c r="M236" s="3" t="n">
        <v>67.594050734713</v>
      </c>
      <c r="N236" s="12" t="n">
        <v>0.023304347826087</v>
      </c>
      <c r="O236" s="4" t="n">
        <v>37.375</v>
      </c>
      <c r="P236" s="3" t="n">
        <v>523.882031807992</v>
      </c>
      <c r="Q236" s="4" t="n">
        <v>0.26</v>
      </c>
      <c r="R236" s="13" t="n">
        <f aca="false">P236/200000</f>
        <v>0.00261941015903996</v>
      </c>
      <c r="V236" s="4" t="n">
        <f aca="false">$W$2*($W$3*$G236+$W$4*$B236^$W$5*$N236^$W$6)*$R236^$W$7</f>
        <v>0.405643386048848</v>
      </c>
      <c r="W236" s="4" t="n">
        <f aca="false">V236/$Q236</f>
        <v>1.56016686941864</v>
      </c>
      <c r="Y236" s="4" t="n">
        <f aca="false">$Z$2*$B236^$Z$3*$R236^$Z$4*($Z$5*$N236^$Z$6+$Z$7)</f>
        <v>0.403579395069043</v>
      </c>
      <c r="Z236" s="4" t="n">
        <f aca="false">Y236/$Q236</f>
        <v>1.55222844257324</v>
      </c>
      <c r="AB236" s="4" t="n">
        <f aca="false">$AC$2*($AC$3+$AC$4*$F236/($N236*'Sem TS MC2020'!P228))*($AC$5*$G236+$AC$6*$B236/$N236)*'Sem TS MC2020'!R228*($J236-$M236)/($J236-$M236-$H236)</f>
        <v>0.475141586275024</v>
      </c>
      <c r="AC236" s="4" t="n">
        <f aca="false">AB236/$Q236</f>
        <v>1.82746763951932</v>
      </c>
      <c r="AD236" s="23" t="n">
        <f aca="false">AB236-$Q236</f>
        <v>0.215141586275024</v>
      </c>
      <c r="AE236" s="24" t="n">
        <f aca="false">1/AC236</f>
        <v>0.547205312080398</v>
      </c>
      <c r="AF236" s="24" t="n">
        <f aca="false">AB236*(14.068*'Sem TS MC2020'!$P228^-0.457)/$Q236</f>
        <v>1.47025391314392</v>
      </c>
      <c r="AG236" s="24"/>
      <c r="AO236" s="4" t="n">
        <f aca="false">$AP$2*($AP$3+$AP$4*$F236/($N236*'Sem TS MC2020'!P228))*($AP$5*$G236+$AP$6*$B236/$N236)*('Sem TS MC2020'!P228^$AP$7/200000)*($J236-$M236)/($J236-$M236-$H236)+('Sem TS MC2020'!P228-$C236/$AP$8)*($AP$5*$G236+$AP$6*$B236/$N236)/200000</f>
        <v>0.464163524401072</v>
      </c>
      <c r="AP236" s="4" t="n">
        <f aca="false">AO236/$Q236</f>
        <v>1.78524432461951</v>
      </c>
      <c r="AQ236" s="23" t="n">
        <f aca="false">AO236-$Q236</f>
        <v>0.204163524401072</v>
      </c>
    </row>
    <row r="237" customFormat="false" ht="14.25" hidden="false" customHeight="false" outlineLevel="0" collapsed="false">
      <c r="A237" s="1" t="s">
        <v>70</v>
      </c>
      <c r="B237" s="2" t="n">
        <v>20</v>
      </c>
      <c r="C237" s="3" t="n">
        <v>528</v>
      </c>
      <c r="D237" s="3" t="n">
        <v>2</v>
      </c>
      <c r="E237" s="2" t="n">
        <v>44</v>
      </c>
      <c r="F237" s="4" t="n">
        <v>2.98</v>
      </c>
      <c r="G237" s="2" t="n">
        <v>25</v>
      </c>
      <c r="H237" s="2" t="n">
        <v>35</v>
      </c>
      <c r="I237" s="1" t="n">
        <v>150</v>
      </c>
      <c r="J237" s="2" t="n">
        <v>235</v>
      </c>
      <c r="K237" s="3" t="n">
        <v>628</v>
      </c>
      <c r="L237" s="4" t="n">
        <v>18375</v>
      </c>
      <c r="M237" s="3" t="n">
        <v>80.321192218195</v>
      </c>
      <c r="N237" s="12" t="n">
        <v>0.0341768707482993</v>
      </c>
      <c r="O237" s="4" t="n">
        <v>28.75</v>
      </c>
      <c r="P237" s="3" t="n">
        <v>217.081004934473</v>
      </c>
      <c r="Q237" s="4" t="n">
        <v>0.17</v>
      </c>
      <c r="R237" s="13" t="n">
        <f aca="false">P237/200000</f>
        <v>0.00108540502467237</v>
      </c>
      <c r="V237" s="4" t="n">
        <f aca="false">$W$2*($W$3*$G237+$W$4*$B237^$W$5*$N237^$W$6)*$R237^$W$7</f>
        <v>0.233288391911826</v>
      </c>
      <c r="W237" s="4" t="n">
        <f aca="false">V237/$Q237</f>
        <v>1.37228465830486</v>
      </c>
      <c r="Y237" s="4" t="n">
        <f aca="false">$Z$2*$B237^$Z$3*$R237^$Z$4*($Z$5*$N237^$Z$6+$Z$7)</f>
        <v>0.232085831058883</v>
      </c>
      <c r="Z237" s="4" t="n">
        <f aca="false">Y237/$Q237</f>
        <v>1.36521077093461</v>
      </c>
      <c r="AB237" s="4" t="n">
        <f aca="false">$AC$2*($AC$3+$AC$4*$F237/($N237*'Sem TS MC2020'!P229))*($AC$5*$G237+$AC$6*$B237/$N237)*'Sem TS MC2020'!R229*($J237-$M237)/($J237-$M237-$H237)</f>
        <v>0.201319217011829</v>
      </c>
      <c r="AC237" s="4" t="n">
        <f aca="false">AB237/$Q237</f>
        <v>1.18423068830488</v>
      </c>
      <c r="AD237" s="23" t="n">
        <f aca="false">AB237-$Q237</f>
        <v>0.0313192170118291</v>
      </c>
      <c r="AE237" s="24" t="n">
        <f aca="false">1/AC237</f>
        <v>0.844430067448609</v>
      </c>
      <c r="AF237" s="24" t="n">
        <f aca="false">AB237*(14.068*'Sem TS MC2020'!$P229^-0.457)/$Q237</f>
        <v>1.30252244514654</v>
      </c>
      <c r="AG237" s="24"/>
      <c r="AO237" s="4" t="n">
        <f aca="false">$AP$2*($AP$3+$AP$4*$F237/($N237*'Sem TS MC2020'!P229))*($AP$5*$G237+$AP$6*$B237/$N237)*('Sem TS MC2020'!P229^$AP$7/200000)*($J237-$M237)/($J237-$M237-$H237)+('Sem TS MC2020'!P229-$C237/$AP$8)*($AP$5*$G237+$AP$6*$B237/$N237)/200000</f>
        <v>0.213166371191751</v>
      </c>
      <c r="AP237" s="4" t="n">
        <f aca="false">AO237/$Q237</f>
        <v>1.25391983053971</v>
      </c>
      <c r="AQ237" s="23" t="n">
        <f aca="false">AO237-$Q237</f>
        <v>0.0431663711917511</v>
      </c>
    </row>
    <row r="238" customFormat="false" ht="14.25" hidden="false" customHeight="false" outlineLevel="0" collapsed="false">
      <c r="B238" s="2" t="n">
        <v>20</v>
      </c>
      <c r="C238" s="3" t="n">
        <v>528</v>
      </c>
      <c r="D238" s="3" t="n">
        <v>2</v>
      </c>
      <c r="E238" s="2" t="n">
        <v>44</v>
      </c>
      <c r="F238" s="4" t="n">
        <v>2.98</v>
      </c>
      <c r="G238" s="2" t="n">
        <v>25</v>
      </c>
      <c r="H238" s="2" t="n">
        <v>35</v>
      </c>
      <c r="I238" s="1" t="n">
        <v>150</v>
      </c>
      <c r="J238" s="2" t="n">
        <v>235</v>
      </c>
      <c r="K238" s="3" t="n">
        <v>628</v>
      </c>
      <c r="L238" s="4" t="n">
        <v>18375</v>
      </c>
      <c r="M238" s="3" t="n">
        <v>80.321192218195</v>
      </c>
      <c r="N238" s="12" t="n">
        <v>0.0341768707482993</v>
      </c>
      <c r="O238" s="4" t="n">
        <v>32.775</v>
      </c>
      <c r="P238" s="3" t="n">
        <v>262.365326159654</v>
      </c>
      <c r="Q238" s="4" t="n">
        <v>0.19</v>
      </c>
      <c r="R238" s="13" t="n">
        <f aca="false">P238/200000</f>
        <v>0.00131182663079827</v>
      </c>
      <c r="V238" s="4" t="n">
        <f aca="false">$W$2*($W$3*$G238+$W$4*$B238^$W$5*$N238^$W$6)*$R238^$W$7</f>
        <v>0.262218142819818</v>
      </c>
      <c r="W238" s="4" t="n">
        <f aca="false">V238/$Q238</f>
        <v>1.38009548852536</v>
      </c>
      <c r="Y238" s="4" t="n">
        <f aca="false">$Z$2*$B238^$Z$3*$R238^$Z$4*($Z$5*$N238^$Z$6+$Z$7)</f>
        <v>0.261410703482756</v>
      </c>
      <c r="Z238" s="4" t="n">
        <f aca="false">Y238/$Q238</f>
        <v>1.37584580780398</v>
      </c>
      <c r="AB238" s="4" t="n">
        <f aca="false">$AC$2*($AC$3+$AC$4*$F238/($N238*'Sem TS MC2020'!P230))*($AC$5*$G238+$AC$6*$B238/$N238)*'Sem TS MC2020'!R230*($J238-$M238)/($J238-$M238-$H238)</f>
        <v>0.23566962110314</v>
      </c>
      <c r="AC238" s="4" t="n">
        <f aca="false">AB238/$Q238</f>
        <v>1.24036642685863</v>
      </c>
      <c r="AD238" s="23" t="n">
        <f aca="false">AB238-$Q238</f>
        <v>0.0456696211031399</v>
      </c>
      <c r="AE238" s="24" t="n">
        <f aca="false">1/AC238</f>
        <v>0.806213372392394</v>
      </c>
      <c r="AF238" s="24" t="n">
        <f aca="false">AB238*(14.068*'Sem TS MC2020'!$P230^-0.457)/$Q238</f>
        <v>1.28497118870122</v>
      </c>
      <c r="AG238" s="24"/>
      <c r="AO238" s="4" t="n">
        <f aca="false">$AP$2*($AP$3+$AP$4*$F238/($N238*'Sem TS MC2020'!P230))*($AP$5*$G238+$AP$6*$B238/$N238)*('Sem TS MC2020'!P230^$AP$7/200000)*($J238-$M238)/($J238-$M238-$H238)+('Sem TS MC2020'!P230-$C238/$AP$8)*($AP$5*$G238+$AP$6*$B238/$N238)/200000</f>
        <v>0.246016519307741</v>
      </c>
      <c r="AP238" s="4" t="n">
        <f aca="false">AO238/$Q238</f>
        <v>1.29482378583022</v>
      </c>
      <c r="AQ238" s="23" t="n">
        <f aca="false">AO238-$Q238</f>
        <v>0.0560165193077409</v>
      </c>
    </row>
    <row r="239" customFormat="false" ht="14.25" hidden="false" customHeight="false" outlineLevel="0" collapsed="false">
      <c r="B239" s="2" t="n">
        <v>20</v>
      </c>
      <c r="C239" s="3" t="n">
        <v>528</v>
      </c>
      <c r="D239" s="3" t="n">
        <v>2</v>
      </c>
      <c r="E239" s="2" t="n">
        <v>44</v>
      </c>
      <c r="F239" s="4" t="n">
        <v>2.98</v>
      </c>
      <c r="G239" s="2" t="n">
        <v>25</v>
      </c>
      <c r="H239" s="2" t="n">
        <v>35</v>
      </c>
      <c r="I239" s="1" t="n">
        <v>150</v>
      </c>
      <c r="J239" s="2" t="n">
        <v>235</v>
      </c>
      <c r="K239" s="3" t="n">
        <v>628</v>
      </c>
      <c r="L239" s="4" t="n">
        <v>18375</v>
      </c>
      <c r="M239" s="3" t="n">
        <v>80.321192218195</v>
      </c>
      <c r="N239" s="12" t="n">
        <v>0.0341768707482993</v>
      </c>
      <c r="O239" s="4" t="n">
        <v>37.95</v>
      </c>
      <c r="P239" s="3" t="n">
        <v>320.588024877743</v>
      </c>
      <c r="Q239" s="4" t="n">
        <v>0.23</v>
      </c>
      <c r="R239" s="13" t="n">
        <f aca="false">P239/200000</f>
        <v>0.00160294012438872</v>
      </c>
      <c r="V239" s="4" t="n">
        <f aca="false">$W$2*($W$3*$G239+$W$4*$B239^$W$5*$N239^$W$6)*$R239^$W$7</f>
        <v>0.296733750633735</v>
      </c>
      <c r="W239" s="4" t="n">
        <f aca="false">V239/$Q239</f>
        <v>1.29014674188581</v>
      </c>
      <c r="Y239" s="4" t="n">
        <f aca="false">$Z$2*$B239^$Z$3*$R239^$Z$4*($Z$5*$N239^$Z$6+$Z$7)</f>
        <v>0.296472915417035</v>
      </c>
      <c r="Z239" s="4" t="n">
        <f aca="false">Y239/$Q239</f>
        <v>1.28901267572624</v>
      </c>
      <c r="AB239" s="4" t="n">
        <f aca="false">$AC$2*($AC$3+$AC$4*$F239/($N239*'Sem TS MC2020'!P231))*($AC$5*$G239+$AC$6*$B239/$N239)*'Sem TS MC2020'!R231*($J239-$M239)/($J239-$M239-$H239)</f>
        <v>0.279834426363397</v>
      </c>
      <c r="AC239" s="4" t="n">
        <f aca="false">AB239/$Q239</f>
        <v>1.21667141897129</v>
      </c>
      <c r="AD239" s="23" t="n">
        <f aca="false">AB239-$Q239</f>
        <v>0.0498344263633967</v>
      </c>
      <c r="AE239" s="24" t="n">
        <f aca="false">1/AC239</f>
        <v>0.821914597817636</v>
      </c>
      <c r="AF239" s="24" t="n">
        <f aca="false">AB239*(14.068*'Sem TS MC2020'!$P231^-0.457)/$Q239</f>
        <v>1.17874516431528</v>
      </c>
      <c r="AG239" s="24"/>
      <c r="AO239" s="4" t="n">
        <f aca="false">$AP$2*($AP$3+$AP$4*$F239/($N239*'Sem TS MC2020'!P231))*($AP$5*$G239+$AP$6*$B239/$N239)*('Sem TS MC2020'!P231^$AP$7/200000)*($J239-$M239)/($J239-$M239-$H239)+('Sem TS MC2020'!P231-$C239/$AP$8)*($AP$5*$G239+$AP$6*$B239/$N239)/200000</f>
        <v>0.287095145728701</v>
      </c>
      <c r="AP239" s="4" t="n">
        <f aca="false">AO239/$Q239</f>
        <v>1.24823976403783</v>
      </c>
      <c r="AQ239" s="23" t="n">
        <f aca="false">AO239-$Q239</f>
        <v>0.0570951457287007</v>
      </c>
    </row>
    <row r="240" customFormat="false" ht="14.25" hidden="false" customHeight="false" outlineLevel="0" collapsed="false">
      <c r="B240" s="2" t="n">
        <v>20</v>
      </c>
      <c r="C240" s="3" t="n">
        <v>528</v>
      </c>
      <c r="D240" s="3" t="n">
        <v>2</v>
      </c>
      <c r="E240" s="2" t="n">
        <v>44</v>
      </c>
      <c r="F240" s="4" t="n">
        <v>2.98</v>
      </c>
      <c r="G240" s="2" t="n">
        <v>25</v>
      </c>
      <c r="H240" s="2" t="n">
        <v>35</v>
      </c>
      <c r="I240" s="1" t="n">
        <v>150</v>
      </c>
      <c r="J240" s="2" t="n">
        <v>235</v>
      </c>
      <c r="K240" s="3" t="n">
        <v>628</v>
      </c>
      <c r="L240" s="4" t="n">
        <v>18375</v>
      </c>
      <c r="M240" s="3" t="n">
        <v>80.321192218195</v>
      </c>
      <c r="N240" s="12" t="n">
        <v>0.0341768707482993</v>
      </c>
      <c r="O240" s="4" t="n">
        <v>40.25</v>
      </c>
      <c r="P240" s="3" t="n">
        <v>346.464779863561</v>
      </c>
      <c r="Q240" s="4" t="n">
        <v>0.25</v>
      </c>
      <c r="R240" s="13" t="n">
        <f aca="false">P240/200000</f>
        <v>0.0017323238993178</v>
      </c>
      <c r="V240" s="4" t="n">
        <f aca="false">$W$2*($W$3*$G240+$W$4*$B240^$W$5*$N240^$W$6)*$R240^$W$7</f>
        <v>0.311291401398984</v>
      </c>
      <c r="W240" s="4" t="n">
        <f aca="false">V240/$Q240</f>
        <v>1.24516560559594</v>
      </c>
      <c r="Y240" s="4" t="n">
        <f aca="false">$Z$2*$B240^$Z$3*$R240^$Z$4*($Z$5*$N240^$Z$6+$Z$7)</f>
        <v>0.311283450950292</v>
      </c>
      <c r="Z240" s="4" t="n">
        <f aca="false">Y240/$Q240</f>
        <v>1.24513380380117</v>
      </c>
      <c r="AB240" s="4" t="n">
        <f aca="false">$AC$2*($AC$3+$AC$4*$F240/($N240*'Sem TS MC2020'!P232))*($AC$5*$G240+$AC$6*$B240/$N240)*'Sem TS MC2020'!R232*($J240-$M240)/($J240-$M240-$H240)</f>
        <v>0.299463228701289</v>
      </c>
      <c r="AC240" s="4" t="n">
        <f aca="false">AB240/$Q240</f>
        <v>1.19785291480515</v>
      </c>
      <c r="AD240" s="23" t="n">
        <f aca="false">AB240-$Q240</f>
        <v>0.0494632287012887</v>
      </c>
      <c r="AE240" s="24" t="n">
        <f aca="false">1/AC240</f>
        <v>0.834827037310054</v>
      </c>
      <c r="AF240" s="24" t="n">
        <f aca="false">AB240*(14.068*'Sem TS MC2020'!$P232^-0.457)/$Q240</f>
        <v>1.12972278054405</v>
      </c>
      <c r="AG240" s="24"/>
      <c r="AO240" s="4" t="n">
        <f aca="false">$AP$2*($AP$3+$AP$4*$F240/($N240*'Sem TS MC2020'!P232))*($AP$5*$G240+$AP$6*$B240/$N240)*('Sem TS MC2020'!P232^$AP$7/200000)*($J240-$M240)/($J240-$M240-$H240)+('Sem TS MC2020'!P232-$C240/$AP$8)*($AP$5*$G240+$AP$6*$B240/$N240)/200000</f>
        <v>0.304992964496381</v>
      </c>
      <c r="AP240" s="4" t="n">
        <f aca="false">AO240/$Q240</f>
        <v>1.21997185798552</v>
      </c>
      <c r="AQ240" s="23" t="n">
        <f aca="false">AO240-$Q240</f>
        <v>0.0549929644963812</v>
      </c>
    </row>
    <row r="241" customFormat="false" ht="14.25" hidden="false" customHeight="false" outlineLevel="0" collapsed="false">
      <c r="B241" s="2" t="n">
        <v>20</v>
      </c>
      <c r="C241" s="3" t="n">
        <v>528</v>
      </c>
      <c r="D241" s="3" t="n">
        <v>2</v>
      </c>
      <c r="E241" s="2" t="n">
        <v>44</v>
      </c>
      <c r="F241" s="4" t="n">
        <v>2.98</v>
      </c>
      <c r="G241" s="2" t="n">
        <v>25</v>
      </c>
      <c r="H241" s="2" t="n">
        <v>35</v>
      </c>
      <c r="I241" s="1" t="n">
        <v>150</v>
      </c>
      <c r="J241" s="2" t="n">
        <v>235</v>
      </c>
      <c r="K241" s="3" t="n">
        <v>628</v>
      </c>
      <c r="L241" s="4" t="n">
        <v>18375</v>
      </c>
      <c r="M241" s="3" t="n">
        <v>80.321192218195</v>
      </c>
      <c r="N241" s="12" t="n">
        <v>0.0341768707482993</v>
      </c>
      <c r="O241" s="4" t="n">
        <v>43.7</v>
      </c>
      <c r="P241" s="3" t="n">
        <v>385.279912342287</v>
      </c>
      <c r="Q241" s="4" t="n">
        <v>0.3</v>
      </c>
      <c r="R241" s="13" t="n">
        <f aca="false">P241/200000</f>
        <v>0.00192639956171143</v>
      </c>
      <c r="V241" s="4" t="n">
        <f aca="false">$W$2*($W$3*$G241+$W$4*$B241^$W$5*$N241^$W$6)*$R241^$W$7</f>
        <v>0.332369743957304</v>
      </c>
      <c r="W241" s="4" t="n">
        <f aca="false">V241/$Q241</f>
        <v>1.10789914652435</v>
      </c>
      <c r="Y241" s="4" t="n">
        <f aca="false">$Z$2*$B241^$Z$3*$R241^$Z$4*($Z$5*$N241^$Z$6+$Z$7)</f>
        <v>0.332749705998829</v>
      </c>
      <c r="Z241" s="4" t="n">
        <f aca="false">Y241/$Q241</f>
        <v>1.10916568666276</v>
      </c>
      <c r="AB241" s="4" t="n">
        <f aca="false">$AC$2*($AC$3+$AC$4*$F241/($N241*'Sem TS MC2020'!P233))*($AC$5*$G241+$AC$6*$B241/$N241)*'Sem TS MC2020'!R233*($J241-$M241)/($J241-$M241-$H241)</f>
        <v>0.328906432208127</v>
      </c>
      <c r="AC241" s="4" t="n">
        <f aca="false">AB241/$Q241</f>
        <v>1.09635477402709</v>
      </c>
      <c r="AD241" s="23" t="n">
        <f aca="false">AB241-$Q241</f>
        <v>0.0289064322081266</v>
      </c>
      <c r="AE241" s="24" t="n">
        <f aca="false">1/AC241</f>
        <v>0.912113508957359</v>
      </c>
      <c r="AF241" s="24" t="n">
        <f aca="false">AB241*(14.068*'Sem TS MC2020'!$P233^-0.457)/$Q241</f>
        <v>0.995858184398524</v>
      </c>
      <c r="AG241" s="24"/>
      <c r="AO241" s="4" t="n">
        <f aca="false">$AP$2*($AP$3+$AP$4*$F241/($N241*'Sem TS MC2020'!P233))*($AP$5*$G241+$AP$6*$B241/$N241)*('Sem TS MC2020'!P233^$AP$7/200000)*($J241-$M241)/($J241-$M241-$H241)+('Sem TS MC2020'!P233-$C241/$AP$8)*($AP$5*$G241+$AP$6*$B241/$N241)/200000</f>
        <v>0.331474798404235</v>
      </c>
      <c r="AP241" s="4" t="n">
        <f aca="false">AO241/$Q241</f>
        <v>1.10491599468078</v>
      </c>
      <c r="AQ241" s="23" t="n">
        <f aca="false">AO241-$Q241</f>
        <v>0.0314747984042348</v>
      </c>
    </row>
    <row r="242" customFormat="false" ht="14.25" hidden="false" customHeight="false" outlineLevel="0" collapsed="false">
      <c r="B242" s="2" t="n">
        <v>20</v>
      </c>
      <c r="C242" s="3" t="n">
        <v>528</v>
      </c>
      <c r="D242" s="3" t="n">
        <v>2</v>
      </c>
      <c r="E242" s="2" t="n">
        <v>44</v>
      </c>
      <c r="F242" s="4" t="n">
        <v>2.98</v>
      </c>
      <c r="G242" s="2" t="n">
        <v>25</v>
      </c>
      <c r="H242" s="2" t="n">
        <v>35</v>
      </c>
      <c r="I242" s="1" t="n">
        <v>150</v>
      </c>
      <c r="J242" s="2" t="n">
        <v>235</v>
      </c>
      <c r="K242" s="3" t="n">
        <v>628</v>
      </c>
      <c r="L242" s="4" t="n">
        <v>18375</v>
      </c>
      <c r="M242" s="3" t="n">
        <v>80.321192218195</v>
      </c>
      <c r="N242" s="12" t="n">
        <v>0.0341768707482993</v>
      </c>
      <c r="O242" s="4" t="n">
        <v>46</v>
      </c>
      <c r="P242" s="3" t="n">
        <v>411.156667328104</v>
      </c>
      <c r="Q242" s="4" t="n">
        <v>0.32</v>
      </c>
      <c r="R242" s="13" t="n">
        <f aca="false">P242/200000</f>
        <v>0.00205578333664052</v>
      </c>
      <c r="V242" s="4" t="n">
        <f aca="false">$W$2*($W$3*$G242+$W$4*$B242^$W$5*$N242^$W$6)*$R242^$W$7</f>
        <v>0.345971234702902</v>
      </c>
      <c r="W242" s="4" t="n">
        <f aca="false">V242/$Q242</f>
        <v>1.08116010844657</v>
      </c>
      <c r="Y242" s="4" t="n">
        <f aca="false">$Z$2*$B242^$Z$3*$R242^$Z$4*($Z$5*$N242^$Z$6+$Z$7)</f>
        <v>0.346614502684813</v>
      </c>
      <c r="Z242" s="4" t="n">
        <f aca="false">Y242/$Q242</f>
        <v>1.08317032089004</v>
      </c>
      <c r="AB242" s="4" t="n">
        <f aca="false">$AC$2*($AC$3+$AC$4*$F242/($N242*'Sem TS MC2020'!P234))*($AC$5*$G242+$AC$6*$B242/$N242)*'Sem TS MC2020'!R234*($J242-$M242)/($J242-$M242-$H242)</f>
        <v>0.348535234546019</v>
      </c>
      <c r="AC242" s="4" t="n">
        <f aca="false">AB242/$Q242</f>
        <v>1.08917260795631</v>
      </c>
      <c r="AD242" s="23" t="n">
        <f aca="false">AB242-$Q242</f>
        <v>0.0285352345460186</v>
      </c>
      <c r="AE242" s="24" t="n">
        <f aca="false">1/AC242</f>
        <v>0.91812812101139</v>
      </c>
      <c r="AF242" s="24" t="n">
        <f aca="false">AB242*(14.068*'Sem TS MC2020'!$P234^-0.457)/$Q242</f>
        <v>0.966413043821551</v>
      </c>
      <c r="AG242" s="24"/>
      <c r="AO242" s="4" t="n">
        <f aca="false">$AP$2*($AP$3+$AP$4*$F242/($N242*'Sem TS MC2020'!P234))*($AP$5*$G242+$AP$6*$B242/$N242)*('Sem TS MC2020'!P234^$AP$7/200000)*($J242-$M242)/($J242-$M242-$H242)+('Sem TS MC2020'!P234-$C242/$AP$8)*($AP$5*$G242+$AP$6*$B242/$N242)/200000</f>
        <v>0.348906002896468</v>
      </c>
      <c r="AP242" s="4" t="n">
        <f aca="false">AO242/$Q242</f>
        <v>1.09033125905146</v>
      </c>
      <c r="AQ242" s="23" t="n">
        <f aca="false">AO242-$Q242</f>
        <v>0.0289060028964683</v>
      </c>
    </row>
    <row r="243" customFormat="false" ht="14.25" hidden="false" customHeight="false" outlineLevel="0" collapsed="false">
      <c r="B243" s="2" t="n">
        <v>20</v>
      </c>
      <c r="C243" s="3" t="n">
        <v>528</v>
      </c>
      <c r="D243" s="3" t="n">
        <v>2</v>
      </c>
      <c r="E243" s="2" t="n">
        <v>44</v>
      </c>
      <c r="F243" s="4" t="n">
        <v>2.98</v>
      </c>
      <c r="G243" s="2" t="n">
        <v>25</v>
      </c>
      <c r="H243" s="2" t="n">
        <v>35</v>
      </c>
      <c r="I243" s="1" t="n">
        <v>150</v>
      </c>
      <c r="J243" s="2" t="n">
        <v>235</v>
      </c>
      <c r="K243" s="3" t="n">
        <v>628</v>
      </c>
      <c r="L243" s="4" t="n">
        <v>18375</v>
      </c>
      <c r="M243" s="3" t="n">
        <v>80.321192218195</v>
      </c>
      <c r="N243" s="12" t="n">
        <v>0.0341768707482993</v>
      </c>
      <c r="O243" s="4" t="n">
        <v>51.635</v>
      </c>
      <c r="P243" s="3" t="n">
        <v>474.554717043357</v>
      </c>
      <c r="Q243" s="4" t="n">
        <v>0.36</v>
      </c>
      <c r="R243" s="13" t="n">
        <f aca="false">P243/200000</f>
        <v>0.00237277358521679</v>
      </c>
      <c r="V243" s="4" t="n">
        <f aca="false">$W$2*($W$3*$G243+$W$4*$B243^$W$5*$N243^$W$6)*$R243^$W$7</f>
        <v>0.377977639262115</v>
      </c>
      <c r="W243" s="4" t="n">
        <f aca="false">V243/$Q243</f>
        <v>1.04993788683921</v>
      </c>
      <c r="Y243" s="4" t="n">
        <f aca="false">$Z$2*$B243^$Z$3*$R243^$Z$4*($Z$5*$N243^$Z$6+$Z$7)</f>
        <v>0.379278229786509</v>
      </c>
      <c r="Z243" s="4" t="n">
        <f aca="false">Y243/$Q243</f>
        <v>1.05355063829586</v>
      </c>
      <c r="AB243" s="4" t="n">
        <f aca="false">$AC$2*($AC$3+$AC$4*$F243/($N243*'Sem TS MC2020'!P235))*($AC$5*$G243+$AC$6*$B243/$N243)*'Sem TS MC2020'!R235*($J243-$M243)/($J243-$M243-$H243)</f>
        <v>0.396625800273854</v>
      </c>
      <c r="AC243" s="4" t="n">
        <f aca="false">AB243/$Q243</f>
        <v>1.10173833409404</v>
      </c>
      <c r="AD243" s="23" t="n">
        <f aca="false">AB243-$Q243</f>
        <v>0.0366258002738538</v>
      </c>
      <c r="AE243" s="24" t="n">
        <f aca="false">1/AC243</f>
        <v>0.907656536088764</v>
      </c>
      <c r="AF243" s="24" t="n">
        <f aca="false">AB243*(14.068*'Sem TS MC2020'!$P235^-0.457)/$Q243</f>
        <v>0.927276751375844</v>
      </c>
      <c r="AG243" s="24"/>
      <c r="AO243" s="4" t="n">
        <f aca="false">$AP$2*($AP$3+$AP$4*$F243/($N243*'Sem TS MC2020'!P235))*($AP$5*$G243+$AP$6*$B243/$N243)*('Sem TS MC2020'!P235^$AP$7/200000)*($J243-$M243)/($J243-$M243-$H243)+('Sem TS MC2020'!P235-$C243/$AP$8)*($AP$5*$G243+$AP$6*$B243/$N243)/200000</f>
        <v>0.390936232327376</v>
      </c>
      <c r="AP243" s="4" t="n">
        <f aca="false">AO243/$Q243</f>
        <v>1.08593397868715</v>
      </c>
      <c r="AQ243" s="23" t="n">
        <f aca="false">AO243-$Q243</f>
        <v>0.0309362323273756</v>
      </c>
    </row>
    <row r="244" customFormat="false" ht="14.25" hidden="false" customHeight="false" outlineLevel="0" collapsed="false">
      <c r="B244" s="2" t="n">
        <v>20</v>
      </c>
      <c r="C244" s="3" t="n">
        <v>528</v>
      </c>
      <c r="D244" s="3" t="n">
        <v>2</v>
      </c>
      <c r="E244" s="2" t="n">
        <v>44</v>
      </c>
      <c r="F244" s="4" t="n">
        <v>2.98</v>
      </c>
      <c r="G244" s="2" t="n">
        <v>25</v>
      </c>
      <c r="H244" s="2" t="n">
        <v>35</v>
      </c>
      <c r="I244" s="1" t="n">
        <v>150</v>
      </c>
      <c r="J244" s="2" t="n">
        <v>235</v>
      </c>
      <c r="K244" s="3" t="n">
        <v>628</v>
      </c>
      <c r="L244" s="4" t="n">
        <v>18375</v>
      </c>
      <c r="M244" s="3" t="n">
        <v>80.321192218195</v>
      </c>
      <c r="N244" s="12" t="n">
        <v>0.0341768707482993</v>
      </c>
      <c r="O244" s="4" t="n">
        <v>57.27</v>
      </c>
      <c r="P244" s="3" t="n">
        <v>526.445947864471</v>
      </c>
      <c r="Q244" s="4" t="n">
        <v>0.47</v>
      </c>
      <c r="R244" s="13" t="n">
        <f aca="false">P244/200000</f>
        <v>0.00263222973932236</v>
      </c>
      <c r="V244" s="4" t="n">
        <f aca="false">$W$2*($W$3*$G244+$W$4*$B244^$W$5*$N244^$W$6)*$R244^$W$7</f>
        <v>0.402970033238085</v>
      </c>
      <c r="W244" s="4" t="n">
        <f aca="false">V244/$Q244</f>
        <v>0.857383049442735</v>
      </c>
      <c r="Y244" s="4" t="n">
        <f aca="false">$Z$2*$B244^$Z$3*$R244^$Z$4*($Z$5*$N244^$Z$6+$Z$7)</f>
        <v>0.404818452785407</v>
      </c>
      <c r="Z244" s="4" t="n">
        <f aca="false">Y244/$Q244</f>
        <v>0.861315856990227</v>
      </c>
      <c r="AB244" s="4" t="n">
        <f aca="false">$AC$2*($AC$3+$AC$4*$F244/($N244*'Sem TS MC2020'!P236))*($AC$5*$G244+$AC$6*$B244/$N244)*'Sem TS MC2020'!R236*($J244-$M244)/($J244-$M244-$H244)</f>
        <v>0.444716366001689</v>
      </c>
      <c r="AC244" s="4" t="n">
        <f aca="false">AB244/$Q244</f>
        <v>0.946205034046147</v>
      </c>
      <c r="AD244" s="23" t="n">
        <f aca="false">AB244-$Q244</f>
        <v>-0.0252836339983109</v>
      </c>
      <c r="AE244" s="24" t="n">
        <f aca="false">1/AC244</f>
        <v>1.05685339225455</v>
      </c>
      <c r="AF244" s="24" t="n">
        <f aca="false">AB244*(14.068*'Sem TS MC2020'!$P236^-0.457)/$Q244</f>
        <v>0.75955448617796</v>
      </c>
      <c r="AG244" s="24"/>
      <c r="AO244" s="4" t="n">
        <f aca="false">$AP$2*($AP$3+$AP$4*$F244/($N244*'Sem TS MC2020'!P236))*($AP$5*$G244+$AP$6*$B244/$N244)*('Sem TS MC2020'!P236^$AP$7/200000)*($J244-$M244)/($J244-$M244-$H244)+('Sem TS MC2020'!P236-$C244/$AP$8)*($AP$5*$G244+$AP$6*$B244/$N244)/200000</f>
        <v>0.43211397299647</v>
      </c>
      <c r="AP244" s="4" t="n">
        <f aca="false">AO244/$Q244</f>
        <v>0.919391431907382</v>
      </c>
      <c r="AQ244" s="23" t="n">
        <f aca="false">AO244-$Q244</f>
        <v>-0.0378860270035304</v>
      </c>
    </row>
    <row r="245" customFormat="false" ht="14.25" hidden="false" customHeight="false" outlineLevel="0" collapsed="false">
      <c r="A245" s="1" t="s">
        <v>71</v>
      </c>
      <c r="B245" s="2" t="n">
        <v>20</v>
      </c>
      <c r="C245" s="3" t="n">
        <v>528</v>
      </c>
      <c r="D245" s="3" t="n">
        <v>3</v>
      </c>
      <c r="E245" s="2" t="n">
        <v>12</v>
      </c>
      <c r="F245" s="4" t="n">
        <v>2.98</v>
      </c>
      <c r="G245" s="2" t="n">
        <v>25</v>
      </c>
      <c r="H245" s="2" t="n">
        <v>35</v>
      </c>
      <c r="I245" s="1" t="n">
        <v>150</v>
      </c>
      <c r="J245" s="2" t="n">
        <v>235</v>
      </c>
      <c r="K245" s="3" t="n">
        <v>942</v>
      </c>
      <c r="L245" s="4" t="n">
        <v>18375</v>
      </c>
      <c r="M245" s="3" t="n">
        <v>93.0113581251418</v>
      </c>
      <c r="N245" s="12" t="n">
        <v>0.051265306122449</v>
      </c>
      <c r="O245" s="4" t="n">
        <v>48.3</v>
      </c>
      <c r="P245" s="3" t="n">
        <v>275.466134573373</v>
      </c>
      <c r="Q245" s="4" t="n">
        <v>0.16</v>
      </c>
      <c r="R245" s="13" t="n">
        <f aca="false">P245/200000</f>
        <v>0.00137733067286687</v>
      </c>
      <c r="V245" s="4" t="n">
        <f aca="false">$W$2*($W$3*$G245+$W$4*$B245^$W$5*$N245^$W$6)*$R245^$W$7</f>
        <v>0.228128145854576</v>
      </c>
      <c r="W245" s="4" t="n">
        <f aca="false">V245/$Q245</f>
        <v>1.4258009115911</v>
      </c>
      <c r="Y245" s="4" t="n">
        <f aca="false">$Z$2*$B245^$Z$3*$R245^$Z$4*($Z$5*$N245^$Z$6+$Z$7)</f>
        <v>0.231838154963118</v>
      </c>
      <c r="Z245" s="4" t="n">
        <f aca="false">Y245/$Q245</f>
        <v>1.44898846851949</v>
      </c>
      <c r="AB245" s="4" t="n">
        <f aca="false">$AC$2*($AC$3+$AC$4*$F245/($N245*'Sem TS MC2020'!P237))*($AC$5*$G245+$AC$6*$B245/$N245)*'Sem TS MC2020'!R237*($J245-$M245)/($J245-$M245-$H245)</f>
        <v>0.192828264060671</v>
      </c>
      <c r="AC245" s="4" t="n">
        <f aca="false">AB245/$Q245</f>
        <v>1.20517665037919</v>
      </c>
      <c r="AD245" s="23" t="n">
        <f aca="false">AB245-$Q245</f>
        <v>0.0328282640606708</v>
      </c>
      <c r="AE245" s="24" t="n">
        <f aca="false">1/AC245</f>
        <v>0.829753878558271</v>
      </c>
      <c r="AF245" s="24" t="n">
        <f aca="false">AB245*(14.068*'Sem TS MC2020'!$P237^-0.457)/$Q245</f>
        <v>1.24451538546402</v>
      </c>
      <c r="AG245" s="24"/>
      <c r="AO245" s="4" t="n">
        <f aca="false">$AP$2*($AP$3+$AP$4*$F245/($N245*'Sem TS MC2020'!P237))*($AP$5*$G245+$AP$6*$B245/$N245)*('Sem TS MC2020'!P237^$AP$7/200000)*($J245-$M245)/($J245-$M245-$H245)+('Sem TS MC2020'!P237-$C245/$AP$8)*($AP$5*$G245+$AP$6*$B245/$N245)/200000</f>
        <v>0.197729208766455</v>
      </c>
      <c r="AP245" s="4" t="n">
        <f aca="false">AO245/$Q245</f>
        <v>1.23580755479034</v>
      </c>
      <c r="AQ245" s="23" t="n">
        <f aca="false">AO245-$Q245</f>
        <v>0.0377292087664546</v>
      </c>
    </row>
    <row r="246" customFormat="false" ht="14.25" hidden="false" customHeight="false" outlineLevel="0" collapsed="false">
      <c r="B246" s="2" t="n">
        <v>20</v>
      </c>
      <c r="C246" s="3" t="n">
        <v>528</v>
      </c>
      <c r="D246" s="3" t="n">
        <v>3</v>
      </c>
      <c r="E246" s="2" t="n">
        <v>12</v>
      </c>
      <c r="F246" s="4" t="n">
        <v>2.98</v>
      </c>
      <c r="G246" s="2" t="n">
        <v>25</v>
      </c>
      <c r="H246" s="2" t="n">
        <v>35</v>
      </c>
      <c r="I246" s="1" t="n">
        <v>150</v>
      </c>
      <c r="J246" s="2" t="n">
        <v>235</v>
      </c>
      <c r="K246" s="3" t="n">
        <v>942</v>
      </c>
      <c r="L246" s="4" t="n">
        <v>18375</v>
      </c>
      <c r="M246" s="3" t="n">
        <v>93.0113581251418</v>
      </c>
      <c r="N246" s="12" t="n">
        <v>0.051265306122449</v>
      </c>
      <c r="O246" s="4" t="n">
        <v>50.6</v>
      </c>
      <c r="P246" s="3" t="n">
        <v>292.265185836028</v>
      </c>
      <c r="Q246" s="4" t="n">
        <v>0.18</v>
      </c>
      <c r="R246" s="13" t="n">
        <f aca="false">P246/200000</f>
        <v>0.00146132592918014</v>
      </c>
      <c r="V246" s="4" t="n">
        <f aca="false">$W$2*($W$3*$G246+$W$4*$B246^$W$5*$N246^$W$6)*$R246^$W$7</f>
        <v>0.236614439519794</v>
      </c>
      <c r="W246" s="4" t="n">
        <f aca="false">V246/$Q246</f>
        <v>1.31452466399886</v>
      </c>
      <c r="Y246" s="4" t="n">
        <f aca="false">$Z$2*$B246^$Z$3*$R246^$Z$4*($Z$5*$N246^$Z$6+$Z$7)</f>
        <v>0.240619091622107</v>
      </c>
      <c r="Z246" s="4" t="n">
        <f aca="false">Y246/$Q246</f>
        <v>1.33677273123393</v>
      </c>
      <c r="AB246" s="4" t="n">
        <f aca="false">$AC$2*($AC$3+$AC$4*$F246/($N246*'Sem TS MC2020'!P238))*($AC$5*$G246+$AC$6*$B246/$N246)*'Sem TS MC2020'!R238*($J246-$M246)/($J246-$M246-$H246)</f>
        <v>0.203079031059153</v>
      </c>
      <c r="AC246" s="4" t="n">
        <f aca="false">AB246/$Q246</f>
        <v>1.12821683921752</v>
      </c>
      <c r="AD246" s="23" t="n">
        <f aca="false">AB246-$Q246</f>
        <v>0.0230790310591528</v>
      </c>
      <c r="AE246" s="24" t="n">
        <f aca="false">1/AC246</f>
        <v>0.886354435813561</v>
      </c>
      <c r="AF246" s="24" t="n">
        <f aca="false">AB246*(14.068*'Sem TS MC2020'!$P238^-0.457)/$Q246</f>
        <v>1.14053650748295</v>
      </c>
      <c r="AG246" s="24"/>
      <c r="AO246" s="4" t="n">
        <f aca="false">$AP$2*($AP$3+$AP$4*$F246/($N246*'Sem TS MC2020'!P238))*($AP$5*$G246+$AP$6*$B246/$N246)*('Sem TS MC2020'!P238^$AP$7/200000)*($J246-$M246)/($J246-$M246-$H246)+('Sem TS MC2020'!P238-$C246/$AP$8)*($AP$5*$G246+$AP$6*$B246/$N246)/200000</f>
        <v>0.207066256930296</v>
      </c>
      <c r="AP246" s="4" t="n">
        <f aca="false">AO246/$Q246</f>
        <v>1.1503680940572</v>
      </c>
      <c r="AQ246" s="23" t="n">
        <f aca="false">AO246-$Q246</f>
        <v>0.0270662569302957</v>
      </c>
    </row>
    <row r="247" customFormat="false" ht="14.25" hidden="false" customHeight="false" outlineLevel="0" collapsed="false">
      <c r="B247" s="2" t="n">
        <v>20</v>
      </c>
      <c r="C247" s="3" t="n">
        <v>528</v>
      </c>
      <c r="D247" s="3" t="n">
        <v>3</v>
      </c>
      <c r="E247" s="2" t="n">
        <v>12</v>
      </c>
      <c r="F247" s="4" t="n">
        <v>2.98</v>
      </c>
      <c r="G247" s="2" t="n">
        <v>25</v>
      </c>
      <c r="H247" s="2" t="n">
        <v>35</v>
      </c>
      <c r="I247" s="1" t="n">
        <v>150</v>
      </c>
      <c r="J247" s="2" t="n">
        <v>235</v>
      </c>
      <c r="K247" s="3" t="n">
        <v>942</v>
      </c>
      <c r="L247" s="4" t="n">
        <v>18375</v>
      </c>
      <c r="M247" s="3" t="n">
        <v>93.0113581251418</v>
      </c>
      <c r="N247" s="12" t="n">
        <v>0.051265306122449</v>
      </c>
      <c r="O247" s="4" t="n">
        <v>56.35</v>
      </c>
      <c r="P247" s="3" t="n">
        <v>334.262813992667</v>
      </c>
      <c r="Q247" s="4" t="n">
        <v>0.18</v>
      </c>
      <c r="R247" s="13" t="n">
        <f aca="false">P247/200000</f>
        <v>0.00167131406996333</v>
      </c>
      <c r="V247" s="4" t="n">
        <f aca="false">$W$2*($W$3*$G247+$W$4*$B247^$W$5*$N247^$W$6)*$R247^$W$7</f>
        <v>0.257050893731725</v>
      </c>
      <c r="W247" s="4" t="n">
        <f aca="false">V247/$Q247</f>
        <v>1.42806052073181</v>
      </c>
      <c r="Y247" s="4" t="n">
        <f aca="false">$Z$2*$B247^$Z$3*$R247^$Z$4*($Z$5*$N247^$Z$6+$Z$7)</f>
        <v>0.261787784517274</v>
      </c>
      <c r="Z247" s="4" t="n">
        <f aca="false">Y247/$Q247</f>
        <v>1.45437658065152</v>
      </c>
      <c r="AB247" s="4" t="n">
        <f aca="false">$AC$2*($AC$3+$AC$4*$F247/($N247*'Sem TS MC2020'!P239))*($AC$5*$G247+$AC$6*$B247/$N247)*'Sem TS MC2020'!R239*($J247-$M247)/($J247-$M247-$H247)</f>
        <v>0.228705948555358</v>
      </c>
      <c r="AC247" s="4" t="n">
        <f aca="false">AB247/$Q247</f>
        <v>1.27058860308532</v>
      </c>
      <c r="AD247" s="23" t="n">
        <f aca="false">AB247-$Q247</f>
        <v>0.048705948555358</v>
      </c>
      <c r="AE247" s="24" t="n">
        <f aca="false">1/AC247</f>
        <v>0.787036809217191</v>
      </c>
      <c r="AF247" s="24" t="n">
        <f aca="false">AB247*(14.068*'Sem TS MC2020'!$P239^-0.457)/$Q247</f>
        <v>1.22281239910419</v>
      </c>
      <c r="AG247" s="24"/>
      <c r="AO247" s="4" t="n">
        <f aca="false">$AP$2*($AP$3+$AP$4*$F247/($N247*'Sem TS MC2020'!P239))*($AP$5*$G247+$AP$6*$B247/$N247)*('Sem TS MC2020'!P239^$AP$7/200000)*($J247-$M247)/($J247-$M247-$H247)+('Sem TS MC2020'!P239-$C247/$AP$8)*($AP$5*$G247+$AP$6*$B247/$N247)/200000</f>
        <v>0.23006999154992</v>
      </c>
      <c r="AP247" s="4" t="n">
        <f aca="false">AO247/$Q247</f>
        <v>1.27816661972178</v>
      </c>
      <c r="AQ247" s="23" t="n">
        <f aca="false">AO247-$Q247</f>
        <v>0.0500699915499197</v>
      </c>
    </row>
    <row r="248" customFormat="false" ht="14.25" hidden="false" customHeight="false" outlineLevel="0" collapsed="false">
      <c r="B248" s="2" t="n">
        <v>20</v>
      </c>
      <c r="C248" s="3" t="n">
        <v>528</v>
      </c>
      <c r="D248" s="3" t="n">
        <v>3</v>
      </c>
      <c r="E248" s="2" t="n">
        <v>12</v>
      </c>
      <c r="F248" s="4" t="n">
        <v>2.98</v>
      </c>
      <c r="G248" s="2" t="n">
        <v>25</v>
      </c>
      <c r="H248" s="2" t="n">
        <v>35</v>
      </c>
      <c r="I248" s="1" t="n">
        <v>150</v>
      </c>
      <c r="J248" s="2" t="n">
        <v>235</v>
      </c>
      <c r="K248" s="3" t="n">
        <v>942</v>
      </c>
      <c r="L248" s="4" t="n">
        <v>18375</v>
      </c>
      <c r="M248" s="3" t="n">
        <v>93.0113581251418</v>
      </c>
      <c r="N248" s="12" t="n">
        <v>0.051265306122449</v>
      </c>
      <c r="O248" s="4" t="n">
        <v>62.675</v>
      </c>
      <c r="P248" s="3" t="n">
        <v>380.460204964968</v>
      </c>
      <c r="Q248" s="4" t="n">
        <v>0.2</v>
      </c>
      <c r="R248" s="13" t="n">
        <f aca="false">P248/200000</f>
        <v>0.00190230102482484</v>
      </c>
      <c r="V248" s="4" t="n">
        <f aca="false">$W$2*($W$3*$G248+$W$4*$B248^$W$5*$N248^$W$6)*$R248^$W$7</f>
        <v>0.278424585423451</v>
      </c>
      <c r="W248" s="4" t="n">
        <f aca="false">V248/$Q248</f>
        <v>1.39212292711725</v>
      </c>
      <c r="Y248" s="4" t="n">
        <f aca="false">$Z$2*$B248^$Z$3*$R248^$Z$4*($Z$5*$N248^$Z$6+$Z$7)</f>
        <v>0.283959415863129</v>
      </c>
      <c r="Z248" s="4" t="n">
        <f aca="false">Y248/$Q248</f>
        <v>1.41979707931564</v>
      </c>
      <c r="AB248" s="4" t="n">
        <f aca="false">$AC$2*($AC$3+$AC$4*$F248/($N248*'Sem TS MC2020'!P240))*($AC$5*$G248+$AC$6*$B248/$N248)*'Sem TS MC2020'!R240*($J248-$M248)/($J248-$M248-$H248)</f>
        <v>0.256895557801184</v>
      </c>
      <c r="AC248" s="4" t="n">
        <f aca="false">AB248/$Q248</f>
        <v>1.28447778900592</v>
      </c>
      <c r="AD248" s="23" t="n">
        <f aca="false">AB248-$Q248</f>
        <v>0.0568955578011837</v>
      </c>
      <c r="AE248" s="24" t="n">
        <f aca="false">1/AC248</f>
        <v>0.77852650202221</v>
      </c>
      <c r="AF248" s="24" t="n">
        <f aca="false">AB248*(14.068*'Sem TS MC2020'!$P240^-0.457)/$Q248</f>
        <v>1.17751889354795</v>
      </c>
      <c r="AG248" s="24"/>
      <c r="AO248" s="4" t="n">
        <f aca="false">$AP$2*($AP$3+$AP$4*$F248/($N248*'Sem TS MC2020'!P240))*($AP$5*$G248+$AP$6*$B248/$N248)*('Sem TS MC2020'!P240^$AP$7/200000)*($J248-$M248)/($J248-$M248-$H248)+('Sem TS MC2020'!P240-$C248/$AP$8)*($AP$5*$G248+$AP$6*$B248/$N248)/200000</f>
        <v>0.254875106880491</v>
      </c>
      <c r="AP248" s="4" t="n">
        <f aca="false">AO248/$Q248</f>
        <v>1.27437553440245</v>
      </c>
      <c r="AQ248" s="23" t="n">
        <f aca="false">AO248-$Q248</f>
        <v>0.0548751068804908</v>
      </c>
    </row>
    <row r="249" customFormat="false" ht="14.25" hidden="false" customHeight="false" outlineLevel="0" collapsed="false">
      <c r="B249" s="2" t="n">
        <v>20</v>
      </c>
      <c r="C249" s="3" t="n">
        <v>528</v>
      </c>
      <c r="D249" s="3" t="n">
        <v>3</v>
      </c>
      <c r="E249" s="2" t="n">
        <v>12</v>
      </c>
      <c r="F249" s="4" t="n">
        <v>2.98</v>
      </c>
      <c r="G249" s="2" t="n">
        <v>25</v>
      </c>
      <c r="H249" s="2" t="n">
        <v>35</v>
      </c>
      <c r="I249" s="1" t="n">
        <v>150</v>
      </c>
      <c r="J249" s="2" t="n">
        <v>235</v>
      </c>
      <c r="K249" s="3" t="n">
        <v>942</v>
      </c>
      <c r="L249" s="4" t="n">
        <v>18375</v>
      </c>
      <c r="M249" s="3" t="n">
        <v>93.0113581251418</v>
      </c>
      <c r="N249" s="12" t="n">
        <v>0.051265306122449</v>
      </c>
      <c r="O249" s="4" t="n">
        <v>68.425</v>
      </c>
      <c r="P249" s="3" t="n">
        <v>422.457833121606</v>
      </c>
      <c r="Q249" s="4" t="n">
        <v>0.2</v>
      </c>
      <c r="R249" s="13" t="n">
        <f aca="false">P249/200000</f>
        <v>0.00211228916560803</v>
      </c>
      <c r="V249" s="4" t="n">
        <f aca="false">$W$2*($W$3*$G249+$W$4*$B249^$W$5*$N249^$W$6)*$R249^$W$7</f>
        <v>0.29700592939663</v>
      </c>
      <c r="W249" s="4" t="n">
        <f aca="false">V249/$Q249</f>
        <v>1.48502964698315</v>
      </c>
      <c r="Y249" s="4" t="n">
        <f aca="false">$Z$2*$B249^$Z$3*$R249^$Z$4*($Z$5*$N249^$Z$6+$Z$7)</f>
        <v>0.30325922968973</v>
      </c>
      <c r="Z249" s="4" t="n">
        <f aca="false">Y249/$Q249</f>
        <v>1.51629614844865</v>
      </c>
      <c r="AB249" s="4" t="n">
        <f aca="false">$AC$2*($AC$3+$AC$4*$F249/($N249*'Sem TS MC2020'!P241))*($AC$5*$G249+$AC$6*$B249/$N249)*'Sem TS MC2020'!R241*($J249-$M249)/($J249-$M249-$H249)</f>
        <v>0.282522475297389</v>
      </c>
      <c r="AC249" s="4" t="n">
        <f aca="false">AB249/$Q249</f>
        <v>1.41261237648694</v>
      </c>
      <c r="AD249" s="23" t="n">
        <f aca="false">AB249-$Q249</f>
        <v>0.0825224752973888</v>
      </c>
      <c r="AE249" s="24" t="n">
        <f aca="false">1/AC249</f>
        <v>0.707908281595919</v>
      </c>
      <c r="AF249" s="24" t="n">
        <f aca="false">AB249*(14.068*'Sem TS MC2020'!$P241^-0.457)/$Q249</f>
        <v>1.24406548257975</v>
      </c>
      <c r="AG249" s="24"/>
      <c r="AO249" s="4" t="n">
        <f aca="false">$AP$2*($AP$3+$AP$4*$F249/($N249*'Sem TS MC2020'!P241))*($AP$5*$G249+$AP$6*$B249/$N249)*('Sem TS MC2020'!P241^$AP$7/200000)*($J249-$M249)/($J249-$M249-$H249)+('Sem TS MC2020'!P241-$C249/$AP$8)*($AP$5*$G249+$AP$6*$B249/$N249)/200000</f>
        <v>0.27702668506448</v>
      </c>
      <c r="AP249" s="4" t="n">
        <f aca="false">AO249/$Q249</f>
        <v>1.3851334253224</v>
      </c>
      <c r="AQ249" s="23" t="n">
        <f aca="false">AO249-$Q249</f>
        <v>0.0770266850644796</v>
      </c>
    </row>
    <row r="250" customFormat="false" ht="14.25" hidden="false" customHeight="false" outlineLevel="0" collapsed="false">
      <c r="B250" s="2" t="n">
        <v>20</v>
      </c>
      <c r="C250" s="3" t="n">
        <v>528</v>
      </c>
      <c r="D250" s="3" t="n">
        <v>3</v>
      </c>
      <c r="E250" s="2" t="n">
        <v>12</v>
      </c>
      <c r="F250" s="4" t="n">
        <v>2.98</v>
      </c>
      <c r="G250" s="2" t="n">
        <v>25</v>
      </c>
      <c r="H250" s="2" t="n">
        <v>35</v>
      </c>
      <c r="I250" s="1" t="n">
        <v>150</v>
      </c>
      <c r="J250" s="2" t="n">
        <v>235</v>
      </c>
      <c r="K250" s="3" t="n">
        <v>942</v>
      </c>
      <c r="L250" s="4" t="n">
        <v>18375</v>
      </c>
      <c r="M250" s="3" t="n">
        <v>93.0113581251418</v>
      </c>
      <c r="N250" s="12" t="n">
        <v>0.051265306122449</v>
      </c>
      <c r="O250" s="4" t="n">
        <v>73.6</v>
      </c>
      <c r="P250" s="3" t="n">
        <v>460.255698462581</v>
      </c>
      <c r="Q250" s="4" t="n">
        <v>0.2</v>
      </c>
      <c r="R250" s="13" t="n">
        <f aca="false">P250/200000</f>
        <v>0.0023012784923129</v>
      </c>
      <c r="V250" s="4" t="n">
        <f aca="false">$W$2*($W$3*$G250+$W$4*$B250^$W$5*$N250^$W$6)*$R250^$W$7</f>
        <v>0.313131870744999</v>
      </c>
      <c r="W250" s="4" t="n">
        <f aca="false">V250/$Q250</f>
        <v>1.565659353725</v>
      </c>
      <c r="Y250" s="4" t="n">
        <f aca="false">$Z$2*$B250^$Z$3*$R250^$Z$4*($Z$5*$N250^$Z$6+$Z$7)</f>
        <v>0.320026214469764</v>
      </c>
      <c r="Z250" s="4" t="n">
        <f aca="false">Y250/$Q250</f>
        <v>1.60013107234882</v>
      </c>
      <c r="AB250" s="4" t="n">
        <f aca="false">$AC$2*($AC$3+$AC$4*$F250/($N250*'Sem TS MC2020'!P242))*($AC$5*$G250+$AC$6*$B250/$N250)*'Sem TS MC2020'!R242*($J250-$M250)/($J250-$M250-$H250)</f>
        <v>0.305586701043973</v>
      </c>
      <c r="AC250" s="4" t="n">
        <f aca="false">AB250/$Q250</f>
        <v>1.52793350521987</v>
      </c>
      <c r="AD250" s="23" t="n">
        <f aca="false">AB250-$Q250</f>
        <v>0.105586701043973</v>
      </c>
      <c r="AE250" s="24" t="n">
        <f aca="false">1/AC250</f>
        <v>0.654478743075997</v>
      </c>
      <c r="AF250" s="24" t="n">
        <f aca="false">AB250*(14.068*'Sem TS MC2020'!$P242^-0.457)/$Q250</f>
        <v>1.30153152892267</v>
      </c>
      <c r="AG250" s="24"/>
      <c r="AO250" s="4" t="n">
        <f aca="false">$AP$2*($AP$3+$AP$4*$F250/($N250*'Sem TS MC2020'!P242))*($AP$5*$G250+$AP$6*$B250/$N250)*('Sem TS MC2020'!P242^$AP$7/200000)*($J250-$M250)/($J250-$M250-$H250)+('Sem TS MC2020'!P242-$C250/$AP$8)*($AP$5*$G250+$AP$6*$B250/$N250)/200000</f>
        <v>0.296673435869284</v>
      </c>
      <c r="AP250" s="4" t="n">
        <f aca="false">AO250/$Q250</f>
        <v>1.48336717934642</v>
      </c>
      <c r="AQ250" s="23" t="n">
        <f aca="false">AO250-$Q250</f>
        <v>0.0966734358692843</v>
      </c>
    </row>
    <row r="251" customFormat="false" ht="14.25" hidden="false" customHeight="false" outlineLevel="0" collapsed="false">
      <c r="B251" s="2" t="n">
        <v>20</v>
      </c>
      <c r="C251" s="3" t="n">
        <v>528</v>
      </c>
      <c r="D251" s="3" t="n">
        <v>3</v>
      </c>
      <c r="E251" s="2" t="n">
        <v>12</v>
      </c>
      <c r="F251" s="4" t="n">
        <v>2.98</v>
      </c>
      <c r="G251" s="2" t="n">
        <v>25</v>
      </c>
      <c r="H251" s="2" t="n">
        <v>35</v>
      </c>
      <c r="I251" s="1" t="n">
        <v>150</v>
      </c>
      <c r="J251" s="2" t="n">
        <v>235</v>
      </c>
      <c r="K251" s="3" t="n">
        <v>942</v>
      </c>
      <c r="L251" s="4" t="n">
        <v>18375</v>
      </c>
      <c r="M251" s="3" t="n">
        <v>93.0113581251418</v>
      </c>
      <c r="N251" s="12" t="n">
        <v>0.051265306122449</v>
      </c>
      <c r="O251" s="4" t="n">
        <v>79.925</v>
      </c>
      <c r="P251" s="3" t="n">
        <v>502.059011853244</v>
      </c>
      <c r="Q251" s="4" t="n">
        <v>0.22</v>
      </c>
      <c r="R251" s="13" t="n">
        <f aca="false">P251/200000</f>
        <v>0.00251029505926622</v>
      </c>
      <c r="V251" s="4" t="n">
        <f aca="false">$W$2*($W$3*$G251+$W$4*$B251^$W$5*$N251^$W$6)*$R251^$W$7</f>
        <v>0.330386637030469</v>
      </c>
      <c r="W251" s="4" t="n">
        <f aca="false">V251/$Q251</f>
        <v>1.50175744104759</v>
      </c>
      <c r="Y251" s="4" t="n">
        <f aca="false">$Z$2*$B251^$Z$3*$R251^$Z$4*($Z$5*$N251^$Z$6+$Z$7)</f>
        <v>0.337983941730069</v>
      </c>
      <c r="Z251" s="4" t="n">
        <f aca="false">Y251/$Q251</f>
        <v>1.53629064422759</v>
      </c>
      <c r="AB251" s="4" t="n">
        <f aca="false">$AC$2*($AC$3+$AC$4*$F251/($N251*'Sem TS MC2020'!P243))*($AC$5*$G251+$AC$6*$B251/$N251)*'Sem TS MC2020'!R243*($J251-$M251)/($J251-$M251-$H251)</f>
        <v>0.333776310289799</v>
      </c>
      <c r="AC251" s="4" t="n">
        <f aca="false">AB251/$Q251</f>
        <v>1.51716504677181</v>
      </c>
      <c r="AD251" s="23" t="n">
        <f aca="false">AB251-$Q251</f>
        <v>0.113776310289799</v>
      </c>
      <c r="AE251" s="24" t="n">
        <f aca="false">1/AC251</f>
        <v>0.659124069677044</v>
      </c>
      <c r="AF251" s="24" t="n">
        <f aca="false">AB251*(14.068*'Sem TS MC2020'!$P243^-0.457)/$Q251</f>
        <v>1.24457266957469</v>
      </c>
      <c r="AG251" s="24"/>
      <c r="AO251" s="4" t="n">
        <f aca="false">$AP$2*($AP$3+$AP$4*$F251/($N251*'Sem TS MC2020'!P243))*($AP$5*$G251+$AP$6*$B251/$N251)*('Sem TS MC2020'!P243^$AP$7/200000)*($J251-$M251)/($J251-$M251-$H251)+('Sem TS MC2020'!P243-$C251/$AP$8)*($AP$5*$G251+$AP$6*$B251/$N251)/200000</f>
        <v>0.320349998868577</v>
      </c>
      <c r="AP251" s="4" t="n">
        <f aca="false">AO251/$Q251</f>
        <v>1.45613635849353</v>
      </c>
      <c r="AQ251" s="23" t="n">
        <f aca="false">AO251-$Q251</f>
        <v>0.100349998868577</v>
      </c>
    </row>
    <row r="252" customFormat="false" ht="14.25" hidden="false" customHeight="false" outlineLevel="0" collapsed="false">
      <c r="A252" s="1" t="s">
        <v>72</v>
      </c>
      <c r="B252" s="2" t="n">
        <v>28</v>
      </c>
      <c r="C252" s="3" t="n">
        <v>400</v>
      </c>
      <c r="D252" s="3" t="n">
        <v>4</v>
      </c>
      <c r="E252" s="2" t="n">
        <v>16</v>
      </c>
      <c r="F252" s="4" t="n">
        <v>5.30847435710111</v>
      </c>
      <c r="G252" s="2" t="n">
        <v>30</v>
      </c>
      <c r="H252" s="2" t="n">
        <v>44</v>
      </c>
      <c r="I252" s="1" t="n">
        <v>200</v>
      </c>
      <c r="J252" s="2" t="n">
        <v>300</v>
      </c>
      <c r="K252" s="3" t="n">
        <v>2463</v>
      </c>
      <c r="L252" s="4" t="n">
        <v>30800</v>
      </c>
      <c r="M252" s="3" t="n">
        <v>133.493416234983</v>
      </c>
      <c r="N252" s="12" t="n">
        <v>0.0799675324675325</v>
      </c>
      <c r="O252" s="4" t="n">
        <v>78.75</v>
      </c>
      <c r="P252" s="3" t="n">
        <v>92.5310334856492</v>
      </c>
      <c r="Q252" s="4" t="n">
        <v>0.22</v>
      </c>
      <c r="R252" s="13" t="n">
        <f aca="false">P252/200000</f>
        <v>0.000462655167428246</v>
      </c>
      <c r="V252" s="4" t="n">
        <f aca="false">$W$2*($W$3*$G252+$W$4*$B252^$W$5*$N252^$W$6)*$R252^$W$7</f>
        <v>0.121178995981108</v>
      </c>
      <c r="W252" s="4" t="n">
        <f aca="false">V252/$Q252</f>
        <v>0.550813618095947</v>
      </c>
      <c r="Y252" s="4" t="n">
        <f aca="false">$Z$2*$B252^$Z$3*$R252^$Z$4*($Z$5*$N252^$Z$6+$Z$7)</f>
        <v>0.12775770887383</v>
      </c>
      <c r="Z252" s="4" t="n">
        <f aca="false">Y252/$Q252</f>
        <v>0.580716858517411</v>
      </c>
      <c r="AB252" s="4" t="n">
        <f aca="false">$AC$2*($AC$3+$AC$4*$F252/($N252*'Sem TS MC2020'!P244))*($AC$5*$G252+$AC$6*$B252/$N252)*'Sem TS MC2020'!R244*($J252-$M252)/($J252-$M252-$H252)</f>
        <v>0.0829430340911861</v>
      </c>
      <c r="AC252" s="4" t="n">
        <f aca="false">AB252/$Q252</f>
        <v>0.377013791323573</v>
      </c>
      <c r="AD252" s="23" t="n">
        <f aca="false">AB252-$Q252</f>
        <v>-0.137056965908814</v>
      </c>
      <c r="AE252" s="24" t="n">
        <f aca="false">1/AC252</f>
        <v>2.65242286360222</v>
      </c>
      <c r="AF252" s="24" t="n">
        <f aca="false">AB252*(14.068*'Sem TS MC2020'!$P244^-0.457)/$Q252</f>
        <v>0.535267931697532</v>
      </c>
      <c r="AG252" s="24"/>
      <c r="AO252" s="4" t="n">
        <f aca="false">$AP$2*($AP$3+$AP$4*$F252/($N252*'Sem TS MC2020'!P244))*($AP$5*$G252+$AP$6*$B252/$N252)*('Sem TS MC2020'!P244^$AP$7/200000)*($J252-$M252)/($J252-$M252-$H252)+('Sem TS MC2020'!P244-$C252/$AP$8)*($AP$5*$G252+$AP$6*$B252/$N252)/200000</f>
        <v>0.0918235427333827</v>
      </c>
      <c r="AP252" s="4" t="n">
        <f aca="false">AO252/$Q252</f>
        <v>0.417379739697194</v>
      </c>
      <c r="AQ252" s="23" t="n">
        <f aca="false">AO252-$Q252</f>
        <v>-0.128176457266617</v>
      </c>
    </row>
    <row r="253" customFormat="false" ht="14.25" hidden="false" customHeight="false" outlineLevel="0" collapsed="false">
      <c r="B253" s="2" t="n">
        <v>28</v>
      </c>
      <c r="C253" s="3" t="n">
        <v>400</v>
      </c>
      <c r="D253" s="3" t="n">
        <v>4</v>
      </c>
      <c r="E253" s="2" t="n">
        <v>16</v>
      </c>
      <c r="F253" s="4" t="n">
        <v>5.30847435710111</v>
      </c>
      <c r="G253" s="2" t="n">
        <v>30</v>
      </c>
      <c r="H253" s="2" t="n">
        <v>44</v>
      </c>
      <c r="I253" s="1" t="n">
        <v>200</v>
      </c>
      <c r="J253" s="2" t="n">
        <v>300</v>
      </c>
      <c r="K253" s="3" t="n">
        <v>2463</v>
      </c>
      <c r="L253" s="4" t="n">
        <v>30800</v>
      </c>
      <c r="M253" s="3" t="n">
        <v>133.493416234983</v>
      </c>
      <c r="N253" s="12" t="n">
        <v>0.0799675324675325</v>
      </c>
      <c r="O253" s="4" t="n">
        <v>105.075</v>
      </c>
      <c r="P253" s="3" t="n">
        <v>145.469198364301</v>
      </c>
      <c r="Q253" s="4" t="n">
        <v>0.25</v>
      </c>
      <c r="R253" s="13" t="n">
        <f aca="false">P253/200000</f>
        <v>0.000727345991821506</v>
      </c>
      <c r="V253" s="4" t="n">
        <f aca="false">$W$2*($W$3*$G253+$W$4*$B253^$W$5*$N253^$W$6)*$R253^$W$7</f>
        <v>0.160198243985295</v>
      </c>
      <c r="W253" s="4" t="n">
        <f aca="false">V253/$Q253</f>
        <v>0.640792975941179</v>
      </c>
      <c r="Y253" s="4" t="n">
        <f aca="false">$Z$2*$B253^$Z$3*$R253^$Z$4*($Z$5*$N253^$Z$6+$Z$7)</f>
        <v>0.169737904459013</v>
      </c>
      <c r="Z253" s="4" t="n">
        <f aca="false">Y253/$Q253</f>
        <v>0.678951617836051</v>
      </c>
      <c r="AB253" s="4" t="n">
        <f aca="false">$AC$2*($AC$3+$AC$4*$F253/($N253*'Sem TS MC2020'!P245))*($AC$5*$G253+$AC$6*$B253/$N253)*'Sem TS MC2020'!R245*($J253-$M253)/($J253-$M253-$H253)</f>
        <v>0.119372784904822</v>
      </c>
      <c r="AC253" s="4" t="n">
        <f aca="false">AB253/$Q253</f>
        <v>0.477491139619289</v>
      </c>
      <c r="AD253" s="23" t="n">
        <f aca="false">AB253-$Q253</f>
        <v>-0.130627215095178</v>
      </c>
      <c r="AE253" s="24" t="n">
        <f aca="false">1/AC253</f>
        <v>2.09427969867109</v>
      </c>
      <c r="AF253" s="24" t="n">
        <f aca="false">AB253*(14.068*'Sem TS MC2020'!$P245^-0.457)/$Q253</f>
        <v>0.594210863085168</v>
      </c>
      <c r="AG253" s="24"/>
      <c r="AO253" s="4" t="n">
        <f aca="false">$AP$2*($AP$3+$AP$4*$F253/($N253*'Sem TS MC2020'!P245))*($AP$5*$G253+$AP$6*$B253/$N253)*('Sem TS MC2020'!P245^$AP$7/200000)*($J253-$M253)/($J253-$M253-$H253)+('Sem TS MC2020'!P245-$C253/$AP$8)*($AP$5*$G253+$AP$6*$B253/$N253)/200000</f>
        <v>0.128544562667349</v>
      </c>
      <c r="AP253" s="4" t="n">
        <f aca="false">AO253/$Q253</f>
        <v>0.514178250669398</v>
      </c>
      <c r="AQ253" s="23" t="n">
        <f aca="false">AO253-$Q253</f>
        <v>-0.121455437332651</v>
      </c>
    </row>
    <row r="254" customFormat="false" ht="14.25" hidden="false" customHeight="false" outlineLevel="0" collapsed="false">
      <c r="B254" s="2" t="n">
        <v>28</v>
      </c>
      <c r="C254" s="3" t="n">
        <v>400</v>
      </c>
      <c r="D254" s="3" t="n">
        <v>4</v>
      </c>
      <c r="E254" s="2" t="n">
        <v>16</v>
      </c>
      <c r="F254" s="4" t="n">
        <v>5.30847435710111</v>
      </c>
      <c r="G254" s="2" t="n">
        <v>30</v>
      </c>
      <c r="H254" s="2" t="n">
        <v>44</v>
      </c>
      <c r="I254" s="1" t="n">
        <v>200</v>
      </c>
      <c r="J254" s="2" t="n">
        <v>300</v>
      </c>
      <c r="K254" s="3" t="n">
        <v>2463</v>
      </c>
      <c r="L254" s="4" t="n">
        <v>30800</v>
      </c>
      <c r="M254" s="3" t="n">
        <v>133.493416234983</v>
      </c>
      <c r="N254" s="12" t="n">
        <v>0.0799675324675325</v>
      </c>
      <c r="O254" s="4" t="n">
        <v>120.15</v>
      </c>
      <c r="P254" s="3" t="n">
        <v>180.361434335736</v>
      </c>
      <c r="Q254" s="4" t="n">
        <v>0.29</v>
      </c>
      <c r="R254" s="13" t="n">
        <f aca="false">P254/200000</f>
        <v>0.000901807171678682</v>
      </c>
      <c r="V254" s="4" t="n">
        <f aca="false">$W$2*($W$3*$G254+$W$4*$B254^$W$5*$N254^$W$6)*$R254^$W$7</f>
        <v>0.18292314808877</v>
      </c>
      <c r="W254" s="4" t="n">
        <f aca="false">V254/$Q254</f>
        <v>0.630769476168173</v>
      </c>
      <c r="Y254" s="4" t="n">
        <f aca="false">$Z$2*$B254^$Z$3*$R254^$Z$4*($Z$5*$N254^$Z$6+$Z$7)</f>
        <v>0.194274970127589</v>
      </c>
      <c r="Z254" s="4" t="n">
        <f aca="false">Y254/$Q254</f>
        <v>0.669913690095135</v>
      </c>
      <c r="AB254" s="4" t="n">
        <f aca="false">$AC$2*($AC$3+$AC$4*$F254/($N254*'Sem TS MC2020'!P246))*($AC$5*$G254+$AC$6*$B254/$N254)*'Sem TS MC2020'!R246*($J254-$M254)/($J254-$M254-$H254)</f>
        <v>0.140234266139981</v>
      </c>
      <c r="AC254" s="4" t="n">
        <f aca="false">AB254/$Q254</f>
        <v>0.483566434965453</v>
      </c>
      <c r="AD254" s="23" t="n">
        <f aca="false">AB254-$Q254</f>
        <v>-0.149765733860019</v>
      </c>
      <c r="AE254" s="24" t="n">
        <f aca="false">1/AC254</f>
        <v>2.06796817912195</v>
      </c>
      <c r="AF254" s="24" t="n">
        <f aca="false">AB254*(14.068*'Sem TS MC2020'!$P246^-0.457)/$Q254</f>
        <v>0.566008402119191</v>
      </c>
      <c r="AG254" s="24"/>
      <c r="AO254" s="4" t="n">
        <f aca="false">$AP$2*($AP$3+$AP$4*$F254/($N254*'Sem TS MC2020'!P246))*($AP$5*$G254+$AP$6*$B254/$N254)*('Sem TS MC2020'!P246^$AP$7/200000)*($J254-$M254)/($J254-$M254-$H254)+('Sem TS MC2020'!P246-$C254/$AP$8)*($AP$5*$G254+$AP$6*$B254/$N254)/200000</f>
        <v>0.148690776764302</v>
      </c>
      <c r="AP254" s="4" t="n">
        <f aca="false">AO254/$Q254</f>
        <v>0.512726816428628</v>
      </c>
      <c r="AQ254" s="23" t="n">
        <f aca="false">AO254-$Q254</f>
        <v>-0.141309223235698</v>
      </c>
    </row>
    <row r="255" customFormat="false" ht="14.25" hidden="false" customHeight="false" outlineLevel="0" collapsed="false">
      <c r="B255" s="2" t="n">
        <v>28</v>
      </c>
      <c r="C255" s="3" t="n">
        <v>400</v>
      </c>
      <c r="D255" s="3" t="n">
        <v>4</v>
      </c>
      <c r="E255" s="2" t="n">
        <v>16</v>
      </c>
      <c r="F255" s="4" t="n">
        <v>5.30847435710111</v>
      </c>
      <c r="G255" s="2" t="n">
        <v>30</v>
      </c>
      <c r="H255" s="2" t="n">
        <v>44</v>
      </c>
      <c r="I255" s="1" t="n">
        <v>200</v>
      </c>
      <c r="J255" s="2" t="n">
        <v>300</v>
      </c>
      <c r="K255" s="3" t="n">
        <v>2463</v>
      </c>
      <c r="L255" s="4" t="n">
        <v>30800</v>
      </c>
      <c r="M255" s="3" t="n">
        <v>133.493416234983</v>
      </c>
      <c r="N255" s="12" t="n">
        <v>0.0799675324675325</v>
      </c>
      <c r="O255" s="4" t="n">
        <v>137.475</v>
      </c>
      <c r="P255" s="3" t="n">
        <v>220.461466720819</v>
      </c>
      <c r="Q255" s="4" t="n">
        <v>0.31</v>
      </c>
      <c r="R255" s="13" t="n">
        <f aca="false">P255/200000</f>
        <v>0.00110230733360409</v>
      </c>
      <c r="V255" s="4" t="n">
        <f aca="false">$W$2*($W$3*$G255+$W$4*$B255^$W$5*$N255^$W$6)*$R255^$W$7</f>
        <v>0.2070447808517</v>
      </c>
      <c r="W255" s="4" t="n">
        <f aca="false">V255/$Q255</f>
        <v>0.667886389844193</v>
      </c>
      <c r="Y255" s="4" t="n">
        <f aca="false">$Z$2*$B255^$Z$3*$R255^$Z$4*($Z$5*$N255^$Z$6+$Z$7)</f>
        <v>0.220379681162094</v>
      </c>
      <c r="Z255" s="4" t="n">
        <f aca="false">Y255/$Q255</f>
        <v>0.710902197297076</v>
      </c>
      <c r="AB255" s="4" t="n">
        <f aca="false">$AC$2*($AC$3+$AC$4*$F255/($N255*'Sem TS MC2020'!P247))*($AC$5*$G255+$AC$6*$B255/$N255)*'Sem TS MC2020'!R247*($J255-$M255)/($J255-$M255-$H255)</f>
        <v>0.164209401290836</v>
      </c>
      <c r="AC255" s="4" t="n">
        <f aca="false">AB255/$Q255</f>
        <v>0.52970774609947</v>
      </c>
      <c r="AD255" s="23" t="n">
        <f aca="false">AB255-$Q255</f>
        <v>-0.145790598709164</v>
      </c>
      <c r="AE255" s="24" t="n">
        <f aca="false">1/AC255</f>
        <v>1.88783344658173</v>
      </c>
      <c r="AF255" s="24" t="n">
        <f aca="false">AB255*(14.068*'Sem TS MC2020'!$P247^-0.457)/$Q255</f>
        <v>0.583000027293956</v>
      </c>
      <c r="AG255" s="24"/>
      <c r="AO255" s="4" t="n">
        <f aca="false">$AP$2*($AP$3+$AP$4*$F255/($N255*'Sem TS MC2020'!P247))*($AP$5*$G255+$AP$6*$B255/$N255)*('Sem TS MC2020'!P247^$AP$7/200000)*($J255-$M255)/($J255-$M255-$H255)+('Sem TS MC2020'!P247-$C255/$AP$8)*($AP$5*$G255+$AP$6*$B255/$N255)/200000</f>
        <v>0.171227060043266</v>
      </c>
      <c r="AP255" s="4" t="n">
        <f aca="false">AO255/$Q255</f>
        <v>0.552345354978278</v>
      </c>
      <c r="AQ255" s="23" t="n">
        <f aca="false">AO255-$Q255</f>
        <v>-0.138772939956734</v>
      </c>
    </row>
    <row r="256" customFormat="false" ht="14.25" hidden="false" customHeight="false" outlineLevel="0" collapsed="false">
      <c r="B256" s="2" t="n">
        <v>28</v>
      </c>
      <c r="C256" s="3" t="n">
        <v>400</v>
      </c>
      <c r="D256" s="3" t="n">
        <v>4</v>
      </c>
      <c r="E256" s="2" t="n">
        <v>16</v>
      </c>
      <c r="F256" s="4" t="n">
        <v>5.30847435710111</v>
      </c>
      <c r="G256" s="2" t="n">
        <v>30</v>
      </c>
      <c r="H256" s="2" t="n">
        <v>44</v>
      </c>
      <c r="I256" s="1" t="n">
        <v>200</v>
      </c>
      <c r="J256" s="2" t="n">
        <v>300</v>
      </c>
      <c r="K256" s="3" t="n">
        <v>2463</v>
      </c>
      <c r="L256" s="4" t="n">
        <v>30800</v>
      </c>
      <c r="M256" s="3" t="n">
        <v>133.493416234983</v>
      </c>
      <c r="N256" s="12" t="n">
        <v>0.0799675324675325</v>
      </c>
      <c r="O256" s="4" t="n">
        <v>164.475</v>
      </c>
      <c r="P256" s="3" t="n">
        <v>282.955023684583</v>
      </c>
      <c r="Q256" s="4" t="n">
        <v>0.33</v>
      </c>
      <c r="R256" s="13" t="n">
        <f aca="false">P256/200000</f>
        <v>0.00141477511842292</v>
      </c>
      <c r="V256" s="4" t="n">
        <f aca="false">$W$2*($W$3*$G256+$W$4*$B256^$W$5*$N256^$W$6)*$R256^$W$7</f>
        <v>0.241511412231426</v>
      </c>
      <c r="W256" s="4" t="n">
        <f aca="false">V256/$Q256</f>
        <v>0.731852764337655</v>
      </c>
      <c r="Y256" s="4" t="n">
        <f aca="false">$Z$2*$B256^$Z$3*$R256^$Z$4*($Z$5*$N256^$Z$6+$Z$7)</f>
        <v>0.257772837626319</v>
      </c>
      <c r="Z256" s="4" t="n">
        <f aca="false">Y256/$Q256</f>
        <v>0.781129810988846</v>
      </c>
      <c r="AB256" s="4" t="n">
        <f aca="false">$AC$2*($AC$3+$AC$4*$F256/($N256*'Sem TS MC2020'!P248))*($AC$5*$G256+$AC$6*$B256/$N256)*'Sem TS MC2020'!R248*($J256-$M256)/($J256-$M256-$H256)</f>
        <v>0.20157324827918</v>
      </c>
      <c r="AC256" s="4" t="n">
        <f aca="false">AB256/$Q256</f>
        <v>0.610828025088426</v>
      </c>
      <c r="AD256" s="23" t="n">
        <f aca="false">AB256-$Q256</f>
        <v>-0.12842675172082</v>
      </c>
      <c r="AE256" s="24" t="n">
        <f aca="false">1/AC256</f>
        <v>1.63712200312885</v>
      </c>
      <c r="AF256" s="24" t="n">
        <f aca="false">AB256*(14.068*'Sem TS MC2020'!$P248^-0.457)/$Q256</f>
        <v>0.619386588739317</v>
      </c>
      <c r="AG256" s="24"/>
      <c r="AO256" s="4" t="n">
        <f aca="false">$AP$2*($AP$3+$AP$4*$F256/($N256*'Sem TS MC2020'!P248))*($AP$5*$G256+$AP$6*$B256/$N256)*('Sem TS MC2020'!P248^$AP$7/200000)*($J256-$M256)/($J256-$M256-$H256)+('Sem TS MC2020'!P248-$C256/$AP$8)*($AP$5*$G256+$AP$6*$B256/$N256)/200000</f>
        <v>0.205275783940273</v>
      </c>
      <c r="AP256" s="4" t="n">
        <f aca="false">AO256/$Q256</f>
        <v>0.62204783012204</v>
      </c>
      <c r="AQ256" s="23" t="n">
        <f aca="false">AO256-$Q256</f>
        <v>-0.124724216059727</v>
      </c>
    </row>
    <row r="257" customFormat="false" ht="14.25" hidden="false" customHeight="false" outlineLevel="0" collapsed="false">
      <c r="B257" s="2" t="n">
        <v>28</v>
      </c>
      <c r="C257" s="3" t="n">
        <v>400</v>
      </c>
      <c r="D257" s="3" t="n">
        <v>4</v>
      </c>
      <c r="E257" s="2" t="n">
        <v>16</v>
      </c>
      <c r="F257" s="4" t="n">
        <v>5.30847435710111</v>
      </c>
      <c r="G257" s="2" t="n">
        <v>30</v>
      </c>
      <c r="H257" s="2" t="n">
        <v>44</v>
      </c>
      <c r="I257" s="1" t="n">
        <v>200</v>
      </c>
      <c r="J257" s="2" t="n">
        <v>300</v>
      </c>
      <c r="K257" s="3" t="n">
        <v>2463</v>
      </c>
      <c r="L257" s="4" t="n">
        <v>30800</v>
      </c>
      <c r="M257" s="3" t="n">
        <v>133.493416234983</v>
      </c>
      <c r="N257" s="12" t="n">
        <v>0.0799675324675325</v>
      </c>
      <c r="O257" s="4" t="n">
        <v>178.2</v>
      </c>
      <c r="P257" s="3" t="n">
        <v>314.72258180783</v>
      </c>
      <c r="Q257" s="4" t="n">
        <v>0.34</v>
      </c>
      <c r="R257" s="13" t="n">
        <f aca="false">P257/200000</f>
        <v>0.00157361290903915</v>
      </c>
      <c r="V257" s="4" t="n">
        <f aca="false">$W$2*($W$3*$G257+$W$4*$B257^$W$5*$N257^$W$6)*$R257^$W$7</f>
        <v>0.257898926084015</v>
      </c>
      <c r="W257" s="4" t="n">
        <f aca="false">V257/$Q257</f>
        <v>0.758526253188281</v>
      </c>
      <c r="Y257" s="4" t="n">
        <f aca="false">$Z$2*$B257^$Z$3*$R257^$Z$4*($Z$5*$N257^$Z$6+$Z$7)</f>
        <v>0.275586122353563</v>
      </c>
      <c r="Z257" s="4" t="n">
        <f aca="false">Y257/$Q257</f>
        <v>0.810547418686951</v>
      </c>
      <c r="AB257" s="4" t="n">
        <f aca="false">$AC$2*($AC$3+$AC$4*$F257/($N257*'Sem TS MC2020'!P249))*($AC$5*$G257+$AC$6*$B257/$N257)*'Sem TS MC2020'!R249*($J257-$M257)/($J257-$M257-$H257)</f>
        <v>0.220566537164922</v>
      </c>
      <c r="AC257" s="4" t="n">
        <f aca="false">AB257/$Q257</f>
        <v>0.648725109308595</v>
      </c>
      <c r="AD257" s="23" t="n">
        <f aca="false">AB257-$Q257</f>
        <v>-0.119433462835078</v>
      </c>
      <c r="AE257" s="24" t="n">
        <f aca="false">1/AC257</f>
        <v>1.54148496127395</v>
      </c>
      <c r="AF257" s="24" t="n">
        <f aca="false">AB257*(14.068*'Sem TS MC2020'!$P249^-0.457)/$Q257</f>
        <v>0.634156406546869</v>
      </c>
      <c r="AG257" s="24"/>
      <c r="AO257" s="4" t="n">
        <f aca="false">$AP$2*($AP$3+$AP$4*$F257/($N257*'Sem TS MC2020'!P249))*($AP$5*$G257+$AP$6*$B257/$N257)*('Sem TS MC2020'!P249^$AP$7/200000)*($J257-$M257)/($J257-$M257-$H257)+('Sem TS MC2020'!P249-$C257/$AP$8)*($AP$5*$G257+$AP$6*$B257/$N257)/200000</f>
        <v>0.222163012162346</v>
      </c>
      <c r="AP257" s="4" t="n">
        <f aca="false">AO257/$Q257</f>
        <v>0.653420624006901</v>
      </c>
      <c r="AQ257" s="23" t="n">
        <f aca="false">AO257-$Q257</f>
        <v>-0.117836987837654</v>
      </c>
    </row>
    <row r="258" customFormat="false" ht="14.25" hidden="false" customHeight="false" outlineLevel="0" collapsed="false">
      <c r="B258" s="2" t="n">
        <v>28</v>
      </c>
      <c r="C258" s="3" t="n">
        <v>400</v>
      </c>
      <c r="D258" s="3" t="n">
        <v>4</v>
      </c>
      <c r="E258" s="2" t="n">
        <v>16</v>
      </c>
      <c r="F258" s="4" t="n">
        <v>5.30847435710111</v>
      </c>
      <c r="G258" s="2" t="n">
        <v>30</v>
      </c>
      <c r="H258" s="2" t="n">
        <v>44</v>
      </c>
      <c r="I258" s="1" t="n">
        <v>200</v>
      </c>
      <c r="J258" s="2" t="n">
        <v>300</v>
      </c>
      <c r="K258" s="3" t="n">
        <v>2463</v>
      </c>
      <c r="L258" s="4" t="n">
        <v>30800</v>
      </c>
      <c r="M258" s="3" t="n">
        <v>133.493416234983</v>
      </c>
      <c r="N258" s="12" t="n">
        <v>0.0799675324675325</v>
      </c>
      <c r="O258" s="4" t="n">
        <v>198.225</v>
      </c>
      <c r="P258" s="3" t="n">
        <v>361.071969889289</v>
      </c>
      <c r="Q258" s="4" t="n">
        <v>0.37</v>
      </c>
      <c r="R258" s="13" t="n">
        <f aca="false">P258/200000</f>
        <v>0.00180535984944645</v>
      </c>
      <c r="V258" s="4" t="n">
        <f aca="false">$W$2*($W$3*$G258+$W$4*$B258^$W$5*$N258^$W$6)*$R258^$W$7</f>
        <v>0.280713549383368</v>
      </c>
      <c r="W258" s="4" t="n">
        <f aca="false">V258/$Q258</f>
        <v>0.758685268603697</v>
      </c>
      <c r="Y258" s="4" t="n">
        <f aca="false">$Z$2*$B258^$Z$3*$R258^$Z$4*($Z$5*$N258^$Z$6+$Z$7)</f>
        <v>0.300419079079592</v>
      </c>
      <c r="Z258" s="4" t="n">
        <f aca="false">Y258/$Q258</f>
        <v>0.811943456971869</v>
      </c>
      <c r="AB258" s="4" t="n">
        <f aca="false">$AC$2*($AC$3+$AC$4*$F258/($N258*'Sem TS MC2020'!P250))*($AC$5*$G258+$AC$6*$B258/$N258)*'Sem TS MC2020'!R250*($J258-$M258)/($J258-$M258-$H258)</f>
        <v>0.248278057014611</v>
      </c>
      <c r="AC258" s="4" t="n">
        <f aca="false">AB258/$Q258</f>
        <v>0.671021775715166</v>
      </c>
      <c r="AD258" s="23" t="n">
        <f aca="false">AB258-$Q258</f>
        <v>-0.121721942985389</v>
      </c>
      <c r="AE258" s="24" t="n">
        <f aca="false">1/AC258</f>
        <v>1.49026460271608</v>
      </c>
      <c r="AF258" s="24" t="n">
        <f aca="false">AB258*(14.068*'Sem TS MC2020'!$P250^-0.457)/$Q258</f>
        <v>0.624792356870026</v>
      </c>
      <c r="AG258" s="24"/>
      <c r="AO258" s="4" t="n">
        <f aca="false">$AP$2*($AP$3+$AP$4*$F258/($N258*'Sem TS MC2020'!P250))*($AP$5*$G258+$AP$6*$B258/$N258)*('Sem TS MC2020'!P250^$AP$7/200000)*($J258-$M258)/($J258-$M258-$H258)+('Sem TS MC2020'!P250-$C258/$AP$8)*($AP$5*$G258+$AP$6*$B258/$N258)/200000</f>
        <v>0.246367898337216</v>
      </c>
      <c r="AP258" s="4" t="n">
        <f aca="false">AO258/$Q258</f>
        <v>0.66585918469518</v>
      </c>
      <c r="AQ258" s="23" t="n">
        <f aca="false">AO258-$Q258</f>
        <v>-0.123632101662784</v>
      </c>
    </row>
    <row r="259" customFormat="false" ht="14.25" hidden="false" customHeight="false" outlineLevel="0" collapsed="false">
      <c r="A259" s="1" t="s">
        <v>73</v>
      </c>
      <c r="B259" s="2" t="n">
        <v>15.9</v>
      </c>
      <c r="C259" s="3" t="n">
        <v>392</v>
      </c>
      <c r="D259" s="3" t="n">
        <v>2</v>
      </c>
      <c r="E259" s="2" t="n">
        <v>46</v>
      </c>
      <c r="F259" s="4" t="n">
        <v>2.82587739786632</v>
      </c>
      <c r="G259" s="2" t="n">
        <v>30</v>
      </c>
      <c r="H259" s="2" t="n">
        <v>38</v>
      </c>
      <c r="I259" s="1" t="n">
        <v>150</v>
      </c>
      <c r="J259" s="2" t="n">
        <v>250</v>
      </c>
      <c r="K259" s="3" t="n">
        <v>397.2</v>
      </c>
      <c r="L259" s="4" t="n">
        <v>17625</v>
      </c>
      <c r="M259" s="3" t="n">
        <v>70.0613812094831</v>
      </c>
      <c r="N259" s="12" t="n">
        <v>0.022536170212766</v>
      </c>
      <c r="O259" s="4" t="n">
        <v>27.1</v>
      </c>
      <c r="P259" s="3" t="n">
        <v>327.335668752827</v>
      </c>
      <c r="Q259" s="4" t="n">
        <v>0.2</v>
      </c>
      <c r="R259" s="13" t="n">
        <f aca="false">P259/200000</f>
        <v>0.00163667834376413</v>
      </c>
      <c r="V259" s="4" t="n">
        <f aca="false">$W$2*($W$3*$G259+$W$4*$B259^$W$5*$N259^$W$6)*$R259^$W$7</f>
        <v>0.306410905915948</v>
      </c>
      <c r="W259" s="4" t="n">
        <f aca="false">V259/$Q259</f>
        <v>1.53205452957974</v>
      </c>
      <c r="Y259" s="4" t="n">
        <f aca="false">$Z$2*$B259^$Z$3*$R259^$Z$4*($Z$5*$N259^$Z$6+$Z$7)</f>
        <v>0.303371941125563</v>
      </c>
      <c r="Z259" s="4" t="n">
        <f aca="false">Y259/$Q259</f>
        <v>1.51685970562782</v>
      </c>
      <c r="AB259" s="4" t="n">
        <f aca="false">$AC$2*($AC$3+$AC$4*$F259/($N259*'Sem TS MC2020'!P251))*($AC$5*$G259+$AC$6*$B259/$N259)*'Sem TS MC2020'!R251*($J259-$M259)/($J259-$M259-$H259)</f>
        <v>0.321832912882017</v>
      </c>
      <c r="AC259" s="4" t="n">
        <f aca="false">AB259/$Q259</f>
        <v>1.60916456441009</v>
      </c>
      <c r="AD259" s="23" t="n">
        <f aca="false">AB259-$Q259</f>
        <v>0.121832912882017</v>
      </c>
      <c r="AE259" s="24" t="n">
        <f aca="false">1/AC259</f>
        <v>0.621440480431283</v>
      </c>
      <c r="AF259" s="24" t="n">
        <f aca="false">AB259*(14.068*'Sem TS MC2020'!$P251^-0.457)/$Q259</f>
        <v>1.53350164900058</v>
      </c>
      <c r="AG259" s="24"/>
      <c r="AO259" s="4" t="n">
        <f aca="false">$AP$2*($AP$3+$AP$4*$F259/($N259*'Sem TS MC2020'!P251))*($AP$5*$G259+$AP$6*$B259/$N259)*('Sem TS MC2020'!P251^$AP$7/200000)*($J259-$M259)/($J259-$M259-$H259)+('Sem TS MC2020'!P251-$C259/$AP$8)*($AP$5*$G259+$AP$6*$B259/$N259)/200000</f>
        <v>0.333598977027061</v>
      </c>
      <c r="AP259" s="4" t="n">
        <f aca="false">AO259/$Q259</f>
        <v>1.66799488513531</v>
      </c>
      <c r="AQ259" s="23" t="n">
        <f aca="false">AO259-$Q259</f>
        <v>0.133598977027061</v>
      </c>
    </row>
    <row r="260" customFormat="false" ht="14.25" hidden="false" customHeight="false" outlineLevel="0" collapsed="false">
      <c r="B260" s="2" t="n">
        <v>15.9</v>
      </c>
      <c r="C260" s="3" t="n">
        <v>392</v>
      </c>
      <c r="D260" s="3" t="n">
        <v>2</v>
      </c>
      <c r="E260" s="2" t="n">
        <v>46</v>
      </c>
      <c r="F260" s="4" t="n">
        <v>2.82587739786632</v>
      </c>
      <c r="G260" s="2" t="n">
        <v>30</v>
      </c>
      <c r="H260" s="2" t="n">
        <v>38</v>
      </c>
      <c r="I260" s="1" t="n">
        <v>150</v>
      </c>
      <c r="J260" s="2" t="n">
        <v>250</v>
      </c>
      <c r="K260" s="3" t="n">
        <v>397.2</v>
      </c>
      <c r="L260" s="4" t="n">
        <v>17625</v>
      </c>
      <c r="M260" s="3" t="n">
        <v>70.0613812094831</v>
      </c>
      <c r="N260" s="12" t="n">
        <v>0.022536170212766</v>
      </c>
      <c r="O260" s="4" t="n">
        <v>35.6</v>
      </c>
      <c r="P260" s="3" t="n">
        <v>367.240844430156</v>
      </c>
      <c r="Q260" s="4" t="n">
        <v>0.35</v>
      </c>
      <c r="R260" s="13" t="n">
        <f aca="false">P260/200000</f>
        <v>0.00183620422215078</v>
      </c>
      <c r="V260" s="4" t="n">
        <f aca="false">$W$2*($W$3*$G260+$W$4*$B260^$W$5*$N260^$W$6)*$R260^$W$7</f>
        <v>0.328948633226126</v>
      </c>
      <c r="W260" s="4" t="n">
        <f aca="false">V260/$Q260</f>
        <v>0.939853237788932</v>
      </c>
      <c r="Y260" s="4" t="n">
        <f aca="false">$Z$2*$B260^$Z$3*$R260^$Z$4*($Z$5*$N260^$Z$6+$Z$7)</f>
        <v>0.326098508105169</v>
      </c>
      <c r="Z260" s="4" t="n">
        <f aca="false">Y260/$Q260</f>
        <v>0.931710023157625</v>
      </c>
      <c r="AB260" s="4" t="n">
        <f aca="false">$AC$2*($AC$3+$AC$4*$F260/($N260*'Sem TS MC2020'!P252))*($AC$5*$G260+$AC$6*$B260/$N260)*'Sem TS MC2020'!R252*($J260-$M260)/($J260-$M260-$H260)</f>
        <v>0.355425889299081</v>
      </c>
      <c r="AC260" s="4" t="n">
        <f aca="false">AB260/$Q260</f>
        <v>1.01550254085452</v>
      </c>
      <c r="AD260" s="23" t="n">
        <f aca="false">AB260-$Q260</f>
        <v>0.00542588929908133</v>
      </c>
      <c r="AE260" s="24" t="n">
        <f aca="false">1/AC260</f>
        <v>0.984734119088</v>
      </c>
      <c r="AF260" s="24" t="n">
        <f aca="false">AB260*(14.068*'Sem TS MC2020'!$P252^-0.457)/$Q260</f>
        <v>0.932459133396676</v>
      </c>
      <c r="AG260" s="24"/>
      <c r="AO260" s="4" t="n">
        <f aca="false">$AP$2*($AP$3+$AP$4*$F260/($N260*'Sem TS MC2020'!P252))*($AP$5*$G260+$AP$6*$B260/$N260)*('Sem TS MC2020'!P252^$AP$7/200000)*($J260-$M260)/($J260-$M260-$H260)+('Sem TS MC2020'!P252-$C260/$AP$8)*($AP$5*$G260+$AP$6*$B260/$N260)/200000</f>
        <v>0.36433441984259</v>
      </c>
      <c r="AP260" s="4" t="n">
        <f aca="false">AO260/$Q260</f>
        <v>1.04095548526454</v>
      </c>
      <c r="AQ260" s="23" t="n">
        <f aca="false">AO260-$Q260</f>
        <v>0.0143344198425902</v>
      </c>
    </row>
    <row r="261" customFormat="false" ht="14.25" hidden="false" customHeight="false" outlineLevel="0" collapsed="false">
      <c r="A261" s="1" t="s">
        <v>74</v>
      </c>
      <c r="B261" s="2" t="n">
        <v>15.9</v>
      </c>
      <c r="C261" s="3" t="n">
        <v>392</v>
      </c>
      <c r="D261" s="3" t="n">
        <v>2</v>
      </c>
      <c r="E261" s="2" t="n">
        <v>46</v>
      </c>
      <c r="F261" s="4" t="n">
        <v>2.82587739786632</v>
      </c>
      <c r="G261" s="2" t="n">
        <v>30</v>
      </c>
      <c r="H261" s="2" t="n">
        <v>38</v>
      </c>
      <c r="I261" s="1" t="n">
        <v>150</v>
      </c>
      <c r="J261" s="2" t="n">
        <v>250</v>
      </c>
      <c r="K261" s="3" t="n">
        <v>397.2</v>
      </c>
      <c r="L261" s="4" t="n">
        <v>17625</v>
      </c>
      <c r="M261" s="3" t="n">
        <v>70.0613812094831</v>
      </c>
      <c r="N261" s="12" t="n">
        <v>0.022536170212766</v>
      </c>
      <c r="O261" s="4" t="n">
        <v>27.2</v>
      </c>
      <c r="P261" s="3" t="n">
        <v>329.07434564323</v>
      </c>
      <c r="Q261" s="4" t="n">
        <v>0.2</v>
      </c>
      <c r="R261" s="13" t="n">
        <f aca="false">P261/200000</f>
        <v>0.00164537172821615</v>
      </c>
      <c r="V261" s="4" t="n">
        <f aca="false">$W$2*($W$3*$G261+$W$4*$B261^$W$5*$N261^$W$6)*$R261^$W$7</f>
        <v>0.307414074759698</v>
      </c>
      <c r="W261" s="4" t="n">
        <f aca="false">V261/$Q261</f>
        <v>1.53707037379849</v>
      </c>
      <c r="Y261" s="4" t="n">
        <f aca="false">$Z$2*$B261^$Z$3*$R261^$Z$4*($Z$5*$N261^$Z$6+$Z$7)</f>
        <v>0.304382897389447</v>
      </c>
      <c r="Z261" s="4" t="n">
        <f aca="false">Y261/$Q261</f>
        <v>1.52191448694724</v>
      </c>
      <c r="AB261" s="4" t="n">
        <f aca="false">$AC$2*($AC$3+$AC$4*$F261/($N261*'Sem TS MC2020'!P253))*($AC$5*$G261+$AC$6*$B261/$N261)*'Sem TS MC2020'!R253*($J261-$M261)/($J261-$M261-$H261)</f>
        <v>0.323296565924131</v>
      </c>
      <c r="AC261" s="4" t="n">
        <f aca="false">AB261/$Q261</f>
        <v>1.61648282962066</v>
      </c>
      <c r="AD261" s="23" t="n">
        <f aca="false">AB261-$Q261</f>
        <v>0.123296565924131</v>
      </c>
      <c r="AE261" s="24" t="n">
        <f aca="false">1/AC261</f>
        <v>0.618627047362249</v>
      </c>
      <c r="AF261" s="24" t="n">
        <f aca="false">AB261*(14.068*'Sem TS MC2020'!$P253^-0.457)/$Q261</f>
        <v>1.53788499512682</v>
      </c>
      <c r="AG261" s="24"/>
      <c r="AO261" s="4" t="n">
        <f aca="false">$AP$2*($AP$3+$AP$4*$F261/($N261*'Sem TS MC2020'!P253))*($AP$5*$G261+$AP$6*$B261/$N261)*('Sem TS MC2020'!P253^$AP$7/200000)*($J261-$M261)/($J261-$M261-$H261)+('Sem TS MC2020'!P253-$C261/$AP$8)*($AP$5*$G261+$AP$6*$B261/$N261)/200000</f>
        <v>0.334948913861544</v>
      </c>
      <c r="AP261" s="4" t="n">
        <f aca="false">AO261/$Q261</f>
        <v>1.67474456930772</v>
      </c>
      <c r="AQ261" s="23" t="n">
        <f aca="false">AO261-$Q261</f>
        <v>0.134948913861544</v>
      </c>
    </row>
    <row r="262" customFormat="false" ht="14.25" hidden="false" customHeight="false" outlineLevel="0" collapsed="false">
      <c r="B262" s="2" t="n">
        <v>15.9</v>
      </c>
      <c r="C262" s="3" t="n">
        <v>392</v>
      </c>
      <c r="D262" s="3" t="n">
        <v>2</v>
      </c>
      <c r="E262" s="2" t="n">
        <v>46</v>
      </c>
      <c r="F262" s="4" t="n">
        <v>2.82587739786632</v>
      </c>
      <c r="G262" s="2" t="n">
        <v>30</v>
      </c>
      <c r="H262" s="2" t="n">
        <v>38</v>
      </c>
      <c r="I262" s="1" t="n">
        <v>150</v>
      </c>
      <c r="J262" s="2" t="n">
        <v>250</v>
      </c>
      <c r="K262" s="3" t="n">
        <v>397.2</v>
      </c>
      <c r="L262" s="4" t="n">
        <v>17625</v>
      </c>
      <c r="M262" s="3" t="n">
        <v>70.0613812094831</v>
      </c>
      <c r="N262" s="12" t="n">
        <v>0.022536170212766</v>
      </c>
      <c r="O262" s="4" t="n">
        <v>35.6</v>
      </c>
      <c r="P262" s="3" t="n">
        <v>367.240844430156</v>
      </c>
      <c r="Q262" s="4" t="n">
        <v>0.25</v>
      </c>
      <c r="R262" s="13" t="n">
        <f aca="false">P262/200000</f>
        <v>0.00183620422215078</v>
      </c>
      <c r="V262" s="4" t="n">
        <f aca="false">$W$2*($W$3*$G262+$W$4*$B262^$W$5*$N262^$W$6)*$R262^$W$7</f>
        <v>0.328948633226126</v>
      </c>
      <c r="W262" s="4" t="n">
        <f aca="false">V262/$Q262</f>
        <v>1.3157945329045</v>
      </c>
      <c r="Y262" s="4" t="n">
        <f aca="false">$Z$2*$B262^$Z$3*$R262^$Z$4*($Z$5*$N262^$Z$6+$Z$7)</f>
        <v>0.326098508105169</v>
      </c>
      <c r="Z262" s="4" t="n">
        <f aca="false">Y262/$Q262</f>
        <v>1.30439403242067</v>
      </c>
      <c r="AB262" s="4" t="n">
        <f aca="false">$AC$2*($AC$3+$AC$4*$F262/($N262*'Sem TS MC2020'!P254))*($AC$5*$G262+$AC$6*$B262/$N262)*'Sem TS MC2020'!R254*($J262-$M262)/($J262-$M262-$H262)</f>
        <v>0.355425889299081</v>
      </c>
      <c r="AC262" s="4" t="n">
        <f aca="false">AB262/$Q262</f>
        <v>1.42170355719633</v>
      </c>
      <c r="AD262" s="23" t="n">
        <f aca="false">AB262-$Q262</f>
        <v>0.105425889299081</v>
      </c>
      <c r="AE262" s="24" t="n">
        <f aca="false">1/AC262</f>
        <v>0.703381513634286</v>
      </c>
      <c r="AF262" s="24" t="n">
        <f aca="false">AB262*(14.068*'Sem TS MC2020'!$P254^-0.457)/$Q262</f>
        <v>1.30544278675535</v>
      </c>
      <c r="AG262" s="24"/>
      <c r="AO262" s="4" t="n">
        <f aca="false">$AP$2*($AP$3+$AP$4*$F262/($N262*'Sem TS MC2020'!P254))*($AP$5*$G262+$AP$6*$B262/$N262)*('Sem TS MC2020'!P254^$AP$7/200000)*($J262-$M262)/($J262-$M262-$H262)+('Sem TS MC2020'!P254-$C262/$AP$8)*($AP$5*$G262+$AP$6*$B262/$N262)/200000</f>
        <v>0.36433441984259</v>
      </c>
      <c r="AP262" s="4" t="n">
        <f aca="false">AO262/$Q262</f>
        <v>1.45733767937036</v>
      </c>
      <c r="AQ262" s="23" t="n">
        <f aca="false">AO262-$Q262</f>
        <v>0.11433441984259</v>
      </c>
    </row>
    <row r="263" customFormat="false" ht="14.25" hidden="false" customHeight="false" outlineLevel="0" collapsed="false">
      <c r="A263" s="1" t="s">
        <v>75</v>
      </c>
      <c r="B263" s="2" t="n">
        <v>15.9</v>
      </c>
      <c r="C263" s="3" t="n">
        <v>392</v>
      </c>
      <c r="D263" s="3" t="n">
        <v>2</v>
      </c>
      <c r="E263" s="2" t="n">
        <v>46</v>
      </c>
      <c r="F263" s="4" t="n">
        <v>2.82587739786632</v>
      </c>
      <c r="G263" s="2" t="n">
        <v>30</v>
      </c>
      <c r="H263" s="2" t="n">
        <v>38</v>
      </c>
      <c r="I263" s="1" t="n">
        <v>150</v>
      </c>
      <c r="J263" s="2" t="n">
        <v>250</v>
      </c>
      <c r="K263" s="3" t="n">
        <v>397.2</v>
      </c>
      <c r="L263" s="4" t="n">
        <v>17625</v>
      </c>
      <c r="M263" s="3" t="n">
        <v>70.0613812094831</v>
      </c>
      <c r="N263" s="12" t="n">
        <v>0.022536170212766</v>
      </c>
      <c r="O263" s="4" t="n">
        <v>27.2</v>
      </c>
      <c r="P263" s="3" t="n">
        <v>329.07434564323</v>
      </c>
      <c r="Q263" s="4" t="n">
        <v>0.2</v>
      </c>
      <c r="R263" s="13" t="n">
        <f aca="false">P263/200000</f>
        <v>0.00164537172821615</v>
      </c>
      <c r="V263" s="4" t="n">
        <f aca="false">$W$2*($W$3*$G263+$W$4*$B263^$W$5*$N263^$W$6)*$R263^$W$7</f>
        <v>0.307414074759698</v>
      </c>
      <c r="W263" s="4" t="n">
        <f aca="false">V263/$Q263</f>
        <v>1.53707037379849</v>
      </c>
      <c r="Y263" s="4" t="n">
        <f aca="false">$Z$2*$B263^$Z$3*$R263^$Z$4*($Z$5*$N263^$Z$6+$Z$7)</f>
        <v>0.304382897389447</v>
      </c>
      <c r="Z263" s="4" t="n">
        <f aca="false">Y263/$Q263</f>
        <v>1.52191448694724</v>
      </c>
      <c r="AB263" s="4" t="n">
        <f aca="false">$AC$2*($AC$3+$AC$4*$F263/($N263*'Sem TS MC2020'!P255))*($AC$5*$G263+$AC$6*$B263/$N263)*'Sem TS MC2020'!R255*($J263-$M263)/($J263-$M263-$H263)</f>
        <v>0.323296565924131</v>
      </c>
      <c r="AC263" s="4" t="n">
        <f aca="false">AB263/$Q263</f>
        <v>1.61648282962066</v>
      </c>
      <c r="AD263" s="23" t="n">
        <f aca="false">AB263-$Q263</f>
        <v>0.123296565924131</v>
      </c>
      <c r="AE263" s="24" t="n">
        <f aca="false">1/AC263</f>
        <v>0.618627047362249</v>
      </c>
      <c r="AF263" s="24" t="n">
        <f aca="false">AB263*(14.068*'Sem TS MC2020'!$P255^-0.457)/$Q263</f>
        <v>1.53788499512682</v>
      </c>
      <c r="AG263" s="24"/>
      <c r="AO263" s="4" t="n">
        <f aca="false">$AP$2*($AP$3+$AP$4*$F263/($N263*'Sem TS MC2020'!P255))*($AP$5*$G263+$AP$6*$B263/$N263)*('Sem TS MC2020'!P255^$AP$7/200000)*($J263-$M263)/($J263-$M263-$H263)+('Sem TS MC2020'!P255-$C263/$AP$8)*($AP$5*$G263+$AP$6*$B263/$N263)/200000</f>
        <v>0.334948913861544</v>
      </c>
      <c r="AP263" s="4" t="n">
        <f aca="false">AO263/$Q263</f>
        <v>1.67474456930772</v>
      </c>
      <c r="AQ263" s="23" t="n">
        <f aca="false">AO263-$Q263</f>
        <v>0.134948913861544</v>
      </c>
    </row>
    <row r="264" customFormat="false" ht="14.25" hidden="false" customHeight="false" outlineLevel="0" collapsed="false">
      <c r="B264" s="2" t="n">
        <v>15.9</v>
      </c>
      <c r="C264" s="3" t="n">
        <v>392</v>
      </c>
      <c r="D264" s="3" t="n">
        <v>2</v>
      </c>
      <c r="E264" s="2" t="n">
        <v>46</v>
      </c>
      <c r="F264" s="4" t="n">
        <v>2.82587739786632</v>
      </c>
      <c r="G264" s="2" t="n">
        <v>30</v>
      </c>
      <c r="H264" s="2" t="n">
        <v>38</v>
      </c>
      <c r="I264" s="1" t="n">
        <v>150</v>
      </c>
      <c r="J264" s="2" t="n">
        <v>250</v>
      </c>
      <c r="K264" s="3" t="n">
        <v>397.2</v>
      </c>
      <c r="L264" s="4" t="n">
        <v>17625</v>
      </c>
      <c r="M264" s="3" t="n">
        <v>70.0613812094831</v>
      </c>
      <c r="N264" s="12" t="n">
        <v>0.022536170212766</v>
      </c>
      <c r="O264" s="4" t="n">
        <v>35.6</v>
      </c>
      <c r="P264" s="3" t="n">
        <v>367.240844430156</v>
      </c>
      <c r="Q264" s="4" t="n">
        <v>0.25</v>
      </c>
      <c r="R264" s="13" t="n">
        <f aca="false">P264/200000</f>
        <v>0.00183620422215078</v>
      </c>
      <c r="V264" s="4" t="n">
        <f aca="false">$W$2*($W$3*$G264+$W$4*$B264^$W$5*$N264^$W$6)*$R264^$W$7</f>
        <v>0.328948633226126</v>
      </c>
      <c r="W264" s="4" t="n">
        <f aca="false">V264/$Q264</f>
        <v>1.3157945329045</v>
      </c>
      <c r="Y264" s="4" t="n">
        <f aca="false">$Z$2*$B264^$Z$3*$R264^$Z$4*($Z$5*$N264^$Z$6+$Z$7)</f>
        <v>0.326098508105169</v>
      </c>
      <c r="Z264" s="4" t="n">
        <f aca="false">Y264/$Q264</f>
        <v>1.30439403242067</v>
      </c>
      <c r="AB264" s="4" t="n">
        <f aca="false">$AC$2*($AC$3+$AC$4*$F264/($N264*'Sem TS MC2020'!P256))*($AC$5*$G264+$AC$6*$B264/$N264)*'Sem TS MC2020'!R256*($J264-$M264)/($J264-$M264-$H264)</f>
        <v>0.355425889299081</v>
      </c>
      <c r="AC264" s="4" t="n">
        <f aca="false">AB264/$Q264</f>
        <v>1.42170355719633</v>
      </c>
      <c r="AD264" s="23" t="n">
        <f aca="false">AB264-$Q264</f>
        <v>0.105425889299081</v>
      </c>
      <c r="AE264" s="24" t="n">
        <f aca="false">1/AC264</f>
        <v>0.703381513634286</v>
      </c>
      <c r="AF264" s="24" t="n">
        <f aca="false">AB264*(14.068*'Sem TS MC2020'!$P256^-0.457)/$Q264</f>
        <v>1.30544278675535</v>
      </c>
      <c r="AG264" s="24"/>
      <c r="AO264" s="4" t="n">
        <f aca="false">$AP$2*($AP$3+$AP$4*$F264/($N264*'Sem TS MC2020'!P256))*($AP$5*$G264+$AP$6*$B264/$N264)*('Sem TS MC2020'!P256^$AP$7/200000)*($J264-$M264)/($J264-$M264-$H264)+('Sem TS MC2020'!P256-$C264/$AP$8)*($AP$5*$G264+$AP$6*$B264/$N264)/200000</f>
        <v>0.36433441984259</v>
      </c>
      <c r="AP264" s="4" t="n">
        <f aca="false">AO264/$Q264</f>
        <v>1.45733767937036</v>
      </c>
      <c r="AQ264" s="23" t="n">
        <f aca="false">AO264-$Q264</f>
        <v>0.11433441984259</v>
      </c>
    </row>
    <row r="265" customFormat="false" ht="14.25" hidden="false" customHeight="false" outlineLevel="0" collapsed="false">
      <c r="A265" s="1" t="s">
        <v>76</v>
      </c>
      <c r="B265" s="2" t="n">
        <v>15.9</v>
      </c>
      <c r="C265" s="3" t="n">
        <v>392</v>
      </c>
      <c r="D265" s="3" t="n">
        <v>2</v>
      </c>
      <c r="E265" s="2" t="n">
        <v>46</v>
      </c>
      <c r="F265" s="4" t="n">
        <v>2.82587739786632</v>
      </c>
      <c r="G265" s="2" t="n">
        <v>30</v>
      </c>
      <c r="H265" s="2" t="n">
        <v>38</v>
      </c>
      <c r="I265" s="1" t="n">
        <v>150</v>
      </c>
      <c r="J265" s="2" t="n">
        <v>250</v>
      </c>
      <c r="K265" s="3" t="n">
        <v>397.2</v>
      </c>
      <c r="L265" s="4" t="n">
        <v>17625</v>
      </c>
      <c r="M265" s="3" t="n">
        <v>70.0613812094831</v>
      </c>
      <c r="N265" s="12" t="n">
        <v>0.022536170212766</v>
      </c>
      <c r="O265" s="4" t="n">
        <v>27.3</v>
      </c>
      <c r="P265" s="3" t="n">
        <v>330.813022533634</v>
      </c>
      <c r="Q265" s="4" t="n">
        <v>0.2</v>
      </c>
      <c r="R265" s="13" t="n">
        <f aca="false">P265/200000</f>
        <v>0.00165406511266817</v>
      </c>
      <c r="V265" s="4" t="n">
        <f aca="false">$W$2*($W$3*$G265+$W$4*$B265^$W$5*$N265^$W$6)*$R265^$W$7</f>
        <v>0.308415215637185</v>
      </c>
      <c r="W265" s="4" t="n">
        <f aca="false">V265/$Q265</f>
        <v>1.54207607818593</v>
      </c>
      <c r="Y265" s="4" t="n">
        <f aca="false">$Z$2*$B265^$Z$3*$R265^$Z$4*($Z$5*$N265^$Z$6+$Z$7)</f>
        <v>0.305391868583318</v>
      </c>
      <c r="Z265" s="4" t="n">
        <f aca="false">Y265/$Q265</f>
        <v>1.52695934291659</v>
      </c>
      <c r="AB265" s="4" t="n">
        <f aca="false">$AC$2*($AC$3+$AC$4*$F265/($N265*'Sem TS MC2020'!P257))*($AC$5*$G265+$AC$6*$B265/$N265)*'Sem TS MC2020'!R257*($J265-$M265)/($J265-$M265-$H265)</f>
        <v>0.324760218966245</v>
      </c>
      <c r="AC265" s="4" t="n">
        <f aca="false">AB265/$Q265</f>
        <v>1.62380109483123</v>
      </c>
      <c r="AD265" s="23" t="n">
        <f aca="false">AB265-$Q265</f>
        <v>0.124760218966245</v>
      </c>
      <c r="AE265" s="24" t="n">
        <f aca="false">1/AC265</f>
        <v>0.615838973863937</v>
      </c>
      <c r="AF265" s="24" t="n">
        <f aca="false">AB265*(14.068*'Sem TS MC2020'!$P257^-0.457)/$Q265</f>
        <v>1.54225878620013</v>
      </c>
      <c r="AG265" s="24"/>
      <c r="AO265" s="4" t="n">
        <f aca="false">$AP$2*($AP$3+$AP$4*$F265/($N265*'Sem TS MC2020'!P257))*($AP$5*$G265+$AP$6*$B265/$N265)*('Sem TS MC2020'!P257^$AP$7/200000)*($J265-$M265)/($J265-$M265-$H265)+('Sem TS MC2020'!P257-$C265/$AP$8)*($AP$5*$G265+$AP$6*$B265/$N265)/200000</f>
        <v>0.336297833156856</v>
      </c>
      <c r="AP265" s="4" t="n">
        <f aca="false">AO265/$Q265</f>
        <v>1.68148916578428</v>
      </c>
      <c r="AQ265" s="23" t="n">
        <f aca="false">AO265-$Q265</f>
        <v>0.136297833156856</v>
      </c>
    </row>
    <row r="266" customFormat="false" ht="14.25" hidden="false" customHeight="false" outlineLevel="0" collapsed="false">
      <c r="B266" s="2" t="n">
        <v>15.9</v>
      </c>
      <c r="C266" s="3" t="n">
        <v>392</v>
      </c>
      <c r="D266" s="3" t="n">
        <v>2</v>
      </c>
      <c r="E266" s="2" t="n">
        <v>46</v>
      </c>
      <c r="F266" s="4" t="n">
        <v>2.82587739786632</v>
      </c>
      <c r="G266" s="2" t="n">
        <v>30</v>
      </c>
      <c r="H266" s="2" t="n">
        <v>38</v>
      </c>
      <c r="I266" s="1" t="n">
        <v>150</v>
      </c>
      <c r="J266" s="2" t="n">
        <v>250</v>
      </c>
      <c r="K266" s="3" t="n">
        <v>397.2</v>
      </c>
      <c r="L266" s="4" t="n">
        <v>17625</v>
      </c>
      <c r="M266" s="3" t="n">
        <v>70.0613812094831</v>
      </c>
      <c r="N266" s="12" t="n">
        <v>0.022536170212766</v>
      </c>
      <c r="O266" s="4" t="n">
        <v>35.7</v>
      </c>
      <c r="P266" s="3" t="n">
        <v>367.240844430156</v>
      </c>
      <c r="Q266" s="4" t="n">
        <v>0.3</v>
      </c>
      <c r="R266" s="13" t="n">
        <f aca="false">P266/200000</f>
        <v>0.00183620422215078</v>
      </c>
      <c r="V266" s="4" t="n">
        <f aca="false">$W$2*($W$3*$G266+$W$4*$B266^$W$5*$N266^$W$6)*$R266^$W$7</f>
        <v>0.328948633226126</v>
      </c>
      <c r="W266" s="4" t="n">
        <f aca="false">V266/$Q266</f>
        <v>1.09649544408709</v>
      </c>
      <c r="Y266" s="4" t="n">
        <f aca="false">$Z$2*$B266^$Z$3*$R266^$Z$4*($Z$5*$N266^$Z$6+$Z$7)</f>
        <v>0.326098508105169</v>
      </c>
      <c r="Z266" s="4" t="n">
        <f aca="false">Y266/$Q266</f>
        <v>1.08699502701723</v>
      </c>
      <c r="AB266" s="4" t="n">
        <f aca="false">$AC$2*($AC$3+$AC$4*$F266/($N266*'Sem TS MC2020'!P258))*($AC$5*$G266+$AC$6*$B266/$N266)*'Sem TS MC2020'!R258*($J266-$M266)/($J266-$M266-$H266)</f>
        <v>0.355425889299081</v>
      </c>
      <c r="AC266" s="4" t="n">
        <f aca="false">AB266/$Q266</f>
        <v>1.18475296433027</v>
      </c>
      <c r="AD266" s="23" t="n">
        <f aca="false">AB266-$Q266</f>
        <v>0.0554258892990813</v>
      </c>
      <c r="AE266" s="24" t="n">
        <f aca="false">1/AC266</f>
        <v>0.844057816361143</v>
      </c>
      <c r="AF266" s="24" t="n">
        <f aca="false">AB266*(14.068*'Sem TS MC2020'!$P258^-0.457)/$Q266</f>
        <v>1.08786898896279</v>
      </c>
      <c r="AG266" s="24"/>
      <c r="AO266" s="4" t="n">
        <f aca="false">$AP$2*($AP$3+$AP$4*$F266/($N266*'Sem TS MC2020'!P258))*($AP$5*$G266+$AP$6*$B266/$N266)*('Sem TS MC2020'!P258^$AP$7/200000)*($J266-$M266)/($J266-$M266-$H266)+('Sem TS MC2020'!P258-$C266/$AP$8)*($AP$5*$G266+$AP$6*$B266/$N266)/200000</f>
        <v>0.36433441984259</v>
      </c>
      <c r="AP266" s="4" t="n">
        <f aca="false">AO266/$Q266</f>
        <v>1.21444806614197</v>
      </c>
      <c r="AQ266" s="23" t="n">
        <f aca="false">AO266-$Q266</f>
        <v>0.0643344198425902</v>
      </c>
    </row>
    <row r="267" customFormat="false" ht="14.25" hidden="false" customHeight="false" outlineLevel="0" collapsed="false">
      <c r="A267" s="1" t="s">
        <v>77</v>
      </c>
      <c r="B267" s="2" t="n">
        <v>12.7</v>
      </c>
      <c r="C267" s="3" t="n">
        <v>392</v>
      </c>
      <c r="D267" s="3" t="n">
        <v>2</v>
      </c>
      <c r="E267" s="2" t="n">
        <v>52</v>
      </c>
      <c r="F267" s="4" t="n">
        <v>2.92087587098479</v>
      </c>
      <c r="G267" s="2" t="n">
        <v>30</v>
      </c>
      <c r="H267" s="2" t="n">
        <v>36.5</v>
      </c>
      <c r="I267" s="1" t="n">
        <v>150</v>
      </c>
      <c r="J267" s="2" t="n">
        <v>250</v>
      </c>
      <c r="K267" s="3" t="n">
        <v>253.4</v>
      </c>
      <c r="L267" s="4" t="n">
        <v>15000</v>
      </c>
      <c r="M267" s="3" t="n">
        <v>58.0759426324872</v>
      </c>
      <c r="N267" s="12" t="n">
        <v>0.0168933333333333</v>
      </c>
      <c r="O267" s="4" t="n">
        <v>15.6</v>
      </c>
      <c r="P267" s="3" t="n">
        <v>253.375476752134</v>
      </c>
      <c r="Q267" s="4" t="n">
        <v>0.15</v>
      </c>
      <c r="R267" s="13" t="n">
        <f aca="false">P267/200000</f>
        <v>0.00126687738376067</v>
      </c>
      <c r="V267" s="4" t="n">
        <f aca="false">$W$2*($W$3*$G267+$W$4*$B267^$W$5*$N267^$W$6)*$R267^$W$7</f>
        <v>0.253667533698052</v>
      </c>
      <c r="W267" s="4" t="n">
        <f aca="false">V267/$Q267</f>
        <v>1.69111689132035</v>
      </c>
      <c r="Y267" s="4" t="n">
        <f aca="false">$Z$2*$B267^$Z$3*$R267^$Z$4*($Z$5*$N267^$Z$6+$Z$7)</f>
        <v>0.25054566105321</v>
      </c>
      <c r="Z267" s="4" t="n">
        <f aca="false">Y267/$Q267</f>
        <v>1.6703044070214</v>
      </c>
      <c r="AB267" s="4" t="n">
        <f aca="false">$AC$2*($AC$3+$AC$4*$F267/($N267*'Sem TS MC2020'!P259))*($AC$5*$G267+$AC$6*$B267/$N267)*'Sem TS MC2020'!R259*($J267-$M267)/($J267-$M267-$H267)</f>
        <v>0.250260491829465</v>
      </c>
      <c r="AC267" s="4" t="n">
        <f aca="false">AB267/$Q267</f>
        <v>1.6684032788631</v>
      </c>
      <c r="AD267" s="23" t="n">
        <f aca="false">AB267-$Q267</f>
        <v>0.100260491829465</v>
      </c>
      <c r="AE267" s="24" t="n">
        <f aca="false">1/AC267</f>
        <v>0.59937547034877</v>
      </c>
      <c r="AF267" s="24" t="n">
        <f aca="false">AB267*(14.068*'Sem TS MC2020'!$P259^-0.457)/$Q267</f>
        <v>1.68843763167309</v>
      </c>
      <c r="AG267" s="24"/>
      <c r="AO267" s="4" t="n">
        <f aca="false">$AP$2*($AP$3+$AP$4*$F267/($N267*'Sem TS MC2020'!P259))*($AP$5*$G267+$AP$6*$B267/$N267)*('Sem TS MC2020'!P259^$AP$7/200000)*($J267-$M267)/($J267-$M267-$H267)+('Sem TS MC2020'!P259-$C267/$AP$8)*($AP$5*$G267+$AP$6*$B267/$N267)/200000</f>
        <v>0.265005921722085</v>
      </c>
      <c r="AP267" s="4" t="n">
        <f aca="false">AO267/$Q267</f>
        <v>1.7667061448139</v>
      </c>
      <c r="AQ267" s="23" t="n">
        <f aca="false">AO267-$Q267</f>
        <v>0.115005921722085</v>
      </c>
    </row>
    <row r="268" customFormat="false" ht="14.25" hidden="false" customHeight="false" outlineLevel="0" collapsed="false">
      <c r="B268" s="2" t="n">
        <v>12.7</v>
      </c>
      <c r="C268" s="3" t="n">
        <v>392</v>
      </c>
      <c r="D268" s="3" t="n">
        <v>2</v>
      </c>
      <c r="E268" s="2" t="n">
        <v>52</v>
      </c>
      <c r="F268" s="4" t="n">
        <v>2.92087587098479</v>
      </c>
      <c r="G268" s="2" t="n">
        <v>30</v>
      </c>
      <c r="H268" s="2" t="n">
        <v>36.5</v>
      </c>
      <c r="I268" s="1" t="n">
        <v>150</v>
      </c>
      <c r="J268" s="2" t="n">
        <v>250</v>
      </c>
      <c r="K268" s="3" t="n">
        <v>253.4</v>
      </c>
      <c r="L268" s="4" t="n">
        <v>15000</v>
      </c>
      <c r="M268" s="3" t="n">
        <v>58.0759426324872</v>
      </c>
      <c r="N268" s="12" t="n">
        <v>0.0168933333333333</v>
      </c>
      <c r="O268" s="4" t="n">
        <v>19.6</v>
      </c>
      <c r="P268" s="3" t="n">
        <v>358.910938394982</v>
      </c>
      <c r="Q268" s="4" t="n">
        <v>0.2</v>
      </c>
      <c r="R268" s="13" t="n">
        <f aca="false">P268/200000</f>
        <v>0.00179455469197491</v>
      </c>
      <c r="V268" s="4" t="n">
        <f aca="false">$W$2*($W$3*$G268+$W$4*$B268^$W$5*$N268^$W$6)*$R268^$W$7</f>
        <v>0.314462549926314</v>
      </c>
      <c r="W268" s="4" t="n">
        <f aca="false">V268/$Q268</f>
        <v>1.57231274963157</v>
      </c>
      <c r="Y268" s="4" t="n">
        <f aca="false">$Z$2*$B268^$Z$3*$R268^$Z$4*($Z$5*$N268^$Z$6+$Z$7)</f>
        <v>0.311784394910623</v>
      </c>
      <c r="Z268" s="4" t="n">
        <f aca="false">Y268/$Q268</f>
        <v>1.55892197455312</v>
      </c>
      <c r="AB268" s="4" t="n">
        <f aca="false">$AC$2*($AC$3+$AC$4*$F268/($N268*'Sem TS MC2020'!P260))*($AC$5*$G268+$AC$6*$B268/$N268)*'Sem TS MC2020'!R260*($J268-$M268)/($J268-$M268-$H268)</f>
        <v>0.334636113843871</v>
      </c>
      <c r="AC268" s="4" t="n">
        <f aca="false">AB268/$Q268</f>
        <v>1.67318056921936</v>
      </c>
      <c r="AD268" s="23" t="n">
        <f aca="false">AB268-$Q268</f>
        <v>0.134636113843871</v>
      </c>
      <c r="AE268" s="24" t="n">
        <f aca="false">1/AC268</f>
        <v>0.597664124480338</v>
      </c>
      <c r="AF268" s="24" t="n">
        <f aca="false">AB268*(14.068*'Sem TS MC2020'!$P260^-0.457)/$Q268</f>
        <v>1.53635509594845</v>
      </c>
      <c r="AG268" s="24"/>
      <c r="AO268" s="4" t="n">
        <f aca="false">$AP$2*($AP$3+$AP$4*$F268/($N268*'Sem TS MC2020'!P260))*($AP$5*$G268+$AP$6*$B268/$N268)*('Sem TS MC2020'!P260^$AP$7/200000)*($J268-$M268)/($J268-$M268-$H268)+('Sem TS MC2020'!P260-$C268/$AP$8)*($AP$5*$G268+$AP$6*$B268/$N268)/200000</f>
        <v>0.344689099882611</v>
      </c>
      <c r="AP268" s="4" t="n">
        <f aca="false">AO268/$Q268</f>
        <v>1.72344549941305</v>
      </c>
      <c r="AQ268" s="23" t="n">
        <f aca="false">AO268-$Q268</f>
        <v>0.144689099882611</v>
      </c>
    </row>
    <row r="269" customFormat="false" ht="14.25" hidden="false" customHeight="false" outlineLevel="0" collapsed="false">
      <c r="A269" s="1" t="s">
        <v>78</v>
      </c>
      <c r="B269" s="2" t="n">
        <v>12.7</v>
      </c>
      <c r="C269" s="3" t="n">
        <v>392</v>
      </c>
      <c r="D269" s="3" t="n">
        <v>2</v>
      </c>
      <c r="E269" s="2" t="n">
        <v>52</v>
      </c>
      <c r="F269" s="4" t="n">
        <v>2.92087587098479</v>
      </c>
      <c r="G269" s="2" t="n">
        <v>30</v>
      </c>
      <c r="H269" s="2" t="n">
        <v>36.5</v>
      </c>
      <c r="I269" s="1" t="n">
        <v>150</v>
      </c>
      <c r="J269" s="2" t="n">
        <v>250</v>
      </c>
      <c r="K269" s="3" t="n">
        <v>253.4</v>
      </c>
      <c r="L269" s="4" t="n">
        <v>15000</v>
      </c>
      <c r="M269" s="3" t="n">
        <v>58.0759426324872</v>
      </c>
      <c r="N269" s="12" t="n">
        <v>0.0168933333333333</v>
      </c>
      <c r="O269" s="4" t="n">
        <v>15.7</v>
      </c>
      <c r="P269" s="3" t="n">
        <v>256.228277855071</v>
      </c>
      <c r="Q269" s="4" t="n">
        <v>0.15</v>
      </c>
      <c r="R269" s="13" t="n">
        <f aca="false">P269/200000</f>
        <v>0.00128114138927536</v>
      </c>
      <c r="V269" s="4" t="n">
        <f aca="false">$W$2*($W$3*$G269+$W$4*$B269^$W$5*$N269^$W$6)*$R269^$W$7</f>
        <v>0.255425960909694</v>
      </c>
      <c r="W269" s="4" t="n">
        <f aca="false">V269/$Q269</f>
        <v>1.70283973939796</v>
      </c>
      <c r="Y269" s="4" t="n">
        <f aca="false">$Z$2*$B269^$Z$3*$R269^$Z$4*($Z$5*$N269^$Z$6+$Z$7)</f>
        <v>0.252313520159003</v>
      </c>
      <c r="Z269" s="4" t="n">
        <f aca="false">Y269/$Q269</f>
        <v>1.68209013439335</v>
      </c>
      <c r="AB269" s="4" t="n">
        <f aca="false">$AC$2*($AC$3+$AC$4*$F269/($N269*'Sem TS MC2020'!P261))*($AC$5*$G269+$AC$6*$B269/$N269)*'Sem TS MC2020'!R261*($J269-$M269)/($J269-$M269-$H269)</f>
        <v>0.252541306863546</v>
      </c>
      <c r="AC269" s="4" t="n">
        <f aca="false">AB269/$Q269</f>
        <v>1.68360871242364</v>
      </c>
      <c r="AD269" s="23" t="n">
        <f aca="false">AB269-$Q269</f>
        <v>0.102541306863546</v>
      </c>
      <c r="AE269" s="24" t="n">
        <f aca="false">1/AC269</f>
        <v>0.593962238743972</v>
      </c>
      <c r="AF269" s="24" t="n">
        <f aca="false">AB269*(14.068*'Sem TS MC2020'!$P261^-0.457)/$Q269</f>
        <v>1.69885750538542</v>
      </c>
      <c r="AG269" s="24"/>
      <c r="AO269" s="4" t="n">
        <f aca="false">$AP$2*($AP$3+$AP$4*$F269/($N269*'Sem TS MC2020'!P261))*($AP$5*$G269+$AP$6*$B269/$N269)*('Sem TS MC2020'!P261^$AP$7/200000)*($J269-$M269)/($J269-$M269-$H269)+('Sem TS MC2020'!P261-$C269/$AP$8)*($AP$5*$G269+$AP$6*$B269/$N269)/200000</f>
        <v>0.267211379651566</v>
      </c>
      <c r="AP269" s="4" t="n">
        <f aca="false">AO269/$Q269</f>
        <v>1.78140919767711</v>
      </c>
      <c r="AQ269" s="23" t="n">
        <f aca="false">AO269-$Q269</f>
        <v>0.117211379651566</v>
      </c>
    </row>
    <row r="270" customFormat="false" ht="14.25" hidden="false" customHeight="false" outlineLevel="0" collapsed="false">
      <c r="B270" s="2" t="n">
        <v>12.7</v>
      </c>
      <c r="C270" s="3" t="n">
        <v>392</v>
      </c>
      <c r="D270" s="3" t="n">
        <v>2</v>
      </c>
      <c r="E270" s="2" t="n">
        <v>52</v>
      </c>
      <c r="F270" s="4" t="n">
        <v>2.92087587098479</v>
      </c>
      <c r="G270" s="2" t="n">
        <v>30</v>
      </c>
      <c r="H270" s="2" t="n">
        <v>36.5</v>
      </c>
      <c r="I270" s="1" t="n">
        <v>150</v>
      </c>
      <c r="J270" s="2" t="n">
        <v>250</v>
      </c>
      <c r="K270" s="3" t="n">
        <v>253.4</v>
      </c>
      <c r="L270" s="4" t="n">
        <v>15000</v>
      </c>
      <c r="M270" s="3" t="n">
        <v>58.0759426324872</v>
      </c>
      <c r="N270" s="12" t="n">
        <v>0.0168933333333333</v>
      </c>
      <c r="O270" s="4" t="n">
        <v>19.6</v>
      </c>
      <c r="P270" s="3" t="n">
        <v>358.910938394982</v>
      </c>
      <c r="Q270" s="4" t="n">
        <v>0.2</v>
      </c>
      <c r="R270" s="13" t="n">
        <f aca="false">P270/200000</f>
        <v>0.00179455469197491</v>
      </c>
      <c r="V270" s="4" t="n">
        <f aca="false">$W$2*($W$3*$G270+$W$4*$B270^$W$5*$N270^$W$6)*$R270^$W$7</f>
        <v>0.314462549926314</v>
      </c>
      <c r="W270" s="4" t="n">
        <f aca="false">V270/$Q270</f>
        <v>1.57231274963157</v>
      </c>
      <c r="Y270" s="4" t="n">
        <f aca="false">$Z$2*$B270^$Z$3*$R270^$Z$4*($Z$5*$N270^$Z$6+$Z$7)</f>
        <v>0.311784394910623</v>
      </c>
      <c r="Z270" s="4" t="n">
        <f aca="false">Y270/$Q270</f>
        <v>1.55892197455312</v>
      </c>
      <c r="AB270" s="4" t="n">
        <f aca="false">$AC$2*($AC$3+$AC$4*$F270/($N270*'Sem TS MC2020'!P262))*($AC$5*$G270+$AC$6*$B270/$N270)*'Sem TS MC2020'!R262*($J270-$M270)/($J270-$M270-$H270)</f>
        <v>0.334636113843871</v>
      </c>
      <c r="AC270" s="4" t="n">
        <f aca="false">AB270/$Q270</f>
        <v>1.67318056921936</v>
      </c>
      <c r="AD270" s="23" t="n">
        <f aca="false">AB270-$Q270</f>
        <v>0.134636113843871</v>
      </c>
      <c r="AE270" s="24" t="n">
        <f aca="false">1/AC270</f>
        <v>0.597664124480338</v>
      </c>
      <c r="AF270" s="24" t="n">
        <f aca="false">AB270*(14.068*'Sem TS MC2020'!$P262^-0.457)/$Q270</f>
        <v>1.53635509594845</v>
      </c>
      <c r="AG270" s="24"/>
      <c r="AO270" s="4" t="n">
        <f aca="false">$AP$2*($AP$3+$AP$4*$F270/($N270*'Sem TS MC2020'!P262))*($AP$5*$G270+$AP$6*$B270/$N270)*('Sem TS MC2020'!P262^$AP$7/200000)*($J270-$M270)/($J270-$M270-$H270)+('Sem TS MC2020'!P262-$C270/$AP$8)*($AP$5*$G270+$AP$6*$B270/$N270)/200000</f>
        <v>0.344689099882611</v>
      </c>
      <c r="AP270" s="4" t="n">
        <f aca="false">AO270/$Q270</f>
        <v>1.72344549941305</v>
      </c>
      <c r="AQ270" s="23" t="n">
        <f aca="false">AO270-$Q270</f>
        <v>0.144689099882611</v>
      </c>
    </row>
    <row r="271" customFormat="false" ht="14.25" hidden="false" customHeight="false" outlineLevel="0" collapsed="false">
      <c r="A271" s="1" t="s">
        <v>79</v>
      </c>
      <c r="B271" s="2" t="n">
        <v>15.9</v>
      </c>
      <c r="C271" s="3" t="n">
        <v>392</v>
      </c>
      <c r="D271" s="3" t="n">
        <v>2</v>
      </c>
      <c r="E271" s="2" t="n">
        <v>46</v>
      </c>
      <c r="F271" s="4" t="n">
        <v>2.92087587098479</v>
      </c>
      <c r="G271" s="2" t="n">
        <v>30</v>
      </c>
      <c r="H271" s="2" t="n">
        <v>38</v>
      </c>
      <c r="I271" s="1" t="n">
        <v>150</v>
      </c>
      <c r="J271" s="2" t="n">
        <v>250</v>
      </c>
      <c r="K271" s="3" t="n">
        <v>397.2</v>
      </c>
      <c r="L271" s="4" t="n">
        <v>17625</v>
      </c>
      <c r="M271" s="3" t="n">
        <v>69.5979672777495</v>
      </c>
      <c r="N271" s="12" t="n">
        <v>0.022536170212766</v>
      </c>
      <c r="O271" s="4" t="n">
        <v>19.5</v>
      </c>
      <c r="P271" s="3" t="n">
        <v>192.871553468033</v>
      </c>
      <c r="Q271" s="4" t="n">
        <v>0.15</v>
      </c>
      <c r="R271" s="13" t="n">
        <f aca="false">P271/200000</f>
        <v>0.000964357767340166</v>
      </c>
      <c r="V271" s="4" t="n">
        <f aca="false">$W$2*($W$3*$G271+$W$4*$B271^$W$5*$N271^$W$6)*$R271^$W$7</f>
        <v>0.221087301734822</v>
      </c>
      <c r="W271" s="4" t="n">
        <f aca="false">V271/$Q271</f>
        <v>1.47391534489881</v>
      </c>
      <c r="Y271" s="4" t="n">
        <f aca="false">$Z$2*$B271^$Z$3*$R271^$Z$4*($Z$5*$N271^$Z$6+$Z$7)</f>
        <v>0.217624614212579</v>
      </c>
      <c r="Z271" s="4" t="n">
        <f aca="false">Y271/$Q271</f>
        <v>1.4508307614172</v>
      </c>
      <c r="AB271" s="4" t="n">
        <f aca="false">$AC$2*($AC$3+$AC$4*$F271/($N271*'Sem TS MC2020'!P263))*($AC$5*$G271+$AC$6*$B271/$N271)*'Sem TS MC2020'!R263*($J271-$M271)/($J271-$M271-$H271)</f>
        <v>0.207703773373147</v>
      </c>
      <c r="AC271" s="4" t="n">
        <f aca="false">AB271/$Q271</f>
        <v>1.38469182248764</v>
      </c>
      <c r="AD271" s="23" t="n">
        <f aca="false">AB271-$Q271</f>
        <v>0.0577037733731467</v>
      </c>
      <c r="AE271" s="24" t="n">
        <f aca="false">1/AC271</f>
        <v>0.722182354051508</v>
      </c>
      <c r="AF271" s="24" t="n">
        <f aca="false">AB271*(14.068*'Sem TS MC2020'!$P263^-0.457)/$Q271</f>
        <v>1.53433613775723</v>
      </c>
      <c r="AG271" s="24"/>
      <c r="AO271" s="4" t="n">
        <f aca="false">$AP$2*($AP$3+$AP$4*$F271/($N271*'Sem TS MC2020'!P263))*($AP$5*$G271+$AP$6*$B271/$N271)*('Sem TS MC2020'!P263^$AP$7/200000)*($J271-$M271)/($J271-$M271-$H271)+('Sem TS MC2020'!P263-$C271/$AP$8)*($AP$5*$G271+$AP$6*$B271/$N271)/200000</f>
        <v>0.224423848466796</v>
      </c>
      <c r="AP271" s="4" t="n">
        <f aca="false">AO271/$Q271</f>
        <v>1.49615898977864</v>
      </c>
      <c r="AQ271" s="23" t="n">
        <f aca="false">AO271-$Q271</f>
        <v>0.0744238484667959</v>
      </c>
    </row>
    <row r="272" customFormat="false" ht="14.25" hidden="false" customHeight="false" outlineLevel="0" collapsed="false">
      <c r="B272" s="2" t="n">
        <v>15.9</v>
      </c>
      <c r="C272" s="3" t="n">
        <v>392</v>
      </c>
      <c r="D272" s="3" t="n">
        <v>2</v>
      </c>
      <c r="E272" s="2" t="n">
        <v>46</v>
      </c>
      <c r="F272" s="4" t="n">
        <v>2.92087587098479</v>
      </c>
      <c r="G272" s="2" t="n">
        <v>30</v>
      </c>
      <c r="H272" s="2" t="n">
        <v>38</v>
      </c>
      <c r="I272" s="1" t="n">
        <v>150</v>
      </c>
      <c r="J272" s="2" t="n">
        <v>250</v>
      </c>
      <c r="K272" s="3" t="n">
        <v>397.2</v>
      </c>
      <c r="L272" s="4" t="n">
        <v>17625</v>
      </c>
      <c r="M272" s="3" t="n">
        <v>69.5979672777495</v>
      </c>
      <c r="N272" s="12" t="n">
        <v>0.022536170212766</v>
      </c>
      <c r="O272" s="4" t="n">
        <v>27.4</v>
      </c>
      <c r="P272" s="3" t="n">
        <v>331.117624925515</v>
      </c>
      <c r="Q272" s="4" t="n">
        <v>0.25</v>
      </c>
      <c r="R272" s="13" t="n">
        <f aca="false">P272/200000</f>
        <v>0.00165558812462757</v>
      </c>
      <c r="V272" s="4" t="n">
        <f aca="false">$W$2*($W$3*$G272+$W$4*$B272^$W$5*$N272^$W$6)*$R272^$W$7</f>
        <v>0.308590399911945</v>
      </c>
      <c r="W272" s="4" t="n">
        <f aca="false">V272/$Q272</f>
        <v>1.23436159964778</v>
      </c>
      <c r="Y272" s="4" t="n">
        <f aca="false">$Z$2*$B272^$Z$3*$R272^$Z$4*($Z$5*$N272^$Z$6+$Z$7)</f>
        <v>0.305568429051323</v>
      </c>
      <c r="Z272" s="4" t="n">
        <f aca="false">Y272/$Q272</f>
        <v>1.22227371620529</v>
      </c>
      <c r="AB272" s="4" t="n">
        <f aca="false">$AC$2*($AC$3+$AC$4*$F272/($N272*'Sem TS MC2020'!P264))*($AC$5*$G272+$AC$6*$B272/$N272)*'Sem TS MC2020'!R264*($J272-$M272)/($J272-$M272-$H272)</f>
        <v>0.323158359447096</v>
      </c>
      <c r="AC272" s="4" t="n">
        <f aca="false">AB272/$Q272</f>
        <v>1.29263343778839</v>
      </c>
      <c r="AD272" s="23" t="n">
        <f aca="false">AB272-$Q272</f>
        <v>0.0731583594470963</v>
      </c>
      <c r="AE272" s="24" t="n">
        <f aca="false">1/AC272</f>
        <v>0.773614522699442</v>
      </c>
      <c r="AF272" s="24" t="n">
        <f aca="false">AB272*(14.068*'Sem TS MC2020'!$P264^-0.457)/$Q272</f>
        <v>1.22613018135334</v>
      </c>
      <c r="AG272" s="24"/>
      <c r="AO272" s="4" t="n">
        <f aca="false">$AP$2*($AP$3+$AP$4*$F272/($N272*'Sem TS MC2020'!P264))*($AP$5*$G272+$AP$6*$B272/$N272)*('Sem TS MC2020'!P264^$AP$7/200000)*($J272-$M272)/($J272-$M272-$H272)+('Sem TS MC2020'!P264-$C272/$AP$8)*($AP$5*$G272+$AP$6*$B272/$N272)/200000</f>
        <v>0.334550498317742</v>
      </c>
      <c r="AP272" s="4" t="n">
        <f aca="false">AO272/$Q272</f>
        <v>1.33820199327097</v>
      </c>
      <c r="AQ272" s="23" t="n">
        <f aca="false">AO272-$Q272</f>
        <v>0.0845504983177415</v>
      </c>
    </row>
    <row r="273" customFormat="false" ht="14.25" hidden="false" customHeight="false" outlineLevel="0" collapsed="false">
      <c r="B273" s="2" t="n">
        <v>15.9</v>
      </c>
      <c r="C273" s="3" t="n">
        <v>392</v>
      </c>
      <c r="D273" s="3" t="n">
        <v>2</v>
      </c>
      <c r="E273" s="2" t="n">
        <v>46</v>
      </c>
      <c r="F273" s="4" t="n">
        <v>2.92087587098479</v>
      </c>
      <c r="G273" s="2" t="n">
        <v>30</v>
      </c>
      <c r="H273" s="2" t="n">
        <v>38</v>
      </c>
      <c r="I273" s="1" t="n">
        <v>150</v>
      </c>
      <c r="J273" s="2" t="n">
        <v>250</v>
      </c>
      <c r="K273" s="3" t="n">
        <v>397.2</v>
      </c>
      <c r="L273" s="4" t="n">
        <v>17625</v>
      </c>
      <c r="M273" s="3" t="n">
        <v>69.5979672777495</v>
      </c>
      <c r="N273" s="12" t="n">
        <v>0.022536170212766</v>
      </c>
      <c r="O273" s="4" t="n">
        <v>31.3</v>
      </c>
      <c r="P273" s="3" t="n">
        <v>366.452902703315</v>
      </c>
      <c r="Q273" s="4" t="n">
        <v>0.3</v>
      </c>
      <c r="R273" s="13" t="n">
        <f aca="false">P273/200000</f>
        <v>0.00183226451351658</v>
      </c>
      <c r="V273" s="4" t="n">
        <f aca="false">$W$2*($W$3*$G273+$W$4*$B273^$W$5*$N273^$W$6)*$R273^$W$7</f>
        <v>0.328512985998598</v>
      </c>
      <c r="W273" s="4" t="n">
        <f aca="false">V273/$Q273</f>
        <v>1.09504328666199</v>
      </c>
      <c r="Y273" s="4" t="n">
        <f aca="false">$Z$2*$B273^$Z$3*$R273^$Z$4*($Z$5*$N273^$Z$6+$Z$7)</f>
        <v>0.325658941156013</v>
      </c>
      <c r="Z273" s="4" t="n">
        <f aca="false">Y273/$Q273</f>
        <v>1.08552980385338</v>
      </c>
      <c r="AB273" s="4" t="n">
        <f aca="false">$AC$2*($AC$3+$AC$4*$F273/($N273*'Sem TS MC2020'!P265))*($AC$5*$G273+$AC$6*$B273/$N273)*'Sem TS MC2020'!R265*($J273-$M273)/($J273-$M273-$H273)</f>
        <v>0.352668202487365</v>
      </c>
      <c r="AC273" s="4" t="n">
        <f aca="false">AB273/$Q273</f>
        <v>1.17556067495788</v>
      </c>
      <c r="AD273" s="23" t="n">
        <f aca="false">AB273-$Q273</f>
        <v>0.0526682024873646</v>
      </c>
      <c r="AE273" s="24" t="n">
        <f aca="false">1/AC273</f>
        <v>0.850657921196477</v>
      </c>
      <c r="AF273" s="24" t="n">
        <f aca="false">AB273*(14.068*'Sem TS MC2020'!$P265^-0.457)/$Q273</f>
        <v>1.07942840527415</v>
      </c>
      <c r="AG273" s="24"/>
      <c r="AO273" s="4" t="n">
        <f aca="false">$AP$2*($AP$3+$AP$4*$F273/($N273*'Sem TS MC2020'!P265))*($AP$5*$G273+$AP$6*$B273/$N273)*('Sem TS MC2020'!P265^$AP$7/200000)*($J273-$M273)/($J273-$M273-$H273)+('Sem TS MC2020'!P265-$C273/$AP$8)*($AP$5*$G273+$AP$6*$B273/$N273)/200000</f>
        <v>0.361556684369187</v>
      </c>
      <c r="AP273" s="4" t="n">
        <f aca="false">AO273/$Q273</f>
        <v>1.20518894789729</v>
      </c>
      <c r="AQ273" s="23" t="n">
        <f aca="false">AO273-$Q273</f>
        <v>0.0615566843691874</v>
      </c>
    </row>
    <row r="274" customFormat="false" ht="14.25" hidden="false" customHeight="false" outlineLevel="0" collapsed="false">
      <c r="A274" s="1" t="s">
        <v>80</v>
      </c>
      <c r="B274" s="2" t="n">
        <v>15.9</v>
      </c>
      <c r="C274" s="3" t="n">
        <v>392</v>
      </c>
      <c r="D274" s="3" t="n">
        <v>2</v>
      </c>
      <c r="E274" s="2" t="n">
        <v>46</v>
      </c>
      <c r="F274" s="4" t="n">
        <v>2.92087587098479</v>
      </c>
      <c r="G274" s="2" t="n">
        <v>30</v>
      </c>
      <c r="H274" s="2" t="n">
        <v>38</v>
      </c>
      <c r="I274" s="1" t="n">
        <v>150</v>
      </c>
      <c r="J274" s="2" t="n">
        <v>250</v>
      </c>
      <c r="K274" s="3" t="n">
        <v>397.2</v>
      </c>
      <c r="L274" s="4" t="n">
        <v>17625</v>
      </c>
      <c r="M274" s="3" t="n">
        <v>69.5979672777495</v>
      </c>
      <c r="N274" s="12" t="n">
        <v>0.022536170212766</v>
      </c>
      <c r="O274" s="4" t="n">
        <v>19.6</v>
      </c>
      <c r="P274" s="3" t="n">
        <v>194.621503739647</v>
      </c>
      <c r="Q274" s="4" t="n">
        <v>0.15</v>
      </c>
      <c r="R274" s="13" t="n">
        <f aca="false">P274/200000</f>
        <v>0.000973107518698235</v>
      </c>
      <c r="V274" s="4" t="n">
        <f aca="false">$W$2*($W$3*$G274+$W$4*$B274^$W$5*$N274^$W$6)*$R274^$W$7</f>
        <v>0.222322834854474</v>
      </c>
      <c r="W274" s="4" t="n">
        <f aca="false">V274/$Q274</f>
        <v>1.48215223236316</v>
      </c>
      <c r="Y274" s="4" t="n">
        <f aca="false">$Z$2*$B274^$Z$3*$R274^$Z$4*($Z$5*$N274^$Z$6+$Z$7)</f>
        <v>0.218862540202492</v>
      </c>
      <c r="Z274" s="4" t="n">
        <f aca="false">Y274/$Q274</f>
        <v>1.45908360134995</v>
      </c>
      <c r="AB274" s="4" t="n">
        <f aca="false">$AC$2*($AC$3+$AC$4*$F274/($N274*'Sem TS MC2020'!P266))*($AC$5*$G274+$AC$6*$B274/$N274)*'Sem TS MC2020'!R266*($J274-$M274)/($J274-$M274-$H274)</f>
        <v>0.209165223829779</v>
      </c>
      <c r="AC274" s="4" t="n">
        <f aca="false">AB274/$Q274</f>
        <v>1.39443482553186</v>
      </c>
      <c r="AD274" s="23" t="n">
        <f aca="false">AB274-$Q274</f>
        <v>0.0591652238297791</v>
      </c>
      <c r="AE274" s="24" t="n">
        <f aca="false">1/AC274</f>
        <v>0.717136420928518</v>
      </c>
      <c r="AF274" s="24" t="n">
        <f aca="false">AB274*(14.068*'Sem TS MC2020'!$P266^-0.457)/$Q274</f>
        <v>1.54152438787687</v>
      </c>
      <c r="AG274" s="24"/>
      <c r="AO274" s="4" t="n">
        <f aca="false">$AP$2*($AP$3+$AP$4*$F274/($N274*'Sem TS MC2020'!P266))*($AP$5*$G274+$AP$6*$B274/$N274)*('Sem TS MC2020'!P266^$AP$7/200000)*($J274-$M274)/($J274-$M274-$H274)+('Sem TS MC2020'!P266-$C274/$AP$8)*($AP$5*$G274+$AP$6*$B274/$N274)/200000</f>
        <v>0.225871909942167</v>
      </c>
      <c r="AP274" s="4" t="n">
        <f aca="false">AO274/$Q274</f>
        <v>1.50581273294778</v>
      </c>
      <c r="AQ274" s="23" t="n">
        <f aca="false">AO274-$Q274</f>
        <v>0.0758719099421669</v>
      </c>
    </row>
    <row r="275" customFormat="false" ht="14.25" hidden="false" customHeight="false" outlineLevel="0" collapsed="false">
      <c r="B275" s="2" t="n">
        <v>15.9</v>
      </c>
      <c r="C275" s="3" t="n">
        <v>392</v>
      </c>
      <c r="D275" s="3" t="n">
        <v>2</v>
      </c>
      <c r="E275" s="2" t="n">
        <v>46</v>
      </c>
      <c r="F275" s="4" t="n">
        <v>2.92087587098479</v>
      </c>
      <c r="G275" s="2" t="n">
        <v>30</v>
      </c>
      <c r="H275" s="2" t="n">
        <v>38</v>
      </c>
      <c r="I275" s="1" t="n">
        <v>150</v>
      </c>
      <c r="J275" s="2" t="n">
        <v>250</v>
      </c>
      <c r="K275" s="3" t="n">
        <v>397.2</v>
      </c>
      <c r="L275" s="4" t="n">
        <v>17625</v>
      </c>
      <c r="M275" s="3" t="n">
        <v>69.5979672777495</v>
      </c>
      <c r="N275" s="12" t="n">
        <v>0.022536170212766</v>
      </c>
      <c r="O275" s="4" t="n">
        <v>27.5</v>
      </c>
      <c r="P275" s="3" t="n">
        <v>332.867575197129</v>
      </c>
      <c r="Q275" s="4" t="n">
        <v>0.25</v>
      </c>
      <c r="R275" s="13" t="n">
        <f aca="false">P275/200000</f>
        <v>0.00166433787598564</v>
      </c>
      <c r="V275" s="4" t="n">
        <f aca="false">$W$2*($W$3*$G275+$W$4*$B275^$W$5*$N275^$W$6)*$R275^$W$7</f>
        <v>0.309595645770367</v>
      </c>
      <c r="W275" s="4" t="n">
        <f aca="false">V275/$Q275</f>
        <v>1.23838258308147</v>
      </c>
      <c r="Y275" s="4" t="n">
        <f aca="false">$Z$2*$B275^$Z$3*$R275^$Z$4*($Z$5*$N275^$Z$6+$Z$7)</f>
        <v>0.306581606325413</v>
      </c>
      <c r="Z275" s="4" t="n">
        <f aca="false">Y275/$Q275</f>
        <v>1.22632642530165</v>
      </c>
      <c r="AB275" s="4" t="n">
        <f aca="false">$AC$2*($AC$3+$AC$4*$F275/($N275*'Sem TS MC2020'!P267))*($AC$5*$G275+$AC$6*$B275/$N275)*'Sem TS MC2020'!R267*($J275-$M275)/($J275-$M275-$H275)</f>
        <v>0.324619809903729</v>
      </c>
      <c r="AC275" s="4" t="n">
        <f aca="false">AB275/$Q275</f>
        <v>1.29847923961491</v>
      </c>
      <c r="AD275" s="23" t="n">
        <f aca="false">AB275-$Q275</f>
        <v>0.0746198099037286</v>
      </c>
      <c r="AE275" s="24" t="n">
        <f aca="false">1/AC275</f>
        <v>0.770131681347918</v>
      </c>
      <c r="AF275" s="24" t="n">
        <f aca="false">AB275*(14.068*'Sem TS MC2020'!$P267^-0.457)/$Q275</f>
        <v>1.22962638419208</v>
      </c>
      <c r="AG275" s="24"/>
      <c r="AO275" s="4" t="n">
        <f aca="false">$AP$2*($AP$3+$AP$4*$F275/($N275*'Sem TS MC2020'!P267))*($AP$5*$G275+$AP$6*$B275/$N275)*('Sem TS MC2020'!P267^$AP$7/200000)*($J275-$M275)/($J275-$M275-$H275)+('Sem TS MC2020'!P267-$C275/$AP$8)*($AP$5*$G275+$AP$6*$B275/$N275)/200000</f>
        <v>0.335897345049754</v>
      </c>
      <c r="AP275" s="4" t="n">
        <f aca="false">AO275/$Q275</f>
        <v>1.34358938019902</v>
      </c>
      <c r="AQ275" s="23" t="n">
        <f aca="false">AO275-$Q275</f>
        <v>0.0858973450497539</v>
      </c>
    </row>
    <row r="276" customFormat="false" ht="14.25" hidden="false" customHeight="false" outlineLevel="0" collapsed="false">
      <c r="A276" s="1" t="s">
        <v>81</v>
      </c>
      <c r="B276" s="2" t="n">
        <v>19.1</v>
      </c>
      <c r="C276" s="3" t="n">
        <v>392</v>
      </c>
      <c r="D276" s="3" t="n">
        <v>2</v>
      </c>
      <c r="E276" s="2" t="n">
        <v>40</v>
      </c>
      <c r="F276" s="4" t="n">
        <v>2.92087587098479</v>
      </c>
      <c r="G276" s="2" t="n">
        <v>30</v>
      </c>
      <c r="H276" s="2" t="n">
        <v>39.5</v>
      </c>
      <c r="I276" s="1" t="n">
        <v>150</v>
      </c>
      <c r="J276" s="2" t="n">
        <v>250</v>
      </c>
      <c r="K276" s="3" t="n">
        <v>573</v>
      </c>
      <c r="L276" s="4" t="n">
        <v>20250</v>
      </c>
      <c r="M276" s="3" t="n">
        <v>80.017825486464</v>
      </c>
      <c r="N276" s="12" t="n">
        <v>0.0282962962962963</v>
      </c>
      <c r="O276" s="4" t="n">
        <v>19.7</v>
      </c>
      <c r="P276" s="3" t="n">
        <v>113.834697759034</v>
      </c>
      <c r="Q276" s="4" t="n">
        <v>0.15</v>
      </c>
      <c r="R276" s="13" t="n">
        <f aca="false">P276/200000</f>
        <v>0.00056917348879517</v>
      </c>
      <c r="V276" s="4" t="n">
        <f aca="false">$W$2*($W$3*$G276+$W$4*$B276^$W$5*$N276^$W$6)*$R276^$W$7</f>
        <v>0.164281950114527</v>
      </c>
      <c r="W276" s="4" t="n">
        <f aca="false">V276/$Q276</f>
        <v>1.09521300076352</v>
      </c>
      <c r="Y276" s="4" t="n">
        <f aca="false">$Z$2*$B276^$Z$3*$R276^$Z$4*($Z$5*$N276^$Z$6+$Z$7)</f>
        <v>0.161565777526796</v>
      </c>
      <c r="Z276" s="4" t="n">
        <f aca="false">Y276/$Q276</f>
        <v>1.07710518351197</v>
      </c>
      <c r="AB276" s="4" t="n">
        <f aca="false">$AC$2*($AC$3+$AC$4*$F276/($N276*'Sem TS MC2020'!P268))*($AC$5*$G276+$AC$6*$B276/$N276)*'Sem TS MC2020'!R268*($J276-$M276)/($J276-$M276-$H276)</f>
        <v>0.142584800685983</v>
      </c>
      <c r="AC276" s="4" t="n">
        <f aca="false">AB276/$Q276</f>
        <v>0.950565337906556</v>
      </c>
      <c r="AD276" s="23" t="n">
        <f aca="false">AB276-$Q276</f>
        <v>-0.0074151993140166</v>
      </c>
      <c r="AE276" s="24" t="n">
        <f aca="false">1/AC276</f>
        <v>1.05200553830662</v>
      </c>
      <c r="AF276" s="24" t="n">
        <f aca="false">AB276*(14.068*'Sem TS MC2020'!$P268^-0.457)/$Q276</f>
        <v>1.22449045189177</v>
      </c>
      <c r="AG276" s="24"/>
      <c r="AO276" s="4" t="n">
        <f aca="false">$AP$2*($AP$3+$AP$4*$F276/($N276*'Sem TS MC2020'!P268))*($AP$5*$G276+$AP$6*$B276/$N276)*('Sem TS MC2020'!P268^$AP$7/200000)*($J276-$M276)/($J276-$M276-$H276)+('Sem TS MC2020'!P268-$C276/$AP$8)*($AP$5*$G276+$AP$6*$B276/$N276)/200000</f>
        <v>0.159156058045214</v>
      </c>
      <c r="AP276" s="4" t="n">
        <f aca="false">AO276/$Q276</f>
        <v>1.06104038696809</v>
      </c>
      <c r="AQ276" s="23" t="n">
        <f aca="false">AO276-$Q276</f>
        <v>0.00915605804521399</v>
      </c>
    </row>
    <row r="277" customFormat="false" ht="14.25" hidden="false" customHeight="false" outlineLevel="0" collapsed="false">
      <c r="B277" s="2" t="n">
        <v>19.1</v>
      </c>
      <c r="C277" s="3" t="n">
        <v>392</v>
      </c>
      <c r="D277" s="3" t="n">
        <v>2</v>
      </c>
      <c r="E277" s="2" t="n">
        <v>40</v>
      </c>
      <c r="F277" s="4" t="n">
        <v>2.92087587098479</v>
      </c>
      <c r="G277" s="2" t="n">
        <v>30</v>
      </c>
      <c r="H277" s="2" t="n">
        <v>39.5</v>
      </c>
      <c r="I277" s="1" t="n">
        <v>150</v>
      </c>
      <c r="J277" s="2" t="n">
        <v>250</v>
      </c>
      <c r="K277" s="3" t="n">
        <v>573</v>
      </c>
      <c r="L277" s="4" t="n">
        <v>20250</v>
      </c>
      <c r="M277" s="3" t="n">
        <v>80.017825486464</v>
      </c>
      <c r="N277" s="12" t="n">
        <v>0.0282962962962963</v>
      </c>
      <c r="O277" s="4" t="n">
        <v>27.5</v>
      </c>
      <c r="P277" s="3" t="n">
        <v>206.130330837803</v>
      </c>
      <c r="Q277" s="4" t="n">
        <v>0.2</v>
      </c>
      <c r="R277" s="13" t="n">
        <f aca="false">P277/200000</f>
        <v>0.00103065165418902</v>
      </c>
      <c r="V277" s="4" t="n">
        <f aca="false">$W$2*($W$3*$G277+$W$4*$B277^$W$5*$N277^$W$6)*$R277^$W$7</f>
        <v>0.236970310462656</v>
      </c>
      <c r="W277" s="4" t="n">
        <f aca="false">V277/$Q277</f>
        <v>1.18485155231328</v>
      </c>
      <c r="Y277" s="4" t="n">
        <f aca="false">$Z$2*$B277^$Z$3*$R277^$Z$4*($Z$5*$N277^$Z$6+$Z$7)</f>
        <v>0.234579471034568</v>
      </c>
      <c r="Z277" s="4" t="n">
        <f aca="false">Y277/$Q277</f>
        <v>1.17289735517284</v>
      </c>
      <c r="AB277" s="4" t="n">
        <f aca="false">$AC$2*($AC$3+$AC$4*$F277/($N277*'Sem TS MC2020'!P269))*($AC$5*$G277+$AC$6*$B277/$N277)*'Sem TS MC2020'!R269*($J277-$M277)/($J277-$M277-$H277)</f>
        <v>0.223265944741464</v>
      </c>
      <c r="AC277" s="4" t="n">
        <f aca="false">AB277/$Q277</f>
        <v>1.11632972370732</v>
      </c>
      <c r="AD277" s="23" t="n">
        <f aca="false">AB277-$Q277</f>
        <v>0.0232659447414641</v>
      </c>
      <c r="AE277" s="24" t="n">
        <f aca="false">1/AC277</f>
        <v>0.895792684511713</v>
      </c>
      <c r="AF277" s="24" t="n">
        <f aca="false">AB277*(14.068*'Sem TS MC2020'!$P269^-0.457)/$Q277</f>
        <v>1.23470140404646</v>
      </c>
      <c r="AG277" s="24"/>
      <c r="AO277" s="4" t="n">
        <f aca="false">$AP$2*($AP$3+$AP$4*$F277/($N277*'Sem TS MC2020'!P269))*($AP$5*$G277+$AP$6*$B277/$N277)*('Sem TS MC2020'!P269^$AP$7/200000)*($J277-$M277)/($J277-$M277-$H277)+('Sem TS MC2020'!P269-$C277/$AP$8)*($AP$5*$G277+$AP$6*$B277/$N277)/200000</f>
        <v>0.240679255660399</v>
      </c>
      <c r="AP277" s="4" t="n">
        <f aca="false">AO277/$Q277</f>
        <v>1.20339627830199</v>
      </c>
      <c r="AQ277" s="23" t="n">
        <f aca="false">AO277-$Q277</f>
        <v>0.0406792556603989</v>
      </c>
    </row>
    <row r="278" customFormat="false" ht="14.25" hidden="false" customHeight="false" outlineLevel="0" collapsed="false">
      <c r="B278" s="2" t="n">
        <v>19.1</v>
      </c>
      <c r="C278" s="3" t="n">
        <v>392</v>
      </c>
      <c r="D278" s="3" t="n">
        <v>2</v>
      </c>
      <c r="E278" s="2" t="n">
        <v>40</v>
      </c>
      <c r="F278" s="4" t="n">
        <v>2.92087587098479</v>
      </c>
      <c r="G278" s="2" t="n">
        <v>30</v>
      </c>
      <c r="H278" s="2" t="n">
        <v>39.5</v>
      </c>
      <c r="I278" s="1" t="n">
        <v>150</v>
      </c>
      <c r="J278" s="2" t="n">
        <v>250</v>
      </c>
      <c r="K278" s="3" t="n">
        <v>573</v>
      </c>
      <c r="L278" s="4" t="n">
        <v>20250</v>
      </c>
      <c r="M278" s="3" t="n">
        <v>80.017825486464</v>
      </c>
      <c r="N278" s="12" t="n">
        <v>0.0282962962962963</v>
      </c>
      <c r="O278" s="4" t="n">
        <v>35.4</v>
      </c>
      <c r="P278" s="3" t="n">
        <v>300.388936553062</v>
      </c>
      <c r="Q278" s="4" t="n">
        <v>0.3</v>
      </c>
      <c r="R278" s="13" t="n">
        <f aca="false">P278/200000</f>
        <v>0.00150194468276531</v>
      </c>
      <c r="V278" s="4" t="n">
        <f aca="false">$W$2*($W$3*$G278+$W$4*$B278^$W$5*$N278^$W$6)*$R278^$W$7</f>
        <v>0.298950560451436</v>
      </c>
      <c r="W278" s="4" t="n">
        <f aca="false">V278/$Q278</f>
        <v>0.996501868171455</v>
      </c>
      <c r="Y278" s="4" t="n">
        <f aca="false">$Z$2*$B278^$Z$3*$R278^$Z$4*($Z$5*$N278^$Z$6+$Z$7)</f>
        <v>0.297162770988944</v>
      </c>
      <c r="Z278" s="4" t="n">
        <f aca="false">Y278/$Q278</f>
        <v>0.990542569963148</v>
      </c>
      <c r="AB278" s="4" t="n">
        <f aca="false">$AC$2*($AC$3+$AC$4*$F278/($N278*'Sem TS MC2020'!P270))*($AC$5*$G278+$AC$6*$B278/$N278)*'Sem TS MC2020'!R270*($J278-$M278)/($J278-$M278-$H278)</f>
        <v>0.304981462438682</v>
      </c>
      <c r="AC278" s="4" t="n">
        <f aca="false">AB278/$Q278</f>
        <v>1.01660487479561</v>
      </c>
      <c r="AD278" s="23" t="n">
        <f aca="false">AB278-$Q278</f>
        <v>0.00498146243868197</v>
      </c>
      <c r="AE278" s="24" t="n">
        <f aca="false">1/AC278</f>
        <v>0.983666343525113</v>
      </c>
      <c r="AF278" s="24" t="n">
        <f aca="false">AB278*(14.068*'Sem TS MC2020'!$P270^-0.457)/$Q278</f>
        <v>1.00184882158732</v>
      </c>
      <c r="AG278" s="24"/>
      <c r="AO278" s="4" t="n">
        <f aca="false">$AP$2*($AP$3+$AP$4*$F278/($N278*'Sem TS MC2020'!P270))*($AP$5*$G278+$AP$6*$B278/$N278)*('Sem TS MC2020'!P270^$AP$7/200000)*($J278-$M278)/($J278-$M278-$H278)+('Sem TS MC2020'!P270-$C278/$AP$8)*($AP$5*$G278+$AP$6*$B278/$N278)/200000</f>
        <v>0.318314092274056</v>
      </c>
      <c r="AP278" s="4" t="n">
        <f aca="false">AO278/$Q278</f>
        <v>1.06104697424685</v>
      </c>
      <c r="AQ278" s="23" t="n">
        <f aca="false">AO278-$Q278</f>
        <v>0.0183140922740558</v>
      </c>
    </row>
    <row r="279" customFormat="false" ht="14.25" hidden="false" customHeight="false" outlineLevel="0" collapsed="false">
      <c r="B279" s="2" t="n">
        <v>19.1</v>
      </c>
      <c r="C279" s="3" t="n">
        <v>392</v>
      </c>
      <c r="D279" s="3" t="n">
        <v>2</v>
      </c>
      <c r="E279" s="2" t="n">
        <v>40</v>
      </c>
      <c r="F279" s="4" t="n">
        <v>2.92087587098479</v>
      </c>
      <c r="G279" s="2" t="n">
        <v>30</v>
      </c>
      <c r="H279" s="2" t="n">
        <v>39.5</v>
      </c>
      <c r="I279" s="1" t="n">
        <v>150</v>
      </c>
      <c r="J279" s="2" t="n">
        <v>250</v>
      </c>
      <c r="K279" s="3" t="n">
        <v>573</v>
      </c>
      <c r="L279" s="4" t="n">
        <v>20250</v>
      </c>
      <c r="M279" s="3" t="n">
        <v>80.017825486464</v>
      </c>
      <c r="N279" s="12" t="n">
        <v>0.0282962962962963</v>
      </c>
      <c r="O279" s="4" t="n">
        <v>43.3</v>
      </c>
      <c r="P279" s="3" t="n">
        <v>371.049164141272</v>
      </c>
      <c r="Q279" s="4" t="n">
        <v>0.33</v>
      </c>
      <c r="R279" s="13" t="n">
        <f aca="false">P279/200000</f>
        <v>0.00185524582070636</v>
      </c>
      <c r="V279" s="4" t="n">
        <f aca="false">$W$2*($W$3*$G279+$W$4*$B279^$W$5*$N279^$W$6)*$R279^$W$7</f>
        <v>0.340570944979316</v>
      </c>
      <c r="W279" s="4" t="n">
        <f aca="false">V279/$Q279</f>
        <v>1.03203316660399</v>
      </c>
      <c r="Y279" s="4" t="n">
        <f aca="false">$Z$2*$B279^$Z$3*$R279^$Z$4*($Z$5*$N279^$Z$6+$Z$7)</f>
        <v>0.339321864443275</v>
      </c>
      <c r="Z279" s="4" t="n">
        <f aca="false">Y279/$Q279</f>
        <v>1.02824807407053</v>
      </c>
      <c r="AB279" s="4" t="n">
        <f aca="false">$AC$2*($AC$3+$AC$4*$F279/($N279*'Sem TS MC2020'!P271))*($AC$5*$G279+$AC$6*$B279/$N279)*'Sem TS MC2020'!R271*($J279-$M279)/($J279-$M279-$H279)</f>
        <v>0.366238862059215</v>
      </c>
      <c r="AC279" s="4" t="n">
        <f aca="false">AB279/$Q279</f>
        <v>1.10981473351277</v>
      </c>
      <c r="AD279" s="23" t="n">
        <f aca="false">AB279-$Q279</f>
        <v>0.0362388620592149</v>
      </c>
      <c r="AE279" s="24" t="n">
        <f aca="false">1/AC279</f>
        <v>0.901051292439425</v>
      </c>
      <c r="AF279" s="24" t="n">
        <f aca="false">AB279*(14.068*'Sem TS MC2020'!$P271^-0.457)/$Q279</f>
        <v>1.01905888268027</v>
      </c>
      <c r="AG279" s="24"/>
      <c r="AO279" s="4" t="n">
        <f aca="false">$AP$2*($AP$3+$AP$4*$F279/($N279*'Sem TS MC2020'!P271))*($AP$5*$G279+$AP$6*$B279/$N279)*('Sem TS MC2020'!P271^$AP$7/200000)*($J279-$M279)/($J279-$M279-$H279)+('Sem TS MC2020'!P271-$C279/$AP$8)*($AP$5*$G279+$AP$6*$B279/$N279)/200000</f>
        <v>0.374192395567314</v>
      </c>
      <c r="AP279" s="4" t="n">
        <f aca="false">AO279/$Q279</f>
        <v>1.13391635020398</v>
      </c>
      <c r="AQ279" s="23" t="n">
        <f aca="false">AO279-$Q279</f>
        <v>0.0441923955673139</v>
      </c>
    </row>
    <row r="280" customFormat="false" ht="14.25" hidden="false" customHeight="false" outlineLevel="0" collapsed="false">
      <c r="A280" s="1" t="s">
        <v>82</v>
      </c>
      <c r="B280" s="2" t="n">
        <v>19.1</v>
      </c>
      <c r="C280" s="3" t="n">
        <v>392</v>
      </c>
      <c r="D280" s="3" t="n">
        <v>2</v>
      </c>
      <c r="E280" s="2" t="n">
        <v>40</v>
      </c>
      <c r="F280" s="4" t="n">
        <v>2.92087587098479</v>
      </c>
      <c r="G280" s="2" t="n">
        <v>30</v>
      </c>
      <c r="H280" s="2" t="n">
        <v>39.5</v>
      </c>
      <c r="I280" s="1" t="n">
        <v>150</v>
      </c>
      <c r="J280" s="2" t="n">
        <v>250</v>
      </c>
      <c r="K280" s="3" t="n">
        <v>573</v>
      </c>
      <c r="L280" s="4" t="n">
        <v>20250</v>
      </c>
      <c r="M280" s="3" t="n">
        <v>80.017825486464</v>
      </c>
      <c r="N280" s="12" t="n">
        <v>0.0282962962962963</v>
      </c>
      <c r="O280" s="4" t="n">
        <v>19.6</v>
      </c>
      <c r="P280" s="3" t="n">
        <v>112.885328525321</v>
      </c>
      <c r="Q280" s="4" t="n">
        <v>0.15</v>
      </c>
      <c r="R280" s="13" t="n">
        <f aca="false">P280/200000</f>
        <v>0.000564426642626607</v>
      </c>
      <c r="V280" s="4" t="n">
        <f aca="false">$W$2*($W$3*$G280+$W$4*$B280^$W$5*$N280^$W$6)*$R280^$W$7</f>
        <v>0.163435246843041</v>
      </c>
      <c r="W280" s="4" t="n">
        <f aca="false">V280/$Q280</f>
        <v>1.08956831228694</v>
      </c>
      <c r="Y280" s="4" t="n">
        <f aca="false">$Z$2*$B280^$Z$3*$R280^$Z$4*($Z$5*$N280^$Z$6+$Z$7)</f>
        <v>0.160718266697998</v>
      </c>
      <c r="Z280" s="4" t="n">
        <f aca="false">Y280/$Q280</f>
        <v>1.07145511131999</v>
      </c>
      <c r="AB280" s="4" t="n">
        <f aca="false">$AC$2*($AC$3+$AC$4*$F280/($N280*'Sem TS MC2020'!P272))*($AC$5*$G280+$AC$6*$B280/$N280)*'Sem TS MC2020'!R272*($J280-$M280)/($J280-$M280-$H280)</f>
        <v>0.141550427044246</v>
      </c>
      <c r="AC280" s="4" t="n">
        <f aca="false">AB280/$Q280</f>
        <v>0.94366951362831</v>
      </c>
      <c r="AD280" s="23" t="n">
        <f aca="false">AB280-$Q280</f>
        <v>-0.00844957295575352</v>
      </c>
      <c r="AE280" s="24" t="n">
        <f aca="false">1/AC280</f>
        <v>1.05969302341357</v>
      </c>
      <c r="AF280" s="24" t="n">
        <f aca="false">AB280*(14.068*'Sem TS MC2020'!$P272^-0.457)/$Q280</f>
        <v>1.21843788699573</v>
      </c>
      <c r="AG280" s="24"/>
      <c r="AO280" s="4" t="n">
        <f aca="false">$AP$2*($AP$3+$AP$4*$F280/($N280*'Sem TS MC2020'!P272))*($AP$5*$G280+$AP$6*$B280/$N280)*('Sem TS MC2020'!P272^$AP$7/200000)*($J280-$M280)/($J280-$M280-$H280)+('Sem TS MC2020'!P272-$C280/$AP$8)*($AP$5*$G280+$AP$6*$B280/$N280)/200000</f>
        <v>0.158068774099756</v>
      </c>
      <c r="AP280" s="4" t="n">
        <f aca="false">AO280/$Q280</f>
        <v>1.05379182733171</v>
      </c>
      <c r="AQ280" s="23" t="n">
        <f aca="false">AO280-$Q280</f>
        <v>0.00806877409975634</v>
      </c>
    </row>
    <row r="281" customFormat="false" ht="14.25" hidden="false" customHeight="false" outlineLevel="0" collapsed="false">
      <c r="B281" s="2" t="n">
        <v>19.1</v>
      </c>
      <c r="C281" s="3" t="n">
        <v>392</v>
      </c>
      <c r="D281" s="3" t="n">
        <v>2</v>
      </c>
      <c r="E281" s="2" t="n">
        <v>40</v>
      </c>
      <c r="F281" s="4" t="n">
        <v>2.92087587098479</v>
      </c>
      <c r="G281" s="2" t="n">
        <v>30</v>
      </c>
      <c r="H281" s="2" t="n">
        <v>39.5</v>
      </c>
      <c r="I281" s="1" t="n">
        <v>150</v>
      </c>
      <c r="J281" s="2" t="n">
        <v>250</v>
      </c>
      <c r="K281" s="3" t="n">
        <v>573</v>
      </c>
      <c r="L281" s="4" t="n">
        <v>20250</v>
      </c>
      <c r="M281" s="3" t="n">
        <v>80.017825486464</v>
      </c>
      <c r="N281" s="12" t="n">
        <v>0.0282962962962963</v>
      </c>
      <c r="O281" s="4" t="n">
        <v>27.3</v>
      </c>
      <c r="P281" s="3" t="n">
        <v>203.744037022227</v>
      </c>
      <c r="Q281" s="4" t="n">
        <v>0.25</v>
      </c>
      <c r="R281" s="13" t="n">
        <f aca="false">P281/200000</f>
        <v>0.00101872018511114</v>
      </c>
      <c r="V281" s="4" t="n">
        <f aca="false">$W$2*($W$3*$G281+$W$4*$B281^$W$5*$N281^$W$6)*$R281^$W$7</f>
        <v>0.235273911447416</v>
      </c>
      <c r="W281" s="4" t="n">
        <f aca="false">V281/$Q281</f>
        <v>0.941095645789664</v>
      </c>
      <c r="Y281" s="4" t="n">
        <f aca="false">$Z$2*$B281^$Z$3*$R281^$Z$4*($Z$5*$N281^$Z$6+$Z$7)</f>
        <v>0.232870358038216</v>
      </c>
      <c r="Z281" s="4" t="n">
        <f aca="false">Y281/$Q281</f>
        <v>0.931481432152865</v>
      </c>
      <c r="AB281" s="4" t="n">
        <f aca="false">$AC$2*($AC$3+$AC$4*$F281/($N281*'Sem TS MC2020'!P273))*($AC$5*$G281+$AC$6*$B281/$N281)*'Sem TS MC2020'!R273*($J281-$M281)/($J281-$M281-$H281)</f>
        <v>0.22119719745799</v>
      </c>
      <c r="AC281" s="4" t="n">
        <f aca="false">AB281/$Q281</f>
        <v>0.884788789831961</v>
      </c>
      <c r="AD281" s="23" t="n">
        <f aca="false">AB281-$Q281</f>
        <v>-0.0288028025420097</v>
      </c>
      <c r="AE281" s="24" t="n">
        <f aca="false">1/AC281</f>
        <v>1.13021323449399</v>
      </c>
      <c r="AF281" s="24" t="n">
        <f aca="false">AB281*(14.068*'Sem TS MC2020'!$P273^-0.457)/$Q281</f>
        <v>0.981878558583142</v>
      </c>
      <c r="AG281" s="24"/>
      <c r="AO281" s="4" t="n">
        <f aca="false">$AP$2*($AP$3+$AP$4*$F281/($N281*'Sem TS MC2020'!P273))*($AP$5*$G281+$AP$6*$B281/$N281)*('Sem TS MC2020'!P273^$AP$7/200000)*($J281-$M281)/($J281-$M281-$H281)+('Sem TS MC2020'!P273-$C281/$AP$8)*($AP$5*$G281+$AP$6*$B281/$N281)/200000</f>
        <v>0.238657957010942</v>
      </c>
      <c r="AP281" s="4" t="n">
        <f aca="false">AO281/$Q281</f>
        <v>0.954631828043767</v>
      </c>
      <c r="AQ281" s="23" t="n">
        <f aca="false">AO281-$Q281</f>
        <v>-0.0113420429890583</v>
      </c>
    </row>
    <row r="282" customFormat="false" ht="14.25" hidden="false" customHeight="false" outlineLevel="0" collapsed="false">
      <c r="B282" s="2" t="n">
        <v>19.1</v>
      </c>
      <c r="C282" s="3" t="n">
        <v>392</v>
      </c>
      <c r="D282" s="3" t="n">
        <v>2</v>
      </c>
      <c r="E282" s="2" t="n">
        <v>40</v>
      </c>
      <c r="F282" s="4" t="n">
        <v>2.92087587098479</v>
      </c>
      <c r="G282" s="2" t="n">
        <v>30</v>
      </c>
      <c r="H282" s="2" t="n">
        <v>39.5</v>
      </c>
      <c r="I282" s="1" t="n">
        <v>150</v>
      </c>
      <c r="J282" s="2" t="n">
        <v>250</v>
      </c>
      <c r="K282" s="3" t="n">
        <v>573</v>
      </c>
      <c r="L282" s="4" t="n">
        <v>20250</v>
      </c>
      <c r="M282" s="3" t="n">
        <v>80.017825486464</v>
      </c>
      <c r="N282" s="12" t="n">
        <v>0.0282962962962963</v>
      </c>
      <c r="O282" s="4" t="n">
        <v>35.1</v>
      </c>
      <c r="P282" s="3" t="n">
        <v>296.809495829698</v>
      </c>
      <c r="Q282" s="4" t="n">
        <v>0.28</v>
      </c>
      <c r="R282" s="13" t="n">
        <f aca="false">P282/200000</f>
        <v>0.00148404747914849</v>
      </c>
      <c r="V282" s="4" t="n">
        <f aca="false">$W$2*($W$3*$G282+$W$4*$B282^$W$5*$N282^$W$6)*$R282^$W$7</f>
        <v>0.296747577464912</v>
      </c>
      <c r="W282" s="4" t="n">
        <f aca="false">V282/$Q282</f>
        <v>1.0598127766604</v>
      </c>
      <c r="Y282" s="4" t="n">
        <f aca="false">$Z$2*$B282^$Z$3*$R282^$Z$4*($Z$5*$N282^$Z$6+$Z$7)</f>
        <v>0.294934068735704</v>
      </c>
      <c r="Z282" s="4" t="n">
        <f aca="false">Y282/$Q282</f>
        <v>1.05333595977037</v>
      </c>
      <c r="AB282" s="4" t="n">
        <f aca="false">$AC$2*($AC$3+$AC$4*$F282/($N282*'Sem TS MC2020'!P274))*($AC$5*$G282+$AC$6*$B282/$N282)*'Sem TS MC2020'!R274*($J282-$M282)/($J282-$M282-$H282)</f>
        <v>0.301878341513471</v>
      </c>
      <c r="AC282" s="4" t="n">
        <f aca="false">AB282/$Q282</f>
        <v>1.07813693397668</v>
      </c>
      <c r="AD282" s="23" t="n">
        <f aca="false">AB282-$Q282</f>
        <v>0.0218783415134711</v>
      </c>
      <c r="AE282" s="24" t="n">
        <f aca="false">1/AC282</f>
        <v>0.927525964917576</v>
      </c>
      <c r="AF282" s="24" t="n">
        <f aca="false">AB282*(14.068*'Sem TS MC2020'!$P274^-0.457)/$Q282</f>
        <v>1.0666282116996</v>
      </c>
      <c r="AG282" s="24"/>
      <c r="AO282" s="4" t="n">
        <f aca="false">$AP$2*($AP$3+$AP$4*$F282/($N282*'Sem TS MC2020'!P274))*($AP$5*$G282+$AP$6*$B282/$N282)*('Sem TS MC2020'!P274^$AP$7/200000)*($J282-$M282)/($J282-$M282-$H282)+('Sem TS MC2020'!P274-$C282/$AP$8)*($AP$5*$G282+$AP$6*$B282/$N282)/200000</f>
        <v>0.315435878897294</v>
      </c>
      <c r="AP282" s="4" t="n">
        <f aca="false">AO282/$Q282</f>
        <v>1.12655671034748</v>
      </c>
      <c r="AQ282" s="23" t="n">
        <f aca="false">AO282-$Q282</f>
        <v>0.0354358788972942</v>
      </c>
    </row>
    <row r="283" customFormat="false" ht="14.25" hidden="false" customHeight="false" outlineLevel="0" collapsed="false">
      <c r="A283" s="1" t="s">
        <v>83</v>
      </c>
      <c r="B283" s="2" t="n">
        <v>15.9</v>
      </c>
      <c r="C283" s="3" t="n">
        <v>392</v>
      </c>
      <c r="D283" s="3" t="n">
        <v>2</v>
      </c>
      <c r="E283" s="2" t="n">
        <v>46</v>
      </c>
      <c r="F283" s="4" t="n">
        <v>3.35387948274239</v>
      </c>
      <c r="G283" s="2" t="n">
        <v>30</v>
      </c>
      <c r="H283" s="2" t="n">
        <v>38</v>
      </c>
      <c r="I283" s="1" t="n">
        <v>150</v>
      </c>
      <c r="J283" s="2" t="n">
        <v>250</v>
      </c>
      <c r="K283" s="3" t="n">
        <v>397.2</v>
      </c>
      <c r="L283" s="4" t="n">
        <v>17625</v>
      </c>
      <c r="M283" s="3" t="n">
        <v>67.6841386130991</v>
      </c>
      <c r="N283" s="12" t="n">
        <v>0.022536170212766</v>
      </c>
      <c r="O283" s="4" t="n">
        <v>27.5</v>
      </c>
      <c r="P283" s="3" t="n">
        <v>326.505076813976</v>
      </c>
      <c r="Q283" s="4" t="n">
        <v>0.2</v>
      </c>
      <c r="R283" s="13" t="n">
        <f aca="false">P283/200000</f>
        <v>0.00163252538406988</v>
      </c>
      <c r="V283" s="4" t="n">
        <f aca="false">$W$2*($W$3*$G283+$W$4*$B283^$W$5*$N283^$W$6)*$R283^$W$7</f>
        <v>0.305930957027117</v>
      </c>
      <c r="W283" s="4" t="n">
        <f aca="false">V283/$Q283</f>
        <v>1.52965478513558</v>
      </c>
      <c r="Y283" s="4" t="n">
        <f aca="false">$Z$2*$B283^$Z$3*$R283^$Z$4*($Z$5*$N283^$Z$6+$Z$7)</f>
        <v>0.302888287336216</v>
      </c>
      <c r="Z283" s="4" t="n">
        <f aca="false">Y283/$Q283</f>
        <v>1.51444143668108</v>
      </c>
      <c r="AB283" s="4" t="n">
        <f aca="false">$AC$2*($AC$3+$AC$4*$F283/($N283*'Sem TS MC2020'!P275))*($AC$5*$G283+$AC$6*$B283/$N283)*'Sem TS MC2020'!R275*($J283-$M283)/($J283-$M283-$H283)</f>
        <v>0.310939199162914</v>
      </c>
      <c r="AC283" s="4" t="n">
        <f aca="false">AB283/$Q283</f>
        <v>1.55469599581457</v>
      </c>
      <c r="AD283" s="23" t="n">
        <f aca="false">AB283-$Q283</f>
        <v>0.110939199162914</v>
      </c>
      <c r="AE283" s="24" t="n">
        <f aca="false">1/AC283</f>
        <v>0.643212565473971</v>
      </c>
      <c r="AF283" s="24" t="n">
        <f aca="false">AB283*(14.068*'Sem TS MC2020'!$P275^-0.457)/$Q283</f>
        <v>1.4745283805689</v>
      </c>
      <c r="AG283" s="24"/>
      <c r="AO283" s="4" t="n">
        <f aca="false">$AP$2*($AP$3+$AP$4*$F283/($N283*'Sem TS MC2020'!P275))*($AP$5*$G283+$AP$6*$B283/$N283)*('Sem TS MC2020'!P275^$AP$7/200000)*($J283-$M283)/($J283-$M283-$H283)+('Sem TS MC2020'!P275-$C283/$AP$8)*($AP$5*$G283+$AP$6*$B283/$N283)/200000</f>
        <v>0.322070068101845</v>
      </c>
      <c r="AP283" s="4" t="n">
        <f aca="false">AO283/$Q283</f>
        <v>1.61035034050923</v>
      </c>
      <c r="AQ283" s="23" t="n">
        <f aca="false">AO283-$Q283</f>
        <v>0.122070068101845</v>
      </c>
    </row>
    <row r="284" customFormat="false" ht="14.25" hidden="false" customHeight="false" outlineLevel="0" collapsed="false">
      <c r="B284" s="2" t="n">
        <v>15.9</v>
      </c>
      <c r="C284" s="3" t="n">
        <v>392</v>
      </c>
      <c r="D284" s="3" t="n">
        <v>2</v>
      </c>
      <c r="E284" s="2" t="n">
        <v>46</v>
      </c>
      <c r="F284" s="4" t="n">
        <v>3.35387948274239</v>
      </c>
      <c r="G284" s="2" t="n">
        <v>30</v>
      </c>
      <c r="H284" s="2" t="n">
        <v>38</v>
      </c>
      <c r="I284" s="1" t="n">
        <v>150</v>
      </c>
      <c r="J284" s="2" t="n">
        <v>250</v>
      </c>
      <c r="K284" s="3" t="n">
        <v>397.2</v>
      </c>
      <c r="L284" s="4" t="n">
        <v>17625</v>
      </c>
      <c r="M284" s="3" t="n">
        <v>67.6841386130991</v>
      </c>
      <c r="N284" s="12" t="n">
        <v>0.022536170212766</v>
      </c>
      <c r="O284" s="4" t="n">
        <v>31.4</v>
      </c>
      <c r="P284" s="3" t="n">
        <v>362.871830387689</v>
      </c>
      <c r="Q284" s="4" t="n">
        <v>0.22</v>
      </c>
      <c r="R284" s="13" t="n">
        <f aca="false">P284/200000</f>
        <v>0.00181435915193844</v>
      </c>
      <c r="V284" s="4" t="n">
        <f aca="false">$W$2*($W$3*$G284+$W$4*$B284^$W$5*$N284^$W$6)*$R284^$W$7</f>
        <v>0.326528498897199</v>
      </c>
      <c r="W284" s="4" t="n">
        <f aca="false">V284/$Q284</f>
        <v>1.48422044953272</v>
      </c>
      <c r="Y284" s="4" t="n">
        <f aca="false">$Z$2*$B284^$Z$3*$R284^$Z$4*($Z$5*$N284^$Z$6+$Z$7)</f>
        <v>0.323656730392182</v>
      </c>
      <c r="Z284" s="4" t="n">
        <f aca="false">Y284/$Q284</f>
        <v>1.4711669563281</v>
      </c>
      <c r="AB284" s="4" t="n">
        <f aca="false">$AC$2*($AC$3+$AC$4*$F284/($N284*'Sem TS MC2020'!P276))*($AC$5*$G284+$AC$6*$B284/$N284)*'Sem TS MC2020'!R276*($J284-$M284)/($J284-$M284-$H284)</f>
        <v>0.340258873261634</v>
      </c>
      <c r="AC284" s="4" t="n">
        <f aca="false">AB284/$Q284</f>
        <v>1.54663124209834</v>
      </c>
      <c r="AD284" s="23" t="n">
        <f aca="false">AB284-$Q284</f>
        <v>0.120258873261634</v>
      </c>
      <c r="AE284" s="24" t="n">
        <f aca="false">1/AC284</f>
        <v>0.646566532978659</v>
      </c>
      <c r="AF284" s="24" t="n">
        <f aca="false">AB284*(14.068*'Sem TS MC2020'!$P276^-0.457)/$Q284</f>
        <v>1.4201544256873</v>
      </c>
      <c r="AG284" s="24"/>
      <c r="AO284" s="4" t="n">
        <f aca="false">$AP$2*($AP$3+$AP$4*$F284/($N284*'Sem TS MC2020'!P276))*($AP$5*$G284+$AP$6*$B284/$N284)*('Sem TS MC2020'!P276^$AP$7/200000)*($J284-$M284)/($J284-$M284-$H284)+('Sem TS MC2020'!P276-$C284/$AP$8)*($AP$5*$G284+$AP$6*$B284/$N284)/200000</f>
        <v>0.349054691889379</v>
      </c>
      <c r="AP284" s="4" t="n">
        <f aca="false">AO284/$Q284</f>
        <v>1.58661223586081</v>
      </c>
      <c r="AQ284" s="23" t="n">
        <f aca="false">AO284-$Q284</f>
        <v>0.129054691889379</v>
      </c>
    </row>
    <row r="285" customFormat="false" ht="14.25" hidden="false" customHeight="false" outlineLevel="0" collapsed="false">
      <c r="A285" s="1" t="s">
        <v>84</v>
      </c>
      <c r="B285" s="2" t="n">
        <v>15.9</v>
      </c>
      <c r="C285" s="3" t="n">
        <v>392</v>
      </c>
      <c r="D285" s="3" t="n">
        <v>2</v>
      </c>
      <c r="E285" s="2" t="n">
        <v>46</v>
      </c>
      <c r="F285" s="4" t="n">
        <v>3.35387948274239</v>
      </c>
      <c r="G285" s="2" t="n">
        <v>30</v>
      </c>
      <c r="H285" s="2" t="n">
        <v>38</v>
      </c>
      <c r="I285" s="1" t="n">
        <v>150</v>
      </c>
      <c r="J285" s="2" t="n">
        <v>250</v>
      </c>
      <c r="K285" s="3" t="n">
        <v>397.2</v>
      </c>
      <c r="L285" s="4" t="n">
        <v>17625</v>
      </c>
      <c r="M285" s="3" t="n">
        <v>67.6841386130991</v>
      </c>
      <c r="N285" s="12" t="n">
        <v>0.022536170212766</v>
      </c>
      <c r="O285" s="4" t="n">
        <v>27.5</v>
      </c>
      <c r="P285" s="3" t="n">
        <v>326.505076813976</v>
      </c>
      <c r="Q285" s="4" t="n">
        <v>0.17</v>
      </c>
      <c r="R285" s="13" t="n">
        <f aca="false">P285/200000</f>
        <v>0.00163252538406988</v>
      </c>
      <c r="V285" s="4" t="n">
        <f aca="false">$W$2*($W$3*$G285+$W$4*$B285^$W$5*$N285^$W$6)*$R285^$W$7</f>
        <v>0.305930957027117</v>
      </c>
      <c r="W285" s="4" t="n">
        <f aca="false">V285/$Q285</f>
        <v>1.79959386486539</v>
      </c>
      <c r="Y285" s="4" t="n">
        <f aca="false">$Z$2*$B285^$Z$3*$R285^$Z$4*($Z$5*$N285^$Z$6+$Z$7)</f>
        <v>0.302888287336216</v>
      </c>
      <c r="Z285" s="4" t="n">
        <f aca="false">Y285/$Q285</f>
        <v>1.78169580786009</v>
      </c>
      <c r="AB285" s="4" t="n">
        <f aca="false">$AC$2*($AC$3+$AC$4*$F285/($N285*'Sem TS MC2020'!P277))*($AC$5*$G285+$AC$6*$B285/$N285)*'Sem TS MC2020'!R277*($J285-$M285)/($J285-$M285-$H285)</f>
        <v>0.310939199162914</v>
      </c>
      <c r="AC285" s="4" t="n">
        <f aca="false">AB285/$Q285</f>
        <v>1.82905411272302</v>
      </c>
      <c r="AD285" s="23" t="n">
        <f aca="false">AB285-$Q285</f>
        <v>0.140939199162914</v>
      </c>
      <c r="AE285" s="24" t="n">
        <f aca="false">1/AC285</f>
        <v>0.546730680652876</v>
      </c>
      <c r="AF285" s="24" t="n">
        <f aca="false">AB285*(14.068*'Sem TS MC2020'!$P277^-0.457)/$Q285</f>
        <v>1.73473927125753</v>
      </c>
      <c r="AG285" s="24"/>
      <c r="AO285" s="4" t="n">
        <f aca="false">$AP$2*($AP$3+$AP$4*$F285/($N285*'Sem TS MC2020'!P277))*($AP$5*$G285+$AP$6*$B285/$N285)*('Sem TS MC2020'!P277^$AP$7/200000)*($J285-$M285)/($J285-$M285-$H285)+('Sem TS MC2020'!P277-$C285/$AP$8)*($AP$5*$G285+$AP$6*$B285/$N285)/200000</f>
        <v>0.322070068101845</v>
      </c>
      <c r="AP285" s="4" t="n">
        <f aca="false">AO285/$Q285</f>
        <v>1.8945298123638</v>
      </c>
      <c r="AQ285" s="23" t="n">
        <f aca="false">AO285-$Q285</f>
        <v>0.152070068101845</v>
      </c>
    </row>
    <row r="286" customFormat="false" ht="14.25" hidden="false" customHeight="false" outlineLevel="0" collapsed="false">
      <c r="B286" s="2" t="n">
        <v>15.9</v>
      </c>
      <c r="C286" s="3" t="n">
        <v>392</v>
      </c>
      <c r="D286" s="3" t="n">
        <v>2</v>
      </c>
      <c r="E286" s="2" t="n">
        <v>46</v>
      </c>
      <c r="F286" s="4" t="n">
        <v>3.35387948274239</v>
      </c>
      <c r="G286" s="2" t="n">
        <v>30</v>
      </c>
      <c r="H286" s="2" t="n">
        <v>38</v>
      </c>
      <c r="I286" s="1" t="n">
        <v>150</v>
      </c>
      <c r="J286" s="2" t="n">
        <v>250</v>
      </c>
      <c r="K286" s="3" t="n">
        <v>397.2</v>
      </c>
      <c r="L286" s="4" t="n">
        <v>17625</v>
      </c>
      <c r="M286" s="3" t="n">
        <v>67.6841386130991</v>
      </c>
      <c r="N286" s="12" t="n">
        <v>0.022536170212766</v>
      </c>
      <c r="O286" s="4" t="n">
        <v>31.4</v>
      </c>
      <c r="P286" s="3" t="n">
        <v>362.871830387689</v>
      </c>
      <c r="Q286" s="4" t="n">
        <v>0.21</v>
      </c>
      <c r="R286" s="13" t="n">
        <f aca="false">P286/200000</f>
        <v>0.00181435915193844</v>
      </c>
      <c r="V286" s="4" t="n">
        <f aca="false">$W$2*($W$3*$G286+$W$4*$B286^$W$5*$N286^$W$6)*$R286^$W$7</f>
        <v>0.326528498897199</v>
      </c>
      <c r="W286" s="4" t="n">
        <f aca="false">V286/$Q286</f>
        <v>1.55489761379619</v>
      </c>
      <c r="Y286" s="4" t="n">
        <f aca="false">$Z$2*$B286^$Z$3*$R286^$Z$4*($Z$5*$N286^$Z$6+$Z$7)</f>
        <v>0.323656730392182</v>
      </c>
      <c r="Z286" s="4" t="n">
        <f aca="false">Y286/$Q286</f>
        <v>1.54122252567706</v>
      </c>
      <c r="AB286" s="4" t="n">
        <f aca="false">$AC$2*($AC$3+$AC$4*$F286/($N286*'Sem TS MC2020'!P278))*($AC$5*$G286+$AC$6*$B286/$N286)*'Sem TS MC2020'!R278*($J286-$M286)/($J286-$M286-$H286)</f>
        <v>0.340258873261634</v>
      </c>
      <c r="AC286" s="4" t="n">
        <f aca="false">AB286/$Q286</f>
        <v>1.62028034886493</v>
      </c>
      <c r="AD286" s="23" t="n">
        <f aca="false">AB286-$Q286</f>
        <v>0.130258873261634</v>
      </c>
      <c r="AE286" s="24" t="n">
        <f aca="false">1/AC286</f>
        <v>0.617177145115993</v>
      </c>
      <c r="AF286" s="24" t="n">
        <f aca="false">AB286*(14.068*'Sem TS MC2020'!$P278^-0.457)/$Q286</f>
        <v>1.4877808269105</v>
      </c>
      <c r="AG286" s="24"/>
      <c r="AO286" s="4" t="n">
        <f aca="false">$AP$2*($AP$3+$AP$4*$F286/($N286*'Sem TS MC2020'!P278))*($AP$5*$G286+$AP$6*$B286/$N286)*('Sem TS MC2020'!P278^$AP$7/200000)*($J286-$M286)/($J286-$M286-$H286)+('Sem TS MC2020'!P278-$C286/$AP$8)*($AP$5*$G286+$AP$6*$B286/$N286)/200000</f>
        <v>0.349054691889379</v>
      </c>
      <c r="AP286" s="4" t="n">
        <f aca="false">AO286/$Q286</f>
        <v>1.66216519947323</v>
      </c>
      <c r="AQ286" s="23" t="n">
        <f aca="false">AO286-$Q286</f>
        <v>0.139054691889379</v>
      </c>
    </row>
    <row r="287" customFormat="false" ht="14.25" hidden="false" customHeight="false" outlineLevel="0" collapsed="false">
      <c r="A287" s="1" t="s">
        <v>85</v>
      </c>
      <c r="B287" s="2" t="n">
        <v>19.1</v>
      </c>
      <c r="C287" s="3" t="n">
        <v>392</v>
      </c>
      <c r="D287" s="3" t="n">
        <v>2</v>
      </c>
      <c r="E287" s="2" t="n">
        <v>40</v>
      </c>
      <c r="F287" s="4" t="n">
        <v>3.35387948274239</v>
      </c>
      <c r="G287" s="2" t="n">
        <v>30</v>
      </c>
      <c r="H287" s="2" t="n">
        <v>39.5</v>
      </c>
      <c r="I287" s="1" t="n">
        <v>150</v>
      </c>
      <c r="J287" s="2" t="n">
        <v>250</v>
      </c>
      <c r="K287" s="3" t="n">
        <v>573</v>
      </c>
      <c r="L287" s="4" t="n">
        <v>20250</v>
      </c>
      <c r="M287" s="3" t="n">
        <v>77.9189777125861</v>
      </c>
      <c r="N287" s="12" t="n">
        <v>0.0282962962962963</v>
      </c>
      <c r="O287" s="4" t="n">
        <v>23.4</v>
      </c>
      <c r="P287" s="3" t="n">
        <v>147.261960689549</v>
      </c>
      <c r="Q287" s="4" t="n">
        <v>0.17</v>
      </c>
      <c r="R287" s="13" t="n">
        <f aca="false">P287/200000</f>
        <v>0.000736309803447744</v>
      </c>
      <c r="V287" s="4" t="n">
        <f aca="false">$W$2*($W$3*$G287+$W$4*$B287^$W$5*$N287^$W$6)*$R287^$W$7</f>
        <v>0.192566293837444</v>
      </c>
      <c r="W287" s="4" t="n">
        <f aca="false">V287/$Q287</f>
        <v>1.13274290492614</v>
      </c>
      <c r="Y287" s="4" t="n">
        <f aca="false">$Z$2*$B287^$Z$3*$R287^$Z$4*($Z$5*$N287^$Z$6+$Z$7)</f>
        <v>0.189919593715323</v>
      </c>
      <c r="Z287" s="4" t="n">
        <f aca="false">Y287/$Q287</f>
        <v>1.11717408067837</v>
      </c>
      <c r="AB287" s="4" t="n">
        <f aca="false">$AC$2*($AC$3+$AC$4*$F287/($N287*'Sem TS MC2020'!P279))*($AC$5*$G287+$AC$6*$B287/$N287)*'Sem TS MC2020'!R279*($J287-$M287)/($J287-$M287-$H287)</f>
        <v>0.170239765887731</v>
      </c>
      <c r="AC287" s="4" t="n">
        <f aca="false">AB287/$Q287</f>
        <v>1.00141038757489</v>
      </c>
      <c r="AD287" s="23" t="n">
        <f aca="false">AB287-$Q287</f>
        <v>0.00023976588773128</v>
      </c>
      <c r="AE287" s="24" t="n">
        <f aca="false">1/AC287</f>
        <v>0.99859159881664</v>
      </c>
      <c r="AF287" s="24" t="n">
        <f aca="false">AB287*(14.068*'Sem TS MC2020'!$P279^-0.457)/$Q287</f>
        <v>1.19447993547676</v>
      </c>
      <c r="AG287" s="24"/>
      <c r="AO287" s="4" t="n">
        <f aca="false">$AP$2*($AP$3+$AP$4*$F287/($N287*'Sem TS MC2020'!P279))*($AP$5*$G287+$AP$6*$B287/$N287)*('Sem TS MC2020'!P279^$AP$7/200000)*($J287-$M287)/($J287-$M287-$H287)+('Sem TS MC2020'!P279-$C287/$AP$8)*($AP$5*$G287+$AP$6*$B287/$N287)/200000</f>
        <v>0.186828123086453</v>
      </c>
      <c r="AP287" s="4" t="n">
        <f aca="false">AO287/$Q287</f>
        <v>1.09898895933208</v>
      </c>
      <c r="AQ287" s="23" t="n">
        <f aca="false">AO287-$Q287</f>
        <v>0.0168281230864532</v>
      </c>
    </row>
    <row r="288" customFormat="false" ht="14.25" hidden="false" customHeight="false" outlineLevel="0" collapsed="false">
      <c r="B288" s="2" t="n">
        <v>19.1</v>
      </c>
      <c r="C288" s="3" t="n">
        <v>392</v>
      </c>
      <c r="D288" s="3" t="n">
        <v>2</v>
      </c>
      <c r="E288" s="2" t="n">
        <v>40</v>
      </c>
      <c r="F288" s="4" t="n">
        <v>3.35387948274239</v>
      </c>
      <c r="G288" s="2" t="n">
        <v>30</v>
      </c>
      <c r="H288" s="2" t="n">
        <v>39.5</v>
      </c>
      <c r="I288" s="1" t="n">
        <v>150</v>
      </c>
      <c r="J288" s="2" t="n">
        <v>250</v>
      </c>
      <c r="K288" s="3" t="n">
        <v>573</v>
      </c>
      <c r="L288" s="4" t="n">
        <v>20250</v>
      </c>
      <c r="M288" s="3" t="n">
        <v>77.9189777125861</v>
      </c>
      <c r="N288" s="12" t="n">
        <v>0.0282962962962963</v>
      </c>
      <c r="O288" s="4" t="n">
        <v>27.4</v>
      </c>
      <c r="P288" s="3" t="n">
        <v>196.132394675069</v>
      </c>
      <c r="Q288" s="4" t="n">
        <v>0.18</v>
      </c>
      <c r="R288" s="13" t="n">
        <f aca="false">P288/200000</f>
        <v>0.000980661973375345</v>
      </c>
      <c r="V288" s="4" t="n">
        <f aca="false">$W$2*($W$3*$G288+$W$4*$B288^$W$5*$N288^$W$6)*$R288^$W$7</f>
        <v>0.22981126969008</v>
      </c>
      <c r="W288" s="4" t="n">
        <f aca="false">V288/$Q288</f>
        <v>1.276729276056</v>
      </c>
      <c r="Y288" s="4" t="n">
        <f aca="false">$Z$2*$B288^$Z$3*$R288^$Z$4*($Z$5*$N288^$Z$6+$Z$7)</f>
        <v>0.227368276125747</v>
      </c>
      <c r="Z288" s="4" t="n">
        <f aca="false">Y288/$Q288</f>
        <v>1.26315708958748</v>
      </c>
      <c r="AB288" s="4" t="n">
        <f aca="false">$AC$2*($AC$3+$AC$4*$F288/($N288*'Sem TS MC2020'!P280))*($AC$5*$G288+$AC$6*$B288/$N288)*'Sem TS MC2020'!R280*($J288-$M288)/($J288-$M288-$H288)</f>
        <v>0.21130621397534</v>
      </c>
      <c r="AC288" s="4" t="n">
        <f aca="false">AB288/$Q288</f>
        <v>1.17392341097411</v>
      </c>
      <c r="AD288" s="23" t="n">
        <f aca="false">AB288-$Q288</f>
        <v>0.0313062139753402</v>
      </c>
      <c r="AE288" s="24" t="n">
        <f aca="false">1/AC288</f>
        <v>0.851844328728573</v>
      </c>
      <c r="AF288" s="24" t="n">
        <f aca="false">AB288*(14.068*'Sem TS MC2020'!$P280^-0.457)/$Q288</f>
        <v>1.30282525970227</v>
      </c>
      <c r="AG288" s="24"/>
      <c r="AO288" s="4" t="n">
        <f aca="false">$AP$2*($AP$3+$AP$4*$F288/($N288*'Sem TS MC2020'!P280))*($AP$5*$G288+$AP$6*$B288/$N288)*('Sem TS MC2020'!P280^$AP$7/200000)*($J288-$M288)/($J288-$M288-$H288)+('Sem TS MC2020'!P280-$C288/$AP$8)*($AP$5*$G288+$AP$6*$B288/$N288)/200000</f>
        <v>0.227945569686319</v>
      </c>
      <c r="AP288" s="4" t="n">
        <f aca="false">AO288/$Q288</f>
        <v>1.2663642760351</v>
      </c>
      <c r="AQ288" s="23" t="n">
        <f aca="false">AO288-$Q288</f>
        <v>0.0479455696863186</v>
      </c>
    </row>
    <row r="289" customFormat="false" ht="14.25" hidden="false" customHeight="false" outlineLevel="0" collapsed="false">
      <c r="B289" s="2" t="n">
        <v>19.1</v>
      </c>
      <c r="C289" s="3" t="n">
        <v>392</v>
      </c>
      <c r="D289" s="3" t="n">
        <v>2</v>
      </c>
      <c r="E289" s="2" t="n">
        <v>40</v>
      </c>
      <c r="F289" s="4" t="n">
        <v>3.35387948274239</v>
      </c>
      <c r="G289" s="2" t="n">
        <v>30</v>
      </c>
      <c r="H289" s="2" t="n">
        <v>39.5</v>
      </c>
      <c r="I289" s="1" t="n">
        <v>150</v>
      </c>
      <c r="J289" s="2" t="n">
        <v>250</v>
      </c>
      <c r="K289" s="3" t="n">
        <v>573</v>
      </c>
      <c r="L289" s="4" t="n">
        <v>20250</v>
      </c>
      <c r="M289" s="3" t="n">
        <v>77.9189777125861</v>
      </c>
      <c r="N289" s="12" t="n">
        <v>0.0282962962962963</v>
      </c>
      <c r="O289" s="4" t="n">
        <v>31.3</v>
      </c>
      <c r="P289" s="3" t="n">
        <v>243.781067810951</v>
      </c>
      <c r="Q289" s="4" t="n">
        <v>0.2</v>
      </c>
      <c r="R289" s="13" t="n">
        <f aca="false">P289/200000</f>
        <v>0.00121890533905476</v>
      </c>
      <c r="V289" s="4" t="n">
        <f aca="false">$W$2*($W$3*$G289+$W$4*$B289^$W$5*$N289^$W$6)*$R289^$W$7</f>
        <v>0.262813318251536</v>
      </c>
      <c r="W289" s="4" t="n">
        <f aca="false">V289/$Q289</f>
        <v>1.31406659125768</v>
      </c>
      <c r="Y289" s="4" t="n">
        <f aca="false">$Z$2*$B289^$Z$3*$R289^$Z$4*($Z$5*$N289^$Z$6+$Z$7)</f>
        <v>0.260642284519754</v>
      </c>
      <c r="Z289" s="4" t="n">
        <f aca="false">Y289/$Q289</f>
        <v>1.30321142259877</v>
      </c>
      <c r="AB289" s="4" t="n">
        <f aca="false">$AC$2*($AC$3+$AC$4*$F289/($N289*'Sem TS MC2020'!P281))*($AC$5*$G289+$AC$6*$B289/$N289)*'Sem TS MC2020'!R281*($J289-$M289)/($J289-$M289-$H289)</f>
        <v>0.251346000860759</v>
      </c>
      <c r="AC289" s="4" t="n">
        <f aca="false">AB289/$Q289</f>
        <v>1.25673000430379</v>
      </c>
      <c r="AD289" s="23" t="n">
        <f aca="false">AB289-$Q289</f>
        <v>0.051346000860759</v>
      </c>
      <c r="AE289" s="24" t="n">
        <f aca="false">1/AC289</f>
        <v>0.795715863053641</v>
      </c>
      <c r="AF289" s="24" t="n">
        <f aca="false">AB289*(14.068*'Sem TS MC2020'!$P281^-0.457)/$Q289</f>
        <v>1.31243146998009</v>
      </c>
      <c r="AG289" s="24"/>
      <c r="AO289" s="4" t="n">
        <f aca="false">$AP$2*($AP$3+$AP$4*$F289/($N289*'Sem TS MC2020'!P281))*($AP$5*$G289+$AP$6*$B289/$N289)*('Sem TS MC2020'!P281^$AP$7/200000)*($J289-$M289)/($J289-$M289-$H289)+('Sem TS MC2020'!P281-$C289/$AP$8)*($AP$5*$G289+$AP$6*$B289/$N289)/200000</f>
        <v>0.266785930444537</v>
      </c>
      <c r="AP289" s="4" t="n">
        <f aca="false">AO289/$Q289</f>
        <v>1.33392965222269</v>
      </c>
      <c r="AQ289" s="23" t="n">
        <f aca="false">AO289-$Q289</f>
        <v>0.0667859304445371</v>
      </c>
    </row>
    <row r="290" customFormat="false" ht="14.25" hidden="false" customHeight="false" outlineLevel="0" collapsed="false">
      <c r="B290" s="2" t="n">
        <v>19.1</v>
      </c>
      <c r="C290" s="3" t="n">
        <v>392</v>
      </c>
      <c r="D290" s="3" t="n">
        <v>2</v>
      </c>
      <c r="E290" s="2" t="n">
        <v>40</v>
      </c>
      <c r="F290" s="4" t="n">
        <v>3.35387948274239</v>
      </c>
      <c r="G290" s="2" t="n">
        <v>30</v>
      </c>
      <c r="H290" s="2" t="n">
        <v>39.5</v>
      </c>
      <c r="I290" s="1" t="n">
        <v>150</v>
      </c>
      <c r="J290" s="2" t="n">
        <v>250</v>
      </c>
      <c r="K290" s="3" t="n">
        <v>573</v>
      </c>
      <c r="L290" s="4" t="n">
        <v>20250</v>
      </c>
      <c r="M290" s="3" t="n">
        <v>77.9189777125861</v>
      </c>
      <c r="N290" s="12" t="n">
        <v>0.0282962962962963</v>
      </c>
      <c r="O290" s="4" t="n">
        <v>35.3</v>
      </c>
      <c r="P290" s="3" t="n">
        <v>292.651501796471</v>
      </c>
      <c r="Q290" s="4" t="n">
        <v>0.2</v>
      </c>
      <c r="R290" s="13" t="n">
        <f aca="false">P290/200000</f>
        <v>0.00146325750898236</v>
      </c>
      <c r="V290" s="4" t="n">
        <f aca="false">$W$2*($W$3*$G290+$W$4*$B290^$W$5*$N290^$W$6)*$R290^$W$7</f>
        <v>0.29417570449969</v>
      </c>
      <c r="W290" s="4" t="n">
        <f aca="false">V290/$Q290</f>
        <v>1.47087852249845</v>
      </c>
      <c r="Y290" s="4" t="n">
        <f aca="false">$Z$2*$B290^$Z$3*$R290^$Z$4*($Z$5*$N290^$Z$6+$Z$7)</f>
        <v>0.292332543137701</v>
      </c>
      <c r="Z290" s="4" t="n">
        <f aca="false">Y290/$Q290</f>
        <v>1.4616627156885</v>
      </c>
      <c r="AB290" s="4" t="n">
        <f aca="false">$AC$2*($AC$3+$AC$4*$F290/($N290*'Sem TS MC2020'!P282))*($AC$5*$G290+$AC$6*$B290/$N290)*'Sem TS MC2020'!R282*($J290-$M290)/($J290-$M290-$H290)</f>
        <v>0.292412448948368</v>
      </c>
      <c r="AC290" s="4" t="n">
        <f aca="false">AB290/$Q290</f>
        <v>1.46206224474184</v>
      </c>
      <c r="AD290" s="23" t="n">
        <f aca="false">AB290-$Q290</f>
        <v>0.0924124489483679</v>
      </c>
      <c r="AE290" s="24" t="n">
        <f aca="false">1/AC290</f>
        <v>0.683965408173558</v>
      </c>
      <c r="AF290" s="24" t="n">
        <f aca="false">AB290*(14.068*'Sem TS MC2020'!$P282^-0.457)/$Q290</f>
        <v>1.44521092459513</v>
      </c>
      <c r="AG290" s="24"/>
      <c r="AO290" s="4" t="n">
        <f aca="false">$AP$2*($AP$3+$AP$4*$F290/($N290*'Sem TS MC2020'!P282))*($AP$5*$G290+$AP$6*$B290/$N290)*('Sem TS MC2020'!P282^$AP$7/200000)*($J290-$M290)/($J290-$M290-$H290)+('Sem TS MC2020'!P282-$C290/$AP$8)*($AP$5*$G290+$AP$6*$B290/$N290)/200000</f>
        <v>0.305568955177351</v>
      </c>
      <c r="AP290" s="4" t="n">
        <f aca="false">AO290/$Q290</f>
        <v>1.52784477588675</v>
      </c>
      <c r="AQ290" s="23" t="n">
        <f aca="false">AO290-$Q290</f>
        <v>0.105568955177351</v>
      </c>
    </row>
    <row r="291" customFormat="false" ht="14.25" hidden="false" customHeight="false" outlineLevel="0" collapsed="false">
      <c r="B291" s="2" t="n">
        <v>19.1</v>
      </c>
      <c r="C291" s="3" t="n">
        <v>392</v>
      </c>
      <c r="D291" s="3" t="n">
        <v>2</v>
      </c>
      <c r="E291" s="2" t="n">
        <v>40</v>
      </c>
      <c r="F291" s="4" t="n">
        <v>3.35387948274239</v>
      </c>
      <c r="G291" s="2" t="n">
        <v>30</v>
      </c>
      <c r="H291" s="2" t="n">
        <v>39.5</v>
      </c>
      <c r="I291" s="1" t="n">
        <v>150</v>
      </c>
      <c r="J291" s="2" t="n">
        <v>250</v>
      </c>
      <c r="K291" s="3" t="n">
        <v>573</v>
      </c>
      <c r="L291" s="4" t="n">
        <v>20250</v>
      </c>
      <c r="M291" s="3" t="n">
        <v>77.9189777125861</v>
      </c>
      <c r="N291" s="12" t="n">
        <v>0.0282962962962963</v>
      </c>
      <c r="O291" s="4" t="n">
        <v>39.1</v>
      </c>
      <c r="P291" s="3" t="n">
        <v>339.078414082716</v>
      </c>
      <c r="Q291" s="4" t="n">
        <v>0.25</v>
      </c>
      <c r="R291" s="13" t="n">
        <f aca="false">P291/200000</f>
        <v>0.00169539207041358</v>
      </c>
      <c r="V291" s="4" t="n">
        <f aca="false">$W$2*($W$3*$G291+$W$4*$B291^$W$5*$N291^$W$6)*$R291^$W$7</f>
        <v>0.322154033617502</v>
      </c>
      <c r="W291" s="4" t="n">
        <f aca="false">V291/$Q291</f>
        <v>1.28861613447001</v>
      </c>
      <c r="Y291" s="4" t="n">
        <f aca="false">$Z$2*$B291^$Z$3*$R291^$Z$4*($Z$5*$N291^$Z$6+$Z$7)</f>
        <v>0.320654529608791</v>
      </c>
      <c r="Z291" s="4" t="n">
        <f aca="false">Y291/$Q291</f>
        <v>1.28261811843516</v>
      </c>
      <c r="AB291" s="4" t="n">
        <f aca="false">$AC$2*($AC$3+$AC$4*$F291/($N291*'Sem TS MC2020'!P283))*($AC$5*$G291+$AC$6*$B291/$N291)*'Sem TS MC2020'!R283*($J291-$M291)/($J291-$M291-$H291)</f>
        <v>0.331425574631597</v>
      </c>
      <c r="AC291" s="4" t="n">
        <f aca="false">AB291/$Q291</f>
        <v>1.32570229852639</v>
      </c>
      <c r="AD291" s="23" t="n">
        <f aca="false">AB291-$Q291</f>
        <v>0.0814255746315965</v>
      </c>
      <c r="AE291" s="24" t="n">
        <f aca="false">1/AC291</f>
        <v>0.754317165408533</v>
      </c>
      <c r="AF291" s="24" t="n">
        <f aca="false">AB291*(14.068*'Sem TS MC2020'!$P283^-0.457)/$Q291</f>
        <v>1.25060351494389</v>
      </c>
      <c r="AG291" s="24"/>
      <c r="AO291" s="4" t="n">
        <f aca="false">$AP$2*($AP$3+$AP$4*$F291/($N291*'Sem TS MC2020'!P283))*($AP$5*$G291+$AP$6*$B291/$N291)*('Sem TS MC2020'!P283^$AP$7/200000)*($J291-$M291)/($J291-$M291-$H291)+('Sem TS MC2020'!P283-$C291/$AP$8)*($AP$5*$G291+$AP$6*$B291/$N291)/200000</f>
        <v>0.341576659304624</v>
      </c>
      <c r="AP291" s="4" t="n">
        <f aca="false">AO291/$Q291</f>
        <v>1.3663066372185</v>
      </c>
      <c r="AQ291" s="23" t="n">
        <f aca="false">AO291-$Q291</f>
        <v>0.0915766593046241</v>
      </c>
    </row>
    <row r="292" customFormat="false" ht="14.25" hidden="false" customHeight="false" outlineLevel="0" collapsed="false">
      <c r="B292" s="2" t="n">
        <v>19.1</v>
      </c>
      <c r="C292" s="3" t="n">
        <v>392</v>
      </c>
      <c r="D292" s="3" t="n">
        <v>2</v>
      </c>
      <c r="E292" s="2" t="n">
        <v>40</v>
      </c>
      <c r="F292" s="4" t="n">
        <v>3.35387948274239</v>
      </c>
      <c r="G292" s="2" t="n">
        <v>30</v>
      </c>
      <c r="H292" s="2" t="n">
        <v>39.5</v>
      </c>
      <c r="I292" s="1" t="n">
        <v>150</v>
      </c>
      <c r="J292" s="2" t="n">
        <v>250</v>
      </c>
      <c r="K292" s="3" t="n">
        <v>573</v>
      </c>
      <c r="L292" s="4" t="n">
        <v>20250</v>
      </c>
      <c r="M292" s="3" t="n">
        <v>77.9189777125861</v>
      </c>
      <c r="N292" s="12" t="n">
        <v>0.0282962962962963</v>
      </c>
      <c r="O292" s="4" t="n">
        <v>43.1</v>
      </c>
      <c r="P292" s="3" t="n">
        <v>368.149462034831</v>
      </c>
      <c r="Q292" s="4" t="n">
        <v>0.27</v>
      </c>
      <c r="R292" s="13" t="n">
        <f aca="false">P292/200000</f>
        <v>0.00184074731017416</v>
      </c>
      <c r="V292" s="4" t="n">
        <f aca="false">$W$2*($W$3*$G292+$W$4*$B292^$W$5*$N292^$W$6)*$R292^$W$7</f>
        <v>0.33892632148312</v>
      </c>
      <c r="W292" s="4" t="n">
        <f aca="false">V292/$Q292</f>
        <v>1.25528267215971</v>
      </c>
      <c r="Y292" s="4" t="n">
        <f aca="false">$Z$2*$B292^$Z$3*$R292^$Z$4*($Z$5*$N292^$Z$6+$Z$7)</f>
        <v>0.337654131545695</v>
      </c>
      <c r="Z292" s="4" t="n">
        <f aca="false">Y292/$Q292</f>
        <v>1.25057085757665</v>
      </c>
      <c r="AB292" s="4" t="n">
        <f aca="false">$AC$2*($AC$3+$AC$4*$F292/($N292*'Sem TS MC2020'!P284))*($AC$5*$G292+$AC$6*$B292/$N292)*'Sem TS MC2020'!R284*($J292-$M292)/($J292-$M292-$H292)</f>
        <v>0.355854346472085</v>
      </c>
      <c r="AC292" s="4" t="n">
        <f aca="false">AB292/$Q292</f>
        <v>1.31797906100772</v>
      </c>
      <c r="AD292" s="23" t="n">
        <f aca="false">AB292-$Q292</f>
        <v>0.0858543464720852</v>
      </c>
      <c r="AE292" s="24" t="n">
        <f aca="false">1/AC292</f>
        <v>0.758737395444965</v>
      </c>
      <c r="AF292" s="24" t="n">
        <f aca="false">AB292*(14.068*'Sem TS MC2020'!$P284^-0.457)/$Q292</f>
        <v>1.2102004314318</v>
      </c>
      <c r="AG292" s="24"/>
      <c r="AO292" s="4" t="n">
        <f aca="false">$AP$2*($AP$3+$AP$4*$F292/($N292*'Sem TS MC2020'!P284))*($AP$5*$G292+$AP$6*$B292/$N292)*('Sem TS MC2020'!P284^$AP$7/200000)*($J292-$M292)/($J292-$M292-$H292)+('Sem TS MC2020'!P284-$C292/$AP$8)*($AP$5*$G292+$AP$6*$B292/$N292)/200000</f>
        <v>0.363759237923015</v>
      </c>
      <c r="AP292" s="4" t="n">
        <f aca="false">AO292/$Q292</f>
        <v>1.34725643675191</v>
      </c>
      <c r="AQ292" s="23" t="n">
        <f aca="false">AO292-$Q292</f>
        <v>0.0937592379230148</v>
      </c>
    </row>
    <row r="293" customFormat="false" ht="14.25" hidden="false" customHeight="false" outlineLevel="0" collapsed="false">
      <c r="A293" s="1" t="s">
        <v>86</v>
      </c>
      <c r="B293" s="2" t="n">
        <v>19.1</v>
      </c>
      <c r="C293" s="3" t="n">
        <v>392</v>
      </c>
      <c r="D293" s="3" t="n">
        <v>2</v>
      </c>
      <c r="E293" s="2" t="n">
        <v>40</v>
      </c>
      <c r="F293" s="4" t="n">
        <v>3.35387948274239</v>
      </c>
      <c r="G293" s="2" t="n">
        <v>30</v>
      </c>
      <c r="H293" s="2" t="n">
        <v>39.5</v>
      </c>
      <c r="I293" s="1" t="n">
        <v>150</v>
      </c>
      <c r="J293" s="2" t="n">
        <v>250</v>
      </c>
      <c r="K293" s="3" t="n">
        <v>573</v>
      </c>
      <c r="L293" s="4" t="n">
        <v>20250</v>
      </c>
      <c r="M293" s="3" t="n">
        <v>77.9189777125861</v>
      </c>
      <c r="N293" s="12" t="n">
        <v>0.0282962962962963</v>
      </c>
      <c r="O293" s="4" t="n">
        <v>31.3</v>
      </c>
      <c r="P293" s="3" t="n">
        <v>243.781067810951</v>
      </c>
      <c r="Q293" s="4" t="n">
        <v>0.18</v>
      </c>
      <c r="R293" s="13" t="n">
        <f aca="false">P293/200000</f>
        <v>0.00121890533905476</v>
      </c>
      <c r="V293" s="4" t="n">
        <f aca="false">$W$2*($W$3*$G293+$W$4*$B293^$W$5*$N293^$W$6)*$R293^$W$7</f>
        <v>0.262813318251536</v>
      </c>
      <c r="W293" s="4" t="n">
        <f aca="false">V293/$Q293</f>
        <v>1.46007399028631</v>
      </c>
      <c r="Y293" s="4" t="n">
        <f aca="false">$Z$2*$B293^$Z$3*$R293^$Z$4*($Z$5*$N293^$Z$6+$Z$7)</f>
        <v>0.260642284519754</v>
      </c>
      <c r="Z293" s="4" t="n">
        <f aca="false">Y293/$Q293</f>
        <v>1.44801269177641</v>
      </c>
      <c r="AB293" s="4" t="n">
        <f aca="false">$AC$2*($AC$3+$AC$4*$F293/($N293*'Sem TS MC2020'!P285))*($AC$5*$G293+$AC$6*$B293/$N293)*'Sem TS MC2020'!R285*($J293-$M293)/($J293-$M293-$H293)</f>
        <v>0.251346000860759</v>
      </c>
      <c r="AC293" s="4" t="n">
        <f aca="false">AB293/$Q293</f>
        <v>1.39636667144866</v>
      </c>
      <c r="AD293" s="23" t="n">
        <f aca="false">AB293-$Q293</f>
        <v>0.071346000860759</v>
      </c>
      <c r="AE293" s="24" t="n">
        <f aca="false">1/AC293</f>
        <v>0.716144276748277</v>
      </c>
      <c r="AF293" s="24" t="n">
        <f aca="false">AB293*(14.068*'Sem TS MC2020'!$P285^-0.457)/$Q293</f>
        <v>1.45825718886677</v>
      </c>
      <c r="AG293" s="24"/>
      <c r="AO293" s="4" t="n">
        <f aca="false">$AP$2*($AP$3+$AP$4*$F293/($N293*'Sem TS MC2020'!P285))*($AP$5*$G293+$AP$6*$B293/$N293)*('Sem TS MC2020'!P285^$AP$7/200000)*($J293-$M293)/($J293-$M293-$H293)+('Sem TS MC2020'!P285-$C293/$AP$8)*($AP$5*$G293+$AP$6*$B293/$N293)/200000</f>
        <v>0.266785930444537</v>
      </c>
      <c r="AP293" s="4" t="n">
        <f aca="false">AO293/$Q293</f>
        <v>1.48214405802521</v>
      </c>
      <c r="AQ293" s="23" t="n">
        <f aca="false">AO293-$Q293</f>
        <v>0.0867859304445371</v>
      </c>
    </row>
    <row r="294" customFormat="false" ht="14.25" hidden="false" customHeight="false" outlineLevel="0" collapsed="false">
      <c r="B294" s="2" t="n">
        <v>19.1</v>
      </c>
      <c r="C294" s="3" t="n">
        <v>392</v>
      </c>
      <c r="D294" s="3" t="n">
        <v>2</v>
      </c>
      <c r="E294" s="2" t="n">
        <v>40</v>
      </c>
      <c r="F294" s="4" t="n">
        <v>3.35387948274239</v>
      </c>
      <c r="G294" s="2" t="n">
        <v>30</v>
      </c>
      <c r="H294" s="2" t="n">
        <v>39.5</v>
      </c>
      <c r="I294" s="1" t="n">
        <v>150</v>
      </c>
      <c r="J294" s="2" t="n">
        <v>250</v>
      </c>
      <c r="K294" s="3" t="n">
        <v>573</v>
      </c>
      <c r="L294" s="4" t="n">
        <v>20250</v>
      </c>
      <c r="M294" s="3" t="n">
        <v>77.9189777125861</v>
      </c>
      <c r="N294" s="12" t="n">
        <v>0.0282962962962963</v>
      </c>
      <c r="O294" s="4" t="n">
        <v>35.1</v>
      </c>
      <c r="P294" s="3" t="n">
        <v>290.207980097195</v>
      </c>
      <c r="Q294" s="4" t="n">
        <v>0.19</v>
      </c>
      <c r="R294" s="13" t="n">
        <f aca="false">P294/200000</f>
        <v>0.00145103990048598</v>
      </c>
      <c r="V294" s="4" t="n">
        <f aca="false">$W$2*($W$3*$G294+$W$4*$B294^$W$5*$N294^$W$6)*$R294^$W$7</f>
        <v>0.292657766788178</v>
      </c>
      <c r="W294" s="4" t="n">
        <f aca="false">V294/$Q294</f>
        <v>1.54030403572725</v>
      </c>
      <c r="Y294" s="4" t="n">
        <f aca="false">$Z$2*$B294^$Z$3*$R294^$Z$4*($Z$5*$N294^$Z$6+$Z$7)</f>
        <v>0.290797294281135</v>
      </c>
      <c r="Z294" s="4" t="n">
        <f aca="false">Y294/$Q294</f>
        <v>1.53051207516387</v>
      </c>
      <c r="AB294" s="4" t="n">
        <f aca="false">$AC$2*($AC$3+$AC$4*$F294/($N294*'Sem TS MC2020'!P286))*($AC$5*$G294+$AC$6*$B294/$N294)*'Sem TS MC2020'!R286*($J294-$M294)/($J294-$M294-$H294)</f>
        <v>0.290359126543987</v>
      </c>
      <c r="AC294" s="4" t="n">
        <f aca="false">AB294/$Q294</f>
        <v>1.52820592917888</v>
      </c>
      <c r="AD294" s="23" t="n">
        <f aca="false">AB294-$Q294</f>
        <v>0.100359126543987</v>
      </c>
      <c r="AE294" s="24" t="n">
        <f aca="false">1/AC294</f>
        <v>0.654362073138474</v>
      </c>
      <c r="AF294" s="24" t="n">
        <f aca="false">AB294*(14.068*'Sem TS MC2020'!$P286^-0.457)/$Q294</f>
        <v>1.51451975297076</v>
      </c>
      <c r="AG294" s="24"/>
      <c r="AO294" s="4" t="n">
        <f aca="false">$AP$2*($AP$3+$AP$4*$F294/($N294*'Sem TS MC2020'!P286))*($AP$5*$G294+$AP$6*$B294/$N294)*('Sem TS MC2020'!P286^$AP$7/200000)*($J294-$M294)/($J294-$M294-$H294)+('Sem TS MC2020'!P286-$C294/$AP$8)*($AP$5*$G294+$AP$6*$B294/$N294)/200000</f>
        <v>0.303652385935247</v>
      </c>
      <c r="AP294" s="4" t="n">
        <f aca="false">AO294/$Q294</f>
        <v>1.59817045229077</v>
      </c>
      <c r="AQ294" s="23" t="n">
        <f aca="false">AO294-$Q294</f>
        <v>0.113652385935247</v>
      </c>
    </row>
    <row r="295" customFormat="false" ht="14.25" hidden="false" customHeight="false" outlineLevel="0" collapsed="false">
      <c r="B295" s="2" t="n">
        <v>19.1</v>
      </c>
      <c r="C295" s="3" t="n">
        <v>392</v>
      </c>
      <c r="D295" s="3" t="n">
        <v>2</v>
      </c>
      <c r="E295" s="2" t="n">
        <v>40</v>
      </c>
      <c r="F295" s="4" t="n">
        <v>3.35387948274239</v>
      </c>
      <c r="G295" s="2" t="n">
        <v>30</v>
      </c>
      <c r="H295" s="2" t="n">
        <v>39.5</v>
      </c>
      <c r="I295" s="1" t="n">
        <v>150</v>
      </c>
      <c r="J295" s="2" t="n">
        <v>250</v>
      </c>
      <c r="K295" s="3" t="n">
        <v>573</v>
      </c>
      <c r="L295" s="4" t="n">
        <v>20250</v>
      </c>
      <c r="M295" s="3" t="n">
        <v>77.9189777125861</v>
      </c>
      <c r="N295" s="12" t="n">
        <v>0.0282962962962963</v>
      </c>
      <c r="O295" s="4" t="n">
        <v>39.1</v>
      </c>
      <c r="P295" s="3" t="n">
        <v>339.078414082716</v>
      </c>
      <c r="Q295" s="4" t="n">
        <v>0.21</v>
      </c>
      <c r="R295" s="13" t="n">
        <f aca="false">P295/200000</f>
        <v>0.00169539207041358</v>
      </c>
      <c r="V295" s="4" t="n">
        <f aca="false">$W$2*($W$3*$G295+$W$4*$B295^$W$5*$N295^$W$6)*$R295^$W$7</f>
        <v>0.322154033617502</v>
      </c>
      <c r="W295" s="4" t="n">
        <f aca="false">V295/$Q295</f>
        <v>1.53406682675001</v>
      </c>
      <c r="Y295" s="4" t="n">
        <f aca="false">$Z$2*$B295^$Z$3*$R295^$Z$4*($Z$5*$N295^$Z$6+$Z$7)</f>
        <v>0.320654529608791</v>
      </c>
      <c r="Z295" s="4" t="n">
        <f aca="false">Y295/$Q295</f>
        <v>1.52692633147043</v>
      </c>
      <c r="AB295" s="4" t="n">
        <f aca="false">$AC$2*($AC$3+$AC$4*$F295/($N295*'Sem TS MC2020'!P287))*($AC$5*$G295+$AC$6*$B295/$N295)*'Sem TS MC2020'!R287*($J295-$M295)/($J295-$M295-$H295)</f>
        <v>0.331425574631597</v>
      </c>
      <c r="AC295" s="4" t="n">
        <f aca="false">AB295/$Q295</f>
        <v>1.57821702205522</v>
      </c>
      <c r="AD295" s="23" t="n">
        <f aca="false">AB295-$Q295</f>
        <v>0.121425574631597</v>
      </c>
      <c r="AE295" s="24" t="n">
        <f aca="false">1/AC295</f>
        <v>0.633626418943168</v>
      </c>
      <c r="AF295" s="24" t="n">
        <f aca="false">AB295*(14.068*'Sem TS MC2020'!$P287^-0.457)/$Q295</f>
        <v>1.48881370826654</v>
      </c>
      <c r="AG295" s="24"/>
      <c r="AO295" s="4" t="n">
        <f aca="false">$AP$2*($AP$3+$AP$4*$F295/($N295*'Sem TS MC2020'!P287))*($AP$5*$G295+$AP$6*$B295/$N295)*('Sem TS MC2020'!P287^$AP$7/200000)*($J295-$M295)/($J295-$M295-$H295)+('Sem TS MC2020'!P287-$C295/$AP$8)*($AP$5*$G295+$AP$6*$B295/$N295)/200000</f>
        <v>0.341576659304624</v>
      </c>
      <c r="AP295" s="4" t="n">
        <f aca="false">AO295/$Q295</f>
        <v>1.62655552049821</v>
      </c>
      <c r="AQ295" s="23" t="n">
        <f aca="false">AO295-$Q295</f>
        <v>0.131576659304624</v>
      </c>
    </row>
    <row r="296" customFormat="false" ht="14.25" hidden="false" customHeight="false" outlineLevel="0" collapsed="false">
      <c r="B296" s="2" t="n">
        <v>19.1</v>
      </c>
      <c r="C296" s="3" t="n">
        <v>392</v>
      </c>
      <c r="D296" s="3" t="n">
        <v>2</v>
      </c>
      <c r="E296" s="2" t="n">
        <v>40</v>
      </c>
      <c r="F296" s="4" t="n">
        <v>3.35387948274239</v>
      </c>
      <c r="G296" s="2" t="n">
        <v>30</v>
      </c>
      <c r="H296" s="2" t="n">
        <v>39.5</v>
      </c>
      <c r="I296" s="1" t="n">
        <v>150</v>
      </c>
      <c r="J296" s="2" t="n">
        <v>250</v>
      </c>
      <c r="K296" s="3" t="n">
        <v>573</v>
      </c>
      <c r="L296" s="4" t="n">
        <v>20250</v>
      </c>
      <c r="M296" s="3" t="n">
        <v>77.9189777125861</v>
      </c>
      <c r="N296" s="12" t="n">
        <v>0.0282962962962963</v>
      </c>
      <c r="O296" s="4" t="n">
        <v>43.1</v>
      </c>
      <c r="P296" s="3" t="n">
        <v>368.149462034831</v>
      </c>
      <c r="Q296" s="4" t="n">
        <v>0.26</v>
      </c>
      <c r="R296" s="13" t="n">
        <f aca="false">P296/200000</f>
        <v>0.00184074731017416</v>
      </c>
      <c r="V296" s="4" t="n">
        <f aca="false">$W$2*($W$3*$G296+$W$4*$B296^$W$5*$N296^$W$6)*$R296^$W$7</f>
        <v>0.33892632148312</v>
      </c>
      <c r="W296" s="4" t="n">
        <f aca="false">V296/$Q296</f>
        <v>1.30356277493508</v>
      </c>
      <c r="Y296" s="4" t="n">
        <f aca="false">$Z$2*$B296^$Z$3*$R296^$Z$4*($Z$5*$N296^$Z$6+$Z$7)</f>
        <v>0.337654131545695</v>
      </c>
      <c r="Z296" s="4" t="n">
        <f aca="false">Y296/$Q296</f>
        <v>1.29866973671421</v>
      </c>
      <c r="AB296" s="4" t="n">
        <f aca="false">$AC$2*($AC$3+$AC$4*$F296/($N296*'Sem TS MC2020'!P288))*($AC$5*$G296+$AC$6*$B296/$N296)*'Sem TS MC2020'!R288*($J296-$M296)/($J296-$M296-$H296)</f>
        <v>0.355854346472085</v>
      </c>
      <c r="AC296" s="4" t="n">
        <f aca="false">AB296/$Q296</f>
        <v>1.36867056335417</v>
      </c>
      <c r="AD296" s="23" t="n">
        <f aca="false">AB296-$Q296</f>
        <v>0.0958543464720852</v>
      </c>
      <c r="AE296" s="24" t="n">
        <f aca="false">1/AC296</f>
        <v>0.730636010428485</v>
      </c>
      <c r="AF296" s="24" t="n">
        <f aca="false">AB296*(14.068*'Sem TS MC2020'!$P288^-0.457)/$Q296</f>
        <v>1.25674660187148</v>
      </c>
      <c r="AG296" s="24"/>
      <c r="AO296" s="4" t="n">
        <f aca="false">$AP$2*($AP$3+$AP$4*$F296/($N296*'Sem TS MC2020'!P288))*($AP$5*$G296+$AP$6*$B296/$N296)*('Sem TS MC2020'!P288^$AP$7/200000)*($J296-$M296)/($J296-$M296-$H296)+('Sem TS MC2020'!P288-$C296/$AP$8)*($AP$5*$G296+$AP$6*$B296/$N296)/200000</f>
        <v>0.363759237923015</v>
      </c>
      <c r="AP296" s="4" t="n">
        <f aca="false">AO296/$Q296</f>
        <v>1.3990739920116</v>
      </c>
      <c r="AQ296" s="23" t="n">
        <f aca="false">AO296-$Q296</f>
        <v>0.103759237923015</v>
      </c>
    </row>
    <row r="297" customFormat="false" ht="14.25" hidden="false" customHeight="false" outlineLevel="0" collapsed="false">
      <c r="A297" s="1" t="s">
        <v>87</v>
      </c>
      <c r="B297" s="2" t="n">
        <v>19.1</v>
      </c>
      <c r="C297" s="3" t="n">
        <v>276</v>
      </c>
      <c r="D297" s="3" t="n">
        <v>2</v>
      </c>
      <c r="E297" s="2" t="n">
        <v>69.8</v>
      </c>
      <c r="F297" s="4" t="n">
        <v>2.90032882517908</v>
      </c>
      <c r="G297" s="2" t="n">
        <v>31.8</v>
      </c>
      <c r="H297" s="2" t="n">
        <v>41.4</v>
      </c>
      <c r="I297" s="1" t="n">
        <v>152.4</v>
      </c>
      <c r="J297" s="2" t="n">
        <v>381</v>
      </c>
      <c r="K297" s="3" t="n">
        <v>568</v>
      </c>
      <c r="L297" s="4" t="n">
        <v>20863.56</v>
      </c>
      <c r="M297" s="3" t="n">
        <v>105.951899677992</v>
      </c>
      <c r="N297" s="12" t="n">
        <v>0.0272245005166903</v>
      </c>
      <c r="O297" s="4" t="n">
        <v>35.0889</v>
      </c>
      <c r="P297" s="3" t="n">
        <v>131.312184311943</v>
      </c>
      <c r="Q297" s="4" t="n">
        <v>0.17</v>
      </c>
      <c r="R297" s="13" t="n">
        <f aca="false">P297/200000</f>
        <v>0.000656560921559717</v>
      </c>
      <c r="V297" s="4" t="n">
        <f aca="false">$W$2*($W$3*$G297+$W$4*$B297^$W$5*$N297^$W$6)*$R297^$W$7</f>
        <v>0.182316488701642</v>
      </c>
      <c r="W297" s="4" t="n">
        <f aca="false">V297/$Q297</f>
        <v>1.07244993353907</v>
      </c>
      <c r="Y297" s="4" t="n">
        <f aca="false">$Z$2*$B297^$Z$3*$R297^$Z$4*($Z$5*$N297^$Z$6+$Z$7)</f>
        <v>0.17954866730319</v>
      </c>
      <c r="Z297" s="4" t="n">
        <f aca="false">Y297/$Q297</f>
        <v>1.05616863119523</v>
      </c>
      <c r="AB297" s="4" t="n">
        <f aca="false">$AC$2*($AC$3+$AC$4*$F297/($N297*'Sem TS MC2020'!P289))*($AC$5*$G297+$AC$6*$B297/$N297)*'Sem TS MC2020'!R289*($J297-$M297)/($J297-$M297-$H297)</f>
        <v>0.14915156231418</v>
      </c>
      <c r="AC297" s="4" t="n">
        <f aca="false">AB297/$Q297</f>
        <v>0.877362131259884</v>
      </c>
      <c r="AD297" s="23" t="n">
        <f aca="false">AB297-$Q297</f>
        <v>-0.0208484376858197</v>
      </c>
      <c r="AE297" s="24" t="n">
        <f aca="false">1/AC297</f>
        <v>1.13978021659541</v>
      </c>
      <c r="AF297" s="24" t="n">
        <f aca="false">AB297*(14.068*'Sem TS MC2020'!$P289^-0.457)/$Q297</f>
        <v>1.08858805742404</v>
      </c>
      <c r="AG297" s="24"/>
      <c r="AO297" s="4" t="n">
        <f aca="false">$AP$2*($AP$3+$AP$4*$F297/($N297*'Sem TS MC2020'!P289))*($AP$5*$G297+$AP$6*$B297/$N297)*('Sem TS MC2020'!P289^$AP$7/200000)*($J297-$M297)/($J297-$M297-$H297)+('Sem TS MC2020'!P289-$C297/$AP$8)*($AP$5*$G297+$AP$6*$B297/$N297)/200000</f>
        <v>0.169212826954167</v>
      </c>
      <c r="AP297" s="4" t="n">
        <f aca="false">AO297/$Q297</f>
        <v>0.99536957031863</v>
      </c>
      <c r="AQ297" s="23" t="n">
        <f aca="false">AO297-$Q297</f>
        <v>-0.000787173045832867</v>
      </c>
    </row>
    <row r="298" customFormat="false" ht="14.25" hidden="false" customHeight="false" outlineLevel="0" collapsed="false">
      <c r="B298" s="2" t="n">
        <v>19.1</v>
      </c>
      <c r="C298" s="3" t="n">
        <v>276</v>
      </c>
      <c r="D298" s="3" t="n">
        <v>2</v>
      </c>
      <c r="E298" s="2" t="n">
        <v>69.8</v>
      </c>
      <c r="F298" s="4" t="n">
        <v>2.90032882517908</v>
      </c>
      <c r="G298" s="2" t="n">
        <v>31.8</v>
      </c>
      <c r="H298" s="2" t="n">
        <v>41.4</v>
      </c>
      <c r="I298" s="1" t="n">
        <v>152.4</v>
      </c>
      <c r="J298" s="2" t="n">
        <v>381</v>
      </c>
      <c r="K298" s="3" t="n">
        <v>568</v>
      </c>
      <c r="L298" s="4" t="n">
        <v>20863.56</v>
      </c>
      <c r="M298" s="3" t="n">
        <v>105.951899677992</v>
      </c>
      <c r="N298" s="12" t="n">
        <v>0.0272245005166903</v>
      </c>
      <c r="O298" s="4" t="n">
        <v>42.2576</v>
      </c>
      <c r="P298" s="3" t="n">
        <v>183.72363442548</v>
      </c>
      <c r="Q298" s="4" t="n">
        <v>0.23</v>
      </c>
      <c r="R298" s="13" t="n">
        <f aca="false">P298/200000</f>
        <v>0.000918618172127402</v>
      </c>
      <c r="V298" s="4" t="n">
        <f aca="false">$W$2*($W$3*$G298+$W$4*$B298^$W$5*$N298^$W$6)*$R298^$W$7</f>
        <v>0.224296021107049</v>
      </c>
      <c r="W298" s="4" t="n">
        <f aca="false">V298/$Q298</f>
        <v>0.975200091769778</v>
      </c>
      <c r="Y298" s="4" t="n">
        <f aca="false">$Z$2*$B298^$Z$3*$R298^$Z$4*($Z$5*$N298^$Z$6+$Z$7)</f>
        <v>0.221708461071436</v>
      </c>
      <c r="Z298" s="4" t="n">
        <f aca="false">Y298/$Q298</f>
        <v>0.963949830745372</v>
      </c>
      <c r="AB298" s="4" t="n">
        <f aca="false">$AC$2*($AC$3+$AC$4*$F298/($N298*'Sem TS MC2020'!P290))*($AC$5*$G298+$AC$6*$B298/$N298)*'Sem TS MC2020'!R290*($J298-$M298)/($J298-$M298-$H298)</f>
        <v>0.191798107579206</v>
      </c>
      <c r="AC298" s="4" t="n">
        <f aca="false">AB298/$Q298</f>
        <v>0.833904815561767</v>
      </c>
      <c r="AD298" s="23" t="n">
        <f aca="false">AB298-$Q298</f>
        <v>-0.0382018924207936</v>
      </c>
      <c r="AE298" s="24" t="n">
        <f aca="false">1/AC298</f>
        <v>1.19917762955517</v>
      </c>
      <c r="AF298" s="24" t="n">
        <f aca="false">AB298*(14.068*'Sem TS MC2020'!$P290^-0.457)/$Q298</f>
        <v>0.950397385585458</v>
      </c>
      <c r="AG298" s="24"/>
      <c r="AO298" s="4" t="n">
        <f aca="false">$AP$2*($AP$3+$AP$4*$F298/($N298*'Sem TS MC2020'!P290))*($AP$5*$G298+$AP$6*$B298/$N298)*('Sem TS MC2020'!P290^$AP$7/200000)*($J298-$M298)/($J298-$M298-$H298)+('Sem TS MC2020'!P290-$C298/$AP$8)*($AP$5*$G298+$AP$6*$B298/$N298)/200000</f>
        <v>0.212590035505286</v>
      </c>
      <c r="AP298" s="4" t="n">
        <f aca="false">AO298/$Q298</f>
        <v>0.924304502196896</v>
      </c>
      <c r="AQ298" s="23" t="n">
        <f aca="false">AO298-$Q298</f>
        <v>-0.0174099644947139</v>
      </c>
    </row>
    <row r="299" customFormat="false" ht="14.25" hidden="false" customHeight="false" outlineLevel="0" collapsed="false">
      <c r="B299" s="2" t="n">
        <v>19.1</v>
      </c>
      <c r="C299" s="3" t="n">
        <v>276</v>
      </c>
      <c r="D299" s="3" t="n">
        <v>2</v>
      </c>
      <c r="E299" s="2" t="n">
        <v>69.8</v>
      </c>
      <c r="F299" s="4" t="n">
        <v>2.90032882517908</v>
      </c>
      <c r="G299" s="2" t="n">
        <v>31.8</v>
      </c>
      <c r="H299" s="2" t="n">
        <v>41.4</v>
      </c>
      <c r="I299" s="1" t="n">
        <v>152.4</v>
      </c>
      <c r="J299" s="2" t="n">
        <v>381</v>
      </c>
      <c r="K299" s="3" t="n">
        <v>568</v>
      </c>
      <c r="L299" s="4" t="n">
        <v>20863.56</v>
      </c>
      <c r="M299" s="3" t="n">
        <v>105.951899677992</v>
      </c>
      <c r="N299" s="12" t="n">
        <v>0.0272245005166903</v>
      </c>
      <c r="O299" s="4" t="n">
        <v>48.8089</v>
      </c>
      <c r="P299" s="3" t="n">
        <v>223.274212459054</v>
      </c>
      <c r="Q299" s="4" t="n">
        <v>0.27</v>
      </c>
      <c r="R299" s="13" t="n">
        <f aca="false">P299/200000</f>
        <v>0.00111637106229527</v>
      </c>
      <c r="V299" s="4" t="n">
        <f aca="false">$W$2*($W$3*$G299+$W$4*$B299^$W$5*$N299^$W$6)*$R299^$W$7</f>
        <v>0.252967740998189</v>
      </c>
      <c r="W299" s="4" t="n">
        <f aca="false">V299/$Q299</f>
        <v>0.93691755925255</v>
      </c>
      <c r="Y299" s="4" t="n">
        <f aca="false">$Z$2*$B299^$Z$3*$R299^$Z$4*($Z$5*$N299^$Z$6+$Z$7)</f>
        <v>0.250586257142966</v>
      </c>
      <c r="Z299" s="4" t="n">
        <f aca="false">Y299/$Q299</f>
        <v>0.928097248677652</v>
      </c>
      <c r="AB299" s="4" t="n">
        <f aca="false">$AC$2*($AC$3+$AC$4*$F299/($N299*'Sem TS MC2020'!P291))*($AC$5*$G299+$AC$6*$B299/$N299)*'Sem TS MC2020'!R291*($J299-$M299)/($J299-$M299-$H299)</f>
        <v>0.223979921146909</v>
      </c>
      <c r="AC299" s="4" t="n">
        <f aca="false">AB299/$Q299</f>
        <v>0.829555263507069</v>
      </c>
      <c r="AD299" s="23" t="n">
        <f aca="false">AB299-$Q299</f>
        <v>-0.0460200788530913</v>
      </c>
      <c r="AE299" s="24" t="n">
        <f aca="false">1/AC299</f>
        <v>1.20546519802954</v>
      </c>
      <c r="AF299" s="24" t="n">
        <f aca="false">AB299*(14.068*'Sem TS MC2020'!$P291^-0.457)/$Q299</f>
        <v>0.894800267465327</v>
      </c>
      <c r="AG299" s="24"/>
      <c r="AO299" s="4" t="n">
        <f aca="false">$AP$2*($AP$3+$AP$4*$F299/($N299*'Sem TS MC2020'!P291))*($AP$5*$G299+$AP$6*$B299/$N299)*('Sem TS MC2020'!P291^$AP$7/200000)*($J299-$M299)/($J299-$M299-$H299)+('Sem TS MC2020'!P291-$C299/$AP$8)*($AP$5*$G299+$AP$6*$B299/$N299)/200000</f>
        <v>0.244270032670709</v>
      </c>
      <c r="AP299" s="4" t="n">
        <f aca="false">AO299/$Q299</f>
        <v>0.904703824706331</v>
      </c>
      <c r="AQ299" s="23" t="n">
        <f aca="false">AO299-$Q299</f>
        <v>-0.0257299673292906</v>
      </c>
    </row>
    <row r="300" customFormat="false" ht="14.25" hidden="false" customHeight="false" outlineLevel="0" collapsed="false">
      <c r="A300" s="1" t="s">
        <v>88</v>
      </c>
      <c r="B300" s="2" t="n">
        <v>19.1</v>
      </c>
      <c r="C300" s="3" t="n">
        <v>276</v>
      </c>
      <c r="D300" s="3" t="n">
        <v>2</v>
      </c>
      <c r="E300" s="2" t="n">
        <v>69.8</v>
      </c>
      <c r="F300" s="4" t="n">
        <v>2.84669189571421</v>
      </c>
      <c r="G300" s="2" t="n">
        <v>31.8</v>
      </c>
      <c r="H300" s="2" t="n">
        <v>41.4</v>
      </c>
      <c r="I300" s="1" t="n">
        <v>152.4</v>
      </c>
      <c r="J300" s="2" t="n">
        <v>381</v>
      </c>
      <c r="K300" s="3" t="n">
        <v>568</v>
      </c>
      <c r="L300" s="4" t="n">
        <v>20863.56</v>
      </c>
      <c r="M300" s="3" t="n">
        <v>106.355513236104</v>
      </c>
      <c r="N300" s="12" t="n">
        <v>0.0272245005166903</v>
      </c>
      <c r="O300" s="4" t="n">
        <v>48.8089</v>
      </c>
      <c r="P300" s="3" t="n">
        <v>224.17342621352</v>
      </c>
      <c r="Q300" s="4" t="n">
        <v>0.16</v>
      </c>
      <c r="R300" s="13" t="n">
        <f aca="false">P300/200000</f>
        <v>0.0011208671310676</v>
      </c>
      <c r="V300" s="4" t="n">
        <f aca="false">$W$2*($W$3*$G300+$W$4*$B300^$W$5*$N300^$W$6)*$R300^$W$7</f>
        <v>0.253595857531737</v>
      </c>
      <c r="W300" s="4" t="n">
        <f aca="false">V300/$Q300</f>
        <v>1.58497410957335</v>
      </c>
      <c r="Y300" s="4" t="n">
        <f aca="false">$Z$2*$B300^$Z$3*$R300^$Z$4*($Z$5*$N300^$Z$6+$Z$7)</f>
        <v>0.251219567246186</v>
      </c>
      <c r="Z300" s="4" t="n">
        <f aca="false">Y300/$Q300</f>
        <v>1.57012229528866</v>
      </c>
      <c r="AB300" s="4" t="n">
        <f aca="false">$AC$2*($AC$3+$AC$4*$F300/($N300*'Sem TS MC2020'!P292))*($AC$5*$G300+$AC$6*$B300/$N300)*'Sem TS MC2020'!R292*($J300-$M300)/($J300-$M300-$H300)</f>
        <v>0.225140606128658</v>
      </c>
      <c r="AC300" s="4" t="n">
        <f aca="false">AB300/$Q300</f>
        <v>1.40712878830411</v>
      </c>
      <c r="AD300" s="23" t="n">
        <f aca="false">AB300-$Q300</f>
        <v>0.0651406061286582</v>
      </c>
      <c r="AE300" s="24" t="n">
        <f aca="false">1/AC300</f>
        <v>0.710667003839222</v>
      </c>
      <c r="AF300" s="24" t="n">
        <f aca="false">AB300*(14.068*'Sem TS MC2020'!$P292^-0.457)/$Q300</f>
        <v>1.51780028591423</v>
      </c>
      <c r="AG300" s="24"/>
      <c r="AO300" s="4" t="n">
        <f aca="false">$AP$2*($AP$3+$AP$4*$F300/($N300*'Sem TS MC2020'!P292))*($AP$5*$G300+$AP$6*$B300/$N300)*('Sem TS MC2020'!P292^$AP$7/200000)*($J300-$M300)/($J300-$M300-$H300)+('Sem TS MC2020'!P292-$C300/$AP$8)*($AP$5*$G300+$AP$6*$B300/$N300)/200000</f>
        <v>0.245513575578921</v>
      </c>
      <c r="AP300" s="4" t="n">
        <f aca="false">AO300/$Q300</f>
        <v>1.53445984736826</v>
      </c>
      <c r="AQ300" s="23" t="n">
        <f aca="false">AO300-$Q300</f>
        <v>0.0855135755789209</v>
      </c>
    </row>
    <row r="301" customFormat="false" ht="14.25" hidden="false" customHeight="false" outlineLevel="0" collapsed="false">
      <c r="A301" s="1" t="s">
        <v>89</v>
      </c>
      <c r="B301" s="2" t="n">
        <v>19.1</v>
      </c>
      <c r="C301" s="3" t="n">
        <v>276</v>
      </c>
      <c r="D301" s="3" t="n">
        <v>2</v>
      </c>
      <c r="E301" s="2" t="n">
        <v>69.8</v>
      </c>
      <c r="F301" s="4" t="n">
        <v>2.71132147348833</v>
      </c>
      <c r="G301" s="2" t="n">
        <v>38.2</v>
      </c>
      <c r="H301" s="2" t="n">
        <v>47.7</v>
      </c>
      <c r="I301" s="1" t="n">
        <v>152.4</v>
      </c>
      <c r="J301" s="2" t="n">
        <v>381</v>
      </c>
      <c r="K301" s="3" t="n">
        <v>568</v>
      </c>
      <c r="L301" s="4" t="n">
        <v>21823.68</v>
      </c>
      <c r="M301" s="3" t="n">
        <v>106.225416011626</v>
      </c>
      <c r="N301" s="12" t="n">
        <v>0.0260267745861376</v>
      </c>
      <c r="O301" s="4" t="n">
        <v>42.2576</v>
      </c>
      <c r="P301" s="3" t="n">
        <v>191.764922934407</v>
      </c>
      <c r="Q301" s="4" t="n">
        <v>0.16</v>
      </c>
      <c r="R301" s="13" t="n">
        <f aca="false">P301/200000</f>
        <v>0.000958824614672037</v>
      </c>
      <c r="V301" s="4" t="n">
        <f aca="false">$W$2*($W$3*$G301+$W$4*$B301^$W$5*$N301^$W$6)*$R301^$W$7</f>
        <v>0.234595710615558</v>
      </c>
      <c r="W301" s="4" t="n">
        <f aca="false">V301/$Q301</f>
        <v>1.46622319134723</v>
      </c>
      <c r="Y301" s="4" t="n">
        <f aca="false">$Z$2*$B301^$Z$3*$R301^$Z$4*($Z$5*$N301^$Z$6+$Z$7)</f>
        <v>0.232034793540884</v>
      </c>
      <c r="Z301" s="4" t="n">
        <f aca="false">Y301/$Q301</f>
        <v>1.45021745963053</v>
      </c>
      <c r="AB301" s="4" t="n">
        <f aca="false">$AC$2*($AC$3+$AC$4*$F301/($N301*'Sem TS MC2020'!P293))*($AC$5*$G301+$AC$6*$B301/$N301)*'Sem TS MC2020'!R293*($J301-$M301)/($J301-$M301-$H301)</f>
        <v>0.221157719842859</v>
      </c>
      <c r="AC301" s="4" t="n">
        <f aca="false">AB301/$Q301</f>
        <v>1.38223574901787</v>
      </c>
      <c r="AD301" s="23" t="n">
        <f aca="false">AB301-$Q301</f>
        <v>0.061157719842859</v>
      </c>
      <c r="AE301" s="24" t="n">
        <f aca="false">1/AC301</f>
        <v>0.723465588782911</v>
      </c>
      <c r="AF301" s="24" t="n">
        <f aca="false">AB301*(14.068*'Sem TS MC2020'!$P293^-0.457)/$Q301</f>
        <v>1.56011904773966</v>
      </c>
      <c r="AG301" s="24"/>
      <c r="AO301" s="4" t="n">
        <f aca="false">$AP$2*($AP$3+$AP$4*$F301/($N301*'Sem TS MC2020'!P293))*($AP$5*$G301+$AP$6*$B301/$N301)*('Sem TS MC2020'!P293^$AP$7/200000)*($J301-$M301)/($J301-$M301-$H301)+('Sem TS MC2020'!P293-$C301/$AP$8)*($AP$5*$G301+$AP$6*$B301/$N301)/200000</f>
        <v>0.242779264339827</v>
      </c>
      <c r="AP301" s="4" t="n">
        <f aca="false">AO301/$Q301</f>
        <v>1.51737040212392</v>
      </c>
      <c r="AQ301" s="23" t="n">
        <f aca="false">AO301-$Q301</f>
        <v>0.0827792643398273</v>
      </c>
    </row>
    <row r="302" customFormat="false" ht="14.25" hidden="false" customHeight="false" outlineLevel="0" collapsed="false">
      <c r="B302" s="2" t="n">
        <v>19.1</v>
      </c>
      <c r="C302" s="3" t="n">
        <v>276</v>
      </c>
      <c r="D302" s="3" t="n">
        <v>2</v>
      </c>
      <c r="E302" s="2" t="n">
        <v>69.8</v>
      </c>
      <c r="F302" s="4" t="n">
        <v>2.71132147348833</v>
      </c>
      <c r="G302" s="2" t="n">
        <v>38.2</v>
      </c>
      <c r="H302" s="2" t="n">
        <v>47.7</v>
      </c>
      <c r="I302" s="1" t="n">
        <v>152.4</v>
      </c>
      <c r="J302" s="2" t="n">
        <v>381</v>
      </c>
      <c r="K302" s="3" t="n">
        <v>568</v>
      </c>
      <c r="L302" s="4" t="n">
        <v>21823.68</v>
      </c>
      <c r="M302" s="3" t="n">
        <v>106.225416011626</v>
      </c>
      <c r="N302" s="12" t="n">
        <v>0.0260267745861376</v>
      </c>
      <c r="O302" s="4" t="n">
        <v>48.8089</v>
      </c>
      <c r="P302" s="3" t="n">
        <v>224.52366430869</v>
      </c>
      <c r="Q302" s="4" t="n">
        <v>0.2</v>
      </c>
      <c r="R302" s="13" t="n">
        <f aca="false">P302/200000</f>
        <v>0.00112261832154345</v>
      </c>
      <c r="V302" s="4" t="n">
        <f aca="false">$W$2*($W$3*$G302+$W$4*$B302^$W$5*$N302^$W$6)*$R302^$W$7</f>
        <v>0.258571239941536</v>
      </c>
      <c r="W302" s="4" t="n">
        <f aca="false">V302/$Q302</f>
        <v>1.29285619970768</v>
      </c>
      <c r="Y302" s="4" t="n">
        <f aca="false">$Z$2*$B302^$Z$3*$R302^$Z$4*($Z$5*$N302^$Z$6+$Z$7)</f>
        <v>0.256192661490719</v>
      </c>
      <c r="Z302" s="4" t="n">
        <f aca="false">Y302/$Q302</f>
        <v>1.28096330745359</v>
      </c>
      <c r="AB302" s="4" t="n">
        <f aca="false">$AC$2*($AC$3+$AC$4*$F302/($N302*'Sem TS MC2020'!P294))*($AC$5*$G302+$AC$6*$B302/$N302)*'Sem TS MC2020'!R294*($J302-$M302)/($J302-$M302-$H302)</f>
        <v>0.251002060217717</v>
      </c>
      <c r="AC302" s="4" t="n">
        <f aca="false">AB302/$Q302</f>
        <v>1.25501030108859</v>
      </c>
      <c r="AD302" s="23" t="n">
        <f aca="false">AB302-$Q302</f>
        <v>0.051002060217717</v>
      </c>
      <c r="AE302" s="24" t="n">
        <f aca="false">1/AC302</f>
        <v>0.796806208787776</v>
      </c>
      <c r="AF302" s="24" t="n">
        <f aca="false">AB302*(14.068*'Sem TS MC2020'!$P294^-0.457)/$Q302</f>
        <v>1.3537175912045</v>
      </c>
      <c r="AG302" s="24"/>
      <c r="AO302" s="4" t="n">
        <f aca="false">$AP$2*($AP$3+$AP$4*$F302/($N302*'Sem TS MC2020'!P294))*($AP$5*$G302+$AP$6*$B302/$N302)*('Sem TS MC2020'!P294^$AP$7/200000)*($J302-$M302)/($J302-$M302-$H302)+('Sem TS MC2020'!P294-$C302/$AP$8)*($AP$5*$G302+$AP$6*$B302/$N302)/200000</f>
        <v>0.271841553429914</v>
      </c>
      <c r="AP302" s="4" t="n">
        <f aca="false">AO302/$Q302</f>
        <v>1.35920776714957</v>
      </c>
      <c r="AQ302" s="23" t="n">
        <f aca="false">AO302-$Q302</f>
        <v>0.0718415534299137</v>
      </c>
    </row>
    <row r="303" customFormat="false" ht="14.25" hidden="false" customHeight="false" outlineLevel="0" collapsed="false">
      <c r="A303" s="1" t="s">
        <v>90</v>
      </c>
      <c r="B303" s="2" t="n">
        <v>22.2</v>
      </c>
      <c r="C303" s="3" t="n">
        <v>276</v>
      </c>
      <c r="D303" s="3" t="n">
        <v>2</v>
      </c>
      <c r="E303" s="2" t="n">
        <v>63.6</v>
      </c>
      <c r="F303" s="4" t="n">
        <v>2.68798662700617</v>
      </c>
      <c r="G303" s="2" t="n">
        <v>12.8</v>
      </c>
      <c r="H303" s="2" t="n">
        <v>23.9</v>
      </c>
      <c r="I303" s="1" t="n">
        <v>152.4</v>
      </c>
      <c r="J303" s="2" t="n">
        <v>381</v>
      </c>
      <c r="K303" s="3" t="n">
        <v>774</v>
      </c>
      <c r="L303" s="4" t="n">
        <v>12748.26</v>
      </c>
      <c r="M303" s="3" t="n">
        <v>125.501027414761</v>
      </c>
      <c r="N303" s="12" t="n">
        <v>0.0607141680511693</v>
      </c>
      <c r="O303" s="4" t="n">
        <v>66.199</v>
      </c>
      <c r="P303" s="3" t="n">
        <v>244.579711304794</v>
      </c>
      <c r="Q303" s="4" t="n">
        <v>0.17</v>
      </c>
      <c r="R303" s="13" t="n">
        <f aca="false">P303/200000</f>
        <v>0.00122289855652397</v>
      </c>
      <c r="V303" s="4" t="n">
        <f aca="false">$W$2*($W$3*$G303+$W$4*$B303^$W$5*$N303^$W$6)*$R303^$W$7</f>
        <v>0.212070619461791</v>
      </c>
      <c r="W303" s="4" t="n">
        <f aca="false">V303/$Q303</f>
        <v>1.24747423212818</v>
      </c>
      <c r="Y303" s="4" t="n">
        <f aca="false">$Z$2*$B303^$Z$3*$R303^$Z$4*($Z$5*$N303^$Z$6+$Z$7)</f>
        <v>0.218414627234451</v>
      </c>
      <c r="Z303" s="4" t="n">
        <f aca="false">Y303/$Q303</f>
        <v>1.28479192490854</v>
      </c>
      <c r="AB303" s="4" t="n">
        <f aca="false">$AC$2*($AC$3+$AC$4*$F303/($N303*'Sem TS MC2020'!P295))*($AC$5*$G303+$AC$6*$B303/$N303)*'Sem TS MC2020'!R295*($J303-$M303)/($J303-$M303-$H303)</f>
        <v>0.117260283268708</v>
      </c>
      <c r="AC303" s="4" t="n">
        <f aca="false">AB303/$Q303</f>
        <v>0.68976637216887</v>
      </c>
      <c r="AD303" s="23" t="n">
        <f aca="false">AB303-$Q303</f>
        <v>-0.0527397167312922</v>
      </c>
      <c r="AE303" s="24" t="n">
        <f aca="false">1/AC303</f>
        <v>1.4497662402063</v>
      </c>
      <c r="AF303" s="24" t="n">
        <f aca="false">AB303*(14.068*'Sem TS MC2020'!$P295^-0.457)/$Q303</f>
        <v>0.749644827483713</v>
      </c>
      <c r="AG303" s="24"/>
      <c r="AO303" s="4" t="n">
        <f aca="false">$AP$2*($AP$3+$AP$4*$F303/($N303*'Sem TS MC2020'!P295))*($AP$5*$G303+$AP$6*$B303/$N303)*('Sem TS MC2020'!P295^$AP$7/200000)*($J303-$M303)/($J303-$M303-$H303)+('Sem TS MC2020'!P295-$C303/$AP$8)*($AP$5*$G303+$AP$6*$B303/$N303)/200000</f>
        <v>0.129431558386304</v>
      </c>
      <c r="AP303" s="4" t="n">
        <f aca="false">AO303/$Q303</f>
        <v>0.761362108154727</v>
      </c>
      <c r="AQ303" s="23" t="n">
        <f aca="false">AO303-$Q303</f>
        <v>-0.0405684416136965</v>
      </c>
    </row>
    <row r="304" customFormat="false" ht="14.25" hidden="false" customHeight="false" outlineLevel="0" collapsed="false">
      <c r="A304" s="1" t="s">
        <v>91</v>
      </c>
      <c r="B304" s="2" t="n">
        <v>22.2</v>
      </c>
      <c r="C304" s="3" t="n">
        <v>276</v>
      </c>
      <c r="D304" s="3" t="n">
        <v>2</v>
      </c>
      <c r="E304" s="2" t="n">
        <v>63.6</v>
      </c>
      <c r="F304" s="4" t="n">
        <v>2.38460157103714</v>
      </c>
      <c r="G304" s="2" t="n">
        <v>38</v>
      </c>
      <c r="H304" s="2" t="n">
        <v>49.1</v>
      </c>
      <c r="I304" s="1" t="n">
        <v>152.4</v>
      </c>
      <c r="J304" s="2" t="n">
        <v>381</v>
      </c>
      <c r="K304" s="3" t="n">
        <v>774</v>
      </c>
      <c r="L304" s="4" t="n">
        <v>24399.24</v>
      </c>
      <c r="M304" s="3" t="n">
        <v>122.856933294706</v>
      </c>
      <c r="N304" s="12" t="n">
        <v>0.0317222995470351</v>
      </c>
      <c r="O304" s="4" t="n">
        <v>43.9383</v>
      </c>
      <c r="P304" s="3" t="n">
        <v>140.827277262883</v>
      </c>
      <c r="Q304" s="4" t="n">
        <v>0.15</v>
      </c>
      <c r="R304" s="13" t="n">
        <f aca="false">P304/200000</f>
        <v>0.000704136386314418</v>
      </c>
      <c r="V304" s="4" t="n">
        <f aca="false">$W$2*($W$3*$G304+$W$4*$B304^$W$5*$N304^$W$6)*$R304^$W$7</f>
        <v>0.197545485474929</v>
      </c>
      <c r="W304" s="4" t="n">
        <f aca="false">V304/$Q304</f>
        <v>1.3169699031662</v>
      </c>
      <c r="Y304" s="4" t="n">
        <f aca="false">$Z$2*$B304^$Z$3*$R304^$Z$4*($Z$5*$N304^$Z$6+$Z$7)</f>
        <v>0.19595799200592</v>
      </c>
      <c r="Z304" s="4" t="n">
        <f aca="false">Y304/$Q304</f>
        <v>1.3063866133728</v>
      </c>
      <c r="AB304" s="4" t="n">
        <f aca="false">$AC$2*($AC$3+$AC$4*$F304/($N304*'Sem TS MC2020'!P296))*($AC$5*$G304+$AC$6*$B304/$N304)*'Sem TS MC2020'!R296*($J304-$M304)/($J304-$M304-$H304)</f>
        <v>0.173915354249492</v>
      </c>
      <c r="AC304" s="4" t="n">
        <f aca="false">AB304/$Q304</f>
        <v>1.15943569499662</v>
      </c>
      <c r="AD304" s="23" t="n">
        <f aca="false">AB304-$Q304</f>
        <v>0.0239153542494923</v>
      </c>
      <c r="AE304" s="24" t="n">
        <f aca="false">1/AC304</f>
        <v>0.86248854017119</v>
      </c>
      <c r="AF304" s="24" t="n">
        <f aca="false">AB304*(14.068*'Sem TS MC2020'!$P296^-0.457)/$Q304</f>
        <v>1.46493277254172</v>
      </c>
      <c r="AG304" s="24"/>
      <c r="AO304" s="4" t="n">
        <f aca="false">$AP$2*($AP$3+$AP$4*$F304/($N304*'Sem TS MC2020'!P296))*($AP$5*$G304+$AP$6*$B304/$N304)*('Sem TS MC2020'!P296^$AP$7/200000)*($J304-$M304)/($J304-$M304-$H304)+('Sem TS MC2020'!P296-$C304/$AP$8)*($AP$5*$G304+$AP$6*$B304/$N304)/200000</f>
        <v>0.196542860961993</v>
      </c>
      <c r="AP304" s="4" t="n">
        <f aca="false">AO304/$Q304</f>
        <v>1.31028573974662</v>
      </c>
      <c r="AQ304" s="23" t="n">
        <f aca="false">AO304-$Q304</f>
        <v>0.0465428609619931</v>
      </c>
    </row>
    <row r="305" customFormat="false" ht="14.25" hidden="false" customHeight="false" outlineLevel="0" collapsed="false">
      <c r="B305" s="2" t="n">
        <v>22.2</v>
      </c>
      <c r="C305" s="3" t="n">
        <v>276</v>
      </c>
      <c r="D305" s="3" t="n">
        <v>2</v>
      </c>
      <c r="E305" s="2" t="n">
        <v>63.6</v>
      </c>
      <c r="F305" s="4" t="n">
        <v>2.38460157103714</v>
      </c>
      <c r="G305" s="2" t="n">
        <v>38</v>
      </c>
      <c r="H305" s="2" t="n">
        <v>49.1</v>
      </c>
      <c r="I305" s="1" t="n">
        <v>152.4</v>
      </c>
      <c r="J305" s="2" t="n">
        <v>381</v>
      </c>
      <c r="K305" s="3" t="n">
        <v>774</v>
      </c>
      <c r="L305" s="4" t="n">
        <v>24399.24</v>
      </c>
      <c r="M305" s="3" t="n">
        <v>122.856933294706</v>
      </c>
      <c r="N305" s="12" t="n">
        <v>0.0317222995470351</v>
      </c>
      <c r="O305" s="4" t="n">
        <v>51.107</v>
      </c>
      <c r="P305" s="3" t="n">
        <v>178.833845243026</v>
      </c>
      <c r="Q305" s="4" t="n">
        <v>0.19</v>
      </c>
      <c r="R305" s="13" t="n">
        <f aca="false">P305/200000</f>
        <v>0.000894169226215128</v>
      </c>
      <c r="V305" s="4" t="n">
        <f aca="false">$W$2*($W$3*$G305+$W$4*$B305^$W$5*$N305^$W$6)*$R305^$W$7</f>
        <v>0.228922688767398</v>
      </c>
      <c r="W305" s="4" t="n">
        <f aca="false">V305/$Q305</f>
        <v>1.20485625667052</v>
      </c>
      <c r="Y305" s="4" t="n">
        <f aca="false">$Z$2*$B305^$Z$3*$R305^$Z$4*($Z$5*$N305^$Z$6+$Z$7)</f>
        <v>0.227680639119605</v>
      </c>
      <c r="Z305" s="4" t="n">
        <f aca="false">Y305/$Q305</f>
        <v>1.19831915326108</v>
      </c>
      <c r="AB305" s="4" t="n">
        <f aca="false">$AC$2*($AC$3+$AC$4*$F305/($N305*'Sem TS MC2020'!P297))*($AC$5*$G305+$AC$6*$B305/$N305)*'Sem TS MC2020'!R297*($J305-$M305)/($J305-$M305-$H305)</f>
        <v>0.209814932244443</v>
      </c>
      <c r="AC305" s="4" t="n">
        <f aca="false">AB305/$Q305</f>
        <v>1.10428911707601</v>
      </c>
      <c r="AD305" s="23" t="n">
        <f aca="false">AB305-$Q305</f>
        <v>0.0198149322444428</v>
      </c>
      <c r="AE305" s="24" t="n">
        <f aca="false">1/AC305</f>
        <v>0.905559952132684</v>
      </c>
      <c r="AF305" s="24" t="n">
        <f aca="false">AB305*(14.068*'Sem TS MC2020'!$P297^-0.457)/$Q305</f>
        <v>1.30213990388448</v>
      </c>
      <c r="AG305" s="24"/>
      <c r="AO305" s="4" t="n">
        <f aca="false">$AP$2*($AP$3+$AP$4*$F305/($N305*'Sem TS MC2020'!P297))*($AP$5*$G305+$AP$6*$B305/$N305)*('Sem TS MC2020'!P297^$AP$7/200000)*($J305-$M305)/($J305-$M305-$H305)+('Sem TS MC2020'!P297-$C305/$AP$8)*($AP$5*$G305+$AP$6*$B305/$N305)/200000</f>
        <v>0.232546131042501</v>
      </c>
      <c r="AP305" s="4" t="n">
        <f aca="false">AO305/$Q305</f>
        <v>1.22392700548685</v>
      </c>
      <c r="AQ305" s="23" t="n">
        <f aca="false">AO305-$Q305</f>
        <v>0.0425461310425015</v>
      </c>
    </row>
    <row r="306" customFormat="false" ht="14.25" hidden="false" customHeight="false" outlineLevel="0" collapsed="false">
      <c r="B306" s="2" t="n">
        <v>22.2</v>
      </c>
      <c r="C306" s="3" t="n">
        <v>276</v>
      </c>
      <c r="D306" s="3" t="n">
        <v>2</v>
      </c>
      <c r="E306" s="2" t="n">
        <v>63.6</v>
      </c>
      <c r="F306" s="4" t="n">
        <v>2.38460157103714</v>
      </c>
      <c r="G306" s="2" t="n">
        <v>38</v>
      </c>
      <c r="H306" s="2" t="n">
        <v>49.1</v>
      </c>
      <c r="I306" s="1" t="n">
        <v>152.4</v>
      </c>
      <c r="J306" s="2" t="n">
        <v>381</v>
      </c>
      <c r="K306" s="3" t="n">
        <v>774</v>
      </c>
      <c r="L306" s="4" t="n">
        <v>24399.24</v>
      </c>
      <c r="M306" s="3" t="n">
        <v>122.856933294706</v>
      </c>
      <c r="N306" s="12" t="n">
        <v>0.0317222995470351</v>
      </c>
      <c r="O306" s="4" t="n">
        <v>58.7559</v>
      </c>
      <c r="P306" s="3" t="n">
        <v>219.386307729015</v>
      </c>
      <c r="Q306" s="4" t="n">
        <v>0.22</v>
      </c>
      <c r="R306" s="13" t="n">
        <f aca="false">P306/200000</f>
        <v>0.00109693153864507</v>
      </c>
      <c r="V306" s="4" t="n">
        <f aca="false">$W$2*($W$3*$G306+$W$4*$B306^$W$5*$N306^$W$6)*$R306^$W$7</f>
        <v>0.2596890498782</v>
      </c>
      <c r="W306" s="4" t="n">
        <f aca="false">V306/$Q306</f>
        <v>1.18040477217363</v>
      </c>
      <c r="Y306" s="4" t="n">
        <f aca="false">$Z$2*$B306^$Z$3*$R306^$Z$4*($Z$5*$N306^$Z$6+$Z$7)</f>
        <v>0.258861378122874</v>
      </c>
      <c r="Z306" s="4" t="n">
        <f aca="false">Y306/$Q306</f>
        <v>1.17664262783125</v>
      </c>
      <c r="AB306" s="4" t="n">
        <f aca="false">$AC$2*($AC$3+$AC$4*$F306/($N306*'Sem TS MC2020'!P298))*($AC$5*$G306+$AC$6*$B306/$N306)*'Sem TS MC2020'!R298*($J306-$M306)/($J306-$M306-$H306)</f>
        <v>0.248119266660108</v>
      </c>
      <c r="AC306" s="4" t="n">
        <f aca="false">AB306/$Q306</f>
        <v>1.12781484845503</v>
      </c>
      <c r="AD306" s="23" t="n">
        <f aca="false">AB306-$Q306</f>
        <v>0.0281192666601076</v>
      </c>
      <c r="AE306" s="24" t="n">
        <f aca="false">1/AC306</f>
        <v>0.886670362045574</v>
      </c>
      <c r="AF306" s="24" t="n">
        <f aca="false">AB306*(14.068*'Sem TS MC2020'!$P298^-0.457)/$Q306</f>
        <v>1.24776176567774</v>
      </c>
      <c r="AG306" s="24"/>
      <c r="AO306" s="4" t="n">
        <f aca="false">$AP$2*($AP$3+$AP$4*$F306/($N306*'Sem TS MC2020'!P298))*($AP$5*$G306+$AP$6*$B306/$N306)*('Sem TS MC2020'!P298^$AP$7/200000)*($J306-$M306)/($J306-$M306-$H306)+('Sem TS MC2020'!P298-$C306/$AP$8)*($AP$5*$G306+$AP$6*$B306/$N306)/200000</f>
        <v>0.269838091672923</v>
      </c>
      <c r="AP306" s="4" t="n">
        <f aca="false">AO306/$Q306</f>
        <v>1.22653678033147</v>
      </c>
      <c r="AQ306" s="23" t="n">
        <f aca="false">AO306-$Q306</f>
        <v>0.0498380916729233</v>
      </c>
    </row>
    <row r="307" customFormat="false" ht="14.25" hidden="false" customHeight="false" outlineLevel="0" collapsed="false">
      <c r="B307" s="2" t="n">
        <v>22.2</v>
      </c>
      <c r="C307" s="3" t="n">
        <v>276</v>
      </c>
      <c r="D307" s="3" t="n">
        <v>2</v>
      </c>
      <c r="E307" s="2" t="n">
        <v>63.6</v>
      </c>
      <c r="F307" s="4" t="n">
        <v>2.38460157103714</v>
      </c>
      <c r="G307" s="2" t="n">
        <v>38</v>
      </c>
      <c r="H307" s="2" t="n">
        <v>49.1</v>
      </c>
      <c r="I307" s="1" t="n">
        <v>152.4</v>
      </c>
      <c r="J307" s="2" t="n">
        <v>381</v>
      </c>
      <c r="K307" s="3" t="n">
        <v>774</v>
      </c>
      <c r="L307" s="4" t="n">
        <v>24399.24</v>
      </c>
      <c r="M307" s="3" t="n">
        <v>122.856933294706</v>
      </c>
      <c r="N307" s="12" t="n">
        <v>0.0317222995470351</v>
      </c>
      <c r="O307" s="4" t="n">
        <v>66.199</v>
      </c>
      <c r="P307" s="3" t="n">
        <v>237.160226827859</v>
      </c>
      <c r="Q307" s="4" t="n">
        <v>0.27</v>
      </c>
      <c r="R307" s="13" t="n">
        <f aca="false">P307/200000</f>
        <v>0.0011858011341393</v>
      </c>
      <c r="V307" s="4" t="n">
        <f aca="false">$W$2*($W$3*$G307+$W$4*$B307^$W$5*$N307^$W$6)*$R307^$W$7</f>
        <v>0.27247595912415</v>
      </c>
      <c r="W307" s="4" t="n">
        <f aca="false">V307/$Q307</f>
        <v>1.00917021897833</v>
      </c>
      <c r="Y307" s="4" t="n">
        <f aca="false">$Z$2*$B307^$Z$3*$R307^$Z$4*($Z$5*$N307^$Z$6+$Z$7)</f>
        <v>0.271840379119031</v>
      </c>
      <c r="Z307" s="4" t="n">
        <f aca="false">Y307/$Q307</f>
        <v>1.00681621895937</v>
      </c>
      <c r="AB307" s="4" t="n">
        <f aca="false">$AC$2*($AC$3+$AC$4*$F307/($N307*'Sem TS MC2020'!P299))*($AC$5*$G307+$AC$6*$B307/$N307)*'Sem TS MC2020'!R299*($J307-$M307)/($J307-$M307-$H307)</f>
        <v>0.264907843710745</v>
      </c>
      <c r="AC307" s="4" t="n">
        <f aca="false">AB307/$Q307</f>
        <v>0.981140161891648</v>
      </c>
      <c r="AD307" s="23" t="n">
        <f aca="false">AB307-$Q307</f>
        <v>-0.00509215628925491</v>
      </c>
      <c r="AE307" s="24" t="n">
        <f aca="false">1/AC307</f>
        <v>1.01922236887336</v>
      </c>
      <c r="AF307" s="24" t="n">
        <f aca="false">AB307*(14.068*'Sem TS MC2020'!$P299^-0.457)/$Q307</f>
        <v>1.0583074062722</v>
      </c>
      <c r="AG307" s="24"/>
      <c r="AO307" s="4" t="n">
        <f aca="false">$AP$2*($AP$3+$AP$4*$F307/($N307*'Sem TS MC2020'!P299))*($AP$5*$G307+$AP$6*$B307/$N307)*('Sem TS MC2020'!P299^$AP$7/200000)*($J307-$M307)/($J307-$M307-$H307)+('Sem TS MC2020'!P299-$C307/$AP$8)*($AP$5*$G307+$AP$6*$B307/$N307)/200000</f>
        <v>0.285870712335672</v>
      </c>
      <c r="AP307" s="4" t="n">
        <f aca="false">AO307/$Q307</f>
        <v>1.05878041605804</v>
      </c>
      <c r="AQ307" s="23" t="n">
        <f aca="false">AO307-$Q307</f>
        <v>0.0158707123356721</v>
      </c>
    </row>
    <row r="308" customFormat="false" ht="14.25" hidden="false" customHeight="false" outlineLevel="0" collapsed="false">
      <c r="A308" s="1" t="s">
        <v>92</v>
      </c>
      <c r="B308" s="2" t="n">
        <v>22.2</v>
      </c>
      <c r="C308" s="3" t="n">
        <v>276</v>
      </c>
      <c r="D308" s="3" t="n">
        <v>2</v>
      </c>
      <c r="E308" s="2" t="n">
        <v>63.6</v>
      </c>
      <c r="F308" s="4" t="n">
        <v>2.86484234762008</v>
      </c>
      <c r="G308" s="2" t="n">
        <v>38</v>
      </c>
      <c r="H308" s="2" t="n">
        <v>49.1</v>
      </c>
      <c r="I308" s="1" t="n">
        <v>152.4</v>
      </c>
      <c r="J308" s="2" t="n">
        <v>381</v>
      </c>
      <c r="K308" s="3" t="n">
        <v>774</v>
      </c>
      <c r="L308" s="4" t="n">
        <v>24399.24</v>
      </c>
      <c r="M308" s="3" t="n">
        <v>118.551137802315</v>
      </c>
      <c r="N308" s="12" t="n">
        <v>0.0317222995470351</v>
      </c>
      <c r="O308" s="4" t="n">
        <v>58.7559</v>
      </c>
      <c r="P308" s="3" t="n">
        <v>210.253502991345</v>
      </c>
      <c r="Q308" s="4" t="n">
        <v>0.17</v>
      </c>
      <c r="R308" s="13" t="n">
        <f aca="false">P308/200000</f>
        <v>0.00105126751495673</v>
      </c>
      <c r="V308" s="4" t="n">
        <f aca="false">$W$2*($W$3*$G308+$W$4*$B308^$W$5*$N308^$W$6)*$R308^$W$7</f>
        <v>0.252964712638195</v>
      </c>
      <c r="W308" s="4" t="n">
        <f aca="false">V308/$Q308</f>
        <v>1.48802772140115</v>
      </c>
      <c r="Y308" s="4" t="n">
        <f aca="false">$Z$2*$B308^$Z$3*$R308^$Z$4*($Z$5*$N308^$Z$6+$Z$7)</f>
        <v>0.252040559974672</v>
      </c>
      <c r="Z308" s="4" t="n">
        <f aca="false">Y308/$Q308</f>
        <v>1.48259152926278</v>
      </c>
      <c r="AB308" s="4" t="n">
        <f aca="false">$AC$2*($AC$3+$AC$4*$F308/($N308*'Sem TS MC2020'!P300))*($AC$5*$G308+$AC$6*$B308/$N308)*'Sem TS MC2020'!R300*($J308-$M308)/($J308-$M308-$H308)</f>
        <v>0.23647544196198</v>
      </c>
      <c r="AC308" s="4" t="n">
        <f aca="false">AB308/$Q308</f>
        <v>1.39103201154106</v>
      </c>
      <c r="AD308" s="23" t="n">
        <f aca="false">AB308-$Q308</f>
        <v>0.0664754419619796</v>
      </c>
      <c r="AE308" s="24" t="n">
        <f aca="false">1/AC308</f>
        <v>0.718890716894537</v>
      </c>
      <c r="AF308" s="24" t="n">
        <f aca="false">AB308*(14.068*'Sem TS MC2020'!$P300^-0.457)/$Q308</f>
        <v>1.54243780806807</v>
      </c>
      <c r="AG308" s="24"/>
      <c r="AO308" s="4" t="n">
        <f aca="false">$AP$2*($AP$3+$AP$4*$F308/($N308*'Sem TS MC2020'!P300))*($AP$5*$G308+$AP$6*$B308/$N308)*('Sem TS MC2020'!P300^$AP$7/200000)*($J308-$M308)/($J308-$M308-$H308)+('Sem TS MC2020'!P300-$C308/$AP$8)*($AP$5*$G308+$AP$6*$B308/$N308)/200000</f>
        <v>0.257496995895017</v>
      </c>
      <c r="AP308" s="4" t="n">
        <f aca="false">AO308/$Q308</f>
        <v>1.51468821114716</v>
      </c>
      <c r="AQ308" s="23" t="n">
        <f aca="false">AO308-$Q308</f>
        <v>0.0874969958950165</v>
      </c>
    </row>
    <row r="309" customFormat="false" ht="14.25" hidden="false" customHeight="false" outlineLevel="0" collapsed="false">
      <c r="B309" s="2" t="n">
        <v>22.2</v>
      </c>
      <c r="C309" s="3" t="n">
        <v>276</v>
      </c>
      <c r="D309" s="3" t="n">
        <v>2</v>
      </c>
      <c r="E309" s="2" t="n">
        <v>63.6</v>
      </c>
      <c r="F309" s="4" t="n">
        <v>2.86484234762008</v>
      </c>
      <c r="G309" s="2" t="n">
        <v>38</v>
      </c>
      <c r="H309" s="2" t="n">
        <v>49.1</v>
      </c>
      <c r="I309" s="1" t="n">
        <v>152.4</v>
      </c>
      <c r="J309" s="2" t="n">
        <v>381</v>
      </c>
      <c r="K309" s="3" t="n">
        <v>774</v>
      </c>
      <c r="L309" s="4" t="n">
        <v>24399.24</v>
      </c>
      <c r="M309" s="3" t="n">
        <v>118.551137802315</v>
      </c>
      <c r="N309" s="12" t="n">
        <v>0.0317222995470351</v>
      </c>
      <c r="O309" s="4" t="n">
        <v>66.199</v>
      </c>
      <c r="P309" s="3" t="n">
        <v>230.127226740313</v>
      </c>
      <c r="Q309" s="4" t="n">
        <v>0.2</v>
      </c>
      <c r="R309" s="13" t="n">
        <f aca="false">P309/200000</f>
        <v>0.00115063613370156</v>
      </c>
      <c r="V309" s="4" t="n">
        <f aca="false">$W$2*($W$3*$G309+$W$4*$B309^$W$5*$N309^$W$6)*$R309^$W$7</f>
        <v>0.267461713469159</v>
      </c>
      <c r="W309" s="4" t="n">
        <f aca="false">V309/$Q309</f>
        <v>1.33730856734579</v>
      </c>
      <c r="Y309" s="4" t="n">
        <f aca="false">$Z$2*$B309^$Z$3*$R309^$Z$4*($Z$5*$N309^$Z$6+$Z$7)</f>
        <v>0.266749483622288</v>
      </c>
      <c r="Z309" s="4" t="n">
        <f aca="false">Y309/$Q309</f>
        <v>1.33374741811144</v>
      </c>
      <c r="AB309" s="4" t="n">
        <f aca="false">$AC$2*($AC$3+$AC$4*$F309/($N309*'Sem TS MC2020'!P301))*($AC$5*$G309+$AC$6*$B309/$N309)*'Sem TS MC2020'!R301*($J309-$M309)/($J309-$M309-$H309)</f>
        <v>0.254638405020447</v>
      </c>
      <c r="AC309" s="4" t="n">
        <f aca="false">AB309/$Q309</f>
        <v>1.27319202510223</v>
      </c>
      <c r="AD309" s="23" t="n">
        <f aca="false">AB309-$Q309</f>
        <v>0.0546384050204468</v>
      </c>
      <c r="AE309" s="24" t="n">
        <f aca="false">1/AC309</f>
        <v>0.785427476990129</v>
      </c>
      <c r="AF309" s="24" t="n">
        <f aca="false">AB309*(14.068*'Sem TS MC2020'!$P301^-0.457)/$Q309</f>
        <v>1.37332931838662</v>
      </c>
      <c r="AG309" s="24"/>
      <c r="AO309" s="4" t="n">
        <f aca="false">$AP$2*($AP$3+$AP$4*$F309/($N309*'Sem TS MC2020'!P301))*($AP$5*$G309+$AP$6*$B309/$N309)*('Sem TS MC2020'!P301^$AP$7/200000)*($J309-$M309)/($J309-$M309-$H309)+('Sem TS MC2020'!P301-$C309/$AP$8)*($AP$5*$G309+$AP$6*$B309/$N309)/200000</f>
        <v>0.274962678980618</v>
      </c>
      <c r="AP309" s="4" t="n">
        <f aca="false">AO309/$Q309</f>
        <v>1.37481339490309</v>
      </c>
      <c r="AQ309" s="23" t="n">
        <f aca="false">AO309-$Q309</f>
        <v>0.0749626789806175</v>
      </c>
    </row>
    <row r="310" customFormat="false" ht="14.25" hidden="false" customHeight="false" outlineLevel="0" collapsed="false">
      <c r="A310" s="1" t="s">
        <v>93</v>
      </c>
      <c r="B310" s="2" t="n">
        <v>22.2</v>
      </c>
      <c r="C310" s="3" t="n">
        <v>276</v>
      </c>
      <c r="D310" s="3" t="n">
        <v>2</v>
      </c>
      <c r="E310" s="2" t="n">
        <v>63.6</v>
      </c>
      <c r="F310" s="4" t="n">
        <v>2.83369179024989</v>
      </c>
      <c r="G310" s="2" t="n">
        <v>38</v>
      </c>
      <c r="H310" s="2" t="n">
        <v>49.1</v>
      </c>
      <c r="I310" s="1" t="n">
        <v>152.4</v>
      </c>
      <c r="J310" s="2" t="n">
        <v>381</v>
      </c>
      <c r="K310" s="3" t="n">
        <v>774</v>
      </c>
      <c r="L310" s="4" t="n">
        <v>24399.24</v>
      </c>
      <c r="M310" s="3" t="n">
        <v>118.804893272016</v>
      </c>
      <c r="N310" s="12" t="n">
        <v>0.0317222995470351</v>
      </c>
      <c r="O310" s="4" t="n">
        <v>43.9383</v>
      </c>
      <c r="P310" s="3" t="n">
        <v>130.478542700382</v>
      </c>
      <c r="Q310" s="4" t="n">
        <v>0.15</v>
      </c>
      <c r="R310" s="13" t="n">
        <f aca="false">P310/200000</f>
        <v>0.000652392713501911</v>
      </c>
      <c r="V310" s="4" t="n">
        <f aca="false">$W$2*($W$3*$G310+$W$4*$B310^$W$5*$N310^$W$6)*$R310^$W$7</f>
        <v>0.188458177677582</v>
      </c>
      <c r="W310" s="4" t="n">
        <f aca="false">V310/$Q310</f>
        <v>1.25638785118388</v>
      </c>
      <c r="Y310" s="4" t="n">
        <f aca="false">$Z$2*$B310^$Z$3*$R310^$Z$4*($Z$5*$N310^$Z$6+$Z$7)</f>
        <v>0.186786822490308</v>
      </c>
      <c r="Z310" s="4" t="n">
        <f aca="false">Y310/$Q310</f>
        <v>1.24524548326872</v>
      </c>
      <c r="AB310" s="4" t="n">
        <f aca="false">$AC$2*($AC$3+$AC$4*$F310/($N310*'Sem TS MC2020'!P302))*($AC$5*$G310+$AC$6*$B310/$N310)*'Sem TS MC2020'!R302*($J310-$M310)/($J310-$M310-$H310)</f>
        <v>0.163618955759809</v>
      </c>
      <c r="AC310" s="4" t="n">
        <f aca="false">AB310/$Q310</f>
        <v>1.09079303839873</v>
      </c>
      <c r="AD310" s="23" t="n">
        <f aca="false">AB310-$Q310</f>
        <v>0.0136189557598094</v>
      </c>
      <c r="AE310" s="24" t="n">
        <f aca="false">1/AC310</f>
        <v>0.916764193387214</v>
      </c>
      <c r="AF310" s="24" t="n">
        <f aca="false">AB310*(14.068*'Sem TS MC2020'!$P302^-0.457)/$Q310</f>
        <v>1.38112387291623</v>
      </c>
      <c r="AG310" s="24"/>
      <c r="AO310" s="4" t="n">
        <f aca="false">$AP$2*($AP$3+$AP$4*$F310/($N310*'Sem TS MC2020'!P302))*($AP$5*$G310+$AP$6*$B310/$N310)*('Sem TS MC2020'!P302^$AP$7/200000)*($J310-$M310)/($J310-$M310-$H310)+('Sem TS MC2020'!P302-$C310/$AP$8)*($AP$5*$G310+$AP$6*$B310/$N310)/200000</f>
        <v>0.185001020311493</v>
      </c>
      <c r="AP310" s="4" t="n">
        <f aca="false">AO310/$Q310</f>
        <v>1.23334013540995</v>
      </c>
      <c r="AQ310" s="23" t="n">
        <f aca="false">AO310-$Q310</f>
        <v>0.0350010203114932</v>
      </c>
    </row>
    <row r="311" customFormat="false" ht="14.25" hidden="false" customHeight="false" outlineLevel="0" collapsed="false">
      <c r="B311" s="2" t="n">
        <v>22.2</v>
      </c>
      <c r="C311" s="3" t="n">
        <v>276</v>
      </c>
      <c r="D311" s="3" t="n">
        <v>2</v>
      </c>
      <c r="E311" s="2" t="n">
        <v>63.6</v>
      </c>
      <c r="F311" s="4" t="n">
        <v>2.83369179024989</v>
      </c>
      <c r="G311" s="2" t="n">
        <v>38</v>
      </c>
      <c r="H311" s="2" t="n">
        <v>49.1</v>
      </c>
      <c r="I311" s="1" t="n">
        <v>152.4</v>
      </c>
      <c r="J311" s="2" t="n">
        <v>381</v>
      </c>
      <c r="K311" s="3" t="n">
        <v>774</v>
      </c>
      <c r="L311" s="4" t="n">
        <v>24399.24</v>
      </c>
      <c r="M311" s="3" t="n">
        <v>118.804893272016</v>
      </c>
      <c r="N311" s="12" t="n">
        <v>0.0317222995470351</v>
      </c>
      <c r="O311" s="4" t="n">
        <v>51.107</v>
      </c>
      <c r="P311" s="3" t="n">
        <v>169.355626890377</v>
      </c>
      <c r="Q311" s="4" t="n">
        <v>0.18</v>
      </c>
      <c r="R311" s="13" t="n">
        <f aca="false">P311/200000</f>
        <v>0.000846778134451883</v>
      </c>
      <c r="V311" s="4" t="n">
        <f aca="false">$W$2*($W$3*$G311+$W$4*$B311^$W$5*$N311^$W$6)*$R311^$W$7</f>
        <v>0.22135877175296</v>
      </c>
      <c r="W311" s="4" t="n">
        <f aca="false">V311/$Q311</f>
        <v>1.22977095418311</v>
      </c>
      <c r="Y311" s="4" t="n">
        <f aca="false">$Z$2*$B311^$Z$3*$R311^$Z$4*($Z$5*$N311^$Z$6+$Z$7)</f>
        <v>0.220025921783559</v>
      </c>
      <c r="Z311" s="4" t="n">
        <f aca="false">Y311/$Q311</f>
        <v>1.22236623213089</v>
      </c>
      <c r="AB311" s="4" t="n">
        <f aca="false">$AC$2*($AC$3+$AC$4*$F311/($N311*'Sem TS MC2020'!P303))*($AC$5*$G311+$AC$6*$B311/$N311)*'Sem TS MC2020'!R303*($J311-$M311)/($J311-$M311-$H311)</f>
        <v>0.1992234049304</v>
      </c>
      <c r="AC311" s="4" t="n">
        <f aca="false">AB311/$Q311</f>
        <v>1.10679669405778</v>
      </c>
      <c r="AD311" s="23" t="n">
        <f aca="false">AB311-$Q311</f>
        <v>0.0192234049304001</v>
      </c>
      <c r="AE311" s="24" t="n">
        <f aca="false">1/AC311</f>
        <v>0.903508300457389</v>
      </c>
      <c r="AF311" s="24" t="n">
        <f aca="false">AB311*(14.068*'Sem TS MC2020'!$P303^-0.457)/$Q311</f>
        <v>1.30786210238512</v>
      </c>
      <c r="AG311" s="24"/>
      <c r="AO311" s="4" t="n">
        <f aca="false">$AP$2*($AP$3+$AP$4*$F311/($N311*'Sem TS MC2020'!P303))*($AP$5*$G311+$AP$6*$B311/$N311)*('Sem TS MC2020'!P303^$AP$7/200000)*($J311-$M311)/($J311-$M311-$H311)+('Sem TS MC2020'!P303-$C311/$AP$8)*($AP$5*$G311+$AP$6*$B311/$N311)/200000</f>
        <v>0.221014356671026</v>
      </c>
      <c r="AP311" s="4" t="n">
        <f aca="false">AO311/$Q311</f>
        <v>1.22785753706125</v>
      </c>
      <c r="AQ311" s="23" t="n">
        <f aca="false">AO311-$Q311</f>
        <v>0.0410143566710259</v>
      </c>
    </row>
    <row r="312" customFormat="false" ht="14.25" hidden="false" customHeight="false" outlineLevel="0" collapsed="false">
      <c r="B312" s="2" t="n">
        <v>22.2</v>
      </c>
      <c r="C312" s="3" t="n">
        <v>276</v>
      </c>
      <c r="D312" s="3" t="n">
        <v>2</v>
      </c>
      <c r="E312" s="2" t="n">
        <v>63.6</v>
      </c>
      <c r="F312" s="4" t="n">
        <v>2.83369179024989</v>
      </c>
      <c r="G312" s="2" t="n">
        <v>38</v>
      </c>
      <c r="H312" s="2" t="n">
        <v>49.1</v>
      </c>
      <c r="I312" s="1" t="n">
        <v>152.4</v>
      </c>
      <c r="J312" s="2" t="n">
        <v>381</v>
      </c>
      <c r="K312" s="3" t="n">
        <v>774</v>
      </c>
      <c r="L312" s="4" t="n">
        <v>24399.24</v>
      </c>
      <c r="M312" s="3" t="n">
        <v>118.804893272016</v>
      </c>
      <c r="N312" s="12" t="n">
        <v>0.0317222995470351</v>
      </c>
      <c r="O312" s="4" t="n">
        <v>58.7559</v>
      </c>
      <c r="P312" s="3" t="n">
        <v>210.83691767683</v>
      </c>
      <c r="Q312" s="4" t="n">
        <v>0.22</v>
      </c>
      <c r="R312" s="13" t="n">
        <f aca="false">P312/200000</f>
        <v>0.00105418458838415</v>
      </c>
      <c r="V312" s="4" t="n">
        <f aca="false">$W$2*($W$3*$G312+$W$4*$B312^$W$5*$N312^$W$6)*$R312^$W$7</f>
        <v>0.253397573862425</v>
      </c>
      <c r="W312" s="4" t="n">
        <f aca="false">V312/$Q312</f>
        <v>1.15180715392011</v>
      </c>
      <c r="Y312" s="4" t="n">
        <f aca="false">$Z$2*$B312^$Z$3*$R312^$Z$4*($Z$5*$N312^$Z$6+$Z$7)</f>
        <v>0.252479535468671</v>
      </c>
      <c r="Z312" s="4" t="n">
        <f aca="false">Y312/$Q312</f>
        <v>1.14763425213032</v>
      </c>
      <c r="AB312" s="4" t="n">
        <f aca="false">$AC$2*($AC$3+$AC$4*$F312/($N312*'Sem TS MC2020'!P304))*($AC$5*$G312+$AC$6*$B312/$N312)*'Sem TS MC2020'!R304*($J312-$M312)/($J312-$M312-$H312)</f>
        <v>0.237212841126772</v>
      </c>
      <c r="AC312" s="4" t="n">
        <f aca="false">AB312/$Q312</f>
        <v>1.07824018693987</v>
      </c>
      <c r="AD312" s="23" t="n">
        <f aca="false">AB312-$Q312</f>
        <v>0.0172128411267718</v>
      </c>
      <c r="AE312" s="24" t="n">
        <f aca="false">1/AC312</f>
        <v>0.927437144443741</v>
      </c>
      <c r="AF312" s="24" t="n">
        <f aca="false">AB312*(14.068*'Sem TS MC2020'!$P304^-0.457)/$Q312</f>
        <v>1.19544232022975</v>
      </c>
      <c r="AG312" s="24"/>
      <c r="AO312" s="4" t="n">
        <f aca="false">$AP$2*($AP$3+$AP$4*$F312/($N312*'Sem TS MC2020'!P304))*($AP$5*$G312+$AP$6*$B312/$N312)*('Sem TS MC2020'!P304^$AP$7/200000)*($J312-$M312)/($J312-$M312-$H312)+('Sem TS MC2020'!P304-$C312/$AP$8)*($AP$5*$G312+$AP$6*$B312/$N312)/200000</f>
        <v>0.258280033527379</v>
      </c>
      <c r="AP312" s="4" t="n">
        <f aca="false">AO312/$Q312</f>
        <v>1.17400015239718</v>
      </c>
      <c r="AQ312" s="23" t="n">
        <f aca="false">AO312-$Q312</f>
        <v>0.0382800335273786</v>
      </c>
    </row>
    <row r="313" customFormat="false" ht="14.25" hidden="false" customHeight="false" outlineLevel="0" collapsed="false">
      <c r="B313" s="2" t="n">
        <v>22.2</v>
      </c>
      <c r="C313" s="3" t="n">
        <v>276</v>
      </c>
      <c r="D313" s="3" t="n">
        <v>2</v>
      </c>
      <c r="E313" s="2" t="n">
        <v>63.6</v>
      </c>
      <c r="F313" s="4" t="n">
        <v>2.83369179024989</v>
      </c>
      <c r="G313" s="2" t="n">
        <v>38</v>
      </c>
      <c r="H313" s="2" t="n">
        <v>49.1</v>
      </c>
      <c r="I313" s="1" t="n">
        <v>152.4</v>
      </c>
      <c r="J313" s="2" t="n">
        <v>381</v>
      </c>
      <c r="K313" s="3" t="n">
        <v>774</v>
      </c>
      <c r="L313" s="4" t="n">
        <v>24399.24</v>
      </c>
      <c r="M313" s="3" t="n">
        <v>118.804893272016</v>
      </c>
      <c r="N313" s="12" t="n">
        <v>0.0317222995470351</v>
      </c>
      <c r="O313" s="4" t="n">
        <v>66.199</v>
      </c>
      <c r="P313" s="3" t="n">
        <v>230.581592187972</v>
      </c>
      <c r="Q313" s="4" t="n">
        <v>0.25</v>
      </c>
      <c r="R313" s="13" t="n">
        <f aca="false">P313/200000</f>
        <v>0.00115290796093986</v>
      </c>
      <c r="V313" s="4" t="n">
        <f aca="false">$W$2*($W$3*$G313+$W$4*$B313^$W$5*$N313^$W$6)*$R313^$W$7</f>
        <v>0.267787415144474</v>
      </c>
      <c r="W313" s="4" t="n">
        <f aca="false">V313/$Q313</f>
        <v>1.0711496605779</v>
      </c>
      <c r="Y313" s="4" t="n">
        <f aca="false">$Z$2*$B313^$Z$3*$R313^$Z$4*($Z$5*$N313^$Z$6+$Z$7)</f>
        <v>0.267080112779004</v>
      </c>
      <c r="Z313" s="4" t="n">
        <f aca="false">Y313/$Q313</f>
        <v>1.06832045111601</v>
      </c>
      <c r="AB313" s="4" t="n">
        <f aca="false">$AC$2*($AC$3+$AC$4*$F313/($N313*'Sem TS MC2020'!P305))*($AC$5*$G313+$AC$6*$B313/$N313)*'Sem TS MC2020'!R305*($J313-$M313)/($J313-$M313-$H313)</f>
        <v>0.255295428200078</v>
      </c>
      <c r="AC313" s="4" t="n">
        <f aca="false">AB313/$Q313</f>
        <v>1.02118171280031</v>
      </c>
      <c r="AD313" s="23" t="n">
        <f aca="false">AB313-$Q313</f>
        <v>0.005295428200078</v>
      </c>
      <c r="AE313" s="24" t="n">
        <f aca="false">1/AC313</f>
        <v>0.97925764578938</v>
      </c>
      <c r="AF313" s="24" t="n">
        <f aca="false">AB313*(14.068*'Sem TS MC2020'!$P305^-0.457)/$Q313</f>
        <v>1.10149824844868</v>
      </c>
      <c r="AG313" s="24"/>
      <c r="AO313" s="4" t="n">
        <f aca="false">$AP$2*($AP$3+$AP$4*$F313/($N313*'Sem TS MC2020'!P305))*($AP$5*$G313+$AP$6*$B313/$N313)*('Sem TS MC2020'!P305^$AP$7/200000)*($J313-$M313)/($J313-$M313-$H313)+('Sem TS MC2020'!P305-$C313/$AP$8)*($AP$5*$G313+$AP$6*$B313/$N313)/200000</f>
        <v>0.275660705101841</v>
      </c>
      <c r="AP313" s="4" t="n">
        <f aca="false">AO313/$Q313</f>
        <v>1.10264282040737</v>
      </c>
      <c r="AQ313" s="23" t="n">
        <f aca="false">AO313-$Q313</f>
        <v>0.0256607051018413</v>
      </c>
    </row>
    <row r="314" customFormat="false" ht="14.25" hidden="false" customHeight="false" outlineLevel="0" collapsed="false">
      <c r="A314" s="1" t="s">
        <v>94</v>
      </c>
      <c r="B314" s="2" t="n">
        <v>22.2</v>
      </c>
      <c r="C314" s="3" t="n">
        <v>276</v>
      </c>
      <c r="D314" s="3" t="n">
        <v>2</v>
      </c>
      <c r="E314" s="2" t="n">
        <v>63.6</v>
      </c>
      <c r="F314" s="4" t="n">
        <v>2.75637342683892</v>
      </c>
      <c r="G314" s="2" t="n">
        <v>38</v>
      </c>
      <c r="H314" s="2" t="n">
        <v>49.1</v>
      </c>
      <c r="I314" s="1" t="n">
        <v>152.4</v>
      </c>
      <c r="J314" s="2" t="n">
        <v>381</v>
      </c>
      <c r="K314" s="3" t="n">
        <v>774</v>
      </c>
      <c r="L314" s="4" t="n">
        <v>24399.24</v>
      </c>
      <c r="M314" s="3" t="n">
        <v>119.448592270941</v>
      </c>
      <c r="N314" s="12" t="n">
        <v>0.0317222995470351</v>
      </c>
      <c r="O314" s="4" t="n">
        <v>43.9383</v>
      </c>
      <c r="P314" s="3" t="n">
        <v>132.243766638631</v>
      </c>
      <c r="Q314" s="4" t="n">
        <v>0.2</v>
      </c>
      <c r="R314" s="13" t="n">
        <f aca="false">P314/200000</f>
        <v>0.000661218833193157</v>
      </c>
      <c r="V314" s="4" t="n">
        <f aca="false">$W$2*($W$3*$G314+$W$4*$B314^$W$5*$N314^$W$6)*$R314^$W$7</f>
        <v>0.19002724371719</v>
      </c>
      <c r="W314" s="4" t="n">
        <f aca="false">V314/$Q314</f>
        <v>0.950136218585951</v>
      </c>
      <c r="Y314" s="4" t="n">
        <f aca="false">$Z$2*$B314^$Z$3*$R314^$Z$4*($Z$5*$N314^$Z$6+$Z$7)</f>
        <v>0.188369815848595</v>
      </c>
      <c r="Z314" s="4" t="n">
        <f aca="false">Y314/$Q314</f>
        <v>0.941849079242976</v>
      </c>
      <c r="AB314" s="4" t="n">
        <f aca="false">$AC$2*($AC$3+$AC$4*$F314/($N314*'Sem TS MC2020'!P306))*($AC$5*$G314+$AC$6*$B314/$N314)*'Sem TS MC2020'!R306*($J314-$M314)/($J314-$M314-$H314)</f>
        <v>0.165363020375408</v>
      </c>
      <c r="AC314" s="4" t="n">
        <f aca="false">AB314/$Q314</f>
        <v>0.82681510187704</v>
      </c>
      <c r="AD314" s="23" t="n">
        <f aca="false">AB314-$Q314</f>
        <v>-0.0346369796245919</v>
      </c>
      <c r="AE314" s="24" t="n">
        <f aca="false">1/AC314</f>
        <v>1.20946025021773</v>
      </c>
      <c r="AF314" s="24" t="n">
        <f aca="false">AB314*(14.068*'Sem TS MC2020'!$P306^-0.457)/$Q314</f>
        <v>1.04653300537634</v>
      </c>
      <c r="AG314" s="24"/>
      <c r="AO314" s="4" t="n">
        <f aca="false">$AP$2*($AP$3+$AP$4*$F314/($N314*'Sem TS MC2020'!P306))*($AP$5*$G314+$AP$6*$B314/$N314)*('Sem TS MC2020'!P306^$AP$7/200000)*($J314-$M314)/($J314-$M314-$H314)+('Sem TS MC2020'!P306-$C314/$AP$8)*($AP$5*$G314+$AP$6*$B314/$N314)/200000</f>
        <v>0.18695878862055</v>
      </c>
      <c r="AP314" s="4" t="n">
        <f aca="false">AO314/$Q314</f>
        <v>0.934793943102749</v>
      </c>
      <c r="AQ314" s="23" t="n">
        <f aca="false">AO314-$Q314</f>
        <v>-0.0130412113794502</v>
      </c>
    </row>
    <row r="315" customFormat="false" ht="14.25" hidden="false" customHeight="false" outlineLevel="0" collapsed="false">
      <c r="B315" s="2" t="n">
        <v>22.2</v>
      </c>
      <c r="C315" s="3" t="n">
        <v>276</v>
      </c>
      <c r="D315" s="3" t="n">
        <v>2</v>
      </c>
      <c r="E315" s="2" t="n">
        <v>63.6</v>
      </c>
      <c r="F315" s="4" t="n">
        <v>2.75637342683892</v>
      </c>
      <c r="G315" s="2" t="n">
        <v>38</v>
      </c>
      <c r="H315" s="2" t="n">
        <v>49.1</v>
      </c>
      <c r="I315" s="1" t="n">
        <v>152.4</v>
      </c>
      <c r="J315" s="2" t="n">
        <v>381</v>
      </c>
      <c r="K315" s="3" t="n">
        <v>774</v>
      </c>
      <c r="L315" s="4" t="n">
        <v>24399.24</v>
      </c>
      <c r="M315" s="3" t="n">
        <v>119.448592270941</v>
      </c>
      <c r="N315" s="12" t="n">
        <v>0.0317222995470351</v>
      </c>
      <c r="O315" s="4" t="n">
        <v>51.107</v>
      </c>
      <c r="P315" s="3" t="n">
        <v>170.969776347295</v>
      </c>
      <c r="Q315" s="4" t="n">
        <v>0.25</v>
      </c>
      <c r="R315" s="13" t="n">
        <f aca="false">P315/200000</f>
        <v>0.000854848881736476</v>
      </c>
      <c r="V315" s="4" t="n">
        <f aca="false">$W$2*($W$3*$G315+$W$4*$B315^$W$5*$N315^$W$6)*$R315^$W$7</f>
        <v>0.222658151461831</v>
      </c>
      <c r="W315" s="4" t="n">
        <f aca="false">V315/$Q315</f>
        <v>0.890632605847322</v>
      </c>
      <c r="Y315" s="4" t="n">
        <f aca="false">$Z$2*$B315^$Z$3*$R315^$Z$4*($Z$5*$N315^$Z$6+$Z$7)</f>
        <v>0.221340572413008</v>
      </c>
      <c r="Z315" s="4" t="n">
        <f aca="false">Y315/$Q315</f>
        <v>0.88536228965203</v>
      </c>
      <c r="AB315" s="4" t="n">
        <f aca="false">$AC$2*($AC$3+$AC$4*$F315/($N315*'Sem TS MC2020'!P307))*($AC$5*$G315+$AC$6*$B315/$N315)*'Sem TS MC2020'!R307*($J315-$M315)/($J315-$M315-$H315)</f>
        <v>0.201013841142553</v>
      </c>
      <c r="AC315" s="4" t="n">
        <f aca="false">AB315/$Q315</f>
        <v>0.804055364570211</v>
      </c>
      <c r="AD315" s="23" t="n">
        <f aca="false">AB315-$Q315</f>
        <v>-0.0489861588574473</v>
      </c>
      <c r="AE315" s="24" t="n">
        <f aca="false">1/AC315</f>
        <v>1.24369545191024</v>
      </c>
      <c r="AF315" s="24" t="n">
        <f aca="false">AB315*(14.068*'Sem TS MC2020'!$P307^-0.457)/$Q315</f>
        <v>0.949804691896087</v>
      </c>
      <c r="AG315" s="24"/>
      <c r="AO315" s="4" t="n">
        <f aca="false">$AP$2*($AP$3+$AP$4*$F315/($N315*'Sem TS MC2020'!P307))*($AP$5*$G315+$AP$6*$B315/$N315)*('Sem TS MC2020'!P307^$AP$7/200000)*($J315-$M315)/($J315-$M315-$H315)+('Sem TS MC2020'!P307-$C315/$AP$8)*($AP$5*$G315+$AP$6*$B315/$N315)/200000</f>
        <v>0.222966672884959</v>
      </c>
      <c r="AP315" s="4" t="n">
        <f aca="false">AO315/$Q315</f>
        <v>0.891866691539836</v>
      </c>
      <c r="AQ315" s="23" t="n">
        <f aca="false">AO315-$Q315</f>
        <v>-0.0270333271150409</v>
      </c>
    </row>
    <row r="316" customFormat="false" ht="14.25" hidden="false" customHeight="false" outlineLevel="0" collapsed="false">
      <c r="B316" s="2" t="n">
        <v>22.2</v>
      </c>
      <c r="C316" s="3" t="n">
        <v>276</v>
      </c>
      <c r="D316" s="3" t="n">
        <v>2</v>
      </c>
      <c r="E316" s="2" t="n">
        <v>63.6</v>
      </c>
      <c r="F316" s="4" t="n">
        <v>2.75637342683892</v>
      </c>
      <c r="G316" s="2" t="n">
        <v>38</v>
      </c>
      <c r="H316" s="2" t="n">
        <v>49.1</v>
      </c>
      <c r="I316" s="1" t="n">
        <v>152.4</v>
      </c>
      <c r="J316" s="2" t="n">
        <v>381</v>
      </c>
      <c r="K316" s="3" t="n">
        <v>774</v>
      </c>
      <c r="L316" s="4" t="n">
        <v>24399.24</v>
      </c>
      <c r="M316" s="3" t="n">
        <v>119.448592270941</v>
      </c>
      <c r="N316" s="12" t="n">
        <v>0.0317222995470351</v>
      </c>
      <c r="O316" s="4" t="n">
        <v>58.7559</v>
      </c>
      <c r="P316" s="3" t="n">
        <v>212.289872830702</v>
      </c>
      <c r="Q316" s="4" t="n">
        <v>0.3</v>
      </c>
      <c r="R316" s="13" t="n">
        <f aca="false">P316/200000</f>
        <v>0.00106144936415351</v>
      </c>
      <c r="V316" s="4" t="n">
        <f aca="false">$W$2*($W$3*$G316+$W$4*$B316^$W$5*$N316^$W$6)*$R316^$W$7</f>
        <v>0.254473596647764</v>
      </c>
      <c r="W316" s="4" t="n">
        <f aca="false">V316/$Q316</f>
        <v>0.848245322159214</v>
      </c>
      <c r="Y316" s="4" t="n">
        <f aca="false">$Z$2*$B316^$Z$3*$R316^$Z$4*($Z$5*$N316^$Z$6+$Z$7)</f>
        <v>0.253570815211746</v>
      </c>
      <c r="Z316" s="4" t="n">
        <f aca="false">Y316/$Q316</f>
        <v>0.84523605070582</v>
      </c>
      <c r="AB316" s="4" t="n">
        <f aca="false">$AC$2*($AC$3+$AC$4*$F316/($N316*'Sem TS MC2020'!P308))*($AC$5*$G316+$AC$6*$B316/$N316)*'Sem TS MC2020'!R308*($J316-$M316)/($J316-$M316-$H316)</f>
        <v>0.239052755166827</v>
      </c>
      <c r="AC316" s="4" t="n">
        <f aca="false">AB316/$Q316</f>
        <v>0.796842517222756</v>
      </c>
      <c r="AD316" s="23" t="n">
        <f aca="false">AB316-$Q316</f>
        <v>-0.0609472448331733</v>
      </c>
      <c r="AE316" s="24" t="n">
        <f aca="false">1/AC316</f>
        <v>1.25495311606277</v>
      </c>
      <c r="AF316" s="24" t="n">
        <f aca="false">AB316*(14.068*'Sem TS MC2020'!$P308^-0.457)/$Q316</f>
        <v>0.88316096487148</v>
      </c>
      <c r="AG316" s="24"/>
      <c r="AO316" s="4" t="n">
        <f aca="false">$AP$2*($AP$3+$AP$4*$F316/($N316*'Sem TS MC2020'!P308))*($AP$5*$G316+$AP$6*$B316/$N316)*('Sem TS MC2020'!P308^$AP$7/200000)*($J316-$M316)/($J316-$M316-$H316)+('Sem TS MC2020'!P308-$C316/$AP$8)*($AP$5*$G316+$AP$6*$B316/$N316)/200000</f>
        <v>0.260233000608209</v>
      </c>
      <c r="AP316" s="4" t="n">
        <f aca="false">AO316/$Q316</f>
        <v>0.867443335360696</v>
      </c>
      <c r="AQ316" s="23" t="n">
        <f aca="false">AO316-$Q316</f>
        <v>-0.0397669993917912</v>
      </c>
    </row>
    <row r="317" customFormat="false" ht="14.25" hidden="false" customHeight="false" outlineLevel="0" collapsed="false">
      <c r="B317" s="2" t="n">
        <v>22.2</v>
      </c>
      <c r="C317" s="3" t="n">
        <v>276</v>
      </c>
      <c r="D317" s="3" t="n">
        <v>2</v>
      </c>
      <c r="E317" s="2" t="n">
        <v>63.6</v>
      </c>
      <c r="F317" s="4" t="n">
        <v>2.75637342683892</v>
      </c>
      <c r="G317" s="2" t="n">
        <v>38</v>
      </c>
      <c r="H317" s="2" t="n">
        <v>49.1</v>
      </c>
      <c r="I317" s="1" t="n">
        <v>152.4</v>
      </c>
      <c r="J317" s="2" t="n">
        <v>381</v>
      </c>
      <c r="K317" s="3" t="n">
        <v>774</v>
      </c>
      <c r="L317" s="4" t="n">
        <v>24399.24</v>
      </c>
      <c r="M317" s="3" t="n">
        <v>119.448592270941</v>
      </c>
      <c r="N317" s="12" t="n">
        <v>0.0317222995470351</v>
      </c>
      <c r="O317" s="4" t="n">
        <v>66.199</v>
      </c>
      <c r="P317" s="3" t="n">
        <v>231.710386616697</v>
      </c>
      <c r="Q317" s="4" t="n">
        <v>0.35</v>
      </c>
      <c r="R317" s="13" t="n">
        <f aca="false">P317/200000</f>
        <v>0.00115855193308349</v>
      </c>
      <c r="V317" s="4" t="n">
        <f aca="false">$W$2*($W$3*$G317+$W$4*$B317^$W$5*$N317^$W$6)*$R317^$W$7</f>
        <v>0.268595504036958</v>
      </c>
      <c r="W317" s="4" t="n">
        <f aca="false">V317/$Q317</f>
        <v>0.767415725819881</v>
      </c>
      <c r="Y317" s="4" t="n">
        <f aca="false">$Z$2*$B317^$Z$3*$R317^$Z$4*($Z$5*$N317^$Z$6+$Z$7)</f>
        <v>0.267900458043429</v>
      </c>
      <c r="Z317" s="4" t="n">
        <f aca="false">Y317/$Q317</f>
        <v>0.765429880124084</v>
      </c>
      <c r="AB317" s="4" t="n">
        <f aca="false">$AC$2*($AC$3+$AC$4*$F317/($N317*'Sem TS MC2020'!P309))*($AC$5*$G317+$AC$6*$B317/$N317)*'Sem TS MC2020'!R309*($J317-$M317)/($J317-$M317-$H317)</f>
        <v>0.256931107762382</v>
      </c>
      <c r="AC317" s="4" t="n">
        <f aca="false">AB317/$Q317</f>
        <v>0.734088879321091</v>
      </c>
      <c r="AD317" s="23" t="n">
        <f aca="false">AB317-$Q317</f>
        <v>-0.0930688922376181</v>
      </c>
      <c r="AE317" s="24" t="n">
        <f aca="false">1/AC317</f>
        <v>1.36223286875675</v>
      </c>
      <c r="AF317" s="24" t="n">
        <f aca="false">AB317*(14.068*'Sem TS MC2020'!$P309^-0.457)/$Q317</f>
        <v>0.791825396638252</v>
      </c>
      <c r="AG317" s="24"/>
      <c r="AO317" s="4" t="n">
        <f aca="false">$AP$2*($AP$3+$AP$4*$F317/($N317*'Sem TS MC2020'!P309))*($AP$5*$G317+$AP$6*$B317/$N317)*('Sem TS MC2020'!P309^$AP$7/200000)*($J317-$M317)/($J317-$M317-$H317)+('Sem TS MC2020'!P309-$C317/$AP$8)*($AP$5*$G317+$AP$6*$B317/$N317)/200000</f>
        <v>0.277398383191841</v>
      </c>
      <c r="AP317" s="4" t="n">
        <f aca="false">AO317/$Q317</f>
        <v>0.792566809119545</v>
      </c>
      <c r="AQ317" s="23" t="n">
        <f aca="false">AO317-$Q317</f>
        <v>-0.0726016168081591</v>
      </c>
    </row>
    <row r="318" customFormat="false" ht="14.25" hidden="false" customHeight="false" outlineLevel="0" collapsed="false">
      <c r="A318" s="1" t="s">
        <v>95</v>
      </c>
      <c r="B318" s="2" t="n">
        <v>28.7</v>
      </c>
      <c r="C318" s="3" t="n">
        <v>276</v>
      </c>
      <c r="D318" s="3" t="n">
        <v>2</v>
      </c>
      <c r="E318" s="2" t="n">
        <v>50.6</v>
      </c>
      <c r="F318" s="4" t="n">
        <v>2.77481740215607</v>
      </c>
      <c r="G318" s="2" t="n">
        <v>22.2</v>
      </c>
      <c r="H318" s="2" t="n">
        <v>36.6</v>
      </c>
      <c r="I318" s="1" t="n">
        <v>152.4</v>
      </c>
      <c r="J318" s="2" t="n">
        <v>381</v>
      </c>
      <c r="K318" s="3" t="n">
        <v>1290</v>
      </c>
      <c r="L318" s="4" t="n">
        <v>19522.44</v>
      </c>
      <c r="M318" s="3" t="n">
        <v>148.014985731185</v>
      </c>
      <c r="N318" s="12" t="n">
        <v>0.0660778058480395</v>
      </c>
      <c r="O318" s="4" t="n">
        <v>89.1114</v>
      </c>
      <c r="P318" s="3" t="n">
        <v>203.543390285314</v>
      </c>
      <c r="Q318" s="4" t="n">
        <v>0.17</v>
      </c>
      <c r="R318" s="13" t="n">
        <f aca="false">P318/200000</f>
        <v>0.00101771695142657</v>
      </c>
      <c r="V318" s="4" t="n">
        <f aca="false">$W$2*($W$3*$G318+$W$4*$B318^$W$5*$N318^$W$6)*$R318^$W$7</f>
        <v>0.217118224994981</v>
      </c>
      <c r="W318" s="4" t="n">
        <f aca="false">V318/$Q318</f>
        <v>1.27716602938224</v>
      </c>
      <c r="Y318" s="4" t="n">
        <f aca="false">$Z$2*$B318^$Z$3*$R318^$Z$4*($Z$5*$N318^$Z$6+$Z$7)</f>
        <v>0.226570323927194</v>
      </c>
      <c r="Z318" s="4" t="n">
        <f aca="false">Y318/$Q318</f>
        <v>1.33276661133644</v>
      </c>
      <c r="AB318" s="4" t="n">
        <f aca="false">$AC$2*($AC$3+$AC$4*$F318/($N318*'Sem TS MC2020'!P310))*($AC$5*$G318+$AC$6*$B318/$N318)*'Sem TS MC2020'!R310*($J318-$M318)/($J318-$M318-$H318)</f>
        <v>0.139741026126834</v>
      </c>
      <c r="AC318" s="4" t="n">
        <f aca="false">AB318/$Q318</f>
        <v>0.822006036040198</v>
      </c>
      <c r="AD318" s="23" t="n">
        <f aca="false">AB318-$Q318</f>
        <v>-0.0302589738731663</v>
      </c>
      <c r="AE318" s="24" t="n">
        <f aca="false">1/AC318</f>
        <v>1.21653607900161</v>
      </c>
      <c r="AF318" s="24" t="n">
        <f aca="false">AB318*(14.068*'Sem TS MC2020'!$P310^-0.457)/$Q318</f>
        <v>0.955603011495589</v>
      </c>
      <c r="AG318" s="24"/>
      <c r="AO318" s="4" t="n">
        <f aca="false">$AP$2*($AP$3+$AP$4*$F318/($N318*'Sem TS MC2020'!P310))*($AP$5*$G318+$AP$6*$B318/$N318)*('Sem TS MC2020'!P310^$AP$7/200000)*($J318-$M318)/($J318-$M318-$H318)+('Sem TS MC2020'!P310-$C318/$AP$8)*($AP$5*$G318+$AP$6*$B318/$N318)/200000</f>
        <v>0.154726863161304</v>
      </c>
      <c r="AP318" s="4" t="n">
        <f aca="false">AO318/$Q318</f>
        <v>0.910158018595904</v>
      </c>
      <c r="AQ318" s="23" t="n">
        <f aca="false">AO318-$Q318</f>
        <v>-0.0152731368386964</v>
      </c>
    </row>
    <row r="319" customFormat="false" ht="14.25" hidden="false" customHeight="false" outlineLevel="0" collapsed="false">
      <c r="B319" s="2" t="n">
        <v>28.7</v>
      </c>
      <c r="C319" s="3" t="n">
        <v>276</v>
      </c>
      <c r="D319" s="3" t="n">
        <v>2</v>
      </c>
      <c r="E319" s="2" t="n">
        <v>50.6</v>
      </c>
      <c r="F319" s="4" t="n">
        <v>2.77481740215607</v>
      </c>
      <c r="G319" s="2" t="n">
        <v>22.2</v>
      </c>
      <c r="H319" s="2" t="n">
        <v>36.6</v>
      </c>
      <c r="I319" s="1" t="n">
        <v>152.4</v>
      </c>
      <c r="J319" s="2" t="n">
        <v>381</v>
      </c>
      <c r="K319" s="3" t="n">
        <v>1290</v>
      </c>
      <c r="L319" s="4" t="n">
        <v>19522.44</v>
      </c>
      <c r="M319" s="3" t="n">
        <v>148.014985731185</v>
      </c>
      <c r="N319" s="12" t="n">
        <v>0.0660778058480395</v>
      </c>
      <c r="O319" s="4" t="n">
        <v>104.615</v>
      </c>
      <c r="P319" s="3" t="n">
        <v>249.4431202379</v>
      </c>
      <c r="Q319" s="4" t="n">
        <v>0.2</v>
      </c>
      <c r="R319" s="13" t="n">
        <f aca="false">P319/200000</f>
        <v>0.0012472156011895</v>
      </c>
      <c r="V319" s="4" t="n">
        <f aca="false">$W$2*($W$3*$G319+$W$4*$B319^$W$5*$N319^$W$6)*$R319^$W$7</f>
        <v>0.246142350001028</v>
      </c>
      <c r="W319" s="4" t="n">
        <f aca="false">V319/$Q319</f>
        <v>1.23071175000514</v>
      </c>
      <c r="Y319" s="4" t="n">
        <f aca="false">$Z$2*$B319^$Z$3*$R319^$Z$4*($Z$5*$N319^$Z$6+$Z$7)</f>
        <v>0.257433195828106</v>
      </c>
      <c r="Z319" s="4" t="n">
        <f aca="false">Y319/$Q319</f>
        <v>1.28716597914053</v>
      </c>
      <c r="AB319" s="4" t="n">
        <f aca="false">$AC$2*($AC$3+$AC$4*$F319/($N319*'Sem TS MC2020'!P311))*($AC$5*$G319+$AC$6*$B319/$N319)*'Sem TS MC2020'!R311*($J319-$M319)/($J319-$M319-$H319)</f>
        <v>0.166682204164478</v>
      </c>
      <c r="AC319" s="4" t="n">
        <f aca="false">AB319/$Q319</f>
        <v>0.833411020822388</v>
      </c>
      <c r="AD319" s="23" t="n">
        <f aca="false">AB319-$Q319</f>
        <v>-0.0333177958355225</v>
      </c>
      <c r="AE319" s="24" t="n">
        <f aca="false">1/AC319</f>
        <v>1.19988814044387</v>
      </c>
      <c r="AF319" s="24" t="n">
        <f aca="false">AB319*(14.068*'Sem TS MC2020'!$P311^-0.457)/$Q319</f>
        <v>0.900382003205465</v>
      </c>
      <c r="AG319" s="24"/>
      <c r="AO319" s="4" t="n">
        <f aca="false">$AP$2*($AP$3+$AP$4*$F319/($N319*'Sem TS MC2020'!P311))*($AP$5*$G319+$AP$6*$B319/$N319)*('Sem TS MC2020'!P311^$AP$7/200000)*($J319-$M319)/($J319-$M319-$H319)+('Sem TS MC2020'!P311-$C319/$AP$8)*($AP$5*$G319+$AP$6*$B319/$N319)/200000</f>
        <v>0.180502259181001</v>
      </c>
      <c r="AP319" s="4" t="n">
        <f aca="false">AO319/$Q319</f>
        <v>0.902511295905006</v>
      </c>
      <c r="AQ319" s="23" t="n">
        <f aca="false">AO319-$Q319</f>
        <v>-0.0194977408189989</v>
      </c>
    </row>
    <row r="320" customFormat="false" ht="14.25" hidden="false" customHeight="false" outlineLevel="0" collapsed="false">
      <c r="A320" s="1" t="s">
        <v>96</v>
      </c>
      <c r="B320" s="2" t="n">
        <v>28.7</v>
      </c>
      <c r="C320" s="3" t="n">
        <v>276</v>
      </c>
      <c r="D320" s="3" t="n">
        <v>2</v>
      </c>
      <c r="E320" s="2" t="n">
        <v>50.6</v>
      </c>
      <c r="F320" s="4" t="n">
        <v>2.80171464705939</v>
      </c>
      <c r="G320" s="2" t="n">
        <v>38.2</v>
      </c>
      <c r="H320" s="2" t="n">
        <v>52.5</v>
      </c>
      <c r="I320" s="1" t="n">
        <v>152.4</v>
      </c>
      <c r="J320" s="2" t="n">
        <v>381</v>
      </c>
      <c r="K320" s="3" t="n">
        <v>1290</v>
      </c>
      <c r="L320" s="4" t="n">
        <v>28003.5</v>
      </c>
      <c r="M320" s="3" t="n">
        <v>143.366253802848</v>
      </c>
      <c r="N320" s="12" t="n">
        <v>0.0460656703626332</v>
      </c>
      <c r="O320" s="4" t="n">
        <v>64.9985</v>
      </c>
      <c r="P320" s="3" t="n">
        <v>131.979351866831</v>
      </c>
      <c r="Q320" s="4" t="n">
        <v>0.17</v>
      </c>
      <c r="R320" s="13" t="n">
        <f aca="false">P320/200000</f>
        <v>0.000659896759334156</v>
      </c>
      <c r="V320" s="4" t="n">
        <f aca="false">$W$2*($W$3*$G320+$W$4*$B320^$W$5*$N320^$W$6)*$R320^$W$7</f>
        <v>0.193053347621714</v>
      </c>
      <c r="W320" s="4" t="n">
        <f aca="false">V320/$Q320</f>
        <v>1.13560792718656</v>
      </c>
      <c r="Y320" s="4" t="n">
        <f aca="false">$Z$2*$B320^$Z$3*$R320^$Z$4*($Z$5*$N320^$Z$6+$Z$7)</f>
        <v>0.195452096469142</v>
      </c>
      <c r="Z320" s="4" t="n">
        <f aca="false">Y320/$Q320</f>
        <v>1.14971821452436</v>
      </c>
      <c r="AB320" s="4" t="n">
        <f aca="false">$AC$2*($AC$3+$AC$4*$F320/($N320*'Sem TS MC2020'!P312))*($AC$5*$G320+$AC$6*$B320/$N320)*'Sem TS MC2020'!R312*($J320-$M320)/($J320-$M320-$H320)</f>
        <v>0.158276820917127</v>
      </c>
      <c r="AC320" s="4" t="n">
        <f aca="false">AB320/$Q320</f>
        <v>0.931040123041925</v>
      </c>
      <c r="AD320" s="23" t="n">
        <f aca="false">AB320-$Q320</f>
        <v>-0.0117231790828728</v>
      </c>
      <c r="AE320" s="24" t="n">
        <f aca="false">1/AC320</f>
        <v>1.07406756728461</v>
      </c>
      <c r="AF320" s="24" t="n">
        <f aca="false">AB320*(14.068*'Sem TS MC2020'!$P312^-0.457)/$Q320</f>
        <v>1.222075863461</v>
      </c>
      <c r="AG320" s="24"/>
      <c r="AO320" s="4" t="n">
        <f aca="false">$AP$2*($AP$3+$AP$4*$F320/($N320*'Sem TS MC2020'!P312))*($AP$5*$G320+$AP$6*$B320/$N320)*('Sem TS MC2020'!P312^$AP$7/200000)*($J320-$M320)/($J320-$M320-$H320)+('Sem TS MC2020'!P312-$C320/$AP$8)*($AP$5*$G320+$AP$6*$B320/$N320)/200000</f>
        <v>0.179652690550453</v>
      </c>
      <c r="AP320" s="4" t="n">
        <f aca="false">AO320/$Q320</f>
        <v>1.05678053264972</v>
      </c>
      <c r="AQ320" s="23" t="n">
        <f aca="false">AO320-$Q320</f>
        <v>0.00965269055045256</v>
      </c>
    </row>
    <row r="321" customFormat="false" ht="14.25" hidden="false" customHeight="false" outlineLevel="0" collapsed="false">
      <c r="B321" s="2" t="n">
        <v>28.7</v>
      </c>
      <c r="C321" s="3" t="n">
        <v>276</v>
      </c>
      <c r="D321" s="3" t="n">
        <v>2</v>
      </c>
      <c r="E321" s="2" t="n">
        <v>50.6</v>
      </c>
      <c r="F321" s="4" t="n">
        <v>2.80171464705939</v>
      </c>
      <c r="G321" s="2" t="n">
        <v>38.2</v>
      </c>
      <c r="H321" s="2" t="n">
        <v>52.5</v>
      </c>
      <c r="I321" s="1" t="n">
        <v>152.4</v>
      </c>
      <c r="J321" s="2" t="n">
        <v>381</v>
      </c>
      <c r="K321" s="3" t="n">
        <v>1290</v>
      </c>
      <c r="L321" s="4" t="n">
        <v>28003.5</v>
      </c>
      <c r="M321" s="3" t="n">
        <v>143.366253802848</v>
      </c>
      <c r="N321" s="12" t="n">
        <v>0.0460656703626332</v>
      </c>
      <c r="O321" s="4" t="n">
        <v>77.0378</v>
      </c>
      <c r="P321" s="3" t="n">
        <v>169.013580919241</v>
      </c>
      <c r="Q321" s="4" t="n">
        <v>0.2</v>
      </c>
      <c r="R321" s="13" t="n">
        <f aca="false">P321/200000</f>
        <v>0.000845067904596202</v>
      </c>
      <c r="V321" s="4" t="n">
        <f aca="false">$W$2*($W$3*$G321+$W$4*$B321^$W$5*$N321^$W$6)*$R321^$W$7</f>
        <v>0.224881002939563</v>
      </c>
      <c r="W321" s="4" t="n">
        <f aca="false">V321/$Q321</f>
        <v>1.12440501469781</v>
      </c>
      <c r="Y321" s="4" t="n">
        <f aca="false">$Z$2*$B321^$Z$3*$R321^$Z$4*($Z$5*$N321^$Z$6+$Z$7)</f>
        <v>0.22829549287567</v>
      </c>
      <c r="Z321" s="4" t="n">
        <f aca="false">Y321/$Q321</f>
        <v>1.14147746437835</v>
      </c>
      <c r="AB321" s="4" t="n">
        <f aca="false">$AC$2*($AC$3+$AC$4*$F321/($N321*'Sem TS MC2020'!P313))*($AC$5*$G321+$AC$6*$B321/$N321)*'Sem TS MC2020'!R313*($J321-$M321)/($J321-$M321-$H321)</f>
        <v>0.194219232188559</v>
      </c>
      <c r="AC321" s="4" t="n">
        <f aca="false">AB321/$Q321</f>
        <v>0.971096160942796</v>
      </c>
      <c r="AD321" s="23" t="n">
        <f aca="false">AB321-$Q321</f>
        <v>-0.00578076781144074</v>
      </c>
      <c r="AE321" s="24" t="n">
        <f aca="false">1/AC321</f>
        <v>1.02976413687924</v>
      </c>
      <c r="AF321" s="24" t="n">
        <f aca="false">AB321*(14.068*'Sem TS MC2020'!$P313^-0.457)/$Q321</f>
        <v>1.17941096460822</v>
      </c>
      <c r="AG321" s="24"/>
      <c r="AO321" s="4" t="n">
        <f aca="false">$AP$2*($AP$3+$AP$4*$F321/($N321*'Sem TS MC2020'!P313))*($AP$5*$G321+$AP$6*$B321/$N321)*('Sem TS MC2020'!P313^$AP$7/200000)*($J321-$M321)/($J321-$M321-$H321)+('Sem TS MC2020'!P313-$C321/$AP$8)*($AP$5*$G321+$AP$6*$B321/$N321)/200000</f>
        <v>0.215676665907051</v>
      </c>
      <c r="AP321" s="4" t="n">
        <f aca="false">AO321/$Q321</f>
        <v>1.07838332953526</v>
      </c>
      <c r="AQ321" s="23" t="n">
        <f aca="false">AO321-$Q321</f>
        <v>0.0156766659070515</v>
      </c>
    </row>
    <row r="322" customFormat="false" ht="14.25" hidden="false" customHeight="false" outlineLevel="0" collapsed="false">
      <c r="B322" s="2" t="n">
        <v>28.7</v>
      </c>
      <c r="C322" s="3" t="n">
        <v>276</v>
      </c>
      <c r="D322" s="3" t="n">
        <v>2</v>
      </c>
      <c r="E322" s="2" t="n">
        <v>50.6</v>
      </c>
      <c r="F322" s="4" t="n">
        <v>2.80171464705939</v>
      </c>
      <c r="G322" s="2" t="n">
        <v>38.2</v>
      </c>
      <c r="H322" s="2" t="n">
        <v>52.5</v>
      </c>
      <c r="I322" s="1" t="n">
        <v>152.4</v>
      </c>
      <c r="J322" s="2" t="n">
        <v>381</v>
      </c>
      <c r="K322" s="3" t="n">
        <v>1290</v>
      </c>
      <c r="L322" s="4" t="n">
        <v>28003.5</v>
      </c>
      <c r="M322" s="3" t="n">
        <v>143.366253802848</v>
      </c>
      <c r="N322" s="12" t="n">
        <v>0.0460656703626332</v>
      </c>
      <c r="O322" s="4" t="n">
        <v>88.8027</v>
      </c>
      <c r="P322" s="3" t="n">
        <v>206.918796245383</v>
      </c>
      <c r="Q322" s="4" t="n">
        <v>0.25</v>
      </c>
      <c r="R322" s="13" t="n">
        <f aca="false">P322/200000</f>
        <v>0.00103459398122692</v>
      </c>
      <c r="V322" s="4" t="n">
        <f aca="false">$W$2*($W$3*$G322+$W$4*$B322^$W$5*$N322^$W$6)*$R322^$W$7</f>
        <v>0.254784911471389</v>
      </c>
      <c r="W322" s="4" t="n">
        <f aca="false">V322/$Q322</f>
        <v>1.01913964588556</v>
      </c>
      <c r="Y322" s="4" t="n">
        <f aca="false">$Z$2*$B322^$Z$3*$R322^$Z$4*($Z$5*$N322^$Z$6+$Z$7)</f>
        <v>0.259229806080513</v>
      </c>
      <c r="Z322" s="4" t="n">
        <f aca="false">Y322/$Q322</f>
        <v>1.03691922432205</v>
      </c>
      <c r="AB322" s="4" t="n">
        <f aca="false">$AC$2*($AC$3+$AC$4*$F322/($N322*'Sem TS MC2020'!P314))*($AC$5*$G322+$AC$6*$B322/$N322)*'Sem TS MC2020'!R314*($J322-$M322)/($J322-$M322-$H322)</f>
        <v>0.229342443203093</v>
      </c>
      <c r="AC322" s="4" t="n">
        <f aca="false">AB322/$Q322</f>
        <v>0.91736977281237</v>
      </c>
      <c r="AD322" s="23" t="n">
        <f aca="false">AB322-$Q322</f>
        <v>-0.0206575567969074</v>
      </c>
      <c r="AE322" s="24" t="n">
        <f aca="false">1/AC322</f>
        <v>1.09007297780731</v>
      </c>
      <c r="AF322" s="24" t="n">
        <f aca="false">AB322*(14.068*'Sem TS MC2020'!$P314^-0.457)/$Q322</f>
        <v>1.04409558520043</v>
      </c>
      <c r="AG322" s="24"/>
      <c r="AO322" s="4" t="n">
        <f aca="false">$AP$2*($AP$3+$AP$4*$F322/($N322*'Sem TS MC2020'!P314))*($AP$5*$G322+$AP$6*$B322/$N322)*('Sem TS MC2020'!P314^$AP$7/200000)*($J322-$M322)/($J322-$M322-$H322)+('Sem TS MC2020'!P314-$C322/$AP$8)*($AP$5*$G322+$AP$6*$B322/$N322)/200000</f>
        <v>0.249799826836955</v>
      </c>
      <c r="AP322" s="4" t="n">
        <f aca="false">AO322/$Q322</f>
        <v>0.99919930734782</v>
      </c>
      <c r="AQ322" s="23" t="n">
        <f aca="false">AO322-$Q322</f>
        <v>-0.000200173163045131</v>
      </c>
    </row>
    <row r="323" customFormat="false" ht="14.25" hidden="false" customHeight="false" outlineLevel="0" collapsed="false">
      <c r="B323" s="2" t="n">
        <v>28.7</v>
      </c>
      <c r="C323" s="3" t="n">
        <v>276</v>
      </c>
      <c r="D323" s="3" t="n">
        <v>2</v>
      </c>
      <c r="E323" s="2" t="n">
        <v>50.6</v>
      </c>
      <c r="F323" s="4" t="n">
        <v>2.80171464705939</v>
      </c>
      <c r="G323" s="2" t="n">
        <v>38.2</v>
      </c>
      <c r="H323" s="2" t="n">
        <v>52.5</v>
      </c>
      <c r="I323" s="1" t="n">
        <v>152.4</v>
      </c>
      <c r="J323" s="2" t="n">
        <v>381</v>
      </c>
      <c r="K323" s="3" t="n">
        <v>1290</v>
      </c>
      <c r="L323" s="4" t="n">
        <v>28003.5</v>
      </c>
      <c r="M323" s="3" t="n">
        <v>143.366253802848</v>
      </c>
      <c r="N323" s="12" t="n">
        <v>0.0460656703626332</v>
      </c>
      <c r="O323" s="4" t="n">
        <v>104.615</v>
      </c>
      <c r="P323" s="3" t="n">
        <v>242.58289538577</v>
      </c>
      <c r="Q323" s="4" t="n">
        <v>0.29</v>
      </c>
      <c r="R323" s="13" t="n">
        <f aca="false">P323/200000</f>
        <v>0.00121291447692885</v>
      </c>
      <c r="V323" s="4" t="n">
        <f aca="false">$W$2*($W$3*$G323+$W$4*$B323^$W$5*$N323^$W$6)*$R323^$W$7</f>
        <v>0.281050180426813</v>
      </c>
      <c r="W323" s="4" t="n">
        <f aca="false">V323/$Q323</f>
        <v>0.969138553195907</v>
      </c>
      <c r="Y323" s="4" t="n">
        <f aca="false">$Z$2*$B323^$Z$3*$R323^$Z$4*($Z$5*$N323^$Z$6+$Z$7)</f>
        <v>0.286453914050984</v>
      </c>
      <c r="Z323" s="4" t="n">
        <f aca="false">Y323/$Q323</f>
        <v>0.987772117417185</v>
      </c>
      <c r="AB323" s="4" t="n">
        <f aca="false">$AC$2*($AC$3+$AC$4*$F323/($N323*'Sem TS MC2020'!P315))*($AC$5*$G323+$AC$6*$B323/$N323)*'Sem TS MC2020'!R315*($J323-$M323)/($J323-$M323-$H323)</f>
        <v>0.262389021859173</v>
      </c>
      <c r="AC323" s="4" t="n">
        <f aca="false">AB323/$Q323</f>
        <v>0.904789730548874</v>
      </c>
      <c r="AD323" s="23" t="n">
        <f aca="false">AB323-$Q323</f>
        <v>-0.0276109781408266</v>
      </c>
      <c r="AE323" s="24" t="n">
        <f aca="false">1/AC323</f>
        <v>1.10522916677378</v>
      </c>
      <c r="AF323" s="24" t="n">
        <f aca="false">AB323*(14.068*'Sem TS MC2020'!$P315^-0.457)/$Q323</f>
        <v>0.975951969097613</v>
      </c>
      <c r="AG323" s="24"/>
      <c r="AO323" s="4" t="n">
        <f aca="false">$AP$2*($AP$3+$AP$4*$F323/($N323*'Sem TS MC2020'!P315))*($AP$5*$G323+$AP$6*$B323/$N323)*('Sem TS MC2020'!P315^$AP$7/200000)*($J323-$M323)/($J323-$M323-$H323)+('Sem TS MC2020'!P315-$C323/$AP$8)*($AP$5*$G323+$AP$6*$B323/$N323)/200000</f>
        <v>0.281101959075313</v>
      </c>
      <c r="AP323" s="4" t="n">
        <f aca="false">AO323/$Q323</f>
        <v>0.969317100259702</v>
      </c>
      <c r="AQ323" s="23" t="n">
        <f aca="false">AO323-$Q323</f>
        <v>-0.00889804092468655</v>
      </c>
    </row>
    <row r="324" customFormat="false" ht="14.25" hidden="false" customHeight="false" outlineLevel="0" collapsed="false">
      <c r="A324" s="1" t="s">
        <v>97</v>
      </c>
      <c r="B324" s="2" t="n">
        <v>28.7</v>
      </c>
      <c r="C324" s="3" t="n">
        <v>276</v>
      </c>
      <c r="D324" s="3" t="n">
        <v>2</v>
      </c>
      <c r="E324" s="2" t="n">
        <v>50.6</v>
      </c>
      <c r="F324" s="4" t="n">
        <v>2.71531164579845</v>
      </c>
      <c r="G324" s="2" t="n">
        <v>38.2</v>
      </c>
      <c r="H324" s="2" t="n">
        <v>52.5</v>
      </c>
      <c r="I324" s="1" t="n">
        <v>152.4</v>
      </c>
      <c r="J324" s="2" t="n">
        <v>381</v>
      </c>
      <c r="K324" s="3" t="n">
        <v>1290</v>
      </c>
      <c r="L324" s="4" t="n">
        <v>28003.5</v>
      </c>
      <c r="M324" s="3" t="n">
        <v>144.176756028631</v>
      </c>
      <c r="N324" s="12" t="n">
        <v>0.0460656703626332</v>
      </c>
      <c r="O324" s="4" t="n">
        <v>77.0378</v>
      </c>
      <c r="P324" s="3" t="n">
        <v>170.44511898843</v>
      </c>
      <c r="Q324" s="4" t="n">
        <v>0.17</v>
      </c>
      <c r="R324" s="13" t="n">
        <f aca="false">P324/200000</f>
        <v>0.000852225594942151</v>
      </c>
      <c r="V324" s="4" t="n">
        <f aca="false">$W$2*($W$3*$G324+$W$4*$B324^$W$5*$N324^$W$6)*$R324^$W$7</f>
        <v>0.22605432429934</v>
      </c>
      <c r="W324" s="4" t="n">
        <f aca="false">V324/$Q324</f>
        <v>1.32973131940788</v>
      </c>
      <c r="Y324" s="4" t="n">
        <f aca="false">$Z$2*$B324^$Z$3*$R324^$Z$4*($Z$5*$N324^$Z$6+$Z$7)</f>
        <v>0.229507921520722</v>
      </c>
      <c r="Z324" s="4" t="n">
        <f aca="false">Y324/$Q324</f>
        <v>1.35004659718072</v>
      </c>
      <c r="AB324" s="4" t="n">
        <f aca="false">$AC$2*($AC$3+$AC$4*$F324/($N324*'Sem TS MC2020'!P316))*($AC$5*$G324+$AC$6*$B324/$N324)*'Sem TS MC2020'!R316*($J324-$M324)/($J324-$M324-$H324)</f>
        <v>0.195733921547322</v>
      </c>
      <c r="AC324" s="4" t="n">
        <f aca="false">AB324/$Q324</f>
        <v>1.15137600910189</v>
      </c>
      <c r="AD324" s="23" t="n">
        <f aca="false">AB324-$Q324</f>
        <v>0.0257339215473218</v>
      </c>
      <c r="AE324" s="24" t="n">
        <f aca="false">1/AC324</f>
        <v>0.86852600027686</v>
      </c>
      <c r="AF324" s="24" t="n">
        <f aca="false">AB324*(14.068*'Sem TS MC2020'!$P316^-0.457)/$Q324</f>
        <v>1.39774835554404</v>
      </c>
      <c r="AG324" s="24"/>
      <c r="AO324" s="4" t="n">
        <f aca="false">$AP$2*($AP$3+$AP$4*$F324/($N324*'Sem TS MC2020'!P316))*($AP$5*$G324+$AP$6*$B324/$N324)*('Sem TS MC2020'!P316^$AP$7/200000)*($J324-$M324)/($J324-$M324-$H324)+('Sem TS MC2020'!P316-$C324/$AP$8)*($AP$5*$G324+$AP$6*$B324/$N324)/200000</f>
        <v>0.217324550875495</v>
      </c>
      <c r="AP324" s="4" t="n">
        <f aca="false">AO324/$Q324</f>
        <v>1.27837971103232</v>
      </c>
      <c r="AQ324" s="23" t="n">
        <f aca="false">AO324-$Q324</f>
        <v>0.0473245508754948</v>
      </c>
    </row>
    <row r="325" customFormat="false" ht="14.25" hidden="false" customHeight="false" outlineLevel="0" collapsed="false">
      <c r="A325" s="1" t="s">
        <v>98</v>
      </c>
      <c r="B325" s="2" t="n">
        <v>28.7</v>
      </c>
      <c r="C325" s="3" t="n">
        <v>276</v>
      </c>
      <c r="D325" s="3" t="n">
        <v>2</v>
      </c>
      <c r="E325" s="2" t="n">
        <v>50.6</v>
      </c>
      <c r="F325" s="4" t="n">
        <v>2.80171464705939</v>
      </c>
      <c r="G325" s="2" t="n">
        <v>38.2</v>
      </c>
      <c r="H325" s="2" t="n">
        <v>52.5</v>
      </c>
      <c r="I325" s="1" t="n">
        <v>152.4</v>
      </c>
      <c r="J325" s="2" t="n">
        <v>381</v>
      </c>
      <c r="K325" s="3" t="n">
        <v>1290</v>
      </c>
      <c r="L325" s="4" t="n">
        <v>28003.5</v>
      </c>
      <c r="M325" s="3" t="n">
        <v>143.366253802848</v>
      </c>
      <c r="N325" s="12" t="n">
        <v>0.0460656703626332</v>
      </c>
      <c r="O325" s="4" t="n">
        <v>64.9985</v>
      </c>
      <c r="P325" s="3" t="n">
        <v>131.979351866831</v>
      </c>
      <c r="Q325" s="4" t="n">
        <v>0.15</v>
      </c>
      <c r="R325" s="13" t="n">
        <f aca="false">P325/200000</f>
        <v>0.000659896759334156</v>
      </c>
      <c r="V325" s="4" t="n">
        <f aca="false">$W$2*($W$3*$G325+$W$4*$B325^$W$5*$N325^$W$6)*$R325^$W$7</f>
        <v>0.193053347621714</v>
      </c>
      <c r="W325" s="4" t="n">
        <f aca="false">V325/$Q325</f>
        <v>1.2870223174781</v>
      </c>
      <c r="Y325" s="4" t="n">
        <f aca="false">$Z$2*$B325^$Z$3*$R325^$Z$4*($Z$5*$N325^$Z$6+$Z$7)</f>
        <v>0.195452096469142</v>
      </c>
      <c r="Z325" s="4" t="n">
        <f aca="false">Y325/$Q325</f>
        <v>1.30301397646095</v>
      </c>
      <c r="AB325" s="4" t="n">
        <f aca="false">$AC$2*($AC$3+$AC$4*$F325/($N325*'Sem TS MC2020'!P317))*($AC$5*$G325+$AC$6*$B325/$N325)*'Sem TS MC2020'!R317*($J325-$M325)/($J325-$M325-$H325)</f>
        <v>0.158276820917127</v>
      </c>
      <c r="AC325" s="4" t="n">
        <f aca="false">AB325/$Q325</f>
        <v>1.05517880611418</v>
      </c>
      <c r="AD325" s="23" t="n">
        <f aca="false">AB325-$Q325</f>
        <v>0.00827682091712723</v>
      </c>
      <c r="AE325" s="24" t="n">
        <f aca="false">1/AC325</f>
        <v>0.947706677015828</v>
      </c>
      <c r="AF325" s="24" t="n">
        <f aca="false">AB325*(14.068*'Sem TS MC2020'!$P317^-0.457)/$Q325</f>
        <v>1.38501931192247</v>
      </c>
      <c r="AG325" s="24"/>
      <c r="AO325" s="4" t="n">
        <f aca="false">$AP$2*($AP$3+$AP$4*$F325/($N325*'Sem TS MC2020'!P317))*($AP$5*$G325+$AP$6*$B325/$N325)*('Sem TS MC2020'!P317^$AP$7/200000)*($J325-$M325)/($J325-$M325-$H325)+('Sem TS MC2020'!P317-$C325/$AP$8)*($AP$5*$G325+$AP$6*$B325/$N325)/200000</f>
        <v>0.179652690550453</v>
      </c>
      <c r="AP325" s="4" t="n">
        <f aca="false">AO325/$Q325</f>
        <v>1.19768460366968</v>
      </c>
      <c r="AQ325" s="23" t="n">
        <f aca="false">AO325-$Q325</f>
        <v>0.0296526905504526</v>
      </c>
    </row>
    <row r="326" customFormat="false" ht="14.25" hidden="false" customHeight="false" outlineLevel="0" collapsed="false">
      <c r="B326" s="2" t="n">
        <v>28.7</v>
      </c>
      <c r="C326" s="3" t="n">
        <v>276</v>
      </c>
      <c r="D326" s="3" t="n">
        <v>2</v>
      </c>
      <c r="E326" s="2" t="n">
        <v>50.6</v>
      </c>
      <c r="F326" s="4" t="n">
        <v>2.80171464705939</v>
      </c>
      <c r="G326" s="2" t="n">
        <v>38.2</v>
      </c>
      <c r="H326" s="2" t="n">
        <v>52.5</v>
      </c>
      <c r="I326" s="1" t="n">
        <v>152.4</v>
      </c>
      <c r="J326" s="2" t="n">
        <v>381</v>
      </c>
      <c r="K326" s="3" t="n">
        <v>1290</v>
      </c>
      <c r="L326" s="4" t="n">
        <v>28003.5</v>
      </c>
      <c r="M326" s="3" t="n">
        <v>143.366253802848</v>
      </c>
      <c r="N326" s="12" t="n">
        <v>0.0460656703626332</v>
      </c>
      <c r="O326" s="4" t="n">
        <v>77.0378</v>
      </c>
      <c r="P326" s="3" t="n">
        <v>169.013580919241</v>
      </c>
      <c r="Q326" s="4" t="n">
        <v>0.16</v>
      </c>
      <c r="R326" s="13" t="n">
        <f aca="false">P326/200000</f>
        <v>0.000845067904596202</v>
      </c>
      <c r="V326" s="4" t="n">
        <f aca="false">$W$2*($W$3*$G326+$W$4*$B326^$W$5*$N326^$W$6)*$R326^$W$7</f>
        <v>0.224881002939563</v>
      </c>
      <c r="W326" s="4" t="n">
        <f aca="false">V326/$Q326</f>
        <v>1.40550626837227</v>
      </c>
      <c r="Y326" s="4" t="n">
        <f aca="false">$Z$2*$B326^$Z$3*$R326^$Z$4*($Z$5*$N326^$Z$6+$Z$7)</f>
        <v>0.22829549287567</v>
      </c>
      <c r="Z326" s="4" t="n">
        <f aca="false">Y326/$Q326</f>
        <v>1.42684683047294</v>
      </c>
      <c r="AB326" s="4" t="n">
        <f aca="false">$AC$2*($AC$3+$AC$4*$F326/($N326*'Sem TS MC2020'!P318))*($AC$5*$G326+$AC$6*$B326/$N326)*'Sem TS MC2020'!R318*($J326-$M326)/($J326-$M326-$H326)</f>
        <v>0.194219232188559</v>
      </c>
      <c r="AC326" s="4" t="n">
        <f aca="false">AB326/$Q326</f>
        <v>1.2138702011785</v>
      </c>
      <c r="AD326" s="23" t="n">
        <f aca="false">AB326-$Q326</f>
        <v>0.0342192321885593</v>
      </c>
      <c r="AE326" s="24" t="n">
        <f aca="false">1/AC326</f>
        <v>0.82381130950339</v>
      </c>
      <c r="AF326" s="24" t="n">
        <f aca="false">AB326*(14.068*'Sem TS MC2020'!$P318^-0.457)/$Q326</f>
        <v>1.47426370576028</v>
      </c>
      <c r="AG326" s="24"/>
      <c r="AO326" s="4" t="n">
        <f aca="false">$AP$2*($AP$3+$AP$4*$F326/($N326*'Sem TS MC2020'!P318))*($AP$5*$G326+$AP$6*$B326/$N326)*('Sem TS MC2020'!P318^$AP$7/200000)*($J326-$M326)/($J326-$M326-$H326)+('Sem TS MC2020'!P318-$C326/$AP$8)*($AP$5*$G326+$AP$6*$B326/$N326)/200000</f>
        <v>0.215676665907051</v>
      </c>
      <c r="AP326" s="4" t="n">
        <f aca="false">AO326/$Q326</f>
        <v>1.34797916191907</v>
      </c>
      <c r="AQ326" s="23" t="n">
        <f aca="false">AO326-$Q326</f>
        <v>0.0556766659070515</v>
      </c>
    </row>
    <row r="327" customFormat="false" ht="14.25" hidden="false" customHeight="false" outlineLevel="0" collapsed="false">
      <c r="B327" s="2" t="n">
        <v>28.7</v>
      </c>
      <c r="C327" s="3" t="n">
        <v>276</v>
      </c>
      <c r="D327" s="3" t="n">
        <v>2</v>
      </c>
      <c r="E327" s="2" t="n">
        <v>50.6</v>
      </c>
      <c r="F327" s="4" t="n">
        <v>2.80171464705939</v>
      </c>
      <c r="G327" s="2" t="n">
        <v>38.2</v>
      </c>
      <c r="H327" s="2" t="n">
        <v>52.5</v>
      </c>
      <c r="I327" s="1" t="n">
        <v>152.4</v>
      </c>
      <c r="J327" s="2" t="n">
        <v>381</v>
      </c>
      <c r="K327" s="3" t="n">
        <v>1290</v>
      </c>
      <c r="L327" s="4" t="n">
        <v>28003.5</v>
      </c>
      <c r="M327" s="3" t="n">
        <v>143.366253802848</v>
      </c>
      <c r="N327" s="12" t="n">
        <v>0.0460656703626332</v>
      </c>
      <c r="O327" s="4" t="n">
        <v>88.8027</v>
      </c>
      <c r="P327" s="3" t="n">
        <v>206.918796245383</v>
      </c>
      <c r="Q327" s="4" t="n">
        <v>0.22</v>
      </c>
      <c r="R327" s="13" t="n">
        <f aca="false">P327/200000</f>
        <v>0.00103459398122692</v>
      </c>
      <c r="V327" s="4" t="n">
        <f aca="false">$W$2*($W$3*$G327+$W$4*$B327^$W$5*$N327^$W$6)*$R327^$W$7</f>
        <v>0.254784911471389</v>
      </c>
      <c r="W327" s="4" t="n">
        <f aca="false">V327/$Q327</f>
        <v>1.15811323396086</v>
      </c>
      <c r="Y327" s="4" t="n">
        <f aca="false">$Z$2*$B327^$Z$3*$R327^$Z$4*($Z$5*$N327^$Z$6+$Z$7)</f>
        <v>0.259229806080513</v>
      </c>
      <c r="Z327" s="4" t="n">
        <f aca="false">Y327/$Q327</f>
        <v>1.17831730036597</v>
      </c>
      <c r="AB327" s="4" t="n">
        <f aca="false">$AC$2*($AC$3+$AC$4*$F327/($N327*'Sem TS MC2020'!P319))*($AC$5*$G327+$AC$6*$B327/$N327)*'Sem TS MC2020'!R319*($J327-$M327)/($J327-$M327-$H327)</f>
        <v>0.229342443203093</v>
      </c>
      <c r="AC327" s="4" t="n">
        <f aca="false">AB327/$Q327</f>
        <v>1.04246565092315</v>
      </c>
      <c r="AD327" s="23" t="n">
        <f aca="false">AB327-$Q327</f>
        <v>0.0093424432030926</v>
      </c>
      <c r="AE327" s="24" t="n">
        <f aca="false">1/AC327</f>
        <v>0.959264220470437</v>
      </c>
      <c r="AF327" s="24" t="n">
        <f aca="false">AB327*(14.068*'Sem TS MC2020'!$P319^-0.457)/$Q327</f>
        <v>1.18647225590958</v>
      </c>
      <c r="AG327" s="24"/>
      <c r="AO327" s="4" t="n">
        <f aca="false">$AP$2*($AP$3+$AP$4*$F327/($N327*'Sem TS MC2020'!P319))*($AP$5*$G327+$AP$6*$B327/$N327)*('Sem TS MC2020'!P319^$AP$7/200000)*($J327-$M327)/($J327-$M327-$H327)+('Sem TS MC2020'!P319-$C327/$AP$8)*($AP$5*$G327+$AP$6*$B327/$N327)/200000</f>
        <v>0.249799826836955</v>
      </c>
      <c r="AP327" s="4" t="n">
        <f aca="false">AO327/$Q327</f>
        <v>1.13545375834979</v>
      </c>
      <c r="AQ327" s="23" t="n">
        <f aca="false">AO327-$Q327</f>
        <v>0.0297998268369549</v>
      </c>
    </row>
    <row r="328" customFormat="false" ht="14.25" hidden="false" customHeight="false" outlineLevel="0" collapsed="false">
      <c r="B328" s="2" t="n">
        <v>28.7</v>
      </c>
      <c r="C328" s="3" t="n">
        <v>276</v>
      </c>
      <c r="D328" s="3" t="n">
        <v>2</v>
      </c>
      <c r="E328" s="2" t="n">
        <v>50.6</v>
      </c>
      <c r="F328" s="4" t="n">
        <v>2.80171464705939</v>
      </c>
      <c r="G328" s="2" t="n">
        <v>38.2</v>
      </c>
      <c r="H328" s="2" t="n">
        <v>52.5</v>
      </c>
      <c r="I328" s="1" t="n">
        <v>152.4</v>
      </c>
      <c r="J328" s="2" t="n">
        <v>381</v>
      </c>
      <c r="K328" s="3" t="n">
        <v>1290</v>
      </c>
      <c r="L328" s="4" t="n">
        <v>28003.5</v>
      </c>
      <c r="M328" s="3" t="n">
        <v>143.366253802848</v>
      </c>
      <c r="N328" s="12" t="n">
        <v>0.0460656703626332</v>
      </c>
      <c r="O328" s="4" t="n">
        <v>104.615</v>
      </c>
      <c r="P328" s="3" t="n">
        <v>242.58289538577</v>
      </c>
      <c r="Q328" s="4" t="n">
        <v>0.26</v>
      </c>
      <c r="R328" s="13" t="n">
        <f aca="false">P328/200000</f>
        <v>0.00121291447692885</v>
      </c>
      <c r="V328" s="4" t="n">
        <f aca="false">$W$2*($W$3*$G328+$W$4*$B328^$W$5*$N328^$W$6)*$R328^$W$7</f>
        <v>0.281050180426813</v>
      </c>
      <c r="W328" s="4" t="n">
        <f aca="false">V328/$Q328</f>
        <v>1.08096223241082</v>
      </c>
      <c r="Y328" s="4" t="n">
        <f aca="false">$Z$2*$B328^$Z$3*$R328^$Z$4*($Z$5*$N328^$Z$6+$Z$7)</f>
        <v>0.286453914050984</v>
      </c>
      <c r="Z328" s="4" t="n">
        <f aca="false">Y328/$Q328</f>
        <v>1.10174582327301</v>
      </c>
      <c r="AB328" s="4" t="n">
        <f aca="false">$AC$2*($AC$3+$AC$4*$F328/($N328*'Sem TS MC2020'!P320))*($AC$5*$G328+$AC$6*$B328/$N328)*'Sem TS MC2020'!R320*($J328-$M328)/($J328-$M328-$H328)</f>
        <v>0.262389021859173</v>
      </c>
      <c r="AC328" s="4" t="n">
        <f aca="false">AB328/$Q328</f>
        <v>1.00918854561221</v>
      </c>
      <c r="AD328" s="23" t="n">
        <f aca="false">AB328-$Q328</f>
        <v>0.00238902185917333</v>
      </c>
      <c r="AE328" s="24" t="n">
        <f aca="false">1/AC328</f>
        <v>0.990895115038557</v>
      </c>
      <c r="AF328" s="24" t="n">
        <f aca="false">AB328*(14.068*'Sem TS MC2020'!$P320^-0.457)/$Q328</f>
        <v>1.0885618116858</v>
      </c>
      <c r="AG328" s="24"/>
      <c r="AO328" s="4" t="n">
        <f aca="false">$AP$2*($AP$3+$AP$4*$F328/($N328*'Sem TS MC2020'!P320))*($AP$5*$G328+$AP$6*$B328/$N328)*('Sem TS MC2020'!P320^$AP$7/200000)*($J328-$M328)/($J328-$M328-$H328)+('Sem TS MC2020'!P320-$C328/$AP$8)*($AP$5*$G328+$AP$6*$B328/$N328)/200000</f>
        <v>0.281101959075313</v>
      </c>
      <c r="AP328" s="4" t="n">
        <f aca="false">AO328/$Q328</f>
        <v>1.0811613810589</v>
      </c>
      <c r="AQ328" s="23" t="n">
        <f aca="false">AO328-$Q328</f>
        <v>0.0211019590753134</v>
      </c>
    </row>
    <row r="329" customFormat="false" ht="14.25" hidden="false" customHeight="false" outlineLevel="0" collapsed="false">
      <c r="A329" s="1" t="s">
        <v>99</v>
      </c>
      <c r="B329" s="2" t="n">
        <v>28.7</v>
      </c>
      <c r="C329" s="3" t="n">
        <v>276</v>
      </c>
      <c r="D329" s="3" t="n">
        <v>2</v>
      </c>
      <c r="E329" s="2" t="n">
        <v>50.6</v>
      </c>
      <c r="F329" s="4" t="n">
        <v>2.52444806810338</v>
      </c>
      <c r="G329" s="2" t="n">
        <v>38.2</v>
      </c>
      <c r="H329" s="2" t="n">
        <v>52.5</v>
      </c>
      <c r="I329" s="1" t="n">
        <v>152.4</v>
      </c>
      <c r="J329" s="2" t="n">
        <v>381</v>
      </c>
      <c r="K329" s="3" t="n">
        <v>1290</v>
      </c>
      <c r="L329" s="4" t="n">
        <v>28003.5</v>
      </c>
      <c r="M329" s="3" t="n">
        <v>146.0713467674</v>
      </c>
      <c r="N329" s="12" t="n">
        <v>0.0460656703626332</v>
      </c>
      <c r="O329" s="4" t="n">
        <v>77.0378</v>
      </c>
      <c r="P329" s="3" t="n">
        <v>173.642021432502</v>
      </c>
      <c r="Q329" s="4" t="n">
        <v>0.17</v>
      </c>
      <c r="R329" s="13" t="n">
        <f aca="false">P329/200000</f>
        <v>0.000868210107162509</v>
      </c>
      <c r="V329" s="4" t="n">
        <f aca="false">$W$2*($W$3*$G329+$W$4*$B329^$W$5*$N329^$W$6)*$R329^$W$7</f>
        <v>0.228661038829003</v>
      </c>
      <c r="W329" s="4" t="n">
        <f aca="false">V329/$Q329</f>
        <v>1.34506493428825</v>
      </c>
      <c r="Y329" s="4" t="n">
        <f aca="false">$Z$2*$B329^$Z$3*$R329^$Z$4*($Z$5*$N329^$Z$6+$Z$7)</f>
        <v>0.232201919620443</v>
      </c>
      <c r="Z329" s="4" t="n">
        <f aca="false">Y329/$Q329</f>
        <v>1.36589364482613</v>
      </c>
      <c r="AB329" s="4" t="n">
        <f aca="false">$AC$2*($AC$3+$AC$4*$F329/($N329*'Sem TS MC2020'!P321))*($AC$5*$G329+$AC$6*$B329/$N329)*'Sem TS MC2020'!R321*($J329-$M329)/($J329-$M329-$H329)</f>
        <v>0.199150703387494</v>
      </c>
      <c r="AC329" s="4" t="n">
        <f aca="false">AB329/$Q329</f>
        <v>1.17147472580879</v>
      </c>
      <c r="AD329" s="23" t="n">
        <f aca="false">AB329-$Q329</f>
        <v>0.0291507033874944</v>
      </c>
      <c r="AE329" s="24" t="n">
        <f aca="false">1/AC329</f>
        <v>0.853624903695294</v>
      </c>
      <c r="AF329" s="24" t="n">
        <f aca="false">AB329*(14.068*'Sem TS MC2020'!$P321^-0.457)/$Q329</f>
        <v>1.42068334577605</v>
      </c>
      <c r="AG329" s="24"/>
      <c r="AO329" s="4" t="n">
        <f aca="false">$AP$2*($AP$3+$AP$4*$F329/($N329*'Sem TS MC2020'!P321))*($AP$5*$G329+$AP$6*$B329/$N329)*('Sem TS MC2020'!P321^$AP$7/200000)*($J329-$M329)/($J329-$M329-$H329)+('Sem TS MC2020'!P321-$C329/$AP$8)*($AP$5*$G329+$AP$6*$B329/$N329)/200000</f>
        <v>0.221036726143124</v>
      </c>
      <c r="AP329" s="4" t="n">
        <f aca="false">AO329/$Q329</f>
        <v>1.30021603613602</v>
      </c>
      <c r="AQ329" s="23" t="n">
        <f aca="false">AO329-$Q329</f>
        <v>0.051036726143124</v>
      </c>
    </row>
    <row r="330" customFormat="false" ht="14.25" hidden="false" customHeight="false" outlineLevel="0" collapsed="false">
      <c r="B330" s="2" t="n">
        <v>28.7</v>
      </c>
      <c r="C330" s="3" t="n">
        <v>276</v>
      </c>
      <c r="D330" s="3" t="n">
        <v>2</v>
      </c>
      <c r="E330" s="2" t="n">
        <v>50.6</v>
      </c>
      <c r="F330" s="4" t="n">
        <v>2.52444806810338</v>
      </c>
      <c r="G330" s="2" t="n">
        <v>38.2</v>
      </c>
      <c r="H330" s="2" t="n">
        <v>52.5</v>
      </c>
      <c r="I330" s="1" t="n">
        <v>152.4</v>
      </c>
      <c r="J330" s="2" t="n">
        <v>381</v>
      </c>
      <c r="K330" s="3" t="n">
        <v>1290</v>
      </c>
      <c r="L330" s="4" t="n">
        <v>28003.5</v>
      </c>
      <c r="M330" s="3" t="n">
        <v>146.0713467674</v>
      </c>
      <c r="N330" s="12" t="n">
        <v>0.0460656703626332</v>
      </c>
      <c r="O330" s="4" t="n">
        <v>88.8027</v>
      </c>
      <c r="P330" s="3" t="n">
        <v>211.192425244779</v>
      </c>
      <c r="Q330" s="4" t="n">
        <v>0.2</v>
      </c>
      <c r="R330" s="13" t="n">
        <f aca="false">P330/200000</f>
        <v>0.0010559621262239</v>
      </c>
      <c r="V330" s="4" t="n">
        <f aca="false">$W$2*($W$3*$G330+$W$4*$B330^$W$5*$N330^$W$6)*$R330^$W$7</f>
        <v>0.258018992133688</v>
      </c>
      <c r="W330" s="4" t="n">
        <f aca="false">V330/$Q330</f>
        <v>1.29009496066844</v>
      </c>
      <c r="Y330" s="4" t="n">
        <f aca="false">$Z$2*$B330^$Z$3*$R330^$Z$4*($Z$5*$N330^$Z$6+$Z$7)</f>
        <v>0.262579348574086</v>
      </c>
      <c r="Z330" s="4" t="n">
        <f aca="false">Y330/$Q330</f>
        <v>1.31289674287043</v>
      </c>
      <c r="AB330" s="4" t="n">
        <f aca="false">$AC$2*($AC$3+$AC$4*$F330/($N330*'Sem TS MC2020'!P322))*($AC$5*$G330+$AC$6*$B330/$N330)*'Sem TS MC2020'!R322*($J330-$M330)/($J330-$M330-$H330)</f>
        <v>0.234502533867511</v>
      </c>
      <c r="AC330" s="4" t="n">
        <f aca="false">AB330/$Q330</f>
        <v>1.17251266933756</v>
      </c>
      <c r="AD330" s="23" t="n">
        <f aca="false">AB330-$Q330</f>
        <v>0.0345025338675113</v>
      </c>
      <c r="AE330" s="24" t="n">
        <f aca="false">1/AC330</f>
        <v>0.852869249220973</v>
      </c>
      <c r="AF330" s="24" t="n">
        <f aca="false">AB330*(14.068*'Sem TS MC2020'!$P322^-0.457)/$Q330</f>
        <v>1.33252332491296</v>
      </c>
      <c r="AG330" s="24"/>
      <c r="AO330" s="4" t="n">
        <f aca="false">$AP$2*($AP$3+$AP$4*$F330/($N330*'Sem TS MC2020'!P322))*($AP$5*$G330+$AP$6*$B330/$N330)*('Sem TS MC2020'!P322^$AP$7/200000)*($J330-$M330)/($J330-$M330-$H330)+('Sem TS MC2020'!P322-$C330/$AP$8)*($AP$5*$G330+$AP$6*$B330/$N330)/200000</f>
        <v>0.255253537637159</v>
      </c>
      <c r="AP330" s="4" t="n">
        <f aca="false">AO330/$Q330</f>
        <v>1.27626768818579</v>
      </c>
      <c r="AQ330" s="23" t="n">
        <f aca="false">AO330-$Q330</f>
        <v>0.0552535376371589</v>
      </c>
    </row>
    <row r="331" customFormat="false" ht="14.25" hidden="false" customHeight="false" outlineLevel="0" collapsed="false">
      <c r="B331" s="2" t="n">
        <v>28.7</v>
      </c>
      <c r="C331" s="3" t="n">
        <v>276</v>
      </c>
      <c r="D331" s="3" t="n">
        <v>2</v>
      </c>
      <c r="E331" s="2" t="n">
        <v>50.6</v>
      </c>
      <c r="F331" s="4" t="n">
        <v>2.52444806810338</v>
      </c>
      <c r="G331" s="2" t="n">
        <v>38.2</v>
      </c>
      <c r="H331" s="2" t="n">
        <v>52.5</v>
      </c>
      <c r="I331" s="1" t="n">
        <v>152.4</v>
      </c>
      <c r="J331" s="2" t="n">
        <v>381</v>
      </c>
      <c r="K331" s="3" t="n">
        <v>1290</v>
      </c>
      <c r="L331" s="4" t="n">
        <v>28003.5</v>
      </c>
      <c r="M331" s="3" t="n">
        <v>146.0713467674</v>
      </c>
      <c r="N331" s="12" t="n">
        <v>0.0460656703626332</v>
      </c>
      <c r="O331" s="4" t="n">
        <v>104.615</v>
      </c>
      <c r="P331" s="3" t="n">
        <v>245.49875842798</v>
      </c>
      <c r="Q331" s="4" t="n">
        <v>0.24</v>
      </c>
      <c r="R331" s="13" t="n">
        <f aca="false">P331/200000</f>
        <v>0.0012274937921399</v>
      </c>
      <c r="V331" s="4" t="n">
        <f aca="false">$W$2*($W$3*$G331+$W$4*$B331^$W$5*$N331^$W$6)*$R331^$W$7</f>
        <v>0.283129784508533</v>
      </c>
      <c r="W331" s="4" t="n">
        <f aca="false">V331/$Q331</f>
        <v>1.17970743545222</v>
      </c>
      <c r="Y331" s="4" t="n">
        <f aca="false">$Z$2*$B331^$Z$3*$R331^$Z$4*($Z$5*$N331^$Z$6+$Z$7)</f>
        <v>0.288611432950466</v>
      </c>
      <c r="Z331" s="4" t="n">
        <f aca="false">Y331/$Q331</f>
        <v>1.20254763729361</v>
      </c>
      <c r="AB331" s="4" t="n">
        <f aca="false">$AC$2*($AC$3+$AC$4*$F331/($N331*'Sem TS MC2020'!P323))*($AC$5*$G331+$AC$6*$B331/$N331)*'Sem TS MC2020'!R323*($J331-$M331)/($J331-$M331-$H331)</f>
        <v>0.266800233810939</v>
      </c>
      <c r="AC331" s="4" t="n">
        <f aca="false">AB331/$Q331</f>
        <v>1.11166764087891</v>
      </c>
      <c r="AD331" s="23" t="n">
        <f aca="false">AB331-$Q331</f>
        <v>0.0268002338109391</v>
      </c>
      <c r="AE331" s="24" t="n">
        <f aca="false">1/AC331</f>
        <v>0.899549436564848</v>
      </c>
      <c r="AF331" s="24" t="n">
        <f aca="false">AB331*(14.068*'Sem TS MC2020'!$P323^-0.457)/$Q331</f>
        <v>1.19910094739881</v>
      </c>
      <c r="AG331" s="24"/>
      <c r="AO331" s="4" t="n">
        <f aca="false">$AP$2*($AP$3+$AP$4*$F331/($N331*'Sem TS MC2020'!P323))*($AP$5*$G331+$AP$6*$B331/$N331)*('Sem TS MC2020'!P323^$AP$7/200000)*($J331-$M331)/($J331-$M331-$H331)+('Sem TS MC2020'!P323-$C331/$AP$8)*($AP$5*$G331+$AP$6*$B331/$N331)/200000</f>
        <v>0.285752416553656</v>
      </c>
      <c r="AP331" s="4" t="n">
        <f aca="false">AO331/$Q331</f>
        <v>1.19063506897357</v>
      </c>
      <c r="AQ331" s="23" t="n">
        <f aca="false">AO331-$Q331</f>
        <v>0.0457524165536561</v>
      </c>
    </row>
    <row r="332" customFormat="false" ht="14.25" hidden="false" customHeight="false" outlineLevel="0" collapsed="false">
      <c r="A332" s="1" t="s">
        <v>100</v>
      </c>
      <c r="B332" s="2" t="n">
        <v>32.3</v>
      </c>
      <c r="C332" s="3" t="n">
        <v>276</v>
      </c>
      <c r="D332" s="3" t="n">
        <v>1</v>
      </c>
      <c r="E332" s="2" t="n">
        <v>60</v>
      </c>
      <c r="F332" s="4" t="n">
        <v>2.53821845332793</v>
      </c>
      <c r="G332" s="2" t="n">
        <v>38.3</v>
      </c>
      <c r="H332" s="2" t="n">
        <v>54.4</v>
      </c>
      <c r="I332" s="1" t="n">
        <v>152.4</v>
      </c>
      <c r="J332" s="2" t="n">
        <v>381</v>
      </c>
      <c r="K332" s="3" t="n">
        <v>819</v>
      </c>
      <c r="L332" s="4" t="n">
        <v>29016.96</v>
      </c>
      <c r="M332" s="3" t="n">
        <v>122.838831239211</v>
      </c>
      <c r="N332" s="12" t="n">
        <v>0.0282248726262158</v>
      </c>
      <c r="O332" s="4" t="n">
        <v>39.9595</v>
      </c>
      <c r="P332" s="3" t="n">
        <v>106.353203774331</v>
      </c>
      <c r="Q332" s="4" t="n">
        <v>0.17</v>
      </c>
      <c r="R332" s="13" t="n">
        <f aca="false">P332/200000</f>
        <v>0.000531766018871657</v>
      </c>
      <c r="V332" s="4" t="n">
        <f aca="false">$W$2*($W$3*$G332+$W$4*$B332^$W$5*$N332^$W$6)*$R332^$W$7</f>
        <v>0.224508267192583</v>
      </c>
      <c r="W332" s="4" t="n">
        <f aca="false">V332/$Q332</f>
        <v>1.32063686583872</v>
      </c>
      <c r="Y332" s="4" t="n">
        <f aca="false">$Z$2*$B332^$Z$3*$R332^$Z$4*($Z$5*$N332^$Z$6+$Z$7)</f>
        <v>0.223976881402866</v>
      </c>
      <c r="Z332" s="4" t="n">
        <f aca="false">Y332/$Q332</f>
        <v>1.31751106707568</v>
      </c>
      <c r="AB332" s="4" t="n">
        <f aca="false">$AC$2*($AC$3+$AC$4*$F332/($N332*'Sem TS MC2020'!P324))*($AC$5*$G332+$AC$6*$B332/$N332)*'Sem TS MC2020'!R324*($J332-$M332)/($J332-$M332-$H332)</f>
        <v>0.205983432455117</v>
      </c>
      <c r="AC332" s="4" t="n">
        <f aca="false">AB332/$Q332</f>
        <v>1.21166724973598</v>
      </c>
      <c r="AD332" s="23" t="n">
        <f aca="false">AB332-$Q332</f>
        <v>0.0359834324551171</v>
      </c>
      <c r="AE332" s="24" t="n">
        <f aca="false">1/AC332</f>
        <v>0.825309093909979</v>
      </c>
      <c r="AF332" s="24" t="n">
        <f aca="false">AB332*(14.068*'Sem TS MC2020'!$P324^-0.457)/$Q332</f>
        <v>1.62691528927357</v>
      </c>
      <c r="AG332" s="24"/>
      <c r="AO332" s="4" t="n">
        <f aca="false">$AP$2*($AP$3+$AP$4*$F332/($N332*'Sem TS MC2020'!P324))*($AP$5*$G332+$AP$6*$B332/$N332)*('Sem TS MC2020'!P324^$AP$7/200000)*($J332-$M332)/($J332-$M332-$H332)+('Sem TS MC2020'!P324-$C332/$AP$8)*($AP$5*$G332+$AP$6*$B332/$N332)/200000</f>
        <v>0.240748327512597</v>
      </c>
      <c r="AP332" s="4" t="n">
        <f aca="false">AO332/$Q332</f>
        <v>1.41616663242704</v>
      </c>
      <c r="AQ332" s="23" t="n">
        <f aca="false">AO332-$Q332</f>
        <v>0.0707483275125974</v>
      </c>
    </row>
    <row r="333" customFormat="false" ht="14.25" hidden="false" customHeight="false" outlineLevel="0" collapsed="false">
      <c r="B333" s="2" t="n">
        <v>32.3</v>
      </c>
      <c r="C333" s="3" t="n">
        <v>276</v>
      </c>
      <c r="D333" s="3" t="n">
        <v>1</v>
      </c>
      <c r="E333" s="2" t="n">
        <v>60</v>
      </c>
      <c r="F333" s="4" t="n">
        <v>2.53821845332793</v>
      </c>
      <c r="G333" s="2" t="n">
        <v>38.3</v>
      </c>
      <c r="H333" s="2" t="n">
        <v>54.4</v>
      </c>
      <c r="I333" s="1" t="n">
        <v>152.4</v>
      </c>
      <c r="J333" s="2" t="n">
        <v>381</v>
      </c>
      <c r="K333" s="3" t="n">
        <v>819</v>
      </c>
      <c r="L333" s="4" t="n">
        <v>29016.96</v>
      </c>
      <c r="M333" s="3" t="n">
        <v>122.838831239211</v>
      </c>
      <c r="N333" s="12" t="n">
        <v>0.0282248726262158</v>
      </c>
      <c r="O333" s="4" t="n">
        <v>49.1862</v>
      </c>
      <c r="P333" s="3" t="n">
        <v>150.363502382333</v>
      </c>
      <c r="Q333" s="4" t="n">
        <v>0.23</v>
      </c>
      <c r="R333" s="13" t="n">
        <f aca="false">P333/200000</f>
        <v>0.000751817511911667</v>
      </c>
      <c r="V333" s="4" t="n">
        <f aca="false">$W$2*($W$3*$G333+$W$4*$B333^$W$5*$N333^$W$6)*$R333^$W$7</f>
        <v>0.27798676082605</v>
      </c>
      <c r="W333" s="4" t="n">
        <f aca="false">V333/$Q333</f>
        <v>1.20863809054804</v>
      </c>
      <c r="Y333" s="4" t="n">
        <f aca="false">$Z$2*$B333^$Z$3*$R333^$Z$4*($Z$5*$N333^$Z$6+$Z$7)</f>
        <v>0.278387210253052</v>
      </c>
      <c r="Z333" s="4" t="n">
        <f aca="false">Y333/$Q333</f>
        <v>1.21037917501327</v>
      </c>
      <c r="AB333" s="4" t="n">
        <f aca="false">$AC$2*($AC$3+$AC$4*$F333/($N333*'Sem TS MC2020'!P325))*($AC$5*$G333+$AC$6*$B333/$N333)*'Sem TS MC2020'!R325*($J333-$M333)/($J333-$M333-$H333)</f>
        <v>0.272637671995831</v>
      </c>
      <c r="AC333" s="4" t="n">
        <f aca="false">AB333/$Q333</f>
        <v>1.18538118259057</v>
      </c>
      <c r="AD333" s="23" t="n">
        <f aca="false">AB333-$Q333</f>
        <v>0.042637671995831</v>
      </c>
      <c r="AE333" s="24" t="n">
        <f aca="false">1/AC333</f>
        <v>0.843610489762094</v>
      </c>
      <c r="AF333" s="24" t="n">
        <f aca="false">AB333*(14.068*'Sem TS MC2020'!$P325^-0.457)/$Q333</f>
        <v>1.4474633813405</v>
      </c>
      <c r="AG333" s="24"/>
      <c r="AO333" s="4" t="n">
        <f aca="false">$AP$2*($AP$3+$AP$4*$F333/($N333*'Sem TS MC2020'!P325))*($AP$5*$G333+$AP$6*$B333/$N333)*('Sem TS MC2020'!P325^$AP$7/200000)*($J333-$M333)/($J333-$M333-$H333)+('Sem TS MC2020'!P325-$C333/$AP$8)*($AP$5*$G333+$AP$6*$B333/$N333)/200000</f>
        <v>0.310835605930239</v>
      </c>
      <c r="AP333" s="4" t="n">
        <f aca="false">AO333/$Q333</f>
        <v>1.35145915621843</v>
      </c>
      <c r="AQ333" s="23" t="n">
        <f aca="false">AO333-$Q333</f>
        <v>0.0808356059302388</v>
      </c>
    </row>
    <row r="334" customFormat="false" ht="14.25" hidden="false" customHeight="false" outlineLevel="0" collapsed="false">
      <c r="B334" s="2" t="n">
        <v>32.3</v>
      </c>
      <c r="C334" s="3" t="n">
        <v>276</v>
      </c>
      <c r="D334" s="3" t="n">
        <v>1</v>
      </c>
      <c r="E334" s="2" t="n">
        <v>60</v>
      </c>
      <c r="F334" s="4" t="n">
        <v>2.53821845332793</v>
      </c>
      <c r="G334" s="2" t="n">
        <v>38.3</v>
      </c>
      <c r="H334" s="2" t="n">
        <v>54.4</v>
      </c>
      <c r="I334" s="1" t="n">
        <v>152.4</v>
      </c>
      <c r="J334" s="2" t="n">
        <v>381</v>
      </c>
      <c r="K334" s="3" t="n">
        <v>819</v>
      </c>
      <c r="L334" s="4" t="n">
        <v>29016.96</v>
      </c>
      <c r="M334" s="3" t="n">
        <v>122.838831239211</v>
      </c>
      <c r="N334" s="12" t="n">
        <v>0.0282248726262158</v>
      </c>
      <c r="O334" s="4" t="n">
        <v>57.3496</v>
      </c>
      <c r="P334" s="3" t="n">
        <v>193.147127255323</v>
      </c>
      <c r="Q334" s="4" t="n">
        <v>0.27</v>
      </c>
      <c r="R334" s="13" t="n">
        <f aca="false">P334/200000</f>
        <v>0.000965735636276617</v>
      </c>
      <c r="V334" s="4" t="n">
        <f aca="false">$W$2*($W$3*$G334+$W$4*$B334^$W$5*$N334^$W$6)*$R334^$W$7</f>
        <v>0.324429460244446</v>
      </c>
      <c r="W334" s="4" t="n">
        <f aca="false">V334/$Q334</f>
        <v>1.20159059349795</v>
      </c>
      <c r="Y334" s="4" t="n">
        <f aca="false">$Z$2*$B334^$Z$3*$R334^$Z$4*($Z$5*$N334^$Z$6+$Z$7)</f>
        <v>0.325792928800257</v>
      </c>
      <c r="Z334" s="4" t="n">
        <f aca="false">Y334/$Q334</f>
        <v>1.20664047703799</v>
      </c>
      <c r="AB334" s="4" t="n">
        <f aca="false">$AC$2*($AC$3+$AC$4*$F334/($N334*'Sem TS MC2020'!P326))*($AC$5*$G334+$AC$6*$B334/$N334)*'Sem TS MC2020'!R326*($J334-$M334)/($J334-$M334-$H334)</f>
        <v>0.331610567946351</v>
      </c>
      <c r="AC334" s="4" t="n">
        <f aca="false">AB334/$Q334</f>
        <v>1.22818728869019</v>
      </c>
      <c r="AD334" s="23" t="n">
        <f aca="false">AB334-$Q334</f>
        <v>0.061610567946351</v>
      </c>
      <c r="AE334" s="24" t="n">
        <f aca="false">1/AC334</f>
        <v>0.814208068434301</v>
      </c>
      <c r="AF334" s="24" t="n">
        <f aca="false">AB334*(14.068*'Sem TS MC2020'!$P326^-0.457)/$Q334</f>
        <v>1.39809969329163</v>
      </c>
      <c r="AG334" s="24"/>
      <c r="AO334" s="4" t="n">
        <f aca="false">$AP$2*($AP$3+$AP$4*$F334/($N334*'Sem TS MC2020'!P326))*($AP$5*$G334+$AP$6*$B334/$N334)*('Sem TS MC2020'!P326^$AP$7/200000)*($J334-$M334)/($J334-$M334-$H334)+('Sem TS MC2020'!P326-$C334/$AP$8)*($AP$5*$G334+$AP$6*$B334/$N334)/200000</f>
        <v>0.370491691724593</v>
      </c>
      <c r="AP334" s="4" t="n">
        <f aca="false">AO334/$Q334</f>
        <v>1.37219145083182</v>
      </c>
      <c r="AQ334" s="23" t="n">
        <f aca="false">AO334-$Q334</f>
        <v>0.100491691724592</v>
      </c>
    </row>
    <row r="335" customFormat="false" ht="14.25" hidden="false" customHeight="false" outlineLevel="0" collapsed="false">
      <c r="B335" s="2" t="n">
        <v>32.3</v>
      </c>
      <c r="C335" s="3" t="n">
        <v>276</v>
      </c>
      <c r="D335" s="3" t="n">
        <v>1</v>
      </c>
      <c r="E335" s="2" t="n">
        <v>60</v>
      </c>
      <c r="F335" s="4" t="n">
        <v>2.53821845332793</v>
      </c>
      <c r="G335" s="2" t="n">
        <v>38.3</v>
      </c>
      <c r="H335" s="2" t="n">
        <v>54.4</v>
      </c>
      <c r="I335" s="1" t="n">
        <v>152.4</v>
      </c>
      <c r="J335" s="2" t="n">
        <v>381</v>
      </c>
      <c r="K335" s="3" t="n">
        <v>819</v>
      </c>
      <c r="L335" s="4" t="n">
        <v>29016.96</v>
      </c>
      <c r="M335" s="3" t="n">
        <v>122.838831239211</v>
      </c>
      <c r="N335" s="12" t="n">
        <v>0.0282248726262158</v>
      </c>
      <c r="O335" s="4" t="n">
        <v>63.1806</v>
      </c>
      <c r="P335" s="3" t="n">
        <v>223.706859307459</v>
      </c>
      <c r="Q335" s="4" t="n">
        <v>0.31</v>
      </c>
      <c r="R335" s="13" t="n">
        <f aca="false">P335/200000</f>
        <v>0.0011185342965373</v>
      </c>
      <c r="V335" s="4" t="n">
        <f aca="false">$W$2*($W$3*$G335+$W$4*$B335^$W$5*$N335^$W$6)*$R335^$W$7</f>
        <v>0.355205237106312</v>
      </c>
      <c r="W335" s="4" t="n">
        <f aca="false">V335/$Q335</f>
        <v>1.14582334550423</v>
      </c>
      <c r="Y335" s="4" t="n">
        <f aca="false">$Z$2*$B335^$Z$3*$R335^$Z$4*($Z$5*$N335^$Z$6+$Z$7)</f>
        <v>0.35727483863757</v>
      </c>
      <c r="Z335" s="4" t="n">
        <f aca="false">Y335/$Q335</f>
        <v>1.15249947947603</v>
      </c>
      <c r="AB335" s="4" t="n">
        <f aca="false">$AC$2*($AC$3+$AC$4*$F335/($N335*'Sem TS MC2020'!P327))*($AC$5*$G335+$AC$6*$B335/$N335)*'Sem TS MC2020'!R327*($J335-$M335)/($J335-$M335-$H335)</f>
        <v>0.373734065053865</v>
      </c>
      <c r="AC335" s="4" t="n">
        <f aca="false">AB335/$Q335</f>
        <v>1.20559375823828</v>
      </c>
      <c r="AD335" s="23" t="n">
        <f aca="false">AB335-$Q335</f>
        <v>0.0637340650538653</v>
      </c>
      <c r="AE335" s="24" t="n">
        <f aca="false">1/AC335</f>
        <v>0.829466802699188</v>
      </c>
      <c r="AF335" s="24" t="n">
        <f aca="false">AB335*(14.068*'Sem TS MC2020'!$P327^-0.457)/$Q335</f>
        <v>1.31297407457275</v>
      </c>
      <c r="AG335" s="24"/>
      <c r="AO335" s="4" t="n">
        <f aca="false">$AP$2*($AP$3+$AP$4*$F335/($N335*'Sem TS MC2020'!P327))*($AP$5*$G335+$AP$6*$B335/$N335)*('Sem TS MC2020'!P327^$AP$7/200000)*($J335-$M335)/($J335-$M335-$H335)+('Sem TS MC2020'!P327-$C335/$AP$8)*($AP$5*$G335+$AP$6*$B335/$N335)/200000</f>
        <v>0.412011223086678</v>
      </c>
      <c r="AP335" s="4" t="n">
        <f aca="false">AO335/$Q335</f>
        <v>1.32906846156993</v>
      </c>
      <c r="AQ335" s="23" t="n">
        <f aca="false">AO335-$Q335</f>
        <v>0.102011223086678</v>
      </c>
    </row>
    <row r="336" customFormat="false" ht="14.25" hidden="false" customHeight="false" outlineLevel="0" collapsed="false">
      <c r="B336" s="2" t="n">
        <v>32.3</v>
      </c>
      <c r="C336" s="3" t="n">
        <v>276</v>
      </c>
      <c r="D336" s="3" t="n">
        <v>1</v>
      </c>
      <c r="E336" s="2" t="n">
        <v>60</v>
      </c>
      <c r="F336" s="4" t="n">
        <v>2.53821845332793</v>
      </c>
      <c r="G336" s="2" t="n">
        <v>38.3</v>
      </c>
      <c r="H336" s="2" t="n">
        <v>54.4</v>
      </c>
      <c r="I336" s="1" t="n">
        <v>152.4</v>
      </c>
      <c r="J336" s="2" t="n">
        <v>381</v>
      </c>
      <c r="K336" s="3" t="n">
        <v>819</v>
      </c>
      <c r="L336" s="4" t="n">
        <v>29016.96</v>
      </c>
      <c r="M336" s="3" t="n">
        <v>122.838831239211</v>
      </c>
      <c r="N336" s="12" t="n">
        <v>0.0282248726262158</v>
      </c>
      <c r="O336" s="4" t="n">
        <v>67.1251</v>
      </c>
      <c r="P336" s="3" t="n">
        <v>230.744979239284</v>
      </c>
      <c r="Q336" s="4" t="n">
        <v>0.35</v>
      </c>
      <c r="R336" s="13" t="n">
        <f aca="false">P336/200000</f>
        <v>0.00115372489619642</v>
      </c>
      <c r="V336" s="4" t="n">
        <f aca="false">$W$2*($W$3*$G336+$W$4*$B336^$W$5*$N336^$W$6)*$R336^$W$7</f>
        <v>0.362059407421074</v>
      </c>
      <c r="W336" s="4" t="n">
        <f aca="false">V336/$Q336</f>
        <v>1.0344554497745</v>
      </c>
      <c r="Y336" s="4" t="n">
        <f aca="false">$Z$2*$B336^$Z$3*$R336^$Z$4*($Z$5*$N336^$Z$6+$Z$7)</f>
        <v>0.364293053692447</v>
      </c>
      <c r="Z336" s="4" t="n">
        <f aca="false">Y336/$Q336</f>
        <v>1.04083729626414</v>
      </c>
      <c r="AB336" s="4" t="n">
        <f aca="false">$AC$2*($AC$3+$AC$4*$F336/($N336*'Sem TS MC2020'!P328))*($AC$5*$G336+$AC$6*$B336/$N336)*'Sem TS MC2020'!R328*($J336-$M336)/($J336-$M336-$H336)</f>
        <v>0.38343540091914</v>
      </c>
      <c r="AC336" s="4" t="n">
        <f aca="false">AB336/$Q336</f>
        <v>1.09552971691183</v>
      </c>
      <c r="AD336" s="23" t="n">
        <f aca="false">AB336-$Q336</f>
        <v>0.0334354009191397</v>
      </c>
      <c r="AE336" s="24" t="n">
        <f aca="false">1/AC336</f>
        <v>0.912800433035158</v>
      </c>
      <c r="AF336" s="24" t="n">
        <f aca="false">AB336*(14.068*'Sem TS MC2020'!$P328^-0.457)/$Q336</f>
        <v>1.18169376632563</v>
      </c>
      <c r="AG336" s="24"/>
      <c r="AO336" s="4" t="n">
        <f aca="false">$AP$2*($AP$3+$AP$4*$F336/($N336*'Sem TS MC2020'!P328))*($AP$5*$G336+$AP$6*$B336/$N336)*('Sem TS MC2020'!P328^$AP$7/200000)*($J336-$M336)/($J336-$M336-$H336)+('Sem TS MC2020'!P328-$C336/$AP$8)*($AP$5*$G336+$AP$6*$B336/$N336)/200000</f>
        <v>0.421459665129983</v>
      </c>
      <c r="AP336" s="4" t="n">
        <f aca="false">AO336/$Q336</f>
        <v>1.20417047179995</v>
      </c>
      <c r="AQ336" s="23" t="n">
        <f aca="false">AO336-$Q336</f>
        <v>0.0714596651299826</v>
      </c>
    </row>
    <row r="337" customFormat="false" ht="14.25" hidden="false" customHeight="false" outlineLevel="0" collapsed="false">
      <c r="A337" s="1" t="s">
        <v>101</v>
      </c>
      <c r="B337" s="2" t="n">
        <v>32.3</v>
      </c>
      <c r="C337" s="3" t="n">
        <v>276</v>
      </c>
      <c r="D337" s="3" t="n">
        <v>1</v>
      </c>
      <c r="E337" s="2" t="n">
        <v>60</v>
      </c>
      <c r="F337" s="4" t="n">
        <v>2.81086951894943</v>
      </c>
      <c r="G337" s="2" t="n">
        <v>38.3</v>
      </c>
      <c r="H337" s="2" t="n">
        <v>54.4</v>
      </c>
      <c r="I337" s="1" t="n">
        <v>152.4</v>
      </c>
      <c r="J337" s="2" t="n">
        <v>381</v>
      </c>
      <c r="K337" s="3" t="n">
        <v>819</v>
      </c>
      <c r="L337" s="4" t="n">
        <v>29016.96</v>
      </c>
      <c r="M337" s="3" t="n">
        <v>120.446116576203</v>
      </c>
      <c r="N337" s="12" t="n">
        <v>0.0282248726262158</v>
      </c>
      <c r="O337" s="4" t="n">
        <v>39.9595</v>
      </c>
      <c r="P337" s="3" t="n">
        <v>99.532458974282</v>
      </c>
      <c r="Q337" s="4" t="n">
        <v>0.19</v>
      </c>
      <c r="R337" s="13" t="n">
        <f aca="false">P337/200000</f>
        <v>0.00049766229487141</v>
      </c>
      <c r="V337" s="4" t="n">
        <f aca="false">$W$2*($W$3*$G337+$W$4*$B337^$W$5*$N337^$W$6)*$R337^$W$7</f>
        <v>0.215512007527389</v>
      </c>
      <c r="W337" s="4" t="n">
        <f aca="false">V337/$Q337</f>
        <v>1.13427372382836</v>
      </c>
      <c r="Y337" s="4" t="n">
        <f aca="false">$Z$2*$B337^$Z$3*$R337^$Z$4*($Z$5*$N337^$Z$6+$Z$7)</f>
        <v>0.214845214022315</v>
      </c>
      <c r="Z337" s="4" t="n">
        <f aca="false">Y337/$Q337</f>
        <v>1.13076428432797</v>
      </c>
      <c r="AB337" s="4" t="n">
        <f aca="false">$AC$2*($AC$3+$AC$4*$F337/($N337*'Sem TS MC2020'!P329))*($AC$5*$G337+$AC$6*$B337/$N337)*'Sem TS MC2020'!R329*($J337-$M337)/($J337-$M337-$H337)</f>
        <v>0.195817561262521</v>
      </c>
      <c r="AC337" s="4" t="n">
        <f aca="false">AB337/$Q337</f>
        <v>1.03061874348695</v>
      </c>
      <c r="AD337" s="23" t="n">
        <f aca="false">AB337-$Q337</f>
        <v>0.00581756126252064</v>
      </c>
      <c r="AE337" s="24" t="n">
        <f aca="false">1/AC337</f>
        <v>0.970290911473862</v>
      </c>
      <c r="AF337" s="24" t="n">
        <f aca="false">AB337*(14.068*'Sem TS MC2020'!$P329^-0.457)/$Q337</f>
        <v>1.38558441317645</v>
      </c>
      <c r="AG337" s="24"/>
      <c r="AO337" s="4" t="n">
        <f aca="false">$AP$2*($AP$3+$AP$4*$F337/($N337*'Sem TS MC2020'!P329))*($AP$5*$G337+$AP$6*$B337/$N337)*('Sem TS MC2020'!P329^$AP$7/200000)*($J337-$M337)/($J337-$M337-$H337)+('Sem TS MC2020'!P329-$C337/$AP$8)*($AP$5*$G337+$AP$6*$B337/$N337)/200000</f>
        <v>0.228822299573939</v>
      </c>
      <c r="AP337" s="4" t="n">
        <f aca="false">AO337/$Q337</f>
        <v>1.20432789249441</v>
      </c>
      <c r="AQ337" s="23" t="n">
        <f aca="false">AO337-$Q337</f>
        <v>0.0388222995739388</v>
      </c>
    </row>
    <row r="338" customFormat="false" ht="14.25" hidden="false" customHeight="false" outlineLevel="0" collapsed="false">
      <c r="B338" s="2" t="n">
        <v>32.3</v>
      </c>
      <c r="C338" s="3" t="n">
        <v>276</v>
      </c>
      <c r="D338" s="3" t="n">
        <v>1</v>
      </c>
      <c r="E338" s="2" t="n">
        <v>60</v>
      </c>
      <c r="F338" s="4" t="n">
        <v>2.81086951894943</v>
      </c>
      <c r="G338" s="2" t="n">
        <v>38.3</v>
      </c>
      <c r="H338" s="2" t="n">
        <v>54.4</v>
      </c>
      <c r="I338" s="1" t="n">
        <v>152.4</v>
      </c>
      <c r="J338" s="2" t="n">
        <v>381</v>
      </c>
      <c r="K338" s="3" t="n">
        <v>819</v>
      </c>
      <c r="L338" s="4" t="n">
        <v>29016.96</v>
      </c>
      <c r="M338" s="3" t="n">
        <v>120.446116576203</v>
      </c>
      <c r="N338" s="12" t="n">
        <v>0.0282248726262158</v>
      </c>
      <c r="O338" s="4" t="n">
        <v>49.1862</v>
      </c>
      <c r="P338" s="3" t="n">
        <v>143.737632833922</v>
      </c>
      <c r="Q338" s="4" t="n">
        <v>0.24</v>
      </c>
      <c r="R338" s="13" t="n">
        <f aca="false">P338/200000</f>
        <v>0.000718688164169611</v>
      </c>
      <c r="V338" s="4" t="n">
        <f aca="false">$W$2*($W$3*$G338+$W$4*$B338^$W$5*$N338^$W$6)*$R338^$W$7</f>
        <v>0.270363601572051</v>
      </c>
      <c r="W338" s="4" t="n">
        <f aca="false">V338/$Q338</f>
        <v>1.12651500655021</v>
      </c>
      <c r="Y338" s="4" t="n">
        <f aca="false">$Z$2*$B338^$Z$3*$R338^$Z$4*($Z$5*$N338^$Z$6+$Z$7)</f>
        <v>0.27061888330095</v>
      </c>
      <c r="Z338" s="4" t="n">
        <f aca="false">Y338/$Q338</f>
        <v>1.12757868042062</v>
      </c>
      <c r="AB338" s="4" t="n">
        <f aca="false">$AC$2*($AC$3+$AC$4*$F338/($N338*'Sem TS MC2020'!P330))*($AC$5*$G338+$AC$6*$B338/$N338)*'Sem TS MC2020'!R330*($J338-$M338)/($J338-$M338-$H338)</f>
        <v>0.262123650238331</v>
      </c>
      <c r="AC338" s="4" t="n">
        <f aca="false">AB338/$Q338</f>
        <v>1.09218187599305</v>
      </c>
      <c r="AD338" s="23" t="n">
        <f aca="false">AB338-$Q338</f>
        <v>0.022123650238331</v>
      </c>
      <c r="AE338" s="24" t="n">
        <f aca="false">1/AC338</f>
        <v>0.915598419989133</v>
      </c>
      <c r="AF338" s="24" t="n">
        <f aca="false">AB338*(14.068*'Sem TS MC2020'!$P330^-0.457)/$Q338</f>
        <v>1.33535858803357</v>
      </c>
      <c r="AG338" s="24"/>
      <c r="AO338" s="4" t="n">
        <f aca="false">$AP$2*($AP$3+$AP$4*$F338/($N338*'Sem TS MC2020'!P330))*($AP$5*$G338+$AP$6*$B338/$N338)*('Sem TS MC2020'!P330^$AP$7/200000)*($J338-$M338)/($J338-$M338-$H338)+('Sem TS MC2020'!P330-$C338/$AP$8)*($AP$5*$G338+$AP$6*$B338/$N338)/200000</f>
        <v>0.29898152666542</v>
      </c>
      <c r="AP338" s="4" t="n">
        <f aca="false">AO338/$Q338</f>
        <v>1.24575636110592</v>
      </c>
      <c r="AQ338" s="23" t="n">
        <f aca="false">AO338-$Q338</f>
        <v>0.05898152666542</v>
      </c>
    </row>
    <row r="339" customFormat="false" ht="14.25" hidden="false" customHeight="false" outlineLevel="0" collapsed="false">
      <c r="B339" s="2" t="n">
        <v>32.3</v>
      </c>
      <c r="C339" s="3" t="n">
        <v>276</v>
      </c>
      <c r="D339" s="3" t="n">
        <v>1</v>
      </c>
      <c r="E339" s="2" t="n">
        <v>60</v>
      </c>
      <c r="F339" s="4" t="n">
        <v>2.81086951894943</v>
      </c>
      <c r="G339" s="2" t="n">
        <v>38.3</v>
      </c>
      <c r="H339" s="2" t="n">
        <v>54.4</v>
      </c>
      <c r="I339" s="1" t="n">
        <v>152.4</v>
      </c>
      <c r="J339" s="2" t="n">
        <v>381</v>
      </c>
      <c r="K339" s="3" t="n">
        <v>819</v>
      </c>
      <c r="L339" s="4" t="n">
        <v>29016.96</v>
      </c>
      <c r="M339" s="3" t="n">
        <v>120.446116576203</v>
      </c>
      <c r="N339" s="12" t="n">
        <v>0.0282248726262158</v>
      </c>
      <c r="O339" s="4" t="n">
        <v>57.3496</v>
      </c>
      <c r="P339" s="3" t="n">
        <v>187.176740338077</v>
      </c>
      <c r="Q339" s="4" t="n">
        <v>0.29</v>
      </c>
      <c r="R339" s="13" t="n">
        <f aca="false">P339/200000</f>
        <v>0.000935883701690386</v>
      </c>
      <c r="V339" s="4" t="n">
        <f aca="false">$W$2*($W$3*$G339+$W$4*$B339^$W$5*$N339^$W$6)*$R339^$W$7</f>
        <v>0.318204737836448</v>
      </c>
      <c r="W339" s="4" t="n">
        <f aca="false">V339/$Q339</f>
        <v>1.09725771667741</v>
      </c>
      <c r="Y339" s="4" t="n">
        <f aca="false">$Z$2*$B339^$Z$3*$R339^$Z$4*($Z$5*$N339^$Z$6+$Z$7)</f>
        <v>0.319431699031476</v>
      </c>
      <c r="Z339" s="4" t="n">
        <f aca="false">Y339/$Q339</f>
        <v>1.10148861734992</v>
      </c>
      <c r="AB339" s="4" t="n">
        <f aca="false">$AC$2*($AC$3+$AC$4*$F339/($N339*'Sem TS MC2020'!P331))*($AC$5*$G339+$AC$6*$B339/$N339)*'Sem TS MC2020'!R331*($J339-$M339)/($J339-$M339-$H339)</f>
        <v>0.320788517064513</v>
      </c>
      <c r="AC339" s="4" t="n">
        <f aca="false">AB339/$Q339</f>
        <v>1.10616730022246</v>
      </c>
      <c r="AD339" s="23" t="n">
        <f aca="false">AB339-$Q339</f>
        <v>0.0307885170645126</v>
      </c>
      <c r="AE339" s="24" t="n">
        <f aca="false">1/AC339</f>
        <v>0.904022384135649</v>
      </c>
      <c r="AF339" s="24" t="n">
        <f aca="false">AB339*(14.068*'Sem TS MC2020'!$P331^-0.457)/$Q339</f>
        <v>1.26080446958018</v>
      </c>
      <c r="AG339" s="24"/>
      <c r="AO339" s="4" t="n">
        <f aca="false">$AP$2*($AP$3+$AP$4*$F339/($N339*'Sem TS MC2020'!P331))*($AP$5*$G339+$AP$6*$B339/$N339)*('Sem TS MC2020'!P331^$AP$7/200000)*($J339-$M339)/($J339-$M339-$H339)+('Sem TS MC2020'!P331-$C339/$AP$8)*($AP$5*$G339+$AP$6*$B339/$N339)/200000</f>
        <v>0.35864557015312</v>
      </c>
      <c r="AP339" s="4" t="n">
        <f aca="false">AO339/$Q339</f>
        <v>1.23670886259696</v>
      </c>
      <c r="AQ339" s="23" t="n">
        <f aca="false">AO339-$Q339</f>
        <v>0.0686455701531197</v>
      </c>
    </row>
    <row r="340" customFormat="false" ht="14.25" hidden="false" customHeight="false" outlineLevel="0" collapsed="false">
      <c r="B340" s="2" t="n">
        <v>32.3</v>
      </c>
      <c r="C340" s="3" t="n">
        <v>276</v>
      </c>
      <c r="D340" s="3" t="n">
        <v>1</v>
      </c>
      <c r="E340" s="2" t="n">
        <v>60</v>
      </c>
      <c r="F340" s="4" t="n">
        <v>2.81086951894943</v>
      </c>
      <c r="G340" s="2" t="n">
        <v>38.3</v>
      </c>
      <c r="H340" s="2" t="n">
        <v>54.4</v>
      </c>
      <c r="I340" s="1" t="n">
        <v>152.4</v>
      </c>
      <c r="J340" s="2" t="n">
        <v>381</v>
      </c>
      <c r="K340" s="3" t="n">
        <v>819</v>
      </c>
      <c r="L340" s="4" t="n">
        <v>29016.96</v>
      </c>
      <c r="M340" s="3" t="n">
        <v>120.446116576203</v>
      </c>
      <c r="N340" s="12" t="n">
        <v>0.0282248726262158</v>
      </c>
      <c r="O340" s="4" t="n">
        <v>63.1806</v>
      </c>
      <c r="P340" s="3" t="n">
        <v>218.204674269617</v>
      </c>
      <c r="Q340" s="4" t="n">
        <v>0.36</v>
      </c>
      <c r="R340" s="13" t="n">
        <f aca="false">P340/200000</f>
        <v>0.00109102337134808</v>
      </c>
      <c r="V340" s="4" t="n">
        <f aca="false">$W$2*($W$3*$G340+$W$4*$B340^$W$5*$N340^$W$6)*$R340^$W$7</f>
        <v>0.349789163151209</v>
      </c>
      <c r="W340" s="4" t="n">
        <f aca="false">V340/$Q340</f>
        <v>0.971636564308913</v>
      </c>
      <c r="Y340" s="4" t="n">
        <f aca="false">$Z$2*$B340^$Z$3*$R340^$Z$4*($Z$5*$N340^$Z$6+$Z$7)</f>
        <v>0.351730843932597</v>
      </c>
      <c r="Z340" s="4" t="n">
        <f aca="false">Y340/$Q340</f>
        <v>0.977030122034991</v>
      </c>
      <c r="AB340" s="4" t="n">
        <f aca="false">$AC$2*($AC$3+$AC$4*$F340/($N340*'Sem TS MC2020'!P332))*($AC$5*$G340+$AC$6*$B340/$N340)*'Sem TS MC2020'!R332*($J340-$M340)/($J340-$M340-$H340)</f>
        <v>0.362691993368928</v>
      </c>
      <c r="AC340" s="4" t="n">
        <f aca="false">AB340/$Q340</f>
        <v>1.00747775935813</v>
      </c>
      <c r="AD340" s="23" t="n">
        <f aca="false">AB340-$Q340</f>
        <v>0.00269199336892811</v>
      </c>
      <c r="AE340" s="24" t="n">
        <f aca="false">1/AC340</f>
        <v>0.992577742497365</v>
      </c>
      <c r="AF340" s="24" t="n">
        <f aca="false">AB340*(14.068*'Sem TS MC2020'!$P332^-0.457)/$Q340</f>
        <v>1.09861116695952</v>
      </c>
      <c r="AG340" s="24"/>
      <c r="AO340" s="4" t="n">
        <f aca="false">$AP$2*($AP$3+$AP$4*$F340/($N340*'Sem TS MC2020'!P332))*($AP$5*$G340+$AP$6*$B340/$N340)*('Sem TS MC2020'!P332^$AP$7/200000)*($J340-$M340)/($J340-$M340-$H340)+('Sem TS MC2020'!P332-$C340/$AP$8)*($AP$5*$G340+$AP$6*$B340/$N340)/200000</f>
        <v>0.400148341231246</v>
      </c>
      <c r="AP340" s="4" t="n">
        <f aca="false">AO340/$Q340</f>
        <v>1.1115231700868</v>
      </c>
      <c r="AQ340" s="23" t="n">
        <f aca="false">AO340-$Q340</f>
        <v>0.0401483412312464</v>
      </c>
    </row>
    <row r="341" customFormat="false" ht="14.25" hidden="false" customHeight="false" outlineLevel="0" collapsed="false">
      <c r="B341" s="2" t="n">
        <v>32.3</v>
      </c>
      <c r="C341" s="3" t="n">
        <v>276</v>
      </c>
      <c r="D341" s="3" t="n">
        <v>1</v>
      </c>
      <c r="E341" s="2" t="n">
        <v>60</v>
      </c>
      <c r="F341" s="4" t="n">
        <v>2.81086951894943</v>
      </c>
      <c r="G341" s="2" t="n">
        <v>38.3</v>
      </c>
      <c r="H341" s="2" t="n">
        <v>54.4</v>
      </c>
      <c r="I341" s="1" t="n">
        <v>152.4</v>
      </c>
      <c r="J341" s="2" t="n">
        <v>381</v>
      </c>
      <c r="K341" s="3" t="n">
        <v>819</v>
      </c>
      <c r="L341" s="4" t="n">
        <v>29016.96</v>
      </c>
      <c r="M341" s="3" t="n">
        <v>120.446116576203</v>
      </c>
      <c r="N341" s="12" t="n">
        <v>0.0282248726262158</v>
      </c>
      <c r="O341" s="4" t="n">
        <v>67.1251</v>
      </c>
      <c r="P341" s="3" t="n">
        <v>226.309268981256</v>
      </c>
      <c r="Q341" s="4" t="n">
        <v>0.42</v>
      </c>
      <c r="R341" s="13" t="n">
        <f aca="false">P341/200000</f>
        <v>0.00113154634490628</v>
      </c>
      <c r="V341" s="4" t="n">
        <f aca="false">$W$2*($W$3*$G341+$W$4*$B341^$W$5*$N341^$W$6)*$R341^$W$7</f>
        <v>0.357749122120018</v>
      </c>
      <c r="W341" s="4" t="n">
        <f aca="false">V341/$Q341</f>
        <v>0.851783624095282</v>
      </c>
      <c r="Y341" s="4" t="n">
        <f aca="false">$Z$2*$B341^$Z$3*$R341^$Z$4*($Z$5*$N341^$Z$6+$Z$7)</f>
        <v>0.359879328598878</v>
      </c>
      <c r="Z341" s="4" t="n">
        <f aca="false">Y341/$Q341</f>
        <v>0.856855544283042</v>
      </c>
      <c r="AB341" s="4" t="n">
        <f aca="false">$AC$2*($AC$3+$AC$4*$F341/($N341*'Sem TS MC2020'!P333))*($AC$5*$G341+$AC$6*$B341/$N341)*'Sem TS MC2020'!R333*($J341-$M341)/($J341-$M341-$H341)</f>
        <v>0.373637314227397</v>
      </c>
      <c r="AC341" s="4" t="n">
        <f aca="false">AB341/$Q341</f>
        <v>0.889612652922373</v>
      </c>
      <c r="AD341" s="23" t="n">
        <f aca="false">AB341-$Q341</f>
        <v>-0.0463626857726034</v>
      </c>
      <c r="AE341" s="24" t="n">
        <f aca="false">1/AC341</f>
        <v>1.12408473138844</v>
      </c>
      <c r="AF341" s="24" t="n">
        <f aca="false">AB341*(14.068*'Sem TS MC2020'!$P333^-0.457)/$Q341</f>
        <v>0.959581205488541</v>
      </c>
      <c r="AG341" s="24"/>
      <c r="AO341" s="4" t="n">
        <f aca="false">$AP$2*($AP$3+$AP$4*$F341/($N341*'Sem TS MC2020'!P333))*($AP$5*$G341+$AP$6*$B341/$N341)*('Sem TS MC2020'!P333^$AP$7/200000)*($J341-$M341)/($J341-$M341-$H341)+('Sem TS MC2020'!P333-$C341/$AP$8)*($AP$5*$G341+$AP$6*$B341/$N341)/200000</f>
        <v>0.410854381868287</v>
      </c>
      <c r="AP341" s="4" t="n">
        <f aca="false">AO341/$Q341</f>
        <v>0.978224718734016</v>
      </c>
      <c r="AQ341" s="23" t="n">
        <f aca="false">AO341-$Q341</f>
        <v>-0.00914561813171327</v>
      </c>
    </row>
    <row r="342" customFormat="false" ht="14.25" hidden="false" customHeight="false" outlineLevel="0" collapsed="false">
      <c r="A342" s="1" t="s">
        <v>102</v>
      </c>
      <c r="B342" s="2" t="n">
        <v>28.7</v>
      </c>
      <c r="C342" s="3" t="n">
        <v>276</v>
      </c>
      <c r="D342" s="3" t="n">
        <v>2</v>
      </c>
      <c r="E342" s="2" t="n">
        <v>50.6</v>
      </c>
      <c r="F342" s="4" t="n">
        <v>2.57657861790804</v>
      </c>
      <c r="G342" s="2" t="n">
        <v>38</v>
      </c>
      <c r="H342" s="2" t="n">
        <v>52.3</v>
      </c>
      <c r="I342" s="1" t="n">
        <v>152.4</v>
      </c>
      <c r="J342" s="2" t="n">
        <v>584.2</v>
      </c>
      <c r="K342" s="3" t="n">
        <v>1290</v>
      </c>
      <c r="L342" s="4" t="n">
        <v>27896.82</v>
      </c>
      <c r="M342" s="3" t="n">
        <v>196.926616139336</v>
      </c>
      <c r="N342" s="12" t="n">
        <v>0.0462418297139244</v>
      </c>
      <c r="O342" s="4" t="n">
        <v>110.208</v>
      </c>
      <c r="P342" s="3" t="n">
        <v>139.22648337646</v>
      </c>
      <c r="Q342" s="4" t="n">
        <v>0.18</v>
      </c>
      <c r="R342" s="13" t="n">
        <f aca="false">P342/200000</f>
        <v>0.000696132416882298</v>
      </c>
      <c r="V342" s="4" t="n">
        <f aca="false">$W$2*($W$3*$G342+$W$4*$B342^$W$5*$N342^$W$6)*$R342^$W$7</f>
        <v>0.199210982121304</v>
      </c>
      <c r="W342" s="4" t="n">
        <f aca="false">V342/$Q342</f>
        <v>1.10672767845169</v>
      </c>
      <c r="Y342" s="4" t="n">
        <f aca="false">$Z$2*$B342^$Z$3*$R342^$Z$4*($Z$5*$N342^$Z$6+$Z$7)</f>
        <v>0.201845728492167</v>
      </c>
      <c r="Z342" s="4" t="n">
        <f aca="false">Y342/$Q342</f>
        <v>1.12136515828982</v>
      </c>
      <c r="AB342" s="4" t="n">
        <f aca="false">$AC$2*($AC$3+$AC$4*$F342/($N342*'Sem TS MC2020'!P334))*($AC$5*$G342+$AC$6*$B342/$N342)*'Sem TS MC2020'!R334*($J342-$M342)/($J342-$M342-$H342)</f>
        <v>0.148268356221332</v>
      </c>
      <c r="AC342" s="4" t="n">
        <f aca="false">AB342/$Q342</f>
        <v>0.823713090118511</v>
      </c>
      <c r="AD342" s="23" t="n">
        <f aca="false">AB342-$Q342</f>
        <v>-0.0317316437786681</v>
      </c>
      <c r="AE342" s="24" t="n">
        <f aca="false">1/AC342</f>
        <v>1.21401494281963</v>
      </c>
      <c r="AF342" s="24" t="n">
        <f aca="false">AB342*(14.068*'Sem TS MC2020'!$P334^-0.457)/$Q342</f>
        <v>1.07107173492406</v>
      </c>
      <c r="AG342" s="24"/>
      <c r="AO342" s="4" t="n">
        <f aca="false">$AP$2*($AP$3+$AP$4*$F342/($N342*'Sem TS MC2020'!P334))*($AP$5*$G342+$AP$6*$B342/$N342)*('Sem TS MC2020'!P334^$AP$7/200000)*($J342-$M342)/($J342-$M342-$H342)+('Sem TS MC2020'!P334-$C342/$AP$8)*($AP$5*$G342+$AP$6*$B342/$N342)/200000</f>
        <v>0.168191947451723</v>
      </c>
      <c r="AP342" s="4" t="n">
        <f aca="false">AO342/$Q342</f>
        <v>0.934399708065126</v>
      </c>
      <c r="AQ342" s="23" t="n">
        <f aca="false">AO342-$Q342</f>
        <v>-0.0118080525482774</v>
      </c>
    </row>
    <row r="343" customFormat="false" ht="14.25" hidden="false" customHeight="false" outlineLevel="0" collapsed="false">
      <c r="B343" s="2" t="n">
        <v>28.7</v>
      </c>
      <c r="C343" s="3" t="n">
        <v>276</v>
      </c>
      <c r="D343" s="3" t="n">
        <v>2</v>
      </c>
      <c r="E343" s="2" t="n">
        <v>50.6</v>
      </c>
      <c r="F343" s="4" t="n">
        <v>2.57657861790804</v>
      </c>
      <c r="G343" s="2" t="n">
        <v>38</v>
      </c>
      <c r="H343" s="2" t="n">
        <v>52.3</v>
      </c>
      <c r="I343" s="1" t="n">
        <v>152.4</v>
      </c>
      <c r="J343" s="2" t="n">
        <v>584.2</v>
      </c>
      <c r="K343" s="3" t="n">
        <v>1290</v>
      </c>
      <c r="L343" s="4" t="n">
        <v>27896.82</v>
      </c>
      <c r="M343" s="3" t="n">
        <v>196.926616139336</v>
      </c>
      <c r="N343" s="12" t="n">
        <v>0.0462418297139244</v>
      </c>
      <c r="O343" s="4" t="n">
        <v>132.258</v>
      </c>
      <c r="P343" s="3" t="n">
        <v>180.497314979196</v>
      </c>
      <c r="Q343" s="4" t="n">
        <v>0.22</v>
      </c>
      <c r="R343" s="13" t="n">
        <f aca="false">P343/200000</f>
        <v>0.000902486574895982</v>
      </c>
      <c r="V343" s="4" t="n">
        <f aca="false">$W$2*($W$3*$G343+$W$4*$B343^$W$5*$N343^$W$6)*$R343^$W$7</f>
        <v>0.233818754618769</v>
      </c>
      <c r="W343" s="4" t="n">
        <f aca="false">V343/$Q343</f>
        <v>1.06281252099441</v>
      </c>
      <c r="Y343" s="4" t="n">
        <f aca="false">$Z$2*$B343^$Z$3*$R343^$Z$4*($Z$5*$N343^$Z$6+$Z$7)</f>
        <v>0.23758874716416</v>
      </c>
      <c r="Z343" s="4" t="n">
        <f aca="false">Y343/$Q343</f>
        <v>1.07994885074618</v>
      </c>
      <c r="AB343" s="4" t="n">
        <f aca="false">$AC$2*($AC$3+$AC$4*$F343/($N343*'Sem TS MC2020'!P335))*($AC$5*$G343+$AC$6*$B343/$N343)*'Sem TS MC2020'!R335*($J343-$M343)/($J343-$M343-$H343)</f>
        <v>0.183814041053156</v>
      </c>
      <c r="AC343" s="4" t="n">
        <f aca="false">AB343/$Q343</f>
        <v>0.835518368423436</v>
      </c>
      <c r="AD343" s="23" t="n">
        <f aca="false">AB343-$Q343</f>
        <v>-0.0361859589468441</v>
      </c>
      <c r="AE343" s="24" t="n">
        <f aca="false">1/AC343</f>
        <v>1.19686177802043</v>
      </c>
      <c r="AF343" s="24" t="n">
        <f aca="false">AB343*(14.068*'Sem TS MC2020'!$P335^-0.457)/$Q343</f>
        <v>0.999539952068817</v>
      </c>
      <c r="AG343" s="24"/>
      <c r="AO343" s="4" t="n">
        <f aca="false">$AP$2*($AP$3+$AP$4*$F343/($N343*'Sem TS MC2020'!P335))*($AP$5*$G343+$AP$6*$B343/$N343)*('Sem TS MC2020'!P335^$AP$7/200000)*($J343-$M343)/($J343-$M343-$H343)+('Sem TS MC2020'!P335-$C343/$AP$8)*($AP$5*$G343+$AP$6*$B343/$N343)/200000</f>
        <v>0.203769446128478</v>
      </c>
      <c r="AP343" s="4" t="n">
        <f aca="false">AO343/$Q343</f>
        <v>0.926224755129445</v>
      </c>
      <c r="AQ343" s="23" t="n">
        <f aca="false">AO343-$Q343</f>
        <v>-0.0162305538715221</v>
      </c>
    </row>
    <row r="344" customFormat="false" ht="14.25" hidden="false" customHeight="false" outlineLevel="0" collapsed="false">
      <c r="B344" s="2" t="n">
        <v>28.7</v>
      </c>
      <c r="C344" s="3" t="n">
        <v>276</v>
      </c>
      <c r="D344" s="3" t="n">
        <v>2</v>
      </c>
      <c r="E344" s="2" t="n">
        <v>50.6</v>
      </c>
      <c r="F344" s="4" t="n">
        <v>2.57657861790804</v>
      </c>
      <c r="G344" s="2" t="n">
        <v>38</v>
      </c>
      <c r="H344" s="2" t="n">
        <v>52.3</v>
      </c>
      <c r="I344" s="1" t="n">
        <v>152.4</v>
      </c>
      <c r="J344" s="2" t="n">
        <v>584.2</v>
      </c>
      <c r="K344" s="3" t="n">
        <v>1290</v>
      </c>
      <c r="L344" s="4" t="n">
        <v>27896.82</v>
      </c>
      <c r="M344" s="3" t="n">
        <v>196.926616139336</v>
      </c>
      <c r="N344" s="12" t="n">
        <v>0.0462418297139244</v>
      </c>
      <c r="O344" s="4" t="n">
        <v>149.268</v>
      </c>
      <c r="P344" s="3" t="n">
        <v>213.14386705439</v>
      </c>
      <c r="Q344" s="4" t="n">
        <v>0.27</v>
      </c>
      <c r="R344" s="13" t="n">
        <f aca="false">P344/200000</f>
        <v>0.00106571933527195</v>
      </c>
      <c r="V344" s="4" t="n">
        <f aca="false">$W$2*($W$3*$G344+$W$4*$B344^$W$5*$N344^$W$6)*$R344^$W$7</f>
        <v>0.259076508550993</v>
      </c>
      <c r="W344" s="4" t="n">
        <f aca="false">V344/$Q344</f>
        <v>0.959542624262938</v>
      </c>
      <c r="Y344" s="4" t="n">
        <f aca="false">$Z$2*$B344^$Z$3*$R344^$Z$4*($Z$5*$N344^$Z$6+$Z$7)</f>
        <v>0.263735616222622</v>
      </c>
      <c r="Z344" s="4" t="n">
        <f aca="false">Y344/$Q344</f>
        <v>0.976798578602304</v>
      </c>
      <c r="AB344" s="4" t="n">
        <f aca="false">$AC$2*($AC$3+$AC$4*$F344/($N344*'Sem TS MC2020'!P336))*($AC$5*$G344+$AC$6*$B344/$N344)*'Sem TS MC2020'!R336*($J344-$M344)/($J344-$M344-$H344)</f>
        <v>0.21123499792342</v>
      </c>
      <c r="AC344" s="4" t="n">
        <f aca="false">AB344/$Q344</f>
        <v>0.782351844160815</v>
      </c>
      <c r="AD344" s="23" t="n">
        <f aca="false">AB344-$Q344</f>
        <v>-0.0587650020765799</v>
      </c>
      <c r="AE344" s="24" t="n">
        <f aca="false">1/AC344</f>
        <v>1.27819728101062</v>
      </c>
      <c r="AF344" s="24" t="n">
        <f aca="false">AB344*(14.068*'Sem TS MC2020'!$P336^-0.457)/$Q344</f>
        <v>0.885591235325485</v>
      </c>
      <c r="AG344" s="24"/>
      <c r="AO344" s="4" t="n">
        <f aca="false">$AP$2*($AP$3+$AP$4*$F344/($N344*'Sem TS MC2020'!P336))*($AP$5*$G344+$AP$6*$B344/$N344)*('Sem TS MC2020'!P336^$AP$7/200000)*($J344-$M344)/($J344-$M344-$H344)+('Sem TS MC2020'!P336-$C344/$AP$8)*($AP$5*$G344+$AP$6*$B344/$N344)/200000</f>
        <v>0.230418919061623</v>
      </c>
      <c r="AP344" s="4" t="n">
        <f aca="false">AO344/$Q344</f>
        <v>0.853403403931937</v>
      </c>
      <c r="AQ344" s="23" t="n">
        <f aca="false">AO344-$Q344</f>
        <v>-0.0395810809383769</v>
      </c>
    </row>
    <row r="345" customFormat="false" ht="14.25" hidden="false" customHeight="false" outlineLevel="0" collapsed="false">
      <c r="B345" s="2" t="n">
        <v>28.7</v>
      </c>
      <c r="C345" s="3" t="n">
        <v>276</v>
      </c>
      <c r="D345" s="3" t="n">
        <v>2</v>
      </c>
      <c r="E345" s="2" t="n">
        <v>50.6</v>
      </c>
      <c r="F345" s="4" t="n">
        <v>2.57657861790804</v>
      </c>
      <c r="G345" s="2" t="n">
        <v>38</v>
      </c>
      <c r="H345" s="2" t="n">
        <v>52.3</v>
      </c>
      <c r="I345" s="1" t="n">
        <v>152.4</v>
      </c>
      <c r="J345" s="2" t="n">
        <v>584.2</v>
      </c>
      <c r="K345" s="3" t="n">
        <v>1290</v>
      </c>
      <c r="L345" s="4" t="n">
        <v>27896.82</v>
      </c>
      <c r="M345" s="3" t="n">
        <v>196.926616139336</v>
      </c>
      <c r="N345" s="12" t="n">
        <v>0.0462418297139244</v>
      </c>
      <c r="O345" s="4" t="n">
        <v>168.882</v>
      </c>
      <c r="P345" s="3" t="n">
        <v>245.03832142352</v>
      </c>
      <c r="Q345" s="4" t="n">
        <v>0.32</v>
      </c>
      <c r="R345" s="13" t="n">
        <f aca="false">P345/200000</f>
        <v>0.0012251916071176</v>
      </c>
      <c r="V345" s="4" t="n">
        <f aca="false">$W$2*($W$3*$G345+$W$4*$B345^$W$5*$N345^$W$6)*$R345^$W$7</f>
        <v>0.282354215610047</v>
      </c>
      <c r="W345" s="4" t="n">
        <f aca="false">V345/$Q345</f>
        <v>0.882356923781398</v>
      </c>
      <c r="Y345" s="4" t="n">
        <f aca="false">$Z$2*$B345^$Z$3*$R345^$Z$4*($Z$5*$N345^$Z$6+$Z$7)</f>
        <v>0.287873174227685</v>
      </c>
      <c r="Z345" s="4" t="n">
        <f aca="false">Y345/$Q345</f>
        <v>0.899603669461516</v>
      </c>
      <c r="AB345" s="4" t="n">
        <f aca="false">$AC$2*($AC$3+$AC$4*$F345/($N345*'Sem TS MC2020'!P337))*($AC$5*$G345+$AC$6*$B345/$N345)*'Sem TS MC2020'!R337*($J345-$M345)/($J345-$M345-$H345)</f>
        <v>0.238024242179356</v>
      </c>
      <c r="AC345" s="4" t="n">
        <f aca="false">AB345/$Q345</f>
        <v>0.743825756810488</v>
      </c>
      <c r="AD345" s="23" t="n">
        <f aca="false">AB345-$Q345</f>
        <v>-0.0819757578206438</v>
      </c>
      <c r="AE345" s="24" t="n">
        <f aca="false">1/AC345</f>
        <v>1.3444008772807</v>
      </c>
      <c r="AF345" s="24" t="n">
        <f aca="false">AB345*(14.068*'Sem TS MC2020'!$P337^-0.457)/$Q345</f>
        <v>0.802328085205323</v>
      </c>
      <c r="AG345" s="24"/>
      <c r="AO345" s="4" t="n">
        <f aca="false">$AP$2*($AP$3+$AP$4*$F345/($N345*'Sem TS MC2020'!P337))*($AP$5*$G345+$AP$6*$B345/$N345)*('Sem TS MC2020'!P337^$AP$7/200000)*($J345-$M345)/($J345-$M345-$H345)+('Sem TS MC2020'!P337-$C345/$AP$8)*($AP$5*$G345+$AP$6*$B345/$N345)/200000</f>
        <v>0.255895807991045</v>
      </c>
      <c r="AP345" s="4" t="n">
        <f aca="false">AO345/$Q345</f>
        <v>0.799674399972016</v>
      </c>
      <c r="AQ345" s="23" t="n">
        <f aca="false">AO345-$Q345</f>
        <v>-0.064104192008955</v>
      </c>
    </row>
    <row r="346" customFormat="false" ht="14.25" hidden="false" customHeight="false" outlineLevel="0" collapsed="false">
      <c r="A346" s="1" t="s">
        <v>103</v>
      </c>
      <c r="B346" s="2" t="n">
        <v>28.7</v>
      </c>
      <c r="C346" s="3" t="n">
        <v>276</v>
      </c>
      <c r="D346" s="3" t="n">
        <v>2</v>
      </c>
      <c r="E346" s="2" t="n">
        <v>50.6</v>
      </c>
      <c r="F346" s="4" t="n">
        <v>2.57657861790804</v>
      </c>
      <c r="G346" s="2" t="n">
        <v>38</v>
      </c>
      <c r="H346" s="2" t="n">
        <v>52.3</v>
      </c>
      <c r="I346" s="1" t="n">
        <v>152.4</v>
      </c>
      <c r="J346" s="2" t="n">
        <v>584.2</v>
      </c>
      <c r="K346" s="3" t="n">
        <v>1290</v>
      </c>
      <c r="L346" s="4" t="n">
        <v>27896.82</v>
      </c>
      <c r="M346" s="3" t="n">
        <v>196.926616139336</v>
      </c>
      <c r="N346" s="12" t="n">
        <v>0.0462418297139244</v>
      </c>
      <c r="O346" s="4" t="n">
        <v>132.258</v>
      </c>
      <c r="P346" s="3" t="n">
        <v>180.497314979196</v>
      </c>
      <c r="Q346" s="4" t="n">
        <v>0.16</v>
      </c>
      <c r="R346" s="13" t="n">
        <f aca="false">P346/200000</f>
        <v>0.000902486574895982</v>
      </c>
      <c r="V346" s="4" t="n">
        <f aca="false">$W$2*($W$3*$G346+$W$4*$B346^$W$5*$N346^$W$6)*$R346^$W$7</f>
        <v>0.233818754618769</v>
      </c>
      <c r="W346" s="4" t="n">
        <f aca="false">V346/$Q346</f>
        <v>1.46136721636731</v>
      </c>
      <c r="Y346" s="4" t="n">
        <f aca="false">$Z$2*$B346^$Z$3*$R346^$Z$4*($Z$5*$N346^$Z$6+$Z$7)</f>
        <v>0.23758874716416</v>
      </c>
      <c r="Z346" s="4" t="n">
        <f aca="false">Y346/$Q346</f>
        <v>1.484929669776</v>
      </c>
      <c r="AB346" s="4" t="n">
        <f aca="false">$AC$2*($AC$3+$AC$4*$F346/($N346*'Sem TS MC2020'!P338))*($AC$5*$G346+$AC$6*$B346/$N346)*'Sem TS MC2020'!R338*($J346-$M346)/($J346-$M346-$H346)</f>
        <v>0.183814041053156</v>
      </c>
      <c r="AC346" s="4" t="n">
        <f aca="false">AB346/$Q346</f>
        <v>1.14883775658222</v>
      </c>
      <c r="AD346" s="23" t="n">
        <f aca="false">AB346-$Q346</f>
        <v>0.0238140410531559</v>
      </c>
      <c r="AE346" s="24" t="n">
        <f aca="false">1/AC346</f>
        <v>0.870444929469402</v>
      </c>
      <c r="AF346" s="24" t="n">
        <f aca="false">AB346*(14.068*'Sem TS MC2020'!$P338^-0.457)/$Q346</f>
        <v>1.37436743409462</v>
      </c>
      <c r="AG346" s="24"/>
      <c r="AO346" s="4" t="n">
        <f aca="false">$AP$2*($AP$3+$AP$4*$F346/($N346*'Sem TS MC2020'!P338))*($AP$5*$G346+$AP$6*$B346/$N346)*('Sem TS MC2020'!P338^$AP$7/200000)*($J346-$M346)/($J346-$M346-$H346)+('Sem TS MC2020'!P338-$C346/$AP$8)*($AP$5*$G346+$AP$6*$B346/$N346)/200000</f>
        <v>0.203769446128478</v>
      </c>
      <c r="AP346" s="4" t="n">
        <f aca="false">AO346/$Q346</f>
        <v>1.27355903830299</v>
      </c>
      <c r="AQ346" s="23" t="n">
        <f aca="false">AO346-$Q346</f>
        <v>0.0437694461284779</v>
      </c>
    </row>
    <row r="347" customFormat="false" ht="14.25" hidden="false" customHeight="false" outlineLevel="0" collapsed="false">
      <c r="B347" s="2" t="n">
        <v>28.7</v>
      </c>
      <c r="C347" s="3" t="n">
        <v>276</v>
      </c>
      <c r="D347" s="3" t="n">
        <v>2</v>
      </c>
      <c r="E347" s="2" t="n">
        <v>50.6</v>
      </c>
      <c r="F347" s="4" t="n">
        <v>2.57657861790804</v>
      </c>
      <c r="G347" s="2" t="n">
        <v>38</v>
      </c>
      <c r="H347" s="2" t="n">
        <v>52.3</v>
      </c>
      <c r="I347" s="1" t="n">
        <v>152.4</v>
      </c>
      <c r="J347" s="2" t="n">
        <v>584.2</v>
      </c>
      <c r="K347" s="3" t="n">
        <v>1290</v>
      </c>
      <c r="L347" s="4" t="n">
        <v>27896.82</v>
      </c>
      <c r="M347" s="3" t="n">
        <v>196.926616139336</v>
      </c>
      <c r="N347" s="12" t="n">
        <v>0.0462418297139244</v>
      </c>
      <c r="O347" s="4" t="n">
        <v>149.268</v>
      </c>
      <c r="P347" s="3" t="n">
        <v>213.14386705439</v>
      </c>
      <c r="Q347" s="4" t="n">
        <v>0.19</v>
      </c>
      <c r="R347" s="13" t="n">
        <f aca="false">P347/200000</f>
        <v>0.00106571933527195</v>
      </c>
      <c r="V347" s="4" t="n">
        <f aca="false">$W$2*($W$3*$G347+$W$4*$B347^$W$5*$N347^$W$6)*$R347^$W$7</f>
        <v>0.259076508550993</v>
      </c>
      <c r="W347" s="4" t="n">
        <f aca="false">V347/$Q347</f>
        <v>1.36356057132102</v>
      </c>
      <c r="Y347" s="4" t="n">
        <f aca="false">$Z$2*$B347^$Z$3*$R347^$Z$4*($Z$5*$N347^$Z$6+$Z$7)</f>
        <v>0.263735616222622</v>
      </c>
      <c r="Z347" s="4" t="n">
        <f aca="false">Y347/$Q347</f>
        <v>1.38808219064538</v>
      </c>
      <c r="AB347" s="4" t="n">
        <f aca="false">$AC$2*($AC$3+$AC$4*$F347/($N347*'Sem TS MC2020'!P339))*($AC$5*$G347+$AC$6*$B347/$N347)*'Sem TS MC2020'!R339*($J347-$M347)/($J347-$M347-$H347)</f>
        <v>0.21123499792342</v>
      </c>
      <c r="AC347" s="4" t="n">
        <f aca="false">AB347/$Q347</f>
        <v>1.11176314696537</v>
      </c>
      <c r="AD347" s="23" t="n">
        <f aca="false">AB347-$Q347</f>
        <v>0.0212349979234202</v>
      </c>
      <c r="AE347" s="24" t="n">
        <f aca="false">1/AC347</f>
        <v>0.899472160711178</v>
      </c>
      <c r="AF347" s="24" t="n">
        <f aca="false">AB347*(14.068*'Sem TS MC2020'!$P339^-0.457)/$Q347</f>
        <v>1.25847175546253</v>
      </c>
      <c r="AG347" s="24"/>
      <c r="AO347" s="4" t="n">
        <f aca="false">$AP$2*($AP$3+$AP$4*$F347/($N347*'Sem TS MC2020'!P339))*($AP$5*$G347+$AP$6*$B347/$N347)*('Sem TS MC2020'!P339^$AP$7/200000)*($J347-$M347)/($J347-$M347-$H347)+('Sem TS MC2020'!P339-$C347/$AP$8)*($AP$5*$G347+$AP$6*$B347/$N347)/200000</f>
        <v>0.230418919061623</v>
      </c>
      <c r="AP347" s="4" t="n">
        <f aca="false">AO347/$Q347</f>
        <v>1.21273115295591</v>
      </c>
      <c r="AQ347" s="23" t="n">
        <f aca="false">AO347-$Q347</f>
        <v>0.0404189190616231</v>
      </c>
    </row>
    <row r="348" customFormat="false" ht="14.25" hidden="false" customHeight="false" outlineLevel="0" collapsed="false">
      <c r="B348" s="2" t="n">
        <v>28.7</v>
      </c>
      <c r="C348" s="3" t="n">
        <v>276</v>
      </c>
      <c r="D348" s="3" t="n">
        <v>2</v>
      </c>
      <c r="E348" s="2" t="n">
        <v>50.6</v>
      </c>
      <c r="F348" s="4" t="n">
        <v>2.57657861790804</v>
      </c>
      <c r="G348" s="2" t="n">
        <v>38</v>
      </c>
      <c r="H348" s="2" t="n">
        <v>52.3</v>
      </c>
      <c r="I348" s="1" t="n">
        <v>152.4</v>
      </c>
      <c r="J348" s="2" t="n">
        <v>584.2</v>
      </c>
      <c r="K348" s="3" t="n">
        <v>1290</v>
      </c>
      <c r="L348" s="4" t="n">
        <v>27896.82</v>
      </c>
      <c r="M348" s="3" t="n">
        <v>196.926616139336</v>
      </c>
      <c r="N348" s="12" t="n">
        <v>0.0462418297139244</v>
      </c>
      <c r="O348" s="4" t="n">
        <v>168.882</v>
      </c>
      <c r="P348" s="3" t="n">
        <v>245.03832142352</v>
      </c>
      <c r="Q348" s="4" t="n">
        <v>0.22</v>
      </c>
      <c r="R348" s="13" t="n">
        <f aca="false">P348/200000</f>
        <v>0.0012251916071176</v>
      </c>
      <c r="V348" s="4" t="n">
        <f aca="false">$W$2*($W$3*$G348+$W$4*$B348^$W$5*$N348^$W$6)*$R348^$W$7</f>
        <v>0.282354215610047</v>
      </c>
      <c r="W348" s="4" t="n">
        <f aca="false">V348/$Q348</f>
        <v>1.28342825277294</v>
      </c>
      <c r="Y348" s="4" t="n">
        <f aca="false">$Z$2*$B348^$Z$3*$R348^$Z$4*($Z$5*$N348^$Z$6+$Z$7)</f>
        <v>0.287873174227685</v>
      </c>
      <c r="Z348" s="4" t="n">
        <f aca="false">Y348/$Q348</f>
        <v>1.30851442830766</v>
      </c>
      <c r="AB348" s="4" t="n">
        <f aca="false">$AC$2*($AC$3+$AC$4*$F348/($N348*'Sem TS MC2020'!P340))*($AC$5*$G348+$AC$6*$B348/$N348)*'Sem TS MC2020'!R340*($J348-$M348)/($J348-$M348-$H348)</f>
        <v>0.238024242179356</v>
      </c>
      <c r="AC348" s="4" t="n">
        <f aca="false">AB348/$Q348</f>
        <v>1.08192837354253</v>
      </c>
      <c r="AD348" s="23" t="n">
        <f aca="false">AB348-$Q348</f>
        <v>0.0180242421793562</v>
      </c>
      <c r="AE348" s="24" t="n">
        <f aca="false">1/AC348</f>
        <v>0.92427560313048</v>
      </c>
      <c r="AF348" s="24" t="n">
        <f aca="false">AB348*(14.068*'Sem TS MC2020'!$P340^-0.457)/$Q348</f>
        <v>1.16702266938956</v>
      </c>
      <c r="AG348" s="24"/>
      <c r="AO348" s="4" t="n">
        <f aca="false">$AP$2*($AP$3+$AP$4*$F348/($N348*'Sem TS MC2020'!P340))*($AP$5*$G348+$AP$6*$B348/$N348)*('Sem TS MC2020'!P340^$AP$7/200000)*($J348-$M348)/($J348-$M348-$H348)+('Sem TS MC2020'!P340-$C348/$AP$8)*($AP$5*$G348+$AP$6*$B348/$N348)/200000</f>
        <v>0.255895807991045</v>
      </c>
      <c r="AP348" s="4" t="n">
        <f aca="false">AO348/$Q348</f>
        <v>1.16316276359566</v>
      </c>
      <c r="AQ348" s="23" t="n">
        <f aca="false">AO348-$Q348</f>
        <v>0.0358958079910451</v>
      </c>
    </row>
    <row r="349" customFormat="false" ht="14.25" hidden="false" customHeight="false" outlineLevel="0" collapsed="false">
      <c r="A349" s="1" t="s">
        <v>104</v>
      </c>
      <c r="B349" s="2" t="n">
        <v>35.8</v>
      </c>
      <c r="C349" s="3" t="n">
        <v>276</v>
      </c>
      <c r="D349" s="3" t="n">
        <v>2</v>
      </c>
      <c r="E349" s="2" t="n">
        <v>36.4</v>
      </c>
      <c r="F349" s="4" t="n">
        <v>2.54783553354044</v>
      </c>
      <c r="G349" s="2" t="n">
        <v>38</v>
      </c>
      <c r="H349" s="2" t="n">
        <v>55.9</v>
      </c>
      <c r="I349" s="1" t="n">
        <v>152.4</v>
      </c>
      <c r="J349" s="2" t="n">
        <v>584.2</v>
      </c>
      <c r="K349" s="3" t="n">
        <v>2012</v>
      </c>
      <c r="L349" s="4" t="n">
        <v>29817.06</v>
      </c>
      <c r="M349" s="3" t="n">
        <v>231.967079154845</v>
      </c>
      <c r="N349" s="12" t="n">
        <v>0.0674781484157056</v>
      </c>
      <c r="O349" s="4" t="n">
        <v>167.034</v>
      </c>
      <c r="P349" s="3" t="n">
        <v>150.918822000117</v>
      </c>
      <c r="Q349" s="4" t="n">
        <v>0.17</v>
      </c>
      <c r="R349" s="13" t="n">
        <f aca="false">P349/200000</f>
        <v>0.000754594110000586</v>
      </c>
      <c r="V349" s="4" t="n">
        <f aca="false">$W$2*($W$3*$G349+$W$4*$B349^$W$5*$N349^$W$6)*$R349^$W$7</f>
        <v>0.207484430071591</v>
      </c>
      <c r="W349" s="4" t="n">
        <f aca="false">V349/$Q349</f>
        <v>1.22049664747995</v>
      </c>
      <c r="Y349" s="4" t="n">
        <f aca="false">$Z$2*$B349^$Z$3*$R349^$Z$4*($Z$5*$N349^$Z$6+$Z$7)</f>
        <v>0.217744584116618</v>
      </c>
      <c r="Z349" s="4" t="n">
        <f aca="false">Y349/$Q349</f>
        <v>1.28085049480363</v>
      </c>
      <c r="AB349" s="4" t="n">
        <f aca="false">$AC$2*($AC$3+$AC$4*$F349/($N349*'Sem TS MC2020'!P341))*($AC$5*$G349+$AC$6*$B349/$N349)*'Sem TS MC2020'!R341*($J349-$M349)/($J349-$M349-$H349)</f>
        <v>0.146534218953793</v>
      </c>
      <c r="AC349" s="4" t="n">
        <f aca="false">AB349/$Q349</f>
        <v>0.861965993845842</v>
      </c>
      <c r="AD349" s="23" t="n">
        <f aca="false">AB349-$Q349</f>
        <v>-0.0234657810462068</v>
      </c>
      <c r="AE349" s="24" t="n">
        <f aca="false">1/AC349</f>
        <v>1.16013857523345</v>
      </c>
      <c r="AF349" s="24" t="n">
        <f aca="false">AB349*(14.068*'Sem TS MC2020'!$P341^-0.457)/$Q349</f>
        <v>1.11842659607425</v>
      </c>
      <c r="AG349" s="24"/>
      <c r="AO349" s="4" t="n">
        <f aca="false">$AP$2*($AP$3+$AP$4*$F349/($N349*'Sem TS MC2020'!P341))*($AP$5*$G349+$AP$6*$B349/$N349)*('Sem TS MC2020'!P341^$AP$7/200000)*($J349-$M349)/($J349-$M349-$H349)+('Sem TS MC2020'!P341-$C349/$AP$8)*($AP$5*$G349+$AP$6*$B349/$N349)/200000</f>
        <v>0.164839592346592</v>
      </c>
      <c r="AP349" s="4" t="n">
        <f aca="false">AO349/$Q349</f>
        <v>0.969644660862307</v>
      </c>
      <c r="AQ349" s="23" t="n">
        <f aca="false">AO349-$Q349</f>
        <v>-0.00516040765340775</v>
      </c>
    </row>
    <row r="350" customFormat="false" ht="14.25" hidden="false" customHeight="false" outlineLevel="0" collapsed="false">
      <c r="A350" s="1" t="s">
        <v>105</v>
      </c>
      <c r="B350" s="2" t="n">
        <v>35.8</v>
      </c>
      <c r="C350" s="3" t="n">
        <v>276</v>
      </c>
      <c r="D350" s="3" t="n">
        <v>2</v>
      </c>
      <c r="E350" s="2" t="n">
        <v>36.4</v>
      </c>
      <c r="F350" s="4" t="n">
        <v>2.75637342683892</v>
      </c>
      <c r="G350" s="2" t="n">
        <v>38</v>
      </c>
      <c r="H350" s="2" t="n">
        <v>55.9</v>
      </c>
      <c r="I350" s="1" t="n">
        <v>152.4</v>
      </c>
      <c r="J350" s="2" t="n">
        <v>584.2</v>
      </c>
      <c r="K350" s="3" t="n">
        <v>2012</v>
      </c>
      <c r="L350" s="4" t="n">
        <v>29817.06</v>
      </c>
      <c r="M350" s="3" t="n">
        <v>228.699800687537</v>
      </c>
      <c r="N350" s="12" t="n">
        <v>0.0674781484157056</v>
      </c>
      <c r="O350" s="4" t="n">
        <v>130.788</v>
      </c>
      <c r="P350" s="3" t="n">
        <v>108.349173275283</v>
      </c>
      <c r="Q350" s="4" t="n">
        <v>0.19</v>
      </c>
      <c r="R350" s="13" t="n">
        <f aca="false">P350/200000</f>
        <v>0.000541745866376417</v>
      </c>
      <c r="V350" s="4" t="n">
        <f aca="false">$W$2*($W$3*$G350+$W$4*$B350^$W$5*$N350^$W$6)*$R350^$W$7</f>
        <v>0.169117374094634</v>
      </c>
      <c r="W350" s="4" t="n">
        <f aca="false">V350/$Q350</f>
        <v>0.890091442603335</v>
      </c>
      <c r="Y350" s="4" t="n">
        <f aca="false">$Z$2*$B350^$Z$3*$R350^$Z$4*($Z$5*$N350^$Z$6+$Z$7)</f>
        <v>0.176834492510042</v>
      </c>
      <c r="Z350" s="4" t="n">
        <f aca="false">Y350/$Q350</f>
        <v>0.930707855316012</v>
      </c>
      <c r="AB350" s="4" t="n">
        <f aca="false">$AC$2*($AC$3+$AC$4*$F350/($N350*'Sem TS MC2020'!P342))*($AC$5*$G350+$AC$6*$B350/$N350)*'Sem TS MC2020'!R342*($J350-$M350)/($J350-$M350-$H350)</f>
        <v>0.108736603921636</v>
      </c>
      <c r="AC350" s="4" t="n">
        <f aca="false">AB350/$Q350</f>
        <v>0.572297915377031</v>
      </c>
      <c r="AD350" s="23" t="n">
        <f aca="false">AB350-$Q350</f>
        <v>-0.0812633960783642</v>
      </c>
      <c r="AE350" s="24" t="n">
        <f aca="false">1/AC350</f>
        <v>1.74734167840049</v>
      </c>
      <c r="AF350" s="24" t="n">
        <f aca="false">AB350*(14.068*'Sem TS MC2020'!$P342^-0.457)/$Q350</f>
        <v>0.831320603299343</v>
      </c>
      <c r="AG350" s="24"/>
      <c r="AO350" s="4" t="n">
        <f aca="false">$AP$2*($AP$3+$AP$4*$F350/($N350*'Sem TS MC2020'!P342))*($AP$5*$G350+$AP$6*$B350/$N350)*('Sem TS MC2020'!P342^$AP$7/200000)*($J350-$M350)/($J350-$M350-$H350)+('Sem TS MC2020'!P342-$C350/$AP$8)*($AP$5*$G350+$AP$6*$B350/$N350)/200000</f>
        <v>0.12596056373655</v>
      </c>
      <c r="AP350" s="4" t="n">
        <f aca="false">AO350/$Q350</f>
        <v>0.662950335455529</v>
      </c>
      <c r="AQ350" s="23" t="n">
        <f aca="false">AO350-$Q350</f>
        <v>-0.0640394362634496</v>
      </c>
    </row>
    <row r="351" customFormat="false" ht="14.25" hidden="false" customHeight="false" outlineLevel="0" collapsed="false">
      <c r="B351" s="2" t="n">
        <v>35.8</v>
      </c>
      <c r="C351" s="3" t="n">
        <v>276</v>
      </c>
      <c r="D351" s="3" t="n">
        <v>2</v>
      </c>
      <c r="E351" s="2" t="n">
        <v>36.4</v>
      </c>
      <c r="F351" s="4" t="n">
        <v>2.75637342683892</v>
      </c>
      <c r="G351" s="2" t="n">
        <v>38</v>
      </c>
      <c r="H351" s="2" t="n">
        <v>55.9</v>
      </c>
      <c r="I351" s="1" t="n">
        <v>152.4</v>
      </c>
      <c r="J351" s="2" t="n">
        <v>584.2</v>
      </c>
      <c r="K351" s="3" t="n">
        <v>2012</v>
      </c>
      <c r="L351" s="4" t="n">
        <v>29817.06</v>
      </c>
      <c r="M351" s="3" t="n">
        <v>228.699800687537</v>
      </c>
      <c r="N351" s="12" t="n">
        <v>0.0674781484157056</v>
      </c>
      <c r="O351" s="4" t="n">
        <v>167.034</v>
      </c>
      <c r="P351" s="3" t="n">
        <v>148.199286582844</v>
      </c>
      <c r="Q351" s="4" t="n">
        <v>0.25</v>
      </c>
      <c r="R351" s="13" t="n">
        <f aca="false">P351/200000</f>
        <v>0.00074099643291422</v>
      </c>
      <c r="V351" s="4" t="n">
        <f aca="false">$W$2*($W$3*$G351+$W$4*$B351^$W$5*$N351^$W$6)*$R351^$W$7</f>
        <v>0.205169538707502</v>
      </c>
      <c r="W351" s="4" t="n">
        <f aca="false">V351/$Q351</f>
        <v>0.820678154830009</v>
      </c>
      <c r="Y351" s="4" t="n">
        <f aca="false">$Z$2*$B351^$Z$3*$R351^$Z$4*($Z$5*$N351^$Z$6+$Z$7)</f>
        <v>0.215272156472023</v>
      </c>
      <c r="Z351" s="4" t="n">
        <f aca="false">Y351/$Q351</f>
        <v>0.861088625888091</v>
      </c>
      <c r="AB351" s="4" t="n">
        <f aca="false">$AC$2*($AC$3+$AC$4*$F351/($N351*'Sem TS MC2020'!P343))*($AC$5*$G351+$AC$6*$B351/$N351)*'Sem TS MC2020'!R343*($J351-$M351)/($J351-$M351-$H351)</f>
        <v>0.14438008532206</v>
      </c>
      <c r="AC351" s="4" t="n">
        <f aca="false">AB351/$Q351</f>
        <v>0.57752034128824</v>
      </c>
      <c r="AD351" s="23" t="n">
        <f aca="false">AB351-$Q351</f>
        <v>-0.10561991467794</v>
      </c>
      <c r="AE351" s="24" t="n">
        <f aca="false">1/AC351</f>
        <v>1.73154074152498</v>
      </c>
      <c r="AF351" s="24" t="n">
        <f aca="false">AB351*(14.068*'Sem TS MC2020'!$P343^-0.457)/$Q351</f>
        <v>0.750176343050036</v>
      </c>
      <c r="AG351" s="24"/>
      <c r="AO351" s="4" t="n">
        <f aca="false">$AP$2*($AP$3+$AP$4*$F351/($N351*'Sem TS MC2020'!P343))*($AP$5*$G351+$AP$6*$B351/$N351)*('Sem TS MC2020'!P343^$AP$7/200000)*($J351-$M351)/($J351-$M351-$H351)+('Sem TS MC2020'!P343-$C351/$AP$8)*($AP$5*$G351+$AP$6*$B351/$N351)/200000</f>
        <v>0.16246279201389</v>
      </c>
      <c r="AP351" s="4" t="n">
        <f aca="false">AO351/$Q351</f>
        <v>0.649851168055559</v>
      </c>
      <c r="AQ351" s="23" t="n">
        <f aca="false">AO351-$Q351</f>
        <v>-0.0875372079861103</v>
      </c>
    </row>
    <row r="352" customFormat="false" ht="14.25" hidden="false" customHeight="false" outlineLevel="0" collapsed="false">
      <c r="Y352" s="1"/>
      <c r="Z352" s="1"/>
      <c r="AB352" s="1"/>
      <c r="AC352" s="1"/>
      <c r="AO352" s="1"/>
      <c r="AP352" s="1"/>
    </row>
    <row r="353" customFormat="false" ht="14.25" hidden="false" customHeight="false" outlineLevel="0" collapsed="false">
      <c r="V353" s="1" t="s">
        <v>106</v>
      </c>
      <c r="W353" s="4" t="n">
        <f aca="false">AVERAGE(W11:W351)</f>
        <v>1.06576826360784</v>
      </c>
      <c r="Y353" s="1" t="s">
        <v>106</v>
      </c>
      <c r="Z353" s="4" t="n">
        <f aca="false">AVERAGE(Z11:Z351)</f>
        <v>1.06796157478175</v>
      </c>
      <c r="AB353" s="1" t="s">
        <v>106</v>
      </c>
      <c r="AC353" s="4" t="n">
        <f aca="false">AVERAGE(AC11:AC351)</f>
        <v>1.02175868901109</v>
      </c>
      <c r="AD353" s="4"/>
      <c r="AE353" s="1"/>
      <c r="AF353" s="4" t="n">
        <f aca="false">AVERAGE(AF11:AF351)</f>
        <v>1.0565499551376</v>
      </c>
      <c r="AG353" s="4"/>
      <c r="AO353" s="1" t="s">
        <v>106</v>
      </c>
      <c r="AP353" s="4" t="n">
        <f aca="false">AVERAGE(AP11:AP351)</f>
        <v>1.06851533122664</v>
      </c>
      <c r="AQ353" s="4"/>
    </row>
    <row r="354" customFormat="false" ht="14.25" hidden="false" customHeight="false" outlineLevel="0" collapsed="false">
      <c r="V354" s="1" t="s">
        <v>107</v>
      </c>
      <c r="W354" s="4" t="n">
        <f aca="false">_xlfn.STDEV.S(W11:W351)</f>
        <v>0.313963928908075</v>
      </c>
      <c r="Y354" s="1" t="s">
        <v>107</v>
      </c>
      <c r="Z354" s="4" t="n">
        <f aca="false">_xlfn.STDEV.S(Z11:Z351)</f>
        <v>0.314912970711103</v>
      </c>
      <c r="AB354" s="1" t="s">
        <v>107</v>
      </c>
      <c r="AC354" s="4" t="n">
        <f aca="false">_xlfn.STDEV.S(AC11:AC351)</f>
        <v>0.336531590236109</v>
      </c>
      <c r="AD354" s="4"/>
      <c r="AE354" s="1"/>
      <c r="AF354" s="4" t="n">
        <f aca="false">_xlfn.STDEV.S(AF11:AF351)</f>
        <v>0.318650071395604</v>
      </c>
      <c r="AG354" s="4"/>
      <c r="AO354" s="1" t="s">
        <v>107</v>
      </c>
      <c r="AP354" s="4" t="n">
        <f aca="false">_xlfn.STDEV.S(AP11:AP351)</f>
        <v>0.346365040787737</v>
      </c>
      <c r="AQ354" s="4"/>
    </row>
    <row r="355" customFormat="false" ht="14.25" hidden="false" customHeight="false" outlineLevel="0" collapsed="false">
      <c r="V355" s="1" t="s">
        <v>108</v>
      </c>
      <c r="W355" s="10" t="n">
        <f aca="false">W354/W353</f>
        <v>0.29458930203574</v>
      </c>
      <c r="Y355" s="1" t="s">
        <v>108</v>
      </c>
      <c r="Z355" s="10" t="n">
        <f aca="false">Z354/Z353</f>
        <v>0.294872941262384</v>
      </c>
      <c r="AB355" s="1" t="s">
        <v>108</v>
      </c>
      <c r="AC355" s="10" t="n">
        <f aca="false">AC354/AC353</f>
        <v>0.329365038786038</v>
      </c>
      <c r="AE355" s="1"/>
      <c r="AF355" s="10" t="n">
        <f aca="false">AF354/AF353</f>
        <v>0.301594893687829</v>
      </c>
      <c r="AG355" s="10"/>
      <c r="AO355" s="1" t="s">
        <v>108</v>
      </c>
      <c r="AP355" s="10" t="n">
        <f aca="false">AP354/AP353</f>
        <v>0.324155424508618</v>
      </c>
    </row>
  </sheetData>
  <mergeCells count="1">
    <mergeCell ref="B9:P9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47"/>
  <sheetViews>
    <sheetView showFormulas="false" showGridLines="true" showRowColHeaders="true" showZeros="true" rightToLeft="false" tabSelected="false" showOutlineSymbols="true" defaultGridColor="true" view="normal" topLeftCell="G1" colorId="64" zoomScale="120" zoomScaleNormal="120" zoomScalePageLayoutView="100" workbookViewId="0">
      <selection pane="topLeft" activeCell="A12" activeCellId="0" sqref="A12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33.11"/>
    <col collapsed="false" customWidth="true" hidden="false" outlineLevel="0" max="2" min="2" style="1" width="24.78"/>
    <col collapsed="false" customWidth="true" hidden="false" outlineLevel="0" max="3" min="3" style="3" width="24.78"/>
    <col collapsed="false" customWidth="true" hidden="false" outlineLevel="0" max="4" min="4" style="1" width="29.66"/>
    <col collapsed="false" customWidth="true" hidden="false" outlineLevel="0" max="5" min="5" style="2" width="29.33"/>
    <col collapsed="false" customWidth="true" hidden="false" outlineLevel="0" max="6" min="6" style="4" width="36.78"/>
    <col collapsed="false" customWidth="true" hidden="false" outlineLevel="0" max="7" min="7" style="1" width="16.45"/>
    <col collapsed="false" customWidth="true" hidden="false" outlineLevel="0" max="8" min="8" style="1" width="44.55"/>
    <col collapsed="false" customWidth="true" hidden="false" outlineLevel="0" max="9" min="9" style="1" width="20.45"/>
    <col collapsed="false" customWidth="true" hidden="false" outlineLevel="0" max="10" min="10" style="1" width="19.78"/>
    <col collapsed="false" customWidth="true" hidden="false" outlineLevel="0" max="11" min="11" style="1" width="29.78"/>
    <col collapsed="false" customWidth="true" hidden="false" outlineLevel="0" max="12" min="12" style="1" width="31.22"/>
    <col collapsed="false" customWidth="true" hidden="false" outlineLevel="0" max="13" min="13" style="3" width="30.67"/>
    <col collapsed="false" customWidth="true" hidden="false" outlineLevel="0" max="14" min="14" style="12" width="16.33"/>
    <col collapsed="false" customWidth="true" hidden="false" outlineLevel="0" max="15" min="15" style="12" width="23.22"/>
    <col collapsed="false" customWidth="true" hidden="false" outlineLevel="0" max="16" min="16" style="3" width="22.67"/>
    <col collapsed="false" customWidth="true" hidden="false" outlineLevel="0" max="17" min="17" style="4" width="9.66"/>
    <col collapsed="false" customWidth="true" hidden="false" outlineLevel="0" max="18" min="18" style="13" width="22.11"/>
    <col collapsed="false" customWidth="true" hidden="false" outlineLevel="0" max="23" min="22" style="1" width="8.89"/>
  </cols>
  <sheetData>
    <row r="1" customFormat="false" ht="14.25" hidden="false" customHeight="false" outlineLevel="0" collapsed="false">
      <c r="A1" s="0" t="s">
        <v>8</v>
      </c>
      <c r="B1" s="11" t="s">
        <v>9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4" t="s">
        <v>10</v>
      </c>
    </row>
    <row r="2" customFormat="false" ht="16.4" hidden="false" customHeight="false" outlineLevel="0" collapsed="false">
      <c r="B2" s="1" t="s">
        <v>109</v>
      </c>
      <c r="C2" s="3" t="s">
        <v>12</v>
      </c>
      <c r="D2" s="1" t="s">
        <v>13</v>
      </c>
      <c r="E2" s="2" t="s">
        <v>14</v>
      </c>
      <c r="F2" s="4" t="s">
        <v>110</v>
      </c>
      <c r="G2" s="1" t="s">
        <v>111</v>
      </c>
      <c r="H2" s="1" t="s">
        <v>112</v>
      </c>
      <c r="I2" s="1" t="s">
        <v>119</v>
      </c>
      <c r="J2" s="18" t="s">
        <v>120</v>
      </c>
      <c r="K2" s="18" t="s">
        <v>121</v>
      </c>
      <c r="L2" s="18" t="s">
        <v>122</v>
      </c>
      <c r="M2" s="19" t="s">
        <v>123</v>
      </c>
      <c r="N2" s="12" t="s">
        <v>113</v>
      </c>
      <c r="O2" s="12" t="s">
        <v>129</v>
      </c>
      <c r="P2" s="3" t="s">
        <v>114</v>
      </c>
      <c r="Q2" s="4" t="s">
        <v>115</v>
      </c>
      <c r="R2" s="21" t="s">
        <v>130</v>
      </c>
    </row>
    <row r="3" customFormat="false" ht="14.25" hidden="false" customHeight="false" outlineLevel="0" collapsed="false">
      <c r="A3" s="0" t="s">
        <v>22</v>
      </c>
      <c r="B3" s="1" t="n">
        <v>20</v>
      </c>
      <c r="C3" s="3" t="n">
        <v>500</v>
      </c>
      <c r="D3" s="1" t="n">
        <v>2</v>
      </c>
      <c r="E3" s="2" t="n">
        <v>126</v>
      </c>
      <c r="F3" s="4" t="n">
        <v>4.12034052390144</v>
      </c>
      <c r="G3" s="1" t="n">
        <v>25</v>
      </c>
      <c r="H3" s="1" t="n">
        <v>39</v>
      </c>
      <c r="I3" s="1" t="n">
        <v>216</v>
      </c>
      <c r="J3" s="1" t="n">
        <v>201</v>
      </c>
      <c r="K3" s="1" t="n">
        <v>628</v>
      </c>
      <c r="L3" s="1" t="n">
        <v>29484</v>
      </c>
      <c r="M3" s="3" t="n">
        <v>57.3617765856203</v>
      </c>
      <c r="N3" s="12" t="n">
        <v>0.0212996879663546</v>
      </c>
      <c r="O3" s="4" t="n">
        <v>20.8</v>
      </c>
      <c r="P3" s="3" t="n">
        <v>231.811004938734</v>
      </c>
      <c r="Q3" s="4" t="n">
        <v>0.16</v>
      </c>
      <c r="R3" s="13" t="n">
        <f aca="false">P3/200000</f>
        <v>0.00115905502469367</v>
      </c>
      <c r="V3" s="4"/>
      <c r="W3" s="4"/>
    </row>
    <row r="4" customFormat="false" ht="14.25" hidden="false" customHeight="false" outlineLevel="0" collapsed="false">
      <c r="B4" s="1" t="n">
        <v>20</v>
      </c>
      <c r="C4" s="3" t="n">
        <v>500</v>
      </c>
      <c r="D4" s="1" t="n">
        <v>2</v>
      </c>
      <c r="E4" s="2" t="n">
        <v>126</v>
      </c>
      <c r="F4" s="4" t="n">
        <v>4.12034052390144</v>
      </c>
      <c r="G4" s="1" t="n">
        <v>25</v>
      </c>
      <c r="H4" s="1" t="n">
        <v>39</v>
      </c>
      <c r="I4" s="1" t="n">
        <v>216</v>
      </c>
      <c r="J4" s="1" t="n">
        <v>201</v>
      </c>
      <c r="K4" s="1" t="n">
        <v>628</v>
      </c>
      <c r="L4" s="1" t="n">
        <v>29484</v>
      </c>
      <c r="M4" s="3" t="n">
        <v>57.3617765856203</v>
      </c>
      <c r="N4" s="12" t="n">
        <v>0.0212996879663546</v>
      </c>
      <c r="O4" s="4" t="n">
        <v>27.3</v>
      </c>
      <c r="P4" s="3" t="n">
        <v>304.251943982088</v>
      </c>
      <c r="Q4" s="4" t="n">
        <v>0.23</v>
      </c>
      <c r="R4" s="13" t="n">
        <f aca="false">P4/200000</f>
        <v>0.00152125971991044</v>
      </c>
      <c r="V4" s="4"/>
      <c r="W4" s="4"/>
    </row>
    <row r="5" customFormat="false" ht="14.25" hidden="false" customHeight="false" outlineLevel="0" collapsed="false">
      <c r="B5" s="1" t="n">
        <v>20</v>
      </c>
      <c r="C5" s="3" t="n">
        <v>500</v>
      </c>
      <c r="D5" s="1" t="n">
        <v>2</v>
      </c>
      <c r="E5" s="2" t="n">
        <v>126</v>
      </c>
      <c r="F5" s="4" t="n">
        <v>4.12034052390144</v>
      </c>
      <c r="G5" s="1" t="n">
        <v>25</v>
      </c>
      <c r="H5" s="1" t="n">
        <v>39</v>
      </c>
      <c r="I5" s="1" t="n">
        <v>216</v>
      </c>
      <c r="J5" s="1" t="n">
        <v>201</v>
      </c>
      <c r="K5" s="1" t="n">
        <v>628</v>
      </c>
      <c r="L5" s="1" t="n">
        <v>29484</v>
      </c>
      <c r="M5" s="3" t="n">
        <v>57.3617765856203</v>
      </c>
      <c r="N5" s="12" t="n">
        <v>0.0212996879663546</v>
      </c>
      <c r="O5" s="4" t="n">
        <v>28.2</v>
      </c>
      <c r="P5" s="3" t="n">
        <v>314.282227849629</v>
      </c>
      <c r="Q5" s="4" t="n">
        <v>0.24</v>
      </c>
      <c r="R5" s="13" t="n">
        <f aca="false">P5/200000</f>
        <v>0.00157141113924815</v>
      </c>
      <c r="V5" s="4"/>
      <c r="W5" s="4"/>
    </row>
    <row r="6" customFormat="false" ht="14.25" hidden="false" customHeight="false" outlineLevel="0" collapsed="false">
      <c r="B6" s="1" t="n">
        <v>20</v>
      </c>
      <c r="C6" s="3" t="n">
        <v>500</v>
      </c>
      <c r="D6" s="1" t="n">
        <v>2</v>
      </c>
      <c r="E6" s="2" t="n">
        <v>126</v>
      </c>
      <c r="F6" s="4" t="n">
        <v>4.12034052390144</v>
      </c>
      <c r="G6" s="1" t="n">
        <v>25</v>
      </c>
      <c r="H6" s="1" t="n">
        <v>39</v>
      </c>
      <c r="I6" s="1" t="n">
        <v>216</v>
      </c>
      <c r="J6" s="1" t="n">
        <v>201</v>
      </c>
      <c r="K6" s="1" t="n">
        <v>628</v>
      </c>
      <c r="L6" s="1" t="n">
        <v>29484</v>
      </c>
      <c r="M6" s="3" t="n">
        <v>57.3617765856203</v>
      </c>
      <c r="N6" s="12" t="n">
        <v>0.0212996879663546</v>
      </c>
      <c r="O6" s="4" t="n">
        <v>32.6</v>
      </c>
      <c r="P6" s="3" t="n">
        <v>363.319171202054</v>
      </c>
      <c r="Q6" s="4" t="n">
        <v>0.27</v>
      </c>
      <c r="R6" s="13" t="n">
        <f aca="false">P6/200000</f>
        <v>0.00181659585601027</v>
      </c>
      <c r="V6" s="4"/>
      <c r="W6" s="4"/>
    </row>
    <row r="7" customFormat="false" ht="14.25" hidden="false" customHeight="false" outlineLevel="0" collapsed="false">
      <c r="B7" s="1" t="n">
        <v>20</v>
      </c>
      <c r="C7" s="3" t="n">
        <v>500</v>
      </c>
      <c r="D7" s="1" t="n">
        <v>2</v>
      </c>
      <c r="E7" s="2" t="n">
        <v>126</v>
      </c>
      <c r="F7" s="4" t="n">
        <v>4.12034052390144</v>
      </c>
      <c r="G7" s="1" t="n">
        <v>25</v>
      </c>
      <c r="H7" s="1" t="n">
        <v>39</v>
      </c>
      <c r="I7" s="1" t="n">
        <v>216</v>
      </c>
      <c r="J7" s="1" t="n">
        <v>201</v>
      </c>
      <c r="K7" s="1" t="n">
        <v>628</v>
      </c>
      <c r="L7" s="1" t="n">
        <v>29484</v>
      </c>
      <c r="M7" s="3" t="n">
        <v>57.3617765856203</v>
      </c>
      <c r="N7" s="12" t="n">
        <v>0.0212996879663546</v>
      </c>
      <c r="O7" s="4" t="n">
        <v>41.2</v>
      </c>
      <c r="P7" s="3" t="n">
        <v>459.164105936338</v>
      </c>
      <c r="Q7" s="4" t="n">
        <v>0.35</v>
      </c>
      <c r="R7" s="13" t="n">
        <f aca="false">P7/200000</f>
        <v>0.00229582052968169</v>
      </c>
      <c r="V7" s="4"/>
      <c r="W7" s="4"/>
    </row>
    <row r="8" customFormat="false" ht="14.25" hidden="false" customHeight="false" outlineLevel="0" collapsed="false">
      <c r="B8" s="1" t="n">
        <v>20</v>
      </c>
      <c r="C8" s="3" t="n">
        <v>500</v>
      </c>
      <c r="D8" s="1" t="n">
        <v>2</v>
      </c>
      <c r="E8" s="2" t="n">
        <v>126</v>
      </c>
      <c r="F8" s="4" t="n">
        <v>4.12034052390144</v>
      </c>
      <c r="G8" s="1" t="n">
        <v>25</v>
      </c>
      <c r="H8" s="1" t="n">
        <v>39</v>
      </c>
      <c r="I8" s="1" t="n">
        <v>216</v>
      </c>
      <c r="J8" s="1" t="n">
        <v>201</v>
      </c>
      <c r="K8" s="1" t="n">
        <v>628</v>
      </c>
      <c r="L8" s="1" t="n">
        <v>29484</v>
      </c>
      <c r="M8" s="3" t="n">
        <v>57.3617765856203</v>
      </c>
      <c r="N8" s="12" t="n">
        <v>0.0212996879663546</v>
      </c>
      <c r="O8" s="4" t="n">
        <v>44.9</v>
      </c>
      <c r="P8" s="3" t="n">
        <v>500</v>
      </c>
      <c r="Q8" s="4" t="n">
        <v>0.4</v>
      </c>
      <c r="R8" s="13" t="n">
        <f aca="false">P8/200000</f>
        <v>0.0025</v>
      </c>
      <c r="V8" s="4"/>
      <c r="W8" s="4"/>
    </row>
    <row r="9" customFormat="false" ht="14.25" hidden="false" customHeight="false" outlineLevel="0" collapsed="false">
      <c r="A9" s="0" t="s">
        <v>23</v>
      </c>
      <c r="B9" s="1" t="n">
        <v>10</v>
      </c>
      <c r="C9" s="3" t="n">
        <v>500</v>
      </c>
      <c r="D9" s="1" t="n">
        <v>8</v>
      </c>
      <c r="E9" s="2" t="n">
        <v>87.7</v>
      </c>
      <c r="F9" s="4" t="n">
        <v>4.13112676332901</v>
      </c>
      <c r="G9" s="1" t="n">
        <v>25</v>
      </c>
      <c r="H9" s="1" t="n">
        <v>53</v>
      </c>
      <c r="I9" s="1" t="n">
        <v>308</v>
      </c>
      <c r="J9" s="1" t="n">
        <v>604</v>
      </c>
      <c r="K9" s="1" t="n">
        <v>628</v>
      </c>
      <c r="L9" s="1" t="n">
        <v>43428</v>
      </c>
      <c r="M9" s="3" t="n">
        <v>99.6964003818006</v>
      </c>
      <c r="N9" s="12" t="n">
        <v>0.0144607165883762</v>
      </c>
      <c r="O9" s="4" t="n">
        <v>105</v>
      </c>
      <c r="P9" s="3" t="n">
        <v>322.919715637812</v>
      </c>
      <c r="Q9" s="4" t="n">
        <v>0.16</v>
      </c>
      <c r="R9" s="13" t="n">
        <f aca="false">P9/200000</f>
        <v>0.00161459857818906</v>
      </c>
      <c r="V9" s="4"/>
      <c r="W9" s="4"/>
    </row>
    <row r="10" customFormat="false" ht="14.25" hidden="false" customHeight="false" outlineLevel="0" collapsed="false">
      <c r="B10" s="1" t="n">
        <v>10</v>
      </c>
      <c r="C10" s="3" t="n">
        <v>500</v>
      </c>
      <c r="D10" s="1" t="n">
        <v>8</v>
      </c>
      <c r="E10" s="2" t="n">
        <v>87.7</v>
      </c>
      <c r="F10" s="4" t="n">
        <v>4.13112676332901</v>
      </c>
      <c r="G10" s="1" t="n">
        <v>25</v>
      </c>
      <c r="H10" s="1" t="n">
        <v>53</v>
      </c>
      <c r="I10" s="1" t="n">
        <v>308</v>
      </c>
      <c r="J10" s="1" t="n">
        <v>604</v>
      </c>
      <c r="K10" s="1" t="n">
        <v>628</v>
      </c>
      <c r="L10" s="1" t="n">
        <v>43428</v>
      </c>
      <c r="M10" s="3" t="n">
        <v>99.6964003818006</v>
      </c>
      <c r="N10" s="12" t="n">
        <v>0.0144607165883762</v>
      </c>
      <c r="O10" s="4" t="n">
        <v>119.6</v>
      </c>
      <c r="P10" s="3" t="n">
        <v>367.820933240784</v>
      </c>
      <c r="Q10" s="4" t="n">
        <v>0.18</v>
      </c>
      <c r="R10" s="13" t="n">
        <f aca="false">P10/200000</f>
        <v>0.00183910466620392</v>
      </c>
      <c r="V10" s="4"/>
      <c r="W10" s="4"/>
    </row>
    <row r="11" customFormat="false" ht="14.25" hidden="false" customHeight="false" outlineLevel="0" collapsed="false">
      <c r="B11" s="1" t="n">
        <v>10</v>
      </c>
      <c r="C11" s="3" t="n">
        <v>500</v>
      </c>
      <c r="D11" s="1" t="n">
        <v>8</v>
      </c>
      <c r="E11" s="2" t="n">
        <v>87.7</v>
      </c>
      <c r="F11" s="4" t="n">
        <v>4.13112676332901</v>
      </c>
      <c r="G11" s="1" t="n">
        <v>25</v>
      </c>
      <c r="H11" s="1" t="n">
        <v>53</v>
      </c>
      <c r="I11" s="1" t="n">
        <v>308</v>
      </c>
      <c r="J11" s="1" t="n">
        <v>604</v>
      </c>
      <c r="K11" s="1" t="n">
        <v>628</v>
      </c>
      <c r="L11" s="1" t="n">
        <v>43428</v>
      </c>
      <c r="M11" s="3" t="n">
        <v>99.6964003818006</v>
      </c>
      <c r="N11" s="12" t="n">
        <v>0.0144607165883762</v>
      </c>
      <c r="O11" s="4" t="n">
        <v>174.3</v>
      </c>
      <c r="P11" s="3" t="n">
        <v>500</v>
      </c>
      <c r="Q11" s="4" t="n">
        <v>0.26</v>
      </c>
      <c r="R11" s="13" t="n">
        <f aca="false">P11/200000</f>
        <v>0.0025</v>
      </c>
      <c r="V11" s="4"/>
      <c r="W11" s="4"/>
    </row>
    <row r="12" customFormat="false" ht="14.25" hidden="false" customHeight="false" outlineLevel="0" collapsed="false">
      <c r="A12" s="0" t="s">
        <v>24</v>
      </c>
      <c r="B12" s="1" t="n">
        <v>10</v>
      </c>
      <c r="C12" s="3" t="n">
        <v>628</v>
      </c>
      <c r="D12" s="1" t="n">
        <v>4</v>
      </c>
      <c r="E12" s="2" t="n">
        <v>32.4666666666667</v>
      </c>
      <c r="F12" s="4" t="n">
        <v>3.262</v>
      </c>
      <c r="G12" s="1" t="n">
        <v>25</v>
      </c>
      <c r="H12" s="1" t="n">
        <v>36</v>
      </c>
      <c r="I12" s="1" t="n">
        <v>200</v>
      </c>
      <c r="J12" s="1" t="n">
        <v>600</v>
      </c>
      <c r="K12" s="1" t="n">
        <v>314</v>
      </c>
      <c r="L12" s="1" t="n">
        <v>17200</v>
      </c>
      <c r="M12" s="3" t="n">
        <v>95.7219268645215</v>
      </c>
      <c r="N12" s="12" t="n">
        <v>0.0182558139534884</v>
      </c>
      <c r="O12" s="4" t="n">
        <v>47.625</v>
      </c>
      <c r="P12" s="3" t="n">
        <v>285.048032184717</v>
      </c>
      <c r="Q12" s="4" t="n">
        <v>0.16</v>
      </c>
      <c r="R12" s="13" t="n">
        <f aca="false">P12/200000</f>
        <v>0.00142524016092358</v>
      </c>
      <c r="V12" s="4"/>
      <c r="W12" s="4"/>
    </row>
    <row r="13" customFormat="false" ht="14.25" hidden="false" customHeight="false" outlineLevel="0" collapsed="false">
      <c r="B13" s="1" t="n">
        <v>10</v>
      </c>
      <c r="C13" s="3" t="n">
        <v>628</v>
      </c>
      <c r="D13" s="1" t="n">
        <v>4</v>
      </c>
      <c r="E13" s="2" t="n">
        <v>32.4666666666667</v>
      </c>
      <c r="F13" s="4" t="n">
        <v>3.262</v>
      </c>
      <c r="G13" s="1" t="n">
        <v>25</v>
      </c>
      <c r="H13" s="1" t="n">
        <v>36</v>
      </c>
      <c r="I13" s="1" t="n">
        <v>200</v>
      </c>
      <c r="J13" s="1" t="n">
        <v>600</v>
      </c>
      <c r="K13" s="1" t="n">
        <v>314</v>
      </c>
      <c r="L13" s="1" t="n">
        <v>17200</v>
      </c>
      <c r="M13" s="3" t="n">
        <v>95.7219268645215</v>
      </c>
      <c r="N13" s="12" t="n">
        <v>0.0182558139534884</v>
      </c>
      <c r="O13" s="4" t="n">
        <v>54.3</v>
      </c>
      <c r="P13" s="3" t="n">
        <v>324.999646144464</v>
      </c>
      <c r="Q13" s="4" t="n">
        <v>0.2</v>
      </c>
      <c r="R13" s="13" t="n">
        <f aca="false">P13/200000</f>
        <v>0.00162499823072232</v>
      </c>
      <c r="V13" s="4"/>
      <c r="W13" s="4"/>
    </row>
    <row r="14" customFormat="false" ht="14.25" hidden="false" customHeight="false" outlineLevel="0" collapsed="false">
      <c r="B14" s="1" t="n">
        <v>10</v>
      </c>
      <c r="C14" s="3" t="n">
        <v>628</v>
      </c>
      <c r="D14" s="1" t="n">
        <v>4</v>
      </c>
      <c r="E14" s="2" t="n">
        <v>32.4666666666667</v>
      </c>
      <c r="F14" s="4" t="n">
        <v>3.262</v>
      </c>
      <c r="G14" s="1" t="n">
        <v>25</v>
      </c>
      <c r="H14" s="1" t="n">
        <v>36</v>
      </c>
      <c r="I14" s="1" t="n">
        <v>200</v>
      </c>
      <c r="J14" s="1" t="n">
        <v>600</v>
      </c>
      <c r="K14" s="1" t="n">
        <v>314</v>
      </c>
      <c r="L14" s="1" t="n">
        <v>17200</v>
      </c>
      <c r="M14" s="3" t="n">
        <v>95.7219268645215</v>
      </c>
      <c r="N14" s="12" t="n">
        <v>0.0182558139534884</v>
      </c>
      <c r="O14" s="4" t="n">
        <v>61.425</v>
      </c>
      <c r="P14" s="3" t="n">
        <v>367.644627337453</v>
      </c>
      <c r="Q14" s="4" t="n">
        <v>0.2</v>
      </c>
      <c r="R14" s="13" t="n">
        <f aca="false">P14/200000</f>
        <v>0.00183822313668727</v>
      </c>
      <c r="V14" s="4"/>
      <c r="W14" s="4"/>
    </row>
    <row r="15" customFormat="false" ht="14.25" hidden="false" customHeight="false" outlineLevel="0" collapsed="false">
      <c r="B15" s="1" t="n">
        <v>10</v>
      </c>
      <c r="C15" s="3" t="n">
        <v>628</v>
      </c>
      <c r="D15" s="1" t="n">
        <v>4</v>
      </c>
      <c r="E15" s="2" t="n">
        <v>32.4666666666667</v>
      </c>
      <c r="F15" s="4" t="n">
        <v>3.262</v>
      </c>
      <c r="G15" s="1" t="n">
        <v>25</v>
      </c>
      <c r="H15" s="1" t="n">
        <v>36</v>
      </c>
      <c r="I15" s="1" t="n">
        <v>200</v>
      </c>
      <c r="J15" s="1" t="n">
        <v>600</v>
      </c>
      <c r="K15" s="1" t="n">
        <v>314</v>
      </c>
      <c r="L15" s="1" t="n">
        <v>17200</v>
      </c>
      <c r="M15" s="3" t="n">
        <v>95.7219268645215</v>
      </c>
      <c r="N15" s="12" t="n">
        <v>0.0182558139534884</v>
      </c>
      <c r="O15" s="4" t="n">
        <v>68.625</v>
      </c>
      <c r="P15" s="3" t="n">
        <v>410.738503069316</v>
      </c>
      <c r="Q15" s="4" t="n">
        <v>0.24</v>
      </c>
      <c r="R15" s="13" t="n">
        <f aca="false">P15/200000</f>
        <v>0.00205369251534658</v>
      </c>
      <c r="V15" s="4"/>
      <c r="W15" s="4"/>
    </row>
    <row r="16" customFormat="false" ht="14.25" hidden="false" customHeight="false" outlineLevel="0" collapsed="false">
      <c r="B16" s="1" t="n">
        <v>10</v>
      </c>
      <c r="C16" s="3" t="n">
        <v>628</v>
      </c>
      <c r="D16" s="1" t="n">
        <v>4</v>
      </c>
      <c r="E16" s="2" t="n">
        <v>32.4666666666667</v>
      </c>
      <c r="F16" s="4" t="n">
        <v>3.262</v>
      </c>
      <c r="G16" s="1" t="n">
        <v>25</v>
      </c>
      <c r="H16" s="1" t="n">
        <v>36</v>
      </c>
      <c r="I16" s="1" t="n">
        <v>200</v>
      </c>
      <c r="J16" s="1" t="n">
        <v>600</v>
      </c>
      <c r="K16" s="1" t="n">
        <v>314</v>
      </c>
      <c r="L16" s="1" t="n">
        <v>17200</v>
      </c>
      <c r="M16" s="3" t="n">
        <v>95.7219268645215</v>
      </c>
      <c r="N16" s="12" t="n">
        <v>0.0182558139534884</v>
      </c>
      <c r="O16" s="4" t="n">
        <v>73.275</v>
      </c>
      <c r="P16" s="3" t="n">
        <v>438.569964479477</v>
      </c>
      <c r="Q16" s="4" t="n">
        <v>0.3</v>
      </c>
      <c r="R16" s="13" t="n">
        <f aca="false">P16/200000</f>
        <v>0.00219284982239739</v>
      </c>
      <c r="V16" s="4"/>
      <c r="W16" s="4"/>
    </row>
    <row r="17" customFormat="false" ht="14.25" hidden="false" customHeight="false" outlineLevel="0" collapsed="false">
      <c r="B17" s="1" t="n">
        <v>10</v>
      </c>
      <c r="C17" s="3" t="n">
        <v>628</v>
      </c>
      <c r="D17" s="1" t="n">
        <v>4</v>
      </c>
      <c r="E17" s="2" t="n">
        <v>32.4666666666667</v>
      </c>
      <c r="F17" s="4" t="n">
        <v>3.262</v>
      </c>
      <c r="G17" s="1" t="n">
        <v>25</v>
      </c>
      <c r="H17" s="1" t="n">
        <v>36</v>
      </c>
      <c r="I17" s="1" t="n">
        <v>200</v>
      </c>
      <c r="J17" s="1" t="n">
        <v>600</v>
      </c>
      <c r="K17" s="1" t="n">
        <v>314</v>
      </c>
      <c r="L17" s="1" t="n">
        <v>17200</v>
      </c>
      <c r="M17" s="3" t="n">
        <v>95.7219268645215</v>
      </c>
      <c r="N17" s="12" t="n">
        <v>0.0182558139534884</v>
      </c>
      <c r="O17" s="4" t="n">
        <v>83.25</v>
      </c>
      <c r="P17" s="3" t="n">
        <v>498.272938149662</v>
      </c>
      <c r="Q17" s="4" t="n">
        <v>0.32</v>
      </c>
      <c r="R17" s="13" t="n">
        <f aca="false">P17/200000</f>
        <v>0.00249136469074831</v>
      </c>
      <c r="V17" s="4"/>
      <c r="W17" s="4"/>
    </row>
    <row r="18" customFormat="false" ht="14.25" hidden="false" customHeight="false" outlineLevel="0" collapsed="false">
      <c r="B18" s="1" t="n">
        <v>10</v>
      </c>
      <c r="C18" s="3" t="n">
        <v>628</v>
      </c>
      <c r="D18" s="1" t="n">
        <v>4</v>
      </c>
      <c r="E18" s="2" t="n">
        <v>32.4666666666667</v>
      </c>
      <c r="F18" s="4" t="n">
        <v>3.262</v>
      </c>
      <c r="G18" s="1" t="n">
        <v>25</v>
      </c>
      <c r="H18" s="1" t="n">
        <v>36</v>
      </c>
      <c r="I18" s="1" t="n">
        <v>200</v>
      </c>
      <c r="J18" s="1" t="n">
        <v>600</v>
      </c>
      <c r="K18" s="1" t="n">
        <v>314</v>
      </c>
      <c r="L18" s="1" t="n">
        <v>17200</v>
      </c>
      <c r="M18" s="3" t="n">
        <v>95.7219268645215</v>
      </c>
      <c r="N18" s="12" t="n">
        <v>0.0182558139534884</v>
      </c>
      <c r="O18" s="4" t="n">
        <v>84</v>
      </c>
      <c r="P18" s="3" t="n">
        <v>502.761883538398</v>
      </c>
      <c r="Q18" s="4" t="n">
        <v>0.38</v>
      </c>
      <c r="R18" s="13" t="n">
        <f aca="false">P18/200000</f>
        <v>0.00251380941769199</v>
      </c>
      <c r="V18" s="4"/>
      <c r="W18" s="4"/>
    </row>
    <row r="19" customFormat="false" ht="14.25" hidden="false" customHeight="false" outlineLevel="0" collapsed="false">
      <c r="B19" s="1" t="n">
        <v>10</v>
      </c>
      <c r="C19" s="3" t="n">
        <v>628</v>
      </c>
      <c r="D19" s="1" t="n">
        <v>4</v>
      </c>
      <c r="E19" s="2" t="n">
        <v>32.4666666666667</v>
      </c>
      <c r="F19" s="4" t="n">
        <v>3.262</v>
      </c>
      <c r="G19" s="1" t="n">
        <v>25</v>
      </c>
      <c r="H19" s="1" t="n">
        <v>36</v>
      </c>
      <c r="I19" s="1" t="n">
        <v>200</v>
      </c>
      <c r="J19" s="1" t="n">
        <v>600</v>
      </c>
      <c r="K19" s="1" t="n">
        <v>314</v>
      </c>
      <c r="L19" s="1" t="n">
        <v>17200</v>
      </c>
      <c r="M19" s="3" t="n">
        <v>95.7219268645215</v>
      </c>
      <c r="N19" s="12" t="n">
        <v>0.0182558139534884</v>
      </c>
      <c r="O19" s="4" t="n">
        <v>90</v>
      </c>
      <c r="P19" s="3" t="n">
        <v>538.673446648283</v>
      </c>
      <c r="Q19" s="4" t="n">
        <v>0.42</v>
      </c>
      <c r="R19" s="13" t="n">
        <f aca="false">P19/200000</f>
        <v>0.00269336723324142</v>
      </c>
      <c r="V19" s="4"/>
      <c r="W19" s="4"/>
    </row>
    <row r="20" customFormat="false" ht="14.25" hidden="false" customHeight="false" outlineLevel="0" collapsed="false">
      <c r="B20" s="1" t="n">
        <v>10</v>
      </c>
      <c r="C20" s="3" t="n">
        <v>628</v>
      </c>
      <c r="D20" s="1" t="n">
        <v>4</v>
      </c>
      <c r="E20" s="2" t="n">
        <v>32.4666666666667</v>
      </c>
      <c r="F20" s="4" t="n">
        <v>3.262</v>
      </c>
      <c r="G20" s="1" t="n">
        <v>25</v>
      </c>
      <c r="H20" s="1" t="n">
        <v>36</v>
      </c>
      <c r="I20" s="1" t="n">
        <v>200</v>
      </c>
      <c r="J20" s="1" t="n">
        <v>600</v>
      </c>
      <c r="K20" s="1" t="n">
        <v>314</v>
      </c>
      <c r="L20" s="1" t="n">
        <v>17200</v>
      </c>
      <c r="M20" s="3" t="n">
        <v>95.7219268645215</v>
      </c>
      <c r="N20" s="12" t="n">
        <v>0.0182558139534884</v>
      </c>
      <c r="O20" s="4" t="n">
        <v>108</v>
      </c>
      <c r="P20" s="3" t="n">
        <v>628</v>
      </c>
      <c r="Q20" s="4" t="n">
        <v>0.44</v>
      </c>
      <c r="R20" s="13" t="n">
        <f aca="false">P20/200000</f>
        <v>0.00314</v>
      </c>
      <c r="V20" s="4"/>
      <c r="W20" s="4"/>
    </row>
    <row r="21" customFormat="false" ht="14.25" hidden="false" customHeight="false" outlineLevel="0" collapsed="false">
      <c r="B21" s="1" t="n">
        <v>10</v>
      </c>
      <c r="C21" s="3" t="n">
        <v>628</v>
      </c>
      <c r="D21" s="1" t="n">
        <v>4</v>
      </c>
      <c r="E21" s="2" t="n">
        <v>32.4666666666667</v>
      </c>
      <c r="F21" s="4" t="n">
        <v>3.262</v>
      </c>
      <c r="G21" s="1" t="n">
        <v>25</v>
      </c>
      <c r="H21" s="1" t="n">
        <v>36</v>
      </c>
      <c r="I21" s="1" t="n">
        <v>200</v>
      </c>
      <c r="J21" s="1" t="n">
        <v>600</v>
      </c>
      <c r="K21" s="1" t="n">
        <v>314</v>
      </c>
      <c r="L21" s="1" t="n">
        <v>17200</v>
      </c>
      <c r="M21" s="3" t="n">
        <v>95.7219268645215</v>
      </c>
      <c r="N21" s="12" t="n">
        <v>0.0182558139534884</v>
      </c>
      <c r="O21" s="4" t="n">
        <v>120</v>
      </c>
      <c r="P21" s="3" t="n">
        <v>628</v>
      </c>
      <c r="Q21" s="4" t="n">
        <v>0.5</v>
      </c>
      <c r="R21" s="13" t="n">
        <f aca="false">P21/200000</f>
        <v>0.00314</v>
      </c>
      <c r="V21" s="4"/>
      <c r="W21" s="4"/>
    </row>
    <row r="22" customFormat="false" ht="14.25" hidden="false" customHeight="false" outlineLevel="0" collapsed="false">
      <c r="A22" s="0" t="s">
        <v>25</v>
      </c>
      <c r="B22" s="1" t="n">
        <v>10</v>
      </c>
      <c r="C22" s="3" t="n">
        <v>628</v>
      </c>
      <c r="D22" s="1" t="n">
        <v>4</v>
      </c>
      <c r="E22" s="2" t="n">
        <v>32.4666666666667</v>
      </c>
      <c r="F22" s="4" t="n">
        <v>3.514</v>
      </c>
      <c r="G22" s="1" t="n">
        <v>25</v>
      </c>
      <c r="H22" s="1" t="n">
        <v>36</v>
      </c>
      <c r="I22" s="1" t="n">
        <v>200</v>
      </c>
      <c r="J22" s="1" t="n">
        <v>600</v>
      </c>
      <c r="K22" s="1" t="n">
        <v>314</v>
      </c>
      <c r="L22" s="1" t="n">
        <v>17200</v>
      </c>
      <c r="M22" s="3" t="n">
        <v>87.1206787100977</v>
      </c>
      <c r="N22" s="12" t="n">
        <v>0.0182558139534884</v>
      </c>
      <c r="O22" s="4" t="n">
        <v>54</v>
      </c>
      <c r="P22" s="3" t="n">
        <v>321.471876442594</v>
      </c>
      <c r="Q22" s="4" t="n">
        <v>0.24</v>
      </c>
      <c r="R22" s="13" t="n">
        <f aca="false">P22/200000</f>
        <v>0.00160735938221297</v>
      </c>
      <c r="V22" s="4"/>
      <c r="W22" s="4"/>
    </row>
    <row r="23" customFormat="false" ht="14.25" hidden="false" customHeight="false" outlineLevel="0" collapsed="false">
      <c r="B23" s="1" t="n">
        <v>10</v>
      </c>
      <c r="C23" s="3" t="n">
        <v>628</v>
      </c>
      <c r="D23" s="1" t="n">
        <v>4</v>
      </c>
      <c r="E23" s="2" t="n">
        <v>32.4666666666667</v>
      </c>
      <c r="F23" s="4" t="n">
        <v>3.514</v>
      </c>
      <c r="G23" s="1" t="n">
        <v>25</v>
      </c>
      <c r="H23" s="1" t="n">
        <v>36</v>
      </c>
      <c r="I23" s="1" t="n">
        <v>200</v>
      </c>
      <c r="J23" s="1" t="n">
        <v>600</v>
      </c>
      <c r="K23" s="1" t="n">
        <v>314</v>
      </c>
      <c r="L23" s="1" t="n">
        <v>17200</v>
      </c>
      <c r="M23" s="3" t="n">
        <v>87.1206787100977</v>
      </c>
      <c r="N23" s="12" t="n">
        <v>0.0182558139534884</v>
      </c>
      <c r="O23" s="4" t="n">
        <v>60</v>
      </c>
      <c r="P23" s="3" t="n">
        <v>357.190973825104</v>
      </c>
      <c r="Q23" s="4" t="n">
        <v>0.3</v>
      </c>
      <c r="R23" s="13" t="n">
        <f aca="false">P23/200000</f>
        <v>0.00178595486912552</v>
      </c>
      <c r="V23" s="4"/>
      <c r="W23" s="4"/>
    </row>
    <row r="24" customFormat="false" ht="14.25" hidden="false" customHeight="false" outlineLevel="0" collapsed="false">
      <c r="B24" s="1" t="n">
        <v>10</v>
      </c>
      <c r="C24" s="3" t="n">
        <v>628</v>
      </c>
      <c r="D24" s="1" t="n">
        <v>4</v>
      </c>
      <c r="E24" s="2" t="n">
        <v>32.4666666666667</v>
      </c>
      <c r="F24" s="4" t="n">
        <v>3.514</v>
      </c>
      <c r="G24" s="1" t="n">
        <v>25</v>
      </c>
      <c r="H24" s="1" t="n">
        <v>36</v>
      </c>
      <c r="I24" s="1" t="n">
        <v>200</v>
      </c>
      <c r="J24" s="1" t="n">
        <v>600</v>
      </c>
      <c r="K24" s="1" t="n">
        <v>314</v>
      </c>
      <c r="L24" s="1" t="n">
        <v>17200</v>
      </c>
      <c r="M24" s="3" t="n">
        <v>87.1206787100977</v>
      </c>
      <c r="N24" s="12" t="n">
        <v>0.0182558139534884</v>
      </c>
      <c r="O24" s="4" t="n">
        <v>62.25</v>
      </c>
      <c r="P24" s="3" t="n">
        <v>370.585635343545</v>
      </c>
      <c r="Q24" s="4" t="n">
        <v>0.3</v>
      </c>
      <c r="R24" s="13" t="n">
        <f aca="false">P24/200000</f>
        <v>0.00185292817671773</v>
      </c>
      <c r="V24" s="4"/>
      <c r="W24" s="4"/>
    </row>
    <row r="25" customFormat="false" ht="14.25" hidden="false" customHeight="false" outlineLevel="0" collapsed="false">
      <c r="B25" s="1" t="n">
        <v>10</v>
      </c>
      <c r="C25" s="3" t="n">
        <v>628</v>
      </c>
      <c r="D25" s="1" t="n">
        <v>4</v>
      </c>
      <c r="E25" s="2" t="n">
        <v>32.4666666666667</v>
      </c>
      <c r="F25" s="4" t="n">
        <v>3.514</v>
      </c>
      <c r="G25" s="1" t="n">
        <v>25</v>
      </c>
      <c r="H25" s="1" t="n">
        <v>36</v>
      </c>
      <c r="I25" s="1" t="n">
        <v>200</v>
      </c>
      <c r="J25" s="1" t="n">
        <v>600</v>
      </c>
      <c r="K25" s="1" t="n">
        <v>314</v>
      </c>
      <c r="L25" s="1" t="n">
        <v>17200</v>
      </c>
      <c r="M25" s="3" t="n">
        <v>87.1206787100977</v>
      </c>
      <c r="N25" s="12" t="n">
        <v>0.0182558139534884</v>
      </c>
      <c r="O25" s="4" t="n">
        <v>66</v>
      </c>
      <c r="P25" s="3" t="n">
        <v>392.910071207614</v>
      </c>
      <c r="Q25" s="4" t="n">
        <v>0.3</v>
      </c>
      <c r="R25" s="13" t="n">
        <f aca="false">P25/200000</f>
        <v>0.00196455035603807</v>
      </c>
      <c r="V25" s="4"/>
      <c r="W25" s="4"/>
    </row>
    <row r="26" customFormat="false" ht="14.25" hidden="false" customHeight="false" outlineLevel="0" collapsed="false">
      <c r="B26" s="1" t="n">
        <v>10</v>
      </c>
      <c r="C26" s="3" t="n">
        <v>628</v>
      </c>
      <c r="D26" s="1" t="n">
        <v>4</v>
      </c>
      <c r="E26" s="2" t="n">
        <v>32.4666666666667</v>
      </c>
      <c r="F26" s="4" t="n">
        <v>3.514</v>
      </c>
      <c r="G26" s="1" t="n">
        <v>25</v>
      </c>
      <c r="H26" s="1" t="n">
        <v>36</v>
      </c>
      <c r="I26" s="1" t="n">
        <v>200</v>
      </c>
      <c r="J26" s="1" t="n">
        <v>600</v>
      </c>
      <c r="K26" s="1" t="n">
        <v>314</v>
      </c>
      <c r="L26" s="1" t="n">
        <v>17200</v>
      </c>
      <c r="M26" s="3" t="n">
        <v>87.1206787100977</v>
      </c>
      <c r="N26" s="12" t="n">
        <v>0.0182558139534884</v>
      </c>
      <c r="O26" s="4" t="n">
        <v>71.25</v>
      </c>
      <c r="P26" s="3" t="n">
        <v>424.164281417311</v>
      </c>
      <c r="Q26" s="4" t="n">
        <v>0.38</v>
      </c>
      <c r="R26" s="13" t="n">
        <f aca="false">P26/200000</f>
        <v>0.00212082140708655</v>
      </c>
      <c r="V26" s="4"/>
      <c r="W26" s="4"/>
    </row>
    <row r="27" customFormat="false" ht="14.25" hidden="false" customHeight="false" outlineLevel="0" collapsed="false">
      <c r="B27" s="1" t="n">
        <v>10</v>
      </c>
      <c r="C27" s="3" t="n">
        <v>628</v>
      </c>
      <c r="D27" s="1" t="n">
        <v>4</v>
      </c>
      <c r="E27" s="2" t="n">
        <v>32.4666666666667</v>
      </c>
      <c r="F27" s="4" t="n">
        <v>3.514</v>
      </c>
      <c r="G27" s="1" t="n">
        <v>25</v>
      </c>
      <c r="H27" s="1" t="n">
        <v>36</v>
      </c>
      <c r="I27" s="1" t="n">
        <v>200</v>
      </c>
      <c r="J27" s="1" t="n">
        <v>600</v>
      </c>
      <c r="K27" s="1" t="n">
        <v>314</v>
      </c>
      <c r="L27" s="1" t="n">
        <v>17200</v>
      </c>
      <c r="M27" s="3" t="n">
        <v>87.1206787100977</v>
      </c>
      <c r="N27" s="12" t="n">
        <v>0.0182558139534884</v>
      </c>
      <c r="O27" s="4" t="n">
        <v>82.5</v>
      </c>
      <c r="P27" s="3" t="n">
        <v>491.137589009518</v>
      </c>
      <c r="Q27" s="4" t="n">
        <v>0.44</v>
      </c>
      <c r="R27" s="13" t="n">
        <f aca="false">P27/200000</f>
        <v>0.00245568794504759</v>
      </c>
      <c r="V27" s="4"/>
      <c r="W27" s="4"/>
    </row>
    <row r="28" customFormat="false" ht="14.25" hidden="false" customHeight="false" outlineLevel="0" collapsed="false">
      <c r="A28" s="0" t="s">
        <v>26</v>
      </c>
      <c r="B28" s="1" t="n">
        <v>16</v>
      </c>
      <c r="C28" s="3" t="n">
        <v>571</v>
      </c>
      <c r="D28" s="1" t="n">
        <v>4</v>
      </c>
      <c r="E28" s="2" t="n">
        <v>37</v>
      </c>
      <c r="F28" s="4" t="n">
        <v>4.2588</v>
      </c>
      <c r="G28" s="1" t="n">
        <v>33</v>
      </c>
      <c r="H28" s="1" t="n">
        <v>59</v>
      </c>
      <c r="I28" s="1" t="n">
        <v>125</v>
      </c>
      <c r="J28" s="1" t="n">
        <v>250</v>
      </c>
      <c r="K28" s="1" t="n">
        <v>800</v>
      </c>
      <c r="L28" s="1" t="n">
        <v>19625</v>
      </c>
      <c r="M28" s="3" t="n">
        <v>86</v>
      </c>
      <c r="N28" s="12" t="n">
        <v>0.0408</v>
      </c>
      <c r="O28" s="4" t="n">
        <v>18.2</v>
      </c>
      <c r="P28" s="3" t="n">
        <v>140.041965597591</v>
      </c>
      <c r="Q28" s="4" t="n">
        <v>0.18</v>
      </c>
      <c r="R28" s="13" t="n">
        <f aca="false">P28/200000</f>
        <v>0.000700209827987956</v>
      </c>
      <c r="V28" s="4"/>
      <c r="W28" s="4"/>
    </row>
    <row r="29" customFormat="false" ht="14.25" hidden="false" customHeight="false" outlineLevel="0" collapsed="false">
      <c r="B29" s="1" t="n">
        <v>16</v>
      </c>
      <c r="C29" s="3" t="n">
        <v>571</v>
      </c>
      <c r="D29" s="1" t="n">
        <v>4</v>
      </c>
      <c r="E29" s="2" t="n">
        <v>37</v>
      </c>
      <c r="F29" s="4" t="n">
        <v>4.2588</v>
      </c>
      <c r="G29" s="1" t="n">
        <v>33</v>
      </c>
      <c r="H29" s="1" t="n">
        <v>59</v>
      </c>
      <c r="I29" s="1" t="n">
        <v>125</v>
      </c>
      <c r="J29" s="1" t="n">
        <v>250</v>
      </c>
      <c r="K29" s="1" t="n">
        <v>800</v>
      </c>
      <c r="L29" s="1" t="n">
        <v>19625</v>
      </c>
      <c r="M29" s="3" t="n">
        <v>86</v>
      </c>
      <c r="N29" s="12" t="n">
        <v>0.0408</v>
      </c>
      <c r="O29" s="4" t="n">
        <v>26.2</v>
      </c>
      <c r="P29" s="3" t="n">
        <v>201.598873552576</v>
      </c>
      <c r="Q29" s="4" t="n">
        <v>0.2</v>
      </c>
      <c r="R29" s="13" t="n">
        <f aca="false">P29/200000</f>
        <v>0.00100799436776288</v>
      </c>
      <c r="V29" s="4"/>
      <c r="W29" s="4"/>
    </row>
    <row r="30" customFormat="false" ht="14.25" hidden="false" customHeight="false" outlineLevel="0" collapsed="false">
      <c r="B30" s="1" t="n">
        <v>16</v>
      </c>
      <c r="C30" s="3" t="n">
        <v>571</v>
      </c>
      <c r="D30" s="1" t="n">
        <v>4</v>
      </c>
      <c r="E30" s="2" t="n">
        <v>37</v>
      </c>
      <c r="F30" s="4" t="n">
        <v>4.2588</v>
      </c>
      <c r="G30" s="1" t="n">
        <v>33</v>
      </c>
      <c r="H30" s="1" t="n">
        <v>59</v>
      </c>
      <c r="I30" s="1" t="n">
        <v>125</v>
      </c>
      <c r="J30" s="1" t="n">
        <v>250</v>
      </c>
      <c r="K30" s="1" t="n">
        <v>800</v>
      </c>
      <c r="L30" s="1" t="n">
        <v>19625</v>
      </c>
      <c r="M30" s="3" t="n">
        <v>86</v>
      </c>
      <c r="N30" s="12" t="n">
        <v>0.0408</v>
      </c>
      <c r="O30" s="4" t="n">
        <v>31.7</v>
      </c>
      <c r="P30" s="3" t="n">
        <v>243.919247771628</v>
      </c>
      <c r="Q30" s="4" t="n">
        <v>0.26</v>
      </c>
      <c r="R30" s="13" t="n">
        <f aca="false">P30/200000</f>
        <v>0.00121959623885814</v>
      </c>
      <c r="V30" s="4"/>
      <c r="W30" s="4"/>
    </row>
    <row r="31" customFormat="false" ht="14.25" hidden="false" customHeight="false" outlineLevel="0" collapsed="false">
      <c r="B31" s="1" t="n">
        <v>16</v>
      </c>
      <c r="C31" s="3" t="n">
        <v>571</v>
      </c>
      <c r="D31" s="1" t="n">
        <v>4</v>
      </c>
      <c r="E31" s="2" t="n">
        <v>37</v>
      </c>
      <c r="F31" s="4" t="n">
        <v>4.2588</v>
      </c>
      <c r="G31" s="1" t="n">
        <v>33</v>
      </c>
      <c r="H31" s="1" t="n">
        <v>59</v>
      </c>
      <c r="I31" s="1" t="n">
        <v>125</v>
      </c>
      <c r="J31" s="1" t="n">
        <v>250</v>
      </c>
      <c r="K31" s="1" t="n">
        <v>800</v>
      </c>
      <c r="L31" s="1" t="n">
        <v>19625</v>
      </c>
      <c r="M31" s="3" t="n">
        <v>86</v>
      </c>
      <c r="N31" s="12" t="n">
        <v>0.0408</v>
      </c>
      <c r="O31" s="4" t="n">
        <v>40.8</v>
      </c>
      <c r="P31" s="3" t="n">
        <v>313.940230570424</v>
      </c>
      <c r="Q31" s="4" t="n">
        <v>0.44</v>
      </c>
      <c r="R31" s="13" t="n">
        <f aca="false">P31/200000</f>
        <v>0.00156970115285212</v>
      </c>
      <c r="V31" s="4"/>
      <c r="W31" s="4"/>
    </row>
    <row r="32" customFormat="false" ht="14.25" hidden="false" customHeight="false" outlineLevel="0" collapsed="false">
      <c r="B32" s="1" t="n">
        <v>16</v>
      </c>
      <c r="C32" s="3" t="n">
        <v>571</v>
      </c>
      <c r="D32" s="1" t="n">
        <v>4</v>
      </c>
      <c r="E32" s="2" t="n">
        <v>37</v>
      </c>
      <c r="F32" s="4" t="n">
        <v>4.2588</v>
      </c>
      <c r="G32" s="1" t="n">
        <v>33</v>
      </c>
      <c r="H32" s="1" t="n">
        <v>59</v>
      </c>
      <c r="I32" s="1" t="n">
        <v>125</v>
      </c>
      <c r="J32" s="1" t="n">
        <v>250</v>
      </c>
      <c r="K32" s="1" t="n">
        <v>800</v>
      </c>
      <c r="L32" s="1" t="n">
        <v>19625</v>
      </c>
      <c r="M32" s="3" t="n">
        <v>86</v>
      </c>
      <c r="N32" s="12" t="n">
        <v>0.0408</v>
      </c>
      <c r="O32" s="4" t="n">
        <v>54.1</v>
      </c>
      <c r="P32" s="3" t="n">
        <v>416.278590045587</v>
      </c>
      <c r="Q32" s="4" t="n">
        <v>0.6</v>
      </c>
      <c r="R32" s="13" t="n">
        <f aca="false">P32/200000</f>
        <v>0.00208139295022793</v>
      </c>
      <c r="V32" s="4"/>
      <c r="W32" s="4"/>
    </row>
    <row r="33" customFormat="false" ht="14.25" hidden="false" customHeight="false" outlineLevel="0" collapsed="false">
      <c r="A33" s="0" t="s">
        <v>27</v>
      </c>
      <c r="B33" s="1" t="n">
        <v>12</v>
      </c>
      <c r="C33" s="3" t="n">
        <v>500</v>
      </c>
      <c r="D33" s="1" t="n">
        <v>4</v>
      </c>
      <c r="E33" s="2" t="n">
        <v>79.3</v>
      </c>
      <c r="F33" s="4" t="n">
        <v>2.69332921131829</v>
      </c>
      <c r="G33" s="1" t="n">
        <v>20</v>
      </c>
      <c r="H33" s="1" t="n">
        <v>38</v>
      </c>
      <c r="I33" s="1" t="n">
        <v>350</v>
      </c>
      <c r="J33" s="1" t="n">
        <v>450</v>
      </c>
      <c r="K33" s="1" t="n">
        <v>452</v>
      </c>
      <c r="L33" s="1" t="n">
        <v>34300</v>
      </c>
      <c r="M33" s="3" t="n">
        <v>76.1694282016424</v>
      </c>
      <c r="N33" s="12" t="n">
        <v>0.0131778425655977</v>
      </c>
      <c r="O33" s="4" t="n">
        <v>52.5</v>
      </c>
      <c r="P33" s="3" t="n">
        <v>300.432956249241</v>
      </c>
      <c r="Q33" s="4" t="n">
        <v>0.36</v>
      </c>
      <c r="R33" s="13" t="n">
        <f aca="false">P33/200000</f>
        <v>0.00150216478124621</v>
      </c>
      <c r="V33" s="4"/>
      <c r="W33" s="4"/>
    </row>
    <row r="34" customFormat="false" ht="14.25" hidden="false" customHeight="false" outlineLevel="0" collapsed="false">
      <c r="B34" s="1" t="n">
        <v>12</v>
      </c>
      <c r="C34" s="3" t="n">
        <v>500</v>
      </c>
      <c r="D34" s="1" t="n">
        <v>4</v>
      </c>
      <c r="E34" s="2" t="n">
        <v>79.3</v>
      </c>
      <c r="F34" s="4" t="n">
        <v>2.69332921131829</v>
      </c>
      <c r="G34" s="1" t="n">
        <v>20</v>
      </c>
      <c r="H34" s="1" t="n">
        <v>38</v>
      </c>
      <c r="I34" s="1" t="n">
        <v>350</v>
      </c>
      <c r="J34" s="1" t="n">
        <v>450</v>
      </c>
      <c r="K34" s="1" t="n">
        <v>452</v>
      </c>
      <c r="L34" s="1" t="n">
        <v>34300</v>
      </c>
      <c r="M34" s="3" t="n">
        <v>76.1694282016424</v>
      </c>
      <c r="N34" s="12" t="n">
        <v>0.0131778425655977</v>
      </c>
      <c r="O34" s="4" t="n">
        <v>67.5</v>
      </c>
      <c r="P34" s="3" t="n">
        <v>386.270943749024</v>
      </c>
      <c r="Q34" s="4" t="n">
        <v>0.43</v>
      </c>
      <c r="R34" s="13" t="n">
        <f aca="false">P34/200000</f>
        <v>0.00193135471874512</v>
      </c>
      <c r="V34" s="4"/>
      <c r="W34" s="4"/>
    </row>
    <row r="35" customFormat="false" ht="14.25" hidden="false" customHeight="false" outlineLevel="0" collapsed="false">
      <c r="B35" s="1" t="n">
        <v>12</v>
      </c>
      <c r="C35" s="3" t="n">
        <v>500</v>
      </c>
      <c r="D35" s="1" t="n">
        <v>4</v>
      </c>
      <c r="E35" s="2" t="n">
        <v>79.3</v>
      </c>
      <c r="F35" s="4" t="n">
        <v>2.69332921131829</v>
      </c>
      <c r="G35" s="1" t="n">
        <v>20</v>
      </c>
      <c r="H35" s="1" t="n">
        <v>38</v>
      </c>
      <c r="I35" s="1" t="n">
        <v>350</v>
      </c>
      <c r="J35" s="1" t="n">
        <v>450</v>
      </c>
      <c r="K35" s="1" t="n">
        <v>452</v>
      </c>
      <c r="L35" s="1" t="n">
        <v>34300</v>
      </c>
      <c r="M35" s="3" t="n">
        <v>76.1694282016424</v>
      </c>
      <c r="N35" s="12" t="n">
        <v>0.0131778425655977</v>
      </c>
      <c r="O35" s="4" t="n">
        <v>90</v>
      </c>
      <c r="P35" s="3" t="n">
        <v>500</v>
      </c>
      <c r="Q35" s="4" t="n">
        <v>0.56</v>
      </c>
      <c r="R35" s="13" t="n">
        <f aca="false">P35/200000</f>
        <v>0.0025</v>
      </c>
      <c r="V35" s="4"/>
      <c r="W35" s="4"/>
    </row>
    <row r="36" customFormat="false" ht="14.25" hidden="false" customHeight="false" outlineLevel="0" collapsed="false">
      <c r="B36" s="1" t="n">
        <v>12</v>
      </c>
      <c r="C36" s="3" t="n">
        <v>500</v>
      </c>
      <c r="D36" s="1" t="n">
        <v>4</v>
      </c>
      <c r="E36" s="2" t="n">
        <v>79.3</v>
      </c>
      <c r="F36" s="4" t="n">
        <v>2.69332921131829</v>
      </c>
      <c r="G36" s="1" t="n">
        <v>20</v>
      </c>
      <c r="H36" s="1" t="n">
        <v>38</v>
      </c>
      <c r="I36" s="1" t="n">
        <v>350</v>
      </c>
      <c r="J36" s="1" t="n">
        <v>450</v>
      </c>
      <c r="K36" s="1" t="n">
        <v>452</v>
      </c>
      <c r="L36" s="1" t="n">
        <v>34300</v>
      </c>
      <c r="M36" s="3" t="n">
        <v>76.1694282016424</v>
      </c>
      <c r="N36" s="12" t="n">
        <v>0.0131778425655977</v>
      </c>
      <c r="O36" s="4" t="n">
        <v>112.5</v>
      </c>
      <c r="P36" s="3" t="n">
        <v>500</v>
      </c>
      <c r="Q36" s="4" t="n">
        <v>0.71</v>
      </c>
      <c r="R36" s="13" t="n">
        <f aca="false">P36/200000</f>
        <v>0.0025</v>
      </c>
      <c r="V36" s="4"/>
      <c r="W36" s="4"/>
    </row>
    <row r="37" customFormat="false" ht="14.25" hidden="false" customHeight="false" outlineLevel="0" collapsed="false">
      <c r="B37" s="1" t="n">
        <v>12</v>
      </c>
      <c r="C37" s="3" t="n">
        <v>500</v>
      </c>
      <c r="D37" s="1" t="n">
        <v>4</v>
      </c>
      <c r="E37" s="2" t="n">
        <v>79.3</v>
      </c>
      <c r="F37" s="4" t="n">
        <v>2.69332921131829</v>
      </c>
      <c r="G37" s="1" t="n">
        <v>20</v>
      </c>
      <c r="H37" s="1" t="n">
        <v>38</v>
      </c>
      <c r="I37" s="1" t="n">
        <v>350</v>
      </c>
      <c r="J37" s="1" t="n">
        <v>450</v>
      </c>
      <c r="K37" s="1" t="n">
        <v>452</v>
      </c>
      <c r="L37" s="1" t="n">
        <v>34300</v>
      </c>
      <c r="M37" s="3" t="n">
        <v>76.1694282016424</v>
      </c>
      <c r="N37" s="12" t="n">
        <v>0.0131778425655977</v>
      </c>
      <c r="O37" s="4" t="n">
        <v>120</v>
      </c>
      <c r="P37" s="3" t="n">
        <v>500</v>
      </c>
      <c r="Q37" s="4" t="n">
        <v>0.79</v>
      </c>
      <c r="R37" s="13" t="n">
        <f aca="false">P37/200000</f>
        <v>0.0025</v>
      </c>
      <c r="V37" s="4"/>
      <c r="W37" s="4"/>
    </row>
    <row r="38" customFormat="false" ht="14.25" hidden="false" customHeight="false" outlineLevel="0" collapsed="false">
      <c r="A38" s="0" t="s">
        <v>28</v>
      </c>
      <c r="B38" s="1" t="n">
        <v>25</v>
      </c>
      <c r="C38" s="3" t="n">
        <v>500</v>
      </c>
      <c r="D38" s="1" t="n">
        <v>4</v>
      </c>
      <c r="E38" s="2" t="n">
        <v>62</v>
      </c>
      <c r="F38" s="4" t="n">
        <v>2.69332921131829</v>
      </c>
      <c r="G38" s="1" t="n">
        <v>20</v>
      </c>
      <c r="H38" s="1" t="n">
        <v>44.5</v>
      </c>
      <c r="I38" s="1" t="n">
        <v>350</v>
      </c>
      <c r="J38" s="1" t="n">
        <v>450</v>
      </c>
      <c r="K38" s="1" t="n">
        <v>1964</v>
      </c>
      <c r="L38" s="1" t="n">
        <v>54512.5</v>
      </c>
      <c r="M38" s="3" t="n">
        <v>140.92716892937</v>
      </c>
      <c r="N38" s="12" t="n">
        <v>0.0360284338454483</v>
      </c>
      <c r="O38" s="4" t="n">
        <v>75</v>
      </c>
      <c r="P38" s="3" t="n">
        <v>106.512655225995</v>
      </c>
      <c r="Q38" s="4" t="n">
        <v>0.2</v>
      </c>
      <c r="R38" s="13" t="n">
        <f aca="false">P38/200000</f>
        <v>0.000532563276129973</v>
      </c>
      <c r="V38" s="4"/>
      <c r="W38" s="4"/>
    </row>
    <row r="39" customFormat="false" ht="14.25" hidden="false" customHeight="false" outlineLevel="0" collapsed="false">
      <c r="B39" s="1" t="n">
        <v>25</v>
      </c>
      <c r="C39" s="3" t="n">
        <v>500</v>
      </c>
      <c r="D39" s="1" t="n">
        <v>4</v>
      </c>
      <c r="E39" s="2" t="n">
        <v>62</v>
      </c>
      <c r="F39" s="4" t="n">
        <v>2.69332921131829</v>
      </c>
      <c r="G39" s="1" t="n">
        <v>20</v>
      </c>
      <c r="H39" s="1" t="n">
        <v>44.5</v>
      </c>
      <c r="I39" s="1" t="n">
        <v>350</v>
      </c>
      <c r="J39" s="1" t="n">
        <v>450</v>
      </c>
      <c r="K39" s="1" t="n">
        <v>1964</v>
      </c>
      <c r="L39" s="1" t="n">
        <v>54512.5</v>
      </c>
      <c r="M39" s="3" t="n">
        <v>140.92716892937</v>
      </c>
      <c r="N39" s="12" t="n">
        <v>0.0360284338454483</v>
      </c>
      <c r="O39" s="4" t="n">
        <v>135</v>
      </c>
      <c r="P39" s="3" t="n">
        <v>191.72277940679</v>
      </c>
      <c r="Q39" s="4" t="n">
        <v>0.25</v>
      </c>
      <c r="R39" s="13" t="n">
        <f aca="false">P39/200000</f>
        <v>0.000958613897033951</v>
      </c>
      <c r="V39" s="4"/>
      <c r="W39" s="4"/>
    </row>
    <row r="40" customFormat="false" ht="14.25" hidden="false" customHeight="false" outlineLevel="0" collapsed="false">
      <c r="B40" s="1" t="n">
        <v>25</v>
      </c>
      <c r="C40" s="3" t="n">
        <v>500</v>
      </c>
      <c r="D40" s="1" t="n">
        <v>4</v>
      </c>
      <c r="E40" s="2" t="n">
        <v>62</v>
      </c>
      <c r="F40" s="4" t="n">
        <v>2.69332921131829</v>
      </c>
      <c r="G40" s="1" t="n">
        <v>20</v>
      </c>
      <c r="H40" s="1" t="n">
        <v>44.5</v>
      </c>
      <c r="I40" s="1" t="n">
        <v>350</v>
      </c>
      <c r="J40" s="1" t="n">
        <v>450</v>
      </c>
      <c r="K40" s="1" t="n">
        <v>1964</v>
      </c>
      <c r="L40" s="1" t="n">
        <v>54512.5</v>
      </c>
      <c r="M40" s="3" t="n">
        <v>140.92716892937</v>
      </c>
      <c r="N40" s="12" t="n">
        <v>0.0360284338454483</v>
      </c>
      <c r="O40" s="4" t="n">
        <v>195</v>
      </c>
      <c r="P40" s="3" t="n">
        <v>276.932903587586</v>
      </c>
      <c r="Q40" s="4" t="n">
        <v>0.36</v>
      </c>
      <c r="R40" s="13" t="n">
        <f aca="false">P40/200000</f>
        <v>0.00138466451793793</v>
      </c>
      <c r="V40" s="4"/>
      <c r="W40" s="4"/>
    </row>
    <row r="41" customFormat="false" ht="14.25" hidden="false" customHeight="false" outlineLevel="0" collapsed="false">
      <c r="B41" s="1" t="n">
        <v>25</v>
      </c>
      <c r="C41" s="3" t="n">
        <v>500</v>
      </c>
      <c r="D41" s="1" t="n">
        <v>4</v>
      </c>
      <c r="E41" s="2" t="n">
        <v>62</v>
      </c>
      <c r="F41" s="4" t="n">
        <v>2.69332921131829</v>
      </c>
      <c r="G41" s="1" t="n">
        <v>20</v>
      </c>
      <c r="H41" s="1" t="n">
        <v>44.5</v>
      </c>
      <c r="I41" s="1" t="n">
        <v>350</v>
      </c>
      <c r="J41" s="1" t="n">
        <v>450</v>
      </c>
      <c r="K41" s="1" t="n">
        <v>1964</v>
      </c>
      <c r="L41" s="1" t="n">
        <v>54512.5</v>
      </c>
      <c r="M41" s="3" t="n">
        <v>140.92716892937</v>
      </c>
      <c r="N41" s="12" t="n">
        <v>0.0360284338454483</v>
      </c>
      <c r="O41" s="4" t="n">
        <v>255</v>
      </c>
      <c r="P41" s="3" t="n">
        <v>362.143027768382</v>
      </c>
      <c r="Q41" s="4" t="n">
        <v>0.47</v>
      </c>
      <c r="R41" s="13" t="n">
        <f aca="false">P41/200000</f>
        <v>0.00181071513884191</v>
      </c>
      <c r="V41" s="4"/>
      <c r="W41" s="4"/>
    </row>
    <row r="42" customFormat="false" ht="14.25" hidden="false" customHeight="false" outlineLevel="0" collapsed="false">
      <c r="B42" s="1" t="n">
        <v>25</v>
      </c>
      <c r="C42" s="3" t="n">
        <v>500</v>
      </c>
      <c r="D42" s="1" t="n">
        <v>4</v>
      </c>
      <c r="E42" s="2" t="n">
        <v>62</v>
      </c>
      <c r="F42" s="4" t="n">
        <v>2.69332921131829</v>
      </c>
      <c r="G42" s="1" t="n">
        <v>20</v>
      </c>
      <c r="H42" s="1" t="n">
        <v>44.5</v>
      </c>
      <c r="I42" s="1" t="n">
        <v>350</v>
      </c>
      <c r="J42" s="1" t="n">
        <v>450</v>
      </c>
      <c r="K42" s="1" t="n">
        <v>1964</v>
      </c>
      <c r="L42" s="1" t="n">
        <v>54512.5</v>
      </c>
      <c r="M42" s="3" t="n">
        <v>140.92716892937</v>
      </c>
      <c r="N42" s="12" t="n">
        <v>0.0360284338454483</v>
      </c>
      <c r="O42" s="4" t="n">
        <v>300</v>
      </c>
      <c r="P42" s="3" t="n">
        <v>426.050620903978</v>
      </c>
      <c r="Q42" s="4" t="n">
        <v>0.57</v>
      </c>
      <c r="R42" s="13" t="n">
        <f aca="false">P42/200000</f>
        <v>0.00213025310451989</v>
      </c>
      <c r="V42" s="4"/>
      <c r="W42" s="4"/>
    </row>
    <row r="43" customFormat="false" ht="14.25" hidden="false" customHeight="false" outlineLevel="0" collapsed="false">
      <c r="B43" s="1" t="n">
        <v>25</v>
      </c>
      <c r="C43" s="3" t="n">
        <v>500</v>
      </c>
      <c r="D43" s="1" t="n">
        <v>4</v>
      </c>
      <c r="E43" s="2" t="n">
        <v>62</v>
      </c>
      <c r="F43" s="4" t="n">
        <v>2.69332921131829</v>
      </c>
      <c r="G43" s="1" t="n">
        <v>20</v>
      </c>
      <c r="H43" s="1" t="n">
        <v>44.5</v>
      </c>
      <c r="I43" s="1" t="n">
        <v>350</v>
      </c>
      <c r="J43" s="1" t="n">
        <v>450</v>
      </c>
      <c r="K43" s="1" t="n">
        <v>1964</v>
      </c>
      <c r="L43" s="1" t="n">
        <v>54512.5</v>
      </c>
      <c r="M43" s="3" t="n">
        <v>140.92716892937</v>
      </c>
      <c r="N43" s="12" t="n">
        <v>0.0360284338454483</v>
      </c>
      <c r="O43" s="4" t="n">
        <v>360</v>
      </c>
      <c r="P43" s="3" t="n">
        <v>500</v>
      </c>
      <c r="Q43" s="4" t="n">
        <v>0.78</v>
      </c>
      <c r="R43" s="13" t="n">
        <f aca="false">P43/200000</f>
        <v>0.0025</v>
      </c>
      <c r="V43" s="4"/>
      <c r="W43" s="4"/>
    </row>
    <row r="44" customFormat="false" ht="14.25" hidden="false" customHeight="false" outlineLevel="0" collapsed="false">
      <c r="A44" s="0" t="s">
        <v>29</v>
      </c>
      <c r="B44" s="1" t="n">
        <v>12</v>
      </c>
      <c r="C44" s="3" t="n">
        <v>500</v>
      </c>
      <c r="D44" s="1" t="n">
        <v>4</v>
      </c>
      <c r="E44" s="2" t="n">
        <v>79.3</v>
      </c>
      <c r="F44" s="4" t="n">
        <v>2.69332921131829</v>
      </c>
      <c r="G44" s="1" t="n">
        <v>20</v>
      </c>
      <c r="H44" s="1" t="n">
        <v>34</v>
      </c>
      <c r="I44" s="1" t="n">
        <v>350</v>
      </c>
      <c r="J44" s="1" t="n">
        <v>450</v>
      </c>
      <c r="K44" s="1" t="n">
        <v>452</v>
      </c>
      <c r="L44" s="1" t="n">
        <v>32900</v>
      </c>
      <c r="M44" s="3" t="n">
        <v>76.5758696896729</v>
      </c>
      <c r="N44" s="12" t="n">
        <v>0.0137386018237082</v>
      </c>
      <c r="O44" s="4" t="n">
        <v>37.5</v>
      </c>
      <c r="P44" s="3" t="n">
        <v>212.47112712609</v>
      </c>
      <c r="Q44" s="4" t="n">
        <v>0.21</v>
      </c>
      <c r="R44" s="13" t="n">
        <f aca="false">P44/200000</f>
        <v>0.00106235563563045</v>
      </c>
      <c r="V44" s="4"/>
      <c r="W44" s="4"/>
    </row>
    <row r="45" customFormat="false" ht="14.25" hidden="false" customHeight="false" outlineLevel="0" collapsed="false">
      <c r="B45" s="1" t="n">
        <v>12</v>
      </c>
      <c r="C45" s="3" t="n">
        <v>500</v>
      </c>
      <c r="D45" s="1" t="n">
        <v>4</v>
      </c>
      <c r="E45" s="2" t="n">
        <v>79.3</v>
      </c>
      <c r="F45" s="4" t="n">
        <v>2.69332921131829</v>
      </c>
      <c r="G45" s="1" t="n">
        <v>20</v>
      </c>
      <c r="H45" s="1" t="n">
        <v>34</v>
      </c>
      <c r="I45" s="1" t="n">
        <v>350</v>
      </c>
      <c r="J45" s="1" t="n">
        <v>450</v>
      </c>
      <c r="K45" s="1" t="n">
        <v>452</v>
      </c>
      <c r="L45" s="1" t="n">
        <v>32900</v>
      </c>
      <c r="M45" s="3" t="n">
        <v>76.5758696896729</v>
      </c>
      <c r="N45" s="12" t="n">
        <v>0.0137386018237082</v>
      </c>
      <c r="O45" s="4" t="n">
        <v>45</v>
      </c>
      <c r="P45" s="3" t="n">
        <v>254.965352551308</v>
      </c>
      <c r="Q45" s="4" t="n">
        <v>0.31</v>
      </c>
      <c r="R45" s="13" t="n">
        <f aca="false">P45/200000</f>
        <v>0.00127482676275654</v>
      </c>
      <c r="V45" s="4"/>
      <c r="W45" s="4"/>
    </row>
    <row r="46" customFormat="false" ht="14.25" hidden="false" customHeight="false" outlineLevel="0" collapsed="false">
      <c r="B46" s="1" t="n">
        <v>12</v>
      </c>
      <c r="C46" s="3" t="n">
        <v>500</v>
      </c>
      <c r="D46" s="1" t="n">
        <v>4</v>
      </c>
      <c r="E46" s="2" t="n">
        <v>79.3</v>
      </c>
      <c r="F46" s="4" t="n">
        <v>2.69332921131829</v>
      </c>
      <c r="G46" s="1" t="n">
        <v>20</v>
      </c>
      <c r="H46" s="1" t="n">
        <v>34</v>
      </c>
      <c r="I46" s="1" t="n">
        <v>350</v>
      </c>
      <c r="J46" s="1" t="n">
        <v>450</v>
      </c>
      <c r="K46" s="1" t="n">
        <v>452</v>
      </c>
      <c r="L46" s="1" t="n">
        <v>32900</v>
      </c>
      <c r="M46" s="3" t="n">
        <v>76.5758696896729</v>
      </c>
      <c r="N46" s="12" t="n">
        <v>0.0137386018237082</v>
      </c>
      <c r="O46" s="4" t="n">
        <v>52.5</v>
      </c>
      <c r="P46" s="3" t="n">
        <v>297.459577976525</v>
      </c>
      <c r="Q46" s="4" t="n">
        <v>0.38</v>
      </c>
      <c r="R46" s="13" t="n">
        <f aca="false">P46/200000</f>
        <v>0.00148729788988263</v>
      </c>
      <c r="V46" s="4"/>
      <c r="W46" s="4"/>
    </row>
    <row r="47" customFormat="false" ht="14.25" hidden="false" customHeight="false" outlineLevel="0" collapsed="false">
      <c r="B47" s="1" t="n">
        <v>12</v>
      </c>
      <c r="C47" s="3" t="n">
        <v>500</v>
      </c>
      <c r="D47" s="1" t="n">
        <v>4</v>
      </c>
      <c r="E47" s="2" t="n">
        <v>79.3</v>
      </c>
      <c r="F47" s="4" t="n">
        <v>2.69332921131829</v>
      </c>
      <c r="G47" s="1" t="n">
        <v>20</v>
      </c>
      <c r="H47" s="1" t="n">
        <v>34</v>
      </c>
      <c r="I47" s="1" t="n">
        <v>350</v>
      </c>
      <c r="J47" s="1" t="n">
        <v>450</v>
      </c>
      <c r="K47" s="1" t="n">
        <v>452</v>
      </c>
      <c r="L47" s="1" t="n">
        <v>32900</v>
      </c>
      <c r="M47" s="3" t="n">
        <v>76.5758696896729</v>
      </c>
      <c r="N47" s="12" t="n">
        <v>0.0137386018237082</v>
      </c>
      <c r="O47" s="4" t="n">
        <v>67.5</v>
      </c>
      <c r="P47" s="3" t="n">
        <v>382.448028826961</v>
      </c>
      <c r="Q47" s="4" t="n">
        <v>0.52</v>
      </c>
      <c r="R47" s="13" t="n">
        <f aca="false">P47/200000</f>
        <v>0.00191224014413481</v>
      </c>
      <c r="V47" s="4"/>
      <c r="W47" s="4"/>
    </row>
    <row r="48" customFormat="false" ht="14.25" hidden="false" customHeight="false" outlineLevel="0" collapsed="false">
      <c r="B48" s="1" t="n">
        <v>12</v>
      </c>
      <c r="C48" s="3" t="n">
        <v>500</v>
      </c>
      <c r="D48" s="1" t="n">
        <v>4</v>
      </c>
      <c r="E48" s="2" t="n">
        <v>79.3</v>
      </c>
      <c r="F48" s="4" t="n">
        <v>2.69332921131829</v>
      </c>
      <c r="G48" s="1" t="n">
        <v>20</v>
      </c>
      <c r="H48" s="1" t="n">
        <v>34</v>
      </c>
      <c r="I48" s="1" t="n">
        <v>350</v>
      </c>
      <c r="J48" s="1" t="n">
        <v>450</v>
      </c>
      <c r="K48" s="1" t="n">
        <v>452</v>
      </c>
      <c r="L48" s="1" t="n">
        <v>32900</v>
      </c>
      <c r="M48" s="3" t="n">
        <v>76.5758696896729</v>
      </c>
      <c r="N48" s="12" t="n">
        <v>0.0137386018237082</v>
      </c>
      <c r="O48" s="4" t="n">
        <v>90</v>
      </c>
      <c r="P48" s="3" t="n">
        <v>500</v>
      </c>
      <c r="Q48" s="4" t="n">
        <v>0.74</v>
      </c>
      <c r="R48" s="13" t="n">
        <f aca="false">P48/200000</f>
        <v>0.0025</v>
      </c>
      <c r="V48" s="4"/>
      <c r="W48" s="4"/>
    </row>
    <row r="49" customFormat="false" ht="14.25" hidden="false" customHeight="false" outlineLevel="0" collapsed="false">
      <c r="A49" s="0" t="s">
        <v>30</v>
      </c>
      <c r="B49" s="1" t="n">
        <v>12</v>
      </c>
      <c r="C49" s="3" t="n">
        <v>500</v>
      </c>
      <c r="D49" s="1" t="n">
        <v>4</v>
      </c>
      <c r="E49" s="2" t="n">
        <v>79.3</v>
      </c>
      <c r="F49" s="4" t="n">
        <v>2.69332921131829</v>
      </c>
      <c r="G49" s="1" t="n">
        <v>20</v>
      </c>
      <c r="H49" s="1" t="n">
        <v>34</v>
      </c>
      <c r="I49" s="1" t="n">
        <v>350</v>
      </c>
      <c r="J49" s="1" t="n">
        <v>450</v>
      </c>
      <c r="K49" s="1" t="n">
        <v>452</v>
      </c>
      <c r="L49" s="1" t="n">
        <v>32900</v>
      </c>
      <c r="M49" s="3" t="n">
        <v>76.5758696896729</v>
      </c>
      <c r="N49" s="12" t="n">
        <v>0.0137386018237082</v>
      </c>
      <c r="O49" s="4" t="n">
        <v>37.5</v>
      </c>
      <c r="P49" s="3" t="n">
        <v>212.47112712609</v>
      </c>
      <c r="Q49" s="4" t="n">
        <v>0.17</v>
      </c>
      <c r="R49" s="13" t="n">
        <f aca="false">P49/200000</f>
        <v>0.00106235563563045</v>
      </c>
      <c r="V49" s="4"/>
      <c r="W49" s="4"/>
    </row>
    <row r="50" customFormat="false" ht="14.25" hidden="false" customHeight="false" outlineLevel="0" collapsed="false">
      <c r="B50" s="1" t="n">
        <v>12</v>
      </c>
      <c r="C50" s="3" t="n">
        <v>500</v>
      </c>
      <c r="D50" s="1" t="n">
        <v>4</v>
      </c>
      <c r="E50" s="2" t="n">
        <v>79.3</v>
      </c>
      <c r="F50" s="4" t="n">
        <v>2.69332921131829</v>
      </c>
      <c r="G50" s="1" t="n">
        <v>20</v>
      </c>
      <c r="H50" s="1" t="n">
        <v>34</v>
      </c>
      <c r="I50" s="1" t="n">
        <v>350</v>
      </c>
      <c r="J50" s="1" t="n">
        <v>450</v>
      </c>
      <c r="K50" s="1" t="n">
        <v>452</v>
      </c>
      <c r="L50" s="1" t="n">
        <v>32900</v>
      </c>
      <c r="M50" s="3" t="n">
        <v>76.5758696896729</v>
      </c>
      <c r="N50" s="12" t="n">
        <v>0.0137386018237082</v>
      </c>
      <c r="O50" s="4" t="n">
        <v>52.5</v>
      </c>
      <c r="P50" s="3" t="n">
        <v>297.459577976525</v>
      </c>
      <c r="Q50" s="4" t="n">
        <v>0.36</v>
      </c>
      <c r="R50" s="13" t="n">
        <f aca="false">P50/200000</f>
        <v>0.00148729788988263</v>
      </c>
      <c r="V50" s="4"/>
      <c r="W50" s="4"/>
    </row>
    <row r="51" customFormat="false" ht="14.25" hidden="false" customHeight="false" outlineLevel="0" collapsed="false">
      <c r="B51" s="1" t="n">
        <v>12</v>
      </c>
      <c r="C51" s="3" t="n">
        <v>500</v>
      </c>
      <c r="D51" s="1" t="n">
        <v>4</v>
      </c>
      <c r="E51" s="2" t="n">
        <v>79.3</v>
      </c>
      <c r="F51" s="4" t="n">
        <v>2.69332921131829</v>
      </c>
      <c r="G51" s="1" t="n">
        <v>20</v>
      </c>
      <c r="H51" s="1" t="n">
        <v>34</v>
      </c>
      <c r="I51" s="1" t="n">
        <v>350</v>
      </c>
      <c r="J51" s="1" t="n">
        <v>450</v>
      </c>
      <c r="K51" s="1" t="n">
        <v>452</v>
      </c>
      <c r="L51" s="1" t="n">
        <v>32900</v>
      </c>
      <c r="M51" s="3" t="n">
        <v>76.5758696896729</v>
      </c>
      <c r="N51" s="12" t="n">
        <v>0.0137386018237082</v>
      </c>
      <c r="O51" s="4" t="n">
        <v>67.5</v>
      </c>
      <c r="P51" s="3" t="n">
        <v>382.448028826961</v>
      </c>
      <c r="Q51" s="4" t="n">
        <v>0.56</v>
      </c>
      <c r="R51" s="13" t="n">
        <f aca="false">P51/200000</f>
        <v>0.00191224014413481</v>
      </c>
      <c r="V51" s="4"/>
      <c r="W51" s="4"/>
    </row>
    <row r="52" customFormat="false" ht="14.25" hidden="false" customHeight="false" outlineLevel="0" collapsed="false">
      <c r="B52" s="1" t="n">
        <v>12</v>
      </c>
      <c r="C52" s="3" t="n">
        <v>500</v>
      </c>
      <c r="D52" s="1" t="n">
        <v>4</v>
      </c>
      <c r="E52" s="2" t="n">
        <v>79.3</v>
      </c>
      <c r="F52" s="4" t="n">
        <v>2.69332921131829</v>
      </c>
      <c r="G52" s="1" t="n">
        <v>20</v>
      </c>
      <c r="H52" s="1" t="n">
        <v>34</v>
      </c>
      <c r="I52" s="1" t="n">
        <v>350</v>
      </c>
      <c r="J52" s="1" t="n">
        <v>450</v>
      </c>
      <c r="K52" s="1" t="n">
        <v>452</v>
      </c>
      <c r="L52" s="1" t="n">
        <v>32900</v>
      </c>
      <c r="M52" s="3" t="n">
        <v>76.5758696896729</v>
      </c>
      <c r="N52" s="12" t="n">
        <v>0.0137386018237082</v>
      </c>
      <c r="O52" s="4" t="n">
        <v>90</v>
      </c>
      <c r="P52" s="3" t="n">
        <v>500</v>
      </c>
      <c r="Q52" s="4" t="n">
        <v>0.78</v>
      </c>
      <c r="R52" s="13" t="n">
        <f aca="false">P52/200000</f>
        <v>0.0025</v>
      </c>
      <c r="V52" s="4"/>
      <c r="W52" s="4"/>
    </row>
    <row r="53" customFormat="false" ht="14.25" hidden="false" customHeight="false" outlineLevel="0" collapsed="false">
      <c r="A53" s="0" t="s">
        <v>31</v>
      </c>
      <c r="B53" s="1" t="n">
        <v>12</v>
      </c>
      <c r="C53" s="3" t="n">
        <v>500</v>
      </c>
      <c r="D53" s="1" t="n">
        <v>4</v>
      </c>
      <c r="E53" s="2" t="n">
        <v>46</v>
      </c>
      <c r="F53" s="4" t="n">
        <v>2.69332921131829</v>
      </c>
      <c r="G53" s="1" t="n">
        <v>70</v>
      </c>
      <c r="H53" s="1" t="n">
        <v>88</v>
      </c>
      <c r="I53" s="1" t="n">
        <v>350</v>
      </c>
      <c r="J53" s="1" t="n">
        <v>450</v>
      </c>
      <c r="K53" s="1" t="n">
        <v>452</v>
      </c>
      <c r="L53" s="1" t="n">
        <v>42000</v>
      </c>
      <c r="M53" s="3" t="n">
        <v>70.9138918544459</v>
      </c>
      <c r="N53" s="12" t="n">
        <v>0.0107619047619048</v>
      </c>
      <c r="O53" s="4" t="n">
        <v>37.5</v>
      </c>
      <c r="P53" s="3" t="n">
        <v>245.194770485466</v>
      </c>
      <c r="Q53" s="4" t="n">
        <v>0.31</v>
      </c>
      <c r="R53" s="13" t="n">
        <f aca="false">P53/200000</f>
        <v>0.00122597385242733</v>
      </c>
      <c r="V53" s="4"/>
      <c r="W53" s="4"/>
    </row>
    <row r="54" customFormat="false" ht="14.25" hidden="false" customHeight="false" outlineLevel="0" collapsed="false">
      <c r="B54" s="1" t="n">
        <v>12</v>
      </c>
      <c r="C54" s="3" t="n">
        <v>500</v>
      </c>
      <c r="D54" s="1" t="n">
        <v>4</v>
      </c>
      <c r="E54" s="2" t="n">
        <v>46</v>
      </c>
      <c r="F54" s="4" t="n">
        <v>2.69332921131829</v>
      </c>
      <c r="G54" s="1" t="n">
        <v>70</v>
      </c>
      <c r="H54" s="1" t="n">
        <v>88</v>
      </c>
      <c r="I54" s="1" t="n">
        <v>350</v>
      </c>
      <c r="J54" s="1" t="n">
        <v>450</v>
      </c>
      <c r="K54" s="1" t="n">
        <v>452</v>
      </c>
      <c r="L54" s="1" t="n">
        <v>42000</v>
      </c>
      <c r="M54" s="3" t="n">
        <v>70.9138918544459</v>
      </c>
      <c r="N54" s="12" t="n">
        <v>0.0107619047619048</v>
      </c>
      <c r="O54" s="4" t="n">
        <v>45</v>
      </c>
      <c r="P54" s="3" t="n">
        <v>294.23372458256</v>
      </c>
      <c r="Q54" s="4" t="n">
        <v>0.44</v>
      </c>
      <c r="R54" s="13" t="n">
        <f aca="false">P54/200000</f>
        <v>0.0014711686229128</v>
      </c>
      <c r="V54" s="4"/>
      <c r="W54" s="4"/>
    </row>
    <row r="55" customFormat="false" ht="14.25" hidden="false" customHeight="false" outlineLevel="0" collapsed="false">
      <c r="A55" s="0" t="s">
        <v>32</v>
      </c>
      <c r="B55" s="1" t="n">
        <v>12</v>
      </c>
      <c r="C55" s="3" t="n">
        <v>500</v>
      </c>
      <c r="D55" s="1" t="n">
        <v>4</v>
      </c>
      <c r="E55" s="2" t="n">
        <v>46</v>
      </c>
      <c r="F55" s="4" t="n">
        <v>2.69332921131829</v>
      </c>
      <c r="G55" s="1" t="n">
        <v>70</v>
      </c>
      <c r="H55" s="1" t="n">
        <v>84</v>
      </c>
      <c r="I55" s="1" t="n">
        <v>350</v>
      </c>
      <c r="J55" s="1" t="n">
        <v>450</v>
      </c>
      <c r="K55" s="1" t="n">
        <v>452</v>
      </c>
      <c r="L55" s="1" t="n">
        <v>42000</v>
      </c>
      <c r="M55" s="3" t="n">
        <v>71.3470436587611</v>
      </c>
      <c r="N55" s="12" t="n">
        <v>0.0107619047619048</v>
      </c>
      <c r="O55" s="4" t="n">
        <v>30</v>
      </c>
      <c r="P55" s="3" t="n">
        <v>193.945814910414</v>
      </c>
      <c r="Q55" s="4" t="n">
        <v>0.14</v>
      </c>
      <c r="R55" s="13" t="n">
        <f aca="false">P55/200000</f>
        <v>0.000969729074552072</v>
      </c>
      <c r="V55" s="4"/>
      <c r="W55" s="4"/>
    </row>
    <row r="56" customFormat="false" ht="14.25" hidden="false" customHeight="false" outlineLevel="0" collapsed="false">
      <c r="B56" s="1" t="n">
        <v>12</v>
      </c>
      <c r="C56" s="3" t="n">
        <v>500</v>
      </c>
      <c r="D56" s="1" t="n">
        <v>4</v>
      </c>
      <c r="E56" s="2" t="n">
        <v>46</v>
      </c>
      <c r="F56" s="4" t="n">
        <v>2.69332921131829</v>
      </c>
      <c r="G56" s="1" t="n">
        <v>70</v>
      </c>
      <c r="H56" s="1" t="n">
        <v>84</v>
      </c>
      <c r="I56" s="1" t="n">
        <v>350</v>
      </c>
      <c r="J56" s="1" t="n">
        <v>450</v>
      </c>
      <c r="K56" s="1" t="n">
        <v>452</v>
      </c>
      <c r="L56" s="1" t="n">
        <v>42000</v>
      </c>
      <c r="M56" s="3" t="n">
        <v>71.3470436587611</v>
      </c>
      <c r="N56" s="12" t="n">
        <v>0.0107619047619048</v>
      </c>
      <c r="O56" s="4" t="n">
        <v>37.5</v>
      </c>
      <c r="P56" s="3" t="n">
        <v>242.432268638018</v>
      </c>
      <c r="Q56" s="4" t="n">
        <v>0.31</v>
      </c>
      <c r="R56" s="13" t="n">
        <f aca="false">P56/200000</f>
        <v>0.00121216134319009</v>
      </c>
      <c r="V56" s="4"/>
      <c r="W56" s="4"/>
    </row>
    <row r="57" customFormat="false" ht="14.25" hidden="false" customHeight="false" outlineLevel="0" collapsed="false">
      <c r="B57" s="1" t="n">
        <v>12</v>
      </c>
      <c r="C57" s="3" t="n">
        <v>500</v>
      </c>
      <c r="D57" s="1" t="n">
        <v>4</v>
      </c>
      <c r="E57" s="2" t="n">
        <v>46</v>
      </c>
      <c r="F57" s="4" t="n">
        <v>2.69332921131829</v>
      </c>
      <c r="G57" s="1" t="n">
        <v>70</v>
      </c>
      <c r="H57" s="1" t="n">
        <v>84</v>
      </c>
      <c r="I57" s="1" t="n">
        <v>350</v>
      </c>
      <c r="J57" s="1" t="n">
        <v>450</v>
      </c>
      <c r="K57" s="1" t="n">
        <v>452</v>
      </c>
      <c r="L57" s="1" t="n">
        <v>42000</v>
      </c>
      <c r="M57" s="3" t="n">
        <v>71.3470436587611</v>
      </c>
      <c r="N57" s="12" t="n">
        <v>0.0107619047619048</v>
      </c>
      <c r="O57" s="4" t="n">
        <v>45</v>
      </c>
      <c r="P57" s="3" t="n">
        <v>290.918722365622</v>
      </c>
      <c r="Q57" s="4" t="n">
        <v>0.4</v>
      </c>
      <c r="R57" s="13" t="n">
        <f aca="false">P57/200000</f>
        <v>0.00145459361182811</v>
      </c>
      <c r="V57" s="4"/>
      <c r="W57" s="4"/>
    </row>
    <row r="58" customFormat="false" ht="14.25" hidden="false" customHeight="false" outlineLevel="0" collapsed="false">
      <c r="A58" s="0" t="s">
        <v>33</v>
      </c>
      <c r="B58" s="1" t="n">
        <v>12</v>
      </c>
      <c r="C58" s="3" t="n">
        <v>500</v>
      </c>
      <c r="D58" s="1" t="n">
        <v>4</v>
      </c>
      <c r="E58" s="2" t="n">
        <v>46</v>
      </c>
      <c r="F58" s="4" t="n">
        <v>2.69332921131829</v>
      </c>
      <c r="G58" s="1" t="n">
        <v>70</v>
      </c>
      <c r="H58" s="1" t="n">
        <v>84</v>
      </c>
      <c r="I58" s="1" t="n">
        <v>350</v>
      </c>
      <c r="J58" s="1" t="n">
        <v>450</v>
      </c>
      <c r="K58" s="1" t="n">
        <v>452</v>
      </c>
      <c r="L58" s="1" t="n">
        <v>42000</v>
      </c>
      <c r="M58" s="3" t="n">
        <v>71.3470436587611</v>
      </c>
      <c r="N58" s="12" t="n">
        <v>0.0107619047619048</v>
      </c>
      <c r="O58" s="4" t="n">
        <v>30</v>
      </c>
      <c r="P58" s="3" t="n">
        <v>193.945814910414</v>
      </c>
      <c r="Q58" s="4" t="n">
        <v>0.25</v>
      </c>
      <c r="R58" s="13" t="n">
        <f aca="false">P58/200000</f>
        <v>0.000969729074552072</v>
      </c>
      <c r="V58" s="4"/>
      <c r="W58" s="4"/>
    </row>
    <row r="59" customFormat="false" ht="14.25" hidden="false" customHeight="false" outlineLevel="0" collapsed="false">
      <c r="B59" s="1" t="n">
        <v>12</v>
      </c>
      <c r="C59" s="3" t="n">
        <v>500</v>
      </c>
      <c r="D59" s="1" t="n">
        <v>4</v>
      </c>
      <c r="E59" s="2" t="n">
        <v>46</v>
      </c>
      <c r="F59" s="4" t="n">
        <v>2.69332921131829</v>
      </c>
      <c r="G59" s="1" t="n">
        <v>70</v>
      </c>
      <c r="H59" s="1" t="n">
        <v>84</v>
      </c>
      <c r="I59" s="1" t="n">
        <v>350</v>
      </c>
      <c r="J59" s="1" t="n">
        <v>450</v>
      </c>
      <c r="K59" s="1" t="n">
        <v>452</v>
      </c>
      <c r="L59" s="1" t="n">
        <v>42000</v>
      </c>
      <c r="M59" s="3" t="n">
        <v>71.3470436587611</v>
      </c>
      <c r="N59" s="12" t="n">
        <v>0.0107619047619048</v>
      </c>
      <c r="O59" s="4" t="n">
        <v>37.5</v>
      </c>
      <c r="P59" s="3" t="n">
        <v>242.432268638018</v>
      </c>
      <c r="Q59" s="4" t="n">
        <v>0.44</v>
      </c>
      <c r="R59" s="13" t="n">
        <f aca="false">P59/200000</f>
        <v>0.00121216134319009</v>
      </c>
      <c r="V59" s="4"/>
      <c r="W59" s="4"/>
    </row>
    <row r="60" customFormat="false" ht="14.25" hidden="false" customHeight="false" outlineLevel="0" collapsed="false">
      <c r="B60" s="1" t="n">
        <v>12</v>
      </c>
      <c r="C60" s="3" t="n">
        <v>500</v>
      </c>
      <c r="D60" s="1" t="n">
        <v>4</v>
      </c>
      <c r="E60" s="2" t="n">
        <v>46</v>
      </c>
      <c r="F60" s="4" t="n">
        <v>2.69332921131829</v>
      </c>
      <c r="G60" s="1" t="n">
        <v>70</v>
      </c>
      <c r="H60" s="1" t="n">
        <v>84</v>
      </c>
      <c r="I60" s="1" t="n">
        <v>350</v>
      </c>
      <c r="J60" s="1" t="n">
        <v>450</v>
      </c>
      <c r="K60" s="1" t="n">
        <v>452</v>
      </c>
      <c r="L60" s="1" t="n">
        <v>42000</v>
      </c>
      <c r="M60" s="3" t="n">
        <v>71.3470436587611</v>
      </c>
      <c r="N60" s="12" t="n">
        <v>0.0107619047619048</v>
      </c>
      <c r="O60" s="4" t="n">
        <v>45</v>
      </c>
      <c r="P60" s="3" t="n">
        <v>290.918722365622</v>
      </c>
      <c r="Q60" s="4" t="n">
        <v>0.56</v>
      </c>
      <c r="R60" s="13" t="n">
        <f aca="false">P60/200000</f>
        <v>0.00145459361182811</v>
      </c>
      <c r="V60" s="4"/>
      <c r="W60" s="4"/>
    </row>
    <row r="61" customFormat="false" ht="14.25" hidden="false" customHeight="false" outlineLevel="0" collapsed="false">
      <c r="A61" s="0" t="s">
        <v>34</v>
      </c>
      <c r="B61" s="1" t="n">
        <v>25</v>
      </c>
      <c r="C61" s="3" t="n">
        <v>500</v>
      </c>
      <c r="D61" s="1" t="n">
        <v>4</v>
      </c>
      <c r="E61" s="2" t="n">
        <v>62</v>
      </c>
      <c r="F61" s="4" t="n">
        <v>2.69332921131829</v>
      </c>
      <c r="G61" s="1" t="n">
        <v>20</v>
      </c>
      <c r="H61" s="1" t="n">
        <v>40.5</v>
      </c>
      <c r="I61" s="1" t="n">
        <v>350</v>
      </c>
      <c r="J61" s="1" t="n">
        <v>450</v>
      </c>
      <c r="K61" s="1" t="n">
        <v>1964</v>
      </c>
      <c r="L61" s="1" t="n">
        <v>49612.5</v>
      </c>
      <c r="M61" s="3" t="n">
        <v>141.766460137701</v>
      </c>
      <c r="N61" s="12" t="n">
        <v>0.0395867976820358</v>
      </c>
      <c r="O61" s="4" t="n">
        <v>150</v>
      </c>
      <c r="P61" s="3" t="n">
        <v>210.837549268589</v>
      </c>
      <c r="Q61" s="4" t="n">
        <v>0.23</v>
      </c>
      <c r="R61" s="13" t="n">
        <f aca="false">P61/200000</f>
        <v>0.00105418774634295</v>
      </c>
      <c r="V61" s="4"/>
      <c r="W61" s="4"/>
    </row>
    <row r="62" customFormat="false" ht="14.25" hidden="false" customHeight="false" outlineLevel="0" collapsed="false">
      <c r="B62" s="1" t="n">
        <v>25</v>
      </c>
      <c r="C62" s="3" t="n">
        <v>500</v>
      </c>
      <c r="D62" s="1" t="n">
        <v>4</v>
      </c>
      <c r="E62" s="2" t="n">
        <v>62</v>
      </c>
      <c r="F62" s="4" t="n">
        <v>2.69332921131829</v>
      </c>
      <c r="G62" s="1" t="n">
        <v>20</v>
      </c>
      <c r="H62" s="1" t="n">
        <v>40.5</v>
      </c>
      <c r="I62" s="1" t="n">
        <v>350</v>
      </c>
      <c r="J62" s="1" t="n">
        <v>450</v>
      </c>
      <c r="K62" s="1" t="n">
        <v>1964</v>
      </c>
      <c r="L62" s="1" t="n">
        <v>49612.5</v>
      </c>
      <c r="M62" s="3" t="n">
        <v>141.766460137701</v>
      </c>
      <c r="N62" s="12" t="n">
        <v>0.0395867976820358</v>
      </c>
      <c r="O62" s="4" t="n">
        <v>225</v>
      </c>
      <c r="P62" s="3" t="n">
        <v>316.256323902884</v>
      </c>
      <c r="Q62" s="4" t="n">
        <v>0.35</v>
      </c>
      <c r="R62" s="13" t="n">
        <f aca="false">P62/200000</f>
        <v>0.00158128161951442</v>
      </c>
      <c r="V62" s="4"/>
      <c r="W62" s="4"/>
    </row>
    <row r="63" customFormat="false" ht="14.25" hidden="false" customHeight="false" outlineLevel="0" collapsed="false">
      <c r="B63" s="1" t="n">
        <v>25</v>
      </c>
      <c r="C63" s="3" t="n">
        <v>500</v>
      </c>
      <c r="D63" s="1" t="n">
        <v>4</v>
      </c>
      <c r="E63" s="2" t="n">
        <v>62</v>
      </c>
      <c r="F63" s="4" t="n">
        <v>2.69332921131829</v>
      </c>
      <c r="G63" s="1" t="n">
        <v>20</v>
      </c>
      <c r="H63" s="1" t="n">
        <v>40.5</v>
      </c>
      <c r="I63" s="1" t="n">
        <v>350</v>
      </c>
      <c r="J63" s="1" t="n">
        <v>450</v>
      </c>
      <c r="K63" s="1" t="n">
        <v>1964</v>
      </c>
      <c r="L63" s="1" t="n">
        <v>49612.5</v>
      </c>
      <c r="M63" s="3" t="n">
        <v>141.766460137701</v>
      </c>
      <c r="N63" s="12" t="n">
        <v>0.0395867976820358</v>
      </c>
      <c r="O63" s="4" t="n">
        <v>300</v>
      </c>
      <c r="P63" s="3" t="n">
        <v>421.675098537179</v>
      </c>
      <c r="Q63" s="4" t="n">
        <v>0.49</v>
      </c>
      <c r="R63" s="13" t="n">
        <f aca="false">P63/200000</f>
        <v>0.00210837549268589</v>
      </c>
      <c r="V63" s="4"/>
      <c r="W63" s="4"/>
    </row>
    <row r="64" customFormat="false" ht="14.25" hidden="false" customHeight="false" outlineLevel="0" collapsed="false">
      <c r="B64" s="1" t="n">
        <v>25</v>
      </c>
      <c r="C64" s="3" t="n">
        <v>500</v>
      </c>
      <c r="D64" s="1" t="n">
        <v>4</v>
      </c>
      <c r="E64" s="2" t="n">
        <v>62</v>
      </c>
      <c r="F64" s="4" t="n">
        <v>2.69332921131829</v>
      </c>
      <c r="G64" s="1" t="n">
        <v>20</v>
      </c>
      <c r="H64" s="1" t="n">
        <v>40.5</v>
      </c>
      <c r="I64" s="1" t="n">
        <v>350</v>
      </c>
      <c r="J64" s="1" t="n">
        <v>450</v>
      </c>
      <c r="K64" s="1" t="n">
        <v>1964</v>
      </c>
      <c r="L64" s="1" t="n">
        <v>49612.5</v>
      </c>
      <c r="M64" s="3" t="n">
        <v>141.766460137701</v>
      </c>
      <c r="N64" s="12" t="n">
        <v>0.0395867976820358</v>
      </c>
      <c r="O64" s="4" t="n">
        <v>375</v>
      </c>
      <c r="P64" s="3" t="n">
        <v>500</v>
      </c>
      <c r="Q64" s="4" t="n">
        <v>0.67</v>
      </c>
      <c r="R64" s="13" t="n">
        <f aca="false">P64/200000</f>
        <v>0.0025</v>
      </c>
      <c r="V64" s="4"/>
      <c r="W64" s="4"/>
    </row>
    <row r="65" customFormat="false" ht="14.25" hidden="false" customHeight="false" outlineLevel="0" collapsed="false">
      <c r="A65" s="0" t="s">
        <v>35</v>
      </c>
      <c r="B65" s="1" t="n">
        <v>25</v>
      </c>
      <c r="C65" s="3" t="n">
        <v>500</v>
      </c>
      <c r="D65" s="1" t="n">
        <v>4</v>
      </c>
      <c r="E65" s="2" t="n">
        <v>62</v>
      </c>
      <c r="F65" s="4" t="n">
        <v>2.69332921131829</v>
      </c>
      <c r="G65" s="1" t="n">
        <v>20</v>
      </c>
      <c r="H65" s="1" t="n">
        <v>40.5</v>
      </c>
      <c r="I65" s="1" t="n">
        <v>350</v>
      </c>
      <c r="J65" s="1" t="n">
        <v>450</v>
      </c>
      <c r="K65" s="1" t="n">
        <v>1964</v>
      </c>
      <c r="L65" s="1" t="n">
        <v>49612.5</v>
      </c>
      <c r="M65" s="3" t="n">
        <v>141.766460137701</v>
      </c>
      <c r="N65" s="12" t="n">
        <v>0.0395867976820358</v>
      </c>
      <c r="O65" s="4" t="n">
        <v>150</v>
      </c>
      <c r="P65" s="3" t="n">
        <v>210.837549268589</v>
      </c>
      <c r="Q65" s="4" t="n">
        <v>0.27</v>
      </c>
      <c r="R65" s="13" t="n">
        <f aca="false">P65/200000</f>
        <v>0.00105418774634295</v>
      </c>
      <c r="V65" s="4"/>
      <c r="W65" s="4"/>
    </row>
    <row r="66" customFormat="false" ht="14.25" hidden="false" customHeight="false" outlineLevel="0" collapsed="false">
      <c r="B66" s="1" t="n">
        <v>25</v>
      </c>
      <c r="C66" s="3" t="n">
        <v>500</v>
      </c>
      <c r="D66" s="1" t="n">
        <v>4</v>
      </c>
      <c r="E66" s="2" t="n">
        <v>62</v>
      </c>
      <c r="F66" s="4" t="n">
        <v>2.69332921131829</v>
      </c>
      <c r="G66" s="1" t="n">
        <v>20</v>
      </c>
      <c r="H66" s="1" t="n">
        <v>40.5</v>
      </c>
      <c r="I66" s="1" t="n">
        <v>350</v>
      </c>
      <c r="J66" s="1" t="n">
        <v>450</v>
      </c>
      <c r="K66" s="1" t="n">
        <v>1964</v>
      </c>
      <c r="L66" s="1" t="n">
        <v>49612.5</v>
      </c>
      <c r="M66" s="3" t="n">
        <v>141.766460137701</v>
      </c>
      <c r="N66" s="12" t="n">
        <v>0.0395867976820358</v>
      </c>
      <c r="O66" s="4" t="n">
        <v>225</v>
      </c>
      <c r="P66" s="3" t="n">
        <v>316.256323902884</v>
      </c>
      <c r="Q66" s="4" t="n">
        <v>0.4</v>
      </c>
      <c r="R66" s="13" t="n">
        <f aca="false">P66/200000</f>
        <v>0.00158128161951442</v>
      </c>
      <c r="V66" s="4"/>
      <c r="W66" s="4"/>
    </row>
    <row r="67" customFormat="false" ht="14.25" hidden="false" customHeight="false" outlineLevel="0" collapsed="false">
      <c r="B67" s="1" t="n">
        <v>25</v>
      </c>
      <c r="C67" s="3" t="n">
        <v>500</v>
      </c>
      <c r="D67" s="1" t="n">
        <v>4</v>
      </c>
      <c r="E67" s="2" t="n">
        <v>62</v>
      </c>
      <c r="F67" s="4" t="n">
        <v>2.69332921131829</v>
      </c>
      <c r="G67" s="1" t="n">
        <v>20</v>
      </c>
      <c r="H67" s="1" t="n">
        <v>40.5</v>
      </c>
      <c r="I67" s="1" t="n">
        <v>350</v>
      </c>
      <c r="J67" s="1" t="n">
        <v>450</v>
      </c>
      <c r="K67" s="1" t="n">
        <v>1964</v>
      </c>
      <c r="L67" s="1" t="n">
        <v>49612.5</v>
      </c>
      <c r="M67" s="3" t="n">
        <v>141.766460137701</v>
      </c>
      <c r="N67" s="12" t="n">
        <v>0.0395867976820358</v>
      </c>
      <c r="O67" s="4" t="n">
        <v>300</v>
      </c>
      <c r="P67" s="3" t="n">
        <v>421.675098537179</v>
      </c>
      <c r="Q67" s="4" t="n">
        <v>0.53</v>
      </c>
      <c r="R67" s="13" t="n">
        <f aca="false">P67/200000</f>
        <v>0.00210837549268589</v>
      </c>
      <c r="V67" s="4"/>
      <c r="W67" s="4"/>
    </row>
    <row r="68" customFormat="false" ht="14.25" hidden="false" customHeight="false" outlineLevel="0" collapsed="false">
      <c r="B68" s="1" t="n">
        <v>25</v>
      </c>
      <c r="C68" s="3" t="n">
        <v>500</v>
      </c>
      <c r="D68" s="1" t="n">
        <v>4</v>
      </c>
      <c r="E68" s="2" t="n">
        <v>62</v>
      </c>
      <c r="F68" s="4" t="n">
        <v>2.69332921131829</v>
      </c>
      <c r="G68" s="1" t="n">
        <v>20</v>
      </c>
      <c r="H68" s="1" t="n">
        <v>40.5</v>
      </c>
      <c r="I68" s="1" t="n">
        <v>350</v>
      </c>
      <c r="J68" s="1" t="n">
        <v>450</v>
      </c>
      <c r="K68" s="1" t="n">
        <v>1964</v>
      </c>
      <c r="L68" s="1" t="n">
        <v>49612.5</v>
      </c>
      <c r="M68" s="3" t="n">
        <v>141.766460137701</v>
      </c>
      <c r="N68" s="12" t="n">
        <v>0.0395867976820358</v>
      </c>
      <c r="O68" s="4" t="n">
        <v>375</v>
      </c>
      <c r="P68" s="3" t="n">
        <v>500</v>
      </c>
      <c r="Q68" s="4" t="n">
        <v>0.72</v>
      </c>
      <c r="R68" s="13" t="n">
        <f aca="false">P68/200000</f>
        <v>0.0025</v>
      </c>
      <c r="V68" s="4"/>
      <c r="W68" s="4"/>
    </row>
    <row r="69" customFormat="false" ht="14.25" hidden="false" customHeight="false" outlineLevel="0" collapsed="false">
      <c r="A69" s="0" t="s">
        <v>36</v>
      </c>
      <c r="B69" s="1" t="n">
        <v>25</v>
      </c>
      <c r="C69" s="3" t="n">
        <v>500</v>
      </c>
      <c r="D69" s="1" t="n">
        <v>4</v>
      </c>
      <c r="E69" s="2" t="n">
        <v>28.7</v>
      </c>
      <c r="F69" s="4" t="n">
        <v>2.69332921131829</v>
      </c>
      <c r="G69" s="1" t="n">
        <v>70</v>
      </c>
      <c r="H69" s="1" t="n">
        <v>94.5</v>
      </c>
      <c r="I69" s="1" t="n">
        <v>350</v>
      </c>
      <c r="J69" s="1" t="n">
        <v>450</v>
      </c>
      <c r="K69" s="1" t="n">
        <v>1964</v>
      </c>
      <c r="L69" s="1" t="n">
        <v>76825</v>
      </c>
      <c r="M69" s="3" t="n">
        <v>130.081813066926</v>
      </c>
      <c r="N69" s="12" t="n">
        <v>0.0255645948584445</v>
      </c>
      <c r="O69" s="4" t="n">
        <v>75</v>
      </c>
      <c r="P69" s="3" t="n">
        <v>122.340765829723</v>
      </c>
      <c r="Q69" s="4" t="n">
        <v>0.3</v>
      </c>
      <c r="R69" s="13" t="n">
        <f aca="false">P69/200000</f>
        <v>0.000611703829148615</v>
      </c>
      <c r="V69" s="4"/>
      <c r="W69" s="4"/>
    </row>
    <row r="70" customFormat="false" ht="14.25" hidden="false" customHeight="false" outlineLevel="0" collapsed="false">
      <c r="B70" s="1" t="n">
        <v>25</v>
      </c>
      <c r="C70" s="3" t="n">
        <v>500</v>
      </c>
      <c r="D70" s="1" t="n">
        <v>4</v>
      </c>
      <c r="E70" s="2" t="n">
        <v>28.7</v>
      </c>
      <c r="F70" s="4" t="n">
        <v>2.69332921131829</v>
      </c>
      <c r="G70" s="1" t="n">
        <v>70</v>
      </c>
      <c r="H70" s="1" t="n">
        <v>94.5</v>
      </c>
      <c r="I70" s="1" t="n">
        <v>350</v>
      </c>
      <c r="J70" s="1" t="n">
        <v>450</v>
      </c>
      <c r="K70" s="1" t="n">
        <v>1964</v>
      </c>
      <c r="L70" s="1" t="n">
        <v>76825</v>
      </c>
      <c r="M70" s="3" t="n">
        <v>130.081813066926</v>
      </c>
      <c r="N70" s="12" t="n">
        <v>0.0255645948584445</v>
      </c>
      <c r="O70" s="4" t="n">
        <v>150</v>
      </c>
      <c r="P70" s="3" t="n">
        <v>244.681531659446</v>
      </c>
      <c r="Q70" s="4" t="n">
        <v>0.57</v>
      </c>
      <c r="R70" s="13" t="n">
        <f aca="false">P70/200000</f>
        <v>0.00122340765829723</v>
      </c>
      <c r="V70" s="4"/>
      <c r="W70" s="4"/>
    </row>
    <row r="71" customFormat="false" ht="14.25" hidden="false" customHeight="false" outlineLevel="0" collapsed="false">
      <c r="A71" s="0" t="s">
        <v>37</v>
      </c>
      <c r="B71" s="1" t="n">
        <v>25</v>
      </c>
      <c r="C71" s="3" t="n">
        <v>500</v>
      </c>
      <c r="D71" s="1" t="n">
        <v>4</v>
      </c>
      <c r="E71" s="2" t="n">
        <v>28.7</v>
      </c>
      <c r="F71" s="4" t="n">
        <v>2.69332921131829</v>
      </c>
      <c r="G71" s="1" t="n">
        <v>70</v>
      </c>
      <c r="H71" s="1" t="n">
        <v>90.5</v>
      </c>
      <c r="I71" s="1" t="n">
        <v>350</v>
      </c>
      <c r="J71" s="1" t="n">
        <v>450</v>
      </c>
      <c r="K71" s="1" t="n">
        <v>1964</v>
      </c>
      <c r="L71" s="1" t="n">
        <v>75425</v>
      </c>
      <c r="M71" s="3" t="n">
        <v>130.975130551886</v>
      </c>
      <c r="N71" s="12" t="n">
        <v>0.0260391117003646</v>
      </c>
      <c r="O71" s="4" t="n">
        <v>75</v>
      </c>
      <c r="P71" s="3" t="n">
        <v>120.90671371296</v>
      </c>
      <c r="Q71" s="4" t="n">
        <v>0.26</v>
      </c>
      <c r="R71" s="13" t="n">
        <f aca="false">P71/200000</f>
        <v>0.0006045335685648</v>
      </c>
      <c r="V71" s="4"/>
      <c r="W71" s="4"/>
    </row>
    <row r="72" customFormat="false" ht="14.25" hidden="false" customHeight="false" outlineLevel="0" collapsed="false">
      <c r="B72" s="1" t="n">
        <v>25</v>
      </c>
      <c r="C72" s="3" t="n">
        <v>500</v>
      </c>
      <c r="D72" s="1" t="n">
        <v>4</v>
      </c>
      <c r="E72" s="2" t="n">
        <v>28.7</v>
      </c>
      <c r="F72" s="4" t="n">
        <v>2.69332921131829</v>
      </c>
      <c r="G72" s="1" t="n">
        <v>70</v>
      </c>
      <c r="H72" s="1" t="n">
        <v>90.5</v>
      </c>
      <c r="I72" s="1" t="n">
        <v>350</v>
      </c>
      <c r="J72" s="1" t="n">
        <v>450</v>
      </c>
      <c r="K72" s="1" t="n">
        <v>1964</v>
      </c>
      <c r="L72" s="1" t="n">
        <v>75425</v>
      </c>
      <c r="M72" s="3" t="n">
        <v>130.975130551886</v>
      </c>
      <c r="N72" s="12" t="n">
        <v>0.0260391117003646</v>
      </c>
      <c r="O72" s="4" t="n">
        <v>150</v>
      </c>
      <c r="P72" s="3" t="n">
        <v>241.81342742592</v>
      </c>
      <c r="Q72" s="4" t="n">
        <v>0.6</v>
      </c>
      <c r="R72" s="13" t="n">
        <f aca="false">P72/200000</f>
        <v>0.0012090671371296</v>
      </c>
      <c r="V72" s="4"/>
      <c r="W72" s="4"/>
    </row>
    <row r="73" customFormat="false" ht="14.25" hidden="false" customHeight="false" outlineLevel="0" collapsed="false">
      <c r="A73" s="0" t="s">
        <v>38</v>
      </c>
      <c r="B73" s="1" t="n">
        <v>25</v>
      </c>
      <c r="C73" s="3" t="n">
        <v>500</v>
      </c>
      <c r="D73" s="1" t="n">
        <v>4</v>
      </c>
      <c r="E73" s="2" t="n">
        <v>28.7</v>
      </c>
      <c r="F73" s="4" t="n">
        <v>2.69332921131829</v>
      </c>
      <c r="G73" s="1" t="n">
        <v>70</v>
      </c>
      <c r="H73" s="1" t="n">
        <v>90.5</v>
      </c>
      <c r="I73" s="1" t="n">
        <v>350</v>
      </c>
      <c r="J73" s="1" t="n">
        <v>450</v>
      </c>
      <c r="K73" s="1" t="n">
        <v>1964</v>
      </c>
      <c r="L73" s="1" t="n">
        <v>75425</v>
      </c>
      <c r="M73" s="3" t="n">
        <v>130.975130551886</v>
      </c>
      <c r="N73" s="12" t="n">
        <v>0.0260391117003646</v>
      </c>
      <c r="O73" s="4" t="n">
        <v>75</v>
      </c>
      <c r="P73" s="3" t="n">
        <v>120.90671371296</v>
      </c>
      <c r="Q73" s="4" t="n">
        <v>0.27</v>
      </c>
      <c r="R73" s="13" t="n">
        <f aca="false">P73/200000</f>
        <v>0.0006045335685648</v>
      </c>
      <c r="V73" s="4"/>
      <c r="W73" s="4"/>
    </row>
    <row r="74" customFormat="false" ht="14.25" hidden="false" customHeight="false" outlineLevel="0" collapsed="false">
      <c r="B74" s="1" t="n">
        <v>25</v>
      </c>
      <c r="C74" s="3" t="n">
        <v>500</v>
      </c>
      <c r="D74" s="1" t="n">
        <v>4</v>
      </c>
      <c r="E74" s="2" t="n">
        <v>28.7</v>
      </c>
      <c r="F74" s="4" t="n">
        <v>2.69332921131829</v>
      </c>
      <c r="G74" s="1" t="n">
        <v>70</v>
      </c>
      <c r="H74" s="1" t="n">
        <v>90.5</v>
      </c>
      <c r="I74" s="1" t="n">
        <v>350</v>
      </c>
      <c r="J74" s="1" t="n">
        <v>450</v>
      </c>
      <c r="K74" s="1" t="n">
        <v>1964</v>
      </c>
      <c r="L74" s="1" t="n">
        <v>75425</v>
      </c>
      <c r="M74" s="3" t="n">
        <v>130.975130551886</v>
      </c>
      <c r="N74" s="12" t="n">
        <v>0.0260391117003646</v>
      </c>
      <c r="O74" s="4" t="n">
        <v>150</v>
      </c>
      <c r="P74" s="3" t="n">
        <v>241.81342742592</v>
      </c>
      <c r="Q74" s="4" t="n">
        <v>0.59</v>
      </c>
      <c r="R74" s="13" t="n">
        <f aca="false">P74/200000</f>
        <v>0.0012090671371296</v>
      </c>
      <c r="V74" s="4"/>
      <c r="W74" s="4"/>
    </row>
    <row r="75" customFormat="false" ht="14.25" hidden="false" customHeight="false" outlineLevel="0" collapsed="false">
      <c r="A75" s="0" t="s">
        <v>39</v>
      </c>
      <c r="B75" s="1" t="n">
        <v>9.52</v>
      </c>
      <c r="C75" s="3" t="n">
        <v>434</v>
      </c>
      <c r="D75" s="1" t="n">
        <v>3</v>
      </c>
      <c r="E75" s="2" t="n">
        <v>22.2</v>
      </c>
      <c r="F75" s="4" t="n">
        <v>3.56416000199951</v>
      </c>
      <c r="G75" s="1" t="n">
        <v>20.64</v>
      </c>
      <c r="H75" s="1" t="n">
        <v>25.4</v>
      </c>
      <c r="I75" s="1" t="n">
        <v>114.3</v>
      </c>
      <c r="J75" s="1" t="n">
        <v>228.6</v>
      </c>
      <c r="K75" s="1" t="n">
        <v>212.9</v>
      </c>
      <c r="L75" s="1" t="n">
        <v>8343.9</v>
      </c>
      <c r="M75" s="3" t="n">
        <v>56.390968153099</v>
      </c>
      <c r="N75" s="12" t="n">
        <v>0.0255156461606683</v>
      </c>
      <c r="O75" s="4" t="n">
        <v>11.6</v>
      </c>
      <c r="P75" s="3" t="n">
        <v>295.47063165326</v>
      </c>
      <c r="Q75" s="4" t="n">
        <v>0.15</v>
      </c>
      <c r="R75" s="13" t="n">
        <f aca="false">P75/200000</f>
        <v>0.0014773531582663</v>
      </c>
      <c r="V75" s="4"/>
      <c r="W75" s="4"/>
    </row>
    <row r="76" customFormat="false" ht="14.25" hidden="false" customHeight="false" outlineLevel="0" collapsed="false">
      <c r="B76" s="1" t="n">
        <v>9.52</v>
      </c>
      <c r="C76" s="3" t="n">
        <v>434</v>
      </c>
      <c r="D76" s="1" t="n">
        <v>3</v>
      </c>
      <c r="E76" s="2" t="n">
        <v>22.2</v>
      </c>
      <c r="F76" s="4" t="n">
        <v>3.56416000199951</v>
      </c>
      <c r="G76" s="1" t="n">
        <v>20.64</v>
      </c>
      <c r="H76" s="1" t="n">
        <v>25.4</v>
      </c>
      <c r="I76" s="1" t="n">
        <v>114.3</v>
      </c>
      <c r="J76" s="1" t="n">
        <v>228.6</v>
      </c>
      <c r="K76" s="1" t="n">
        <v>212.9</v>
      </c>
      <c r="L76" s="1" t="n">
        <v>8343.9</v>
      </c>
      <c r="M76" s="3" t="n">
        <v>56.390968153099</v>
      </c>
      <c r="N76" s="12" t="n">
        <v>0.0255156461606683</v>
      </c>
      <c r="O76" s="4" t="n">
        <v>13.5</v>
      </c>
      <c r="P76" s="3" t="n">
        <v>343.866683389569</v>
      </c>
      <c r="Q76" s="4" t="n">
        <v>0.17</v>
      </c>
      <c r="R76" s="13" t="n">
        <f aca="false">P76/200000</f>
        <v>0.00171933341694785</v>
      </c>
      <c r="V76" s="4"/>
      <c r="W76" s="4"/>
    </row>
    <row r="77" customFormat="false" ht="14.25" hidden="false" customHeight="false" outlineLevel="0" collapsed="false">
      <c r="A77" s="0" t="s">
        <v>40</v>
      </c>
      <c r="B77" s="1" t="n">
        <v>12.7</v>
      </c>
      <c r="C77" s="3" t="n">
        <v>434</v>
      </c>
      <c r="D77" s="1" t="n">
        <v>3</v>
      </c>
      <c r="E77" s="2" t="n">
        <v>19.05</v>
      </c>
      <c r="F77" s="4" t="n">
        <v>3.97660816382294</v>
      </c>
      <c r="G77" s="1" t="n">
        <v>19.05</v>
      </c>
      <c r="H77" s="1" t="n">
        <v>25.4</v>
      </c>
      <c r="I77" s="1" t="n">
        <v>114.3</v>
      </c>
      <c r="J77" s="1" t="n">
        <v>228.6</v>
      </c>
      <c r="K77" s="1" t="n">
        <v>387.1</v>
      </c>
      <c r="L77" s="1" t="n">
        <v>10161.27</v>
      </c>
      <c r="M77" s="3" t="n">
        <v>70.3736575776165</v>
      </c>
      <c r="N77" s="12" t="n">
        <v>0.0380956317468191</v>
      </c>
      <c r="O77" s="4" t="n">
        <v>21.1</v>
      </c>
      <c r="P77" s="3" t="n">
        <v>303.256025231297</v>
      </c>
      <c r="Q77" s="4" t="n">
        <v>0.15</v>
      </c>
      <c r="R77" s="13" t="n">
        <f aca="false">P77/200000</f>
        <v>0.00151628012615649</v>
      </c>
      <c r="V77" s="4"/>
      <c r="W77" s="4"/>
    </row>
    <row r="78" customFormat="false" ht="14.25" hidden="false" customHeight="false" outlineLevel="0" collapsed="false">
      <c r="B78" s="1" t="n">
        <v>12.7</v>
      </c>
      <c r="C78" s="3" t="n">
        <v>434</v>
      </c>
      <c r="D78" s="1" t="n">
        <v>3</v>
      </c>
      <c r="E78" s="2" t="n">
        <v>19.05</v>
      </c>
      <c r="F78" s="4" t="n">
        <v>3.97660816382294</v>
      </c>
      <c r="G78" s="1" t="n">
        <v>19.05</v>
      </c>
      <c r="H78" s="1" t="n">
        <v>25.4</v>
      </c>
      <c r="I78" s="1" t="n">
        <v>114.3</v>
      </c>
      <c r="J78" s="1" t="n">
        <v>228.6</v>
      </c>
      <c r="K78" s="1" t="n">
        <v>387.1</v>
      </c>
      <c r="L78" s="1" t="n">
        <v>10161.27</v>
      </c>
      <c r="M78" s="3" t="n">
        <v>70.3736575776165</v>
      </c>
      <c r="N78" s="12" t="n">
        <v>0.0380956317468191</v>
      </c>
      <c r="O78" s="4" t="n">
        <v>24.2</v>
      </c>
      <c r="P78" s="3" t="n">
        <v>347.810227990398</v>
      </c>
      <c r="Q78" s="4" t="n">
        <v>0.17</v>
      </c>
      <c r="R78" s="13" t="n">
        <f aca="false">P78/200000</f>
        <v>0.00173905113995199</v>
      </c>
      <c r="V78" s="4"/>
      <c r="W78" s="4"/>
    </row>
    <row r="79" customFormat="false" ht="14.25" hidden="false" customHeight="false" outlineLevel="0" collapsed="false">
      <c r="B79" s="1" t="n">
        <v>12.7</v>
      </c>
      <c r="C79" s="3" t="n">
        <v>434</v>
      </c>
      <c r="D79" s="1" t="n">
        <v>3</v>
      </c>
      <c r="E79" s="2" t="n">
        <v>19.05</v>
      </c>
      <c r="F79" s="4" t="n">
        <v>3.97660816382294</v>
      </c>
      <c r="G79" s="1" t="n">
        <v>19.05</v>
      </c>
      <c r="H79" s="1" t="n">
        <v>25.4</v>
      </c>
      <c r="I79" s="1" t="n">
        <v>114.3</v>
      </c>
      <c r="J79" s="1" t="n">
        <v>228.6</v>
      </c>
      <c r="K79" s="1" t="n">
        <v>387.1</v>
      </c>
      <c r="L79" s="1" t="n">
        <v>10161.27</v>
      </c>
      <c r="M79" s="3" t="n">
        <v>70.3736575776165</v>
      </c>
      <c r="N79" s="12" t="n">
        <v>0.0380956317468191</v>
      </c>
      <c r="O79" s="4" t="n">
        <v>28.6</v>
      </c>
      <c r="P79" s="3" t="n">
        <v>411.048451261379</v>
      </c>
      <c r="Q79" s="4" t="n">
        <v>0.2</v>
      </c>
      <c r="R79" s="13" t="n">
        <f aca="false">P79/200000</f>
        <v>0.0020552422563069</v>
      </c>
      <c r="V79" s="4"/>
      <c r="W79" s="4"/>
    </row>
    <row r="80" customFormat="false" ht="14.25" hidden="false" customHeight="false" outlineLevel="0" collapsed="false">
      <c r="A80" s="0" t="s">
        <v>41</v>
      </c>
      <c r="B80" s="1" t="n">
        <v>15.9</v>
      </c>
      <c r="C80" s="3" t="n">
        <v>540</v>
      </c>
      <c r="D80" s="1" t="n">
        <v>3</v>
      </c>
      <c r="E80" s="2" t="n">
        <v>15.9</v>
      </c>
      <c r="F80" s="4" t="n">
        <v>3.97660816382294</v>
      </c>
      <c r="G80" s="1" t="n">
        <v>17.46</v>
      </c>
      <c r="H80" s="1" t="n">
        <v>25.4</v>
      </c>
      <c r="I80" s="1" t="n">
        <v>114.3</v>
      </c>
      <c r="J80" s="1" t="n">
        <v>228.6</v>
      </c>
      <c r="K80" s="1" t="n">
        <v>600</v>
      </c>
      <c r="L80" s="1" t="n">
        <v>10161.27</v>
      </c>
      <c r="M80" s="3" t="n">
        <v>83.2568223624363</v>
      </c>
      <c r="N80" s="12" t="n">
        <v>0.0590477371430933</v>
      </c>
      <c r="O80" s="4" t="n">
        <v>30.5</v>
      </c>
      <c r="P80" s="3" t="n">
        <v>289.734922915654</v>
      </c>
      <c r="Q80" s="4" t="n">
        <v>0.16</v>
      </c>
      <c r="R80" s="13" t="n">
        <f aca="false">P80/200000</f>
        <v>0.00144867461457827</v>
      </c>
      <c r="V80" s="4"/>
      <c r="W80" s="4"/>
    </row>
    <row r="81" customFormat="false" ht="14.25" hidden="false" customHeight="false" outlineLevel="0" collapsed="false">
      <c r="B81" s="1" t="n">
        <v>15.9</v>
      </c>
      <c r="C81" s="3" t="n">
        <v>540</v>
      </c>
      <c r="D81" s="1" t="n">
        <v>3</v>
      </c>
      <c r="E81" s="2" t="n">
        <v>15.9</v>
      </c>
      <c r="F81" s="4" t="n">
        <v>3.97660816382294</v>
      </c>
      <c r="G81" s="1" t="n">
        <v>17.46</v>
      </c>
      <c r="H81" s="1" t="n">
        <v>25.4</v>
      </c>
      <c r="I81" s="1" t="n">
        <v>114.3</v>
      </c>
      <c r="J81" s="1" t="n">
        <v>228.6</v>
      </c>
      <c r="K81" s="1" t="n">
        <v>600</v>
      </c>
      <c r="L81" s="1" t="n">
        <v>10161.27</v>
      </c>
      <c r="M81" s="3" t="n">
        <v>83.2568223624363</v>
      </c>
      <c r="N81" s="12" t="n">
        <v>0.0590477371430933</v>
      </c>
      <c r="O81" s="4" t="n">
        <v>40</v>
      </c>
      <c r="P81" s="3" t="n">
        <v>379.980226774629</v>
      </c>
      <c r="Q81" s="4" t="n">
        <v>0.21</v>
      </c>
      <c r="R81" s="13" t="n">
        <f aca="false">P81/200000</f>
        <v>0.00189990113387314</v>
      </c>
      <c r="V81" s="4"/>
      <c r="W81" s="4"/>
    </row>
    <row r="82" customFormat="false" ht="14.25" hidden="false" customHeight="false" outlineLevel="0" collapsed="false">
      <c r="A82" s="0" t="s">
        <v>42</v>
      </c>
      <c r="B82" s="1" t="n">
        <v>16</v>
      </c>
      <c r="C82" s="3" t="n">
        <v>500</v>
      </c>
      <c r="D82" s="1" t="n">
        <v>2</v>
      </c>
      <c r="E82" s="2" t="n">
        <v>138</v>
      </c>
      <c r="F82" s="4" t="n">
        <v>3.269</v>
      </c>
      <c r="G82" s="1" t="n">
        <v>40</v>
      </c>
      <c r="H82" s="1" t="n">
        <v>48</v>
      </c>
      <c r="I82" s="1" t="n">
        <v>250</v>
      </c>
      <c r="J82" s="1" t="n">
        <v>348</v>
      </c>
      <c r="K82" s="1" t="n">
        <v>400</v>
      </c>
      <c r="L82" s="1" t="n">
        <v>32000</v>
      </c>
      <c r="M82" s="3" t="n">
        <v>73.3862853425291</v>
      </c>
      <c r="N82" s="12" t="n">
        <v>0.0125</v>
      </c>
      <c r="O82" s="4" t="n">
        <v>20.42</v>
      </c>
      <c r="P82" s="3" t="n">
        <v>185.273964470166</v>
      </c>
      <c r="Q82" s="4" t="n">
        <v>0.15</v>
      </c>
      <c r="R82" s="13" t="n">
        <f aca="false">P82/200000</f>
        <v>0.000926369822350829</v>
      </c>
      <c r="V82" s="4"/>
      <c r="W82" s="4"/>
    </row>
    <row r="83" customFormat="false" ht="14.25" hidden="false" customHeight="false" outlineLevel="0" collapsed="false">
      <c r="B83" s="1" t="n">
        <v>16</v>
      </c>
      <c r="C83" s="3" t="n">
        <v>500</v>
      </c>
      <c r="D83" s="1" t="n">
        <v>2</v>
      </c>
      <c r="E83" s="2" t="n">
        <v>138</v>
      </c>
      <c r="F83" s="4" t="n">
        <v>3.269</v>
      </c>
      <c r="G83" s="1" t="n">
        <v>40</v>
      </c>
      <c r="H83" s="1" t="n">
        <v>48</v>
      </c>
      <c r="I83" s="1" t="n">
        <v>250</v>
      </c>
      <c r="J83" s="1" t="n">
        <v>348</v>
      </c>
      <c r="K83" s="1" t="n">
        <v>400</v>
      </c>
      <c r="L83" s="1" t="n">
        <v>32000</v>
      </c>
      <c r="M83" s="3" t="n">
        <v>73.3862853425291</v>
      </c>
      <c r="N83" s="12" t="n">
        <v>0.0125</v>
      </c>
      <c r="O83" s="4" t="n">
        <v>23.34</v>
      </c>
      <c r="P83" s="3" t="n">
        <v>211.76759699969</v>
      </c>
      <c r="Q83" s="4" t="n">
        <v>0.2</v>
      </c>
      <c r="R83" s="13" t="n">
        <f aca="false">P83/200000</f>
        <v>0.00105883798499845</v>
      </c>
      <c r="V83" s="4"/>
      <c r="W83" s="4"/>
    </row>
    <row r="84" customFormat="false" ht="14.25" hidden="false" customHeight="false" outlineLevel="0" collapsed="false">
      <c r="B84" s="1" t="n">
        <v>16</v>
      </c>
      <c r="C84" s="3" t="n">
        <v>500</v>
      </c>
      <c r="D84" s="1" t="n">
        <v>2</v>
      </c>
      <c r="E84" s="2" t="n">
        <v>138</v>
      </c>
      <c r="F84" s="4" t="n">
        <v>3.269</v>
      </c>
      <c r="G84" s="1" t="n">
        <v>40</v>
      </c>
      <c r="H84" s="1" t="n">
        <v>48</v>
      </c>
      <c r="I84" s="1" t="n">
        <v>250</v>
      </c>
      <c r="J84" s="1" t="n">
        <v>348</v>
      </c>
      <c r="K84" s="1" t="n">
        <v>400</v>
      </c>
      <c r="L84" s="1" t="n">
        <v>32000</v>
      </c>
      <c r="M84" s="3" t="n">
        <v>73.3862853425291</v>
      </c>
      <c r="N84" s="12" t="n">
        <v>0.0125</v>
      </c>
      <c r="O84" s="4" t="n">
        <v>26.26</v>
      </c>
      <c r="P84" s="3" t="n">
        <v>238.261229529214</v>
      </c>
      <c r="Q84" s="4" t="n">
        <v>0.25</v>
      </c>
      <c r="R84" s="13" t="n">
        <f aca="false">P84/200000</f>
        <v>0.00119130614764607</v>
      </c>
      <c r="V84" s="4"/>
      <c r="W84" s="4"/>
    </row>
    <row r="85" customFormat="false" ht="14.25" hidden="false" customHeight="false" outlineLevel="0" collapsed="false">
      <c r="B85" s="1" t="n">
        <v>16</v>
      </c>
      <c r="C85" s="3" t="n">
        <v>500</v>
      </c>
      <c r="D85" s="1" t="n">
        <v>2</v>
      </c>
      <c r="E85" s="2" t="n">
        <v>138</v>
      </c>
      <c r="F85" s="4" t="n">
        <v>3.269</v>
      </c>
      <c r="G85" s="1" t="n">
        <v>40</v>
      </c>
      <c r="H85" s="1" t="n">
        <v>48</v>
      </c>
      <c r="I85" s="1" t="n">
        <v>250</v>
      </c>
      <c r="J85" s="1" t="n">
        <v>348</v>
      </c>
      <c r="K85" s="1" t="n">
        <v>400</v>
      </c>
      <c r="L85" s="1" t="n">
        <v>32000</v>
      </c>
      <c r="M85" s="3" t="n">
        <v>73.3862853425291</v>
      </c>
      <c r="N85" s="12" t="n">
        <v>0.0125</v>
      </c>
      <c r="O85" s="4" t="n">
        <v>29.175</v>
      </c>
      <c r="P85" s="3" t="n">
        <v>264.709496249612</v>
      </c>
      <c r="Q85" s="4" t="n">
        <v>0.28</v>
      </c>
      <c r="R85" s="13" t="n">
        <f aca="false">P85/200000</f>
        <v>0.00132354748124806</v>
      </c>
      <c r="V85" s="4"/>
      <c r="W85" s="4"/>
    </row>
    <row r="86" customFormat="false" ht="14.25" hidden="false" customHeight="false" outlineLevel="0" collapsed="false">
      <c r="B86" s="1" t="n">
        <v>16</v>
      </c>
      <c r="C86" s="3" t="n">
        <v>500</v>
      </c>
      <c r="D86" s="1" t="n">
        <v>2</v>
      </c>
      <c r="E86" s="2" t="n">
        <v>138</v>
      </c>
      <c r="F86" s="4" t="n">
        <v>3.269</v>
      </c>
      <c r="G86" s="1" t="n">
        <v>40</v>
      </c>
      <c r="H86" s="1" t="n">
        <v>48</v>
      </c>
      <c r="I86" s="1" t="n">
        <v>250</v>
      </c>
      <c r="J86" s="1" t="n">
        <v>348</v>
      </c>
      <c r="K86" s="1" t="n">
        <v>400</v>
      </c>
      <c r="L86" s="1" t="n">
        <v>32000</v>
      </c>
      <c r="M86" s="3" t="n">
        <v>73.3862853425291</v>
      </c>
      <c r="N86" s="12" t="n">
        <v>0.0125</v>
      </c>
      <c r="O86" s="4" t="n">
        <v>32.09</v>
      </c>
      <c r="P86" s="3" t="n">
        <v>291.157762970011</v>
      </c>
      <c r="Q86" s="4" t="n">
        <v>0.28</v>
      </c>
      <c r="R86" s="13" t="n">
        <f aca="false">P86/200000</f>
        <v>0.00145578881485005</v>
      </c>
      <c r="V86" s="4"/>
      <c r="W86" s="4"/>
    </row>
    <row r="87" customFormat="false" ht="14.25" hidden="false" customHeight="false" outlineLevel="0" collapsed="false">
      <c r="B87" s="1" t="n">
        <v>16</v>
      </c>
      <c r="C87" s="3" t="n">
        <v>500</v>
      </c>
      <c r="D87" s="1" t="n">
        <v>2</v>
      </c>
      <c r="E87" s="2" t="n">
        <v>138</v>
      </c>
      <c r="F87" s="4" t="n">
        <v>3.269</v>
      </c>
      <c r="G87" s="1" t="n">
        <v>40</v>
      </c>
      <c r="H87" s="1" t="n">
        <v>48</v>
      </c>
      <c r="I87" s="1" t="n">
        <v>250</v>
      </c>
      <c r="J87" s="1" t="n">
        <v>348</v>
      </c>
      <c r="K87" s="1" t="n">
        <v>400</v>
      </c>
      <c r="L87" s="1" t="n">
        <v>32000</v>
      </c>
      <c r="M87" s="3" t="n">
        <v>73.3862853425291</v>
      </c>
      <c r="N87" s="12" t="n">
        <v>0.0125</v>
      </c>
      <c r="O87" s="4" t="n">
        <v>35.01</v>
      </c>
      <c r="P87" s="3" t="n">
        <v>317.651395499535</v>
      </c>
      <c r="Q87" s="4" t="n">
        <v>0.3</v>
      </c>
      <c r="R87" s="13" t="n">
        <f aca="false">P87/200000</f>
        <v>0.00158825697749767</v>
      </c>
      <c r="V87" s="4"/>
      <c r="W87" s="4"/>
    </row>
    <row r="88" customFormat="false" ht="14.25" hidden="false" customHeight="false" outlineLevel="0" collapsed="false">
      <c r="B88" s="1" t="n">
        <v>16</v>
      </c>
      <c r="C88" s="3" t="n">
        <v>500</v>
      </c>
      <c r="D88" s="1" t="n">
        <v>2</v>
      </c>
      <c r="E88" s="2" t="n">
        <v>138</v>
      </c>
      <c r="F88" s="4" t="n">
        <v>3.269</v>
      </c>
      <c r="G88" s="1" t="n">
        <v>40</v>
      </c>
      <c r="H88" s="1" t="n">
        <v>48</v>
      </c>
      <c r="I88" s="1" t="n">
        <v>250</v>
      </c>
      <c r="J88" s="1" t="n">
        <v>348</v>
      </c>
      <c r="K88" s="1" t="n">
        <v>400</v>
      </c>
      <c r="L88" s="1" t="n">
        <v>32000</v>
      </c>
      <c r="M88" s="3" t="n">
        <v>73.3862853425291</v>
      </c>
      <c r="N88" s="12" t="n">
        <v>0.0125</v>
      </c>
      <c r="O88" s="4" t="n">
        <v>37.93</v>
      </c>
      <c r="P88" s="3" t="n">
        <v>344.145028029059</v>
      </c>
      <c r="Q88" s="4" t="n">
        <v>0.33</v>
      </c>
      <c r="R88" s="13" t="n">
        <f aca="false">P88/200000</f>
        <v>0.0017207251401453</v>
      </c>
      <c r="V88" s="4"/>
      <c r="W88" s="4"/>
    </row>
    <row r="89" customFormat="false" ht="14.25" hidden="false" customHeight="false" outlineLevel="0" collapsed="false">
      <c r="B89" s="1" t="n">
        <v>16</v>
      </c>
      <c r="C89" s="3" t="n">
        <v>500</v>
      </c>
      <c r="D89" s="1" t="n">
        <v>2</v>
      </c>
      <c r="E89" s="2" t="n">
        <v>138</v>
      </c>
      <c r="F89" s="4" t="n">
        <v>3.269</v>
      </c>
      <c r="G89" s="1" t="n">
        <v>40</v>
      </c>
      <c r="H89" s="1" t="n">
        <v>48</v>
      </c>
      <c r="I89" s="1" t="n">
        <v>250</v>
      </c>
      <c r="J89" s="1" t="n">
        <v>348</v>
      </c>
      <c r="K89" s="1" t="n">
        <v>400</v>
      </c>
      <c r="L89" s="1" t="n">
        <v>32000</v>
      </c>
      <c r="M89" s="3" t="n">
        <v>73.3862853425291</v>
      </c>
      <c r="N89" s="12" t="n">
        <v>0.0125</v>
      </c>
      <c r="O89" s="4" t="n">
        <v>40.84</v>
      </c>
      <c r="P89" s="3" t="n">
        <v>370.547928940332</v>
      </c>
      <c r="Q89" s="4" t="n">
        <v>0.33</v>
      </c>
      <c r="R89" s="13" t="n">
        <f aca="false">P89/200000</f>
        <v>0.00185273964470166</v>
      </c>
      <c r="V89" s="4"/>
      <c r="W89" s="4"/>
    </row>
    <row r="90" customFormat="false" ht="14.25" hidden="false" customHeight="false" outlineLevel="0" collapsed="false">
      <c r="A90" s="0" t="s">
        <v>43</v>
      </c>
      <c r="B90" s="1" t="n">
        <v>16</v>
      </c>
      <c r="C90" s="3" t="n">
        <v>500</v>
      </c>
      <c r="D90" s="1" t="n">
        <v>2</v>
      </c>
      <c r="E90" s="2" t="n">
        <v>138</v>
      </c>
      <c r="F90" s="4" t="n">
        <v>3.269</v>
      </c>
      <c r="G90" s="1" t="n">
        <v>40</v>
      </c>
      <c r="H90" s="1" t="n">
        <v>48</v>
      </c>
      <c r="I90" s="1" t="n">
        <v>250</v>
      </c>
      <c r="J90" s="1" t="n">
        <v>348</v>
      </c>
      <c r="K90" s="1" t="n">
        <v>400</v>
      </c>
      <c r="L90" s="1" t="n">
        <v>32000</v>
      </c>
      <c r="M90" s="3" t="n">
        <v>73.3862853425291</v>
      </c>
      <c r="N90" s="12" t="n">
        <v>0.0125</v>
      </c>
      <c r="O90" s="4" t="n">
        <v>23.34</v>
      </c>
      <c r="P90" s="3" t="n">
        <v>211.76759699969</v>
      </c>
      <c r="Q90" s="4" t="n">
        <v>0.15</v>
      </c>
      <c r="R90" s="13" t="n">
        <f aca="false">P90/200000</f>
        <v>0.00105883798499845</v>
      </c>
      <c r="V90" s="4"/>
      <c r="W90" s="4"/>
    </row>
    <row r="91" customFormat="false" ht="14.25" hidden="false" customHeight="false" outlineLevel="0" collapsed="false">
      <c r="B91" s="1" t="n">
        <v>16</v>
      </c>
      <c r="C91" s="3" t="n">
        <v>500</v>
      </c>
      <c r="D91" s="1" t="n">
        <v>2</v>
      </c>
      <c r="E91" s="2" t="n">
        <v>138</v>
      </c>
      <c r="F91" s="4" t="n">
        <v>3.269</v>
      </c>
      <c r="G91" s="1" t="n">
        <v>40</v>
      </c>
      <c r="H91" s="1" t="n">
        <v>48</v>
      </c>
      <c r="I91" s="1" t="n">
        <v>250</v>
      </c>
      <c r="J91" s="1" t="n">
        <v>348</v>
      </c>
      <c r="K91" s="1" t="n">
        <v>400</v>
      </c>
      <c r="L91" s="1" t="n">
        <v>32000</v>
      </c>
      <c r="M91" s="3" t="n">
        <v>73.3862853425291</v>
      </c>
      <c r="N91" s="12" t="n">
        <v>0.0125</v>
      </c>
      <c r="O91" s="4" t="n">
        <v>26.26</v>
      </c>
      <c r="P91" s="3" t="n">
        <v>238.261229529214</v>
      </c>
      <c r="Q91" s="4" t="n">
        <v>0.18</v>
      </c>
      <c r="R91" s="13" t="n">
        <f aca="false">P91/200000</f>
        <v>0.00119130614764607</v>
      </c>
      <c r="V91" s="4"/>
      <c r="W91" s="4"/>
    </row>
    <row r="92" customFormat="false" ht="14.25" hidden="false" customHeight="false" outlineLevel="0" collapsed="false">
      <c r="B92" s="1" t="n">
        <v>16</v>
      </c>
      <c r="C92" s="3" t="n">
        <v>500</v>
      </c>
      <c r="D92" s="1" t="n">
        <v>2</v>
      </c>
      <c r="E92" s="2" t="n">
        <v>138</v>
      </c>
      <c r="F92" s="4" t="n">
        <v>3.269</v>
      </c>
      <c r="G92" s="1" t="n">
        <v>40</v>
      </c>
      <c r="H92" s="1" t="n">
        <v>48</v>
      </c>
      <c r="I92" s="1" t="n">
        <v>250</v>
      </c>
      <c r="J92" s="1" t="n">
        <v>348</v>
      </c>
      <c r="K92" s="1" t="n">
        <v>400</v>
      </c>
      <c r="L92" s="1" t="n">
        <v>32000</v>
      </c>
      <c r="M92" s="3" t="n">
        <v>73.3862853425291</v>
      </c>
      <c r="N92" s="12" t="n">
        <v>0.0125</v>
      </c>
      <c r="O92" s="4" t="n">
        <v>29.175</v>
      </c>
      <c r="P92" s="3" t="n">
        <v>264.709496249612</v>
      </c>
      <c r="Q92" s="4" t="n">
        <v>0.2</v>
      </c>
      <c r="R92" s="13" t="n">
        <f aca="false">P92/200000</f>
        <v>0.00132354748124806</v>
      </c>
      <c r="V92" s="4"/>
      <c r="W92" s="4"/>
    </row>
    <row r="93" customFormat="false" ht="14.25" hidden="false" customHeight="false" outlineLevel="0" collapsed="false">
      <c r="B93" s="1" t="n">
        <v>16</v>
      </c>
      <c r="C93" s="3" t="n">
        <v>500</v>
      </c>
      <c r="D93" s="1" t="n">
        <v>2</v>
      </c>
      <c r="E93" s="2" t="n">
        <v>138</v>
      </c>
      <c r="F93" s="4" t="n">
        <v>3.269</v>
      </c>
      <c r="G93" s="1" t="n">
        <v>40</v>
      </c>
      <c r="H93" s="1" t="n">
        <v>48</v>
      </c>
      <c r="I93" s="1" t="n">
        <v>250</v>
      </c>
      <c r="J93" s="1" t="n">
        <v>348</v>
      </c>
      <c r="K93" s="1" t="n">
        <v>400</v>
      </c>
      <c r="L93" s="1" t="n">
        <v>32000</v>
      </c>
      <c r="M93" s="3" t="n">
        <v>73.3862853425291</v>
      </c>
      <c r="N93" s="12" t="n">
        <v>0.0125</v>
      </c>
      <c r="O93" s="4" t="n">
        <v>32.09</v>
      </c>
      <c r="P93" s="3" t="n">
        <v>291.157762970011</v>
      </c>
      <c r="Q93" s="4" t="n">
        <v>0.25</v>
      </c>
      <c r="R93" s="13" t="n">
        <f aca="false">P93/200000</f>
        <v>0.00145578881485005</v>
      </c>
      <c r="V93" s="4"/>
      <c r="W93" s="4"/>
    </row>
    <row r="94" customFormat="false" ht="14.25" hidden="false" customHeight="false" outlineLevel="0" collapsed="false">
      <c r="B94" s="1" t="n">
        <v>16</v>
      </c>
      <c r="C94" s="3" t="n">
        <v>500</v>
      </c>
      <c r="D94" s="1" t="n">
        <v>2</v>
      </c>
      <c r="E94" s="2" t="n">
        <v>138</v>
      </c>
      <c r="F94" s="4" t="n">
        <v>3.269</v>
      </c>
      <c r="G94" s="1" t="n">
        <v>40</v>
      </c>
      <c r="H94" s="1" t="n">
        <v>48</v>
      </c>
      <c r="I94" s="1" t="n">
        <v>250</v>
      </c>
      <c r="J94" s="1" t="n">
        <v>348</v>
      </c>
      <c r="K94" s="1" t="n">
        <v>400</v>
      </c>
      <c r="L94" s="1" t="n">
        <v>32000</v>
      </c>
      <c r="M94" s="3" t="n">
        <v>73.3862853425291</v>
      </c>
      <c r="N94" s="12" t="n">
        <v>0.0125</v>
      </c>
      <c r="O94" s="4" t="n">
        <v>35.01</v>
      </c>
      <c r="P94" s="3" t="n">
        <v>317.651395499535</v>
      </c>
      <c r="Q94" s="4" t="n">
        <v>0.3</v>
      </c>
      <c r="R94" s="13" t="n">
        <f aca="false">P94/200000</f>
        <v>0.00158825697749767</v>
      </c>
      <c r="V94" s="4"/>
      <c r="W94" s="4"/>
    </row>
    <row r="95" customFormat="false" ht="14.25" hidden="false" customHeight="false" outlineLevel="0" collapsed="false">
      <c r="B95" s="1" t="n">
        <v>16</v>
      </c>
      <c r="C95" s="3" t="n">
        <v>500</v>
      </c>
      <c r="D95" s="1" t="n">
        <v>2</v>
      </c>
      <c r="E95" s="2" t="n">
        <v>138</v>
      </c>
      <c r="F95" s="4" t="n">
        <v>3.269</v>
      </c>
      <c r="G95" s="1" t="n">
        <v>40</v>
      </c>
      <c r="H95" s="1" t="n">
        <v>48</v>
      </c>
      <c r="I95" s="1" t="n">
        <v>250</v>
      </c>
      <c r="J95" s="1" t="n">
        <v>348</v>
      </c>
      <c r="K95" s="1" t="n">
        <v>400</v>
      </c>
      <c r="L95" s="1" t="n">
        <v>32000</v>
      </c>
      <c r="M95" s="3" t="n">
        <v>73.3862853425291</v>
      </c>
      <c r="N95" s="12" t="n">
        <v>0.0125</v>
      </c>
      <c r="O95" s="4" t="n">
        <v>37.93</v>
      </c>
      <c r="P95" s="3" t="n">
        <v>344.145028029059</v>
      </c>
      <c r="Q95" s="4" t="n">
        <v>0.33</v>
      </c>
      <c r="R95" s="13" t="n">
        <f aca="false">P95/200000</f>
        <v>0.0017207251401453</v>
      </c>
      <c r="V95" s="4"/>
      <c r="W95" s="4"/>
    </row>
    <row r="96" customFormat="false" ht="14.25" hidden="false" customHeight="false" outlineLevel="0" collapsed="false">
      <c r="B96" s="1" t="n">
        <v>16</v>
      </c>
      <c r="C96" s="3" t="n">
        <v>500</v>
      </c>
      <c r="D96" s="1" t="n">
        <v>2</v>
      </c>
      <c r="E96" s="2" t="n">
        <v>138</v>
      </c>
      <c r="F96" s="4" t="n">
        <v>3.269</v>
      </c>
      <c r="G96" s="1" t="n">
        <v>40</v>
      </c>
      <c r="H96" s="1" t="n">
        <v>48</v>
      </c>
      <c r="I96" s="1" t="n">
        <v>250</v>
      </c>
      <c r="J96" s="1" t="n">
        <v>348</v>
      </c>
      <c r="K96" s="1" t="n">
        <v>400</v>
      </c>
      <c r="L96" s="1" t="n">
        <v>32000</v>
      </c>
      <c r="M96" s="3" t="n">
        <v>73.3862853425291</v>
      </c>
      <c r="N96" s="12" t="n">
        <v>0.0125</v>
      </c>
      <c r="O96" s="4" t="n">
        <v>40.84</v>
      </c>
      <c r="P96" s="3" t="n">
        <v>370.547928940332</v>
      </c>
      <c r="Q96" s="4" t="n">
        <v>0.38</v>
      </c>
      <c r="R96" s="13" t="n">
        <f aca="false">P96/200000</f>
        <v>0.00185273964470166</v>
      </c>
      <c r="V96" s="4"/>
      <c r="W96" s="4"/>
    </row>
    <row r="97" customFormat="false" ht="14.25" hidden="false" customHeight="false" outlineLevel="0" collapsed="false">
      <c r="A97" s="0" t="s">
        <v>44</v>
      </c>
      <c r="B97" s="1" t="n">
        <v>16</v>
      </c>
      <c r="C97" s="3" t="n">
        <v>500</v>
      </c>
      <c r="D97" s="1" t="n">
        <v>2</v>
      </c>
      <c r="E97" s="2" t="n">
        <v>168</v>
      </c>
      <c r="F97" s="4" t="n">
        <v>3.269</v>
      </c>
      <c r="G97" s="1" t="n">
        <v>25</v>
      </c>
      <c r="H97" s="1" t="n">
        <v>33</v>
      </c>
      <c r="I97" s="1" t="n">
        <v>250</v>
      </c>
      <c r="J97" s="1" t="n">
        <v>333</v>
      </c>
      <c r="K97" s="1" t="n">
        <v>400</v>
      </c>
      <c r="L97" s="1" t="n">
        <v>12769</v>
      </c>
      <c r="M97" s="3" t="n">
        <v>73.3862853425291</v>
      </c>
      <c r="N97" s="12" t="n">
        <v>0.0157460983498901</v>
      </c>
      <c r="O97" s="4" t="n">
        <v>23.34</v>
      </c>
      <c r="P97" s="3" t="n">
        <v>211.76759699969</v>
      </c>
      <c r="Q97" s="4" t="n">
        <v>0.15</v>
      </c>
      <c r="R97" s="13" t="n">
        <f aca="false">P97/200000</f>
        <v>0.00105883798499845</v>
      </c>
      <c r="V97" s="4"/>
      <c r="W97" s="4"/>
    </row>
    <row r="98" customFormat="false" ht="14.25" hidden="false" customHeight="false" outlineLevel="0" collapsed="false">
      <c r="B98" s="1" t="n">
        <v>16</v>
      </c>
      <c r="C98" s="3" t="n">
        <v>500</v>
      </c>
      <c r="D98" s="1" t="n">
        <v>2</v>
      </c>
      <c r="E98" s="2" t="n">
        <v>168</v>
      </c>
      <c r="F98" s="4" t="n">
        <v>3.269</v>
      </c>
      <c r="G98" s="1" t="n">
        <v>25</v>
      </c>
      <c r="H98" s="1" t="n">
        <v>33</v>
      </c>
      <c r="I98" s="1" t="n">
        <v>250</v>
      </c>
      <c r="J98" s="1" t="n">
        <v>333</v>
      </c>
      <c r="K98" s="1" t="n">
        <v>400</v>
      </c>
      <c r="L98" s="1" t="n">
        <v>12769</v>
      </c>
      <c r="M98" s="3" t="n">
        <v>73.3862853425291</v>
      </c>
      <c r="N98" s="12" t="n">
        <v>0.0157460983498901</v>
      </c>
      <c r="O98" s="4" t="n">
        <v>26.26</v>
      </c>
      <c r="P98" s="3" t="n">
        <v>238.261229529214</v>
      </c>
      <c r="Q98" s="4" t="n">
        <v>0.18</v>
      </c>
      <c r="R98" s="13" t="n">
        <f aca="false">P98/200000</f>
        <v>0.00119130614764607</v>
      </c>
      <c r="V98" s="4"/>
      <c r="W98" s="4"/>
    </row>
    <row r="99" customFormat="false" ht="14.25" hidden="false" customHeight="false" outlineLevel="0" collapsed="false">
      <c r="B99" s="1" t="n">
        <v>16</v>
      </c>
      <c r="C99" s="3" t="n">
        <v>500</v>
      </c>
      <c r="D99" s="1" t="n">
        <v>2</v>
      </c>
      <c r="E99" s="2" t="n">
        <v>168</v>
      </c>
      <c r="F99" s="4" t="n">
        <v>3.269</v>
      </c>
      <c r="G99" s="1" t="n">
        <v>25</v>
      </c>
      <c r="H99" s="1" t="n">
        <v>33</v>
      </c>
      <c r="I99" s="1" t="n">
        <v>250</v>
      </c>
      <c r="J99" s="1" t="n">
        <v>333</v>
      </c>
      <c r="K99" s="1" t="n">
        <v>400</v>
      </c>
      <c r="L99" s="1" t="n">
        <v>12769</v>
      </c>
      <c r="M99" s="3" t="n">
        <v>73.3862853425291</v>
      </c>
      <c r="N99" s="12" t="n">
        <v>0.0157460983498901</v>
      </c>
      <c r="O99" s="4" t="n">
        <v>29.175</v>
      </c>
      <c r="P99" s="3" t="n">
        <v>264.709496249612</v>
      </c>
      <c r="Q99" s="4" t="n">
        <v>0.2</v>
      </c>
      <c r="R99" s="13" t="n">
        <f aca="false">P99/200000</f>
        <v>0.00132354748124806</v>
      </c>
      <c r="V99" s="4"/>
      <c r="W99" s="4"/>
    </row>
    <row r="100" customFormat="false" ht="14.25" hidden="false" customHeight="false" outlineLevel="0" collapsed="false">
      <c r="B100" s="1" t="n">
        <v>16</v>
      </c>
      <c r="C100" s="3" t="n">
        <v>500</v>
      </c>
      <c r="D100" s="1" t="n">
        <v>2</v>
      </c>
      <c r="E100" s="2" t="n">
        <v>168</v>
      </c>
      <c r="F100" s="4" t="n">
        <v>3.269</v>
      </c>
      <c r="G100" s="1" t="n">
        <v>25</v>
      </c>
      <c r="H100" s="1" t="n">
        <v>33</v>
      </c>
      <c r="I100" s="1" t="n">
        <v>250</v>
      </c>
      <c r="J100" s="1" t="n">
        <v>333</v>
      </c>
      <c r="K100" s="1" t="n">
        <v>400</v>
      </c>
      <c r="L100" s="1" t="n">
        <v>12769</v>
      </c>
      <c r="M100" s="3" t="n">
        <v>73.3862853425291</v>
      </c>
      <c r="N100" s="12" t="n">
        <v>0.0157460983498901</v>
      </c>
      <c r="O100" s="4" t="n">
        <v>32.09</v>
      </c>
      <c r="P100" s="3" t="n">
        <v>291.157762970011</v>
      </c>
      <c r="Q100" s="4" t="n">
        <v>0.23</v>
      </c>
      <c r="R100" s="13" t="n">
        <f aca="false">P100/200000</f>
        <v>0.00145578881485005</v>
      </c>
      <c r="V100" s="4"/>
      <c r="W100" s="4"/>
    </row>
    <row r="101" customFormat="false" ht="14.25" hidden="false" customHeight="false" outlineLevel="0" collapsed="false">
      <c r="B101" s="1" t="n">
        <v>16</v>
      </c>
      <c r="C101" s="3" t="n">
        <v>500</v>
      </c>
      <c r="D101" s="1" t="n">
        <v>2</v>
      </c>
      <c r="E101" s="2" t="n">
        <v>168</v>
      </c>
      <c r="F101" s="4" t="n">
        <v>3.269</v>
      </c>
      <c r="G101" s="1" t="n">
        <v>25</v>
      </c>
      <c r="H101" s="1" t="n">
        <v>33</v>
      </c>
      <c r="I101" s="1" t="n">
        <v>250</v>
      </c>
      <c r="J101" s="1" t="n">
        <v>333</v>
      </c>
      <c r="K101" s="1" t="n">
        <v>400</v>
      </c>
      <c r="L101" s="1" t="n">
        <v>12769</v>
      </c>
      <c r="M101" s="3" t="n">
        <v>73.3862853425291</v>
      </c>
      <c r="N101" s="12" t="n">
        <v>0.0157460983498901</v>
      </c>
      <c r="O101" s="4" t="n">
        <v>35.01</v>
      </c>
      <c r="P101" s="3" t="n">
        <v>317.651395499535</v>
      </c>
      <c r="Q101" s="4" t="n">
        <v>0.25</v>
      </c>
      <c r="R101" s="13" t="n">
        <f aca="false">P101/200000</f>
        <v>0.00158825697749767</v>
      </c>
      <c r="V101" s="4"/>
      <c r="W101" s="4"/>
    </row>
    <row r="102" customFormat="false" ht="14.25" hidden="false" customHeight="false" outlineLevel="0" collapsed="false">
      <c r="B102" s="1" t="n">
        <v>16</v>
      </c>
      <c r="C102" s="3" t="n">
        <v>500</v>
      </c>
      <c r="D102" s="1" t="n">
        <v>2</v>
      </c>
      <c r="E102" s="2" t="n">
        <v>168</v>
      </c>
      <c r="F102" s="4" t="n">
        <v>3.269</v>
      </c>
      <c r="G102" s="1" t="n">
        <v>25</v>
      </c>
      <c r="H102" s="1" t="n">
        <v>33</v>
      </c>
      <c r="I102" s="1" t="n">
        <v>250</v>
      </c>
      <c r="J102" s="1" t="n">
        <v>333</v>
      </c>
      <c r="K102" s="1" t="n">
        <v>400</v>
      </c>
      <c r="L102" s="1" t="n">
        <v>12769</v>
      </c>
      <c r="M102" s="3" t="n">
        <v>73.3862853425291</v>
      </c>
      <c r="N102" s="12" t="n">
        <v>0.0157460983498901</v>
      </c>
      <c r="O102" s="4" t="n">
        <v>37.93</v>
      </c>
      <c r="P102" s="3" t="n">
        <v>344.145028029059</v>
      </c>
      <c r="Q102" s="4" t="n">
        <v>0.3</v>
      </c>
      <c r="R102" s="13" t="n">
        <f aca="false">P102/200000</f>
        <v>0.0017207251401453</v>
      </c>
      <c r="V102" s="4"/>
      <c r="W102" s="4"/>
    </row>
    <row r="103" customFormat="false" ht="14.25" hidden="false" customHeight="false" outlineLevel="0" collapsed="false">
      <c r="B103" s="1" t="n">
        <v>16</v>
      </c>
      <c r="C103" s="3" t="n">
        <v>500</v>
      </c>
      <c r="D103" s="1" t="n">
        <v>2</v>
      </c>
      <c r="E103" s="2" t="n">
        <v>168</v>
      </c>
      <c r="F103" s="4" t="n">
        <v>3.269</v>
      </c>
      <c r="G103" s="1" t="n">
        <v>25</v>
      </c>
      <c r="H103" s="1" t="n">
        <v>33</v>
      </c>
      <c r="I103" s="1" t="n">
        <v>250</v>
      </c>
      <c r="J103" s="1" t="n">
        <v>333</v>
      </c>
      <c r="K103" s="1" t="n">
        <v>400</v>
      </c>
      <c r="L103" s="1" t="n">
        <v>12769</v>
      </c>
      <c r="M103" s="3" t="n">
        <v>73.3862853425291</v>
      </c>
      <c r="N103" s="12" t="n">
        <v>0.0157460983498901</v>
      </c>
      <c r="O103" s="4" t="n">
        <v>40.84</v>
      </c>
      <c r="P103" s="3" t="n">
        <v>370.547928940332</v>
      </c>
      <c r="Q103" s="4" t="n">
        <v>0.3</v>
      </c>
      <c r="R103" s="13" t="n">
        <f aca="false">P103/200000</f>
        <v>0.00185273964470166</v>
      </c>
      <c r="V103" s="4"/>
      <c r="W103" s="4"/>
    </row>
    <row r="104" customFormat="false" ht="14.25" hidden="false" customHeight="false" outlineLevel="0" collapsed="false">
      <c r="A104" s="0" t="s">
        <v>45</v>
      </c>
      <c r="B104" s="1" t="n">
        <v>16</v>
      </c>
      <c r="C104" s="3" t="n">
        <v>500</v>
      </c>
      <c r="D104" s="1" t="n">
        <v>2</v>
      </c>
      <c r="E104" s="2" t="n">
        <v>168</v>
      </c>
      <c r="F104" s="4" t="n">
        <v>3.269</v>
      </c>
      <c r="G104" s="1" t="n">
        <v>25</v>
      </c>
      <c r="H104" s="1" t="n">
        <v>33</v>
      </c>
      <c r="I104" s="1" t="n">
        <v>250</v>
      </c>
      <c r="J104" s="1" t="n">
        <v>333</v>
      </c>
      <c r="K104" s="1" t="n">
        <v>400</v>
      </c>
      <c r="L104" s="1" t="n">
        <v>12769</v>
      </c>
      <c r="M104" s="3" t="n">
        <v>73.3862853425291</v>
      </c>
      <c r="N104" s="12" t="n">
        <v>0.0157460983498901</v>
      </c>
      <c r="O104" s="4" t="n">
        <v>20.42</v>
      </c>
      <c r="P104" s="3" t="n">
        <v>185.273964470166</v>
      </c>
      <c r="Q104" s="4" t="n">
        <v>0.15</v>
      </c>
      <c r="R104" s="13" t="n">
        <f aca="false">P104/200000</f>
        <v>0.000926369822350829</v>
      </c>
      <c r="V104" s="4"/>
      <c r="W104" s="4"/>
    </row>
    <row r="105" customFormat="false" ht="14.25" hidden="false" customHeight="false" outlineLevel="0" collapsed="false">
      <c r="B105" s="1" t="n">
        <v>16</v>
      </c>
      <c r="C105" s="3" t="n">
        <v>500</v>
      </c>
      <c r="D105" s="1" t="n">
        <v>2</v>
      </c>
      <c r="E105" s="2" t="n">
        <v>168</v>
      </c>
      <c r="F105" s="4" t="n">
        <v>3.269</v>
      </c>
      <c r="G105" s="1" t="n">
        <v>25</v>
      </c>
      <c r="H105" s="1" t="n">
        <v>33</v>
      </c>
      <c r="I105" s="1" t="n">
        <v>250</v>
      </c>
      <c r="J105" s="1" t="n">
        <v>333</v>
      </c>
      <c r="K105" s="1" t="n">
        <v>400</v>
      </c>
      <c r="L105" s="1" t="n">
        <v>12769</v>
      </c>
      <c r="M105" s="3" t="n">
        <v>73.3862853425291</v>
      </c>
      <c r="N105" s="12" t="n">
        <v>0.0157460983498901</v>
      </c>
      <c r="O105" s="4" t="n">
        <v>23.34</v>
      </c>
      <c r="P105" s="3" t="n">
        <v>211.76759699969</v>
      </c>
      <c r="Q105" s="4" t="n">
        <v>0.18</v>
      </c>
      <c r="R105" s="13" t="n">
        <f aca="false">P105/200000</f>
        <v>0.00105883798499845</v>
      </c>
      <c r="V105" s="4"/>
      <c r="W105" s="4"/>
    </row>
    <row r="106" customFormat="false" ht="14.25" hidden="false" customHeight="false" outlineLevel="0" collapsed="false">
      <c r="B106" s="1" t="n">
        <v>16</v>
      </c>
      <c r="C106" s="3" t="n">
        <v>500</v>
      </c>
      <c r="D106" s="1" t="n">
        <v>2</v>
      </c>
      <c r="E106" s="2" t="n">
        <v>168</v>
      </c>
      <c r="F106" s="4" t="n">
        <v>3.269</v>
      </c>
      <c r="G106" s="1" t="n">
        <v>25</v>
      </c>
      <c r="H106" s="1" t="n">
        <v>33</v>
      </c>
      <c r="I106" s="1" t="n">
        <v>250</v>
      </c>
      <c r="J106" s="1" t="n">
        <v>333</v>
      </c>
      <c r="K106" s="1" t="n">
        <v>400</v>
      </c>
      <c r="L106" s="1" t="n">
        <v>12769</v>
      </c>
      <c r="M106" s="3" t="n">
        <v>73.3862853425291</v>
      </c>
      <c r="N106" s="12" t="n">
        <v>0.0157460983498901</v>
      </c>
      <c r="O106" s="4" t="n">
        <v>26.26</v>
      </c>
      <c r="P106" s="3" t="n">
        <v>238.261229529214</v>
      </c>
      <c r="Q106" s="4" t="n">
        <v>0.18</v>
      </c>
      <c r="R106" s="13" t="n">
        <f aca="false">P106/200000</f>
        <v>0.00119130614764607</v>
      </c>
      <c r="V106" s="4"/>
      <c r="W106" s="4"/>
    </row>
    <row r="107" customFormat="false" ht="14.25" hidden="false" customHeight="false" outlineLevel="0" collapsed="false">
      <c r="B107" s="1" t="n">
        <v>16</v>
      </c>
      <c r="C107" s="3" t="n">
        <v>500</v>
      </c>
      <c r="D107" s="1" t="n">
        <v>2</v>
      </c>
      <c r="E107" s="2" t="n">
        <v>168</v>
      </c>
      <c r="F107" s="4" t="n">
        <v>3.269</v>
      </c>
      <c r="G107" s="1" t="n">
        <v>25</v>
      </c>
      <c r="H107" s="1" t="n">
        <v>33</v>
      </c>
      <c r="I107" s="1" t="n">
        <v>250</v>
      </c>
      <c r="J107" s="1" t="n">
        <v>333</v>
      </c>
      <c r="K107" s="1" t="n">
        <v>400</v>
      </c>
      <c r="L107" s="1" t="n">
        <v>12769</v>
      </c>
      <c r="M107" s="3" t="n">
        <v>73.3862853425291</v>
      </c>
      <c r="N107" s="12" t="n">
        <v>0.0157460983498901</v>
      </c>
      <c r="O107" s="4" t="n">
        <v>29.175</v>
      </c>
      <c r="P107" s="3" t="n">
        <v>264.709496249612</v>
      </c>
      <c r="Q107" s="4" t="n">
        <v>0.25</v>
      </c>
      <c r="R107" s="13" t="n">
        <f aca="false">P107/200000</f>
        <v>0.00132354748124806</v>
      </c>
      <c r="V107" s="4"/>
      <c r="W107" s="4"/>
    </row>
    <row r="108" customFormat="false" ht="14.25" hidden="false" customHeight="false" outlineLevel="0" collapsed="false">
      <c r="B108" s="1" t="n">
        <v>16</v>
      </c>
      <c r="C108" s="3" t="n">
        <v>500</v>
      </c>
      <c r="D108" s="1" t="n">
        <v>2</v>
      </c>
      <c r="E108" s="2" t="n">
        <v>168</v>
      </c>
      <c r="F108" s="4" t="n">
        <v>3.269</v>
      </c>
      <c r="G108" s="1" t="n">
        <v>25</v>
      </c>
      <c r="H108" s="1" t="n">
        <v>33</v>
      </c>
      <c r="I108" s="1" t="n">
        <v>250</v>
      </c>
      <c r="J108" s="1" t="n">
        <v>333</v>
      </c>
      <c r="K108" s="1" t="n">
        <v>400</v>
      </c>
      <c r="L108" s="1" t="n">
        <v>12769</v>
      </c>
      <c r="M108" s="3" t="n">
        <v>73.3862853425291</v>
      </c>
      <c r="N108" s="12" t="n">
        <v>0.0157460983498901</v>
      </c>
      <c r="O108" s="4" t="n">
        <v>32.09</v>
      </c>
      <c r="P108" s="3" t="n">
        <v>291.157762970011</v>
      </c>
      <c r="Q108" s="4" t="n">
        <v>0.28</v>
      </c>
      <c r="R108" s="13" t="n">
        <f aca="false">P108/200000</f>
        <v>0.00145578881485005</v>
      </c>
      <c r="V108" s="4"/>
      <c r="W108" s="4"/>
    </row>
    <row r="109" customFormat="false" ht="14.25" hidden="false" customHeight="false" outlineLevel="0" collapsed="false">
      <c r="B109" s="1" t="n">
        <v>16</v>
      </c>
      <c r="C109" s="3" t="n">
        <v>500</v>
      </c>
      <c r="D109" s="1" t="n">
        <v>2</v>
      </c>
      <c r="E109" s="2" t="n">
        <v>168</v>
      </c>
      <c r="F109" s="4" t="n">
        <v>3.269</v>
      </c>
      <c r="G109" s="1" t="n">
        <v>25</v>
      </c>
      <c r="H109" s="1" t="n">
        <v>33</v>
      </c>
      <c r="I109" s="1" t="n">
        <v>250</v>
      </c>
      <c r="J109" s="1" t="n">
        <v>333</v>
      </c>
      <c r="K109" s="1" t="n">
        <v>400</v>
      </c>
      <c r="L109" s="1" t="n">
        <v>12769</v>
      </c>
      <c r="M109" s="3" t="n">
        <v>73.3862853425291</v>
      </c>
      <c r="N109" s="12" t="n">
        <v>0.0157460983498901</v>
      </c>
      <c r="O109" s="4" t="n">
        <v>35.01</v>
      </c>
      <c r="P109" s="3" t="n">
        <v>317.651395499535</v>
      </c>
      <c r="Q109" s="4" t="n">
        <v>0.33</v>
      </c>
      <c r="R109" s="13" t="n">
        <f aca="false">P109/200000</f>
        <v>0.00158825697749767</v>
      </c>
      <c r="V109" s="4"/>
      <c r="W109" s="4"/>
    </row>
    <row r="110" customFormat="false" ht="14.25" hidden="false" customHeight="false" outlineLevel="0" collapsed="false">
      <c r="B110" s="1" t="n">
        <v>16</v>
      </c>
      <c r="C110" s="3" t="n">
        <v>500</v>
      </c>
      <c r="D110" s="1" t="n">
        <v>2</v>
      </c>
      <c r="E110" s="2" t="n">
        <v>168</v>
      </c>
      <c r="F110" s="4" t="n">
        <v>3.269</v>
      </c>
      <c r="G110" s="1" t="n">
        <v>25</v>
      </c>
      <c r="H110" s="1" t="n">
        <v>33</v>
      </c>
      <c r="I110" s="1" t="n">
        <v>250</v>
      </c>
      <c r="J110" s="1" t="n">
        <v>333</v>
      </c>
      <c r="K110" s="1" t="n">
        <v>400</v>
      </c>
      <c r="L110" s="1" t="n">
        <v>12769</v>
      </c>
      <c r="M110" s="3" t="n">
        <v>73.3862853425291</v>
      </c>
      <c r="N110" s="12" t="n">
        <v>0.0157460983498901</v>
      </c>
      <c r="O110" s="4" t="n">
        <v>37.93</v>
      </c>
      <c r="P110" s="3" t="n">
        <v>344.145028029059</v>
      </c>
      <c r="Q110" s="4" t="n">
        <v>0.38</v>
      </c>
      <c r="R110" s="13" t="n">
        <f aca="false">P110/200000</f>
        <v>0.0017207251401453</v>
      </c>
      <c r="V110" s="4"/>
      <c r="W110" s="4"/>
    </row>
    <row r="111" customFormat="false" ht="14.25" hidden="false" customHeight="false" outlineLevel="0" collapsed="false">
      <c r="B111" s="1" t="n">
        <v>16</v>
      </c>
      <c r="C111" s="3" t="n">
        <v>500</v>
      </c>
      <c r="D111" s="1" t="n">
        <v>2</v>
      </c>
      <c r="E111" s="2" t="n">
        <v>168</v>
      </c>
      <c r="F111" s="4" t="n">
        <v>3.269</v>
      </c>
      <c r="G111" s="1" t="n">
        <v>25</v>
      </c>
      <c r="H111" s="1" t="n">
        <v>33</v>
      </c>
      <c r="I111" s="1" t="n">
        <v>250</v>
      </c>
      <c r="J111" s="1" t="n">
        <v>333</v>
      </c>
      <c r="K111" s="1" t="n">
        <v>400</v>
      </c>
      <c r="L111" s="1" t="n">
        <v>12769</v>
      </c>
      <c r="M111" s="3" t="n">
        <v>73.3862853425291</v>
      </c>
      <c r="N111" s="12" t="n">
        <v>0.0157460983498901</v>
      </c>
      <c r="O111" s="4" t="n">
        <v>40.84</v>
      </c>
      <c r="P111" s="3" t="n">
        <v>370.547928940332</v>
      </c>
      <c r="Q111" s="4" t="n">
        <v>0.43</v>
      </c>
      <c r="R111" s="13" t="n">
        <f aca="false">P111/200000</f>
        <v>0.00185273964470166</v>
      </c>
      <c r="V111" s="4"/>
      <c r="W111" s="4"/>
    </row>
    <row r="112" customFormat="false" ht="14.25" hidden="false" customHeight="false" outlineLevel="0" collapsed="false">
      <c r="A112" s="0" t="s">
        <v>46</v>
      </c>
      <c r="B112" s="1" t="n">
        <v>16</v>
      </c>
      <c r="C112" s="3" t="n">
        <v>500</v>
      </c>
      <c r="D112" s="1" t="n">
        <v>3</v>
      </c>
      <c r="E112" s="2" t="n">
        <v>76</v>
      </c>
      <c r="F112" s="4" t="n">
        <v>3.269</v>
      </c>
      <c r="G112" s="1" t="n">
        <v>25</v>
      </c>
      <c r="H112" s="1" t="n">
        <v>33</v>
      </c>
      <c r="I112" s="1" t="n">
        <v>250</v>
      </c>
      <c r="J112" s="1" t="n">
        <v>333</v>
      </c>
      <c r="K112" s="1" t="n">
        <v>600</v>
      </c>
      <c r="L112" s="1" t="n">
        <v>28250</v>
      </c>
      <c r="M112" s="3" t="n">
        <v>87.1145054053498</v>
      </c>
      <c r="N112" s="12" t="n">
        <v>0.0212389380530973</v>
      </c>
      <c r="O112" s="4" t="n">
        <v>37.93</v>
      </c>
      <c r="P112" s="3" t="n">
        <v>233.304692064372</v>
      </c>
      <c r="Q112" s="4" t="n">
        <v>0.15</v>
      </c>
      <c r="R112" s="13" t="n">
        <f aca="false">P112/200000</f>
        <v>0.00116652346032186</v>
      </c>
      <c r="V112" s="4"/>
      <c r="W112" s="4"/>
    </row>
    <row r="113" customFormat="false" ht="14.25" hidden="false" customHeight="false" outlineLevel="0" collapsed="false">
      <c r="B113" s="1" t="n">
        <v>16</v>
      </c>
      <c r="C113" s="3" t="n">
        <v>500</v>
      </c>
      <c r="D113" s="1" t="n">
        <v>3</v>
      </c>
      <c r="E113" s="2" t="n">
        <v>76</v>
      </c>
      <c r="F113" s="4" t="n">
        <v>3.269</v>
      </c>
      <c r="G113" s="1" t="n">
        <v>25</v>
      </c>
      <c r="H113" s="1" t="n">
        <v>33</v>
      </c>
      <c r="I113" s="1" t="n">
        <v>250</v>
      </c>
      <c r="J113" s="1" t="n">
        <v>333</v>
      </c>
      <c r="K113" s="1" t="n">
        <v>600</v>
      </c>
      <c r="L113" s="1" t="n">
        <v>28250</v>
      </c>
      <c r="M113" s="3" t="n">
        <v>87.1145054053498</v>
      </c>
      <c r="N113" s="12" t="n">
        <v>0.0212389380530973</v>
      </c>
      <c r="O113" s="4" t="n">
        <v>40.84</v>
      </c>
      <c r="P113" s="3" t="n">
        <v>251.2038920092</v>
      </c>
      <c r="Q113" s="4" t="n">
        <v>0.18</v>
      </c>
      <c r="R113" s="13" t="n">
        <f aca="false">P113/200000</f>
        <v>0.001256019460046</v>
      </c>
      <c r="V113" s="4"/>
      <c r="W113" s="4"/>
    </row>
    <row r="114" customFormat="false" ht="14.25" hidden="false" customHeight="false" outlineLevel="0" collapsed="false">
      <c r="B114" s="1" t="n">
        <v>16</v>
      </c>
      <c r="C114" s="3" t="n">
        <v>500</v>
      </c>
      <c r="D114" s="1" t="n">
        <v>3</v>
      </c>
      <c r="E114" s="2" t="n">
        <v>76</v>
      </c>
      <c r="F114" s="4" t="n">
        <v>3.269</v>
      </c>
      <c r="G114" s="1" t="n">
        <v>25</v>
      </c>
      <c r="H114" s="1" t="n">
        <v>33</v>
      </c>
      <c r="I114" s="1" t="n">
        <v>250</v>
      </c>
      <c r="J114" s="1" t="n">
        <v>333</v>
      </c>
      <c r="K114" s="1" t="n">
        <v>600</v>
      </c>
      <c r="L114" s="1" t="n">
        <v>28250</v>
      </c>
      <c r="M114" s="3" t="n">
        <v>87.1145054053498</v>
      </c>
      <c r="N114" s="12" t="n">
        <v>0.0212389380530973</v>
      </c>
      <c r="O114" s="4" t="n">
        <v>43.76</v>
      </c>
      <c r="P114" s="3" t="n">
        <v>269.164601232189</v>
      </c>
      <c r="Q114" s="4" t="n">
        <v>0.18</v>
      </c>
      <c r="R114" s="13" t="n">
        <f aca="false">P114/200000</f>
        <v>0.00134582300616095</v>
      </c>
      <c r="V114" s="4"/>
      <c r="W114" s="4"/>
    </row>
    <row r="115" customFormat="false" ht="14.25" hidden="false" customHeight="false" outlineLevel="0" collapsed="false">
      <c r="B115" s="1" t="n">
        <v>16</v>
      </c>
      <c r="C115" s="3" t="n">
        <v>500</v>
      </c>
      <c r="D115" s="1" t="n">
        <v>3</v>
      </c>
      <c r="E115" s="2" t="n">
        <v>76</v>
      </c>
      <c r="F115" s="4" t="n">
        <v>3.269</v>
      </c>
      <c r="G115" s="1" t="n">
        <v>25</v>
      </c>
      <c r="H115" s="1" t="n">
        <v>33</v>
      </c>
      <c r="I115" s="1" t="n">
        <v>250</v>
      </c>
      <c r="J115" s="1" t="n">
        <v>333</v>
      </c>
      <c r="K115" s="1" t="n">
        <v>600</v>
      </c>
      <c r="L115" s="1" t="n">
        <v>28250</v>
      </c>
      <c r="M115" s="3" t="n">
        <v>87.1145054053498</v>
      </c>
      <c r="N115" s="12" t="n">
        <v>0.0212389380530973</v>
      </c>
      <c r="O115" s="4" t="n">
        <v>46.68</v>
      </c>
      <c r="P115" s="3" t="n">
        <v>287.125310455178</v>
      </c>
      <c r="Q115" s="4" t="n">
        <v>0.2</v>
      </c>
      <c r="R115" s="13" t="n">
        <f aca="false">P115/200000</f>
        <v>0.00143562655227589</v>
      </c>
      <c r="V115" s="4"/>
      <c r="W115" s="4"/>
    </row>
    <row r="116" customFormat="false" ht="14.25" hidden="false" customHeight="false" outlineLevel="0" collapsed="false">
      <c r="B116" s="1" t="n">
        <v>16</v>
      </c>
      <c r="C116" s="3" t="n">
        <v>500</v>
      </c>
      <c r="D116" s="1" t="n">
        <v>3</v>
      </c>
      <c r="E116" s="2" t="n">
        <v>76</v>
      </c>
      <c r="F116" s="4" t="n">
        <v>3.269</v>
      </c>
      <c r="G116" s="1" t="n">
        <v>25</v>
      </c>
      <c r="H116" s="1" t="n">
        <v>33</v>
      </c>
      <c r="I116" s="1" t="n">
        <v>250</v>
      </c>
      <c r="J116" s="1" t="n">
        <v>333</v>
      </c>
      <c r="K116" s="1" t="n">
        <v>600</v>
      </c>
      <c r="L116" s="1" t="n">
        <v>28250</v>
      </c>
      <c r="M116" s="3" t="n">
        <v>87.1145054053498</v>
      </c>
      <c r="N116" s="12" t="n">
        <v>0.0212389380530973</v>
      </c>
      <c r="O116" s="4" t="n">
        <v>49.6</v>
      </c>
      <c r="P116" s="3" t="n">
        <v>305.086019678167</v>
      </c>
      <c r="Q116" s="4" t="n">
        <v>0.2</v>
      </c>
      <c r="R116" s="13" t="n">
        <f aca="false">P116/200000</f>
        <v>0.00152543009839084</v>
      </c>
      <c r="V116" s="4"/>
      <c r="W116" s="4"/>
    </row>
    <row r="117" customFormat="false" ht="14.25" hidden="false" customHeight="false" outlineLevel="0" collapsed="false">
      <c r="A117" s="0" t="s">
        <v>47</v>
      </c>
      <c r="B117" s="1" t="n">
        <v>16</v>
      </c>
      <c r="C117" s="3" t="n">
        <v>500</v>
      </c>
      <c r="D117" s="1" t="n">
        <v>3</v>
      </c>
      <c r="E117" s="2" t="n">
        <v>76</v>
      </c>
      <c r="F117" s="4" t="n">
        <v>3.269</v>
      </c>
      <c r="G117" s="1" t="n">
        <v>25</v>
      </c>
      <c r="H117" s="1" t="n">
        <v>33</v>
      </c>
      <c r="I117" s="1" t="n">
        <v>250</v>
      </c>
      <c r="J117" s="1" t="n">
        <v>333</v>
      </c>
      <c r="K117" s="1" t="n">
        <v>600</v>
      </c>
      <c r="L117" s="1" t="n">
        <v>28250</v>
      </c>
      <c r="M117" s="3" t="n">
        <v>87.1145054053498</v>
      </c>
      <c r="N117" s="12" t="n">
        <v>0.0212389380530973</v>
      </c>
      <c r="O117" s="4" t="n">
        <v>40.84</v>
      </c>
      <c r="P117" s="3" t="n">
        <v>251.2038920092</v>
      </c>
      <c r="Q117" s="4" t="n">
        <v>0.15</v>
      </c>
      <c r="R117" s="13" t="n">
        <f aca="false">P117/200000</f>
        <v>0.001256019460046</v>
      </c>
      <c r="V117" s="4"/>
      <c r="W117" s="4"/>
    </row>
    <row r="118" customFormat="false" ht="14.25" hidden="false" customHeight="false" outlineLevel="0" collapsed="false">
      <c r="B118" s="1" t="n">
        <v>16</v>
      </c>
      <c r="C118" s="3" t="n">
        <v>500</v>
      </c>
      <c r="D118" s="1" t="n">
        <v>3</v>
      </c>
      <c r="E118" s="2" t="n">
        <v>76</v>
      </c>
      <c r="F118" s="4" t="n">
        <v>3.269</v>
      </c>
      <c r="G118" s="1" t="n">
        <v>25</v>
      </c>
      <c r="H118" s="1" t="n">
        <v>33</v>
      </c>
      <c r="I118" s="1" t="n">
        <v>250</v>
      </c>
      <c r="J118" s="1" t="n">
        <v>333</v>
      </c>
      <c r="K118" s="1" t="n">
        <v>600</v>
      </c>
      <c r="L118" s="1" t="n">
        <v>28250</v>
      </c>
      <c r="M118" s="3" t="n">
        <v>87.1145054053498</v>
      </c>
      <c r="N118" s="12" t="n">
        <v>0.0212389380530973</v>
      </c>
      <c r="O118" s="4" t="n">
        <v>43.76</v>
      </c>
      <c r="P118" s="3" t="n">
        <v>269.164601232189</v>
      </c>
      <c r="Q118" s="4" t="n">
        <v>0.18</v>
      </c>
      <c r="R118" s="13" t="n">
        <f aca="false">P118/200000</f>
        <v>0.00134582300616095</v>
      </c>
      <c r="V118" s="4"/>
      <c r="W118" s="4"/>
    </row>
    <row r="119" customFormat="false" ht="14.25" hidden="false" customHeight="false" outlineLevel="0" collapsed="false">
      <c r="B119" s="1" t="n">
        <v>16</v>
      </c>
      <c r="C119" s="3" t="n">
        <v>500</v>
      </c>
      <c r="D119" s="1" t="n">
        <v>3</v>
      </c>
      <c r="E119" s="2" t="n">
        <v>76</v>
      </c>
      <c r="F119" s="4" t="n">
        <v>3.269</v>
      </c>
      <c r="G119" s="1" t="n">
        <v>25</v>
      </c>
      <c r="H119" s="1" t="n">
        <v>33</v>
      </c>
      <c r="I119" s="1" t="n">
        <v>250</v>
      </c>
      <c r="J119" s="1" t="n">
        <v>333</v>
      </c>
      <c r="K119" s="1" t="n">
        <v>600</v>
      </c>
      <c r="L119" s="1" t="n">
        <v>28250</v>
      </c>
      <c r="M119" s="3" t="n">
        <v>87.1145054053498</v>
      </c>
      <c r="N119" s="12" t="n">
        <v>0.0212389380530973</v>
      </c>
      <c r="O119" s="4" t="n">
        <v>46.68</v>
      </c>
      <c r="P119" s="3" t="n">
        <v>287.125310455178</v>
      </c>
      <c r="Q119" s="4" t="n">
        <v>0.2</v>
      </c>
      <c r="R119" s="13" t="n">
        <f aca="false">P119/200000</f>
        <v>0.00143562655227589</v>
      </c>
      <c r="V119" s="4"/>
      <c r="W119" s="4"/>
    </row>
    <row r="120" customFormat="false" ht="14.25" hidden="false" customHeight="false" outlineLevel="0" collapsed="false">
      <c r="B120" s="1" t="n">
        <v>16</v>
      </c>
      <c r="C120" s="3" t="n">
        <v>500</v>
      </c>
      <c r="D120" s="1" t="n">
        <v>3</v>
      </c>
      <c r="E120" s="2" t="n">
        <v>76</v>
      </c>
      <c r="F120" s="4" t="n">
        <v>3.269</v>
      </c>
      <c r="G120" s="1" t="n">
        <v>25</v>
      </c>
      <c r="H120" s="1" t="n">
        <v>33</v>
      </c>
      <c r="I120" s="1" t="n">
        <v>250</v>
      </c>
      <c r="J120" s="1" t="n">
        <v>333</v>
      </c>
      <c r="K120" s="1" t="n">
        <v>600</v>
      </c>
      <c r="L120" s="1" t="n">
        <v>28250</v>
      </c>
      <c r="M120" s="3" t="n">
        <v>87.1145054053498</v>
      </c>
      <c r="N120" s="12" t="n">
        <v>0.0212389380530973</v>
      </c>
      <c r="O120" s="4" t="n">
        <v>49.6</v>
      </c>
      <c r="P120" s="3" t="n">
        <v>305.086019678167</v>
      </c>
      <c r="Q120" s="4" t="n">
        <v>0.2</v>
      </c>
      <c r="R120" s="13" t="n">
        <f aca="false">P120/200000</f>
        <v>0.00152543009839084</v>
      </c>
      <c r="V120" s="4"/>
      <c r="W120" s="4"/>
    </row>
    <row r="121" customFormat="false" ht="14.25" hidden="false" customHeight="false" outlineLevel="0" collapsed="false">
      <c r="A121" s="0" t="s">
        <v>48</v>
      </c>
      <c r="B121" s="1" t="n">
        <v>12</v>
      </c>
      <c r="C121" s="3" t="n">
        <v>500</v>
      </c>
      <c r="D121" s="1" t="n">
        <v>2</v>
      </c>
      <c r="E121" s="2" t="n">
        <v>296</v>
      </c>
      <c r="F121" s="4" t="n">
        <v>3.269</v>
      </c>
      <c r="G121" s="1" t="n">
        <v>25</v>
      </c>
      <c r="H121" s="1" t="n">
        <v>31</v>
      </c>
      <c r="I121" s="1" t="n">
        <v>400</v>
      </c>
      <c r="J121" s="1" t="n">
        <v>161</v>
      </c>
      <c r="K121" s="1" t="n">
        <v>220</v>
      </c>
      <c r="L121" s="1" t="n">
        <v>9646</v>
      </c>
      <c r="M121" s="3" t="n">
        <v>28.7588606062944</v>
      </c>
      <c r="N121" s="12" t="n">
        <v>0.0117247911599868</v>
      </c>
      <c r="O121" s="4" t="n">
        <v>4.67</v>
      </c>
      <c r="P121" s="3" t="n">
        <v>176.286173520268</v>
      </c>
      <c r="Q121" s="4" t="n">
        <v>0.2</v>
      </c>
      <c r="R121" s="13" t="n">
        <f aca="false">P121/200000</f>
        <v>0.000881430867601341</v>
      </c>
      <c r="V121" s="4"/>
      <c r="W121" s="4"/>
    </row>
    <row r="122" customFormat="false" ht="14.25" hidden="false" customHeight="false" outlineLevel="0" collapsed="false">
      <c r="B122" s="1" t="n">
        <v>12</v>
      </c>
      <c r="C122" s="3" t="n">
        <v>500</v>
      </c>
      <c r="D122" s="1" t="n">
        <v>2</v>
      </c>
      <c r="E122" s="2" t="n">
        <v>296</v>
      </c>
      <c r="F122" s="4" t="n">
        <v>3.269</v>
      </c>
      <c r="G122" s="1" t="n">
        <v>25</v>
      </c>
      <c r="H122" s="1" t="n">
        <v>31</v>
      </c>
      <c r="I122" s="1" t="n">
        <v>400</v>
      </c>
      <c r="J122" s="1" t="n">
        <v>161</v>
      </c>
      <c r="K122" s="1" t="n">
        <v>220</v>
      </c>
      <c r="L122" s="1" t="n">
        <v>9646</v>
      </c>
      <c r="M122" s="3" t="n">
        <v>28.7588606062944</v>
      </c>
      <c r="N122" s="12" t="n">
        <v>0.0117247911599868</v>
      </c>
      <c r="O122" s="4" t="n">
        <v>6.42</v>
      </c>
      <c r="P122" s="3" t="n">
        <v>242.346302783752</v>
      </c>
      <c r="Q122" s="4" t="n">
        <v>0.25</v>
      </c>
      <c r="R122" s="13" t="n">
        <f aca="false">P122/200000</f>
        <v>0.00121173151391876</v>
      </c>
      <c r="V122" s="4"/>
      <c r="W122" s="4"/>
    </row>
    <row r="123" customFormat="false" ht="14.25" hidden="false" customHeight="false" outlineLevel="0" collapsed="false">
      <c r="B123" s="1" t="n">
        <v>12</v>
      </c>
      <c r="C123" s="3" t="n">
        <v>500</v>
      </c>
      <c r="D123" s="1" t="n">
        <v>2</v>
      </c>
      <c r="E123" s="2" t="n">
        <v>296</v>
      </c>
      <c r="F123" s="4" t="n">
        <v>3.269</v>
      </c>
      <c r="G123" s="1" t="n">
        <v>25</v>
      </c>
      <c r="H123" s="1" t="n">
        <v>31</v>
      </c>
      <c r="I123" s="1" t="n">
        <v>400</v>
      </c>
      <c r="J123" s="1" t="n">
        <v>161</v>
      </c>
      <c r="K123" s="1" t="n">
        <v>220</v>
      </c>
      <c r="L123" s="1" t="n">
        <v>9646</v>
      </c>
      <c r="M123" s="3" t="n">
        <v>28.7588606062944</v>
      </c>
      <c r="N123" s="12" t="n">
        <v>0.0117247911599868</v>
      </c>
      <c r="O123" s="4" t="n">
        <v>8.17</v>
      </c>
      <c r="P123" s="3" t="n">
        <v>308.406432047236</v>
      </c>
      <c r="Q123" s="4" t="n">
        <v>0.33</v>
      </c>
      <c r="R123" s="13" t="n">
        <f aca="false">P123/200000</f>
        <v>0.00154203216023618</v>
      </c>
      <c r="V123" s="4"/>
      <c r="W123" s="4"/>
    </row>
    <row r="124" customFormat="false" ht="14.25" hidden="false" customHeight="false" outlineLevel="0" collapsed="false">
      <c r="A124" s="0" t="s">
        <v>49</v>
      </c>
      <c r="B124" s="1" t="n">
        <v>12</v>
      </c>
      <c r="C124" s="3" t="n">
        <v>500</v>
      </c>
      <c r="D124" s="1" t="n">
        <v>2</v>
      </c>
      <c r="E124" s="2" t="n">
        <v>296</v>
      </c>
      <c r="F124" s="4" t="n">
        <v>3.269</v>
      </c>
      <c r="G124" s="1" t="n">
        <v>25</v>
      </c>
      <c r="H124" s="1" t="n">
        <v>31</v>
      </c>
      <c r="I124" s="1" t="n">
        <v>400</v>
      </c>
      <c r="J124" s="1" t="n">
        <v>161</v>
      </c>
      <c r="K124" s="1" t="n">
        <v>220</v>
      </c>
      <c r="L124" s="1" t="n">
        <v>9646</v>
      </c>
      <c r="M124" s="3" t="n">
        <v>28.7588606062944</v>
      </c>
      <c r="N124" s="12" t="n">
        <v>0.0117247911599868</v>
      </c>
      <c r="O124" s="4" t="n">
        <v>6.42</v>
      </c>
      <c r="P124" s="3" t="n">
        <v>242.346302783752</v>
      </c>
      <c r="Q124" s="4" t="n">
        <v>0.23</v>
      </c>
      <c r="R124" s="13" t="n">
        <f aca="false">P124/200000</f>
        <v>0.00121173151391876</v>
      </c>
      <c r="V124" s="4"/>
      <c r="W124" s="4"/>
    </row>
    <row r="125" customFormat="false" ht="14.25" hidden="false" customHeight="false" outlineLevel="0" collapsed="false">
      <c r="B125" s="1" t="n">
        <v>12</v>
      </c>
      <c r="C125" s="3" t="n">
        <v>500</v>
      </c>
      <c r="D125" s="1" t="n">
        <v>2</v>
      </c>
      <c r="E125" s="2" t="n">
        <v>296</v>
      </c>
      <c r="F125" s="4" t="n">
        <v>3.269</v>
      </c>
      <c r="G125" s="1" t="n">
        <v>25</v>
      </c>
      <c r="H125" s="1" t="n">
        <v>31</v>
      </c>
      <c r="I125" s="1" t="n">
        <v>400</v>
      </c>
      <c r="J125" s="1" t="n">
        <v>161</v>
      </c>
      <c r="K125" s="1" t="n">
        <v>220</v>
      </c>
      <c r="L125" s="1" t="n">
        <v>9646</v>
      </c>
      <c r="M125" s="3" t="n">
        <v>28.7588606062944</v>
      </c>
      <c r="N125" s="12" t="n">
        <v>0.0117247911599868</v>
      </c>
      <c r="O125" s="4" t="n">
        <v>8.17</v>
      </c>
      <c r="P125" s="3" t="n">
        <v>308.406432047236</v>
      </c>
      <c r="Q125" s="4" t="n">
        <v>0.28</v>
      </c>
      <c r="R125" s="13" t="n">
        <f aca="false">P125/200000</f>
        <v>0.00154203216023618</v>
      </c>
      <c r="V125" s="4"/>
      <c r="W125" s="4"/>
    </row>
    <row r="126" customFormat="false" ht="14.25" hidden="false" customHeight="false" outlineLevel="0" collapsed="false">
      <c r="A126" s="0" t="s">
        <v>50</v>
      </c>
      <c r="B126" s="1" t="n">
        <v>12</v>
      </c>
      <c r="C126" s="3" t="n">
        <v>500</v>
      </c>
      <c r="D126" s="1" t="n">
        <v>3</v>
      </c>
      <c r="E126" s="2" t="n">
        <v>142</v>
      </c>
      <c r="F126" s="4" t="n">
        <v>3.269</v>
      </c>
      <c r="G126" s="1" t="n">
        <v>25</v>
      </c>
      <c r="H126" s="1" t="n">
        <v>31</v>
      </c>
      <c r="I126" s="1" t="n">
        <v>400</v>
      </c>
      <c r="J126" s="1" t="n">
        <v>161</v>
      </c>
      <c r="K126" s="1" t="n">
        <v>330</v>
      </c>
      <c r="L126" s="1" t="n">
        <v>9646</v>
      </c>
      <c r="M126" s="3" t="n">
        <v>34.253185076506</v>
      </c>
      <c r="N126" s="12" t="n">
        <v>0.0117247911599868</v>
      </c>
      <c r="O126" s="4" t="n">
        <v>8.17</v>
      </c>
      <c r="P126" s="3" t="n">
        <v>208.779739289304</v>
      </c>
      <c r="Q126" s="4" t="n">
        <v>0.18</v>
      </c>
      <c r="R126" s="13" t="n">
        <f aca="false">P126/200000</f>
        <v>0.00104389869644652</v>
      </c>
      <c r="V126" s="4"/>
      <c r="W126" s="4"/>
    </row>
    <row r="127" customFormat="false" ht="14.25" hidden="false" customHeight="false" outlineLevel="0" collapsed="false">
      <c r="B127" s="1" t="n">
        <v>12</v>
      </c>
      <c r="C127" s="3" t="n">
        <v>500</v>
      </c>
      <c r="D127" s="1" t="n">
        <v>3</v>
      </c>
      <c r="E127" s="2" t="n">
        <v>142</v>
      </c>
      <c r="F127" s="4" t="n">
        <v>3.269</v>
      </c>
      <c r="G127" s="1" t="n">
        <v>25</v>
      </c>
      <c r="H127" s="1" t="n">
        <v>31</v>
      </c>
      <c r="I127" s="1" t="n">
        <v>400</v>
      </c>
      <c r="J127" s="1" t="n">
        <v>161</v>
      </c>
      <c r="K127" s="1" t="n">
        <v>330</v>
      </c>
      <c r="L127" s="1" t="n">
        <v>9646</v>
      </c>
      <c r="M127" s="3" t="n">
        <v>34.253185076506</v>
      </c>
      <c r="N127" s="12" t="n">
        <v>0.0117247911599868</v>
      </c>
      <c r="O127" s="4" t="n">
        <v>9.92</v>
      </c>
      <c r="P127" s="3" t="n">
        <v>253.500001682973</v>
      </c>
      <c r="Q127" s="4" t="n">
        <v>0.23</v>
      </c>
      <c r="R127" s="13" t="n">
        <f aca="false">P127/200000</f>
        <v>0.00126750000841487</v>
      </c>
      <c r="V127" s="4"/>
      <c r="W127" s="4"/>
    </row>
    <row r="128" customFormat="false" ht="14.25" hidden="false" customHeight="false" outlineLevel="0" collapsed="false">
      <c r="B128" s="1" t="n">
        <v>12</v>
      </c>
      <c r="C128" s="3" t="n">
        <v>500</v>
      </c>
      <c r="D128" s="1" t="n">
        <v>3</v>
      </c>
      <c r="E128" s="2" t="n">
        <v>142</v>
      </c>
      <c r="F128" s="4" t="n">
        <v>3.269</v>
      </c>
      <c r="G128" s="1" t="n">
        <v>25</v>
      </c>
      <c r="H128" s="1" t="n">
        <v>31</v>
      </c>
      <c r="I128" s="1" t="n">
        <v>400</v>
      </c>
      <c r="J128" s="1" t="n">
        <v>161</v>
      </c>
      <c r="K128" s="1" t="n">
        <v>330</v>
      </c>
      <c r="L128" s="1" t="n">
        <v>9646</v>
      </c>
      <c r="M128" s="3" t="n">
        <v>34.253185076506</v>
      </c>
      <c r="N128" s="12" t="n">
        <v>0.0117247911599868</v>
      </c>
      <c r="O128" s="4" t="n">
        <v>11.67</v>
      </c>
      <c r="P128" s="3" t="n">
        <v>298.220264076643</v>
      </c>
      <c r="Q128" s="4" t="n">
        <v>0.25</v>
      </c>
      <c r="R128" s="13" t="n">
        <f aca="false">P128/200000</f>
        <v>0.00149110132038322</v>
      </c>
      <c r="V128" s="4"/>
      <c r="W128" s="4"/>
    </row>
    <row r="129" customFormat="false" ht="14.25" hidden="false" customHeight="false" outlineLevel="0" collapsed="false">
      <c r="A129" s="0" t="s">
        <v>51</v>
      </c>
      <c r="B129" s="1" t="n">
        <v>12</v>
      </c>
      <c r="C129" s="3" t="n">
        <v>500</v>
      </c>
      <c r="D129" s="1" t="n">
        <v>3</v>
      </c>
      <c r="E129" s="2" t="n">
        <v>142</v>
      </c>
      <c r="F129" s="4" t="n">
        <v>3.269</v>
      </c>
      <c r="G129" s="1" t="n">
        <v>25</v>
      </c>
      <c r="H129" s="1" t="n">
        <v>31</v>
      </c>
      <c r="I129" s="1" t="n">
        <v>400</v>
      </c>
      <c r="J129" s="1" t="n">
        <v>161</v>
      </c>
      <c r="K129" s="1" t="n">
        <v>330</v>
      </c>
      <c r="L129" s="1" t="n">
        <v>9646</v>
      </c>
      <c r="M129" s="3" t="n">
        <v>34.253185076506</v>
      </c>
      <c r="N129" s="12" t="n">
        <v>0.0117247911599868</v>
      </c>
      <c r="O129" s="4" t="n">
        <v>8.17</v>
      </c>
      <c r="P129" s="3" t="n">
        <v>208.779739289304</v>
      </c>
      <c r="Q129" s="4" t="n">
        <v>0.18</v>
      </c>
      <c r="R129" s="13" t="n">
        <f aca="false">P129/200000</f>
        <v>0.00104389869644652</v>
      </c>
      <c r="V129" s="4"/>
      <c r="W129" s="4"/>
    </row>
    <row r="130" customFormat="false" ht="14.25" hidden="false" customHeight="false" outlineLevel="0" collapsed="false">
      <c r="B130" s="1" t="n">
        <v>12</v>
      </c>
      <c r="C130" s="3" t="n">
        <v>500</v>
      </c>
      <c r="D130" s="1" t="n">
        <v>3</v>
      </c>
      <c r="E130" s="2" t="n">
        <v>142</v>
      </c>
      <c r="F130" s="4" t="n">
        <v>3.269</v>
      </c>
      <c r="G130" s="1" t="n">
        <v>25</v>
      </c>
      <c r="H130" s="1" t="n">
        <v>31</v>
      </c>
      <c r="I130" s="1" t="n">
        <v>400</v>
      </c>
      <c r="J130" s="1" t="n">
        <v>161</v>
      </c>
      <c r="K130" s="1" t="n">
        <v>330</v>
      </c>
      <c r="L130" s="1" t="n">
        <v>9646</v>
      </c>
      <c r="M130" s="3" t="n">
        <v>34.253185076506</v>
      </c>
      <c r="N130" s="12" t="n">
        <v>0.0117247911599868</v>
      </c>
      <c r="O130" s="4" t="n">
        <v>9.92</v>
      </c>
      <c r="P130" s="3" t="n">
        <v>253.500001682973</v>
      </c>
      <c r="Q130" s="4" t="n">
        <v>0.23</v>
      </c>
      <c r="R130" s="13" t="n">
        <f aca="false">P130/200000</f>
        <v>0.00126750000841487</v>
      </c>
      <c r="V130" s="4"/>
      <c r="W130" s="4"/>
    </row>
    <row r="131" customFormat="false" ht="14.25" hidden="false" customHeight="false" outlineLevel="0" collapsed="false">
      <c r="B131" s="1" t="n">
        <v>12</v>
      </c>
      <c r="C131" s="3" t="n">
        <v>500</v>
      </c>
      <c r="D131" s="1" t="n">
        <v>3</v>
      </c>
      <c r="E131" s="2" t="n">
        <v>142</v>
      </c>
      <c r="F131" s="4" t="n">
        <v>3.269</v>
      </c>
      <c r="G131" s="1" t="n">
        <v>25</v>
      </c>
      <c r="H131" s="1" t="n">
        <v>31</v>
      </c>
      <c r="I131" s="1" t="n">
        <v>400</v>
      </c>
      <c r="J131" s="1" t="n">
        <v>161</v>
      </c>
      <c r="K131" s="1" t="n">
        <v>330</v>
      </c>
      <c r="L131" s="1" t="n">
        <v>9646</v>
      </c>
      <c r="M131" s="3" t="n">
        <v>34.253185076506</v>
      </c>
      <c r="N131" s="12" t="n">
        <v>0.0117247911599868</v>
      </c>
      <c r="O131" s="4" t="n">
        <v>11.67</v>
      </c>
      <c r="P131" s="3" t="n">
        <v>298.220264076643</v>
      </c>
      <c r="Q131" s="4" t="n">
        <v>0.25</v>
      </c>
      <c r="R131" s="13" t="n">
        <f aca="false">P131/200000</f>
        <v>0.00149110132038322</v>
      </c>
      <c r="V131" s="4"/>
      <c r="W131" s="4"/>
    </row>
    <row r="132" customFormat="false" ht="14.25" hidden="false" customHeight="false" outlineLevel="0" collapsed="false">
      <c r="A132" s="0" t="s">
        <v>52</v>
      </c>
      <c r="B132" s="1" t="n">
        <v>12</v>
      </c>
      <c r="C132" s="3" t="n">
        <v>500</v>
      </c>
      <c r="D132" s="1" t="n">
        <v>4</v>
      </c>
      <c r="E132" s="2" t="n">
        <v>90.67</v>
      </c>
      <c r="F132" s="4" t="n">
        <v>3.269</v>
      </c>
      <c r="G132" s="1" t="n">
        <v>25</v>
      </c>
      <c r="H132" s="1" t="n">
        <v>31</v>
      </c>
      <c r="I132" s="1" t="n">
        <v>400</v>
      </c>
      <c r="J132" s="1" t="n">
        <v>161</v>
      </c>
      <c r="K132" s="1" t="n">
        <v>440</v>
      </c>
      <c r="L132" s="1" t="n">
        <v>36400</v>
      </c>
      <c r="M132" s="3" t="n">
        <v>38.6362611891593</v>
      </c>
      <c r="N132" s="12" t="n">
        <v>0.0120879120879121</v>
      </c>
      <c r="O132" s="4" t="n">
        <v>11.67</v>
      </c>
      <c r="P132" s="3" t="n">
        <v>226.45530266576</v>
      </c>
      <c r="Q132" s="4" t="n">
        <v>0.15</v>
      </c>
      <c r="R132" s="13" t="n">
        <f aca="false">P132/200000</f>
        <v>0.0011322765133288</v>
      </c>
      <c r="V132" s="4"/>
      <c r="W132" s="4"/>
    </row>
    <row r="133" customFormat="false" ht="14.25" hidden="false" customHeight="false" outlineLevel="0" collapsed="false">
      <c r="B133" s="1" t="n">
        <v>12</v>
      </c>
      <c r="C133" s="3" t="n">
        <v>500</v>
      </c>
      <c r="D133" s="1" t="n">
        <v>4</v>
      </c>
      <c r="E133" s="2" t="n">
        <v>90.67</v>
      </c>
      <c r="F133" s="4" t="n">
        <v>3.269</v>
      </c>
      <c r="G133" s="1" t="n">
        <v>25</v>
      </c>
      <c r="H133" s="1" t="n">
        <v>31</v>
      </c>
      <c r="I133" s="1" t="n">
        <v>400</v>
      </c>
      <c r="J133" s="1" t="n">
        <v>161</v>
      </c>
      <c r="K133" s="1" t="n">
        <v>440</v>
      </c>
      <c r="L133" s="1" t="n">
        <v>36400</v>
      </c>
      <c r="M133" s="3" t="n">
        <v>38.6362611891593</v>
      </c>
      <c r="N133" s="12" t="n">
        <v>0.0120879120879121</v>
      </c>
      <c r="O133" s="4" t="n">
        <v>13.42</v>
      </c>
      <c r="P133" s="3" t="n">
        <v>260.413895610496</v>
      </c>
      <c r="Q133" s="4" t="n">
        <v>0.15</v>
      </c>
      <c r="R133" s="13" t="n">
        <f aca="false">P133/200000</f>
        <v>0.00130206947805248</v>
      </c>
      <c r="V133" s="4"/>
      <c r="W133" s="4"/>
    </row>
    <row r="134" customFormat="false" ht="14.25" hidden="false" customHeight="false" outlineLevel="0" collapsed="false">
      <c r="B134" s="1" t="n">
        <v>12</v>
      </c>
      <c r="C134" s="3" t="n">
        <v>500</v>
      </c>
      <c r="D134" s="1" t="n">
        <v>4</v>
      </c>
      <c r="E134" s="2" t="n">
        <v>90.67</v>
      </c>
      <c r="F134" s="4" t="n">
        <v>3.269</v>
      </c>
      <c r="G134" s="1" t="n">
        <v>25</v>
      </c>
      <c r="H134" s="1" t="n">
        <v>31</v>
      </c>
      <c r="I134" s="1" t="n">
        <v>400</v>
      </c>
      <c r="J134" s="1" t="n">
        <v>161</v>
      </c>
      <c r="K134" s="1" t="n">
        <v>440</v>
      </c>
      <c r="L134" s="1" t="n">
        <v>36400</v>
      </c>
      <c r="M134" s="3" t="n">
        <v>38.6362611891593</v>
      </c>
      <c r="N134" s="12" t="n">
        <v>0.0120879120879121</v>
      </c>
      <c r="O134" s="4" t="n">
        <v>15.17</v>
      </c>
      <c r="P134" s="3" t="n">
        <v>294.372488555233</v>
      </c>
      <c r="Q134" s="4" t="n">
        <v>0.18</v>
      </c>
      <c r="R134" s="13" t="n">
        <f aca="false">P134/200000</f>
        <v>0.00147186244277617</v>
      </c>
      <c r="V134" s="4"/>
      <c r="W134" s="4"/>
    </row>
    <row r="135" customFormat="false" ht="14.25" hidden="false" customHeight="false" outlineLevel="0" collapsed="false">
      <c r="A135" s="0" t="s">
        <v>53</v>
      </c>
      <c r="B135" s="1" t="n">
        <v>12</v>
      </c>
      <c r="C135" s="3" t="n">
        <v>500</v>
      </c>
      <c r="D135" s="1" t="n">
        <v>4</v>
      </c>
      <c r="E135" s="2" t="n">
        <v>90.67</v>
      </c>
      <c r="F135" s="4" t="n">
        <v>3.269</v>
      </c>
      <c r="G135" s="1" t="n">
        <v>25</v>
      </c>
      <c r="H135" s="1" t="n">
        <v>31</v>
      </c>
      <c r="I135" s="1" t="n">
        <v>400</v>
      </c>
      <c r="J135" s="1" t="n">
        <v>161</v>
      </c>
      <c r="K135" s="1" t="n">
        <v>440</v>
      </c>
      <c r="L135" s="1" t="n">
        <v>36400</v>
      </c>
      <c r="M135" s="3" t="n">
        <v>38.6362611891593</v>
      </c>
      <c r="N135" s="12" t="n">
        <v>0.0120879120879121</v>
      </c>
      <c r="O135" s="4" t="n">
        <v>11.67</v>
      </c>
      <c r="P135" s="3" t="n">
        <v>226.45530266576</v>
      </c>
      <c r="Q135" s="4" t="n">
        <v>0.18</v>
      </c>
      <c r="R135" s="13" t="n">
        <f aca="false">P135/200000</f>
        <v>0.0011322765133288</v>
      </c>
      <c r="V135" s="4"/>
      <c r="W135" s="4"/>
    </row>
    <row r="136" customFormat="false" ht="14.25" hidden="false" customHeight="false" outlineLevel="0" collapsed="false">
      <c r="B136" s="1" t="n">
        <v>12</v>
      </c>
      <c r="C136" s="3" t="n">
        <v>500</v>
      </c>
      <c r="D136" s="1" t="n">
        <v>4</v>
      </c>
      <c r="E136" s="2" t="n">
        <v>90.67</v>
      </c>
      <c r="F136" s="4" t="n">
        <v>3.269</v>
      </c>
      <c r="G136" s="1" t="n">
        <v>25</v>
      </c>
      <c r="H136" s="1" t="n">
        <v>31</v>
      </c>
      <c r="I136" s="1" t="n">
        <v>400</v>
      </c>
      <c r="J136" s="1" t="n">
        <v>161</v>
      </c>
      <c r="K136" s="1" t="n">
        <v>440</v>
      </c>
      <c r="L136" s="1" t="n">
        <v>36400</v>
      </c>
      <c r="M136" s="3" t="n">
        <v>38.6362611891593</v>
      </c>
      <c r="N136" s="12" t="n">
        <v>0.0120879120879121</v>
      </c>
      <c r="O136" s="4" t="n">
        <v>13.42</v>
      </c>
      <c r="P136" s="3" t="n">
        <v>260.413895610496</v>
      </c>
      <c r="Q136" s="4" t="n">
        <v>0.2</v>
      </c>
      <c r="R136" s="13" t="n">
        <f aca="false">P136/200000</f>
        <v>0.00130206947805248</v>
      </c>
      <c r="V136" s="4"/>
      <c r="W136" s="4"/>
    </row>
    <row r="137" customFormat="false" ht="14.25" hidden="false" customHeight="false" outlineLevel="0" collapsed="false">
      <c r="B137" s="1" t="n">
        <v>12</v>
      </c>
      <c r="C137" s="3" t="n">
        <v>500</v>
      </c>
      <c r="D137" s="1" t="n">
        <v>4</v>
      </c>
      <c r="E137" s="2" t="n">
        <v>90.67</v>
      </c>
      <c r="F137" s="4" t="n">
        <v>3.269</v>
      </c>
      <c r="G137" s="1" t="n">
        <v>25</v>
      </c>
      <c r="H137" s="1" t="n">
        <v>31</v>
      </c>
      <c r="I137" s="1" t="n">
        <v>400</v>
      </c>
      <c r="J137" s="1" t="n">
        <v>161</v>
      </c>
      <c r="K137" s="1" t="n">
        <v>440</v>
      </c>
      <c r="L137" s="1" t="n">
        <v>36400</v>
      </c>
      <c r="M137" s="3" t="n">
        <v>38.6362611891593</v>
      </c>
      <c r="N137" s="12" t="n">
        <v>0.0120879120879121</v>
      </c>
      <c r="O137" s="4" t="n">
        <v>15.17</v>
      </c>
      <c r="P137" s="3" t="n">
        <v>294.372488555233</v>
      </c>
      <c r="Q137" s="4" t="n">
        <v>0.23</v>
      </c>
      <c r="R137" s="13" t="n">
        <f aca="false">P137/200000</f>
        <v>0.00147186244277617</v>
      </c>
      <c r="V137" s="4"/>
      <c r="W137" s="4"/>
    </row>
    <row r="138" customFormat="false" ht="14.25" hidden="false" customHeight="false" outlineLevel="0" collapsed="false">
      <c r="A138" s="0" t="s">
        <v>54</v>
      </c>
      <c r="B138" s="1" t="n">
        <v>10</v>
      </c>
      <c r="C138" s="3" t="n">
        <v>528</v>
      </c>
      <c r="D138" s="1" t="n">
        <v>1</v>
      </c>
      <c r="E138" s="2" t="n">
        <v>45</v>
      </c>
      <c r="F138" s="4" t="n">
        <v>2.8</v>
      </c>
      <c r="G138" s="1" t="n">
        <v>40</v>
      </c>
      <c r="H138" s="1" t="n">
        <v>45</v>
      </c>
      <c r="I138" s="1" t="n">
        <v>100</v>
      </c>
      <c r="J138" s="1" t="n">
        <v>250</v>
      </c>
      <c r="K138" s="1" t="n">
        <v>78.5</v>
      </c>
      <c r="L138" s="1" t="n">
        <v>9500</v>
      </c>
      <c r="M138" s="3" t="n">
        <v>43.4459689087927</v>
      </c>
      <c r="N138" s="12" t="n">
        <v>0.00826315789473684</v>
      </c>
      <c r="O138" s="4" t="n">
        <v>4.1</v>
      </c>
      <c r="P138" s="3" t="n">
        <v>274.143632212731</v>
      </c>
      <c r="Q138" s="4" t="n">
        <v>0.16</v>
      </c>
      <c r="R138" s="13" t="n">
        <f aca="false">P138/200000</f>
        <v>0.00137071816106366</v>
      </c>
      <c r="V138" s="4"/>
      <c r="W138" s="4"/>
    </row>
    <row r="139" customFormat="false" ht="14.25" hidden="false" customHeight="false" outlineLevel="0" collapsed="false">
      <c r="B139" s="1" t="n">
        <v>10</v>
      </c>
      <c r="C139" s="3" t="n">
        <v>528</v>
      </c>
      <c r="D139" s="1" t="n">
        <v>1</v>
      </c>
      <c r="E139" s="2" t="n">
        <v>45</v>
      </c>
      <c r="F139" s="4" t="n">
        <v>2.8</v>
      </c>
      <c r="G139" s="1" t="n">
        <v>40</v>
      </c>
      <c r="H139" s="1" t="n">
        <v>45</v>
      </c>
      <c r="I139" s="1" t="n">
        <v>100</v>
      </c>
      <c r="J139" s="1" t="n">
        <v>250</v>
      </c>
      <c r="K139" s="1" t="n">
        <v>78.5</v>
      </c>
      <c r="L139" s="1" t="n">
        <v>9500</v>
      </c>
      <c r="M139" s="3" t="n">
        <v>43.4459689087927</v>
      </c>
      <c r="N139" s="12" t="n">
        <v>0.00826315789473684</v>
      </c>
      <c r="O139" s="4" t="n">
        <v>4.4</v>
      </c>
      <c r="P139" s="3" t="n">
        <v>294.202922374639</v>
      </c>
      <c r="Q139" s="4" t="n">
        <v>0.18</v>
      </c>
      <c r="R139" s="13" t="n">
        <f aca="false">P139/200000</f>
        <v>0.00147101461187319</v>
      </c>
      <c r="V139" s="4"/>
      <c r="W139" s="4"/>
    </row>
    <row r="140" customFormat="false" ht="14.25" hidden="false" customHeight="false" outlineLevel="0" collapsed="false">
      <c r="B140" s="1" t="n">
        <v>10</v>
      </c>
      <c r="C140" s="3" t="n">
        <v>528</v>
      </c>
      <c r="D140" s="1" t="n">
        <v>1</v>
      </c>
      <c r="E140" s="2" t="n">
        <v>45</v>
      </c>
      <c r="F140" s="4" t="n">
        <v>2.8</v>
      </c>
      <c r="G140" s="1" t="n">
        <v>40</v>
      </c>
      <c r="H140" s="1" t="n">
        <v>45</v>
      </c>
      <c r="I140" s="1" t="n">
        <v>100</v>
      </c>
      <c r="J140" s="1" t="n">
        <v>250</v>
      </c>
      <c r="K140" s="1" t="n">
        <v>78.5</v>
      </c>
      <c r="L140" s="1" t="n">
        <v>9500</v>
      </c>
      <c r="M140" s="3" t="n">
        <v>43.4459689087927</v>
      </c>
      <c r="N140" s="12" t="n">
        <v>0.00826315789473684</v>
      </c>
      <c r="O140" s="4" t="n">
        <v>4.74</v>
      </c>
      <c r="P140" s="3" t="n">
        <v>316.936784558133</v>
      </c>
      <c r="Q140" s="4" t="n">
        <v>0.2</v>
      </c>
      <c r="R140" s="13" t="n">
        <f aca="false">P140/200000</f>
        <v>0.00158468392279067</v>
      </c>
      <c r="V140" s="4"/>
      <c r="W140" s="4"/>
    </row>
    <row r="141" customFormat="false" ht="14.25" hidden="false" customHeight="false" outlineLevel="0" collapsed="false">
      <c r="B141" s="1" t="n">
        <v>10</v>
      </c>
      <c r="C141" s="3" t="n">
        <v>528</v>
      </c>
      <c r="D141" s="1" t="n">
        <v>1</v>
      </c>
      <c r="E141" s="2" t="n">
        <v>45</v>
      </c>
      <c r="F141" s="4" t="n">
        <v>2.8</v>
      </c>
      <c r="G141" s="1" t="n">
        <v>40</v>
      </c>
      <c r="H141" s="1" t="n">
        <v>45</v>
      </c>
      <c r="I141" s="1" t="n">
        <v>100</v>
      </c>
      <c r="J141" s="1" t="n">
        <v>250</v>
      </c>
      <c r="K141" s="1" t="n">
        <v>78.5</v>
      </c>
      <c r="L141" s="1" t="n">
        <v>9500</v>
      </c>
      <c r="M141" s="3" t="n">
        <v>43.4459689087927</v>
      </c>
      <c r="N141" s="12" t="n">
        <v>0.00826315789473684</v>
      </c>
      <c r="O141" s="4" t="n">
        <v>5.04</v>
      </c>
      <c r="P141" s="3" t="n">
        <v>336.996074720041</v>
      </c>
      <c r="Q141" s="4" t="n">
        <v>0.22</v>
      </c>
      <c r="R141" s="13" t="n">
        <f aca="false">P141/200000</f>
        <v>0.0016849803736002</v>
      </c>
      <c r="V141" s="4"/>
      <c r="W141" s="4"/>
    </row>
    <row r="142" customFormat="false" ht="14.25" hidden="false" customHeight="false" outlineLevel="0" collapsed="false">
      <c r="B142" s="1" t="n">
        <v>10</v>
      </c>
      <c r="C142" s="3" t="n">
        <v>528</v>
      </c>
      <c r="D142" s="1" t="n">
        <v>1</v>
      </c>
      <c r="E142" s="2" t="n">
        <v>45</v>
      </c>
      <c r="F142" s="4" t="n">
        <v>2.8</v>
      </c>
      <c r="G142" s="1" t="n">
        <v>40</v>
      </c>
      <c r="H142" s="1" t="n">
        <v>45</v>
      </c>
      <c r="I142" s="1" t="n">
        <v>100</v>
      </c>
      <c r="J142" s="1" t="n">
        <v>250</v>
      </c>
      <c r="K142" s="1" t="n">
        <v>78.5</v>
      </c>
      <c r="L142" s="1" t="n">
        <v>9500</v>
      </c>
      <c r="M142" s="3" t="n">
        <v>43.4459689087927</v>
      </c>
      <c r="N142" s="12" t="n">
        <v>0.00826315789473684</v>
      </c>
      <c r="O142" s="4" t="n">
        <v>5.38</v>
      </c>
      <c r="P142" s="3" t="n">
        <v>359.729936903535</v>
      </c>
      <c r="Q142" s="4" t="n">
        <v>0.24</v>
      </c>
      <c r="R142" s="13" t="n">
        <f aca="false">P142/200000</f>
        <v>0.00179864968451768</v>
      </c>
      <c r="V142" s="4"/>
      <c r="W142" s="4"/>
    </row>
    <row r="143" customFormat="false" ht="14.25" hidden="false" customHeight="false" outlineLevel="0" collapsed="false">
      <c r="B143" s="1" t="n">
        <v>10</v>
      </c>
      <c r="C143" s="3" t="n">
        <v>528</v>
      </c>
      <c r="D143" s="1" t="n">
        <v>1</v>
      </c>
      <c r="E143" s="2" t="n">
        <v>45</v>
      </c>
      <c r="F143" s="4" t="n">
        <v>2.8</v>
      </c>
      <c r="G143" s="1" t="n">
        <v>40</v>
      </c>
      <c r="H143" s="1" t="n">
        <v>45</v>
      </c>
      <c r="I143" s="1" t="n">
        <v>100</v>
      </c>
      <c r="J143" s="1" t="n">
        <v>250</v>
      </c>
      <c r="K143" s="1" t="n">
        <v>78.5</v>
      </c>
      <c r="L143" s="1" t="n">
        <v>9500</v>
      </c>
      <c r="M143" s="3" t="n">
        <v>43.4459689087927</v>
      </c>
      <c r="N143" s="12" t="n">
        <v>0.00826315789473684</v>
      </c>
      <c r="O143" s="4" t="n">
        <v>5.68</v>
      </c>
      <c r="P143" s="3" t="n">
        <v>379.789227065442</v>
      </c>
      <c r="Q143" s="4" t="n">
        <v>0.26</v>
      </c>
      <c r="R143" s="13" t="n">
        <f aca="false">P143/200000</f>
        <v>0.00189894613532721</v>
      </c>
      <c r="V143" s="4"/>
      <c r="W143" s="4"/>
    </row>
    <row r="144" customFormat="false" ht="14.25" hidden="false" customHeight="false" outlineLevel="0" collapsed="false">
      <c r="B144" s="1" t="n">
        <v>10</v>
      </c>
      <c r="C144" s="3" t="n">
        <v>528</v>
      </c>
      <c r="D144" s="1" t="n">
        <v>1</v>
      </c>
      <c r="E144" s="2" t="n">
        <v>45</v>
      </c>
      <c r="F144" s="4" t="n">
        <v>2.8</v>
      </c>
      <c r="G144" s="1" t="n">
        <v>40</v>
      </c>
      <c r="H144" s="1" t="n">
        <v>45</v>
      </c>
      <c r="I144" s="1" t="n">
        <v>100</v>
      </c>
      <c r="J144" s="1" t="n">
        <v>250</v>
      </c>
      <c r="K144" s="1" t="n">
        <v>78.5</v>
      </c>
      <c r="L144" s="1" t="n">
        <v>9500</v>
      </c>
      <c r="M144" s="3" t="n">
        <v>43.4459689087927</v>
      </c>
      <c r="N144" s="12" t="n">
        <v>0.00826315789473684</v>
      </c>
      <c r="O144" s="4" t="n">
        <v>6.04</v>
      </c>
      <c r="P144" s="3" t="n">
        <v>403.860375259731</v>
      </c>
      <c r="Q144" s="4" t="n">
        <v>0.28</v>
      </c>
      <c r="R144" s="13" t="n">
        <f aca="false">P144/200000</f>
        <v>0.00201930187629866</v>
      </c>
      <c r="V144" s="4"/>
      <c r="W144" s="4"/>
    </row>
    <row r="145" customFormat="false" ht="14.25" hidden="false" customHeight="false" outlineLevel="0" collapsed="false">
      <c r="A145" s="0" t="s">
        <v>55</v>
      </c>
      <c r="B145" s="1" t="n">
        <v>10</v>
      </c>
      <c r="C145" s="3" t="n">
        <v>528</v>
      </c>
      <c r="D145" s="1" t="n">
        <v>1</v>
      </c>
      <c r="E145" s="2" t="n">
        <v>45</v>
      </c>
      <c r="F145" s="4" t="n">
        <v>2.8</v>
      </c>
      <c r="G145" s="1" t="n">
        <v>40</v>
      </c>
      <c r="H145" s="1" t="n">
        <v>45</v>
      </c>
      <c r="I145" s="1" t="n">
        <v>100</v>
      </c>
      <c r="J145" s="1" t="n">
        <v>250</v>
      </c>
      <c r="K145" s="1" t="n">
        <v>78.5</v>
      </c>
      <c r="L145" s="1" t="n">
        <v>9500</v>
      </c>
      <c r="M145" s="3" t="n">
        <v>43.4459689087927</v>
      </c>
      <c r="N145" s="12" t="n">
        <v>0.00826315789473684</v>
      </c>
      <c r="O145" s="4" t="n">
        <v>3.76</v>
      </c>
      <c r="P145" s="3" t="n">
        <v>251.409770029237</v>
      </c>
      <c r="Q145" s="4" t="n">
        <v>0.15</v>
      </c>
      <c r="R145" s="13" t="n">
        <f aca="false">P145/200000</f>
        <v>0.00125704885014618</v>
      </c>
      <c r="V145" s="4"/>
      <c r="W145" s="4"/>
    </row>
    <row r="146" customFormat="false" ht="14.25" hidden="false" customHeight="false" outlineLevel="0" collapsed="false">
      <c r="B146" s="1" t="n">
        <v>10</v>
      </c>
      <c r="C146" s="3" t="n">
        <v>528</v>
      </c>
      <c r="D146" s="1" t="n">
        <v>1</v>
      </c>
      <c r="E146" s="2" t="n">
        <v>45</v>
      </c>
      <c r="F146" s="4" t="n">
        <v>2.8</v>
      </c>
      <c r="G146" s="1" t="n">
        <v>40</v>
      </c>
      <c r="H146" s="1" t="n">
        <v>45</v>
      </c>
      <c r="I146" s="1" t="n">
        <v>100</v>
      </c>
      <c r="J146" s="1" t="n">
        <v>250</v>
      </c>
      <c r="K146" s="1" t="n">
        <v>78.5</v>
      </c>
      <c r="L146" s="1" t="n">
        <v>9500</v>
      </c>
      <c r="M146" s="3" t="n">
        <v>43.4459689087927</v>
      </c>
      <c r="N146" s="12" t="n">
        <v>0.00826315789473684</v>
      </c>
      <c r="O146" s="4" t="n">
        <v>4.1</v>
      </c>
      <c r="P146" s="3" t="n">
        <v>274.143632212731</v>
      </c>
      <c r="Q146" s="4" t="n">
        <v>0.17</v>
      </c>
      <c r="R146" s="13" t="n">
        <f aca="false">P146/200000</f>
        <v>0.00137071816106366</v>
      </c>
      <c r="V146" s="4"/>
      <c r="W146" s="4"/>
    </row>
    <row r="147" customFormat="false" ht="14.25" hidden="false" customHeight="false" outlineLevel="0" collapsed="false">
      <c r="B147" s="1" t="n">
        <v>10</v>
      </c>
      <c r="C147" s="3" t="n">
        <v>528</v>
      </c>
      <c r="D147" s="1" t="n">
        <v>1</v>
      </c>
      <c r="E147" s="2" t="n">
        <v>45</v>
      </c>
      <c r="F147" s="4" t="n">
        <v>2.8</v>
      </c>
      <c r="G147" s="1" t="n">
        <v>40</v>
      </c>
      <c r="H147" s="1" t="n">
        <v>45</v>
      </c>
      <c r="I147" s="1" t="n">
        <v>100</v>
      </c>
      <c r="J147" s="1" t="n">
        <v>250</v>
      </c>
      <c r="K147" s="1" t="n">
        <v>78.5</v>
      </c>
      <c r="L147" s="1" t="n">
        <v>9500</v>
      </c>
      <c r="M147" s="3" t="n">
        <v>43.4459689087927</v>
      </c>
      <c r="N147" s="12" t="n">
        <v>0.00826315789473684</v>
      </c>
      <c r="O147" s="4" t="n">
        <v>4.42</v>
      </c>
      <c r="P147" s="3" t="n">
        <v>295.540208385432</v>
      </c>
      <c r="Q147" s="4" t="n">
        <v>0.19</v>
      </c>
      <c r="R147" s="13" t="n">
        <f aca="false">P147/200000</f>
        <v>0.00147770104192716</v>
      </c>
      <c r="V147" s="4"/>
      <c r="W147" s="4"/>
    </row>
    <row r="148" customFormat="false" ht="14.25" hidden="false" customHeight="false" outlineLevel="0" collapsed="false">
      <c r="B148" s="1" t="n">
        <v>10</v>
      </c>
      <c r="C148" s="3" t="n">
        <v>528</v>
      </c>
      <c r="D148" s="1" t="n">
        <v>1</v>
      </c>
      <c r="E148" s="2" t="n">
        <v>45</v>
      </c>
      <c r="F148" s="4" t="n">
        <v>2.8</v>
      </c>
      <c r="G148" s="1" t="n">
        <v>40</v>
      </c>
      <c r="H148" s="1" t="n">
        <v>45</v>
      </c>
      <c r="I148" s="1" t="n">
        <v>100</v>
      </c>
      <c r="J148" s="1" t="n">
        <v>250</v>
      </c>
      <c r="K148" s="1" t="n">
        <v>78.5</v>
      </c>
      <c r="L148" s="1" t="n">
        <v>9500</v>
      </c>
      <c r="M148" s="3" t="n">
        <v>43.4459689087927</v>
      </c>
      <c r="N148" s="12" t="n">
        <v>0.00826315789473684</v>
      </c>
      <c r="O148" s="4" t="n">
        <v>4.71</v>
      </c>
      <c r="P148" s="3" t="n">
        <v>314.930855541943</v>
      </c>
      <c r="Q148" s="4" t="n">
        <v>0.2</v>
      </c>
      <c r="R148" s="13" t="n">
        <f aca="false">P148/200000</f>
        <v>0.00157465427770971</v>
      </c>
      <c r="V148" s="4"/>
      <c r="W148" s="4"/>
    </row>
    <row r="149" customFormat="false" ht="14.25" hidden="false" customHeight="false" outlineLevel="0" collapsed="false">
      <c r="B149" s="1" t="n">
        <v>10</v>
      </c>
      <c r="C149" s="3" t="n">
        <v>528</v>
      </c>
      <c r="D149" s="1" t="n">
        <v>1</v>
      </c>
      <c r="E149" s="2" t="n">
        <v>45</v>
      </c>
      <c r="F149" s="4" t="n">
        <v>2.8</v>
      </c>
      <c r="G149" s="1" t="n">
        <v>40</v>
      </c>
      <c r="H149" s="1" t="n">
        <v>45</v>
      </c>
      <c r="I149" s="1" t="n">
        <v>100</v>
      </c>
      <c r="J149" s="1" t="n">
        <v>250</v>
      </c>
      <c r="K149" s="1" t="n">
        <v>78.5</v>
      </c>
      <c r="L149" s="1" t="n">
        <v>9500</v>
      </c>
      <c r="M149" s="3" t="n">
        <v>43.4459689087927</v>
      </c>
      <c r="N149" s="12" t="n">
        <v>0.00826315789473684</v>
      </c>
      <c r="O149" s="4" t="n">
        <v>5.04</v>
      </c>
      <c r="P149" s="3" t="n">
        <v>336.996074720041</v>
      </c>
      <c r="Q149" s="4" t="n">
        <v>0.22</v>
      </c>
      <c r="R149" s="13" t="n">
        <f aca="false">P149/200000</f>
        <v>0.0016849803736002</v>
      </c>
      <c r="V149" s="4"/>
      <c r="W149" s="4"/>
    </row>
    <row r="150" customFormat="false" ht="14.25" hidden="false" customHeight="false" outlineLevel="0" collapsed="false">
      <c r="B150" s="1" t="n">
        <v>10</v>
      </c>
      <c r="C150" s="3" t="n">
        <v>528</v>
      </c>
      <c r="D150" s="1" t="n">
        <v>1</v>
      </c>
      <c r="E150" s="2" t="n">
        <v>45</v>
      </c>
      <c r="F150" s="4" t="n">
        <v>2.8</v>
      </c>
      <c r="G150" s="1" t="n">
        <v>40</v>
      </c>
      <c r="H150" s="1" t="n">
        <v>45</v>
      </c>
      <c r="I150" s="1" t="n">
        <v>100</v>
      </c>
      <c r="J150" s="1" t="n">
        <v>250</v>
      </c>
      <c r="K150" s="1" t="n">
        <v>78.5</v>
      </c>
      <c r="L150" s="1" t="n">
        <v>9500</v>
      </c>
      <c r="M150" s="3" t="n">
        <v>43.4459689087927</v>
      </c>
      <c r="N150" s="12" t="n">
        <v>0.00826315789473684</v>
      </c>
      <c r="O150" s="4" t="n">
        <v>5.37</v>
      </c>
      <c r="P150" s="3" t="n">
        <v>359.061293898138</v>
      </c>
      <c r="Q150" s="4" t="n">
        <v>0.24</v>
      </c>
      <c r="R150" s="13" t="n">
        <f aca="false">P150/200000</f>
        <v>0.00179530646949069</v>
      </c>
      <c r="V150" s="4"/>
      <c r="W150" s="4"/>
    </row>
    <row r="151" customFormat="false" ht="14.25" hidden="false" customHeight="false" outlineLevel="0" collapsed="false">
      <c r="B151" s="1" t="n">
        <v>10</v>
      </c>
      <c r="C151" s="3" t="n">
        <v>528</v>
      </c>
      <c r="D151" s="1" t="n">
        <v>1</v>
      </c>
      <c r="E151" s="2" t="n">
        <v>45</v>
      </c>
      <c r="F151" s="4" t="n">
        <v>2.8</v>
      </c>
      <c r="G151" s="1" t="n">
        <v>40</v>
      </c>
      <c r="H151" s="1" t="n">
        <v>45</v>
      </c>
      <c r="I151" s="1" t="n">
        <v>100</v>
      </c>
      <c r="J151" s="1" t="n">
        <v>250</v>
      </c>
      <c r="K151" s="1" t="n">
        <v>78.5</v>
      </c>
      <c r="L151" s="1" t="n">
        <v>9500</v>
      </c>
      <c r="M151" s="3" t="n">
        <v>43.4459689087927</v>
      </c>
      <c r="N151" s="12" t="n">
        <v>0.00826315789473684</v>
      </c>
      <c r="O151" s="4" t="n">
        <v>5.65</v>
      </c>
      <c r="P151" s="3" t="n">
        <v>377.783298049252</v>
      </c>
      <c r="Q151" s="4" t="n">
        <v>0.26</v>
      </c>
      <c r="R151" s="13" t="n">
        <f aca="false">P151/200000</f>
        <v>0.00188891649024626</v>
      </c>
      <c r="V151" s="4"/>
      <c r="W151" s="4"/>
    </row>
    <row r="152" customFormat="false" ht="14.25" hidden="false" customHeight="false" outlineLevel="0" collapsed="false">
      <c r="B152" s="1" t="n">
        <v>10</v>
      </c>
      <c r="C152" s="3" t="n">
        <v>528</v>
      </c>
      <c r="D152" s="1" t="n">
        <v>1</v>
      </c>
      <c r="E152" s="2" t="n">
        <v>45</v>
      </c>
      <c r="F152" s="4" t="n">
        <v>2.8</v>
      </c>
      <c r="G152" s="1" t="n">
        <v>40</v>
      </c>
      <c r="H152" s="1" t="n">
        <v>45</v>
      </c>
      <c r="I152" s="1" t="n">
        <v>100</v>
      </c>
      <c r="J152" s="1" t="n">
        <v>250</v>
      </c>
      <c r="K152" s="1" t="n">
        <v>78.5</v>
      </c>
      <c r="L152" s="1" t="n">
        <v>9500</v>
      </c>
      <c r="M152" s="3" t="n">
        <v>43.4459689087927</v>
      </c>
      <c r="N152" s="12" t="n">
        <v>0.00826315789473684</v>
      </c>
      <c r="O152" s="4" t="n">
        <v>5.92</v>
      </c>
      <c r="P152" s="3" t="n">
        <v>395.836659194968</v>
      </c>
      <c r="Q152" s="4" t="n">
        <v>0.29</v>
      </c>
      <c r="R152" s="13" t="n">
        <f aca="false">P152/200000</f>
        <v>0.00197918329597484</v>
      </c>
      <c r="V152" s="4"/>
      <c r="W152" s="4"/>
    </row>
    <row r="153" customFormat="false" ht="14.25" hidden="false" customHeight="false" outlineLevel="0" collapsed="false">
      <c r="A153" s="0" t="s">
        <v>56</v>
      </c>
      <c r="B153" s="1" t="n">
        <v>20</v>
      </c>
      <c r="C153" s="3" t="n">
        <v>598</v>
      </c>
      <c r="D153" s="1" t="n">
        <v>1</v>
      </c>
      <c r="E153" s="2" t="n">
        <v>40</v>
      </c>
      <c r="F153" s="4" t="n">
        <v>2.8</v>
      </c>
      <c r="G153" s="1" t="n">
        <v>40</v>
      </c>
      <c r="H153" s="1" t="n">
        <v>50</v>
      </c>
      <c r="I153" s="1" t="n">
        <v>100</v>
      </c>
      <c r="J153" s="1" t="n">
        <v>250</v>
      </c>
      <c r="K153" s="1" t="n">
        <v>315</v>
      </c>
      <c r="L153" s="1" t="n">
        <v>15000</v>
      </c>
      <c r="M153" s="3" t="n">
        <v>75.4003930660822</v>
      </c>
      <c r="N153" s="12" t="n">
        <v>0.021</v>
      </c>
      <c r="O153" s="4" t="n">
        <v>11.09</v>
      </c>
      <c r="P153" s="3" t="n">
        <v>201.33268539096</v>
      </c>
      <c r="Q153" s="4" t="n">
        <v>0.17</v>
      </c>
      <c r="R153" s="13" t="n">
        <f aca="false">P153/200000</f>
        <v>0.0010066634269548</v>
      </c>
      <c r="V153" s="4"/>
      <c r="W153" s="4"/>
    </row>
    <row r="154" customFormat="false" ht="14.25" hidden="false" customHeight="false" outlineLevel="0" collapsed="false">
      <c r="B154" s="1" t="n">
        <v>20</v>
      </c>
      <c r="C154" s="3" t="n">
        <v>598</v>
      </c>
      <c r="D154" s="1" t="n">
        <v>1</v>
      </c>
      <c r="E154" s="2" t="n">
        <v>40</v>
      </c>
      <c r="F154" s="4" t="n">
        <v>2.8</v>
      </c>
      <c r="G154" s="1" t="n">
        <v>40</v>
      </c>
      <c r="H154" s="1" t="n">
        <v>50</v>
      </c>
      <c r="I154" s="1" t="n">
        <v>100</v>
      </c>
      <c r="J154" s="1" t="n">
        <v>250</v>
      </c>
      <c r="K154" s="1" t="n">
        <v>315</v>
      </c>
      <c r="L154" s="1" t="n">
        <v>15000</v>
      </c>
      <c r="M154" s="3" t="n">
        <v>75.4003930660822</v>
      </c>
      <c r="N154" s="12" t="n">
        <v>0.021</v>
      </c>
      <c r="O154" s="4" t="n">
        <v>12.96</v>
      </c>
      <c r="P154" s="3" t="n">
        <v>235.281479050211</v>
      </c>
      <c r="Q154" s="4" t="n">
        <v>0.2</v>
      </c>
      <c r="R154" s="13" t="n">
        <f aca="false">P154/200000</f>
        <v>0.00117640739525105</v>
      </c>
      <c r="V154" s="4"/>
      <c r="W154" s="4"/>
    </row>
    <row r="155" customFormat="false" ht="14.25" hidden="false" customHeight="false" outlineLevel="0" collapsed="false">
      <c r="B155" s="1" t="n">
        <v>20</v>
      </c>
      <c r="C155" s="3" t="n">
        <v>598</v>
      </c>
      <c r="D155" s="1" t="n">
        <v>1</v>
      </c>
      <c r="E155" s="2" t="n">
        <v>40</v>
      </c>
      <c r="F155" s="4" t="n">
        <v>2.8</v>
      </c>
      <c r="G155" s="1" t="n">
        <v>40</v>
      </c>
      <c r="H155" s="1" t="n">
        <v>50</v>
      </c>
      <c r="I155" s="1" t="n">
        <v>100</v>
      </c>
      <c r="J155" s="1" t="n">
        <v>250</v>
      </c>
      <c r="K155" s="1" t="n">
        <v>315</v>
      </c>
      <c r="L155" s="1" t="n">
        <v>15000</v>
      </c>
      <c r="M155" s="3" t="n">
        <v>75.4003930660822</v>
      </c>
      <c r="N155" s="12" t="n">
        <v>0.021</v>
      </c>
      <c r="O155" s="4" t="n">
        <v>14.77</v>
      </c>
      <c r="P155" s="3" t="n">
        <v>268.141006602748</v>
      </c>
      <c r="Q155" s="4" t="n">
        <v>0.24</v>
      </c>
      <c r="R155" s="13" t="n">
        <f aca="false">P155/200000</f>
        <v>0.00134070503301374</v>
      </c>
      <c r="V155" s="4"/>
      <c r="W155" s="4"/>
    </row>
    <row r="156" customFormat="false" ht="14.25" hidden="false" customHeight="false" outlineLevel="0" collapsed="false">
      <c r="B156" s="1" t="n">
        <v>20</v>
      </c>
      <c r="C156" s="3" t="n">
        <v>598</v>
      </c>
      <c r="D156" s="1" t="n">
        <v>1</v>
      </c>
      <c r="E156" s="2" t="n">
        <v>40</v>
      </c>
      <c r="F156" s="4" t="n">
        <v>2.8</v>
      </c>
      <c r="G156" s="1" t="n">
        <v>40</v>
      </c>
      <c r="H156" s="1" t="n">
        <v>50</v>
      </c>
      <c r="I156" s="1" t="n">
        <v>100</v>
      </c>
      <c r="J156" s="1" t="n">
        <v>250</v>
      </c>
      <c r="K156" s="1" t="n">
        <v>315</v>
      </c>
      <c r="L156" s="1" t="n">
        <v>15000</v>
      </c>
      <c r="M156" s="3" t="n">
        <v>75.4003930660822</v>
      </c>
      <c r="N156" s="12" t="n">
        <v>0.021</v>
      </c>
      <c r="O156" s="4" t="n">
        <v>16.57</v>
      </c>
      <c r="P156" s="3" t="n">
        <v>300.818989804166</v>
      </c>
      <c r="Q156" s="4" t="n">
        <v>0.27</v>
      </c>
      <c r="R156" s="13" t="n">
        <f aca="false">P156/200000</f>
        <v>0.00150409494902083</v>
      </c>
      <c r="V156" s="4"/>
      <c r="W156" s="4"/>
    </row>
    <row r="157" customFormat="false" ht="14.25" hidden="false" customHeight="false" outlineLevel="0" collapsed="false">
      <c r="B157" s="1" t="n">
        <v>20</v>
      </c>
      <c r="C157" s="3" t="n">
        <v>598</v>
      </c>
      <c r="D157" s="1" t="n">
        <v>1</v>
      </c>
      <c r="E157" s="2" t="n">
        <v>40</v>
      </c>
      <c r="F157" s="4" t="n">
        <v>2.8</v>
      </c>
      <c r="G157" s="1" t="n">
        <v>40</v>
      </c>
      <c r="H157" s="1" t="n">
        <v>50</v>
      </c>
      <c r="I157" s="1" t="n">
        <v>100</v>
      </c>
      <c r="J157" s="1" t="n">
        <v>250</v>
      </c>
      <c r="K157" s="1" t="n">
        <v>315</v>
      </c>
      <c r="L157" s="1" t="n">
        <v>15000</v>
      </c>
      <c r="M157" s="3" t="n">
        <v>75.4003930660822</v>
      </c>
      <c r="N157" s="12" t="n">
        <v>0.021</v>
      </c>
      <c r="O157" s="4" t="n">
        <v>18.35</v>
      </c>
      <c r="P157" s="3" t="n">
        <v>333.133884303346</v>
      </c>
      <c r="Q157" s="4" t="n">
        <v>0.32</v>
      </c>
      <c r="R157" s="13" t="n">
        <f aca="false">P157/200000</f>
        <v>0.00166566942151673</v>
      </c>
      <c r="V157" s="4"/>
      <c r="W157" s="4"/>
    </row>
    <row r="158" customFormat="false" ht="14.25" hidden="false" customHeight="false" outlineLevel="0" collapsed="false">
      <c r="B158" s="1" t="n">
        <v>20</v>
      </c>
      <c r="C158" s="3" t="n">
        <v>598</v>
      </c>
      <c r="D158" s="1" t="n">
        <v>1</v>
      </c>
      <c r="E158" s="2" t="n">
        <v>40</v>
      </c>
      <c r="F158" s="4" t="n">
        <v>2.8</v>
      </c>
      <c r="G158" s="1" t="n">
        <v>40</v>
      </c>
      <c r="H158" s="1" t="n">
        <v>50</v>
      </c>
      <c r="I158" s="1" t="n">
        <v>100</v>
      </c>
      <c r="J158" s="1" t="n">
        <v>250</v>
      </c>
      <c r="K158" s="1" t="n">
        <v>315</v>
      </c>
      <c r="L158" s="1" t="n">
        <v>15000</v>
      </c>
      <c r="M158" s="3" t="n">
        <v>75.4003930660822</v>
      </c>
      <c r="N158" s="12" t="n">
        <v>0.021</v>
      </c>
      <c r="O158" s="4" t="n">
        <v>20.18</v>
      </c>
      <c r="P158" s="3" t="n">
        <v>366.356500558121</v>
      </c>
      <c r="Q158" s="4" t="n">
        <v>0.34</v>
      </c>
      <c r="R158" s="13" t="n">
        <f aca="false">P158/200000</f>
        <v>0.00183178250279061</v>
      </c>
      <c r="V158" s="4"/>
      <c r="W158" s="4"/>
    </row>
    <row r="159" customFormat="false" ht="14.25" hidden="false" customHeight="false" outlineLevel="0" collapsed="false">
      <c r="A159" s="0" t="s">
        <v>57</v>
      </c>
      <c r="B159" s="1" t="n">
        <v>20</v>
      </c>
      <c r="C159" s="3" t="n">
        <v>598</v>
      </c>
      <c r="D159" s="1" t="n">
        <v>1</v>
      </c>
      <c r="E159" s="2" t="n">
        <v>40</v>
      </c>
      <c r="F159" s="4" t="n">
        <v>2.8</v>
      </c>
      <c r="G159" s="1" t="n">
        <v>40</v>
      </c>
      <c r="H159" s="1" t="n">
        <v>50</v>
      </c>
      <c r="I159" s="1" t="n">
        <v>100</v>
      </c>
      <c r="J159" s="1" t="n">
        <v>250</v>
      </c>
      <c r="K159" s="1" t="n">
        <v>315</v>
      </c>
      <c r="L159" s="1" t="n">
        <v>15000</v>
      </c>
      <c r="M159" s="3" t="n">
        <v>75.4003930660822</v>
      </c>
      <c r="N159" s="12" t="n">
        <v>0.021</v>
      </c>
      <c r="O159" s="4" t="n">
        <v>9.35</v>
      </c>
      <c r="P159" s="3" t="n">
        <v>169.743968296255</v>
      </c>
      <c r="Q159" s="4" t="n">
        <v>0.16</v>
      </c>
      <c r="R159" s="13" t="n">
        <f aca="false">P159/200000</f>
        <v>0.000848719841481277</v>
      </c>
      <c r="V159" s="4"/>
      <c r="W159" s="4"/>
    </row>
    <row r="160" customFormat="false" ht="14.25" hidden="false" customHeight="false" outlineLevel="0" collapsed="false">
      <c r="B160" s="1" t="n">
        <v>20</v>
      </c>
      <c r="C160" s="3" t="n">
        <v>598</v>
      </c>
      <c r="D160" s="1" t="n">
        <v>1</v>
      </c>
      <c r="E160" s="2" t="n">
        <v>40</v>
      </c>
      <c r="F160" s="4" t="n">
        <v>2.8</v>
      </c>
      <c r="G160" s="1" t="n">
        <v>40</v>
      </c>
      <c r="H160" s="1" t="n">
        <v>50</v>
      </c>
      <c r="I160" s="1" t="n">
        <v>100</v>
      </c>
      <c r="J160" s="1" t="n">
        <v>250</v>
      </c>
      <c r="K160" s="1" t="n">
        <v>315</v>
      </c>
      <c r="L160" s="1" t="n">
        <v>15000</v>
      </c>
      <c r="M160" s="3" t="n">
        <v>75.4003930660822</v>
      </c>
      <c r="N160" s="12" t="n">
        <v>0.021</v>
      </c>
      <c r="O160" s="4" t="n">
        <v>11.12</v>
      </c>
      <c r="P160" s="3" t="n">
        <v>201.877318444317</v>
      </c>
      <c r="Q160" s="4" t="n">
        <v>0.2</v>
      </c>
      <c r="R160" s="13" t="n">
        <f aca="false">P160/200000</f>
        <v>0.00100938659222158</v>
      </c>
      <c r="V160" s="4"/>
      <c r="W160" s="4"/>
    </row>
    <row r="161" customFormat="false" ht="14.25" hidden="false" customHeight="false" outlineLevel="0" collapsed="false">
      <c r="B161" s="1" t="n">
        <v>20</v>
      </c>
      <c r="C161" s="3" t="n">
        <v>598</v>
      </c>
      <c r="D161" s="1" t="n">
        <v>1</v>
      </c>
      <c r="E161" s="2" t="n">
        <v>40</v>
      </c>
      <c r="F161" s="4" t="n">
        <v>2.8</v>
      </c>
      <c r="G161" s="1" t="n">
        <v>40</v>
      </c>
      <c r="H161" s="1" t="n">
        <v>50</v>
      </c>
      <c r="I161" s="1" t="n">
        <v>100</v>
      </c>
      <c r="J161" s="1" t="n">
        <v>250</v>
      </c>
      <c r="K161" s="1" t="n">
        <v>315</v>
      </c>
      <c r="L161" s="1" t="n">
        <v>15000</v>
      </c>
      <c r="M161" s="3" t="n">
        <v>75.4003930660822</v>
      </c>
      <c r="N161" s="12" t="n">
        <v>0.021</v>
      </c>
      <c r="O161" s="4" t="n">
        <v>12.93</v>
      </c>
      <c r="P161" s="3" t="n">
        <v>234.736845996854</v>
      </c>
      <c r="Q161" s="4" t="n">
        <v>0.24</v>
      </c>
      <c r="R161" s="13" t="n">
        <f aca="false">P161/200000</f>
        <v>0.00117368422998427</v>
      </c>
      <c r="V161" s="4"/>
      <c r="W161" s="4"/>
    </row>
    <row r="162" customFormat="false" ht="14.25" hidden="false" customHeight="false" outlineLevel="0" collapsed="false">
      <c r="B162" s="1" t="n">
        <v>20</v>
      </c>
      <c r="C162" s="3" t="n">
        <v>598</v>
      </c>
      <c r="D162" s="1" t="n">
        <v>1</v>
      </c>
      <c r="E162" s="2" t="n">
        <v>40</v>
      </c>
      <c r="F162" s="4" t="n">
        <v>2.8</v>
      </c>
      <c r="G162" s="1" t="n">
        <v>40</v>
      </c>
      <c r="H162" s="1" t="n">
        <v>50</v>
      </c>
      <c r="I162" s="1" t="n">
        <v>100</v>
      </c>
      <c r="J162" s="1" t="n">
        <v>250</v>
      </c>
      <c r="K162" s="1" t="n">
        <v>315</v>
      </c>
      <c r="L162" s="1" t="n">
        <v>15000</v>
      </c>
      <c r="M162" s="3" t="n">
        <v>75.4003930660822</v>
      </c>
      <c r="N162" s="12" t="n">
        <v>0.021</v>
      </c>
      <c r="O162" s="4" t="n">
        <v>14.72</v>
      </c>
      <c r="P162" s="3" t="n">
        <v>267.233284847153</v>
      </c>
      <c r="Q162" s="4" t="n">
        <v>0.27</v>
      </c>
      <c r="R162" s="13" t="n">
        <f aca="false">P162/200000</f>
        <v>0.00133616642423577</v>
      </c>
      <c r="V162" s="4"/>
      <c r="W162" s="4"/>
    </row>
    <row r="163" customFormat="false" ht="14.25" hidden="false" customHeight="false" outlineLevel="0" collapsed="false">
      <c r="B163" s="1" t="n">
        <v>20</v>
      </c>
      <c r="C163" s="3" t="n">
        <v>598</v>
      </c>
      <c r="D163" s="1" t="n">
        <v>1</v>
      </c>
      <c r="E163" s="2" t="n">
        <v>40</v>
      </c>
      <c r="F163" s="4" t="n">
        <v>2.8</v>
      </c>
      <c r="G163" s="1" t="n">
        <v>40</v>
      </c>
      <c r="H163" s="1" t="n">
        <v>50</v>
      </c>
      <c r="I163" s="1" t="n">
        <v>100</v>
      </c>
      <c r="J163" s="1" t="n">
        <v>250</v>
      </c>
      <c r="K163" s="1" t="n">
        <v>315</v>
      </c>
      <c r="L163" s="1" t="n">
        <v>15000</v>
      </c>
      <c r="M163" s="3" t="n">
        <v>75.4003930660822</v>
      </c>
      <c r="N163" s="12" t="n">
        <v>0.021</v>
      </c>
      <c r="O163" s="4" t="n">
        <v>16.58</v>
      </c>
      <c r="P163" s="3" t="n">
        <v>301.000534155285</v>
      </c>
      <c r="Q163" s="4" t="n">
        <v>0.29</v>
      </c>
      <c r="R163" s="13" t="n">
        <f aca="false">P163/200000</f>
        <v>0.00150500267077643</v>
      </c>
      <c r="V163" s="4"/>
      <c r="W163" s="4"/>
    </row>
    <row r="164" customFormat="false" ht="14.25" hidden="false" customHeight="false" outlineLevel="0" collapsed="false">
      <c r="B164" s="1" t="n">
        <v>20</v>
      </c>
      <c r="C164" s="3" t="n">
        <v>598</v>
      </c>
      <c r="D164" s="1" t="n">
        <v>1</v>
      </c>
      <c r="E164" s="2" t="n">
        <v>40</v>
      </c>
      <c r="F164" s="4" t="n">
        <v>2.8</v>
      </c>
      <c r="G164" s="1" t="n">
        <v>40</v>
      </c>
      <c r="H164" s="1" t="n">
        <v>50</v>
      </c>
      <c r="I164" s="1" t="n">
        <v>100</v>
      </c>
      <c r="J164" s="1" t="n">
        <v>250</v>
      </c>
      <c r="K164" s="1" t="n">
        <v>315</v>
      </c>
      <c r="L164" s="1" t="n">
        <v>15000</v>
      </c>
      <c r="M164" s="3" t="n">
        <v>75.4003930660822</v>
      </c>
      <c r="N164" s="12" t="n">
        <v>0.021</v>
      </c>
      <c r="O164" s="4" t="n">
        <v>18.35</v>
      </c>
      <c r="P164" s="3" t="n">
        <v>333.133884303346</v>
      </c>
      <c r="Q164" s="4" t="n">
        <v>0.32</v>
      </c>
      <c r="R164" s="13" t="n">
        <f aca="false">P164/200000</f>
        <v>0.00166566942151673</v>
      </c>
      <c r="V164" s="4"/>
      <c r="W164" s="4"/>
    </row>
    <row r="165" customFormat="false" ht="14.25" hidden="false" customHeight="false" outlineLevel="0" collapsed="false">
      <c r="B165" s="1" t="n">
        <v>20</v>
      </c>
      <c r="C165" s="3" t="n">
        <v>598</v>
      </c>
      <c r="D165" s="1" t="n">
        <v>1</v>
      </c>
      <c r="E165" s="2" t="n">
        <v>40</v>
      </c>
      <c r="F165" s="4" t="n">
        <v>2.8</v>
      </c>
      <c r="G165" s="1" t="n">
        <v>40</v>
      </c>
      <c r="H165" s="1" t="n">
        <v>50</v>
      </c>
      <c r="I165" s="1" t="n">
        <v>100</v>
      </c>
      <c r="J165" s="1" t="n">
        <v>250</v>
      </c>
      <c r="K165" s="1" t="n">
        <v>315</v>
      </c>
      <c r="L165" s="1" t="n">
        <v>15000</v>
      </c>
      <c r="M165" s="3" t="n">
        <v>75.4003930660822</v>
      </c>
      <c r="N165" s="12" t="n">
        <v>0.021</v>
      </c>
      <c r="O165" s="4" t="n">
        <v>19.21</v>
      </c>
      <c r="P165" s="3" t="n">
        <v>348.746698499579</v>
      </c>
      <c r="Q165" s="4" t="n">
        <v>0.33</v>
      </c>
      <c r="R165" s="13" t="n">
        <f aca="false">P165/200000</f>
        <v>0.0017437334924979</v>
      </c>
      <c r="V165" s="4"/>
      <c r="W165" s="4"/>
    </row>
    <row r="166" customFormat="false" ht="14.25" hidden="false" customHeight="false" outlineLevel="0" collapsed="false">
      <c r="A166" s="0" t="s">
        <v>58</v>
      </c>
      <c r="B166" s="1" t="n">
        <v>10</v>
      </c>
      <c r="C166" s="3" t="n">
        <v>528</v>
      </c>
      <c r="D166" s="1" t="n">
        <v>1</v>
      </c>
      <c r="E166" s="2" t="n">
        <v>45</v>
      </c>
      <c r="F166" s="4" t="n">
        <v>2.8</v>
      </c>
      <c r="G166" s="1" t="n">
        <v>40</v>
      </c>
      <c r="H166" s="1" t="n">
        <v>45</v>
      </c>
      <c r="I166" s="1" t="n">
        <v>100</v>
      </c>
      <c r="J166" s="1" t="n">
        <v>350</v>
      </c>
      <c r="K166" s="1" t="n">
        <v>78.5</v>
      </c>
      <c r="L166" s="1" t="n">
        <v>9500</v>
      </c>
      <c r="M166" s="3" t="n">
        <v>54.1386548495659</v>
      </c>
      <c r="N166" s="12" t="n">
        <v>0.00826315789473684</v>
      </c>
      <c r="O166" s="4" t="n">
        <v>6.99</v>
      </c>
      <c r="P166" s="3" t="n">
        <v>310.309853574738</v>
      </c>
      <c r="Q166" s="4" t="n">
        <v>0.15</v>
      </c>
      <c r="R166" s="13" t="n">
        <f aca="false">P166/200000</f>
        <v>0.00155154926787369</v>
      </c>
      <c r="V166" s="4"/>
      <c r="W166" s="4"/>
    </row>
    <row r="167" customFormat="false" ht="14.25" hidden="false" customHeight="false" outlineLevel="0" collapsed="false">
      <c r="B167" s="1" t="n">
        <v>10</v>
      </c>
      <c r="C167" s="3" t="n">
        <v>528</v>
      </c>
      <c r="D167" s="1" t="n">
        <v>1</v>
      </c>
      <c r="E167" s="2" t="n">
        <v>45</v>
      </c>
      <c r="F167" s="4" t="n">
        <v>2.8</v>
      </c>
      <c r="G167" s="1" t="n">
        <v>40</v>
      </c>
      <c r="H167" s="1" t="n">
        <v>45</v>
      </c>
      <c r="I167" s="1" t="n">
        <v>100</v>
      </c>
      <c r="J167" s="1" t="n">
        <v>350</v>
      </c>
      <c r="K167" s="1" t="n">
        <v>78.5</v>
      </c>
      <c r="L167" s="1" t="n">
        <v>9500</v>
      </c>
      <c r="M167" s="3" t="n">
        <v>54.1386548495659</v>
      </c>
      <c r="N167" s="12" t="n">
        <v>0.00826315789473684</v>
      </c>
      <c r="O167" s="4" t="n">
        <v>7.44</v>
      </c>
      <c r="P167" s="3" t="n">
        <v>330.286882774829</v>
      </c>
      <c r="Q167" s="4" t="n">
        <v>0.19</v>
      </c>
      <c r="R167" s="13" t="n">
        <f aca="false">P167/200000</f>
        <v>0.00165143441387414</v>
      </c>
      <c r="V167" s="4"/>
      <c r="W167" s="4"/>
    </row>
    <row r="168" customFormat="false" ht="14.25" hidden="false" customHeight="false" outlineLevel="0" collapsed="false">
      <c r="B168" s="1" t="n">
        <v>10</v>
      </c>
      <c r="C168" s="3" t="n">
        <v>528</v>
      </c>
      <c r="D168" s="1" t="n">
        <v>1</v>
      </c>
      <c r="E168" s="2" t="n">
        <v>45</v>
      </c>
      <c r="F168" s="4" t="n">
        <v>2.8</v>
      </c>
      <c r="G168" s="1" t="n">
        <v>40</v>
      </c>
      <c r="H168" s="1" t="n">
        <v>45</v>
      </c>
      <c r="I168" s="1" t="n">
        <v>100</v>
      </c>
      <c r="J168" s="1" t="n">
        <v>350</v>
      </c>
      <c r="K168" s="1" t="n">
        <v>78.5</v>
      </c>
      <c r="L168" s="1" t="n">
        <v>9500</v>
      </c>
      <c r="M168" s="3" t="n">
        <v>54.1386548495659</v>
      </c>
      <c r="N168" s="12" t="n">
        <v>0.00826315789473684</v>
      </c>
      <c r="O168" s="4" t="n">
        <v>7.53</v>
      </c>
      <c r="P168" s="3" t="n">
        <v>334.282288614847</v>
      </c>
      <c r="Q168" s="4" t="n">
        <v>0.2</v>
      </c>
      <c r="R168" s="13" t="n">
        <f aca="false">P168/200000</f>
        <v>0.00167141144307423</v>
      </c>
      <c r="V168" s="4"/>
      <c r="W168" s="4"/>
    </row>
    <row r="169" customFormat="false" ht="14.25" hidden="false" customHeight="false" outlineLevel="0" collapsed="false">
      <c r="B169" s="1" t="n">
        <v>10</v>
      </c>
      <c r="C169" s="3" t="n">
        <v>528</v>
      </c>
      <c r="D169" s="1" t="n">
        <v>1</v>
      </c>
      <c r="E169" s="2" t="n">
        <v>45</v>
      </c>
      <c r="F169" s="4" t="n">
        <v>2.8</v>
      </c>
      <c r="G169" s="1" t="n">
        <v>40</v>
      </c>
      <c r="H169" s="1" t="n">
        <v>45</v>
      </c>
      <c r="I169" s="1" t="n">
        <v>100</v>
      </c>
      <c r="J169" s="1" t="n">
        <v>350</v>
      </c>
      <c r="K169" s="1" t="n">
        <v>78.5</v>
      </c>
      <c r="L169" s="1" t="n">
        <v>9500</v>
      </c>
      <c r="M169" s="3" t="n">
        <v>54.1386548495659</v>
      </c>
      <c r="N169" s="12" t="n">
        <v>0.00826315789473684</v>
      </c>
      <c r="O169" s="4" t="n">
        <v>7.91</v>
      </c>
      <c r="P169" s="3" t="n">
        <v>351.151779939368</v>
      </c>
      <c r="Q169" s="4" t="n">
        <v>0.23</v>
      </c>
      <c r="R169" s="13" t="n">
        <f aca="false">P169/200000</f>
        <v>0.00175575889969684</v>
      </c>
      <c r="V169" s="4"/>
      <c r="W169" s="4"/>
    </row>
    <row r="170" customFormat="false" ht="14.25" hidden="false" customHeight="false" outlineLevel="0" collapsed="false">
      <c r="B170" s="1" t="n">
        <v>10</v>
      </c>
      <c r="C170" s="3" t="n">
        <v>528</v>
      </c>
      <c r="D170" s="1" t="n">
        <v>1</v>
      </c>
      <c r="E170" s="2" t="n">
        <v>45</v>
      </c>
      <c r="F170" s="4" t="n">
        <v>2.8</v>
      </c>
      <c r="G170" s="1" t="n">
        <v>40</v>
      </c>
      <c r="H170" s="1" t="n">
        <v>45</v>
      </c>
      <c r="I170" s="1" t="n">
        <v>100</v>
      </c>
      <c r="J170" s="1" t="n">
        <v>350</v>
      </c>
      <c r="K170" s="1" t="n">
        <v>78.5</v>
      </c>
      <c r="L170" s="1" t="n">
        <v>9500</v>
      </c>
      <c r="M170" s="3" t="n">
        <v>54.1386548495659</v>
      </c>
      <c r="N170" s="12" t="n">
        <v>0.00826315789473684</v>
      </c>
      <c r="O170" s="4" t="n">
        <v>8.17</v>
      </c>
      <c r="P170" s="3" t="n">
        <v>362.694063477198</v>
      </c>
      <c r="Q170" s="4" t="n">
        <v>0.25</v>
      </c>
      <c r="R170" s="13" t="n">
        <f aca="false">P170/200000</f>
        <v>0.00181347031738599</v>
      </c>
      <c r="V170" s="4"/>
      <c r="W170" s="4"/>
    </row>
    <row r="171" customFormat="false" ht="14.25" hidden="false" customHeight="false" outlineLevel="0" collapsed="false">
      <c r="B171" s="1" t="n">
        <v>10</v>
      </c>
      <c r="C171" s="3" t="n">
        <v>528</v>
      </c>
      <c r="D171" s="1" t="n">
        <v>1</v>
      </c>
      <c r="E171" s="2" t="n">
        <v>45</v>
      </c>
      <c r="F171" s="4" t="n">
        <v>2.8</v>
      </c>
      <c r="G171" s="1" t="n">
        <v>40</v>
      </c>
      <c r="H171" s="1" t="n">
        <v>45</v>
      </c>
      <c r="I171" s="1" t="n">
        <v>100</v>
      </c>
      <c r="J171" s="1" t="n">
        <v>350</v>
      </c>
      <c r="K171" s="1" t="n">
        <v>78.5</v>
      </c>
      <c r="L171" s="1" t="n">
        <v>9500</v>
      </c>
      <c r="M171" s="3" t="n">
        <v>54.1386548495659</v>
      </c>
      <c r="N171" s="12" t="n">
        <v>0.00826315789473684</v>
      </c>
      <c r="O171" s="4" t="n">
        <v>8.46</v>
      </c>
      <c r="P171" s="3" t="n">
        <v>375.568148961701</v>
      </c>
      <c r="Q171" s="4" t="n">
        <v>0.28</v>
      </c>
      <c r="R171" s="13" t="n">
        <f aca="false">P171/200000</f>
        <v>0.0018778407448085</v>
      </c>
      <c r="V171" s="4"/>
      <c r="W171" s="4"/>
    </row>
    <row r="172" customFormat="false" ht="14.25" hidden="false" customHeight="false" outlineLevel="0" collapsed="false">
      <c r="B172" s="1" t="n">
        <v>10</v>
      </c>
      <c r="C172" s="3" t="n">
        <v>528</v>
      </c>
      <c r="D172" s="1" t="n">
        <v>1</v>
      </c>
      <c r="E172" s="2" t="n">
        <v>45</v>
      </c>
      <c r="F172" s="4" t="n">
        <v>2.8</v>
      </c>
      <c r="G172" s="1" t="n">
        <v>40</v>
      </c>
      <c r="H172" s="1" t="n">
        <v>45</v>
      </c>
      <c r="I172" s="1" t="n">
        <v>100</v>
      </c>
      <c r="J172" s="1" t="n">
        <v>350</v>
      </c>
      <c r="K172" s="1" t="n">
        <v>78.5</v>
      </c>
      <c r="L172" s="1" t="n">
        <v>9500</v>
      </c>
      <c r="M172" s="3" t="n">
        <v>54.1386548495659</v>
      </c>
      <c r="N172" s="12" t="n">
        <v>0.00826315789473684</v>
      </c>
      <c r="O172" s="4" t="n">
        <v>8.72</v>
      </c>
      <c r="P172" s="3" t="n">
        <v>387.110432499531</v>
      </c>
      <c r="Q172" s="4" t="n">
        <v>0.31</v>
      </c>
      <c r="R172" s="13" t="n">
        <f aca="false">P172/200000</f>
        <v>0.00193555216249765</v>
      </c>
      <c r="V172" s="4"/>
      <c r="W172" s="4"/>
    </row>
    <row r="173" customFormat="false" ht="14.25" hidden="false" customHeight="false" outlineLevel="0" collapsed="false">
      <c r="B173" s="1" t="n">
        <v>10</v>
      </c>
      <c r="C173" s="3" t="n">
        <v>528</v>
      </c>
      <c r="D173" s="1" t="n">
        <v>1</v>
      </c>
      <c r="E173" s="2" t="n">
        <v>45</v>
      </c>
      <c r="F173" s="4" t="n">
        <v>2.8</v>
      </c>
      <c r="G173" s="1" t="n">
        <v>40</v>
      </c>
      <c r="H173" s="1" t="n">
        <v>45</v>
      </c>
      <c r="I173" s="1" t="n">
        <v>100</v>
      </c>
      <c r="J173" s="1" t="n">
        <v>350</v>
      </c>
      <c r="K173" s="1" t="n">
        <v>78.5</v>
      </c>
      <c r="L173" s="1" t="n">
        <v>9500</v>
      </c>
      <c r="M173" s="3" t="n">
        <v>54.1386548495659</v>
      </c>
      <c r="N173" s="12" t="n">
        <v>0.00826315789473684</v>
      </c>
      <c r="O173" s="4" t="n">
        <v>9.03</v>
      </c>
      <c r="P173" s="3" t="n">
        <v>400.872385948482</v>
      </c>
      <c r="Q173" s="4" t="n">
        <v>0.36</v>
      </c>
      <c r="R173" s="13" t="n">
        <f aca="false">P173/200000</f>
        <v>0.00200436192974241</v>
      </c>
      <c r="V173" s="4"/>
      <c r="W173" s="4"/>
    </row>
    <row r="174" customFormat="false" ht="14.25" hidden="false" customHeight="false" outlineLevel="0" collapsed="false">
      <c r="A174" s="0" t="s">
        <v>59</v>
      </c>
      <c r="B174" s="1" t="n">
        <v>10</v>
      </c>
      <c r="C174" s="3" t="n">
        <v>528</v>
      </c>
      <c r="D174" s="1" t="n">
        <v>1</v>
      </c>
      <c r="E174" s="2" t="n">
        <v>45</v>
      </c>
      <c r="F174" s="4" t="n">
        <v>2.8</v>
      </c>
      <c r="G174" s="1" t="n">
        <v>40</v>
      </c>
      <c r="H174" s="1" t="n">
        <v>45</v>
      </c>
      <c r="I174" s="1" t="n">
        <v>100</v>
      </c>
      <c r="J174" s="1" t="n">
        <v>350</v>
      </c>
      <c r="K174" s="1" t="n">
        <v>78.5</v>
      </c>
      <c r="L174" s="1" t="n">
        <v>9500</v>
      </c>
      <c r="M174" s="3" t="n">
        <v>54.1386548495659</v>
      </c>
      <c r="N174" s="12" t="n">
        <v>0.00826315789473684</v>
      </c>
      <c r="O174" s="4" t="n">
        <v>6.96</v>
      </c>
      <c r="P174" s="3" t="n">
        <v>308.978051628066</v>
      </c>
      <c r="Q174" s="4" t="n">
        <v>0.16</v>
      </c>
      <c r="R174" s="13" t="n">
        <f aca="false">P174/200000</f>
        <v>0.00154489025814033</v>
      </c>
      <c r="V174" s="4"/>
      <c r="W174" s="4"/>
    </row>
    <row r="175" customFormat="false" ht="14.25" hidden="false" customHeight="false" outlineLevel="0" collapsed="false">
      <c r="B175" s="1" t="n">
        <v>10</v>
      </c>
      <c r="C175" s="3" t="n">
        <v>528</v>
      </c>
      <c r="D175" s="1" t="n">
        <v>1</v>
      </c>
      <c r="E175" s="2" t="n">
        <v>45</v>
      </c>
      <c r="F175" s="4" t="n">
        <v>2.8</v>
      </c>
      <c r="G175" s="1" t="n">
        <v>40</v>
      </c>
      <c r="H175" s="1" t="n">
        <v>45</v>
      </c>
      <c r="I175" s="1" t="n">
        <v>100</v>
      </c>
      <c r="J175" s="1" t="n">
        <v>350</v>
      </c>
      <c r="K175" s="1" t="n">
        <v>78.5</v>
      </c>
      <c r="L175" s="1" t="n">
        <v>9500</v>
      </c>
      <c r="M175" s="3" t="n">
        <v>54.1386548495659</v>
      </c>
      <c r="N175" s="12" t="n">
        <v>0.00826315789473684</v>
      </c>
      <c r="O175" s="4" t="n">
        <v>7.26</v>
      </c>
      <c r="P175" s="3" t="n">
        <v>322.296071094793</v>
      </c>
      <c r="Q175" s="4" t="n">
        <v>0.18</v>
      </c>
      <c r="R175" s="13" t="n">
        <f aca="false">P175/200000</f>
        <v>0.00161148035547396</v>
      </c>
      <c r="V175" s="4"/>
      <c r="W175" s="4"/>
    </row>
    <row r="176" customFormat="false" ht="14.25" hidden="false" customHeight="false" outlineLevel="0" collapsed="false">
      <c r="B176" s="1" t="n">
        <v>10</v>
      </c>
      <c r="C176" s="3" t="n">
        <v>528</v>
      </c>
      <c r="D176" s="1" t="n">
        <v>1</v>
      </c>
      <c r="E176" s="2" t="n">
        <v>45</v>
      </c>
      <c r="F176" s="4" t="n">
        <v>2.8</v>
      </c>
      <c r="G176" s="1" t="n">
        <v>40</v>
      </c>
      <c r="H176" s="1" t="n">
        <v>45</v>
      </c>
      <c r="I176" s="1" t="n">
        <v>100</v>
      </c>
      <c r="J176" s="1" t="n">
        <v>350</v>
      </c>
      <c r="K176" s="1" t="n">
        <v>78.5</v>
      </c>
      <c r="L176" s="1" t="n">
        <v>9500</v>
      </c>
      <c r="M176" s="3" t="n">
        <v>54.1386548495659</v>
      </c>
      <c r="N176" s="12" t="n">
        <v>0.00826315789473684</v>
      </c>
      <c r="O176" s="4" t="n">
        <v>7.54</v>
      </c>
      <c r="P176" s="3" t="n">
        <v>334.726222597071</v>
      </c>
      <c r="Q176" s="4" t="n">
        <v>0.2</v>
      </c>
      <c r="R176" s="13" t="n">
        <f aca="false">P176/200000</f>
        <v>0.00167363111298536</v>
      </c>
      <c r="V176" s="4"/>
      <c r="W176" s="4"/>
    </row>
    <row r="177" customFormat="false" ht="14.25" hidden="false" customHeight="false" outlineLevel="0" collapsed="false">
      <c r="B177" s="1" t="n">
        <v>10</v>
      </c>
      <c r="C177" s="3" t="n">
        <v>528</v>
      </c>
      <c r="D177" s="1" t="n">
        <v>1</v>
      </c>
      <c r="E177" s="2" t="n">
        <v>45</v>
      </c>
      <c r="F177" s="4" t="n">
        <v>2.8</v>
      </c>
      <c r="G177" s="1" t="n">
        <v>40</v>
      </c>
      <c r="H177" s="1" t="n">
        <v>45</v>
      </c>
      <c r="I177" s="1" t="n">
        <v>100</v>
      </c>
      <c r="J177" s="1" t="n">
        <v>350</v>
      </c>
      <c r="K177" s="1" t="n">
        <v>78.5</v>
      </c>
      <c r="L177" s="1" t="n">
        <v>9500</v>
      </c>
      <c r="M177" s="3" t="n">
        <v>54.1386548495659</v>
      </c>
      <c r="N177" s="12" t="n">
        <v>0.00826315789473684</v>
      </c>
      <c r="O177" s="4" t="n">
        <v>7.83</v>
      </c>
      <c r="P177" s="3" t="n">
        <v>347.600308081574</v>
      </c>
      <c r="Q177" s="4" t="n">
        <v>0.23</v>
      </c>
      <c r="R177" s="13" t="n">
        <f aca="false">P177/200000</f>
        <v>0.00173800154040787</v>
      </c>
      <c r="V177" s="4"/>
      <c r="W177" s="4"/>
    </row>
    <row r="178" customFormat="false" ht="14.25" hidden="false" customHeight="false" outlineLevel="0" collapsed="false">
      <c r="B178" s="1" t="n">
        <v>10</v>
      </c>
      <c r="C178" s="3" t="n">
        <v>528</v>
      </c>
      <c r="D178" s="1" t="n">
        <v>1</v>
      </c>
      <c r="E178" s="2" t="n">
        <v>45</v>
      </c>
      <c r="F178" s="4" t="n">
        <v>2.8</v>
      </c>
      <c r="G178" s="1" t="n">
        <v>40</v>
      </c>
      <c r="H178" s="1" t="n">
        <v>45</v>
      </c>
      <c r="I178" s="1" t="n">
        <v>100</v>
      </c>
      <c r="J178" s="1" t="n">
        <v>350</v>
      </c>
      <c r="K178" s="1" t="n">
        <v>78.5</v>
      </c>
      <c r="L178" s="1" t="n">
        <v>9500</v>
      </c>
      <c r="M178" s="3" t="n">
        <v>54.1386548495659</v>
      </c>
      <c r="N178" s="12" t="n">
        <v>0.00826315789473684</v>
      </c>
      <c r="O178" s="4" t="n">
        <v>8.14</v>
      </c>
      <c r="P178" s="3" t="n">
        <v>361.362261530525</v>
      </c>
      <c r="Q178" s="4" t="n">
        <v>0.24</v>
      </c>
      <c r="R178" s="13" t="n">
        <f aca="false">P178/200000</f>
        <v>0.00180681130765263</v>
      </c>
      <c r="V178" s="4"/>
      <c r="W178" s="4"/>
    </row>
    <row r="179" customFormat="false" ht="14.25" hidden="false" customHeight="false" outlineLevel="0" collapsed="false">
      <c r="B179" s="1" t="n">
        <v>10</v>
      </c>
      <c r="C179" s="3" t="n">
        <v>528</v>
      </c>
      <c r="D179" s="1" t="n">
        <v>1</v>
      </c>
      <c r="E179" s="2" t="n">
        <v>45</v>
      </c>
      <c r="F179" s="4" t="n">
        <v>2.8</v>
      </c>
      <c r="G179" s="1" t="n">
        <v>40</v>
      </c>
      <c r="H179" s="1" t="n">
        <v>45</v>
      </c>
      <c r="I179" s="1" t="n">
        <v>100</v>
      </c>
      <c r="J179" s="1" t="n">
        <v>350</v>
      </c>
      <c r="K179" s="1" t="n">
        <v>78.5</v>
      </c>
      <c r="L179" s="1" t="n">
        <v>9500</v>
      </c>
      <c r="M179" s="3" t="n">
        <v>54.1386548495659</v>
      </c>
      <c r="N179" s="12" t="n">
        <v>0.00826315789473684</v>
      </c>
      <c r="O179" s="4" t="n">
        <v>8.46</v>
      </c>
      <c r="P179" s="3" t="n">
        <v>375.568148961701</v>
      </c>
      <c r="Q179" s="4" t="n">
        <v>0.25</v>
      </c>
      <c r="R179" s="13" t="n">
        <f aca="false">P179/200000</f>
        <v>0.0018778407448085</v>
      </c>
      <c r="V179" s="4"/>
      <c r="W179" s="4"/>
    </row>
    <row r="180" customFormat="false" ht="14.25" hidden="false" customHeight="false" outlineLevel="0" collapsed="false">
      <c r="B180" s="1" t="n">
        <v>10</v>
      </c>
      <c r="C180" s="3" t="n">
        <v>528</v>
      </c>
      <c r="D180" s="1" t="n">
        <v>1</v>
      </c>
      <c r="E180" s="2" t="n">
        <v>45</v>
      </c>
      <c r="F180" s="4" t="n">
        <v>2.8</v>
      </c>
      <c r="G180" s="1" t="n">
        <v>40</v>
      </c>
      <c r="H180" s="1" t="n">
        <v>45</v>
      </c>
      <c r="I180" s="1" t="n">
        <v>100</v>
      </c>
      <c r="J180" s="1" t="n">
        <v>350</v>
      </c>
      <c r="K180" s="1" t="n">
        <v>78.5</v>
      </c>
      <c r="L180" s="1" t="n">
        <v>9500</v>
      </c>
      <c r="M180" s="3" t="n">
        <v>54.1386548495659</v>
      </c>
      <c r="N180" s="12" t="n">
        <v>0.00826315789473684</v>
      </c>
      <c r="O180" s="4" t="n">
        <v>8.75</v>
      </c>
      <c r="P180" s="3" t="n">
        <v>388.442234446203</v>
      </c>
      <c r="Q180" s="4" t="n">
        <v>0.27</v>
      </c>
      <c r="R180" s="13" t="n">
        <f aca="false">P180/200000</f>
        <v>0.00194221117223102</v>
      </c>
      <c r="V180" s="4"/>
      <c r="W180" s="4"/>
    </row>
    <row r="181" customFormat="false" ht="14.25" hidden="false" customHeight="false" outlineLevel="0" collapsed="false">
      <c r="B181" s="1" t="n">
        <v>10</v>
      </c>
      <c r="C181" s="3" t="n">
        <v>528</v>
      </c>
      <c r="D181" s="1" t="n">
        <v>1</v>
      </c>
      <c r="E181" s="2" t="n">
        <v>45</v>
      </c>
      <c r="F181" s="4" t="n">
        <v>2.8</v>
      </c>
      <c r="G181" s="1" t="n">
        <v>40</v>
      </c>
      <c r="H181" s="1" t="n">
        <v>45</v>
      </c>
      <c r="I181" s="1" t="n">
        <v>100</v>
      </c>
      <c r="J181" s="1" t="n">
        <v>350</v>
      </c>
      <c r="K181" s="1" t="n">
        <v>78.5</v>
      </c>
      <c r="L181" s="1" t="n">
        <v>9500</v>
      </c>
      <c r="M181" s="3" t="n">
        <v>54.1386548495659</v>
      </c>
      <c r="N181" s="12" t="n">
        <v>0.00826315789473684</v>
      </c>
      <c r="O181" s="4" t="n">
        <v>9.01</v>
      </c>
      <c r="P181" s="3" t="n">
        <v>399.984517984033</v>
      </c>
      <c r="Q181" s="4" t="n">
        <v>0.29</v>
      </c>
      <c r="R181" s="13" t="n">
        <f aca="false">P181/200000</f>
        <v>0.00199992258992017</v>
      </c>
      <c r="V181" s="4"/>
      <c r="W181" s="4"/>
    </row>
    <row r="182" customFormat="false" ht="14.25" hidden="false" customHeight="false" outlineLevel="0" collapsed="false">
      <c r="A182" s="0" t="s">
        <v>60</v>
      </c>
      <c r="B182" s="1" t="n">
        <v>10</v>
      </c>
      <c r="C182" s="3" t="n">
        <v>528</v>
      </c>
      <c r="D182" s="1" t="n">
        <v>1</v>
      </c>
      <c r="E182" s="2" t="n">
        <v>45</v>
      </c>
      <c r="F182" s="4" t="n">
        <v>2.8</v>
      </c>
      <c r="G182" s="1" t="n">
        <v>40</v>
      </c>
      <c r="H182" s="1" t="n">
        <v>45</v>
      </c>
      <c r="I182" s="1" t="n">
        <v>100</v>
      </c>
      <c r="J182" s="1" t="n">
        <v>350</v>
      </c>
      <c r="K182" s="1" t="n">
        <v>78.5</v>
      </c>
      <c r="L182" s="1" t="n">
        <v>9500</v>
      </c>
      <c r="M182" s="3" t="n">
        <v>54.1386548495659</v>
      </c>
      <c r="N182" s="12" t="n">
        <v>0.00826315789473684</v>
      </c>
      <c r="O182" s="4" t="n">
        <v>7.29</v>
      </c>
      <c r="P182" s="3" t="n">
        <v>323.627873041465</v>
      </c>
      <c r="Q182" s="4" t="n">
        <v>0.15</v>
      </c>
      <c r="R182" s="13" t="n">
        <f aca="false">P182/200000</f>
        <v>0.00161813936520733</v>
      </c>
      <c r="V182" s="4"/>
      <c r="W182" s="4"/>
    </row>
    <row r="183" customFormat="false" ht="14.25" hidden="false" customHeight="false" outlineLevel="0" collapsed="false">
      <c r="B183" s="1" t="n">
        <v>10</v>
      </c>
      <c r="C183" s="3" t="n">
        <v>528</v>
      </c>
      <c r="D183" s="1" t="n">
        <v>1</v>
      </c>
      <c r="E183" s="2" t="n">
        <v>45</v>
      </c>
      <c r="F183" s="4" t="n">
        <v>2.8</v>
      </c>
      <c r="G183" s="1" t="n">
        <v>40</v>
      </c>
      <c r="H183" s="1" t="n">
        <v>45</v>
      </c>
      <c r="I183" s="1" t="n">
        <v>100</v>
      </c>
      <c r="J183" s="1" t="n">
        <v>350</v>
      </c>
      <c r="K183" s="1" t="n">
        <v>78.5</v>
      </c>
      <c r="L183" s="1" t="n">
        <v>9500</v>
      </c>
      <c r="M183" s="3" t="n">
        <v>54.1386548495659</v>
      </c>
      <c r="N183" s="12" t="n">
        <v>0.00826315789473684</v>
      </c>
      <c r="O183" s="4" t="n">
        <v>7.58</v>
      </c>
      <c r="P183" s="3" t="n">
        <v>336.501958525968</v>
      </c>
      <c r="Q183" s="4" t="n">
        <v>0.16</v>
      </c>
      <c r="R183" s="13" t="n">
        <f aca="false">P183/200000</f>
        <v>0.00168250979262984</v>
      </c>
      <c r="V183" s="4"/>
      <c r="W183" s="4"/>
    </row>
    <row r="184" customFormat="false" ht="14.25" hidden="false" customHeight="false" outlineLevel="0" collapsed="false">
      <c r="B184" s="1" t="n">
        <v>10</v>
      </c>
      <c r="C184" s="3" t="n">
        <v>528</v>
      </c>
      <c r="D184" s="1" t="n">
        <v>1</v>
      </c>
      <c r="E184" s="2" t="n">
        <v>45</v>
      </c>
      <c r="F184" s="4" t="n">
        <v>2.8</v>
      </c>
      <c r="G184" s="1" t="n">
        <v>40</v>
      </c>
      <c r="H184" s="1" t="n">
        <v>45</v>
      </c>
      <c r="I184" s="1" t="n">
        <v>100</v>
      </c>
      <c r="J184" s="1" t="n">
        <v>350</v>
      </c>
      <c r="K184" s="1" t="n">
        <v>78.5</v>
      </c>
      <c r="L184" s="1" t="n">
        <v>9500</v>
      </c>
      <c r="M184" s="3" t="n">
        <v>54.1386548495659</v>
      </c>
      <c r="N184" s="12" t="n">
        <v>0.00826315789473684</v>
      </c>
      <c r="O184" s="4" t="n">
        <v>7.99</v>
      </c>
      <c r="P184" s="3" t="n">
        <v>354.703251797162</v>
      </c>
      <c r="Q184" s="4" t="n">
        <v>0.18</v>
      </c>
      <c r="R184" s="13" t="n">
        <f aca="false">P184/200000</f>
        <v>0.00177351625898581</v>
      </c>
      <c r="V184" s="4"/>
      <c r="W184" s="4"/>
    </row>
    <row r="185" customFormat="false" ht="14.25" hidden="false" customHeight="false" outlineLevel="0" collapsed="false">
      <c r="B185" s="1" t="n">
        <v>10</v>
      </c>
      <c r="C185" s="3" t="n">
        <v>528</v>
      </c>
      <c r="D185" s="1" t="n">
        <v>1</v>
      </c>
      <c r="E185" s="2" t="n">
        <v>45</v>
      </c>
      <c r="F185" s="4" t="n">
        <v>2.8</v>
      </c>
      <c r="G185" s="1" t="n">
        <v>40</v>
      </c>
      <c r="H185" s="1" t="n">
        <v>45</v>
      </c>
      <c r="I185" s="1" t="n">
        <v>100</v>
      </c>
      <c r="J185" s="1" t="n">
        <v>350</v>
      </c>
      <c r="K185" s="1" t="n">
        <v>78.5</v>
      </c>
      <c r="L185" s="1" t="n">
        <v>9500</v>
      </c>
      <c r="M185" s="3" t="n">
        <v>54.1386548495659</v>
      </c>
      <c r="N185" s="12" t="n">
        <v>0.00826315789473684</v>
      </c>
      <c r="O185" s="4" t="n">
        <v>8.23</v>
      </c>
      <c r="P185" s="3" t="n">
        <v>365.357667370543</v>
      </c>
      <c r="Q185" s="4" t="n">
        <v>0.18</v>
      </c>
      <c r="R185" s="13" t="n">
        <f aca="false">P185/200000</f>
        <v>0.00182678833685272</v>
      </c>
      <c r="V185" s="4"/>
      <c r="W185" s="4"/>
    </row>
    <row r="186" customFormat="false" ht="14.25" hidden="false" customHeight="false" outlineLevel="0" collapsed="false">
      <c r="B186" s="1" t="n">
        <v>10</v>
      </c>
      <c r="C186" s="3" t="n">
        <v>528</v>
      </c>
      <c r="D186" s="1" t="n">
        <v>1</v>
      </c>
      <c r="E186" s="2" t="n">
        <v>45</v>
      </c>
      <c r="F186" s="4" t="n">
        <v>2.8</v>
      </c>
      <c r="G186" s="1" t="n">
        <v>40</v>
      </c>
      <c r="H186" s="1" t="n">
        <v>45</v>
      </c>
      <c r="I186" s="1" t="n">
        <v>100</v>
      </c>
      <c r="J186" s="1" t="n">
        <v>350</v>
      </c>
      <c r="K186" s="1" t="n">
        <v>78.5</v>
      </c>
      <c r="L186" s="1" t="n">
        <v>9500</v>
      </c>
      <c r="M186" s="3" t="n">
        <v>54.1386548495659</v>
      </c>
      <c r="N186" s="12" t="n">
        <v>0.00826315789473684</v>
      </c>
      <c r="O186" s="4" t="n">
        <v>8.46</v>
      </c>
      <c r="P186" s="3" t="n">
        <v>375.568148961701</v>
      </c>
      <c r="Q186" s="4" t="n">
        <v>0.19</v>
      </c>
      <c r="R186" s="13" t="n">
        <f aca="false">P186/200000</f>
        <v>0.0018778407448085</v>
      </c>
      <c r="V186" s="4"/>
      <c r="W186" s="4"/>
    </row>
    <row r="187" customFormat="false" ht="14.25" hidden="false" customHeight="false" outlineLevel="0" collapsed="false">
      <c r="B187" s="1" t="n">
        <v>10</v>
      </c>
      <c r="C187" s="3" t="n">
        <v>528</v>
      </c>
      <c r="D187" s="1" t="n">
        <v>1</v>
      </c>
      <c r="E187" s="2" t="n">
        <v>45</v>
      </c>
      <c r="F187" s="4" t="n">
        <v>2.8</v>
      </c>
      <c r="G187" s="1" t="n">
        <v>40</v>
      </c>
      <c r="H187" s="1" t="n">
        <v>45</v>
      </c>
      <c r="I187" s="1" t="n">
        <v>100</v>
      </c>
      <c r="J187" s="1" t="n">
        <v>350</v>
      </c>
      <c r="K187" s="1" t="n">
        <v>78.5</v>
      </c>
      <c r="L187" s="1" t="n">
        <v>9500</v>
      </c>
      <c r="M187" s="3" t="n">
        <v>54.1386548495659</v>
      </c>
      <c r="N187" s="12" t="n">
        <v>0.00826315789473684</v>
      </c>
      <c r="O187" s="4" t="n">
        <v>8.71</v>
      </c>
      <c r="P187" s="3" t="n">
        <v>386.666498517306</v>
      </c>
      <c r="Q187" s="4" t="n">
        <v>0.2</v>
      </c>
      <c r="R187" s="13" t="n">
        <f aca="false">P187/200000</f>
        <v>0.00193333249258653</v>
      </c>
      <c r="V187" s="4"/>
      <c r="W187" s="4"/>
    </row>
    <row r="188" customFormat="false" ht="14.25" hidden="false" customHeight="false" outlineLevel="0" collapsed="false">
      <c r="B188" s="1" t="n">
        <v>10</v>
      </c>
      <c r="C188" s="3" t="n">
        <v>528</v>
      </c>
      <c r="D188" s="1" t="n">
        <v>1</v>
      </c>
      <c r="E188" s="2" t="n">
        <v>45</v>
      </c>
      <c r="F188" s="4" t="n">
        <v>2.8</v>
      </c>
      <c r="G188" s="1" t="n">
        <v>40</v>
      </c>
      <c r="H188" s="1" t="n">
        <v>45</v>
      </c>
      <c r="I188" s="1" t="n">
        <v>100</v>
      </c>
      <c r="J188" s="1" t="n">
        <v>350</v>
      </c>
      <c r="K188" s="1" t="n">
        <v>78.5</v>
      </c>
      <c r="L188" s="1" t="n">
        <v>9500</v>
      </c>
      <c r="M188" s="3" t="n">
        <v>54.1386548495659</v>
      </c>
      <c r="N188" s="12" t="n">
        <v>0.00826315789473684</v>
      </c>
      <c r="O188" s="4" t="n">
        <v>9.04</v>
      </c>
      <c r="P188" s="3" t="n">
        <v>401.316319930706</v>
      </c>
      <c r="Q188" s="4" t="n">
        <v>0.22</v>
      </c>
      <c r="R188" s="13" t="n">
        <f aca="false">P188/200000</f>
        <v>0.00200658159965353</v>
      </c>
      <c r="V188" s="4"/>
      <c r="W188" s="4"/>
    </row>
    <row r="189" customFormat="false" ht="14.25" hidden="false" customHeight="false" outlineLevel="0" collapsed="false">
      <c r="A189" s="0" t="s">
        <v>61</v>
      </c>
      <c r="B189" s="1" t="n">
        <v>20</v>
      </c>
      <c r="C189" s="3" t="n">
        <v>598</v>
      </c>
      <c r="D189" s="1" t="n">
        <v>1</v>
      </c>
      <c r="E189" s="2" t="n">
        <v>40</v>
      </c>
      <c r="F189" s="4" t="n">
        <v>2.8</v>
      </c>
      <c r="G189" s="1" t="n">
        <v>40</v>
      </c>
      <c r="H189" s="1" t="n">
        <v>50</v>
      </c>
      <c r="I189" s="1" t="n">
        <v>100</v>
      </c>
      <c r="J189" s="1" t="n">
        <v>350</v>
      </c>
      <c r="K189" s="1" t="n">
        <v>315</v>
      </c>
      <c r="L189" s="1" t="n">
        <v>15000</v>
      </c>
      <c r="M189" s="3" t="n">
        <v>96.3869213691258</v>
      </c>
      <c r="N189" s="12" t="n">
        <v>0.021</v>
      </c>
      <c r="O189" s="4" t="n">
        <v>18.98</v>
      </c>
      <c r="P189" s="3" t="n">
        <v>224.936489423332</v>
      </c>
      <c r="Q189" s="4" t="n">
        <v>0.16</v>
      </c>
      <c r="R189" s="13" t="n">
        <f aca="false">P189/200000</f>
        <v>0.00112468244711666</v>
      </c>
      <c r="V189" s="4"/>
      <c r="W189" s="4"/>
    </row>
    <row r="190" customFormat="false" ht="14.25" hidden="false" customHeight="false" outlineLevel="0" collapsed="false">
      <c r="B190" s="1" t="n">
        <v>20</v>
      </c>
      <c r="C190" s="3" t="n">
        <v>598</v>
      </c>
      <c r="D190" s="1" t="n">
        <v>1</v>
      </c>
      <c r="E190" s="2" t="n">
        <v>40</v>
      </c>
      <c r="F190" s="4" t="n">
        <v>2.8</v>
      </c>
      <c r="G190" s="1" t="n">
        <v>40</v>
      </c>
      <c r="H190" s="1" t="n">
        <v>50</v>
      </c>
      <c r="I190" s="1" t="n">
        <v>100</v>
      </c>
      <c r="J190" s="1" t="n">
        <v>350</v>
      </c>
      <c r="K190" s="1" t="n">
        <v>315</v>
      </c>
      <c r="L190" s="1" t="n">
        <v>15000</v>
      </c>
      <c r="M190" s="3" t="n">
        <v>96.3869213691258</v>
      </c>
      <c r="N190" s="12" t="n">
        <v>0.021</v>
      </c>
      <c r="O190" s="4" t="n">
        <v>21.93</v>
      </c>
      <c r="P190" s="3" t="n">
        <v>259.897640308412</v>
      </c>
      <c r="Q190" s="4" t="n">
        <v>0.2</v>
      </c>
      <c r="R190" s="13" t="n">
        <f aca="false">P190/200000</f>
        <v>0.00129948820154206</v>
      </c>
      <c r="V190" s="4"/>
      <c r="W190" s="4"/>
    </row>
    <row r="191" customFormat="false" ht="14.25" hidden="false" customHeight="false" outlineLevel="0" collapsed="false">
      <c r="B191" s="1" t="n">
        <v>20</v>
      </c>
      <c r="C191" s="3" t="n">
        <v>598</v>
      </c>
      <c r="D191" s="1" t="n">
        <v>1</v>
      </c>
      <c r="E191" s="2" t="n">
        <v>40</v>
      </c>
      <c r="F191" s="4" t="n">
        <v>2.8</v>
      </c>
      <c r="G191" s="1" t="n">
        <v>40</v>
      </c>
      <c r="H191" s="1" t="n">
        <v>50</v>
      </c>
      <c r="I191" s="1" t="n">
        <v>100</v>
      </c>
      <c r="J191" s="1" t="n">
        <v>350</v>
      </c>
      <c r="K191" s="1" t="n">
        <v>315</v>
      </c>
      <c r="L191" s="1" t="n">
        <v>15000</v>
      </c>
      <c r="M191" s="3" t="n">
        <v>96.3869213691258</v>
      </c>
      <c r="N191" s="12" t="n">
        <v>0.021</v>
      </c>
      <c r="O191" s="4" t="n">
        <v>24.87</v>
      </c>
      <c r="P191" s="3" t="n">
        <v>294.740278817611</v>
      </c>
      <c r="Q191" s="4" t="n">
        <v>0.23</v>
      </c>
      <c r="R191" s="13" t="n">
        <f aca="false">P191/200000</f>
        <v>0.00147370139408806</v>
      </c>
      <c r="V191" s="4"/>
      <c r="W191" s="4"/>
    </row>
    <row r="192" customFormat="false" ht="14.25" hidden="false" customHeight="false" outlineLevel="0" collapsed="false">
      <c r="A192" s="0" t="s">
        <v>62</v>
      </c>
      <c r="B192" s="1" t="n">
        <v>20</v>
      </c>
      <c r="C192" s="3" t="n">
        <v>598</v>
      </c>
      <c r="D192" s="1" t="n">
        <v>1</v>
      </c>
      <c r="E192" s="2" t="n">
        <v>40</v>
      </c>
      <c r="F192" s="4" t="n">
        <v>2.8</v>
      </c>
      <c r="G192" s="1" t="n">
        <v>40</v>
      </c>
      <c r="H192" s="1" t="n">
        <v>50</v>
      </c>
      <c r="I192" s="1" t="n">
        <v>100</v>
      </c>
      <c r="J192" s="1" t="n">
        <v>350</v>
      </c>
      <c r="K192" s="1" t="n">
        <v>315</v>
      </c>
      <c r="L192" s="1" t="n">
        <v>15000</v>
      </c>
      <c r="M192" s="3" t="n">
        <v>96.3869213691258</v>
      </c>
      <c r="N192" s="12" t="n">
        <v>0.021</v>
      </c>
      <c r="O192" s="4" t="n">
        <v>18.98</v>
      </c>
      <c r="P192" s="3" t="n">
        <v>224.936489423332</v>
      </c>
      <c r="Q192" s="4" t="n">
        <v>0.14</v>
      </c>
      <c r="R192" s="13" t="n">
        <f aca="false">P192/200000</f>
        <v>0.00112468244711666</v>
      </c>
      <c r="V192" s="4"/>
      <c r="W192" s="4"/>
    </row>
    <row r="193" customFormat="false" ht="14.25" hidden="false" customHeight="false" outlineLevel="0" collapsed="false">
      <c r="B193" s="1" t="n">
        <v>20</v>
      </c>
      <c r="C193" s="3" t="n">
        <v>598</v>
      </c>
      <c r="D193" s="1" t="n">
        <v>1</v>
      </c>
      <c r="E193" s="2" t="n">
        <v>40</v>
      </c>
      <c r="F193" s="4" t="n">
        <v>2.8</v>
      </c>
      <c r="G193" s="1" t="n">
        <v>40</v>
      </c>
      <c r="H193" s="1" t="n">
        <v>50</v>
      </c>
      <c r="I193" s="1" t="n">
        <v>100</v>
      </c>
      <c r="J193" s="1" t="n">
        <v>350</v>
      </c>
      <c r="K193" s="1" t="n">
        <v>315</v>
      </c>
      <c r="L193" s="1" t="n">
        <v>15000</v>
      </c>
      <c r="M193" s="3" t="n">
        <v>96.3869213691258</v>
      </c>
      <c r="N193" s="12" t="n">
        <v>0.021</v>
      </c>
      <c r="O193" s="4" t="n">
        <v>21.89</v>
      </c>
      <c r="P193" s="3" t="n">
        <v>259.423590804886</v>
      </c>
      <c r="Q193" s="4" t="n">
        <v>0.17</v>
      </c>
      <c r="R193" s="13" t="n">
        <f aca="false">P193/200000</f>
        <v>0.00129711795402443</v>
      </c>
      <c r="V193" s="4"/>
      <c r="W193" s="4"/>
    </row>
    <row r="194" customFormat="false" ht="14.25" hidden="false" customHeight="false" outlineLevel="0" collapsed="false">
      <c r="B194" s="1" t="n">
        <v>20</v>
      </c>
      <c r="C194" s="3" t="n">
        <v>598</v>
      </c>
      <c r="D194" s="1" t="n">
        <v>1</v>
      </c>
      <c r="E194" s="2" t="n">
        <v>40</v>
      </c>
      <c r="F194" s="4" t="n">
        <v>2.8</v>
      </c>
      <c r="G194" s="1" t="n">
        <v>40</v>
      </c>
      <c r="H194" s="1" t="n">
        <v>50</v>
      </c>
      <c r="I194" s="1" t="n">
        <v>100</v>
      </c>
      <c r="J194" s="1" t="n">
        <v>350</v>
      </c>
      <c r="K194" s="1" t="n">
        <v>315</v>
      </c>
      <c r="L194" s="1" t="n">
        <v>15000</v>
      </c>
      <c r="M194" s="3" t="n">
        <v>96.3869213691258</v>
      </c>
      <c r="N194" s="12" t="n">
        <v>0.021</v>
      </c>
      <c r="O194" s="4" t="n">
        <v>24.82</v>
      </c>
      <c r="P194" s="3" t="n">
        <v>294.147716938203</v>
      </c>
      <c r="Q194" s="4" t="n">
        <v>0.21</v>
      </c>
      <c r="R194" s="13" t="n">
        <f aca="false">P194/200000</f>
        <v>0.00147073858469102</v>
      </c>
      <c r="V194" s="4"/>
      <c r="W194" s="4"/>
    </row>
    <row r="195" customFormat="false" ht="14.25" hidden="false" customHeight="false" outlineLevel="0" collapsed="false">
      <c r="A195" s="0" t="s">
        <v>63</v>
      </c>
      <c r="B195" s="1" t="n">
        <v>20</v>
      </c>
      <c r="C195" s="3" t="n">
        <v>598</v>
      </c>
      <c r="D195" s="1" t="n">
        <v>1</v>
      </c>
      <c r="E195" s="2" t="n">
        <v>40</v>
      </c>
      <c r="F195" s="4" t="n">
        <v>2.8</v>
      </c>
      <c r="G195" s="1" t="n">
        <v>40</v>
      </c>
      <c r="H195" s="1" t="n">
        <v>50</v>
      </c>
      <c r="I195" s="1" t="n">
        <v>100</v>
      </c>
      <c r="J195" s="1" t="n">
        <v>350</v>
      </c>
      <c r="K195" s="1" t="n">
        <v>315</v>
      </c>
      <c r="L195" s="1" t="n">
        <v>15000</v>
      </c>
      <c r="M195" s="3" t="n">
        <v>96.3869213691258</v>
      </c>
      <c r="N195" s="12" t="n">
        <v>0.021</v>
      </c>
      <c r="O195" s="4" t="n">
        <v>13.02</v>
      </c>
      <c r="P195" s="3" t="n">
        <v>154.303113397881</v>
      </c>
      <c r="Q195" s="4" t="n">
        <v>0.21</v>
      </c>
      <c r="R195" s="13" t="n">
        <f aca="false">P195/200000</f>
        <v>0.000771515566989405</v>
      </c>
      <c r="V195" s="4"/>
      <c r="W195" s="4"/>
    </row>
    <row r="196" customFormat="false" ht="14.25" hidden="false" customHeight="false" outlineLevel="0" collapsed="false">
      <c r="B196" s="1" t="n">
        <v>20</v>
      </c>
      <c r="C196" s="3" t="n">
        <v>598</v>
      </c>
      <c r="D196" s="1" t="n">
        <v>1</v>
      </c>
      <c r="E196" s="2" t="n">
        <v>40</v>
      </c>
      <c r="F196" s="4" t="n">
        <v>2.8</v>
      </c>
      <c r="G196" s="1" t="n">
        <v>40</v>
      </c>
      <c r="H196" s="1" t="n">
        <v>50</v>
      </c>
      <c r="I196" s="1" t="n">
        <v>100</v>
      </c>
      <c r="J196" s="1" t="n">
        <v>350</v>
      </c>
      <c r="K196" s="1" t="n">
        <v>315</v>
      </c>
      <c r="L196" s="1" t="n">
        <v>15000</v>
      </c>
      <c r="M196" s="3" t="n">
        <v>96.3869213691258</v>
      </c>
      <c r="N196" s="12" t="n">
        <v>0.021</v>
      </c>
      <c r="O196" s="4" t="n">
        <v>16.06</v>
      </c>
      <c r="P196" s="3" t="n">
        <v>190.330875665896</v>
      </c>
      <c r="Q196" s="4" t="n">
        <v>0.25</v>
      </c>
      <c r="R196" s="13" t="n">
        <f aca="false">P196/200000</f>
        <v>0.000951654378329481</v>
      </c>
      <c r="V196" s="4"/>
      <c r="W196" s="4"/>
    </row>
    <row r="197" customFormat="false" ht="14.25" hidden="false" customHeight="false" outlineLevel="0" collapsed="false">
      <c r="B197" s="1" t="n">
        <v>20</v>
      </c>
      <c r="C197" s="3" t="n">
        <v>598</v>
      </c>
      <c r="D197" s="1" t="n">
        <v>1</v>
      </c>
      <c r="E197" s="2" t="n">
        <v>40</v>
      </c>
      <c r="F197" s="4" t="n">
        <v>2.8</v>
      </c>
      <c r="G197" s="1" t="n">
        <v>40</v>
      </c>
      <c r="H197" s="1" t="n">
        <v>50</v>
      </c>
      <c r="I197" s="1" t="n">
        <v>100</v>
      </c>
      <c r="J197" s="1" t="n">
        <v>350</v>
      </c>
      <c r="K197" s="1" t="n">
        <v>315</v>
      </c>
      <c r="L197" s="1" t="n">
        <v>15000</v>
      </c>
      <c r="M197" s="3" t="n">
        <v>96.3869213691258</v>
      </c>
      <c r="N197" s="12" t="n">
        <v>0.021</v>
      </c>
      <c r="O197" s="4" t="n">
        <v>18.93</v>
      </c>
      <c r="P197" s="3" t="n">
        <v>224.343927543924</v>
      </c>
      <c r="Q197" s="4" t="n">
        <v>0.29</v>
      </c>
      <c r="R197" s="13" t="n">
        <f aca="false">P197/200000</f>
        <v>0.00112171963771962</v>
      </c>
      <c r="V197" s="4"/>
      <c r="W197" s="4"/>
    </row>
    <row r="198" customFormat="false" ht="14.25" hidden="false" customHeight="false" outlineLevel="0" collapsed="false">
      <c r="B198" s="1" t="n">
        <v>20</v>
      </c>
      <c r="C198" s="3" t="n">
        <v>598</v>
      </c>
      <c r="D198" s="1" t="n">
        <v>1</v>
      </c>
      <c r="E198" s="2" t="n">
        <v>40</v>
      </c>
      <c r="F198" s="4" t="n">
        <v>2.8</v>
      </c>
      <c r="G198" s="1" t="n">
        <v>40</v>
      </c>
      <c r="H198" s="1" t="n">
        <v>50</v>
      </c>
      <c r="I198" s="1" t="n">
        <v>100</v>
      </c>
      <c r="J198" s="1" t="n">
        <v>350</v>
      </c>
      <c r="K198" s="1" t="n">
        <v>315</v>
      </c>
      <c r="L198" s="1" t="n">
        <v>15000</v>
      </c>
      <c r="M198" s="3" t="n">
        <v>96.3869213691258</v>
      </c>
      <c r="N198" s="12" t="n">
        <v>0.021</v>
      </c>
      <c r="O198" s="4" t="n">
        <v>21.81</v>
      </c>
      <c r="P198" s="3" t="n">
        <v>258.475491797833</v>
      </c>
      <c r="Q198" s="4" t="n">
        <v>0.33</v>
      </c>
      <c r="R198" s="13" t="n">
        <f aca="false">P198/200000</f>
        <v>0.00129237745898916</v>
      </c>
      <c r="V198" s="4"/>
      <c r="W198" s="4"/>
    </row>
    <row r="199" customFormat="false" ht="14.25" hidden="false" customHeight="false" outlineLevel="0" collapsed="false">
      <c r="B199" s="1" t="n">
        <v>20</v>
      </c>
      <c r="C199" s="3" t="n">
        <v>598</v>
      </c>
      <c r="D199" s="1" t="n">
        <v>1</v>
      </c>
      <c r="E199" s="2" t="n">
        <v>40</v>
      </c>
      <c r="F199" s="4" t="n">
        <v>2.8</v>
      </c>
      <c r="G199" s="1" t="n">
        <v>40</v>
      </c>
      <c r="H199" s="1" t="n">
        <v>50</v>
      </c>
      <c r="I199" s="1" t="n">
        <v>100</v>
      </c>
      <c r="J199" s="1" t="n">
        <v>350</v>
      </c>
      <c r="K199" s="1" t="n">
        <v>315</v>
      </c>
      <c r="L199" s="1" t="n">
        <v>15000</v>
      </c>
      <c r="M199" s="3" t="n">
        <v>96.3869213691258</v>
      </c>
      <c r="N199" s="12" t="n">
        <v>0.021</v>
      </c>
      <c r="O199" s="4" t="n">
        <v>25.88</v>
      </c>
      <c r="P199" s="3" t="n">
        <v>306.710028781656</v>
      </c>
      <c r="Q199" s="4" t="n">
        <v>0.37</v>
      </c>
      <c r="R199" s="13" t="n">
        <f aca="false">P199/200000</f>
        <v>0.00153355014390828</v>
      </c>
      <c r="V199" s="4"/>
      <c r="W199" s="4"/>
    </row>
    <row r="200" customFormat="false" ht="14.25" hidden="false" customHeight="false" outlineLevel="0" collapsed="false">
      <c r="A200" s="0" t="s">
        <v>64</v>
      </c>
      <c r="B200" s="1" t="n">
        <v>20</v>
      </c>
      <c r="C200" s="3" t="n">
        <v>430</v>
      </c>
      <c r="D200" s="1" t="n">
        <v>6</v>
      </c>
      <c r="E200" s="2" t="n">
        <v>84</v>
      </c>
      <c r="F200" s="4" t="n">
        <v>3.50882128585544</v>
      </c>
      <c r="G200" s="1" t="n">
        <v>50</v>
      </c>
      <c r="H200" s="1" t="n">
        <v>64</v>
      </c>
      <c r="I200" s="1" t="n">
        <v>600</v>
      </c>
      <c r="J200" s="1" t="n">
        <v>400</v>
      </c>
      <c r="K200" s="1" t="n">
        <v>1884</v>
      </c>
      <c r="L200" s="1" t="n">
        <v>98400</v>
      </c>
      <c r="M200" s="3" t="n">
        <v>96.251010941285</v>
      </c>
      <c r="N200" s="12" t="n">
        <v>0.0191463414634146</v>
      </c>
      <c r="O200" s="4" t="n">
        <v>103</v>
      </c>
      <c r="P200" s="3" t="n">
        <v>179.888040262956</v>
      </c>
      <c r="Q200" s="4" t="n">
        <v>0.15</v>
      </c>
      <c r="R200" s="13" t="n">
        <f aca="false">P200/200000</f>
        <v>0.000899440201314778</v>
      </c>
      <c r="V200" s="4"/>
      <c r="W200" s="4"/>
    </row>
    <row r="201" customFormat="false" ht="14.25" hidden="false" customHeight="false" outlineLevel="0" collapsed="false">
      <c r="B201" s="1" t="n">
        <v>20</v>
      </c>
      <c r="C201" s="3" t="n">
        <v>430</v>
      </c>
      <c r="D201" s="1" t="n">
        <v>6</v>
      </c>
      <c r="E201" s="2" t="n">
        <v>84</v>
      </c>
      <c r="F201" s="4" t="n">
        <v>3.50882128585544</v>
      </c>
      <c r="G201" s="1" t="n">
        <v>50</v>
      </c>
      <c r="H201" s="1" t="n">
        <v>64</v>
      </c>
      <c r="I201" s="1" t="n">
        <v>600</v>
      </c>
      <c r="J201" s="1" t="n">
        <v>400</v>
      </c>
      <c r="K201" s="1" t="n">
        <v>1884</v>
      </c>
      <c r="L201" s="1" t="n">
        <v>98400</v>
      </c>
      <c r="M201" s="3" t="n">
        <v>96.251010941285</v>
      </c>
      <c r="N201" s="12" t="n">
        <v>0.0191463414634146</v>
      </c>
      <c r="O201" s="4" t="n">
        <v>129</v>
      </c>
      <c r="P201" s="3" t="n">
        <v>225.296671785643</v>
      </c>
      <c r="Q201" s="4" t="n">
        <v>0.23</v>
      </c>
      <c r="R201" s="13" t="n">
        <f aca="false">P201/200000</f>
        <v>0.00112648335892822</v>
      </c>
      <c r="V201" s="4"/>
      <c r="W201" s="4"/>
    </row>
    <row r="202" customFormat="false" ht="14.25" hidden="false" customHeight="false" outlineLevel="0" collapsed="false">
      <c r="B202" s="1" t="n">
        <v>20</v>
      </c>
      <c r="C202" s="3" t="n">
        <v>430</v>
      </c>
      <c r="D202" s="1" t="n">
        <v>6</v>
      </c>
      <c r="E202" s="2" t="n">
        <v>84</v>
      </c>
      <c r="F202" s="4" t="n">
        <v>3.50882128585544</v>
      </c>
      <c r="G202" s="1" t="n">
        <v>50</v>
      </c>
      <c r="H202" s="1" t="n">
        <v>64</v>
      </c>
      <c r="I202" s="1" t="n">
        <v>600</v>
      </c>
      <c r="J202" s="1" t="n">
        <v>400</v>
      </c>
      <c r="K202" s="1" t="n">
        <v>1884</v>
      </c>
      <c r="L202" s="1" t="n">
        <v>98400</v>
      </c>
      <c r="M202" s="3" t="n">
        <v>96.251010941285</v>
      </c>
      <c r="N202" s="12" t="n">
        <v>0.0191463414634146</v>
      </c>
      <c r="O202" s="4" t="n">
        <v>155</v>
      </c>
      <c r="P202" s="3" t="n">
        <v>270.705303308331</v>
      </c>
      <c r="Q202" s="4" t="n">
        <v>0.28</v>
      </c>
      <c r="R202" s="13" t="n">
        <f aca="false">P202/200000</f>
        <v>0.00135352651654166</v>
      </c>
      <c r="V202" s="4"/>
      <c r="W202" s="4"/>
    </row>
    <row r="203" customFormat="false" ht="14.25" hidden="false" customHeight="false" outlineLevel="0" collapsed="false">
      <c r="A203" s="0" t="s">
        <v>65</v>
      </c>
      <c r="B203" s="1" t="n">
        <v>20</v>
      </c>
      <c r="C203" s="3" t="n">
        <v>430</v>
      </c>
      <c r="D203" s="1" t="n">
        <v>9</v>
      </c>
      <c r="E203" s="2" t="n">
        <v>45</v>
      </c>
      <c r="F203" s="4" t="n">
        <v>3.50882128585544</v>
      </c>
      <c r="G203" s="1" t="n">
        <v>50</v>
      </c>
      <c r="H203" s="1" t="n">
        <v>64</v>
      </c>
      <c r="I203" s="1" t="n">
        <v>600</v>
      </c>
      <c r="J203" s="1" t="n">
        <v>400</v>
      </c>
      <c r="K203" s="1" t="n">
        <v>2826</v>
      </c>
      <c r="L203" s="1" t="n">
        <v>98400</v>
      </c>
      <c r="M203" s="3" t="n">
        <v>113.550333982961</v>
      </c>
      <c r="N203" s="12" t="n">
        <v>0.028719512195122</v>
      </c>
      <c r="O203" s="4" t="n">
        <v>149</v>
      </c>
      <c r="P203" s="3" t="n">
        <v>176.839573733521</v>
      </c>
      <c r="Q203" s="4" t="n">
        <v>0.18</v>
      </c>
      <c r="R203" s="13" t="n">
        <f aca="false">P203/200000</f>
        <v>0.000884197868667605</v>
      </c>
      <c r="V203" s="4"/>
      <c r="W203" s="4"/>
    </row>
    <row r="204" customFormat="false" ht="14.25" hidden="false" customHeight="false" outlineLevel="0" collapsed="false">
      <c r="B204" s="1" t="n">
        <v>20</v>
      </c>
      <c r="C204" s="3" t="n">
        <v>430</v>
      </c>
      <c r="D204" s="1" t="n">
        <v>9</v>
      </c>
      <c r="E204" s="2" t="n">
        <v>45</v>
      </c>
      <c r="F204" s="4" t="n">
        <v>3.50882128585544</v>
      </c>
      <c r="G204" s="1" t="n">
        <v>50</v>
      </c>
      <c r="H204" s="1" t="n">
        <v>64</v>
      </c>
      <c r="I204" s="1" t="n">
        <v>600</v>
      </c>
      <c r="J204" s="1" t="n">
        <v>400</v>
      </c>
      <c r="K204" s="1" t="n">
        <v>2826</v>
      </c>
      <c r="L204" s="1" t="n">
        <v>98400</v>
      </c>
      <c r="M204" s="3" t="n">
        <v>113.550333982961</v>
      </c>
      <c r="N204" s="12" t="n">
        <v>0.028719512195122</v>
      </c>
      <c r="O204" s="4" t="n">
        <v>186</v>
      </c>
      <c r="P204" s="3" t="n">
        <v>220.752756472718</v>
      </c>
      <c r="Q204" s="4" t="n">
        <v>0.26</v>
      </c>
      <c r="R204" s="13" t="n">
        <f aca="false">P204/200000</f>
        <v>0.00110376378236359</v>
      </c>
      <c r="V204" s="4"/>
      <c r="W204" s="4"/>
    </row>
    <row r="205" customFormat="false" ht="14.25" hidden="false" customHeight="false" outlineLevel="0" collapsed="false">
      <c r="B205" s="1" t="n">
        <v>20</v>
      </c>
      <c r="C205" s="3" t="n">
        <v>430</v>
      </c>
      <c r="D205" s="1" t="n">
        <v>9</v>
      </c>
      <c r="E205" s="2" t="n">
        <v>45</v>
      </c>
      <c r="F205" s="4" t="n">
        <v>3.50882128585544</v>
      </c>
      <c r="G205" s="1" t="n">
        <v>50</v>
      </c>
      <c r="H205" s="1" t="n">
        <v>64</v>
      </c>
      <c r="I205" s="1" t="n">
        <v>600</v>
      </c>
      <c r="J205" s="1" t="n">
        <v>400</v>
      </c>
      <c r="K205" s="1" t="n">
        <v>2826</v>
      </c>
      <c r="L205" s="1" t="n">
        <v>98400</v>
      </c>
      <c r="M205" s="3" t="n">
        <v>113.550333982961</v>
      </c>
      <c r="N205" s="12" t="n">
        <v>0.028719512195122</v>
      </c>
      <c r="O205" s="4" t="n">
        <v>223</v>
      </c>
      <c r="P205" s="3" t="n">
        <v>264.665939211914</v>
      </c>
      <c r="Q205" s="4" t="n">
        <v>0.34</v>
      </c>
      <c r="R205" s="13" t="n">
        <f aca="false">P205/200000</f>
        <v>0.00132332969605957</v>
      </c>
      <c r="V205" s="4"/>
      <c r="W205" s="4"/>
    </row>
    <row r="206" customFormat="false" ht="14.25" hidden="false" customHeight="false" outlineLevel="0" collapsed="false">
      <c r="A206" s="0" t="s">
        <v>66</v>
      </c>
      <c r="B206" s="1" t="n">
        <v>16</v>
      </c>
      <c r="C206" s="3" t="n">
        <v>528</v>
      </c>
      <c r="D206" s="1" t="n">
        <v>2</v>
      </c>
      <c r="E206" s="2" t="n">
        <v>52</v>
      </c>
      <c r="F206" s="4" t="n">
        <v>3.42</v>
      </c>
      <c r="G206" s="1" t="n">
        <v>27</v>
      </c>
      <c r="H206" s="1" t="n">
        <v>35</v>
      </c>
      <c r="I206" s="1" t="n">
        <v>150</v>
      </c>
      <c r="J206" s="1" t="n">
        <v>235</v>
      </c>
      <c r="K206" s="1" t="n">
        <v>402</v>
      </c>
      <c r="L206" s="1" t="n">
        <v>17250</v>
      </c>
      <c r="M206" s="3" t="n">
        <v>69.8404266407112</v>
      </c>
      <c r="N206" s="12" t="n">
        <v>0.023304347826087</v>
      </c>
      <c r="O206" s="4" t="n">
        <v>16.675</v>
      </c>
      <c r="P206" s="3" t="n">
        <v>234.722345423214</v>
      </c>
      <c r="Q206" s="4" t="n">
        <v>0.15</v>
      </c>
      <c r="R206" s="13" t="n">
        <f aca="false">P206/200000</f>
        <v>0.00117361172711607</v>
      </c>
      <c r="V206" s="4"/>
      <c r="W206" s="4"/>
    </row>
    <row r="207" customFormat="false" ht="14.25" hidden="false" customHeight="false" outlineLevel="0" collapsed="false">
      <c r="B207" s="1" t="n">
        <v>16</v>
      </c>
      <c r="C207" s="3" t="n">
        <v>528</v>
      </c>
      <c r="D207" s="1" t="n">
        <v>2</v>
      </c>
      <c r="E207" s="2" t="n">
        <v>52</v>
      </c>
      <c r="F207" s="4" t="n">
        <v>3.42</v>
      </c>
      <c r="G207" s="1" t="n">
        <v>27</v>
      </c>
      <c r="H207" s="1" t="n">
        <v>35</v>
      </c>
      <c r="I207" s="1" t="n">
        <v>150</v>
      </c>
      <c r="J207" s="1" t="n">
        <v>235</v>
      </c>
      <c r="K207" s="1" t="n">
        <v>402</v>
      </c>
      <c r="L207" s="1" t="n">
        <v>17250</v>
      </c>
      <c r="M207" s="3" t="n">
        <v>69.8404266407112</v>
      </c>
      <c r="N207" s="12" t="n">
        <v>0.023304347826087</v>
      </c>
      <c r="O207" s="4" t="n">
        <v>22.425</v>
      </c>
      <c r="P207" s="3" t="n">
        <v>315.661085224322</v>
      </c>
      <c r="Q207" s="4" t="n">
        <v>0.19</v>
      </c>
      <c r="R207" s="13" t="n">
        <f aca="false">P207/200000</f>
        <v>0.00157830542612161</v>
      </c>
      <c r="V207" s="4"/>
      <c r="W207" s="4"/>
    </row>
    <row r="208" customFormat="false" ht="14.25" hidden="false" customHeight="false" outlineLevel="0" collapsed="false">
      <c r="B208" s="1" t="n">
        <v>16</v>
      </c>
      <c r="C208" s="3" t="n">
        <v>528</v>
      </c>
      <c r="D208" s="1" t="n">
        <v>2</v>
      </c>
      <c r="E208" s="2" t="n">
        <v>52</v>
      </c>
      <c r="F208" s="4" t="n">
        <v>3.42</v>
      </c>
      <c r="G208" s="1" t="n">
        <v>27</v>
      </c>
      <c r="H208" s="1" t="n">
        <v>35</v>
      </c>
      <c r="I208" s="1" t="n">
        <v>150</v>
      </c>
      <c r="J208" s="1" t="n">
        <v>235</v>
      </c>
      <c r="K208" s="1" t="n">
        <v>402</v>
      </c>
      <c r="L208" s="1" t="n">
        <v>17250</v>
      </c>
      <c r="M208" s="3" t="n">
        <v>69.8404266407112</v>
      </c>
      <c r="N208" s="12" t="n">
        <v>0.023304347826087</v>
      </c>
      <c r="O208" s="4" t="n">
        <v>25.875</v>
      </c>
      <c r="P208" s="3" t="n">
        <v>364.224329104987</v>
      </c>
      <c r="Q208" s="4" t="n">
        <v>0.22</v>
      </c>
      <c r="R208" s="13" t="n">
        <f aca="false">P208/200000</f>
        <v>0.00182112164552494</v>
      </c>
      <c r="V208" s="4"/>
      <c r="W208" s="4"/>
    </row>
    <row r="209" customFormat="false" ht="14.25" hidden="false" customHeight="false" outlineLevel="0" collapsed="false">
      <c r="B209" s="1" t="n">
        <v>16</v>
      </c>
      <c r="C209" s="3" t="n">
        <v>528</v>
      </c>
      <c r="D209" s="1" t="n">
        <v>2</v>
      </c>
      <c r="E209" s="2" t="n">
        <v>52</v>
      </c>
      <c r="F209" s="4" t="n">
        <v>3.42</v>
      </c>
      <c r="G209" s="1" t="n">
        <v>27</v>
      </c>
      <c r="H209" s="1" t="n">
        <v>35</v>
      </c>
      <c r="I209" s="1" t="n">
        <v>150</v>
      </c>
      <c r="J209" s="1" t="n">
        <v>235</v>
      </c>
      <c r="K209" s="1" t="n">
        <v>402</v>
      </c>
      <c r="L209" s="1" t="n">
        <v>17250</v>
      </c>
      <c r="M209" s="3" t="n">
        <v>69.8404266407112</v>
      </c>
      <c r="N209" s="12" t="n">
        <v>0.023304347826087</v>
      </c>
      <c r="O209" s="4" t="n">
        <v>28.75</v>
      </c>
      <c r="P209" s="3" t="n">
        <v>404.693699005541</v>
      </c>
      <c r="Q209" s="4" t="n">
        <v>0.22</v>
      </c>
      <c r="R209" s="13" t="n">
        <f aca="false">P209/200000</f>
        <v>0.00202346849502771</v>
      </c>
      <c r="V209" s="4"/>
      <c r="W209" s="4"/>
    </row>
    <row r="210" customFormat="false" ht="14.25" hidden="false" customHeight="false" outlineLevel="0" collapsed="false">
      <c r="B210" s="1" t="n">
        <v>16</v>
      </c>
      <c r="C210" s="3" t="n">
        <v>528</v>
      </c>
      <c r="D210" s="1" t="n">
        <v>2</v>
      </c>
      <c r="E210" s="2" t="n">
        <v>52</v>
      </c>
      <c r="F210" s="4" t="n">
        <v>3.42</v>
      </c>
      <c r="G210" s="1" t="n">
        <v>27</v>
      </c>
      <c r="H210" s="1" t="n">
        <v>35</v>
      </c>
      <c r="I210" s="1" t="n">
        <v>150</v>
      </c>
      <c r="J210" s="1" t="n">
        <v>235</v>
      </c>
      <c r="K210" s="1" t="n">
        <v>402</v>
      </c>
      <c r="L210" s="1" t="n">
        <v>17250</v>
      </c>
      <c r="M210" s="3" t="n">
        <v>69.8404266407112</v>
      </c>
      <c r="N210" s="12" t="n">
        <v>0.023304347826087</v>
      </c>
      <c r="O210" s="4" t="n">
        <v>33.35</v>
      </c>
      <c r="P210" s="3" t="n">
        <v>469.444690846428</v>
      </c>
      <c r="Q210" s="4" t="n">
        <v>0.25</v>
      </c>
      <c r="R210" s="13" t="n">
        <f aca="false">P210/200000</f>
        <v>0.00234722345423214</v>
      </c>
      <c r="V210" s="4"/>
      <c r="W210" s="4"/>
    </row>
    <row r="211" customFormat="false" ht="14.25" hidden="false" customHeight="false" outlineLevel="0" collapsed="false">
      <c r="B211" s="1" t="n">
        <v>16</v>
      </c>
      <c r="C211" s="3" t="n">
        <v>528</v>
      </c>
      <c r="D211" s="1" t="n">
        <v>2</v>
      </c>
      <c r="E211" s="2" t="n">
        <v>52</v>
      </c>
      <c r="F211" s="4" t="n">
        <v>3.42</v>
      </c>
      <c r="G211" s="1" t="n">
        <v>27</v>
      </c>
      <c r="H211" s="1" t="n">
        <v>35</v>
      </c>
      <c r="I211" s="1" t="n">
        <v>150</v>
      </c>
      <c r="J211" s="1" t="n">
        <v>235</v>
      </c>
      <c r="K211" s="1" t="n">
        <v>402</v>
      </c>
      <c r="L211" s="1" t="n">
        <v>17250</v>
      </c>
      <c r="M211" s="3" t="n">
        <v>69.8404266407112</v>
      </c>
      <c r="N211" s="12" t="n">
        <v>0.023304347826087</v>
      </c>
      <c r="O211" s="4" t="n">
        <v>37.375</v>
      </c>
      <c r="P211" s="3" t="n">
        <v>526.101808707204</v>
      </c>
      <c r="Q211" s="4" t="n">
        <v>0.29</v>
      </c>
      <c r="R211" s="13" t="n">
        <f aca="false">P211/200000</f>
        <v>0.00263050904353602</v>
      </c>
      <c r="V211" s="4"/>
      <c r="W211" s="4"/>
    </row>
    <row r="212" customFormat="false" ht="14.25" hidden="false" customHeight="false" outlineLevel="0" collapsed="false">
      <c r="A212" s="0" t="s">
        <v>67</v>
      </c>
      <c r="B212" s="1" t="n">
        <v>20</v>
      </c>
      <c r="C212" s="3" t="n">
        <v>528</v>
      </c>
      <c r="D212" s="1" t="n">
        <v>2</v>
      </c>
      <c r="E212" s="2" t="n">
        <v>44</v>
      </c>
      <c r="F212" s="4" t="n">
        <v>3.42</v>
      </c>
      <c r="G212" s="1" t="n">
        <v>25</v>
      </c>
      <c r="H212" s="1" t="n">
        <v>35</v>
      </c>
      <c r="I212" s="1" t="n">
        <v>150</v>
      </c>
      <c r="J212" s="1" t="n">
        <v>235</v>
      </c>
      <c r="K212" s="1" t="n">
        <v>628</v>
      </c>
      <c r="L212" s="1" t="n">
        <v>18375</v>
      </c>
      <c r="M212" s="3" t="n">
        <v>82.8238244445564</v>
      </c>
      <c r="N212" s="12" t="n">
        <v>0.0341768707482993</v>
      </c>
      <c r="O212" s="4" t="n">
        <v>29.325</v>
      </c>
      <c r="P212" s="3" t="n">
        <v>270.870133310726</v>
      </c>
      <c r="Q212" s="4" t="n">
        <v>0.17</v>
      </c>
      <c r="R212" s="13" t="n">
        <f aca="false">P212/200000</f>
        <v>0.00135435066655363</v>
      </c>
      <c r="V212" s="4"/>
      <c r="W212" s="4"/>
    </row>
    <row r="213" customFormat="false" ht="14.25" hidden="false" customHeight="false" outlineLevel="0" collapsed="false">
      <c r="B213" s="1" t="n">
        <v>20</v>
      </c>
      <c r="C213" s="3" t="n">
        <v>528</v>
      </c>
      <c r="D213" s="1" t="n">
        <v>2</v>
      </c>
      <c r="E213" s="2" t="n">
        <v>44</v>
      </c>
      <c r="F213" s="4" t="n">
        <v>3.42</v>
      </c>
      <c r="G213" s="1" t="n">
        <v>25</v>
      </c>
      <c r="H213" s="1" t="n">
        <v>35</v>
      </c>
      <c r="I213" s="1" t="n">
        <v>150</v>
      </c>
      <c r="J213" s="1" t="n">
        <v>235</v>
      </c>
      <c r="K213" s="1" t="n">
        <v>628</v>
      </c>
      <c r="L213" s="1" t="n">
        <v>18375</v>
      </c>
      <c r="M213" s="3" t="n">
        <v>82.8238244445564</v>
      </c>
      <c r="N213" s="12" t="n">
        <v>0.0341768707482993</v>
      </c>
      <c r="O213" s="4" t="n">
        <v>33.35</v>
      </c>
      <c r="P213" s="3" t="n">
        <v>308.048386902394</v>
      </c>
      <c r="Q213" s="4" t="n">
        <v>0.19</v>
      </c>
      <c r="R213" s="13" t="n">
        <f aca="false">P213/200000</f>
        <v>0.00154024193451197</v>
      </c>
      <c r="V213" s="4"/>
      <c r="W213" s="4"/>
    </row>
    <row r="214" customFormat="false" ht="14.25" hidden="false" customHeight="false" outlineLevel="0" collapsed="false">
      <c r="B214" s="1" t="n">
        <v>20</v>
      </c>
      <c r="C214" s="3" t="n">
        <v>528</v>
      </c>
      <c r="D214" s="1" t="n">
        <v>2</v>
      </c>
      <c r="E214" s="2" t="n">
        <v>44</v>
      </c>
      <c r="F214" s="4" t="n">
        <v>3.42</v>
      </c>
      <c r="G214" s="1" t="n">
        <v>25</v>
      </c>
      <c r="H214" s="1" t="n">
        <v>35</v>
      </c>
      <c r="I214" s="1" t="n">
        <v>150</v>
      </c>
      <c r="J214" s="1" t="n">
        <v>235</v>
      </c>
      <c r="K214" s="1" t="n">
        <v>628</v>
      </c>
      <c r="L214" s="1" t="n">
        <v>18375</v>
      </c>
      <c r="M214" s="3" t="n">
        <v>82.8238244445564</v>
      </c>
      <c r="N214" s="12" t="n">
        <v>0.0341768707482993</v>
      </c>
      <c r="O214" s="4" t="n">
        <v>38.525</v>
      </c>
      <c r="P214" s="3" t="n">
        <v>355.848998663111</v>
      </c>
      <c r="Q214" s="4" t="n">
        <v>0.21</v>
      </c>
      <c r="R214" s="13" t="n">
        <f aca="false">P214/200000</f>
        <v>0.00177924499331555</v>
      </c>
      <c r="V214" s="4"/>
      <c r="W214" s="4"/>
    </row>
    <row r="215" customFormat="false" ht="14.25" hidden="false" customHeight="false" outlineLevel="0" collapsed="false">
      <c r="B215" s="1" t="n">
        <v>20</v>
      </c>
      <c r="C215" s="3" t="n">
        <v>528</v>
      </c>
      <c r="D215" s="1" t="n">
        <v>2</v>
      </c>
      <c r="E215" s="2" t="n">
        <v>44</v>
      </c>
      <c r="F215" s="4" t="n">
        <v>3.42</v>
      </c>
      <c r="G215" s="1" t="n">
        <v>25</v>
      </c>
      <c r="H215" s="1" t="n">
        <v>35</v>
      </c>
      <c r="I215" s="1" t="n">
        <v>150</v>
      </c>
      <c r="J215" s="1" t="n">
        <v>235</v>
      </c>
      <c r="K215" s="1" t="n">
        <v>628</v>
      </c>
      <c r="L215" s="1" t="n">
        <v>18375</v>
      </c>
      <c r="M215" s="3" t="n">
        <v>82.8238244445564</v>
      </c>
      <c r="N215" s="12" t="n">
        <v>0.0341768707482993</v>
      </c>
      <c r="O215" s="4" t="n">
        <v>40.825</v>
      </c>
      <c r="P215" s="3" t="n">
        <v>377.093715001207</v>
      </c>
      <c r="Q215" s="4" t="n">
        <v>0.23</v>
      </c>
      <c r="R215" s="13" t="n">
        <f aca="false">P215/200000</f>
        <v>0.00188546857500603</v>
      </c>
      <c r="V215" s="4"/>
      <c r="W215" s="4"/>
    </row>
    <row r="216" customFormat="false" ht="14.25" hidden="false" customHeight="false" outlineLevel="0" collapsed="false">
      <c r="B216" s="1" t="n">
        <v>20</v>
      </c>
      <c r="C216" s="3" t="n">
        <v>528</v>
      </c>
      <c r="D216" s="1" t="n">
        <v>2</v>
      </c>
      <c r="E216" s="2" t="n">
        <v>44</v>
      </c>
      <c r="F216" s="4" t="n">
        <v>3.42</v>
      </c>
      <c r="G216" s="1" t="n">
        <v>25</v>
      </c>
      <c r="H216" s="1" t="n">
        <v>35</v>
      </c>
      <c r="I216" s="1" t="n">
        <v>150</v>
      </c>
      <c r="J216" s="1" t="n">
        <v>235</v>
      </c>
      <c r="K216" s="1" t="n">
        <v>628</v>
      </c>
      <c r="L216" s="1" t="n">
        <v>18375</v>
      </c>
      <c r="M216" s="3" t="n">
        <v>82.8238244445564</v>
      </c>
      <c r="N216" s="12" t="n">
        <v>0.0341768707482993</v>
      </c>
      <c r="O216" s="4" t="n">
        <v>46</v>
      </c>
      <c r="P216" s="3" t="n">
        <v>424.894326761923</v>
      </c>
      <c r="Q216" s="4" t="n">
        <v>0.25</v>
      </c>
      <c r="R216" s="13" t="n">
        <f aca="false">P216/200000</f>
        <v>0.00212447163380962</v>
      </c>
      <c r="V216" s="4"/>
      <c r="W216" s="4"/>
    </row>
    <row r="217" customFormat="false" ht="14.25" hidden="false" customHeight="false" outlineLevel="0" collapsed="false">
      <c r="B217" s="1" t="n">
        <v>20</v>
      </c>
      <c r="C217" s="3" t="n">
        <v>528</v>
      </c>
      <c r="D217" s="1" t="n">
        <v>2</v>
      </c>
      <c r="E217" s="2" t="n">
        <v>44</v>
      </c>
      <c r="F217" s="4" t="n">
        <v>3.42</v>
      </c>
      <c r="G217" s="1" t="n">
        <v>25</v>
      </c>
      <c r="H217" s="1" t="n">
        <v>35</v>
      </c>
      <c r="I217" s="1" t="n">
        <v>150</v>
      </c>
      <c r="J217" s="1" t="n">
        <v>235</v>
      </c>
      <c r="K217" s="1" t="n">
        <v>628</v>
      </c>
      <c r="L217" s="1" t="n">
        <v>18375</v>
      </c>
      <c r="M217" s="3" t="n">
        <v>82.8238244445564</v>
      </c>
      <c r="N217" s="12" t="n">
        <v>0.0341768707482993</v>
      </c>
      <c r="O217" s="4" t="n">
        <v>56.925</v>
      </c>
      <c r="P217" s="3" t="n">
        <v>525.80672936788</v>
      </c>
      <c r="Q217" s="4" t="n">
        <v>0.25</v>
      </c>
      <c r="R217" s="13" t="n">
        <f aca="false">P217/200000</f>
        <v>0.0026290336468394</v>
      </c>
      <c r="V217" s="4"/>
      <c r="W217" s="4"/>
    </row>
    <row r="218" customFormat="false" ht="14.25" hidden="false" customHeight="false" outlineLevel="0" collapsed="false">
      <c r="A218" s="0" t="s">
        <v>68</v>
      </c>
      <c r="B218" s="1" t="n">
        <v>20</v>
      </c>
      <c r="C218" s="3" t="n">
        <v>528</v>
      </c>
      <c r="D218" s="1" t="n">
        <v>3</v>
      </c>
      <c r="E218" s="2" t="n">
        <v>12</v>
      </c>
      <c r="F218" s="4" t="n">
        <v>3.42</v>
      </c>
      <c r="G218" s="1" t="n">
        <v>25</v>
      </c>
      <c r="H218" s="1" t="n">
        <v>35</v>
      </c>
      <c r="I218" s="1" t="n">
        <v>150</v>
      </c>
      <c r="J218" s="1" t="n">
        <v>235</v>
      </c>
      <c r="K218" s="1" t="n">
        <v>942</v>
      </c>
      <c r="L218" s="1" t="n">
        <v>18375</v>
      </c>
      <c r="M218" s="3" t="n">
        <v>95.7017321457163</v>
      </c>
      <c r="N218" s="12" t="n">
        <v>0.051265306122449</v>
      </c>
      <c r="O218" s="4" t="n">
        <v>39.1</v>
      </c>
      <c r="P218" s="3" t="n">
        <v>246.921912945398</v>
      </c>
      <c r="Q218" s="4" t="n">
        <v>0.18</v>
      </c>
      <c r="R218" s="13" t="n">
        <f aca="false">P218/200000</f>
        <v>0.00123460956472699</v>
      </c>
      <c r="V218" s="4"/>
      <c r="W218" s="4"/>
    </row>
    <row r="219" customFormat="false" ht="14.25" hidden="false" customHeight="false" outlineLevel="0" collapsed="false">
      <c r="B219" s="1" t="n">
        <v>20</v>
      </c>
      <c r="C219" s="3" t="n">
        <v>528</v>
      </c>
      <c r="D219" s="1" t="n">
        <v>3</v>
      </c>
      <c r="E219" s="2" t="n">
        <v>12</v>
      </c>
      <c r="F219" s="4" t="n">
        <v>3.42</v>
      </c>
      <c r="G219" s="1" t="n">
        <v>25</v>
      </c>
      <c r="H219" s="1" t="n">
        <v>35</v>
      </c>
      <c r="I219" s="1" t="n">
        <v>150</v>
      </c>
      <c r="J219" s="1" t="n">
        <v>235</v>
      </c>
      <c r="K219" s="1" t="n">
        <v>942</v>
      </c>
      <c r="L219" s="1" t="n">
        <v>18375</v>
      </c>
      <c r="M219" s="3" t="n">
        <v>95.7017321457163</v>
      </c>
      <c r="N219" s="12" t="n">
        <v>0.051265306122449</v>
      </c>
      <c r="O219" s="4" t="n">
        <v>44.85</v>
      </c>
      <c r="P219" s="3" t="n">
        <v>283.23395896678</v>
      </c>
      <c r="Q219" s="4" t="n">
        <v>0.19</v>
      </c>
      <c r="R219" s="13" t="n">
        <f aca="false">P219/200000</f>
        <v>0.0014161697948339</v>
      </c>
      <c r="V219" s="4"/>
      <c r="W219" s="4"/>
    </row>
    <row r="220" customFormat="false" ht="14.25" hidden="false" customHeight="false" outlineLevel="0" collapsed="false">
      <c r="B220" s="1" t="n">
        <v>20</v>
      </c>
      <c r="C220" s="3" t="n">
        <v>528</v>
      </c>
      <c r="D220" s="1" t="n">
        <v>3</v>
      </c>
      <c r="E220" s="2" t="n">
        <v>12</v>
      </c>
      <c r="F220" s="4" t="n">
        <v>3.42</v>
      </c>
      <c r="G220" s="1" t="n">
        <v>25</v>
      </c>
      <c r="H220" s="1" t="n">
        <v>35</v>
      </c>
      <c r="I220" s="1" t="n">
        <v>150</v>
      </c>
      <c r="J220" s="1" t="n">
        <v>235</v>
      </c>
      <c r="K220" s="1" t="n">
        <v>942</v>
      </c>
      <c r="L220" s="1" t="n">
        <v>18375</v>
      </c>
      <c r="M220" s="3" t="n">
        <v>95.7017321457163</v>
      </c>
      <c r="N220" s="12" t="n">
        <v>0.051265306122449</v>
      </c>
      <c r="O220" s="4" t="n">
        <v>50.025</v>
      </c>
      <c r="P220" s="3" t="n">
        <v>315.914800386024</v>
      </c>
      <c r="Q220" s="4" t="n">
        <v>0.21</v>
      </c>
      <c r="R220" s="13" t="n">
        <f aca="false">P220/200000</f>
        <v>0.00157957400193012</v>
      </c>
      <c r="V220" s="4"/>
      <c r="W220" s="4"/>
    </row>
    <row r="221" customFormat="false" ht="14.25" hidden="false" customHeight="false" outlineLevel="0" collapsed="false">
      <c r="B221" s="1" t="n">
        <v>20</v>
      </c>
      <c r="C221" s="3" t="n">
        <v>528</v>
      </c>
      <c r="D221" s="1" t="n">
        <v>3</v>
      </c>
      <c r="E221" s="2" t="n">
        <v>12</v>
      </c>
      <c r="F221" s="4" t="n">
        <v>3.42</v>
      </c>
      <c r="G221" s="1" t="n">
        <v>25</v>
      </c>
      <c r="H221" s="1" t="n">
        <v>35</v>
      </c>
      <c r="I221" s="1" t="n">
        <v>150</v>
      </c>
      <c r="J221" s="1" t="n">
        <v>235</v>
      </c>
      <c r="K221" s="1" t="n">
        <v>942</v>
      </c>
      <c r="L221" s="1" t="n">
        <v>18375</v>
      </c>
      <c r="M221" s="3" t="n">
        <v>95.7017321457163</v>
      </c>
      <c r="N221" s="12" t="n">
        <v>0.051265306122449</v>
      </c>
      <c r="O221" s="4" t="n">
        <v>56.35</v>
      </c>
      <c r="P221" s="3" t="n">
        <v>355.858051009545</v>
      </c>
      <c r="Q221" s="4" t="n">
        <v>0.23</v>
      </c>
      <c r="R221" s="13" t="n">
        <f aca="false">P221/200000</f>
        <v>0.00177929025504772</v>
      </c>
      <c r="V221" s="4"/>
      <c r="W221" s="4"/>
    </row>
    <row r="222" customFormat="false" ht="14.25" hidden="false" customHeight="false" outlineLevel="0" collapsed="false">
      <c r="B222" s="1" t="n">
        <v>20</v>
      </c>
      <c r="C222" s="3" t="n">
        <v>528</v>
      </c>
      <c r="D222" s="1" t="n">
        <v>3</v>
      </c>
      <c r="E222" s="2" t="n">
        <v>12</v>
      </c>
      <c r="F222" s="4" t="n">
        <v>3.42</v>
      </c>
      <c r="G222" s="1" t="n">
        <v>25</v>
      </c>
      <c r="H222" s="1" t="n">
        <v>35</v>
      </c>
      <c r="I222" s="1" t="n">
        <v>150</v>
      </c>
      <c r="J222" s="1" t="n">
        <v>235</v>
      </c>
      <c r="K222" s="1" t="n">
        <v>942</v>
      </c>
      <c r="L222" s="1" t="n">
        <v>18375</v>
      </c>
      <c r="M222" s="3" t="n">
        <v>95.7017321457163</v>
      </c>
      <c r="N222" s="12" t="n">
        <v>0.051265306122449</v>
      </c>
      <c r="O222" s="4" t="n">
        <v>62.675</v>
      </c>
      <c r="P222" s="3" t="n">
        <v>395.801301633065</v>
      </c>
      <c r="Q222" s="4" t="n">
        <v>0.25</v>
      </c>
      <c r="R222" s="13" t="n">
        <f aca="false">P222/200000</f>
        <v>0.00197900650816532</v>
      </c>
      <c r="V222" s="4"/>
      <c r="W222" s="4"/>
    </row>
    <row r="223" customFormat="false" ht="14.25" hidden="false" customHeight="false" outlineLevel="0" collapsed="false">
      <c r="B223" s="1" t="n">
        <v>20</v>
      </c>
      <c r="C223" s="3" t="n">
        <v>528</v>
      </c>
      <c r="D223" s="1" t="n">
        <v>3</v>
      </c>
      <c r="E223" s="2" t="n">
        <v>12</v>
      </c>
      <c r="F223" s="4" t="n">
        <v>3.42</v>
      </c>
      <c r="G223" s="1" t="n">
        <v>25</v>
      </c>
      <c r="H223" s="1" t="n">
        <v>35</v>
      </c>
      <c r="I223" s="1" t="n">
        <v>150</v>
      </c>
      <c r="J223" s="1" t="n">
        <v>235</v>
      </c>
      <c r="K223" s="1" t="n">
        <v>942</v>
      </c>
      <c r="L223" s="1" t="n">
        <v>18375</v>
      </c>
      <c r="M223" s="3" t="n">
        <v>95.7017321457163</v>
      </c>
      <c r="N223" s="12" t="n">
        <v>0.051265306122449</v>
      </c>
      <c r="O223" s="4" t="n">
        <v>68.425</v>
      </c>
      <c r="P223" s="3" t="n">
        <v>432.113347654447</v>
      </c>
      <c r="Q223" s="4" t="n">
        <v>0.29</v>
      </c>
      <c r="R223" s="13" t="n">
        <f aca="false">P223/200000</f>
        <v>0.00216056673827224</v>
      </c>
      <c r="V223" s="4"/>
      <c r="W223" s="4"/>
    </row>
    <row r="224" customFormat="false" ht="14.25" hidden="false" customHeight="false" outlineLevel="0" collapsed="false">
      <c r="B224" s="1" t="n">
        <v>20</v>
      </c>
      <c r="C224" s="3" t="n">
        <v>528</v>
      </c>
      <c r="D224" s="1" t="n">
        <v>3</v>
      </c>
      <c r="E224" s="2" t="n">
        <v>12</v>
      </c>
      <c r="F224" s="4" t="n">
        <v>3.42</v>
      </c>
      <c r="G224" s="1" t="n">
        <v>25</v>
      </c>
      <c r="H224" s="1" t="n">
        <v>35</v>
      </c>
      <c r="I224" s="1" t="n">
        <v>150</v>
      </c>
      <c r="J224" s="1" t="n">
        <v>235</v>
      </c>
      <c r="K224" s="1" t="n">
        <v>942</v>
      </c>
      <c r="L224" s="1" t="n">
        <v>18375</v>
      </c>
      <c r="M224" s="3" t="n">
        <v>95.7017321457163</v>
      </c>
      <c r="N224" s="12" t="n">
        <v>0.051265306122449</v>
      </c>
      <c r="O224" s="4" t="n">
        <v>74.175</v>
      </c>
      <c r="P224" s="3" t="n">
        <v>468.425393675829</v>
      </c>
      <c r="Q224" s="4" t="n">
        <v>0.31</v>
      </c>
      <c r="R224" s="13" t="n">
        <f aca="false">P224/200000</f>
        <v>0.00234212696837915</v>
      </c>
      <c r="V224" s="4"/>
      <c r="W224" s="4"/>
    </row>
    <row r="225" customFormat="false" ht="14.25" hidden="false" customHeight="false" outlineLevel="0" collapsed="false">
      <c r="B225" s="1" t="n">
        <v>20</v>
      </c>
      <c r="C225" s="3" t="n">
        <v>528</v>
      </c>
      <c r="D225" s="1" t="n">
        <v>3</v>
      </c>
      <c r="E225" s="2" t="n">
        <v>12</v>
      </c>
      <c r="F225" s="4" t="n">
        <v>3.42</v>
      </c>
      <c r="G225" s="1" t="n">
        <v>25</v>
      </c>
      <c r="H225" s="1" t="n">
        <v>35</v>
      </c>
      <c r="I225" s="1" t="n">
        <v>150</v>
      </c>
      <c r="J225" s="1" t="n">
        <v>235</v>
      </c>
      <c r="K225" s="1" t="n">
        <v>942</v>
      </c>
      <c r="L225" s="1" t="n">
        <v>18375</v>
      </c>
      <c r="M225" s="3" t="n">
        <v>95.7017321457163</v>
      </c>
      <c r="N225" s="12" t="n">
        <v>0.051265306122449</v>
      </c>
      <c r="O225" s="4" t="n">
        <v>79.35</v>
      </c>
      <c r="P225" s="3" t="n">
        <v>501.106235095073</v>
      </c>
      <c r="Q225" s="4" t="n">
        <v>0.37</v>
      </c>
      <c r="R225" s="13" t="n">
        <f aca="false">P225/200000</f>
        <v>0.00250553117547537</v>
      </c>
      <c r="V225" s="4"/>
      <c r="W225" s="4"/>
    </row>
    <row r="226" customFormat="false" ht="14.25" hidden="false" customHeight="false" outlineLevel="0" collapsed="false">
      <c r="A226" s="0" t="s">
        <v>69</v>
      </c>
      <c r="B226" s="1" t="n">
        <v>16</v>
      </c>
      <c r="C226" s="3" t="n">
        <v>528</v>
      </c>
      <c r="D226" s="1" t="n">
        <v>2</v>
      </c>
      <c r="E226" s="2" t="n">
        <v>52</v>
      </c>
      <c r="F226" s="4" t="n">
        <v>2.98</v>
      </c>
      <c r="G226" s="1" t="n">
        <v>27</v>
      </c>
      <c r="H226" s="1" t="n">
        <v>35</v>
      </c>
      <c r="I226" s="1" t="n">
        <v>150</v>
      </c>
      <c r="J226" s="1" t="n">
        <v>235</v>
      </c>
      <c r="K226" s="1" t="n">
        <v>402</v>
      </c>
      <c r="L226" s="1" t="n">
        <v>17250</v>
      </c>
      <c r="M226" s="3" t="n">
        <v>67.594050734713</v>
      </c>
      <c r="N226" s="12" t="n">
        <v>0.023304347826087</v>
      </c>
      <c r="O226" s="4" t="n">
        <v>26.45</v>
      </c>
      <c r="P226" s="3" t="n">
        <v>370.747284048733</v>
      </c>
      <c r="Q226" s="4" t="n">
        <v>0.16</v>
      </c>
      <c r="R226" s="13" t="n">
        <f aca="false">P226/200000</f>
        <v>0.00185373642024366</v>
      </c>
      <c r="V226" s="4"/>
      <c r="W226" s="4"/>
    </row>
    <row r="227" customFormat="false" ht="14.25" hidden="false" customHeight="false" outlineLevel="0" collapsed="false">
      <c r="B227" s="1" t="n">
        <v>16</v>
      </c>
      <c r="C227" s="3" t="n">
        <v>528</v>
      </c>
      <c r="D227" s="1" t="n">
        <v>2</v>
      </c>
      <c r="E227" s="2" t="n">
        <v>52</v>
      </c>
      <c r="F227" s="4" t="n">
        <v>2.98</v>
      </c>
      <c r="G227" s="1" t="n">
        <v>27</v>
      </c>
      <c r="H227" s="1" t="n">
        <v>35</v>
      </c>
      <c r="I227" s="1" t="n">
        <v>150</v>
      </c>
      <c r="J227" s="1" t="n">
        <v>235</v>
      </c>
      <c r="K227" s="1" t="n">
        <v>402</v>
      </c>
      <c r="L227" s="1" t="n">
        <v>17250</v>
      </c>
      <c r="M227" s="3" t="n">
        <v>67.594050734713</v>
      </c>
      <c r="N227" s="12" t="n">
        <v>0.023304347826087</v>
      </c>
      <c r="O227" s="4" t="n">
        <v>31.625</v>
      </c>
      <c r="P227" s="3" t="n">
        <v>443.284796145224</v>
      </c>
      <c r="Q227" s="4" t="n">
        <v>0.2</v>
      </c>
      <c r="R227" s="13" t="n">
        <f aca="false">P227/200000</f>
        <v>0.00221642398072612</v>
      </c>
      <c r="V227" s="4"/>
      <c r="W227" s="4"/>
    </row>
    <row r="228" customFormat="false" ht="14.25" hidden="false" customHeight="false" outlineLevel="0" collapsed="false">
      <c r="B228" s="1" t="n">
        <v>16</v>
      </c>
      <c r="C228" s="3" t="n">
        <v>528</v>
      </c>
      <c r="D228" s="1" t="n">
        <v>2</v>
      </c>
      <c r="E228" s="2" t="n">
        <v>52</v>
      </c>
      <c r="F228" s="4" t="n">
        <v>2.98</v>
      </c>
      <c r="G228" s="1" t="n">
        <v>27</v>
      </c>
      <c r="H228" s="1" t="n">
        <v>35</v>
      </c>
      <c r="I228" s="1" t="n">
        <v>150</v>
      </c>
      <c r="J228" s="1" t="n">
        <v>235</v>
      </c>
      <c r="K228" s="1" t="n">
        <v>402</v>
      </c>
      <c r="L228" s="1" t="n">
        <v>17250</v>
      </c>
      <c r="M228" s="3" t="n">
        <v>67.594050734713</v>
      </c>
      <c r="N228" s="12" t="n">
        <v>0.023304347826087</v>
      </c>
      <c r="O228" s="4" t="n">
        <v>37.375</v>
      </c>
      <c r="P228" s="3" t="n">
        <v>523.882031807992</v>
      </c>
      <c r="Q228" s="4" t="n">
        <v>0.26</v>
      </c>
      <c r="R228" s="13" t="n">
        <f aca="false">P228/200000</f>
        <v>0.00261941015903996</v>
      </c>
      <c r="V228" s="4"/>
      <c r="W228" s="4"/>
    </row>
    <row r="229" customFormat="false" ht="14.25" hidden="false" customHeight="false" outlineLevel="0" collapsed="false">
      <c r="A229" s="0" t="s">
        <v>70</v>
      </c>
      <c r="B229" s="1" t="n">
        <v>20</v>
      </c>
      <c r="C229" s="3" t="n">
        <v>528</v>
      </c>
      <c r="D229" s="1" t="n">
        <v>2</v>
      </c>
      <c r="E229" s="2" t="n">
        <v>44</v>
      </c>
      <c r="F229" s="4" t="n">
        <v>2.98</v>
      </c>
      <c r="G229" s="1" t="n">
        <v>25</v>
      </c>
      <c r="H229" s="1" t="n">
        <v>35</v>
      </c>
      <c r="I229" s="1" t="n">
        <v>150</v>
      </c>
      <c r="J229" s="1" t="n">
        <v>235</v>
      </c>
      <c r="K229" s="1" t="n">
        <v>628</v>
      </c>
      <c r="L229" s="1" t="n">
        <v>18375</v>
      </c>
      <c r="M229" s="3" t="n">
        <v>80.321192218195</v>
      </c>
      <c r="N229" s="12" t="n">
        <v>0.0341768707482993</v>
      </c>
      <c r="O229" s="4" t="n">
        <v>28.75</v>
      </c>
      <c r="P229" s="3" t="n">
        <v>264.280094309474</v>
      </c>
      <c r="Q229" s="4" t="n">
        <v>0.17</v>
      </c>
      <c r="R229" s="13" t="n">
        <f aca="false">P229/200000</f>
        <v>0.00132140047154737</v>
      </c>
      <c r="V229" s="4"/>
      <c r="W229" s="4"/>
    </row>
    <row r="230" customFormat="false" ht="14.25" hidden="false" customHeight="false" outlineLevel="0" collapsed="false">
      <c r="B230" s="1" t="n">
        <v>20</v>
      </c>
      <c r="C230" s="3" t="n">
        <v>528</v>
      </c>
      <c r="D230" s="1" t="n">
        <v>2</v>
      </c>
      <c r="E230" s="2" t="n">
        <v>44</v>
      </c>
      <c r="F230" s="4" t="n">
        <v>2.98</v>
      </c>
      <c r="G230" s="1" t="n">
        <v>25</v>
      </c>
      <c r="H230" s="1" t="n">
        <v>35</v>
      </c>
      <c r="I230" s="1" t="n">
        <v>150</v>
      </c>
      <c r="J230" s="1" t="n">
        <v>235</v>
      </c>
      <c r="K230" s="1" t="n">
        <v>628</v>
      </c>
      <c r="L230" s="1" t="n">
        <v>18375</v>
      </c>
      <c r="M230" s="3" t="n">
        <v>80.321192218195</v>
      </c>
      <c r="N230" s="12" t="n">
        <v>0.0341768707482993</v>
      </c>
      <c r="O230" s="4" t="n">
        <v>32.775</v>
      </c>
      <c r="P230" s="3" t="n">
        <v>301.2793075128</v>
      </c>
      <c r="Q230" s="4" t="n">
        <v>0.19</v>
      </c>
      <c r="R230" s="13" t="n">
        <f aca="false">P230/200000</f>
        <v>0.001506396537564</v>
      </c>
      <c r="V230" s="4"/>
      <c r="W230" s="4"/>
    </row>
    <row r="231" customFormat="false" ht="14.25" hidden="false" customHeight="false" outlineLevel="0" collapsed="false">
      <c r="B231" s="1" t="n">
        <v>20</v>
      </c>
      <c r="C231" s="3" t="n">
        <v>528</v>
      </c>
      <c r="D231" s="1" t="n">
        <v>2</v>
      </c>
      <c r="E231" s="2" t="n">
        <v>44</v>
      </c>
      <c r="F231" s="4" t="n">
        <v>2.98</v>
      </c>
      <c r="G231" s="1" t="n">
        <v>25</v>
      </c>
      <c r="H231" s="1" t="n">
        <v>35</v>
      </c>
      <c r="I231" s="1" t="n">
        <v>150</v>
      </c>
      <c r="J231" s="1" t="n">
        <v>235</v>
      </c>
      <c r="K231" s="1" t="n">
        <v>628</v>
      </c>
      <c r="L231" s="1" t="n">
        <v>18375</v>
      </c>
      <c r="M231" s="3" t="n">
        <v>80.321192218195</v>
      </c>
      <c r="N231" s="12" t="n">
        <v>0.0341768707482993</v>
      </c>
      <c r="O231" s="4" t="n">
        <v>37.95</v>
      </c>
      <c r="P231" s="3" t="n">
        <v>348.849724488505</v>
      </c>
      <c r="Q231" s="4" t="n">
        <v>0.23</v>
      </c>
      <c r="R231" s="13" t="n">
        <f aca="false">P231/200000</f>
        <v>0.00174424862244253</v>
      </c>
      <c r="V231" s="4"/>
      <c r="W231" s="4"/>
    </row>
    <row r="232" customFormat="false" ht="14.25" hidden="false" customHeight="false" outlineLevel="0" collapsed="false">
      <c r="B232" s="1" t="n">
        <v>20</v>
      </c>
      <c r="C232" s="3" t="n">
        <v>528</v>
      </c>
      <c r="D232" s="1" t="n">
        <v>2</v>
      </c>
      <c r="E232" s="2" t="n">
        <v>44</v>
      </c>
      <c r="F232" s="4" t="n">
        <v>2.98</v>
      </c>
      <c r="G232" s="1" t="n">
        <v>25</v>
      </c>
      <c r="H232" s="1" t="n">
        <v>35</v>
      </c>
      <c r="I232" s="1" t="n">
        <v>150</v>
      </c>
      <c r="J232" s="1" t="n">
        <v>235</v>
      </c>
      <c r="K232" s="1" t="n">
        <v>628</v>
      </c>
      <c r="L232" s="1" t="n">
        <v>18375</v>
      </c>
      <c r="M232" s="3" t="n">
        <v>80.321192218195</v>
      </c>
      <c r="N232" s="12" t="n">
        <v>0.0341768707482993</v>
      </c>
      <c r="O232" s="4" t="n">
        <v>40.25</v>
      </c>
      <c r="P232" s="3" t="n">
        <v>369.992132033263</v>
      </c>
      <c r="Q232" s="4" t="n">
        <v>0.25</v>
      </c>
      <c r="R232" s="13" t="n">
        <f aca="false">P232/200000</f>
        <v>0.00184996066016631</v>
      </c>
      <c r="V232" s="4"/>
      <c r="W232" s="4"/>
    </row>
    <row r="233" customFormat="false" ht="14.25" hidden="false" customHeight="false" outlineLevel="0" collapsed="false">
      <c r="B233" s="1" t="n">
        <v>20</v>
      </c>
      <c r="C233" s="3" t="n">
        <v>528</v>
      </c>
      <c r="D233" s="1" t="n">
        <v>2</v>
      </c>
      <c r="E233" s="2" t="n">
        <v>44</v>
      </c>
      <c r="F233" s="4" t="n">
        <v>2.98</v>
      </c>
      <c r="G233" s="1" t="n">
        <v>25</v>
      </c>
      <c r="H233" s="1" t="n">
        <v>35</v>
      </c>
      <c r="I233" s="1" t="n">
        <v>150</v>
      </c>
      <c r="J233" s="1" t="n">
        <v>235</v>
      </c>
      <c r="K233" s="1" t="n">
        <v>628</v>
      </c>
      <c r="L233" s="1" t="n">
        <v>18375</v>
      </c>
      <c r="M233" s="3" t="n">
        <v>80.321192218195</v>
      </c>
      <c r="N233" s="12" t="n">
        <v>0.0341768707482993</v>
      </c>
      <c r="O233" s="4" t="n">
        <v>43.7</v>
      </c>
      <c r="P233" s="3" t="n">
        <v>401.7057433504</v>
      </c>
      <c r="Q233" s="4" t="n">
        <v>0.3</v>
      </c>
      <c r="R233" s="13" t="n">
        <f aca="false">P233/200000</f>
        <v>0.002008528716752</v>
      </c>
      <c r="V233" s="4"/>
      <c r="W233" s="4"/>
    </row>
    <row r="234" customFormat="false" ht="14.25" hidden="false" customHeight="false" outlineLevel="0" collapsed="false">
      <c r="B234" s="1" t="n">
        <v>20</v>
      </c>
      <c r="C234" s="3" t="n">
        <v>528</v>
      </c>
      <c r="D234" s="1" t="n">
        <v>2</v>
      </c>
      <c r="E234" s="2" t="n">
        <v>44</v>
      </c>
      <c r="F234" s="4" t="n">
        <v>2.98</v>
      </c>
      <c r="G234" s="1" t="n">
        <v>25</v>
      </c>
      <c r="H234" s="1" t="n">
        <v>35</v>
      </c>
      <c r="I234" s="1" t="n">
        <v>150</v>
      </c>
      <c r="J234" s="1" t="n">
        <v>235</v>
      </c>
      <c r="K234" s="1" t="n">
        <v>628</v>
      </c>
      <c r="L234" s="1" t="n">
        <v>18375</v>
      </c>
      <c r="M234" s="3" t="n">
        <v>80.321192218195</v>
      </c>
      <c r="N234" s="12" t="n">
        <v>0.0341768707482993</v>
      </c>
      <c r="O234" s="4" t="n">
        <v>46</v>
      </c>
      <c r="P234" s="3" t="n">
        <v>422.848150895158</v>
      </c>
      <c r="Q234" s="4" t="n">
        <v>0.32</v>
      </c>
      <c r="R234" s="13" t="n">
        <f aca="false">P234/200000</f>
        <v>0.00211424075447579</v>
      </c>
      <c r="V234" s="4"/>
      <c r="W234" s="4"/>
    </row>
    <row r="235" customFormat="false" ht="14.25" hidden="false" customHeight="false" outlineLevel="0" collapsed="false">
      <c r="B235" s="1" t="n">
        <v>20</v>
      </c>
      <c r="C235" s="3" t="n">
        <v>528</v>
      </c>
      <c r="D235" s="1" t="n">
        <v>2</v>
      </c>
      <c r="E235" s="2" t="n">
        <v>44</v>
      </c>
      <c r="F235" s="4" t="n">
        <v>2.98</v>
      </c>
      <c r="G235" s="1" t="n">
        <v>25</v>
      </c>
      <c r="H235" s="1" t="n">
        <v>35</v>
      </c>
      <c r="I235" s="1" t="n">
        <v>150</v>
      </c>
      <c r="J235" s="1" t="n">
        <v>235</v>
      </c>
      <c r="K235" s="1" t="n">
        <v>628</v>
      </c>
      <c r="L235" s="1" t="n">
        <v>18375</v>
      </c>
      <c r="M235" s="3" t="n">
        <v>80.321192218195</v>
      </c>
      <c r="N235" s="12" t="n">
        <v>0.0341768707482993</v>
      </c>
      <c r="O235" s="4" t="n">
        <v>51.635</v>
      </c>
      <c r="P235" s="3" t="n">
        <v>474.647049379814</v>
      </c>
      <c r="Q235" s="4" t="n">
        <v>0.36</v>
      </c>
      <c r="R235" s="13" t="n">
        <f aca="false">P235/200000</f>
        <v>0.00237323524689907</v>
      </c>
      <c r="V235" s="4"/>
      <c r="W235" s="4"/>
    </row>
    <row r="236" customFormat="false" ht="14.25" hidden="false" customHeight="false" outlineLevel="0" collapsed="false">
      <c r="B236" s="1" t="n">
        <v>20</v>
      </c>
      <c r="C236" s="3" t="n">
        <v>528</v>
      </c>
      <c r="D236" s="1" t="n">
        <v>2</v>
      </c>
      <c r="E236" s="2" t="n">
        <v>44</v>
      </c>
      <c r="F236" s="4" t="n">
        <v>2.98</v>
      </c>
      <c r="G236" s="1" t="n">
        <v>25</v>
      </c>
      <c r="H236" s="1" t="n">
        <v>35</v>
      </c>
      <c r="I236" s="1" t="n">
        <v>150</v>
      </c>
      <c r="J236" s="1" t="n">
        <v>235</v>
      </c>
      <c r="K236" s="1" t="n">
        <v>628</v>
      </c>
      <c r="L236" s="1" t="n">
        <v>18375</v>
      </c>
      <c r="M236" s="3" t="n">
        <v>80.321192218195</v>
      </c>
      <c r="N236" s="12" t="n">
        <v>0.0341768707482993</v>
      </c>
      <c r="O236" s="4" t="n">
        <v>57.27</v>
      </c>
      <c r="P236" s="3" t="n">
        <v>526.445947864471</v>
      </c>
      <c r="Q236" s="4" t="n">
        <v>0.47</v>
      </c>
      <c r="R236" s="13" t="n">
        <f aca="false">P236/200000</f>
        <v>0.00263222973932236</v>
      </c>
      <c r="V236" s="4"/>
      <c r="W236" s="4"/>
    </row>
    <row r="237" customFormat="false" ht="14.25" hidden="false" customHeight="false" outlineLevel="0" collapsed="false">
      <c r="A237" s="0" t="s">
        <v>71</v>
      </c>
      <c r="B237" s="1" t="n">
        <v>20</v>
      </c>
      <c r="C237" s="3" t="n">
        <v>528</v>
      </c>
      <c r="D237" s="1" t="n">
        <v>3</v>
      </c>
      <c r="E237" s="2" t="n">
        <v>12</v>
      </c>
      <c r="F237" s="4" t="n">
        <v>2.98</v>
      </c>
      <c r="G237" s="1" t="n">
        <v>25</v>
      </c>
      <c r="H237" s="1" t="n">
        <v>35</v>
      </c>
      <c r="I237" s="1" t="n">
        <v>150</v>
      </c>
      <c r="J237" s="1" t="n">
        <v>235</v>
      </c>
      <c r="K237" s="1" t="n">
        <v>942</v>
      </c>
      <c r="L237" s="1" t="n">
        <v>18375</v>
      </c>
      <c r="M237" s="3" t="n">
        <v>93.0113581251418</v>
      </c>
      <c r="N237" s="12" t="n">
        <v>0.051265306122449</v>
      </c>
      <c r="O237" s="4" t="n">
        <v>48.3</v>
      </c>
      <c r="P237" s="3" t="n">
        <v>303.402568314191</v>
      </c>
      <c r="Q237" s="4" t="n">
        <v>0.16</v>
      </c>
      <c r="R237" s="13" t="n">
        <f aca="false">P237/200000</f>
        <v>0.00151701284157095</v>
      </c>
      <c r="V237" s="4"/>
      <c r="W237" s="4"/>
    </row>
    <row r="238" customFormat="false" ht="14.25" hidden="false" customHeight="false" outlineLevel="0" collapsed="false">
      <c r="B238" s="1" t="n">
        <v>20</v>
      </c>
      <c r="C238" s="3" t="n">
        <v>528</v>
      </c>
      <c r="D238" s="1" t="n">
        <v>3</v>
      </c>
      <c r="E238" s="2" t="n">
        <v>12</v>
      </c>
      <c r="F238" s="4" t="n">
        <v>2.98</v>
      </c>
      <c r="G238" s="1" t="n">
        <v>25</v>
      </c>
      <c r="H238" s="1" t="n">
        <v>35</v>
      </c>
      <c r="I238" s="1" t="n">
        <v>150</v>
      </c>
      <c r="J238" s="1" t="n">
        <v>235</v>
      </c>
      <c r="K238" s="1" t="n">
        <v>942</v>
      </c>
      <c r="L238" s="1" t="n">
        <v>18375</v>
      </c>
      <c r="M238" s="3" t="n">
        <v>93.0113581251418</v>
      </c>
      <c r="N238" s="12" t="n">
        <v>0.051265306122449</v>
      </c>
      <c r="O238" s="4" t="n">
        <v>50.6</v>
      </c>
      <c r="P238" s="3" t="n">
        <v>317.850309662485</v>
      </c>
      <c r="Q238" s="4" t="n">
        <v>0.18</v>
      </c>
      <c r="R238" s="13" t="n">
        <f aca="false">P238/200000</f>
        <v>0.00158925154831243</v>
      </c>
      <c r="V238" s="4"/>
      <c r="W238" s="4"/>
    </row>
    <row r="239" customFormat="false" ht="14.25" hidden="false" customHeight="false" outlineLevel="0" collapsed="false">
      <c r="B239" s="1" t="n">
        <v>20</v>
      </c>
      <c r="C239" s="3" t="n">
        <v>528</v>
      </c>
      <c r="D239" s="1" t="n">
        <v>3</v>
      </c>
      <c r="E239" s="2" t="n">
        <v>12</v>
      </c>
      <c r="F239" s="4" t="n">
        <v>2.98</v>
      </c>
      <c r="G239" s="1" t="n">
        <v>25</v>
      </c>
      <c r="H239" s="1" t="n">
        <v>35</v>
      </c>
      <c r="I239" s="1" t="n">
        <v>150</v>
      </c>
      <c r="J239" s="1" t="n">
        <v>235</v>
      </c>
      <c r="K239" s="1" t="n">
        <v>942</v>
      </c>
      <c r="L239" s="1" t="n">
        <v>18375</v>
      </c>
      <c r="M239" s="3" t="n">
        <v>93.0113581251418</v>
      </c>
      <c r="N239" s="12" t="n">
        <v>0.051265306122449</v>
      </c>
      <c r="O239" s="4" t="n">
        <v>56.35</v>
      </c>
      <c r="P239" s="3" t="n">
        <v>353.969663033222</v>
      </c>
      <c r="Q239" s="4" t="n">
        <v>0.18</v>
      </c>
      <c r="R239" s="13" t="n">
        <f aca="false">P239/200000</f>
        <v>0.00176984831516611</v>
      </c>
      <c r="V239" s="4"/>
      <c r="W239" s="4"/>
    </row>
    <row r="240" customFormat="false" ht="14.25" hidden="false" customHeight="false" outlineLevel="0" collapsed="false">
      <c r="B240" s="1" t="n">
        <v>20</v>
      </c>
      <c r="C240" s="3" t="n">
        <v>528</v>
      </c>
      <c r="D240" s="1" t="n">
        <v>3</v>
      </c>
      <c r="E240" s="2" t="n">
        <v>12</v>
      </c>
      <c r="F240" s="4" t="n">
        <v>2.98</v>
      </c>
      <c r="G240" s="1" t="n">
        <v>25</v>
      </c>
      <c r="H240" s="1" t="n">
        <v>35</v>
      </c>
      <c r="I240" s="1" t="n">
        <v>150</v>
      </c>
      <c r="J240" s="1" t="n">
        <v>235</v>
      </c>
      <c r="K240" s="1" t="n">
        <v>942</v>
      </c>
      <c r="L240" s="1" t="n">
        <v>18375</v>
      </c>
      <c r="M240" s="3" t="n">
        <v>93.0113581251418</v>
      </c>
      <c r="N240" s="12" t="n">
        <v>0.051265306122449</v>
      </c>
      <c r="O240" s="4" t="n">
        <v>62.675</v>
      </c>
      <c r="P240" s="3" t="n">
        <v>393.700951741033</v>
      </c>
      <c r="Q240" s="4" t="n">
        <v>0.2</v>
      </c>
      <c r="R240" s="13" t="n">
        <f aca="false">P240/200000</f>
        <v>0.00196850475870517</v>
      </c>
      <c r="V240" s="4"/>
      <c r="W240" s="4"/>
    </row>
    <row r="241" customFormat="false" ht="14.25" hidden="false" customHeight="false" outlineLevel="0" collapsed="false">
      <c r="B241" s="1" t="n">
        <v>20</v>
      </c>
      <c r="C241" s="3" t="n">
        <v>528</v>
      </c>
      <c r="D241" s="1" t="n">
        <v>3</v>
      </c>
      <c r="E241" s="2" t="n">
        <v>12</v>
      </c>
      <c r="F241" s="4" t="n">
        <v>2.98</v>
      </c>
      <c r="G241" s="1" t="n">
        <v>25</v>
      </c>
      <c r="H241" s="1" t="n">
        <v>35</v>
      </c>
      <c r="I241" s="1" t="n">
        <v>150</v>
      </c>
      <c r="J241" s="1" t="n">
        <v>235</v>
      </c>
      <c r="K241" s="1" t="n">
        <v>942</v>
      </c>
      <c r="L241" s="1" t="n">
        <v>18375</v>
      </c>
      <c r="M241" s="3" t="n">
        <v>93.0113581251418</v>
      </c>
      <c r="N241" s="12" t="n">
        <v>0.051265306122449</v>
      </c>
      <c r="O241" s="4" t="n">
        <v>68.425</v>
      </c>
      <c r="P241" s="3" t="n">
        <v>429.82030511177</v>
      </c>
      <c r="Q241" s="4" t="n">
        <v>0.2</v>
      </c>
      <c r="R241" s="13" t="n">
        <f aca="false">P241/200000</f>
        <v>0.00214910152555885</v>
      </c>
      <c r="V241" s="4"/>
      <c r="W241" s="4"/>
    </row>
    <row r="242" customFormat="false" ht="14.25" hidden="false" customHeight="false" outlineLevel="0" collapsed="false">
      <c r="B242" s="1" t="n">
        <v>20</v>
      </c>
      <c r="C242" s="3" t="n">
        <v>528</v>
      </c>
      <c r="D242" s="1" t="n">
        <v>3</v>
      </c>
      <c r="E242" s="2" t="n">
        <v>12</v>
      </c>
      <c r="F242" s="4" t="n">
        <v>2.98</v>
      </c>
      <c r="G242" s="1" t="n">
        <v>25</v>
      </c>
      <c r="H242" s="1" t="n">
        <v>35</v>
      </c>
      <c r="I242" s="1" t="n">
        <v>150</v>
      </c>
      <c r="J242" s="1" t="n">
        <v>235</v>
      </c>
      <c r="K242" s="1" t="n">
        <v>942</v>
      </c>
      <c r="L242" s="1" t="n">
        <v>18375</v>
      </c>
      <c r="M242" s="3" t="n">
        <v>93.0113581251418</v>
      </c>
      <c r="N242" s="12" t="n">
        <v>0.051265306122449</v>
      </c>
      <c r="O242" s="4" t="n">
        <v>73.6</v>
      </c>
      <c r="P242" s="3" t="n">
        <v>462.327723145433</v>
      </c>
      <c r="Q242" s="4" t="n">
        <v>0.2</v>
      </c>
      <c r="R242" s="13" t="n">
        <f aca="false">P242/200000</f>
        <v>0.00231163861572717</v>
      </c>
      <c r="V242" s="4"/>
      <c r="W242" s="4"/>
    </row>
    <row r="243" customFormat="false" ht="14.25" hidden="false" customHeight="false" outlineLevel="0" collapsed="false">
      <c r="B243" s="1" t="n">
        <v>20</v>
      </c>
      <c r="C243" s="3" t="n">
        <v>528</v>
      </c>
      <c r="D243" s="1" t="n">
        <v>3</v>
      </c>
      <c r="E243" s="2" t="n">
        <v>12</v>
      </c>
      <c r="F243" s="4" t="n">
        <v>2.98</v>
      </c>
      <c r="G243" s="1" t="n">
        <v>25</v>
      </c>
      <c r="H243" s="1" t="n">
        <v>35</v>
      </c>
      <c r="I243" s="1" t="n">
        <v>150</v>
      </c>
      <c r="J243" s="1" t="n">
        <v>235</v>
      </c>
      <c r="K243" s="1" t="n">
        <v>942</v>
      </c>
      <c r="L243" s="1" t="n">
        <v>18375</v>
      </c>
      <c r="M243" s="3" t="n">
        <v>93.0113581251418</v>
      </c>
      <c r="N243" s="12" t="n">
        <v>0.051265306122449</v>
      </c>
      <c r="O243" s="4" t="n">
        <v>79.925</v>
      </c>
      <c r="P243" s="3" t="n">
        <v>502.059011853244</v>
      </c>
      <c r="Q243" s="4" t="n">
        <v>0.22</v>
      </c>
      <c r="R243" s="13" t="n">
        <f aca="false">P243/200000</f>
        <v>0.00251029505926622</v>
      </c>
      <c r="V243" s="4"/>
      <c r="W243" s="4"/>
    </row>
    <row r="244" customFormat="false" ht="14.25" hidden="false" customHeight="false" outlineLevel="0" collapsed="false">
      <c r="A244" s="0" t="s">
        <v>72</v>
      </c>
      <c r="B244" s="1" t="n">
        <v>28</v>
      </c>
      <c r="C244" s="3" t="n">
        <v>400</v>
      </c>
      <c r="D244" s="1" t="n">
        <v>4</v>
      </c>
      <c r="E244" s="2" t="n">
        <v>16</v>
      </c>
      <c r="F244" s="4" t="n">
        <v>5.30847435710111</v>
      </c>
      <c r="G244" s="1" t="n">
        <v>30</v>
      </c>
      <c r="H244" s="1" t="n">
        <v>44</v>
      </c>
      <c r="I244" s="1" t="n">
        <v>200</v>
      </c>
      <c r="J244" s="1" t="n">
        <v>300</v>
      </c>
      <c r="K244" s="1" t="n">
        <v>2463</v>
      </c>
      <c r="L244" s="1" t="n">
        <v>30800</v>
      </c>
      <c r="M244" s="3" t="n">
        <v>133.493416234983</v>
      </c>
      <c r="N244" s="12" t="n">
        <v>0.0799675324675325</v>
      </c>
      <c r="O244" s="4" t="n">
        <v>78.75</v>
      </c>
      <c r="P244" s="3" t="n">
        <v>151.171969977459</v>
      </c>
      <c r="Q244" s="4" t="n">
        <v>0.22</v>
      </c>
      <c r="R244" s="13" t="n">
        <f aca="false">P244/200000</f>
        <v>0.000755859849887294</v>
      </c>
      <c r="V244" s="4"/>
      <c r="W244" s="4"/>
    </row>
    <row r="245" customFormat="false" ht="14.25" hidden="false" customHeight="false" outlineLevel="0" collapsed="false">
      <c r="B245" s="1" t="n">
        <v>28</v>
      </c>
      <c r="C245" s="3" t="n">
        <v>400</v>
      </c>
      <c r="D245" s="1" t="n">
        <v>4</v>
      </c>
      <c r="E245" s="2" t="n">
        <v>16</v>
      </c>
      <c r="F245" s="4" t="n">
        <v>5.30847435710111</v>
      </c>
      <c r="G245" s="1" t="n">
        <v>30</v>
      </c>
      <c r="H245" s="1" t="n">
        <v>44</v>
      </c>
      <c r="I245" s="1" t="n">
        <v>200</v>
      </c>
      <c r="J245" s="1" t="n">
        <v>300</v>
      </c>
      <c r="K245" s="1" t="n">
        <v>2463</v>
      </c>
      <c r="L245" s="1" t="n">
        <v>30800</v>
      </c>
      <c r="M245" s="3" t="n">
        <v>133.493416234983</v>
      </c>
      <c r="N245" s="12" t="n">
        <v>0.0799675324675325</v>
      </c>
      <c r="O245" s="4" t="n">
        <v>105.075</v>
      </c>
      <c r="P245" s="3" t="n">
        <v>201.706599941352</v>
      </c>
      <c r="Q245" s="4" t="n">
        <v>0.25</v>
      </c>
      <c r="R245" s="13" t="n">
        <f aca="false">P245/200000</f>
        <v>0.00100853299970676</v>
      </c>
      <c r="V245" s="4"/>
      <c r="W245" s="4"/>
    </row>
    <row r="246" customFormat="false" ht="14.25" hidden="false" customHeight="false" outlineLevel="0" collapsed="false">
      <c r="B246" s="1" t="n">
        <v>28</v>
      </c>
      <c r="C246" s="3" t="n">
        <v>400</v>
      </c>
      <c r="D246" s="1" t="n">
        <v>4</v>
      </c>
      <c r="E246" s="2" t="n">
        <v>16</v>
      </c>
      <c r="F246" s="4" t="n">
        <v>5.30847435710111</v>
      </c>
      <c r="G246" s="1" t="n">
        <v>30</v>
      </c>
      <c r="H246" s="1" t="n">
        <v>44</v>
      </c>
      <c r="I246" s="1" t="n">
        <v>200</v>
      </c>
      <c r="J246" s="1" t="n">
        <v>300</v>
      </c>
      <c r="K246" s="1" t="n">
        <v>2463</v>
      </c>
      <c r="L246" s="1" t="n">
        <v>30800</v>
      </c>
      <c r="M246" s="3" t="n">
        <v>133.493416234983</v>
      </c>
      <c r="N246" s="12" t="n">
        <v>0.0799675324675325</v>
      </c>
      <c r="O246" s="4" t="n">
        <v>120.15</v>
      </c>
      <c r="P246" s="3" t="n">
        <v>230.64523419418</v>
      </c>
      <c r="Q246" s="4" t="n">
        <v>0.29</v>
      </c>
      <c r="R246" s="13" t="n">
        <f aca="false">P246/200000</f>
        <v>0.0011532261709709</v>
      </c>
      <c r="V246" s="4"/>
      <c r="W246" s="4"/>
    </row>
    <row r="247" customFormat="false" ht="14.25" hidden="false" customHeight="false" outlineLevel="0" collapsed="false">
      <c r="B247" s="1" t="n">
        <v>28</v>
      </c>
      <c r="C247" s="3" t="n">
        <v>400</v>
      </c>
      <c r="D247" s="1" t="n">
        <v>4</v>
      </c>
      <c r="E247" s="2" t="n">
        <v>16</v>
      </c>
      <c r="F247" s="4" t="n">
        <v>5.30847435710111</v>
      </c>
      <c r="G247" s="1" t="n">
        <v>30</v>
      </c>
      <c r="H247" s="1" t="n">
        <v>44</v>
      </c>
      <c r="I247" s="1" t="n">
        <v>200</v>
      </c>
      <c r="J247" s="1" t="n">
        <v>300</v>
      </c>
      <c r="K247" s="1" t="n">
        <v>2463</v>
      </c>
      <c r="L247" s="1" t="n">
        <v>30800</v>
      </c>
      <c r="M247" s="3" t="n">
        <v>133.493416234983</v>
      </c>
      <c r="N247" s="12" t="n">
        <v>0.0799675324675325</v>
      </c>
      <c r="O247" s="4" t="n">
        <v>137.475</v>
      </c>
      <c r="P247" s="3" t="n">
        <v>263.903067589221</v>
      </c>
      <c r="Q247" s="4" t="n">
        <v>0.31</v>
      </c>
      <c r="R247" s="13" t="n">
        <f aca="false">P247/200000</f>
        <v>0.0013195153379461</v>
      </c>
      <c r="V247" s="4"/>
      <c r="W247" s="4"/>
    </row>
    <row r="248" customFormat="false" ht="14.25" hidden="false" customHeight="false" outlineLevel="0" collapsed="false">
      <c r="B248" s="1" t="n">
        <v>28</v>
      </c>
      <c r="C248" s="3" t="n">
        <v>400</v>
      </c>
      <c r="D248" s="1" t="n">
        <v>4</v>
      </c>
      <c r="E248" s="2" t="n">
        <v>16</v>
      </c>
      <c r="F248" s="4" t="n">
        <v>5.30847435710111</v>
      </c>
      <c r="G248" s="1" t="n">
        <v>30</v>
      </c>
      <c r="H248" s="1" t="n">
        <v>44</v>
      </c>
      <c r="I248" s="1" t="n">
        <v>200</v>
      </c>
      <c r="J248" s="1" t="n">
        <v>300</v>
      </c>
      <c r="K248" s="1" t="n">
        <v>2463</v>
      </c>
      <c r="L248" s="1" t="n">
        <v>30800</v>
      </c>
      <c r="M248" s="3" t="n">
        <v>133.493416234983</v>
      </c>
      <c r="N248" s="12" t="n">
        <v>0.0799675324675325</v>
      </c>
      <c r="O248" s="4" t="n">
        <v>164.475</v>
      </c>
      <c r="P248" s="3" t="n">
        <v>315.733457295778</v>
      </c>
      <c r="Q248" s="4" t="n">
        <v>0.33</v>
      </c>
      <c r="R248" s="13" t="n">
        <f aca="false">P248/200000</f>
        <v>0.00157866728647889</v>
      </c>
      <c r="V248" s="4"/>
      <c r="W248" s="4"/>
    </row>
    <row r="249" customFormat="false" ht="14.25" hidden="false" customHeight="false" outlineLevel="0" collapsed="false">
      <c r="B249" s="1" t="n">
        <v>28</v>
      </c>
      <c r="C249" s="3" t="n">
        <v>400</v>
      </c>
      <c r="D249" s="1" t="n">
        <v>4</v>
      </c>
      <c r="E249" s="2" t="n">
        <v>16</v>
      </c>
      <c r="F249" s="4" t="n">
        <v>5.30847435710111</v>
      </c>
      <c r="G249" s="1" t="n">
        <v>30</v>
      </c>
      <c r="H249" s="1" t="n">
        <v>44</v>
      </c>
      <c r="I249" s="1" t="n">
        <v>200</v>
      </c>
      <c r="J249" s="1" t="n">
        <v>300</v>
      </c>
      <c r="K249" s="1" t="n">
        <v>2463</v>
      </c>
      <c r="L249" s="1" t="n">
        <v>30800</v>
      </c>
      <c r="M249" s="3" t="n">
        <v>133.493416234983</v>
      </c>
      <c r="N249" s="12" t="n">
        <v>0.0799675324675325</v>
      </c>
      <c r="O249" s="4" t="n">
        <v>178.2</v>
      </c>
      <c r="P249" s="3" t="n">
        <v>342.080572063278</v>
      </c>
      <c r="Q249" s="4" t="n">
        <v>0.34</v>
      </c>
      <c r="R249" s="13" t="n">
        <f aca="false">P249/200000</f>
        <v>0.00171040286031639</v>
      </c>
      <c r="V249" s="4"/>
      <c r="W249" s="4"/>
    </row>
    <row r="250" customFormat="false" ht="14.25" hidden="false" customHeight="false" outlineLevel="0" collapsed="false">
      <c r="B250" s="1" t="n">
        <v>28</v>
      </c>
      <c r="C250" s="3" t="n">
        <v>400</v>
      </c>
      <c r="D250" s="1" t="n">
        <v>4</v>
      </c>
      <c r="E250" s="2" t="n">
        <v>16</v>
      </c>
      <c r="F250" s="4" t="n">
        <v>5.30847435710111</v>
      </c>
      <c r="G250" s="1" t="n">
        <v>30</v>
      </c>
      <c r="H250" s="1" t="n">
        <v>44</v>
      </c>
      <c r="I250" s="1" t="n">
        <v>200</v>
      </c>
      <c r="J250" s="1" t="n">
        <v>300</v>
      </c>
      <c r="K250" s="1" t="n">
        <v>2463</v>
      </c>
      <c r="L250" s="1" t="n">
        <v>30800</v>
      </c>
      <c r="M250" s="3" t="n">
        <v>133.493416234983</v>
      </c>
      <c r="N250" s="12" t="n">
        <v>0.0799675324675325</v>
      </c>
      <c r="O250" s="4" t="n">
        <v>198.225</v>
      </c>
      <c r="P250" s="3" t="n">
        <v>380.521444428975</v>
      </c>
      <c r="Q250" s="4" t="n">
        <v>0.37</v>
      </c>
      <c r="R250" s="13" t="n">
        <f aca="false">P250/200000</f>
        <v>0.00190260722214487</v>
      </c>
      <c r="V250" s="4"/>
      <c r="W250" s="4"/>
    </row>
    <row r="251" customFormat="false" ht="14.25" hidden="false" customHeight="false" outlineLevel="0" collapsed="false">
      <c r="A251" s="0" t="s">
        <v>73</v>
      </c>
      <c r="B251" s="1" t="n">
        <v>15.9</v>
      </c>
      <c r="C251" s="3" t="n">
        <v>392</v>
      </c>
      <c r="D251" s="1" t="n">
        <v>2</v>
      </c>
      <c r="E251" s="2" t="n">
        <v>46</v>
      </c>
      <c r="F251" s="4" t="n">
        <v>2.82587739786632</v>
      </c>
      <c r="G251" s="1" t="n">
        <v>30</v>
      </c>
      <c r="H251" s="1" t="n">
        <v>38</v>
      </c>
      <c r="I251" s="1" t="n">
        <v>150</v>
      </c>
      <c r="J251" s="1" t="n">
        <v>250</v>
      </c>
      <c r="K251" s="1" t="n">
        <v>397.2</v>
      </c>
      <c r="L251" s="1" t="n">
        <v>17625</v>
      </c>
      <c r="M251" s="3" t="n">
        <v>70.0613812094831</v>
      </c>
      <c r="N251" s="12" t="n">
        <v>0.022536170212766</v>
      </c>
      <c r="O251" s="4" t="n">
        <v>27.1</v>
      </c>
      <c r="P251" s="3" t="n">
        <v>361.669574509028</v>
      </c>
      <c r="Q251" s="4" t="n">
        <v>0.2</v>
      </c>
      <c r="R251" s="13" t="n">
        <f aca="false">P251/200000</f>
        <v>0.00180834787254514</v>
      </c>
      <c r="V251" s="4"/>
      <c r="W251" s="4"/>
    </row>
    <row r="252" customFormat="false" ht="14.25" hidden="false" customHeight="false" outlineLevel="0" collapsed="false">
      <c r="B252" s="1" t="n">
        <v>15.9</v>
      </c>
      <c r="C252" s="3" t="n">
        <v>392</v>
      </c>
      <c r="D252" s="1" t="n">
        <v>2</v>
      </c>
      <c r="E252" s="2" t="n">
        <v>46</v>
      </c>
      <c r="F252" s="4" t="n">
        <v>2.82587739786632</v>
      </c>
      <c r="G252" s="1" t="n">
        <v>30</v>
      </c>
      <c r="H252" s="1" t="n">
        <v>38</v>
      </c>
      <c r="I252" s="1" t="n">
        <v>150</v>
      </c>
      <c r="J252" s="1" t="n">
        <v>250</v>
      </c>
      <c r="K252" s="1" t="n">
        <v>397.2</v>
      </c>
      <c r="L252" s="1" t="n">
        <v>17625</v>
      </c>
      <c r="M252" s="3" t="n">
        <v>70.0613812094831</v>
      </c>
      <c r="N252" s="12" t="n">
        <v>0.022536170212766</v>
      </c>
      <c r="O252" s="4" t="n">
        <v>35.6</v>
      </c>
      <c r="P252" s="3" t="n">
        <v>392.3</v>
      </c>
      <c r="Q252" s="4" t="n">
        <v>0.35</v>
      </c>
      <c r="R252" s="13" t="n">
        <f aca="false">P252/200000</f>
        <v>0.0019615</v>
      </c>
      <c r="V252" s="4"/>
      <c r="W252" s="4"/>
    </row>
    <row r="253" customFormat="false" ht="14.25" hidden="false" customHeight="false" outlineLevel="0" collapsed="false">
      <c r="A253" s="0" t="s">
        <v>74</v>
      </c>
      <c r="B253" s="1" t="n">
        <v>15.9</v>
      </c>
      <c r="C253" s="3" t="n">
        <v>392</v>
      </c>
      <c r="D253" s="1" t="n">
        <v>2</v>
      </c>
      <c r="E253" s="2" t="n">
        <v>46</v>
      </c>
      <c r="F253" s="4" t="n">
        <v>2.82587739786632</v>
      </c>
      <c r="G253" s="1" t="n">
        <v>30</v>
      </c>
      <c r="H253" s="1" t="n">
        <v>38</v>
      </c>
      <c r="I253" s="1" t="n">
        <v>150</v>
      </c>
      <c r="J253" s="1" t="n">
        <v>250</v>
      </c>
      <c r="K253" s="1" t="n">
        <v>397.2</v>
      </c>
      <c r="L253" s="1" t="n">
        <v>17625</v>
      </c>
      <c r="M253" s="3" t="n">
        <v>70.0613812094831</v>
      </c>
      <c r="N253" s="12" t="n">
        <v>0.022536170212766</v>
      </c>
      <c r="O253" s="4" t="n">
        <v>27.2</v>
      </c>
      <c r="P253" s="3" t="n">
        <v>363.004148584707</v>
      </c>
      <c r="Q253" s="4" t="n">
        <v>0.2</v>
      </c>
      <c r="R253" s="13" t="n">
        <f aca="false">P253/200000</f>
        <v>0.00181502074292354</v>
      </c>
      <c r="V253" s="4"/>
      <c r="W253" s="4"/>
    </row>
    <row r="254" customFormat="false" ht="14.25" hidden="false" customHeight="false" outlineLevel="0" collapsed="false">
      <c r="B254" s="1" t="n">
        <v>15.9</v>
      </c>
      <c r="C254" s="3" t="n">
        <v>392</v>
      </c>
      <c r="D254" s="1" t="n">
        <v>2</v>
      </c>
      <c r="E254" s="2" t="n">
        <v>46</v>
      </c>
      <c r="F254" s="4" t="n">
        <v>2.82587739786632</v>
      </c>
      <c r="G254" s="1" t="n">
        <v>30</v>
      </c>
      <c r="H254" s="1" t="n">
        <v>38</v>
      </c>
      <c r="I254" s="1" t="n">
        <v>150</v>
      </c>
      <c r="J254" s="1" t="n">
        <v>250</v>
      </c>
      <c r="K254" s="1" t="n">
        <v>397.2</v>
      </c>
      <c r="L254" s="1" t="n">
        <v>17625</v>
      </c>
      <c r="M254" s="3" t="n">
        <v>70.0613812094831</v>
      </c>
      <c r="N254" s="12" t="n">
        <v>0.022536170212766</v>
      </c>
      <c r="O254" s="4" t="n">
        <v>35.6</v>
      </c>
      <c r="P254" s="3" t="n">
        <v>392.3</v>
      </c>
      <c r="Q254" s="4" t="n">
        <v>0.25</v>
      </c>
      <c r="R254" s="13" t="n">
        <f aca="false">P254/200000</f>
        <v>0.0019615</v>
      </c>
      <c r="V254" s="4"/>
      <c r="W254" s="4"/>
    </row>
    <row r="255" customFormat="false" ht="14.25" hidden="false" customHeight="false" outlineLevel="0" collapsed="false">
      <c r="A255" s="0" t="s">
        <v>75</v>
      </c>
      <c r="B255" s="1" t="n">
        <v>15.9</v>
      </c>
      <c r="C255" s="3" t="n">
        <v>392</v>
      </c>
      <c r="D255" s="1" t="n">
        <v>2</v>
      </c>
      <c r="E255" s="2" t="n">
        <v>46</v>
      </c>
      <c r="F255" s="4" t="n">
        <v>2.82587739786632</v>
      </c>
      <c r="G255" s="1" t="n">
        <v>30</v>
      </c>
      <c r="H255" s="1" t="n">
        <v>38</v>
      </c>
      <c r="I255" s="1" t="n">
        <v>150</v>
      </c>
      <c r="J255" s="1" t="n">
        <v>250</v>
      </c>
      <c r="K255" s="1" t="n">
        <v>397.2</v>
      </c>
      <c r="L255" s="1" t="n">
        <v>17625</v>
      </c>
      <c r="M255" s="3" t="n">
        <v>70.0613812094831</v>
      </c>
      <c r="N255" s="12" t="n">
        <v>0.022536170212766</v>
      </c>
      <c r="O255" s="4" t="n">
        <v>27.2</v>
      </c>
      <c r="P255" s="3" t="n">
        <v>363.004148584707</v>
      </c>
      <c r="Q255" s="4" t="n">
        <v>0.2</v>
      </c>
      <c r="R255" s="13" t="n">
        <f aca="false">P255/200000</f>
        <v>0.00181502074292354</v>
      </c>
      <c r="V255" s="4"/>
      <c r="W255" s="4"/>
    </row>
    <row r="256" customFormat="false" ht="14.25" hidden="false" customHeight="false" outlineLevel="0" collapsed="false">
      <c r="B256" s="1" t="n">
        <v>15.9</v>
      </c>
      <c r="C256" s="3" t="n">
        <v>392</v>
      </c>
      <c r="D256" s="1" t="n">
        <v>2</v>
      </c>
      <c r="E256" s="2" t="n">
        <v>46</v>
      </c>
      <c r="F256" s="4" t="n">
        <v>2.82587739786632</v>
      </c>
      <c r="G256" s="1" t="n">
        <v>30</v>
      </c>
      <c r="H256" s="1" t="n">
        <v>38</v>
      </c>
      <c r="I256" s="1" t="n">
        <v>150</v>
      </c>
      <c r="J256" s="1" t="n">
        <v>250</v>
      </c>
      <c r="K256" s="1" t="n">
        <v>397.2</v>
      </c>
      <c r="L256" s="1" t="n">
        <v>17625</v>
      </c>
      <c r="M256" s="3" t="n">
        <v>70.0613812094831</v>
      </c>
      <c r="N256" s="12" t="n">
        <v>0.022536170212766</v>
      </c>
      <c r="O256" s="4" t="n">
        <v>35.6</v>
      </c>
      <c r="P256" s="3" t="n">
        <v>392.3</v>
      </c>
      <c r="Q256" s="4" t="n">
        <v>0.25</v>
      </c>
      <c r="R256" s="13" t="n">
        <f aca="false">P256/200000</f>
        <v>0.0019615</v>
      </c>
      <c r="V256" s="4"/>
      <c r="W256" s="4"/>
    </row>
    <row r="257" customFormat="false" ht="14.25" hidden="false" customHeight="false" outlineLevel="0" collapsed="false">
      <c r="A257" s="0" t="s">
        <v>76</v>
      </c>
      <c r="B257" s="1" t="n">
        <v>15.9</v>
      </c>
      <c r="C257" s="3" t="n">
        <v>392</v>
      </c>
      <c r="D257" s="1" t="n">
        <v>2</v>
      </c>
      <c r="E257" s="2" t="n">
        <v>46</v>
      </c>
      <c r="F257" s="4" t="n">
        <v>2.82587739786632</v>
      </c>
      <c r="G257" s="1" t="n">
        <v>30</v>
      </c>
      <c r="H257" s="1" t="n">
        <v>38</v>
      </c>
      <c r="I257" s="1" t="n">
        <v>150</v>
      </c>
      <c r="J257" s="1" t="n">
        <v>250</v>
      </c>
      <c r="K257" s="1" t="n">
        <v>397.2</v>
      </c>
      <c r="L257" s="1" t="n">
        <v>17625</v>
      </c>
      <c r="M257" s="3" t="n">
        <v>70.0613812094831</v>
      </c>
      <c r="N257" s="12" t="n">
        <v>0.022536170212766</v>
      </c>
      <c r="O257" s="4" t="n">
        <v>27.3</v>
      </c>
      <c r="P257" s="3" t="n">
        <v>364.338722660386</v>
      </c>
      <c r="Q257" s="4" t="n">
        <v>0.2</v>
      </c>
      <c r="R257" s="13" t="n">
        <f aca="false">P257/200000</f>
        <v>0.00182169361330193</v>
      </c>
      <c r="V257" s="4"/>
      <c r="W257" s="4"/>
    </row>
    <row r="258" customFormat="false" ht="14.25" hidden="false" customHeight="false" outlineLevel="0" collapsed="false">
      <c r="B258" s="1" t="n">
        <v>15.9</v>
      </c>
      <c r="C258" s="3" t="n">
        <v>392</v>
      </c>
      <c r="D258" s="1" t="n">
        <v>2</v>
      </c>
      <c r="E258" s="2" t="n">
        <v>46</v>
      </c>
      <c r="F258" s="4" t="n">
        <v>2.82587739786632</v>
      </c>
      <c r="G258" s="1" t="n">
        <v>30</v>
      </c>
      <c r="H258" s="1" t="n">
        <v>38</v>
      </c>
      <c r="I258" s="1" t="n">
        <v>150</v>
      </c>
      <c r="J258" s="1" t="n">
        <v>250</v>
      </c>
      <c r="K258" s="1" t="n">
        <v>397.2</v>
      </c>
      <c r="L258" s="1" t="n">
        <v>17625</v>
      </c>
      <c r="M258" s="3" t="n">
        <v>70.0613812094831</v>
      </c>
      <c r="N258" s="12" t="n">
        <v>0.022536170212766</v>
      </c>
      <c r="O258" s="4" t="n">
        <v>35.7</v>
      </c>
      <c r="P258" s="3" t="n">
        <v>392.3</v>
      </c>
      <c r="Q258" s="4" t="n">
        <v>0.3</v>
      </c>
      <c r="R258" s="13" t="n">
        <f aca="false">P258/200000</f>
        <v>0.0019615</v>
      </c>
      <c r="V258" s="4"/>
      <c r="W258" s="4"/>
    </row>
    <row r="259" customFormat="false" ht="14.25" hidden="false" customHeight="false" outlineLevel="0" collapsed="false">
      <c r="A259" s="0" t="s">
        <v>77</v>
      </c>
      <c r="B259" s="1" t="n">
        <v>12.7</v>
      </c>
      <c r="C259" s="3" t="n">
        <v>392</v>
      </c>
      <c r="D259" s="1" t="n">
        <v>2</v>
      </c>
      <c r="E259" s="2" t="n">
        <v>52</v>
      </c>
      <c r="F259" s="4" t="n">
        <v>2.92087587098479</v>
      </c>
      <c r="G259" s="1" t="n">
        <v>30</v>
      </c>
      <c r="H259" s="1" t="n">
        <v>36.5</v>
      </c>
      <c r="I259" s="1" t="n">
        <v>150</v>
      </c>
      <c r="J259" s="1" t="n">
        <v>250</v>
      </c>
      <c r="K259" s="1" t="n">
        <v>253.4</v>
      </c>
      <c r="L259" s="1" t="n">
        <v>15000</v>
      </c>
      <c r="M259" s="3" t="n">
        <v>58.0759426324872</v>
      </c>
      <c r="N259" s="12" t="n">
        <v>0.0168933333333333</v>
      </c>
      <c r="O259" s="4" t="n">
        <v>15.6</v>
      </c>
      <c r="P259" s="3" t="n">
        <v>317.102697940788</v>
      </c>
      <c r="Q259" s="4" t="n">
        <v>0.15</v>
      </c>
      <c r="R259" s="13" t="n">
        <f aca="false">P259/200000</f>
        <v>0.00158551348970394</v>
      </c>
      <c r="V259" s="4"/>
      <c r="W259" s="4"/>
    </row>
    <row r="260" customFormat="false" ht="14.25" hidden="false" customHeight="false" outlineLevel="0" collapsed="false">
      <c r="B260" s="1" t="n">
        <v>12.7</v>
      </c>
      <c r="C260" s="3" t="n">
        <v>392</v>
      </c>
      <c r="D260" s="1" t="n">
        <v>2</v>
      </c>
      <c r="E260" s="2" t="n">
        <v>52</v>
      </c>
      <c r="F260" s="4" t="n">
        <v>2.92087587098479</v>
      </c>
      <c r="G260" s="1" t="n">
        <v>30</v>
      </c>
      <c r="H260" s="1" t="n">
        <v>36.5</v>
      </c>
      <c r="I260" s="1" t="n">
        <v>150</v>
      </c>
      <c r="J260" s="1" t="n">
        <v>250</v>
      </c>
      <c r="K260" s="1" t="n">
        <v>253.4</v>
      </c>
      <c r="L260" s="1" t="n">
        <v>15000</v>
      </c>
      <c r="M260" s="3" t="n">
        <v>58.0759426324872</v>
      </c>
      <c r="N260" s="12" t="n">
        <v>0.0168933333333333</v>
      </c>
      <c r="O260" s="4" t="n">
        <v>19.6</v>
      </c>
      <c r="P260" s="3" t="n">
        <v>392.3</v>
      </c>
      <c r="Q260" s="4" t="n">
        <v>0.2</v>
      </c>
      <c r="R260" s="13" t="n">
        <f aca="false">P260/200000</f>
        <v>0.0019615</v>
      </c>
      <c r="V260" s="4"/>
      <c r="W260" s="4"/>
    </row>
    <row r="261" customFormat="false" ht="14.25" hidden="false" customHeight="false" outlineLevel="0" collapsed="false">
      <c r="A261" s="0" t="s">
        <v>78</v>
      </c>
      <c r="B261" s="1" t="n">
        <v>12.7</v>
      </c>
      <c r="C261" s="3" t="n">
        <v>392</v>
      </c>
      <c r="D261" s="1" t="n">
        <v>2</v>
      </c>
      <c r="E261" s="2" t="n">
        <v>52</v>
      </c>
      <c r="F261" s="4" t="n">
        <v>2.92087587098479</v>
      </c>
      <c r="G261" s="1" t="n">
        <v>30</v>
      </c>
      <c r="H261" s="1" t="n">
        <v>36.5</v>
      </c>
      <c r="I261" s="1" t="n">
        <v>150</v>
      </c>
      <c r="J261" s="1" t="n">
        <v>250</v>
      </c>
      <c r="K261" s="1" t="n">
        <v>253.4</v>
      </c>
      <c r="L261" s="1" t="n">
        <v>15000</v>
      </c>
      <c r="M261" s="3" t="n">
        <v>58.0759426324872</v>
      </c>
      <c r="N261" s="12" t="n">
        <v>0.0168933333333333</v>
      </c>
      <c r="O261" s="4" t="n">
        <v>15.7</v>
      </c>
      <c r="P261" s="3" t="n">
        <v>319.135407542973</v>
      </c>
      <c r="Q261" s="4" t="n">
        <v>0.15</v>
      </c>
      <c r="R261" s="13" t="n">
        <f aca="false">P261/200000</f>
        <v>0.00159567703771486</v>
      </c>
      <c r="V261" s="4"/>
      <c r="W261" s="4"/>
    </row>
    <row r="262" customFormat="false" ht="14.25" hidden="false" customHeight="false" outlineLevel="0" collapsed="false">
      <c r="B262" s="1" t="n">
        <v>12.7</v>
      </c>
      <c r="C262" s="3" t="n">
        <v>392</v>
      </c>
      <c r="D262" s="1" t="n">
        <v>2</v>
      </c>
      <c r="E262" s="2" t="n">
        <v>52</v>
      </c>
      <c r="F262" s="4" t="n">
        <v>2.92087587098479</v>
      </c>
      <c r="G262" s="1" t="n">
        <v>30</v>
      </c>
      <c r="H262" s="1" t="n">
        <v>36.5</v>
      </c>
      <c r="I262" s="1" t="n">
        <v>150</v>
      </c>
      <c r="J262" s="1" t="n">
        <v>250</v>
      </c>
      <c r="K262" s="1" t="n">
        <v>253.4</v>
      </c>
      <c r="L262" s="1" t="n">
        <v>15000</v>
      </c>
      <c r="M262" s="3" t="n">
        <v>58.0759426324872</v>
      </c>
      <c r="N262" s="12" t="n">
        <v>0.0168933333333333</v>
      </c>
      <c r="O262" s="4" t="n">
        <v>19.6</v>
      </c>
      <c r="P262" s="3" t="n">
        <v>392.3</v>
      </c>
      <c r="Q262" s="4" t="n">
        <v>0.2</v>
      </c>
      <c r="R262" s="13" t="n">
        <f aca="false">P262/200000</f>
        <v>0.0019615</v>
      </c>
      <c r="V262" s="4"/>
      <c r="W262" s="4"/>
    </row>
    <row r="263" customFormat="false" ht="14.25" hidden="false" customHeight="false" outlineLevel="0" collapsed="false">
      <c r="A263" s="0" t="s">
        <v>79</v>
      </c>
      <c r="B263" s="1" t="n">
        <v>15.9</v>
      </c>
      <c r="C263" s="3" t="n">
        <v>392</v>
      </c>
      <c r="D263" s="1" t="n">
        <v>2</v>
      </c>
      <c r="E263" s="2" t="n">
        <v>46</v>
      </c>
      <c r="F263" s="4" t="n">
        <v>2.92087587098479</v>
      </c>
      <c r="G263" s="1" t="n">
        <v>30</v>
      </c>
      <c r="H263" s="1" t="n">
        <v>38</v>
      </c>
      <c r="I263" s="1" t="n">
        <v>150</v>
      </c>
      <c r="J263" s="1" t="n">
        <v>250</v>
      </c>
      <c r="K263" s="1" t="n">
        <v>397.2</v>
      </c>
      <c r="L263" s="1" t="n">
        <v>17625</v>
      </c>
      <c r="M263" s="3" t="n">
        <v>69.5979672777495</v>
      </c>
      <c r="N263" s="12" t="n">
        <v>0.022536170212766</v>
      </c>
      <c r="O263" s="4" t="n">
        <v>19.5</v>
      </c>
      <c r="P263" s="3" t="n">
        <v>260.029022246808</v>
      </c>
      <c r="Q263" s="4" t="n">
        <v>0.15</v>
      </c>
      <c r="R263" s="13" t="n">
        <f aca="false">P263/200000</f>
        <v>0.00130014511123404</v>
      </c>
      <c r="V263" s="4"/>
      <c r="W263" s="4"/>
    </row>
    <row r="264" customFormat="false" ht="14.25" hidden="false" customHeight="false" outlineLevel="0" collapsed="false">
      <c r="B264" s="1" t="n">
        <v>15.9</v>
      </c>
      <c r="C264" s="3" t="n">
        <v>392</v>
      </c>
      <c r="D264" s="1" t="n">
        <v>2</v>
      </c>
      <c r="E264" s="2" t="n">
        <v>46</v>
      </c>
      <c r="F264" s="4" t="n">
        <v>2.92087587098479</v>
      </c>
      <c r="G264" s="1" t="n">
        <v>30</v>
      </c>
      <c r="H264" s="1" t="n">
        <v>38</v>
      </c>
      <c r="I264" s="1" t="n">
        <v>150</v>
      </c>
      <c r="J264" s="1" t="n">
        <v>250</v>
      </c>
      <c r="K264" s="1" t="n">
        <v>397.2</v>
      </c>
      <c r="L264" s="1" t="n">
        <v>17625</v>
      </c>
      <c r="M264" s="3" t="n">
        <v>69.5979672777495</v>
      </c>
      <c r="N264" s="12" t="n">
        <v>0.022536170212766</v>
      </c>
      <c r="O264" s="4" t="n">
        <v>27.4</v>
      </c>
      <c r="P264" s="3" t="n">
        <v>365.3741133109</v>
      </c>
      <c r="Q264" s="4" t="n">
        <v>0.25</v>
      </c>
      <c r="R264" s="13" t="n">
        <f aca="false">P264/200000</f>
        <v>0.0018268705665545</v>
      </c>
      <c r="V264" s="4"/>
      <c r="W264" s="4"/>
    </row>
    <row r="265" customFormat="false" ht="14.25" hidden="false" customHeight="false" outlineLevel="0" collapsed="false">
      <c r="B265" s="1" t="n">
        <v>15.9</v>
      </c>
      <c r="C265" s="3" t="n">
        <v>392</v>
      </c>
      <c r="D265" s="1" t="n">
        <v>2</v>
      </c>
      <c r="E265" s="2" t="n">
        <v>46</v>
      </c>
      <c r="F265" s="4" t="n">
        <v>2.92087587098479</v>
      </c>
      <c r="G265" s="1" t="n">
        <v>30</v>
      </c>
      <c r="H265" s="1" t="n">
        <v>38</v>
      </c>
      <c r="I265" s="1" t="n">
        <v>150</v>
      </c>
      <c r="J265" s="1" t="n">
        <v>250</v>
      </c>
      <c r="K265" s="1" t="n">
        <v>397.2</v>
      </c>
      <c r="L265" s="1" t="n">
        <v>17625</v>
      </c>
      <c r="M265" s="3" t="n">
        <v>69.5979672777495</v>
      </c>
      <c r="N265" s="12" t="n">
        <v>0.022536170212766</v>
      </c>
      <c r="O265" s="4" t="n">
        <v>31.3</v>
      </c>
      <c r="P265" s="3" t="n">
        <v>392.3</v>
      </c>
      <c r="Q265" s="4" t="n">
        <v>0.3</v>
      </c>
      <c r="R265" s="13" t="n">
        <f aca="false">P265/200000</f>
        <v>0.0019615</v>
      </c>
      <c r="V265" s="4"/>
      <c r="W265" s="4"/>
    </row>
    <row r="266" customFormat="false" ht="14.25" hidden="false" customHeight="false" outlineLevel="0" collapsed="false">
      <c r="A266" s="0" t="s">
        <v>80</v>
      </c>
      <c r="B266" s="1" t="n">
        <v>15.9</v>
      </c>
      <c r="C266" s="3" t="n">
        <v>392</v>
      </c>
      <c r="D266" s="1" t="n">
        <v>2</v>
      </c>
      <c r="E266" s="2" t="n">
        <v>46</v>
      </c>
      <c r="F266" s="4" t="n">
        <v>2.92087587098479</v>
      </c>
      <c r="G266" s="1" t="n">
        <v>30</v>
      </c>
      <c r="H266" s="1" t="n">
        <v>38</v>
      </c>
      <c r="I266" s="1" t="n">
        <v>150</v>
      </c>
      <c r="J266" s="1" t="n">
        <v>250</v>
      </c>
      <c r="K266" s="1" t="n">
        <v>397.2</v>
      </c>
      <c r="L266" s="1" t="n">
        <v>17625</v>
      </c>
      <c r="M266" s="3" t="n">
        <v>69.5979672777495</v>
      </c>
      <c r="N266" s="12" t="n">
        <v>0.022536170212766</v>
      </c>
      <c r="O266" s="4" t="n">
        <v>19.6</v>
      </c>
      <c r="P266" s="3" t="n">
        <v>261.362504412177</v>
      </c>
      <c r="Q266" s="4" t="n">
        <v>0.15</v>
      </c>
      <c r="R266" s="13" t="n">
        <f aca="false">P266/200000</f>
        <v>0.00130681252206088</v>
      </c>
      <c r="V266" s="4"/>
      <c r="W266" s="4"/>
    </row>
    <row r="267" customFormat="false" ht="14.25" hidden="false" customHeight="false" outlineLevel="0" collapsed="false">
      <c r="B267" s="1" t="n">
        <v>15.9</v>
      </c>
      <c r="C267" s="3" t="n">
        <v>392</v>
      </c>
      <c r="D267" s="1" t="n">
        <v>2</v>
      </c>
      <c r="E267" s="2" t="n">
        <v>46</v>
      </c>
      <c r="F267" s="4" t="n">
        <v>2.92087587098479</v>
      </c>
      <c r="G267" s="1" t="n">
        <v>30</v>
      </c>
      <c r="H267" s="1" t="n">
        <v>38</v>
      </c>
      <c r="I267" s="1" t="n">
        <v>150</v>
      </c>
      <c r="J267" s="1" t="n">
        <v>250</v>
      </c>
      <c r="K267" s="1" t="n">
        <v>397.2</v>
      </c>
      <c r="L267" s="1" t="n">
        <v>17625</v>
      </c>
      <c r="M267" s="3" t="n">
        <v>69.5979672777495</v>
      </c>
      <c r="N267" s="12" t="n">
        <v>0.022536170212766</v>
      </c>
      <c r="O267" s="4" t="n">
        <v>27.5</v>
      </c>
      <c r="P267" s="3" t="n">
        <v>366.707595476268</v>
      </c>
      <c r="Q267" s="4" t="n">
        <v>0.25</v>
      </c>
      <c r="R267" s="13" t="n">
        <f aca="false">P267/200000</f>
        <v>0.00183353797738134</v>
      </c>
      <c r="V267" s="4"/>
      <c r="W267" s="4"/>
    </row>
    <row r="268" customFormat="false" ht="14.25" hidden="false" customHeight="false" outlineLevel="0" collapsed="false">
      <c r="A268" s="0" t="s">
        <v>81</v>
      </c>
      <c r="B268" s="1" t="n">
        <v>19.1</v>
      </c>
      <c r="C268" s="3" t="n">
        <v>392</v>
      </c>
      <c r="D268" s="1" t="n">
        <v>2</v>
      </c>
      <c r="E268" s="2" t="n">
        <v>40</v>
      </c>
      <c r="F268" s="4" t="n">
        <v>2.92087587098479</v>
      </c>
      <c r="G268" s="1" t="n">
        <v>30</v>
      </c>
      <c r="H268" s="1" t="n">
        <v>39.5</v>
      </c>
      <c r="I268" s="1" t="n">
        <v>150</v>
      </c>
      <c r="J268" s="1" t="n">
        <v>250</v>
      </c>
      <c r="K268" s="1" t="n">
        <v>573</v>
      </c>
      <c r="L268" s="1" t="n">
        <v>20250</v>
      </c>
      <c r="M268" s="3" t="n">
        <v>80.017825486464</v>
      </c>
      <c r="N268" s="12" t="n">
        <v>0.0282962962962963</v>
      </c>
      <c r="O268" s="4" t="n">
        <v>19.7</v>
      </c>
      <c r="P268" s="3" t="n">
        <v>187.025739041386</v>
      </c>
      <c r="Q268" s="4" t="n">
        <v>0.15</v>
      </c>
      <c r="R268" s="13" t="n">
        <f aca="false">P268/200000</f>
        <v>0.000935128695206929</v>
      </c>
      <c r="V268" s="4"/>
      <c r="W268" s="4"/>
    </row>
    <row r="269" customFormat="false" ht="14.25" hidden="false" customHeight="false" outlineLevel="0" collapsed="false">
      <c r="B269" s="1" t="n">
        <v>19.1</v>
      </c>
      <c r="C269" s="3" t="n">
        <v>392</v>
      </c>
      <c r="D269" s="1" t="n">
        <v>2</v>
      </c>
      <c r="E269" s="2" t="n">
        <v>40</v>
      </c>
      <c r="F269" s="4" t="n">
        <v>2.92087587098479</v>
      </c>
      <c r="G269" s="1" t="n">
        <v>30</v>
      </c>
      <c r="H269" s="1" t="n">
        <v>39.5</v>
      </c>
      <c r="I269" s="1" t="n">
        <v>150</v>
      </c>
      <c r="J269" s="1" t="n">
        <v>250</v>
      </c>
      <c r="K269" s="1" t="n">
        <v>573</v>
      </c>
      <c r="L269" s="1" t="n">
        <v>20250</v>
      </c>
      <c r="M269" s="3" t="n">
        <v>80.017825486464</v>
      </c>
      <c r="N269" s="12" t="n">
        <v>0.0282962962962963</v>
      </c>
      <c r="O269" s="4" t="n">
        <v>27.5</v>
      </c>
      <c r="P269" s="3" t="n">
        <v>261.07653927097</v>
      </c>
      <c r="Q269" s="4" t="n">
        <v>0.2</v>
      </c>
      <c r="R269" s="13" t="n">
        <f aca="false">P269/200000</f>
        <v>0.00130538269635485</v>
      </c>
      <c r="V269" s="4"/>
      <c r="W269" s="4"/>
    </row>
    <row r="270" customFormat="false" ht="14.25" hidden="false" customHeight="false" outlineLevel="0" collapsed="false">
      <c r="B270" s="1" t="n">
        <v>19.1</v>
      </c>
      <c r="C270" s="3" t="n">
        <v>392</v>
      </c>
      <c r="D270" s="1" t="n">
        <v>2</v>
      </c>
      <c r="E270" s="2" t="n">
        <v>40</v>
      </c>
      <c r="F270" s="4" t="n">
        <v>2.92087587098479</v>
      </c>
      <c r="G270" s="1" t="n">
        <v>30</v>
      </c>
      <c r="H270" s="1" t="n">
        <v>39.5</v>
      </c>
      <c r="I270" s="1" t="n">
        <v>150</v>
      </c>
      <c r="J270" s="1" t="n">
        <v>250</v>
      </c>
      <c r="K270" s="1" t="n">
        <v>573</v>
      </c>
      <c r="L270" s="1" t="n">
        <v>20250</v>
      </c>
      <c r="M270" s="3" t="n">
        <v>80.017825486464</v>
      </c>
      <c r="N270" s="12" t="n">
        <v>0.0282962962962963</v>
      </c>
      <c r="O270" s="4" t="n">
        <v>35.4</v>
      </c>
      <c r="P270" s="3" t="n">
        <v>336.076708734267</v>
      </c>
      <c r="Q270" s="4" t="n">
        <v>0.3</v>
      </c>
      <c r="R270" s="13" t="n">
        <f aca="false">P270/200000</f>
        <v>0.00168038354367133</v>
      </c>
      <c r="V270" s="4"/>
      <c r="W270" s="4"/>
    </row>
    <row r="271" customFormat="false" ht="14.25" hidden="false" customHeight="false" outlineLevel="0" collapsed="false">
      <c r="B271" s="1" t="n">
        <v>19.1</v>
      </c>
      <c r="C271" s="3" t="n">
        <v>392</v>
      </c>
      <c r="D271" s="1" t="n">
        <v>2</v>
      </c>
      <c r="E271" s="2" t="n">
        <v>40</v>
      </c>
      <c r="F271" s="4" t="n">
        <v>2.92087587098479</v>
      </c>
      <c r="G271" s="1" t="n">
        <v>30</v>
      </c>
      <c r="H271" s="1" t="n">
        <v>39.5</v>
      </c>
      <c r="I271" s="1" t="n">
        <v>150</v>
      </c>
      <c r="J271" s="1" t="n">
        <v>250</v>
      </c>
      <c r="K271" s="1" t="n">
        <v>573</v>
      </c>
      <c r="L271" s="1" t="n">
        <v>20250</v>
      </c>
      <c r="M271" s="3" t="n">
        <v>80.017825486464</v>
      </c>
      <c r="N271" s="12" t="n">
        <v>0.0282962962962963</v>
      </c>
      <c r="O271" s="4" t="n">
        <v>43.3</v>
      </c>
      <c r="P271" s="3" t="n">
        <v>392.3</v>
      </c>
      <c r="Q271" s="4" t="n">
        <v>0.33</v>
      </c>
      <c r="R271" s="13" t="n">
        <f aca="false">P271/200000</f>
        <v>0.0019615</v>
      </c>
      <c r="V271" s="4"/>
      <c r="W271" s="4"/>
    </row>
    <row r="272" customFormat="false" ht="14.25" hidden="false" customHeight="false" outlineLevel="0" collapsed="false">
      <c r="A272" s="0" t="s">
        <v>82</v>
      </c>
      <c r="B272" s="1" t="n">
        <v>19.1</v>
      </c>
      <c r="C272" s="3" t="n">
        <v>392</v>
      </c>
      <c r="D272" s="1" t="n">
        <v>2</v>
      </c>
      <c r="E272" s="2" t="n">
        <v>40</v>
      </c>
      <c r="F272" s="4" t="n">
        <v>2.92087587098479</v>
      </c>
      <c r="G272" s="1" t="n">
        <v>30</v>
      </c>
      <c r="H272" s="1" t="n">
        <v>39.5</v>
      </c>
      <c r="I272" s="1" t="n">
        <v>150</v>
      </c>
      <c r="J272" s="1" t="n">
        <v>250</v>
      </c>
      <c r="K272" s="1" t="n">
        <v>573</v>
      </c>
      <c r="L272" s="1" t="n">
        <v>20250</v>
      </c>
      <c r="M272" s="3" t="n">
        <v>80.017825486464</v>
      </c>
      <c r="N272" s="12" t="n">
        <v>0.0282962962962963</v>
      </c>
      <c r="O272" s="4" t="n">
        <v>19.6</v>
      </c>
      <c r="P272" s="3" t="n">
        <v>186.076369807673</v>
      </c>
      <c r="Q272" s="4" t="n">
        <v>0.15</v>
      </c>
      <c r="R272" s="13" t="n">
        <f aca="false">P272/200000</f>
        <v>0.000930381849038365</v>
      </c>
      <c r="V272" s="4"/>
      <c r="W272" s="4"/>
    </row>
    <row r="273" customFormat="false" ht="14.25" hidden="false" customHeight="false" outlineLevel="0" collapsed="false">
      <c r="B273" s="1" t="n">
        <v>19.1</v>
      </c>
      <c r="C273" s="3" t="n">
        <v>392</v>
      </c>
      <c r="D273" s="1" t="n">
        <v>2</v>
      </c>
      <c r="E273" s="2" t="n">
        <v>40</v>
      </c>
      <c r="F273" s="4" t="n">
        <v>2.92087587098479</v>
      </c>
      <c r="G273" s="1" t="n">
        <v>30</v>
      </c>
      <c r="H273" s="1" t="n">
        <v>39.5</v>
      </c>
      <c r="I273" s="1" t="n">
        <v>150</v>
      </c>
      <c r="J273" s="1" t="n">
        <v>250</v>
      </c>
      <c r="K273" s="1" t="n">
        <v>573</v>
      </c>
      <c r="L273" s="1" t="n">
        <v>20250</v>
      </c>
      <c r="M273" s="3" t="n">
        <v>80.017825486464</v>
      </c>
      <c r="N273" s="12" t="n">
        <v>0.0282962962962963</v>
      </c>
      <c r="O273" s="4" t="n">
        <v>27.3</v>
      </c>
      <c r="P273" s="3" t="n">
        <v>259.177800803545</v>
      </c>
      <c r="Q273" s="4" t="n">
        <v>0.25</v>
      </c>
      <c r="R273" s="13" t="n">
        <f aca="false">P273/200000</f>
        <v>0.00129588900401772</v>
      </c>
      <c r="V273" s="4"/>
      <c r="W273" s="4"/>
    </row>
    <row r="274" customFormat="false" ht="14.25" hidden="false" customHeight="false" outlineLevel="0" collapsed="false">
      <c r="B274" s="1" t="n">
        <v>19.1</v>
      </c>
      <c r="C274" s="3" t="n">
        <v>392</v>
      </c>
      <c r="D274" s="1" t="n">
        <v>2</v>
      </c>
      <c r="E274" s="2" t="n">
        <v>40</v>
      </c>
      <c r="F274" s="4" t="n">
        <v>2.92087587098479</v>
      </c>
      <c r="G274" s="1" t="n">
        <v>30</v>
      </c>
      <c r="H274" s="1" t="n">
        <v>39.5</v>
      </c>
      <c r="I274" s="1" t="n">
        <v>150</v>
      </c>
      <c r="J274" s="1" t="n">
        <v>250</v>
      </c>
      <c r="K274" s="1" t="n">
        <v>573</v>
      </c>
      <c r="L274" s="1" t="n">
        <v>20250</v>
      </c>
      <c r="M274" s="3" t="n">
        <v>80.017825486464</v>
      </c>
      <c r="N274" s="12" t="n">
        <v>0.0282962962962963</v>
      </c>
      <c r="O274" s="4" t="n">
        <v>35.1</v>
      </c>
      <c r="P274" s="3" t="n">
        <v>333.228601033129</v>
      </c>
      <c r="Q274" s="4" t="n">
        <v>0.28</v>
      </c>
      <c r="R274" s="13" t="n">
        <f aca="false">P274/200000</f>
        <v>0.00166614300516564</v>
      </c>
      <c r="V274" s="4"/>
      <c r="W274" s="4"/>
    </row>
    <row r="275" customFormat="false" ht="14.25" hidden="false" customHeight="false" outlineLevel="0" collapsed="false">
      <c r="A275" s="0" t="s">
        <v>83</v>
      </c>
      <c r="B275" s="1" t="n">
        <v>15.9</v>
      </c>
      <c r="C275" s="3" t="n">
        <v>392</v>
      </c>
      <c r="D275" s="1" t="n">
        <v>2</v>
      </c>
      <c r="E275" s="2" t="n">
        <v>46</v>
      </c>
      <c r="F275" s="4" t="n">
        <v>3.35387948274239</v>
      </c>
      <c r="G275" s="1" t="n">
        <v>30</v>
      </c>
      <c r="H275" s="1" t="n">
        <v>38</v>
      </c>
      <c r="I275" s="1" t="n">
        <v>150</v>
      </c>
      <c r="J275" s="1" t="n">
        <v>250</v>
      </c>
      <c r="K275" s="1" t="n">
        <v>397.2</v>
      </c>
      <c r="L275" s="1" t="n">
        <v>17625</v>
      </c>
      <c r="M275" s="3" t="n">
        <v>67.6841386130991</v>
      </c>
      <c r="N275" s="12" t="n">
        <v>0.022536170212766</v>
      </c>
      <c r="O275" s="4" t="n">
        <v>27.5</v>
      </c>
      <c r="P275" s="3" t="n">
        <v>365.472691516251</v>
      </c>
      <c r="Q275" s="4" t="n">
        <v>0.2</v>
      </c>
      <c r="R275" s="13" t="n">
        <f aca="false">P275/200000</f>
        <v>0.00182736345758125</v>
      </c>
      <c r="V275" s="4"/>
      <c r="W275" s="4"/>
    </row>
    <row r="276" customFormat="false" ht="14.25" hidden="false" customHeight="false" outlineLevel="0" collapsed="false">
      <c r="B276" s="1" t="n">
        <v>15.9</v>
      </c>
      <c r="C276" s="3" t="n">
        <v>392</v>
      </c>
      <c r="D276" s="1" t="n">
        <v>2</v>
      </c>
      <c r="E276" s="2" t="n">
        <v>46</v>
      </c>
      <c r="F276" s="4" t="n">
        <v>3.35387948274239</v>
      </c>
      <c r="G276" s="1" t="n">
        <v>30</v>
      </c>
      <c r="H276" s="1" t="n">
        <v>38</v>
      </c>
      <c r="I276" s="1" t="n">
        <v>150</v>
      </c>
      <c r="J276" s="1" t="n">
        <v>250</v>
      </c>
      <c r="K276" s="1" t="n">
        <v>397.2</v>
      </c>
      <c r="L276" s="1" t="n">
        <v>17625</v>
      </c>
      <c r="M276" s="3" t="n">
        <v>67.6841386130991</v>
      </c>
      <c r="N276" s="12" t="n">
        <v>0.022536170212766</v>
      </c>
      <c r="O276" s="4" t="n">
        <v>31.4</v>
      </c>
      <c r="P276" s="3" t="n">
        <v>392.3</v>
      </c>
      <c r="Q276" s="4" t="n">
        <v>0.22</v>
      </c>
      <c r="R276" s="13" t="n">
        <f aca="false">P276/200000</f>
        <v>0.0019615</v>
      </c>
      <c r="V276" s="4"/>
      <c r="W276" s="4"/>
    </row>
    <row r="277" customFormat="false" ht="14.25" hidden="false" customHeight="false" outlineLevel="0" collapsed="false">
      <c r="A277" s="0" t="s">
        <v>84</v>
      </c>
      <c r="B277" s="1" t="n">
        <v>15.9</v>
      </c>
      <c r="C277" s="3" t="n">
        <v>392</v>
      </c>
      <c r="D277" s="1" t="n">
        <v>2</v>
      </c>
      <c r="E277" s="2" t="n">
        <v>46</v>
      </c>
      <c r="F277" s="4" t="n">
        <v>3.35387948274239</v>
      </c>
      <c r="G277" s="1" t="n">
        <v>30</v>
      </c>
      <c r="H277" s="1" t="n">
        <v>38</v>
      </c>
      <c r="I277" s="1" t="n">
        <v>150</v>
      </c>
      <c r="J277" s="1" t="n">
        <v>250</v>
      </c>
      <c r="K277" s="1" t="n">
        <v>397.2</v>
      </c>
      <c r="L277" s="1" t="n">
        <v>17625</v>
      </c>
      <c r="M277" s="3" t="n">
        <v>67.6841386130991</v>
      </c>
      <c r="N277" s="12" t="n">
        <v>0.022536170212766</v>
      </c>
      <c r="O277" s="4" t="n">
        <v>27.5</v>
      </c>
      <c r="P277" s="3" t="n">
        <v>365.472691516251</v>
      </c>
      <c r="Q277" s="4" t="n">
        <v>0.17</v>
      </c>
      <c r="R277" s="13" t="n">
        <f aca="false">P277/200000</f>
        <v>0.00182736345758125</v>
      </c>
      <c r="V277" s="4"/>
      <c r="W277" s="4"/>
    </row>
    <row r="278" customFormat="false" ht="14.25" hidden="false" customHeight="false" outlineLevel="0" collapsed="false">
      <c r="B278" s="1" t="n">
        <v>15.9</v>
      </c>
      <c r="C278" s="3" t="n">
        <v>392</v>
      </c>
      <c r="D278" s="1" t="n">
        <v>2</v>
      </c>
      <c r="E278" s="2" t="n">
        <v>46</v>
      </c>
      <c r="F278" s="4" t="n">
        <v>3.35387948274239</v>
      </c>
      <c r="G278" s="1" t="n">
        <v>30</v>
      </c>
      <c r="H278" s="1" t="n">
        <v>38</v>
      </c>
      <c r="I278" s="1" t="n">
        <v>150</v>
      </c>
      <c r="J278" s="1" t="n">
        <v>250</v>
      </c>
      <c r="K278" s="1" t="n">
        <v>397.2</v>
      </c>
      <c r="L278" s="1" t="n">
        <v>17625</v>
      </c>
      <c r="M278" s="3" t="n">
        <v>67.6841386130991</v>
      </c>
      <c r="N278" s="12" t="n">
        <v>0.022536170212766</v>
      </c>
      <c r="O278" s="4" t="n">
        <v>31.4</v>
      </c>
      <c r="P278" s="3" t="n">
        <v>392.3</v>
      </c>
      <c r="Q278" s="4" t="n">
        <v>0.21</v>
      </c>
      <c r="R278" s="13" t="n">
        <f aca="false">P278/200000</f>
        <v>0.0019615</v>
      </c>
      <c r="V278" s="4"/>
      <c r="W278" s="4"/>
    </row>
    <row r="279" customFormat="false" ht="14.25" hidden="false" customHeight="false" outlineLevel="0" collapsed="false">
      <c r="A279" s="0" t="s">
        <v>85</v>
      </c>
      <c r="B279" s="1" t="n">
        <v>19.1</v>
      </c>
      <c r="C279" s="3" t="n">
        <v>392</v>
      </c>
      <c r="D279" s="1" t="n">
        <v>2</v>
      </c>
      <c r="E279" s="2" t="n">
        <v>40</v>
      </c>
      <c r="F279" s="4" t="n">
        <v>3.35387948274239</v>
      </c>
      <c r="G279" s="1" t="n">
        <v>30</v>
      </c>
      <c r="H279" s="1" t="n">
        <v>39.5</v>
      </c>
      <c r="I279" s="1" t="n">
        <v>150</v>
      </c>
      <c r="J279" s="1" t="n">
        <v>250</v>
      </c>
      <c r="K279" s="1" t="n">
        <v>573</v>
      </c>
      <c r="L279" s="1" t="n">
        <v>20250</v>
      </c>
      <c r="M279" s="3" t="n">
        <v>77.9189777125861</v>
      </c>
      <c r="N279" s="12" t="n">
        <v>0.0282962962962963</v>
      </c>
      <c r="O279" s="4" t="n">
        <v>23.4</v>
      </c>
      <c r="P279" s="3" t="n">
        <v>221.310131801498</v>
      </c>
      <c r="Q279" s="4" t="n">
        <v>0.17</v>
      </c>
      <c r="R279" s="13" t="n">
        <f aca="false">P279/200000</f>
        <v>0.00110655065900749</v>
      </c>
      <c r="V279" s="4"/>
      <c r="W279" s="4"/>
    </row>
    <row r="280" customFormat="false" ht="14.25" hidden="false" customHeight="false" outlineLevel="0" collapsed="false">
      <c r="B280" s="1" t="n">
        <v>19.1</v>
      </c>
      <c r="C280" s="3" t="n">
        <v>392</v>
      </c>
      <c r="D280" s="1" t="n">
        <v>2</v>
      </c>
      <c r="E280" s="2" t="n">
        <v>40</v>
      </c>
      <c r="F280" s="4" t="n">
        <v>3.35387948274239</v>
      </c>
      <c r="G280" s="1" t="n">
        <v>30</v>
      </c>
      <c r="H280" s="1" t="n">
        <v>39.5</v>
      </c>
      <c r="I280" s="1" t="n">
        <v>150</v>
      </c>
      <c r="J280" s="1" t="n">
        <v>250</v>
      </c>
      <c r="K280" s="1" t="n">
        <v>573</v>
      </c>
      <c r="L280" s="1" t="n">
        <v>20250</v>
      </c>
      <c r="M280" s="3" t="n">
        <v>77.9189777125861</v>
      </c>
      <c r="N280" s="12" t="n">
        <v>0.0282962962962963</v>
      </c>
      <c r="O280" s="4" t="n">
        <v>27.4</v>
      </c>
      <c r="P280" s="3" t="n">
        <v>259.140923562438</v>
      </c>
      <c r="Q280" s="4" t="n">
        <v>0.18</v>
      </c>
      <c r="R280" s="13" t="n">
        <f aca="false">P280/200000</f>
        <v>0.00129570461781219</v>
      </c>
      <c r="V280" s="4"/>
      <c r="W280" s="4"/>
    </row>
    <row r="281" customFormat="false" ht="14.25" hidden="false" customHeight="false" outlineLevel="0" collapsed="false">
      <c r="B281" s="1" t="n">
        <v>19.1</v>
      </c>
      <c r="C281" s="3" t="n">
        <v>392</v>
      </c>
      <c r="D281" s="1" t="n">
        <v>2</v>
      </c>
      <c r="E281" s="2" t="n">
        <v>40</v>
      </c>
      <c r="F281" s="4" t="n">
        <v>3.35387948274239</v>
      </c>
      <c r="G281" s="1" t="n">
        <v>30</v>
      </c>
      <c r="H281" s="1" t="n">
        <v>39.5</v>
      </c>
      <c r="I281" s="1" t="n">
        <v>150</v>
      </c>
      <c r="J281" s="1" t="n">
        <v>250</v>
      </c>
      <c r="K281" s="1" t="n">
        <v>573</v>
      </c>
      <c r="L281" s="1" t="n">
        <v>20250</v>
      </c>
      <c r="M281" s="3" t="n">
        <v>77.9189777125861</v>
      </c>
      <c r="N281" s="12" t="n">
        <v>0.0282962962962963</v>
      </c>
      <c r="O281" s="4" t="n">
        <v>31.3</v>
      </c>
      <c r="P281" s="3" t="n">
        <v>296.025945529354</v>
      </c>
      <c r="Q281" s="4" t="n">
        <v>0.2</v>
      </c>
      <c r="R281" s="13" t="n">
        <f aca="false">P281/200000</f>
        <v>0.00148012972764677</v>
      </c>
      <c r="V281" s="4"/>
      <c r="W281" s="4"/>
    </row>
    <row r="282" customFormat="false" ht="14.25" hidden="false" customHeight="false" outlineLevel="0" collapsed="false">
      <c r="B282" s="1" t="n">
        <v>19.1</v>
      </c>
      <c r="C282" s="3" t="n">
        <v>392</v>
      </c>
      <c r="D282" s="1" t="n">
        <v>2</v>
      </c>
      <c r="E282" s="2" t="n">
        <v>40</v>
      </c>
      <c r="F282" s="4" t="n">
        <v>3.35387948274239</v>
      </c>
      <c r="G282" s="1" t="n">
        <v>30</v>
      </c>
      <c r="H282" s="1" t="n">
        <v>39.5</v>
      </c>
      <c r="I282" s="1" t="n">
        <v>150</v>
      </c>
      <c r="J282" s="1" t="n">
        <v>250</v>
      </c>
      <c r="K282" s="1" t="n">
        <v>573</v>
      </c>
      <c r="L282" s="1" t="n">
        <v>20250</v>
      </c>
      <c r="M282" s="3" t="n">
        <v>77.9189777125861</v>
      </c>
      <c r="N282" s="12" t="n">
        <v>0.0282962962962963</v>
      </c>
      <c r="O282" s="4" t="n">
        <v>35.3</v>
      </c>
      <c r="P282" s="3" t="n">
        <v>333.856737290294</v>
      </c>
      <c r="Q282" s="4" t="n">
        <v>0.2</v>
      </c>
      <c r="R282" s="13" t="n">
        <f aca="false">P282/200000</f>
        <v>0.00166928368645147</v>
      </c>
      <c r="V282" s="4"/>
      <c r="W282" s="4"/>
    </row>
    <row r="283" customFormat="false" ht="14.25" hidden="false" customHeight="false" outlineLevel="0" collapsed="false">
      <c r="B283" s="1" t="n">
        <v>19.1</v>
      </c>
      <c r="C283" s="3" t="n">
        <v>392</v>
      </c>
      <c r="D283" s="1" t="n">
        <v>2</v>
      </c>
      <c r="E283" s="2" t="n">
        <v>40</v>
      </c>
      <c r="F283" s="4" t="n">
        <v>3.35387948274239</v>
      </c>
      <c r="G283" s="1" t="n">
        <v>30</v>
      </c>
      <c r="H283" s="1" t="n">
        <v>39.5</v>
      </c>
      <c r="I283" s="1" t="n">
        <v>150</v>
      </c>
      <c r="J283" s="1" t="n">
        <v>250</v>
      </c>
      <c r="K283" s="1" t="n">
        <v>573</v>
      </c>
      <c r="L283" s="1" t="n">
        <v>20250</v>
      </c>
      <c r="M283" s="3" t="n">
        <v>77.9189777125861</v>
      </c>
      <c r="N283" s="12" t="n">
        <v>0.0282962962962963</v>
      </c>
      <c r="O283" s="4" t="n">
        <v>39.1</v>
      </c>
      <c r="P283" s="3" t="n">
        <v>369.795989463187</v>
      </c>
      <c r="Q283" s="4" t="n">
        <v>0.25</v>
      </c>
      <c r="R283" s="13" t="n">
        <f aca="false">P283/200000</f>
        <v>0.00184897994731593</v>
      </c>
      <c r="V283" s="4"/>
      <c r="W283" s="4"/>
    </row>
    <row r="284" customFormat="false" ht="14.25" hidden="false" customHeight="false" outlineLevel="0" collapsed="false">
      <c r="B284" s="1" t="n">
        <v>19.1</v>
      </c>
      <c r="C284" s="3" t="n">
        <v>392</v>
      </c>
      <c r="D284" s="1" t="n">
        <v>2</v>
      </c>
      <c r="E284" s="2" t="n">
        <v>40</v>
      </c>
      <c r="F284" s="4" t="n">
        <v>3.35387948274239</v>
      </c>
      <c r="G284" s="1" t="n">
        <v>30</v>
      </c>
      <c r="H284" s="1" t="n">
        <v>39.5</v>
      </c>
      <c r="I284" s="1" t="n">
        <v>150</v>
      </c>
      <c r="J284" s="1" t="n">
        <v>250</v>
      </c>
      <c r="K284" s="1" t="n">
        <v>573</v>
      </c>
      <c r="L284" s="1" t="n">
        <v>20250</v>
      </c>
      <c r="M284" s="3" t="n">
        <v>77.9189777125861</v>
      </c>
      <c r="N284" s="12" t="n">
        <v>0.0282962962962963</v>
      </c>
      <c r="O284" s="4" t="n">
        <v>43.1</v>
      </c>
      <c r="P284" s="3" t="n">
        <v>392.3</v>
      </c>
      <c r="Q284" s="4" t="n">
        <v>0.27</v>
      </c>
      <c r="R284" s="13" t="n">
        <f aca="false">P284/200000</f>
        <v>0.0019615</v>
      </c>
      <c r="V284" s="4"/>
      <c r="W284" s="4"/>
    </row>
    <row r="285" customFormat="false" ht="14.25" hidden="false" customHeight="false" outlineLevel="0" collapsed="false">
      <c r="A285" s="0" t="s">
        <v>86</v>
      </c>
      <c r="B285" s="1" t="n">
        <v>19.1</v>
      </c>
      <c r="C285" s="3" t="n">
        <v>392</v>
      </c>
      <c r="D285" s="1" t="n">
        <v>2</v>
      </c>
      <c r="E285" s="2" t="n">
        <v>40</v>
      </c>
      <c r="F285" s="4" t="n">
        <v>3.35387948274239</v>
      </c>
      <c r="G285" s="1" t="n">
        <v>30</v>
      </c>
      <c r="H285" s="1" t="n">
        <v>39.5</v>
      </c>
      <c r="I285" s="1" t="n">
        <v>150</v>
      </c>
      <c r="J285" s="1" t="n">
        <v>250</v>
      </c>
      <c r="K285" s="1" t="n">
        <v>573</v>
      </c>
      <c r="L285" s="1" t="n">
        <v>20250</v>
      </c>
      <c r="M285" s="3" t="n">
        <v>77.9189777125861</v>
      </c>
      <c r="N285" s="12" t="n">
        <v>0.0282962962962963</v>
      </c>
      <c r="O285" s="4" t="n">
        <v>31.3</v>
      </c>
      <c r="P285" s="3" t="n">
        <v>296.025945529354</v>
      </c>
      <c r="Q285" s="4" t="n">
        <v>0.18</v>
      </c>
      <c r="R285" s="13" t="n">
        <f aca="false">P285/200000</f>
        <v>0.00148012972764677</v>
      </c>
      <c r="V285" s="4"/>
      <c r="W285" s="4"/>
    </row>
    <row r="286" customFormat="false" ht="14.25" hidden="false" customHeight="false" outlineLevel="0" collapsed="false">
      <c r="B286" s="1" t="n">
        <v>19.1</v>
      </c>
      <c r="C286" s="3" t="n">
        <v>392</v>
      </c>
      <c r="D286" s="1" t="n">
        <v>2</v>
      </c>
      <c r="E286" s="2" t="n">
        <v>40</v>
      </c>
      <c r="F286" s="4" t="n">
        <v>3.35387948274239</v>
      </c>
      <c r="G286" s="1" t="n">
        <v>30</v>
      </c>
      <c r="H286" s="1" t="n">
        <v>39.5</v>
      </c>
      <c r="I286" s="1" t="n">
        <v>150</v>
      </c>
      <c r="J286" s="1" t="n">
        <v>250</v>
      </c>
      <c r="K286" s="1" t="n">
        <v>573</v>
      </c>
      <c r="L286" s="1" t="n">
        <v>20250</v>
      </c>
      <c r="M286" s="3" t="n">
        <v>77.9189777125861</v>
      </c>
      <c r="N286" s="12" t="n">
        <v>0.0282962962962963</v>
      </c>
      <c r="O286" s="4" t="n">
        <v>35.1</v>
      </c>
      <c r="P286" s="3" t="n">
        <v>331.965197702247</v>
      </c>
      <c r="Q286" s="4" t="n">
        <v>0.19</v>
      </c>
      <c r="R286" s="13" t="n">
        <f aca="false">P286/200000</f>
        <v>0.00165982598851124</v>
      </c>
      <c r="V286" s="4"/>
      <c r="W286" s="4"/>
    </row>
    <row r="287" customFormat="false" ht="14.25" hidden="false" customHeight="false" outlineLevel="0" collapsed="false">
      <c r="B287" s="1" t="n">
        <v>19.1</v>
      </c>
      <c r="C287" s="3" t="n">
        <v>392</v>
      </c>
      <c r="D287" s="1" t="n">
        <v>2</v>
      </c>
      <c r="E287" s="2" t="n">
        <v>40</v>
      </c>
      <c r="F287" s="4" t="n">
        <v>3.35387948274239</v>
      </c>
      <c r="G287" s="1" t="n">
        <v>30</v>
      </c>
      <c r="H287" s="1" t="n">
        <v>39.5</v>
      </c>
      <c r="I287" s="1" t="n">
        <v>150</v>
      </c>
      <c r="J287" s="1" t="n">
        <v>250</v>
      </c>
      <c r="K287" s="1" t="n">
        <v>573</v>
      </c>
      <c r="L287" s="1" t="n">
        <v>20250</v>
      </c>
      <c r="M287" s="3" t="n">
        <v>77.9189777125861</v>
      </c>
      <c r="N287" s="12" t="n">
        <v>0.0282962962962963</v>
      </c>
      <c r="O287" s="4" t="n">
        <v>39.1</v>
      </c>
      <c r="P287" s="3" t="n">
        <v>369.795989463187</v>
      </c>
      <c r="Q287" s="4" t="n">
        <v>0.21</v>
      </c>
      <c r="R287" s="13" t="n">
        <f aca="false">P287/200000</f>
        <v>0.00184897994731593</v>
      </c>
      <c r="V287" s="4"/>
      <c r="W287" s="4"/>
    </row>
    <row r="288" customFormat="false" ht="14.25" hidden="false" customHeight="false" outlineLevel="0" collapsed="false">
      <c r="B288" s="1" t="n">
        <v>19.1</v>
      </c>
      <c r="C288" s="3" t="n">
        <v>392</v>
      </c>
      <c r="D288" s="1" t="n">
        <v>2</v>
      </c>
      <c r="E288" s="2" t="n">
        <v>40</v>
      </c>
      <c r="F288" s="4" t="n">
        <v>3.35387948274239</v>
      </c>
      <c r="G288" s="1" t="n">
        <v>30</v>
      </c>
      <c r="H288" s="1" t="n">
        <v>39.5</v>
      </c>
      <c r="I288" s="1" t="n">
        <v>150</v>
      </c>
      <c r="J288" s="1" t="n">
        <v>250</v>
      </c>
      <c r="K288" s="1" t="n">
        <v>573</v>
      </c>
      <c r="L288" s="1" t="n">
        <v>20250</v>
      </c>
      <c r="M288" s="3" t="n">
        <v>77.9189777125861</v>
      </c>
      <c r="N288" s="12" t="n">
        <v>0.0282962962962963</v>
      </c>
      <c r="O288" s="4" t="n">
        <v>43.1</v>
      </c>
      <c r="P288" s="3" t="n">
        <v>392.3</v>
      </c>
      <c r="Q288" s="4" t="n">
        <v>0.26</v>
      </c>
      <c r="R288" s="13" t="n">
        <f aca="false">P288/200000</f>
        <v>0.0019615</v>
      </c>
      <c r="V288" s="4"/>
      <c r="W288" s="4"/>
    </row>
    <row r="289" customFormat="false" ht="14.25" hidden="false" customHeight="false" outlineLevel="0" collapsed="false">
      <c r="A289" s="0" t="s">
        <v>87</v>
      </c>
      <c r="B289" s="1" t="n">
        <v>19.1</v>
      </c>
      <c r="C289" s="3" t="n">
        <v>276</v>
      </c>
      <c r="D289" s="1" t="n">
        <v>2</v>
      </c>
      <c r="E289" s="2" t="n">
        <v>69.8</v>
      </c>
      <c r="F289" s="4" t="n">
        <v>2.90032882517908</v>
      </c>
      <c r="G289" s="1" t="n">
        <v>31.8</v>
      </c>
      <c r="H289" s="1" t="n">
        <v>41.4</v>
      </c>
      <c r="I289" s="1" t="n">
        <v>152.4</v>
      </c>
      <c r="J289" s="1" t="n">
        <v>381</v>
      </c>
      <c r="K289" s="1" t="n">
        <v>568</v>
      </c>
      <c r="L289" s="1" t="n">
        <v>20863.56</v>
      </c>
      <c r="M289" s="3" t="n">
        <v>105.951899677992</v>
      </c>
      <c r="N289" s="12" t="n">
        <v>0.0272245005166903</v>
      </c>
      <c r="O289" s="4" t="n">
        <v>35.0889</v>
      </c>
      <c r="P289" s="3" t="n">
        <v>203.022493137384</v>
      </c>
      <c r="Q289" s="4" t="n">
        <v>0.17</v>
      </c>
      <c r="R289" s="13" t="n">
        <f aca="false">P289/200000</f>
        <v>0.00101511246568692</v>
      </c>
      <c r="V289" s="4"/>
      <c r="W289" s="4"/>
    </row>
    <row r="290" customFormat="false" ht="14.25" hidden="false" customHeight="false" outlineLevel="0" collapsed="false">
      <c r="B290" s="1" t="n">
        <v>19.1</v>
      </c>
      <c r="C290" s="3" t="n">
        <v>276</v>
      </c>
      <c r="D290" s="1" t="n">
        <v>2</v>
      </c>
      <c r="E290" s="2" t="n">
        <v>69.8</v>
      </c>
      <c r="F290" s="4" t="n">
        <v>2.90032882517908</v>
      </c>
      <c r="G290" s="1" t="n">
        <v>31.8</v>
      </c>
      <c r="H290" s="1" t="n">
        <v>41.4</v>
      </c>
      <c r="I290" s="1" t="n">
        <v>152.4</v>
      </c>
      <c r="J290" s="1" t="n">
        <v>381</v>
      </c>
      <c r="K290" s="1" t="n">
        <v>568</v>
      </c>
      <c r="L290" s="1" t="n">
        <v>20863.56</v>
      </c>
      <c r="M290" s="3" t="n">
        <v>105.951899677992</v>
      </c>
      <c r="N290" s="12" t="n">
        <v>0.0272245005166903</v>
      </c>
      <c r="O290" s="4" t="n">
        <v>42.2576</v>
      </c>
      <c r="P290" s="3" t="n">
        <v>244.500206789107</v>
      </c>
      <c r="Q290" s="4" t="n">
        <v>0.23</v>
      </c>
      <c r="R290" s="13" t="n">
        <f aca="false">P290/200000</f>
        <v>0.00122250103394554</v>
      </c>
      <c r="V290" s="4"/>
      <c r="W290" s="4"/>
    </row>
    <row r="291" customFormat="false" ht="14.25" hidden="false" customHeight="false" outlineLevel="0" collapsed="false">
      <c r="B291" s="1" t="n">
        <v>19.1</v>
      </c>
      <c r="C291" s="3" t="n">
        <v>276</v>
      </c>
      <c r="D291" s="1" t="n">
        <v>2</v>
      </c>
      <c r="E291" s="2" t="n">
        <v>69.8</v>
      </c>
      <c r="F291" s="4" t="n">
        <v>2.90032882517908</v>
      </c>
      <c r="G291" s="1" t="n">
        <v>31.8</v>
      </c>
      <c r="H291" s="1" t="n">
        <v>41.4</v>
      </c>
      <c r="I291" s="1" t="n">
        <v>152.4</v>
      </c>
      <c r="J291" s="1" t="n">
        <v>381</v>
      </c>
      <c r="K291" s="1" t="n">
        <v>568</v>
      </c>
      <c r="L291" s="1" t="n">
        <v>20863.56</v>
      </c>
      <c r="M291" s="3" t="n">
        <v>105.951899677992</v>
      </c>
      <c r="N291" s="12" t="n">
        <v>0.0272245005166903</v>
      </c>
      <c r="O291" s="4" t="n">
        <v>48.8089</v>
      </c>
      <c r="P291" s="3" t="n">
        <v>275.8</v>
      </c>
      <c r="Q291" s="4" t="n">
        <v>0.27</v>
      </c>
      <c r="R291" s="13" t="n">
        <f aca="false">P291/200000</f>
        <v>0.001379</v>
      </c>
      <c r="V291" s="4"/>
      <c r="W291" s="4"/>
    </row>
    <row r="292" customFormat="false" ht="14.25" hidden="false" customHeight="false" outlineLevel="0" collapsed="false">
      <c r="A292" s="0" t="s">
        <v>88</v>
      </c>
      <c r="B292" s="1" t="n">
        <v>19.1</v>
      </c>
      <c r="C292" s="3" t="n">
        <v>276</v>
      </c>
      <c r="D292" s="1" t="n">
        <v>2</v>
      </c>
      <c r="E292" s="2" t="n">
        <v>69.8</v>
      </c>
      <c r="F292" s="4" t="n">
        <v>2.84669189571421</v>
      </c>
      <c r="G292" s="1" t="n">
        <v>31.8</v>
      </c>
      <c r="H292" s="1" t="n">
        <v>41.4</v>
      </c>
      <c r="I292" s="1" t="n">
        <v>152.4</v>
      </c>
      <c r="J292" s="1" t="n">
        <v>381</v>
      </c>
      <c r="K292" s="1" t="n">
        <v>568</v>
      </c>
      <c r="L292" s="1" t="n">
        <v>20863.56</v>
      </c>
      <c r="M292" s="3" t="n">
        <v>106.355513236104</v>
      </c>
      <c r="N292" s="12" t="n">
        <v>0.0272245005166903</v>
      </c>
      <c r="O292" s="4" t="n">
        <v>48.8089</v>
      </c>
      <c r="P292" s="3" t="n">
        <v>275.8</v>
      </c>
      <c r="Q292" s="4" t="n">
        <v>0.16</v>
      </c>
      <c r="R292" s="13" t="n">
        <f aca="false">P292/200000</f>
        <v>0.001379</v>
      </c>
      <c r="V292" s="4"/>
      <c r="W292" s="4"/>
    </row>
    <row r="293" customFormat="false" ht="14.25" hidden="false" customHeight="false" outlineLevel="0" collapsed="false">
      <c r="A293" s="0" t="s">
        <v>89</v>
      </c>
      <c r="B293" s="1" t="n">
        <v>19.1</v>
      </c>
      <c r="C293" s="3" t="n">
        <v>276</v>
      </c>
      <c r="D293" s="1" t="n">
        <v>2</v>
      </c>
      <c r="E293" s="2" t="n">
        <v>69.8</v>
      </c>
      <c r="F293" s="4" t="n">
        <v>2.71132147348833</v>
      </c>
      <c r="G293" s="1" t="n">
        <v>38.2</v>
      </c>
      <c r="H293" s="1" t="n">
        <v>47.7</v>
      </c>
      <c r="I293" s="1" t="n">
        <v>152.4</v>
      </c>
      <c r="J293" s="1" t="n">
        <v>381</v>
      </c>
      <c r="K293" s="1" t="n">
        <v>568</v>
      </c>
      <c r="L293" s="1" t="n">
        <v>21823.68</v>
      </c>
      <c r="M293" s="3" t="n">
        <v>106.225416011626</v>
      </c>
      <c r="N293" s="12" t="n">
        <v>0.0260267745861376</v>
      </c>
      <c r="O293" s="4" t="n">
        <v>42.2576</v>
      </c>
      <c r="P293" s="3" t="n">
        <v>249.745884346061</v>
      </c>
      <c r="Q293" s="4" t="n">
        <v>0.16</v>
      </c>
      <c r="R293" s="13" t="n">
        <f aca="false">P293/200000</f>
        <v>0.00124872942173031</v>
      </c>
      <c r="V293" s="4"/>
      <c r="W293" s="4"/>
    </row>
    <row r="294" customFormat="false" ht="14.25" hidden="false" customHeight="false" outlineLevel="0" collapsed="false">
      <c r="B294" s="1" t="n">
        <v>19.1</v>
      </c>
      <c r="C294" s="3" t="n">
        <v>276</v>
      </c>
      <c r="D294" s="1" t="n">
        <v>2</v>
      </c>
      <c r="E294" s="2" t="n">
        <v>69.8</v>
      </c>
      <c r="F294" s="4" t="n">
        <v>2.71132147348833</v>
      </c>
      <c r="G294" s="1" t="n">
        <v>38.2</v>
      </c>
      <c r="H294" s="1" t="n">
        <v>47.7</v>
      </c>
      <c r="I294" s="1" t="n">
        <v>152.4</v>
      </c>
      <c r="J294" s="1" t="n">
        <v>381</v>
      </c>
      <c r="K294" s="1" t="n">
        <v>568</v>
      </c>
      <c r="L294" s="1" t="n">
        <v>21823.68</v>
      </c>
      <c r="M294" s="3" t="n">
        <v>106.225416011626</v>
      </c>
      <c r="N294" s="12" t="n">
        <v>0.0260267745861376</v>
      </c>
      <c r="O294" s="4" t="n">
        <v>48.8089</v>
      </c>
      <c r="P294" s="3" t="n">
        <v>275.8</v>
      </c>
      <c r="Q294" s="4" t="n">
        <v>0.2</v>
      </c>
      <c r="R294" s="13" t="n">
        <f aca="false">P294/200000</f>
        <v>0.001379</v>
      </c>
      <c r="V294" s="4"/>
      <c r="W294" s="4"/>
    </row>
    <row r="295" customFormat="false" ht="14.25" hidden="false" customHeight="false" outlineLevel="0" collapsed="false">
      <c r="A295" s="0" t="s">
        <v>90</v>
      </c>
      <c r="B295" s="1" t="n">
        <v>22.2</v>
      </c>
      <c r="C295" s="3" t="n">
        <v>276</v>
      </c>
      <c r="D295" s="1" t="n">
        <v>2</v>
      </c>
      <c r="E295" s="2" t="n">
        <v>63.6</v>
      </c>
      <c r="F295" s="4" t="n">
        <v>2.68798662700617</v>
      </c>
      <c r="G295" s="1" t="n">
        <v>12.8</v>
      </c>
      <c r="H295" s="1" t="n">
        <v>23.9</v>
      </c>
      <c r="I295" s="1" t="n">
        <v>152.4</v>
      </c>
      <c r="J295" s="1" t="n">
        <v>381</v>
      </c>
      <c r="K295" s="1" t="n">
        <v>774</v>
      </c>
      <c r="L295" s="1" t="n">
        <v>12748.26</v>
      </c>
      <c r="M295" s="3" t="n">
        <v>125.501027414761</v>
      </c>
      <c r="N295" s="12" t="n">
        <v>0.0607141680511693</v>
      </c>
      <c r="O295" s="4" t="n">
        <v>66.199</v>
      </c>
      <c r="P295" s="3" t="n">
        <v>271.289437560374</v>
      </c>
      <c r="Q295" s="4" t="n">
        <v>0.17</v>
      </c>
      <c r="R295" s="13" t="n">
        <f aca="false">P295/200000</f>
        <v>0.00135644718780187</v>
      </c>
      <c r="V295" s="4"/>
      <c r="W295" s="4"/>
    </row>
    <row r="296" customFormat="false" ht="14.25" hidden="false" customHeight="false" outlineLevel="0" collapsed="false">
      <c r="A296" s="0" t="s">
        <v>91</v>
      </c>
      <c r="B296" s="1" t="n">
        <v>22.2</v>
      </c>
      <c r="C296" s="3" t="n">
        <v>276</v>
      </c>
      <c r="D296" s="1" t="n">
        <v>2</v>
      </c>
      <c r="E296" s="2" t="n">
        <v>63.6</v>
      </c>
      <c r="F296" s="4" t="n">
        <v>2.38460157103714</v>
      </c>
      <c r="G296" s="1" t="n">
        <v>38</v>
      </c>
      <c r="H296" s="1" t="n">
        <v>49.1</v>
      </c>
      <c r="I296" s="1" t="n">
        <v>152.4</v>
      </c>
      <c r="J296" s="1" t="n">
        <v>381</v>
      </c>
      <c r="K296" s="1" t="n">
        <v>774</v>
      </c>
      <c r="L296" s="1" t="n">
        <v>24399.24</v>
      </c>
      <c r="M296" s="3" t="n">
        <v>122.856933294706</v>
      </c>
      <c r="N296" s="12" t="n">
        <v>0.0317222995470351</v>
      </c>
      <c r="O296" s="4" t="n">
        <v>43.9383</v>
      </c>
      <c r="P296" s="3" t="n">
        <v>195.113525980031</v>
      </c>
      <c r="Q296" s="4" t="n">
        <v>0.15</v>
      </c>
      <c r="R296" s="13" t="n">
        <f aca="false">P296/200000</f>
        <v>0.000975567629900153</v>
      </c>
      <c r="V296" s="4"/>
      <c r="W296" s="4"/>
    </row>
    <row r="297" customFormat="false" ht="14.25" hidden="false" customHeight="false" outlineLevel="0" collapsed="false">
      <c r="B297" s="1" t="n">
        <v>22.2</v>
      </c>
      <c r="C297" s="3" t="n">
        <v>276</v>
      </c>
      <c r="D297" s="1" t="n">
        <v>2</v>
      </c>
      <c r="E297" s="2" t="n">
        <v>63.6</v>
      </c>
      <c r="F297" s="4" t="n">
        <v>2.38460157103714</v>
      </c>
      <c r="G297" s="1" t="n">
        <v>38</v>
      </c>
      <c r="H297" s="1" t="n">
        <v>49.1</v>
      </c>
      <c r="I297" s="1" t="n">
        <v>152.4</v>
      </c>
      <c r="J297" s="1" t="n">
        <v>381</v>
      </c>
      <c r="K297" s="1" t="n">
        <v>774</v>
      </c>
      <c r="L297" s="1" t="n">
        <v>24399.24</v>
      </c>
      <c r="M297" s="3" t="n">
        <v>122.856933294706</v>
      </c>
      <c r="N297" s="12" t="n">
        <v>0.0317222995470351</v>
      </c>
      <c r="O297" s="4" t="n">
        <v>51.107</v>
      </c>
      <c r="P297" s="3" t="n">
        <v>226.947036463892</v>
      </c>
      <c r="Q297" s="4" t="n">
        <v>0.19</v>
      </c>
      <c r="R297" s="13" t="n">
        <f aca="false">P297/200000</f>
        <v>0.00113473518231946</v>
      </c>
      <c r="V297" s="4"/>
      <c r="W297" s="4"/>
    </row>
    <row r="298" customFormat="false" ht="14.25" hidden="false" customHeight="false" outlineLevel="0" collapsed="false">
      <c r="B298" s="1" t="n">
        <v>22.2</v>
      </c>
      <c r="C298" s="3" t="n">
        <v>276</v>
      </c>
      <c r="D298" s="1" t="n">
        <v>2</v>
      </c>
      <c r="E298" s="2" t="n">
        <v>63.6</v>
      </c>
      <c r="F298" s="4" t="n">
        <v>2.38460157103714</v>
      </c>
      <c r="G298" s="1" t="n">
        <v>38</v>
      </c>
      <c r="H298" s="1" t="n">
        <v>49.1</v>
      </c>
      <c r="I298" s="1" t="n">
        <v>152.4</v>
      </c>
      <c r="J298" s="1" t="n">
        <v>381</v>
      </c>
      <c r="K298" s="1" t="n">
        <v>774</v>
      </c>
      <c r="L298" s="1" t="n">
        <v>24399.24</v>
      </c>
      <c r="M298" s="3" t="n">
        <v>122.856933294706</v>
      </c>
      <c r="N298" s="12" t="n">
        <v>0.0317222995470351</v>
      </c>
      <c r="O298" s="4" t="n">
        <v>58.7559</v>
      </c>
      <c r="P298" s="3" t="n">
        <v>260.91293520983</v>
      </c>
      <c r="Q298" s="4" t="n">
        <v>0.22</v>
      </c>
      <c r="R298" s="13" t="n">
        <f aca="false">P298/200000</f>
        <v>0.00130456467604915</v>
      </c>
      <c r="V298" s="4"/>
      <c r="W298" s="4"/>
    </row>
    <row r="299" customFormat="false" ht="14.25" hidden="false" customHeight="false" outlineLevel="0" collapsed="false">
      <c r="B299" s="1" t="n">
        <v>22.2</v>
      </c>
      <c r="C299" s="3" t="n">
        <v>276</v>
      </c>
      <c r="D299" s="1" t="n">
        <v>2</v>
      </c>
      <c r="E299" s="2" t="n">
        <v>63.6</v>
      </c>
      <c r="F299" s="4" t="n">
        <v>2.38460157103714</v>
      </c>
      <c r="G299" s="1" t="n">
        <v>38</v>
      </c>
      <c r="H299" s="1" t="n">
        <v>49.1</v>
      </c>
      <c r="I299" s="1" t="n">
        <v>152.4</v>
      </c>
      <c r="J299" s="1" t="n">
        <v>381</v>
      </c>
      <c r="K299" s="1" t="n">
        <v>774</v>
      </c>
      <c r="L299" s="1" t="n">
        <v>24399.24</v>
      </c>
      <c r="M299" s="3" t="n">
        <v>122.856933294706</v>
      </c>
      <c r="N299" s="12" t="n">
        <v>0.0317222995470351</v>
      </c>
      <c r="O299" s="4" t="n">
        <v>66.199</v>
      </c>
      <c r="P299" s="3" t="n">
        <v>275.8</v>
      </c>
      <c r="Q299" s="4" t="n">
        <v>0.27</v>
      </c>
      <c r="R299" s="13" t="n">
        <f aca="false">P299/200000</f>
        <v>0.001379</v>
      </c>
      <c r="V299" s="4"/>
      <c r="W299" s="4"/>
    </row>
    <row r="300" customFormat="false" ht="14.25" hidden="false" customHeight="false" outlineLevel="0" collapsed="false">
      <c r="A300" s="0" t="s">
        <v>92</v>
      </c>
      <c r="B300" s="1" t="n">
        <v>22.2</v>
      </c>
      <c r="C300" s="3" t="n">
        <v>276</v>
      </c>
      <c r="D300" s="1" t="n">
        <v>2</v>
      </c>
      <c r="E300" s="2" t="n">
        <v>63.6</v>
      </c>
      <c r="F300" s="4" t="n">
        <v>2.86484234762008</v>
      </c>
      <c r="G300" s="1" t="n">
        <v>38</v>
      </c>
      <c r="H300" s="1" t="n">
        <v>49.1</v>
      </c>
      <c r="I300" s="1" t="n">
        <v>152.4</v>
      </c>
      <c r="J300" s="1" t="n">
        <v>381</v>
      </c>
      <c r="K300" s="1" t="n">
        <v>774</v>
      </c>
      <c r="L300" s="1" t="n">
        <v>24399.24</v>
      </c>
      <c r="M300" s="3" t="n">
        <v>118.551137802315</v>
      </c>
      <c r="N300" s="12" t="n">
        <v>0.0317222995470351</v>
      </c>
      <c r="O300" s="4" t="n">
        <v>58.7559</v>
      </c>
      <c r="P300" s="3" t="n">
        <v>259.632151766165</v>
      </c>
      <c r="Q300" s="4" t="n">
        <v>0.17</v>
      </c>
      <c r="R300" s="13" t="n">
        <f aca="false">P300/200000</f>
        <v>0.00129816075883082</v>
      </c>
      <c r="V300" s="4"/>
      <c r="W300" s="4"/>
    </row>
    <row r="301" customFormat="false" ht="14.25" hidden="false" customHeight="false" outlineLevel="0" collapsed="false">
      <c r="B301" s="1" t="n">
        <v>22.2</v>
      </c>
      <c r="C301" s="3" t="n">
        <v>276</v>
      </c>
      <c r="D301" s="1" t="n">
        <v>2</v>
      </c>
      <c r="E301" s="2" t="n">
        <v>63.6</v>
      </c>
      <c r="F301" s="4" t="n">
        <v>2.86484234762008</v>
      </c>
      <c r="G301" s="1" t="n">
        <v>38</v>
      </c>
      <c r="H301" s="1" t="n">
        <v>49.1</v>
      </c>
      <c r="I301" s="1" t="n">
        <v>152.4</v>
      </c>
      <c r="J301" s="1" t="n">
        <v>381</v>
      </c>
      <c r="K301" s="1" t="n">
        <v>774</v>
      </c>
      <c r="L301" s="1" t="n">
        <v>24399.24</v>
      </c>
      <c r="M301" s="3" t="n">
        <v>118.551137802315</v>
      </c>
      <c r="N301" s="12" t="n">
        <v>0.0317222995470351</v>
      </c>
      <c r="O301" s="4" t="n">
        <v>66.199</v>
      </c>
      <c r="P301" s="3" t="n">
        <v>275.8</v>
      </c>
      <c r="Q301" s="4" t="n">
        <v>0.2</v>
      </c>
      <c r="R301" s="13" t="n">
        <f aca="false">P301/200000</f>
        <v>0.001379</v>
      </c>
      <c r="V301" s="4"/>
      <c r="W301" s="4"/>
    </row>
    <row r="302" customFormat="false" ht="14.25" hidden="false" customHeight="false" outlineLevel="0" collapsed="false">
      <c r="A302" s="0" t="s">
        <v>93</v>
      </c>
      <c r="B302" s="1" t="n">
        <v>22.2</v>
      </c>
      <c r="C302" s="3" t="n">
        <v>276</v>
      </c>
      <c r="D302" s="1" t="n">
        <v>2</v>
      </c>
      <c r="E302" s="2" t="n">
        <v>63.6</v>
      </c>
      <c r="F302" s="4" t="n">
        <v>2.83369179024989</v>
      </c>
      <c r="G302" s="1" t="n">
        <v>38</v>
      </c>
      <c r="H302" s="1" t="n">
        <v>49.1</v>
      </c>
      <c r="I302" s="1" t="n">
        <v>152.4</v>
      </c>
      <c r="J302" s="1" t="n">
        <v>381</v>
      </c>
      <c r="K302" s="1" t="n">
        <v>774</v>
      </c>
      <c r="L302" s="1" t="n">
        <v>24399.24</v>
      </c>
      <c r="M302" s="3" t="n">
        <v>118.804893272016</v>
      </c>
      <c r="N302" s="12" t="n">
        <v>0.0317222995470351</v>
      </c>
      <c r="O302" s="4" t="n">
        <v>43.9383</v>
      </c>
      <c r="P302" s="3" t="n">
        <v>194.21192690601</v>
      </c>
      <c r="Q302" s="4" t="n">
        <v>0.15</v>
      </c>
      <c r="R302" s="13" t="n">
        <f aca="false">P302/200000</f>
        <v>0.00097105963453005</v>
      </c>
      <c r="V302" s="4"/>
      <c r="W302" s="4"/>
    </row>
    <row r="303" customFormat="false" ht="14.25" hidden="false" customHeight="false" outlineLevel="0" collapsed="false">
      <c r="B303" s="1" t="n">
        <v>22.2</v>
      </c>
      <c r="C303" s="3" t="n">
        <v>276</v>
      </c>
      <c r="D303" s="1" t="n">
        <v>2</v>
      </c>
      <c r="E303" s="2" t="n">
        <v>63.6</v>
      </c>
      <c r="F303" s="4" t="n">
        <v>2.83369179024989</v>
      </c>
      <c r="G303" s="1" t="n">
        <v>38</v>
      </c>
      <c r="H303" s="1" t="n">
        <v>49.1</v>
      </c>
      <c r="I303" s="1" t="n">
        <v>152.4</v>
      </c>
      <c r="J303" s="1" t="n">
        <v>381</v>
      </c>
      <c r="K303" s="1" t="n">
        <v>774</v>
      </c>
      <c r="L303" s="1" t="n">
        <v>24399.24</v>
      </c>
      <c r="M303" s="3" t="n">
        <v>118.804893272016</v>
      </c>
      <c r="N303" s="12" t="n">
        <v>0.0317222995470351</v>
      </c>
      <c r="O303" s="4" t="n">
        <v>51.107</v>
      </c>
      <c r="P303" s="3" t="n">
        <v>225.898338087397</v>
      </c>
      <c r="Q303" s="4" t="n">
        <v>0.18</v>
      </c>
      <c r="R303" s="13" t="n">
        <f aca="false">P303/200000</f>
        <v>0.00112949169043698</v>
      </c>
      <c r="V303" s="4"/>
      <c r="W303" s="4"/>
    </row>
    <row r="304" customFormat="false" ht="14.25" hidden="false" customHeight="false" outlineLevel="0" collapsed="false">
      <c r="B304" s="1" t="n">
        <v>22.2</v>
      </c>
      <c r="C304" s="3" t="n">
        <v>276</v>
      </c>
      <c r="D304" s="1" t="n">
        <v>2</v>
      </c>
      <c r="E304" s="2" t="n">
        <v>63.6</v>
      </c>
      <c r="F304" s="4" t="n">
        <v>2.83369179024989</v>
      </c>
      <c r="G304" s="1" t="n">
        <v>38</v>
      </c>
      <c r="H304" s="1" t="n">
        <v>49.1</v>
      </c>
      <c r="I304" s="1" t="n">
        <v>152.4</v>
      </c>
      <c r="J304" s="1" t="n">
        <v>381</v>
      </c>
      <c r="K304" s="1" t="n">
        <v>774</v>
      </c>
      <c r="L304" s="1" t="n">
        <v>24399.24</v>
      </c>
      <c r="M304" s="3" t="n">
        <v>118.804893272016</v>
      </c>
      <c r="N304" s="12" t="n">
        <v>0.0317222995470351</v>
      </c>
      <c r="O304" s="4" t="n">
        <v>58.7559</v>
      </c>
      <c r="P304" s="3" t="n">
        <v>259.707283989067</v>
      </c>
      <c r="Q304" s="4" t="n">
        <v>0.22</v>
      </c>
      <c r="R304" s="13" t="n">
        <f aca="false">P304/200000</f>
        <v>0.00129853641994534</v>
      </c>
      <c r="V304" s="4"/>
      <c r="W304" s="4"/>
    </row>
    <row r="305" customFormat="false" ht="14.25" hidden="false" customHeight="false" outlineLevel="0" collapsed="false">
      <c r="B305" s="1" t="n">
        <v>22.2</v>
      </c>
      <c r="C305" s="3" t="n">
        <v>276</v>
      </c>
      <c r="D305" s="1" t="n">
        <v>2</v>
      </c>
      <c r="E305" s="2" t="n">
        <v>63.6</v>
      </c>
      <c r="F305" s="4" t="n">
        <v>2.83369179024989</v>
      </c>
      <c r="G305" s="1" t="n">
        <v>38</v>
      </c>
      <c r="H305" s="1" t="n">
        <v>49.1</v>
      </c>
      <c r="I305" s="1" t="n">
        <v>152.4</v>
      </c>
      <c r="J305" s="1" t="n">
        <v>381</v>
      </c>
      <c r="K305" s="1" t="n">
        <v>774</v>
      </c>
      <c r="L305" s="1" t="n">
        <v>24399.24</v>
      </c>
      <c r="M305" s="3" t="n">
        <v>118.804893272016</v>
      </c>
      <c r="N305" s="12" t="n">
        <v>0.0317222995470351</v>
      </c>
      <c r="O305" s="4" t="n">
        <v>66.199</v>
      </c>
      <c r="P305" s="3" t="n">
        <v>275.8</v>
      </c>
      <c r="Q305" s="4" t="n">
        <v>0.25</v>
      </c>
      <c r="R305" s="13" t="n">
        <f aca="false">P305/200000</f>
        <v>0.001379</v>
      </c>
      <c r="V305" s="4"/>
      <c r="W305" s="4"/>
    </row>
    <row r="306" customFormat="false" ht="14.25" hidden="false" customHeight="false" outlineLevel="0" collapsed="false">
      <c r="A306" s="0" t="s">
        <v>94</v>
      </c>
      <c r="B306" s="1" t="n">
        <v>22.2</v>
      </c>
      <c r="C306" s="3" t="n">
        <v>276</v>
      </c>
      <c r="D306" s="1" t="n">
        <v>2</v>
      </c>
      <c r="E306" s="2" t="n">
        <v>63.6</v>
      </c>
      <c r="F306" s="4" t="n">
        <v>2.75637342683892</v>
      </c>
      <c r="G306" s="1" t="n">
        <v>38</v>
      </c>
      <c r="H306" s="1" t="n">
        <v>49.1</v>
      </c>
      <c r="I306" s="1" t="n">
        <v>152.4</v>
      </c>
      <c r="J306" s="1" t="n">
        <v>381</v>
      </c>
      <c r="K306" s="1" t="n">
        <v>774</v>
      </c>
      <c r="L306" s="1" t="n">
        <v>24399.24</v>
      </c>
      <c r="M306" s="3" t="n">
        <v>119.448592270941</v>
      </c>
      <c r="N306" s="12" t="n">
        <v>0.0317222995470351</v>
      </c>
      <c r="O306" s="4" t="n">
        <v>43.9383</v>
      </c>
      <c r="P306" s="3" t="n">
        <v>194.354596032503</v>
      </c>
      <c r="Q306" s="4" t="n">
        <v>0.2</v>
      </c>
      <c r="R306" s="13" t="n">
        <f aca="false">P306/200000</f>
        <v>0.000971772980162513</v>
      </c>
      <c r="V306" s="4"/>
      <c r="W306" s="4"/>
    </row>
    <row r="307" customFormat="false" ht="14.25" hidden="false" customHeight="false" outlineLevel="0" collapsed="false">
      <c r="B307" s="1" t="n">
        <v>22.2</v>
      </c>
      <c r="C307" s="3" t="n">
        <v>276</v>
      </c>
      <c r="D307" s="1" t="n">
        <v>2</v>
      </c>
      <c r="E307" s="2" t="n">
        <v>63.6</v>
      </c>
      <c r="F307" s="4" t="n">
        <v>2.75637342683892</v>
      </c>
      <c r="G307" s="1" t="n">
        <v>38</v>
      </c>
      <c r="H307" s="1" t="n">
        <v>49.1</v>
      </c>
      <c r="I307" s="1" t="n">
        <v>152.4</v>
      </c>
      <c r="J307" s="1" t="n">
        <v>381</v>
      </c>
      <c r="K307" s="1" t="n">
        <v>774</v>
      </c>
      <c r="L307" s="1" t="n">
        <v>24399.24</v>
      </c>
      <c r="M307" s="3" t="n">
        <v>119.448592270941</v>
      </c>
      <c r="N307" s="12" t="n">
        <v>0.0317222995470351</v>
      </c>
      <c r="O307" s="4" t="n">
        <v>51.107</v>
      </c>
      <c r="P307" s="3" t="n">
        <v>226.064284222037</v>
      </c>
      <c r="Q307" s="4" t="n">
        <v>0.25</v>
      </c>
      <c r="R307" s="13" t="n">
        <f aca="false">P307/200000</f>
        <v>0.00113032142111018</v>
      </c>
      <c r="V307" s="4"/>
      <c r="W307" s="4"/>
    </row>
    <row r="308" customFormat="false" ht="14.25" hidden="false" customHeight="false" outlineLevel="0" collapsed="false">
      <c r="B308" s="1" t="n">
        <v>22.2</v>
      </c>
      <c r="C308" s="3" t="n">
        <v>276</v>
      </c>
      <c r="D308" s="1" t="n">
        <v>2</v>
      </c>
      <c r="E308" s="2" t="n">
        <v>63.6</v>
      </c>
      <c r="F308" s="4" t="n">
        <v>2.75637342683892</v>
      </c>
      <c r="G308" s="1" t="n">
        <v>38</v>
      </c>
      <c r="H308" s="1" t="n">
        <v>49.1</v>
      </c>
      <c r="I308" s="1" t="n">
        <v>152.4</v>
      </c>
      <c r="J308" s="1" t="n">
        <v>381</v>
      </c>
      <c r="K308" s="1" t="n">
        <v>774</v>
      </c>
      <c r="L308" s="1" t="n">
        <v>24399.24</v>
      </c>
      <c r="M308" s="3" t="n">
        <v>119.448592270941</v>
      </c>
      <c r="N308" s="12" t="n">
        <v>0.0317222995470351</v>
      </c>
      <c r="O308" s="4" t="n">
        <v>58.7559</v>
      </c>
      <c r="P308" s="3" t="n">
        <v>259.898066357281</v>
      </c>
      <c r="Q308" s="4" t="n">
        <v>0.3</v>
      </c>
      <c r="R308" s="13" t="n">
        <f aca="false">P308/200000</f>
        <v>0.00129949033178641</v>
      </c>
      <c r="V308" s="4"/>
      <c r="W308" s="4"/>
    </row>
    <row r="309" customFormat="false" ht="14.25" hidden="false" customHeight="false" outlineLevel="0" collapsed="false">
      <c r="B309" s="1" t="n">
        <v>22.2</v>
      </c>
      <c r="C309" s="3" t="n">
        <v>276</v>
      </c>
      <c r="D309" s="1" t="n">
        <v>2</v>
      </c>
      <c r="E309" s="2" t="n">
        <v>63.6</v>
      </c>
      <c r="F309" s="4" t="n">
        <v>2.75637342683892</v>
      </c>
      <c r="G309" s="1" t="n">
        <v>38</v>
      </c>
      <c r="H309" s="1" t="n">
        <v>49.1</v>
      </c>
      <c r="I309" s="1" t="n">
        <v>152.4</v>
      </c>
      <c r="J309" s="1" t="n">
        <v>381</v>
      </c>
      <c r="K309" s="1" t="n">
        <v>774</v>
      </c>
      <c r="L309" s="1" t="n">
        <v>24399.24</v>
      </c>
      <c r="M309" s="3" t="n">
        <v>119.448592270941</v>
      </c>
      <c r="N309" s="12" t="n">
        <v>0.0317222995470351</v>
      </c>
      <c r="O309" s="4" t="n">
        <v>66.199</v>
      </c>
      <c r="P309" s="3" t="n">
        <v>275.8</v>
      </c>
      <c r="Q309" s="4" t="n">
        <v>0.35</v>
      </c>
      <c r="R309" s="13" t="n">
        <f aca="false">P309/200000</f>
        <v>0.001379</v>
      </c>
      <c r="V309" s="4"/>
      <c r="W309" s="4"/>
    </row>
    <row r="310" customFormat="false" ht="14.25" hidden="false" customHeight="false" outlineLevel="0" collapsed="false">
      <c r="A310" s="0" t="s">
        <v>95</v>
      </c>
      <c r="B310" s="1" t="n">
        <v>28.7</v>
      </c>
      <c r="C310" s="3" t="n">
        <v>276</v>
      </c>
      <c r="D310" s="1" t="n">
        <v>2</v>
      </c>
      <c r="E310" s="2" t="n">
        <v>50.6</v>
      </c>
      <c r="F310" s="4" t="n">
        <v>2.77481740215607</v>
      </c>
      <c r="G310" s="1" t="n">
        <v>22.2</v>
      </c>
      <c r="H310" s="1" t="n">
        <v>36.6</v>
      </c>
      <c r="I310" s="1" t="n">
        <v>152.4</v>
      </c>
      <c r="J310" s="1" t="n">
        <v>381</v>
      </c>
      <c r="K310" s="1" t="n">
        <v>1290</v>
      </c>
      <c r="L310" s="1" t="n">
        <v>19522.44</v>
      </c>
      <c r="M310" s="3" t="n">
        <v>148.014985731185</v>
      </c>
      <c r="N310" s="12" t="n">
        <v>0.0660778058480395</v>
      </c>
      <c r="O310" s="4" t="n">
        <v>89.1114</v>
      </c>
      <c r="P310" s="3" t="n">
        <v>234.115818289886</v>
      </c>
      <c r="Q310" s="4" t="n">
        <v>0.17</v>
      </c>
      <c r="R310" s="13" t="n">
        <f aca="false">P310/200000</f>
        <v>0.00117057909144943</v>
      </c>
      <c r="V310" s="4"/>
      <c r="W310" s="4"/>
    </row>
    <row r="311" customFormat="false" ht="14.25" hidden="false" customHeight="false" outlineLevel="0" collapsed="false">
      <c r="B311" s="1" t="n">
        <v>28.7</v>
      </c>
      <c r="C311" s="3" t="n">
        <v>276</v>
      </c>
      <c r="D311" s="1" t="n">
        <v>2</v>
      </c>
      <c r="E311" s="2" t="n">
        <v>50.6</v>
      </c>
      <c r="F311" s="4" t="n">
        <v>2.77481740215607</v>
      </c>
      <c r="G311" s="1" t="n">
        <v>22.2</v>
      </c>
      <c r="H311" s="1" t="n">
        <v>36.6</v>
      </c>
      <c r="I311" s="1" t="n">
        <v>152.4</v>
      </c>
      <c r="J311" s="1" t="n">
        <v>381</v>
      </c>
      <c r="K311" s="1" t="n">
        <v>1290</v>
      </c>
      <c r="L311" s="1" t="n">
        <v>19522.44</v>
      </c>
      <c r="M311" s="3" t="n">
        <v>148.014985731185</v>
      </c>
      <c r="N311" s="12" t="n">
        <v>0.0660778058480395</v>
      </c>
      <c r="O311" s="4" t="n">
        <v>104.615</v>
      </c>
      <c r="P311" s="3" t="n">
        <v>274.847284751406</v>
      </c>
      <c r="Q311" s="4" t="n">
        <v>0.2</v>
      </c>
      <c r="R311" s="13" t="n">
        <f aca="false">P311/200000</f>
        <v>0.00137423642375703</v>
      </c>
      <c r="V311" s="4"/>
      <c r="W311" s="4"/>
    </row>
    <row r="312" customFormat="false" ht="14.25" hidden="false" customHeight="false" outlineLevel="0" collapsed="false">
      <c r="A312" s="0" t="s">
        <v>96</v>
      </c>
      <c r="B312" s="1" t="n">
        <v>28.7</v>
      </c>
      <c r="C312" s="3" t="n">
        <v>276</v>
      </c>
      <c r="D312" s="1" t="n">
        <v>2</v>
      </c>
      <c r="E312" s="2" t="n">
        <v>50.6</v>
      </c>
      <c r="F312" s="4" t="n">
        <v>2.80171464705939</v>
      </c>
      <c r="G312" s="1" t="n">
        <v>38.2</v>
      </c>
      <c r="H312" s="1" t="n">
        <v>52.5</v>
      </c>
      <c r="I312" s="1" t="n">
        <v>152.4</v>
      </c>
      <c r="J312" s="1" t="n">
        <v>381</v>
      </c>
      <c r="K312" s="1" t="n">
        <v>1290</v>
      </c>
      <c r="L312" s="1" t="n">
        <v>28003.5</v>
      </c>
      <c r="M312" s="3" t="n">
        <v>143.366253802848</v>
      </c>
      <c r="N312" s="12" t="n">
        <v>0.0460656703626332</v>
      </c>
      <c r="O312" s="4" t="n">
        <v>64.9985</v>
      </c>
      <c r="P312" s="3" t="n">
        <v>179.495600322604</v>
      </c>
      <c r="Q312" s="4" t="n">
        <v>0.17</v>
      </c>
      <c r="R312" s="13" t="n">
        <f aca="false">P312/200000</f>
        <v>0.000897478001613021</v>
      </c>
      <c r="V312" s="4"/>
      <c r="W312" s="4"/>
    </row>
    <row r="313" customFormat="false" ht="14.25" hidden="false" customHeight="false" outlineLevel="0" collapsed="false">
      <c r="B313" s="1" t="n">
        <v>28.7</v>
      </c>
      <c r="C313" s="3" t="n">
        <v>276</v>
      </c>
      <c r="D313" s="1" t="n">
        <v>2</v>
      </c>
      <c r="E313" s="2" t="n">
        <v>50.6</v>
      </c>
      <c r="F313" s="4" t="n">
        <v>2.80171464705939</v>
      </c>
      <c r="G313" s="1" t="n">
        <v>38.2</v>
      </c>
      <c r="H313" s="1" t="n">
        <v>52.5</v>
      </c>
      <c r="I313" s="1" t="n">
        <v>152.4</v>
      </c>
      <c r="J313" s="1" t="n">
        <v>381</v>
      </c>
      <c r="K313" s="1" t="n">
        <v>1290</v>
      </c>
      <c r="L313" s="1" t="n">
        <v>28003.5</v>
      </c>
      <c r="M313" s="3" t="n">
        <v>143.366253802848</v>
      </c>
      <c r="N313" s="12" t="n">
        <v>0.0460656703626332</v>
      </c>
      <c r="O313" s="4" t="n">
        <v>77.0378</v>
      </c>
      <c r="P313" s="3" t="n">
        <v>212.742542651488</v>
      </c>
      <c r="Q313" s="4" t="n">
        <v>0.2</v>
      </c>
      <c r="R313" s="13" t="n">
        <f aca="false">P313/200000</f>
        <v>0.00106371271325744</v>
      </c>
      <c r="V313" s="4"/>
      <c r="W313" s="4"/>
    </row>
    <row r="314" customFormat="false" ht="14.25" hidden="false" customHeight="false" outlineLevel="0" collapsed="false">
      <c r="B314" s="1" t="n">
        <v>28.7</v>
      </c>
      <c r="C314" s="3" t="n">
        <v>276</v>
      </c>
      <c r="D314" s="1" t="n">
        <v>2</v>
      </c>
      <c r="E314" s="2" t="n">
        <v>50.6</v>
      </c>
      <c r="F314" s="4" t="n">
        <v>2.80171464705939</v>
      </c>
      <c r="G314" s="1" t="n">
        <v>38.2</v>
      </c>
      <c r="H314" s="1" t="n">
        <v>52.5</v>
      </c>
      <c r="I314" s="1" t="n">
        <v>152.4</v>
      </c>
      <c r="J314" s="1" t="n">
        <v>381</v>
      </c>
      <c r="K314" s="1" t="n">
        <v>1290</v>
      </c>
      <c r="L314" s="1" t="n">
        <v>28003.5</v>
      </c>
      <c r="M314" s="3" t="n">
        <v>143.366253802848</v>
      </c>
      <c r="N314" s="12" t="n">
        <v>0.0460656703626332</v>
      </c>
      <c r="O314" s="4" t="n">
        <v>88.8027</v>
      </c>
      <c r="P314" s="3" t="n">
        <v>245.231719913046</v>
      </c>
      <c r="Q314" s="4" t="n">
        <v>0.25</v>
      </c>
      <c r="R314" s="13" t="n">
        <f aca="false">P314/200000</f>
        <v>0.00122615859956523</v>
      </c>
      <c r="V314" s="4"/>
      <c r="W314" s="4"/>
    </row>
    <row r="315" customFormat="false" ht="14.25" hidden="false" customHeight="false" outlineLevel="0" collapsed="false">
      <c r="B315" s="1" t="n">
        <v>28.7</v>
      </c>
      <c r="C315" s="3" t="n">
        <v>276</v>
      </c>
      <c r="D315" s="1" t="n">
        <v>2</v>
      </c>
      <c r="E315" s="2" t="n">
        <v>50.6</v>
      </c>
      <c r="F315" s="4" t="n">
        <v>2.80171464705939</v>
      </c>
      <c r="G315" s="1" t="n">
        <v>38.2</v>
      </c>
      <c r="H315" s="1" t="n">
        <v>52.5</v>
      </c>
      <c r="I315" s="1" t="n">
        <v>152.4</v>
      </c>
      <c r="J315" s="1" t="n">
        <v>381</v>
      </c>
      <c r="K315" s="1" t="n">
        <v>1290</v>
      </c>
      <c r="L315" s="1" t="n">
        <v>28003.5</v>
      </c>
      <c r="M315" s="3" t="n">
        <v>143.366253802848</v>
      </c>
      <c r="N315" s="12" t="n">
        <v>0.0460656703626332</v>
      </c>
      <c r="O315" s="4" t="n">
        <v>104.615</v>
      </c>
      <c r="P315" s="3" t="n">
        <v>275.8</v>
      </c>
      <c r="Q315" s="4" t="n">
        <v>0.29</v>
      </c>
      <c r="R315" s="13" t="n">
        <f aca="false">P315/200000</f>
        <v>0.001379</v>
      </c>
      <c r="V315" s="4"/>
      <c r="W315" s="4"/>
    </row>
    <row r="316" customFormat="false" ht="14.25" hidden="false" customHeight="false" outlineLevel="0" collapsed="false">
      <c r="A316" s="0" t="s">
        <v>97</v>
      </c>
      <c r="B316" s="1" t="n">
        <v>28.7</v>
      </c>
      <c r="C316" s="3" t="n">
        <v>276</v>
      </c>
      <c r="D316" s="1" t="n">
        <v>2</v>
      </c>
      <c r="E316" s="2" t="n">
        <v>50.6</v>
      </c>
      <c r="F316" s="4" t="n">
        <v>2.71531164579845</v>
      </c>
      <c r="G316" s="1" t="n">
        <v>38.2</v>
      </c>
      <c r="H316" s="1" t="n">
        <v>52.5</v>
      </c>
      <c r="I316" s="1" t="n">
        <v>152.4</v>
      </c>
      <c r="J316" s="1" t="n">
        <v>381</v>
      </c>
      <c r="K316" s="1" t="n">
        <v>1290</v>
      </c>
      <c r="L316" s="1" t="n">
        <v>28003.5</v>
      </c>
      <c r="M316" s="3" t="n">
        <v>144.176756028631</v>
      </c>
      <c r="N316" s="12" t="n">
        <v>0.0460656703626332</v>
      </c>
      <c r="O316" s="4" t="n">
        <v>77.0378</v>
      </c>
      <c r="P316" s="3" t="n">
        <v>212.947491588265</v>
      </c>
      <c r="Q316" s="4" t="n">
        <v>0.17</v>
      </c>
      <c r="R316" s="13" t="n">
        <f aca="false">P316/200000</f>
        <v>0.00106473745794132</v>
      </c>
      <c r="V316" s="4"/>
      <c r="W316" s="4"/>
    </row>
    <row r="317" customFormat="false" ht="14.25" hidden="false" customHeight="false" outlineLevel="0" collapsed="false">
      <c r="A317" s="0" t="s">
        <v>98</v>
      </c>
      <c r="B317" s="1" t="n">
        <v>28.7</v>
      </c>
      <c r="C317" s="3" t="n">
        <v>276</v>
      </c>
      <c r="D317" s="1" t="n">
        <v>2</v>
      </c>
      <c r="E317" s="2" t="n">
        <v>50.6</v>
      </c>
      <c r="F317" s="4" t="n">
        <v>2.80171464705939</v>
      </c>
      <c r="G317" s="1" t="n">
        <v>38.2</v>
      </c>
      <c r="H317" s="1" t="n">
        <v>52.5</v>
      </c>
      <c r="I317" s="1" t="n">
        <v>152.4</v>
      </c>
      <c r="J317" s="1" t="n">
        <v>381</v>
      </c>
      <c r="K317" s="1" t="n">
        <v>1290</v>
      </c>
      <c r="L317" s="1" t="n">
        <v>28003.5</v>
      </c>
      <c r="M317" s="3" t="n">
        <v>143.366253802848</v>
      </c>
      <c r="N317" s="12" t="n">
        <v>0.0460656703626332</v>
      </c>
      <c r="O317" s="4" t="n">
        <v>64.9985</v>
      </c>
      <c r="P317" s="3" t="n">
        <v>179.495600322604</v>
      </c>
      <c r="Q317" s="4" t="n">
        <v>0.15</v>
      </c>
      <c r="R317" s="13" t="n">
        <f aca="false">P317/200000</f>
        <v>0.000897478001613021</v>
      </c>
      <c r="V317" s="4"/>
      <c r="W317" s="4"/>
    </row>
    <row r="318" customFormat="false" ht="14.25" hidden="false" customHeight="false" outlineLevel="0" collapsed="false">
      <c r="B318" s="1" t="n">
        <v>28.7</v>
      </c>
      <c r="C318" s="3" t="n">
        <v>276</v>
      </c>
      <c r="D318" s="1" t="n">
        <v>2</v>
      </c>
      <c r="E318" s="2" t="n">
        <v>50.6</v>
      </c>
      <c r="F318" s="4" t="n">
        <v>2.80171464705939</v>
      </c>
      <c r="G318" s="1" t="n">
        <v>38.2</v>
      </c>
      <c r="H318" s="1" t="n">
        <v>52.5</v>
      </c>
      <c r="I318" s="1" t="n">
        <v>152.4</v>
      </c>
      <c r="J318" s="1" t="n">
        <v>381</v>
      </c>
      <c r="K318" s="1" t="n">
        <v>1290</v>
      </c>
      <c r="L318" s="1" t="n">
        <v>28003.5</v>
      </c>
      <c r="M318" s="3" t="n">
        <v>143.366253802848</v>
      </c>
      <c r="N318" s="12" t="n">
        <v>0.0460656703626332</v>
      </c>
      <c r="O318" s="4" t="n">
        <v>77.0378</v>
      </c>
      <c r="P318" s="3" t="n">
        <v>212.742542651488</v>
      </c>
      <c r="Q318" s="4" t="n">
        <v>0.16</v>
      </c>
      <c r="R318" s="13" t="n">
        <f aca="false">P318/200000</f>
        <v>0.00106371271325744</v>
      </c>
      <c r="V318" s="4"/>
      <c r="W318" s="4"/>
    </row>
    <row r="319" customFormat="false" ht="14.25" hidden="false" customHeight="false" outlineLevel="0" collapsed="false">
      <c r="B319" s="1" t="n">
        <v>28.7</v>
      </c>
      <c r="C319" s="3" t="n">
        <v>276</v>
      </c>
      <c r="D319" s="1" t="n">
        <v>2</v>
      </c>
      <c r="E319" s="2" t="n">
        <v>50.6</v>
      </c>
      <c r="F319" s="4" t="n">
        <v>2.80171464705939</v>
      </c>
      <c r="G319" s="1" t="n">
        <v>38.2</v>
      </c>
      <c r="H319" s="1" t="n">
        <v>52.5</v>
      </c>
      <c r="I319" s="1" t="n">
        <v>152.4</v>
      </c>
      <c r="J319" s="1" t="n">
        <v>381</v>
      </c>
      <c r="K319" s="1" t="n">
        <v>1290</v>
      </c>
      <c r="L319" s="1" t="n">
        <v>28003.5</v>
      </c>
      <c r="M319" s="3" t="n">
        <v>143.366253802848</v>
      </c>
      <c r="N319" s="12" t="n">
        <v>0.0460656703626332</v>
      </c>
      <c r="O319" s="4" t="n">
        <v>88.8027</v>
      </c>
      <c r="P319" s="3" t="n">
        <v>245.231719913046</v>
      </c>
      <c r="Q319" s="4" t="n">
        <v>0.22</v>
      </c>
      <c r="R319" s="13" t="n">
        <f aca="false">P319/200000</f>
        <v>0.00122615859956523</v>
      </c>
      <c r="V319" s="4"/>
      <c r="W319" s="4"/>
    </row>
    <row r="320" customFormat="false" ht="14.25" hidden="false" customHeight="false" outlineLevel="0" collapsed="false">
      <c r="B320" s="1" t="n">
        <v>28.7</v>
      </c>
      <c r="C320" s="3" t="n">
        <v>276</v>
      </c>
      <c r="D320" s="1" t="n">
        <v>2</v>
      </c>
      <c r="E320" s="2" t="n">
        <v>50.6</v>
      </c>
      <c r="F320" s="4" t="n">
        <v>2.80171464705939</v>
      </c>
      <c r="G320" s="1" t="n">
        <v>38.2</v>
      </c>
      <c r="H320" s="1" t="n">
        <v>52.5</v>
      </c>
      <c r="I320" s="1" t="n">
        <v>152.4</v>
      </c>
      <c r="J320" s="1" t="n">
        <v>381</v>
      </c>
      <c r="K320" s="1" t="n">
        <v>1290</v>
      </c>
      <c r="L320" s="1" t="n">
        <v>28003.5</v>
      </c>
      <c r="M320" s="3" t="n">
        <v>143.366253802848</v>
      </c>
      <c r="N320" s="12" t="n">
        <v>0.0460656703626332</v>
      </c>
      <c r="O320" s="4" t="n">
        <v>104.615</v>
      </c>
      <c r="P320" s="3" t="n">
        <v>275.8</v>
      </c>
      <c r="Q320" s="4" t="n">
        <v>0.26</v>
      </c>
      <c r="R320" s="13" t="n">
        <f aca="false">P320/200000</f>
        <v>0.001379</v>
      </c>
      <c r="V320" s="4"/>
      <c r="W320" s="4"/>
    </row>
    <row r="321" customFormat="false" ht="14.25" hidden="false" customHeight="false" outlineLevel="0" collapsed="false">
      <c r="A321" s="0" t="s">
        <v>99</v>
      </c>
      <c r="B321" s="1" t="n">
        <v>28.7</v>
      </c>
      <c r="C321" s="3" t="n">
        <v>276</v>
      </c>
      <c r="D321" s="1" t="n">
        <v>2</v>
      </c>
      <c r="E321" s="2" t="n">
        <v>50.6</v>
      </c>
      <c r="F321" s="4" t="n">
        <v>2.52444806810338</v>
      </c>
      <c r="G321" s="1" t="n">
        <v>38.2</v>
      </c>
      <c r="H321" s="1" t="n">
        <v>52.5</v>
      </c>
      <c r="I321" s="1" t="n">
        <v>152.4</v>
      </c>
      <c r="J321" s="1" t="n">
        <v>381</v>
      </c>
      <c r="K321" s="1" t="n">
        <v>1290</v>
      </c>
      <c r="L321" s="1" t="n">
        <v>28003.5</v>
      </c>
      <c r="M321" s="3" t="n">
        <v>146.0713467674</v>
      </c>
      <c r="N321" s="12" t="n">
        <v>0.0460656703626332</v>
      </c>
      <c r="O321" s="4" t="n">
        <v>77.0378</v>
      </c>
      <c r="P321" s="3" t="n">
        <v>213.428114144873</v>
      </c>
      <c r="Q321" s="4" t="n">
        <v>0.17</v>
      </c>
      <c r="R321" s="13" t="n">
        <f aca="false">P321/200000</f>
        <v>0.00106714057072437</v>
      </c>
      <c r="V321" s="4"/>
      <c r="W321" s="4"/>
    </row>
    <row r="322" customFormat="false" ht="14.25" hidden="false" customHeight="false" outlineLevel="0" collapsed="false">
      <c r="B322" s="1" t="n">
        <v>28.7</v>
      </c>
      <c r="C322" s="3" t="n">
        <v>276</v>
      </c>
      <c r="D322" s="1" t="n">
        <v>2</v>
      </c>
      <c r="E322" s="2" t="n">
        <v>50.6</v>
      </c>
      <c r="F322" s="4" t="n">
        <v>2.52444806810338</v>
      </c>
      <c r="G322" s="1" t="n">
        <v>38.2</v>
      </c>
      <c r="H322" s="1" t="n">
        <v>52.5</v>
      </c>
      <c r="I322" s="1" t="n">
        <v>152.4</v>
      </c>
      <c r="J322" s="1" t="n">
        <v>381</v>
      </c>
      <c r="K322" s="1" t="n">
        <v>1290</v>
      </c>
      <c r="L322" s="1" t="n">
        <v>28003.5</v>
      </c>
      <c r="M322" s="3" t="n">
        <v>146.0713467674</v>
      </c>
      <c r="N322" s="12" t="n">
        <v>0.0460656703626332</v>
      </c>
      <c r="O322" s="4" t="n">
        <v>88.8027</v>
      </c>
      <c r="P322" s="3" t="n">
        <v>246.021989101103</v>
      </c>
      <c r="Q322" s="4" t="n">
        <v>0.2</v>
      </c>
      <c r="R322" s="13" t="n">
        <f aca="false">P322/200000</f>
        <v>0.00123010994550551</v>
      </c>
      <c r="V322" s="4"/>
      <c r="W322" s="4"/>
    </row>
    <row r="323" customFormat="false" ht="14.25" hidden="false" customHeight="false" outlineLevel="0" collapsed="false">
      <c r="B323" s="1" t="n">
        <v>28.7</v>
      </c>
      <c r="C323" s="3" t="n">
        <v>276</v>
      </c>
      <c r="D323" s="1" t="n">
        <v>2</v>
      </c>
      <c r="E323" s="2" t="n">
        <v>50.6</v>
      </c>
      <c r="F323" s="4" t="n">
        <v>2.52444806810338</v>
      </c>
      <c r="G323" s="1" t="n">
        <v>38.2</v>
      </c>
      <c r="H323" s="1" t="n">
        <v>52.5</v>
      </c>
      <c r="I323" s="1" t="n">
        <v>152.4</v>
      </c>
      <c r="J323" s="1" t="n">
        <v>381</v>
      </c>
      <c r="K323" s="1" t="n">
        <v>1290</v>
      </c>
      <c r="L323" s="1" t="n">
        <v>28003.5</v>
      </c>
      <c r="M323" s="3" t="n">
        <v>146.0713467674</v>
      </c>
      <c r="N323" s="12" t="n">
        <v>0.0460656703626332</v>
      </c>
      <c r="O323" s="4" t="n">
        <v>104.615</v>
      </c>
      <c r="P323" s="3" t="n">
        <v>275.8</v>
      </c>
      <c r="Q323" s="4" t="n">
        <v>0.24</v>
      </c>
      <c r="R323" s="13" t="n">
        <f aca="false">P323/200000</f>
        <v>0.001379</v>
      </c>
      <c r="V323" s="4"/>
      <c r="W323" s="4"/>
    </row>
    <row r="324" customFormat="false" ht="14.25" hidden="false" customHeight="false" outlineLevel="0" collapsed="false">
      <c r="A324" s="0" t="s">
        <v>100</v>
      </c>
      <c r="B324" s="1" t="n">
        <v>32.3</v>
      </c>
      <c r="C324" s="3" t="n">
        <v>276</v>
      </c>
      <c r="D324" s="1" t="n">
        <v>1</v>
      </c>
      <c r="E324" s="2" t="n">
        <v>60</v>
      </c>
      <c r="F324" s="4" t="n">
        <v>2.53821845332793</v>
      </c>
      <c r="G324" s="1" t="n">
        <v>38.3</v>
      </c>
      <c r="H324" s="1" t="n">
        <v>54.4</v>
      </c>
      <c r="I324" s="1" t="n">
        <v>152.4</v>
      </c>
      <c r="J324" s="1" t="n">
        <v>381</v>
      </c>
      <c r="K324" s="1" t="n">
        <v>819</v>
      </c>
      <c r="L324" s="1" t="n">
        <v>29016.96</v>
      </c>
      <c r="M324" s="3" t="n">
        <v>122.838831239211</v>
      </c>
      <c r="N324" s="12" t="n">
        <v>0.0282248726262158</v>
      </c>
      <c r="O324" s="4" t="n">
        <v>39.9595</v>
      </c>
      <c r="P324" s="3" t="n">
        <v>170.803299154682</v>
      </c>
      <c r="Q324" s="4" t="n">
        <v>0.17</v>
      </c>
      <c r="R324" s="13" t="n">
        <f aca="false">P324/200000</f>
        <v>0.00085401649577341</v>
      </c>
      <c r="V324" s="4"/>
      <c r="W324" s="4"/>
    </row>
    <row r="325" customFormat="false" ht="14.25" hidden="false" customHeight="false" outlineLevel="0" collapsed="false">
      <c r="B325" s="1" t="n">
        <v>32.3</v>
      </c>
      <c r="C325" s="3" t="n">
        <v>276</v>
      </c>
      <c r="D325" s="1" t="n">
        <v>1</v>
      </c>
      <c r="E325" s="2" t="n">
        <v>60</v>
      </c>
      <c r="F325" s="4" t="n">
        <v>2.53821845332793</v>
      </c>
      <c r="G325" s="1" t="n">
        <v>38.3</v>
      </c>
      <c r="H325" s="1" t="n">
        <v>54.4</v>
      </c>
      <c r="I325" s="1" t="n">
        <v>152.4</v>
      </c>
      <c r="J325" s="1" t="n">
        <v>381</v>
      </c>
      <c r="K325" s="1" t="n">
        <v>819</v>
      </c>
      <c r="L325" s="1" t="n">
        <v>29016.96</v>
      </c>
      <c r="M325" s="3" t="n">
        <v>122.838831239211</v>
      </c>
      <c r="N325" s="12" t="n">
        <v>0.0282248726262158</v>
      </c>
      <c r="O325" s="4" t="n">
        <v>49.1862</v>
      </c>
      <c r="P325" s="3" t="n">
        <v>210.242000847909</v>
      </c>
      <c r="Q325" s="4" t="n">
        <v>0.23</v>
      </c>
      <c r="R325" s="13" t="n">
        <f aca="false">P325/200000</f>
        <v>0.00105121000423954</v>
      </c>
      <c r="V325" s="4"/>
      <c r="W325" s="4"/>
    </row>
    <row r="326" customFormat="false" ht="14.25" hidden="false" customHeight="false" outlineLevel="0" collapsed="false">
      <c r="B326" s="1" t="n">
        <v>32.3</v>
      </c>
      <c r="C326" s="3" t="n">
        <v>276</v>
      </c>
      <c r="D326" s="1" t="n">
        <v>1</v>
      </c>
      <c r="E326" s="2" t="n">
        <v>60</v>
      </c>
      <c r="F326" s="4" t="n">
        <v>2.53821845332793</v>
      </c>
      <c r="G326" s="1" t="n">
        <v>38.3</v>
      </c>
      <c r="H326" s="1" t="n">
        <v>54.4</v>
      </c>
      <c r="I326" s="1" t="n">
        <v>152.4</v>
      </c>
      <c r="J326" s="1" t="n">
        <v>381</v>
      </c>
      <c r="K326" s="1" t="n">
        <v>819</v>
      </c>
      <c r="L326" s="1" t="n">
        <v>29016.96</v>
      </c>
      <c r="M326" s="3" t="n">
        <v>122.838831239211</v>
      </c>
      <c r="N326" s="12" t="n">
        <v>0.0282248726262158</v>
      </c>
      <c r="O326" s="4" t="n">
        <v>57.3496</v>
      </c>
      <c r="P326" s="3" t="n">
        <v>245.135722048608</v>
      </c>
      <c r="Q326" s="4" t="n">
        <v>0.27</v>
      </c>
      <c r="R326" s="13" t="n">
        <f aca="false">P326/200000</f>
        <v>0.00122567861024304</v>
      </c>
      <c r="V326" s="4"/>
      <c r="W326" s="4"/>
    </row>
    <row r="327" customFormat="false" ht="14.25" hidden="false" customHeight="false" outlineLevel="0" collapsed="false">
      <c r="B327" s="1" t="n">
        <v>32.3</v>
      </c>
      <c r="C327" s="3" t="n">
        <v>276</v>
      </c>
      <c r="D327" s="1" t="n">
        <v>1</v>
      </c>
      <c r="E327" s="2" t="n">
        <v>60</v>
      </c>
      <c r="F327" s="4" t="n">
        <v>2.53821845332793</v>
      </c>
      <c r="G327" s="1" t="n">
        <v>38.3</v>
      </c>
      <c r="H327" s="1" t="n">
        <v>54.4</v>
      </c>
      <c r="I327" s="1" t="n">
        <v>152.4</v>
      </c>
      <c r="J327" s="1" t="n">
        <v>381</v>
      </c>
      <c r="K327" s="1" t="n">
        <v>819</v>
      </c>
      <c r="L327" s="1" t="n">
        <v>29016.96</v>
      </c>
      <c r="M327" s="3" t="n">
        <v>122.838831239211</v>
      </c>
      <c r="N327" s="12" t="n">
        <v>0.0282248726262158</v>
      </c>
      <c r="O327" s="4" t="n">
        <v>63.1806</v>
      </c>
      <c r="P327" s="3" t="n">
        <v>270.059808620536</v>
      </c>
      <c r="Q327" s="4" t="n">
        <v>0.31</v>
      </c>
      <c r="R327" s="13" t="n">
        <f aca="false">P327/200000</f>
        <v>0.00135029904310268</v>
      </c>
      <c r="V327" s="4"/>
      <c r="W327" s="4"/>
    </row>
    <row r="328" customFormat="false" ht="14.25" hidden="false" customHeight="false" outlineLevel="0" collapsed="false">
      <c r="B328" s="1" t="n">
        <v>32.3</v>
      </c>
      <c r="C328" s="3" t="n">
        <v>276</v>
      </c>
      <c r="D328" s="1" t="n">
        <v>1</v>
      </c>
      <c r="E328" s="2" t="n">
        <v>60</v>
      </c>
      <c r="F328" s="4" t="n">
        <v>2.53821845332793</v>
      </c>
      <c r="G328" s="1" t="n">
        <v>38.3</v>
      </c>
      <c r="H328" s="1" t="n">
        <v>54.4</v>
      </c>
      <c r="I328" s="1" t="n">
        <v>152.4</v>
      </c>
      <c r="J328" s="1" t="n">
        <v>381</v>
      </c>
      <c r="K328" s="1" t="n">
        <v>819</v>
      </c>
      <c r="L328" s="1" t="n">
        <v>29016.96</v>
      </c>
      <c r="M328" s="3" t="n">
        <v>122.838831239211</v>
      </c>
      <c r="N328" s="12" t="n">
        <v>0.0282248726262158</v>
      </c>
      <c r="O328" s="4" t="n">
        <v>67.1251</v>
      </c>
      <c r="P328" s="3" t="n">
        <v>275.8</v>
      </c>
      <c r="Q328" s="4" t="n">
        <v>0.35</v>
      </c>
      <c r="R328" s="13" t="n">
        <f aca="false">P328/200000</f>
        <v>0.001379</v>
      </c>
      <c r="V328" s="4"/>
      <c r="W328" s="4"/>
    </row>
    <row r="329" customFormat="false" ht="14.25" hidden="false" customHeight="false" outlineLevel="0" collapsed="false">
      <c r="A329" s="0" t="s">
        <v>101</v>
      </c>
      <c r="B329" s="1" t="n">
        <v>32.3</v>
      </c>
      <c r="C329" s="3" t="n">
        <v>276</v>
      </c>
      <c r="D329" s="1" t="n">
        <v>1</v>
      </c>
      <c r="E329" s="2" t="n">
        <v>60</v>
      </c>
      <c r="F329" s="4" t="n">
        <v>2.81086951894943</v>
      </c>
      <c r="G329" s="1" t="n">
        <v>38.3</v>
      </c>
      <c r="H329" s="1" t="n">
        <v>54.4</v>
      </c>
      <c r="I329" s="1" t="n">
        <v>152.4</v>
      </c>
      <c r="J329" s="1" t="n">
        <v>381</v>
      </c>
      <c r="K329" s="1" t="n">
        <v>819</v>
      </c>
      <c r="L329" s="1" t="n">
        <v>29016.96</v>
      </c>
      <c r="M329" s="3" t="n">
        <v>120.446116576203</v>
      </c>
      <c r="N329" s="12" t="n">
        <v>0.0282248726262158</v>
      </c>
      <c r="O329" s="4" t="n">
        <v>39.9595</v>
      </c>
      <c r="P329" s="3" t="n">
        <v>170.327728419202</v>
      </c>
      <c r="Q329" s="4" t="n">
        <v>0.19</v>
      </c>
      <c r="R329" s="13" t="n">
        <f aca="false">P329/200000</f>
        <v>0.000851638642096009</v>
      </c>
      <c r="V329" s="4"/>
      <c r="W329" s="4"/>
    </row>
    <row r="330" customFormat="false" ht="14.25" hidden="false" customHeight="false" outlineLevel="0" collapsed="false">
      <c r="B330" s="1" t="n">
        <v>32.3</v>
      </c>
      <c r="C330" s="3" t="n">
        <v>276</v>
      </c>
      <c r="D330" s="1" t="n">
        <v>1</v>
      </c>
      <c r="E330" s="2" t="n">
        <v>60</v>
      </c>
      <c r="F330" s="4" t="n">
        <v>2.81086951894943</v>
      </c>
      <c r="G330" s="1" t="n">
        <v>38.3</v>
      </c>
      <c r="H330" s="1" t="n">
        <v>54.4</v>
      </c>
      <c r="I330" s="1" t="n">
        <v>152.4</v>
      </c>
      <c r="J330" s="1" t="n">
        <v>381</v>
      </c>
      <c r="K330" s="1" t="n">
        <v>819</v>
      </c>
      <c r="L330" s="1" t="n">
        <v>29016.96</v>
      </c>
      <c r="M330" s="3" t="n">
        <v>120.446116576203</v>
      </c>
      <c r="N330" s="12" t="n">
        <v>0.0282248726262158</v>
      </c>
      <c r="O330" s="4" t="n">
        <v>49.1862</v>
      </c>
      <c r="P330" s="3" t="n">
        <v>209.656620217284</v>
      </c>
      <c r="Q330" s="4" t="n">
        <v>0.24</v>
      </c>
      <c r="R330" s="13" t="n">
        <f aca="false">P330/200000</f>
        <v>0.00104828310108642</v>
      </c>
      <c r="V330" s="4"/>
      <c r="W330" s="4"/>
    </row>
    <row r="331" customFormat="false" ht="14.25" hidden="false" customHeight="false" outlineLevel="0" collapsed="false">
      <c r="B331" s="1" t="n">
        <v>32.3</v>
      </c>
      <c r="C331" s="3" t="n">
        <v>276</v>
      </c>
      <c r="D331" s="1" t="n">
        <v>1</v>
      </c>
      <c r="E331" s="2" t="n">
        <v>60</v>
      </c>
      <c r="F331" s="4" t="n">
        <v>2.81086951894943</v>
      </c>
      <c r="G331" s="1" t="n">
        <v>38.3</v>
      </c>
      <c r="H331" s="1" t="n">
        <v>54.4</v>
      </c>
      <c r="I331" s="1" t="n">
        <v>152.4</v>
      </c>
      <c r="J331" s="1" t="n">
        <v>381</v>
      </c>
      <c r="K331" s="1" t="n">
        <v>819</v>
      </c>
      <c r="L331" s="1" t="n">
        <v>29016.96</v>
      </c>
      <c r="M331" s="3" t="n">
        <v>120.446116576203</v>
      </c>
      <c r="N331" s="12" t="n">
        <v>0.0282248726262158</v>
      </c>
      <c r="O331" s="4" t="n">
        <v>57.3496</v>
      </c>
      <c r="P331" s="3" t="n">
        <v>244.453186194769</v>
      </c>
      <c r="Q331" s="4" t="n">
        <v>0.29</v>
      </c>
      <c r="R331" s="13" t="n">
        <f aca="false">P331/200000</f>
        <v>0.00122226593097384</v>
      </c>
      <c r="V331" s="4"/>
      <c r="W331" s="4"/>
    </row>
    <row r="332" customFormat="false" ht="14.25" hidden="false" customHeight="false" outlineLevel="0" collapsed="false">
      <c r="B332" s="1" t="n">
        <v>32.3</v>
      </c>
      <c r="C332" s="3" t="n">
        <v>276</v>
      </c>
      <c r="D332" s="1" t="n">
        <v>1</v>
      </c>
      <c r="E332" s="2" t="n">
        <v>60</v>
      </c>
      <c r="F332" s="4" t="n">
        <v>2.81086951894943</v>
      </c>
      <c r="G332" s="1" t="n">
        <v>38.3</v>
      </c>
      <c r="H332" s="1" t="n">
        <v>54.4</v>
      </c>
      <c r="I332" s="1" t="n">
        <v>152.4</v>
      </c>
      <c r="J332" s="1" t="n">
        <v>381</v>
      </c>
      <c r="K332" s="1" t="n">
        <v>819</v>
      </c>
      <c r="L332" s="1" t="n">
        <v>29016.96</v>
      </c>
      <c r="M332" s="3" t="n">
        <v>120.446116576203</v>
      </c>
      <c r="N332" s="12" t="n">
        <v>0.0282248726262158</v>
      </c>
      <c r="O332" s="4" t="n">
        <v>63.1806</v>
      </c>
      <c r="P332" s="3" t="n">
        <v>269.307876178686</v>
      </c>
      <c r="Q332" s="4" t="n">
        <v>0.36</v>
      </c>
      <c r="R332" s="13" t="n">
        <f aca="false">P332/200000</f>
        <v>0.00134653938089343</v>
      </c>
      <c r="V332" s="4"/>
      <c r="W332" s="4"/>
    </row>
    <row r="333" customFormat="false" ht="14.25" hidden="false" customHeight="false" outlineLevel="0" collapsed="false">
      <c r="B333" s="1" t="n">
        <v>32.3</v>
      </c>
      <c r="C333" s="3" t="n">
        <v>276</v>
      </c>
      <c r="D333" s="1" t="n">
        <v>1</v>
      </c>
      <c r="E333" s="2" t="n">
        <v>60</v>
      </c>
      <c r="F333" s="4" t="n">
        <v>2.81086951894943</v>
      </c>
      <c r="G333" s="1" t="n">
        <v>38.3</v>
      </c>
      <c r="H333" s="1" t="n">
        <v>54.4</v>
      </c>
      <c r="I333" s="1" t="n">
        <v>152.4</v>
      </c>
      <c r="J333" s="1" t="n">
        <v>381</v>
      </c>
      <c r="K333" s="1" t="n">
        <v>819</v>
      </c>
      <c r="L333" s="1" t="n">
        <v>29016.96</v>
      </c>
      <c r="M333" s="3" t="n">
        <v>120.446116576203</v>
      </c>
      <c r="N333" s="12" t="n">
        <v>0.0282248726262158</v>
      </c>
      <c r="O333" s="4" t="n">
        <v>67.1251</v>
      </c>
      <c r="P333" s="3" t="n">
        <v>275.8</v>
      </c>
      <c r="Q333" s="4" t="n">
        <v>0.42</v>
      </c>
      <c r="R333" s="13" t="n">
        <f aca="false">P333/200000</f>
        <v>0.001379</v>
      </c>
      <c r="V333" s="4"/>
      <c r="W333" s="4"/>
    </row>
    <row r="334" customFormat="false" ht="14.25" hidden="false" customHeight="false" outlineLevel="0" collapsed="false">
      <c r="A334" s="0" t="s">
        <v>102</v>
      </c>
      <c r="B334" s="1" t="n">
        <v>28.7</v>
      </c>
      <c r="C334" s="3" t="n">
        <v>276</v>
      </c>
      <c r="D334" s="1" t="n">
        <v>2</v>
      </c>
      <c r="E334" s="2" t="n">
        <v>50.6</v>
      </c>
      <c r="F334" s="4" t="n">
        <v>2.57657861790804</v>
      </c>
      <c r="G334" s="1" t="n">
        <v>38</v>
      </c>
      <c r="H334" s="1" t="n">
        <v>52.3</v>
      </c>
      <c r="I334" s="1" t="n">
        <v>152.4</v>
      </c>
      <c r="J334" s="1" t="n">
        <v>584.2</v>
      </c>
      <c r="K334" s="1" t="n">
        <v>1290</v>
      </c>
      <c r="L334" s="1" t="n">
        <v>27896.82</v>
      </c>
      <c r="M334" s="3" t="n">
        <v>196.926616139336</v>
      </c>
      <c r="N334" s="12" t="n">
        <v>0.0462418297139244</v>
      </c>
      <c r="O334" s="4" t="n">
        <v>110.208</v>
      </c>
      <c r="P334" s="3" t="n">
        <v>183.230305477513</v>
      </c>
      <c r="Q334" s="4" t="n">
        <v>0.18</v>
      </c>
      <c r="R334" s="13" t="n">
        <f aca="false">P334/200000</f>
        <v>0.000916151527387567</v>
      </c>
      <c r="V334" s="4"/>
      <c r="W334" s="4"/>
    </row>
    <row r="335" customFormat="false" ht="14.25" hidden="false" customHeight="false" outlineLevel="0" collapsed="false">
      <c r="B335" s="1" t="n">
        <v>28.7</v>
      </c>
      <c r="C335" s="3" t="n">
        <v>276</v>
      </c>
      <c r="D335" s="1" t="n">
        <v>2</v>
      </c>
      <c r="E335" s="2" t="n">
        <v>50.6</v>
      </c>
      <c r="F335" s="4" t="n">
        <v>2.57657861790804</v>
      </c>
      <c r="G335" s="1" t="n">
        <v>38</v>
      </c>
      <c r="H335" s="1" t="n">
        <v>52.3</v>
      </c>
      <c r="I335" s="1" t="n">
        <v>152.4</v>
      </c>
      <c r="J335" s="1" t="n">
        <v>584.2</v>
      </c>
      <c r="K335" s="1" t="n">
        <v>1290</v>
      </c>
      <c r="L335" s="1" t="n">
        <v>27896.82</v>
      </c>
      <c r="M335" s="3" t="n">
        <v>196.926616139336</v>
      </c>
      <c r="N335" s="12" t="n">
        <v>0.0462418297139244</v>
      </c>
      <c r="O335" s="4" t="n">
        <v>132.258</v>
      </c>
      <c r="P335" s="3" t="n">
        <v>219.890332297519</v>
      </c>
      <c r="Q335" s="4" t="n">
        <v>0.22</v>
      </c>
      <c r="R335" s="13" t="n">
        <f aca="false">P335/200000</f>
        <v>0.0010994516614876</v>
      </c>
      <c r="V335" s="4"/>
      <c r="W335" s="4"/>
    </row>
    <row r="336" customFormat="false" ht="14.25" hidden="false" customHeight="false" outlineLevel="0" collapsed="false">
      <c r="B336" s="1" t="n">
        <v>28.7</v>
      </c>
      <c r="C336" s="3" t="n">
        <v>276</v>
      </c>
      <c r="D336" s="1" t="n">
        <v>2</v>
      </c>
      <c r="E336" s="2" t="n">
        <v>50.6</v>
      </c>
      <c r="F336" s="4" t="n">
        <v>2.57657861790804</v>
      </c>
      <c r="G336" s="1" t="n">
        <v>38</v>
      </c>
      <c r="H336" s="1" t="n">
        <v>52.3</v>
      </c>
      <c r="I336" s="1" t="n">
        <v>152.4</v>
      </c>
      <c r="J336" s="1" t="n">
        <v>584.2</v>
      </c>
      <c r="K336" s="1" t="n">
        <v>1290</v>
      </c>
      <c r="L336" s="1" t="n">
        <v>27896.82</v>
      </c>
      <c r="M336" s="3" t="n">
        <v>196.926616139336</v>
      </c>
      <c r="N336" s="12" t="n">
        <v>0.0462418297139244</v>
      </c>
      <c r="O336" s="4" t="n">
        <v>149.268</v>
      </c>
      <c r="P336" s="3" t="n">
        <v>248.170924415809</v>
      </c>
      <c r="Q336" s="4" t="n">
        <v>0.27</v>
      </c>
      <c r="R336" s="13" t="n">
        <f aca="false">P336/200000</f>
        <v>0.00124085462207905</v>
      </c>
      <c r="V336" s="4"/>
      <c r="W336" s="4"/>
    </row>
    <row r="337" customFormat="false" ht="14.25" hidden="false" customHeight="false" outlineLevel="0" collapsed="false">
      <c r="B337" s="1" t="n">
        <v>28.7</v>
      </c>
      <c r="C337" s="3" t="n">
        <v>276</v>
      </c>
      <c r="D337" s="1" t="n">
        <v>2</v>
      </c>
      <c r="E337" s="2" t="n">
        <v>50.6</v>
      </c>
      <c r="F337" s="4" t="n">
        <v>2.57657861790804</v>
      </c>
      <c r="G337" s="1" t="n">
        <v>38</v>
      </c>
      <c r="H337" s="1" t="n">
        <v>52.3</v>
      </c>
      <c r="I337" s="1" t="n">
        <v>152.4</v>
      </c>
      <c r="J337" s="1" t="n">
        <v>584.2</v>
      </c>
      <c r="K337" s="1" t="n">
        <v>1290</v>
      </c>
      <c r="L337" s="1" t="n">
        <v>27896.82</v>
      </c>
      <c r="M337" s="3" t="n">
        <v>196.926616139336</v>
      </c>
      <c r="N337" s="12" t="n">
        <v>0.0462418297139244</v>
      </c>
      <c r="O337" s="4" t="n">
        <v>168.882</v>
      </c>
      <c r="P337" s="3" t="n">
        <v>275.8</v>
      </c>
      <c r="Q337" s="4" t="n">
        <v>0.32</v>
      </c>
      <c r="R337" s="13" t="n">
        <f aca="false">P337/200000</f>
        <v>0.001379</v>
      </c>
      <c r="V337" s="4"/>
      <c r="W337" s="4"/>
    </row>
    <row r="338" customFormat="false" ht="14.25" hidden="false" customHeight="false" outlineLevel="0" collapsed="false">
      <c r="A338" s="0" t="s">
        <v>103</v>
      </c>
      <c r="B338" s="1" t="n">
        <v>28.7</v>
      </c>
      <c r="C338" s="3" t="n">
        <v>276</v>
      </c>
      <c r="D338" s="1" t="n">
        <v>2</v>
      </c>
      <c r="E338" s="2" t="n">
        <v>50.6</v>
      </c>
      <c r="F338" s="4" t="n">
        <v>2.57657861790804</v>
      </c>
      <c r="G338" s="1" t="n">
        <v>38</v>
      </c>
      <c r="H338" s="1" t="n">
        <v>52.3</v>
      </c>
      <c r="I338" s="1" t="n">
        <v>152.4</v>
      </c>
      <c r="J338" s="1" t="n">
        <v>584.2</v>
      </c>
      <c r="K338" s="1" t="n">
        <v>1290</v>
      </c>
      <c r="L338" s="1" t="n">
        <v>27896.82</v>
      </c>
      <c r="M338" s="3" t="n">
        <v>196.926616139336</v>
      </c>
      <c r="N338" s="12" t="n">
        <v>0.0462418297139244</v>
      </c>
      <c r="O338" s="4" t="n">
        <v>132.258</v>
      </c>
      <c r="P338" s="3" t="n">
        <v>219.890332297519</v>
      </c>
      <c r="Q338" s="4" t="n">
        <v>0.16</v>
      </c>
      <c r="R338" s="13" t="n">
        <f aca="false">P338/200000</f>
        <v>0.0010994516614876</v>
      </c>
      <c r="V338" s="4"/>
      <c r="W338" s="4"/>
    </row>
    <row r="339" customFormat="false" ht="14.25" hidden="false" customHeight="false" outlineLevel="0" collapsed="false">
      <c r="B339" s="1" t="n">
        <v>28.7</v>
      </c>
      <c r="C339" s="3" t="n">
        <v>276</v>
      </c>
      <c r="D339" s="1" t="n">
        <v>2</v>
      </c>
      <c r="E339" s="2" t="n">
        <v>50.6</v>
      </c>
      <c r="F339" s="4" t="n">
        <v>2.57657861790804</v>
      </c>
      <c r="G339" s="1" t="n">
        <v>38</v>
      </c>
      <c r="H339" s="1" t="n">
        <v>52.3</v>
      </c>
      <c r="I339" s="1" t="n">
        <v>152.4</v>
      </c>
      <c r="J339" s="1" t="n">
        <v>584.2</v>
      </c>
      <c r="K339" s="1" t="n">
        <v>1290</v>
      </c>
      <c r="L339" s="1" t="n">
        <v>27896.82</v>
      </c>
      <c r="M339" s="3" t="n">
        <v>196.926616139336</v>
      </c>
      <c r="N339" s="12" t="n">
        <v>0.0462418297139244</v>
      </c>
      <c r="O339" s="4" t="n">
        <v>149.268</v>
      </c>
      <c r="P339" s="3" t="n">
        <v>248.170924415809</v>
      </c>
      <c r="Q339" s="4" t="n">
        <v>0.19</v>
      </c>
      <c r="R339" s="13" t="n">
        <f aca="false">P339/200000</f>
        <v>0.00124085462207905</v>
      </c>
      <c r="V339" s="4"/>
      <c r="W339" s="4"/>
    </row>
    <row r="340" customFormat="false" ht="14.25" hidden="false" customHeight="false" outlineLevel="0" collapsed="false">
      <c r="B340" s="1" t="n">
        <v>28.7</v>
      </c>
      <c r="C340" s="3" t="n">
        <v>276</v>
      </c>
      <c r="D340" s="1" t="n">
        <v>2</v>
      </c>
      <c r="E340" s="2" t="n">
        <v>50.6</v>
      </c>
      <c r="F340" s="4" t="n">
        <v>2.57657861790804</v>
      </c>
      <c r="G340" s="1" t="n">
        <v>38</v>
      </c>
      <c r="H340" s="1" t="n">
        <v>52.3</v>
      </c>
      <c r="I340" s="1" t="n">
        <v>152.4</v>
      </c>
      <c r="J340" s="1" t="n">
        <v>584.2</v>
      </c>
      <c r="K340" s="1" t="n">
        <v>1290</v>
      </c>
      <c r="L340" s="1" t="n">
        <v>27896.82</v>
      </c>
      <c r="M340" s="3" t="n">
        <v>196.926616139336</v>
      </c>
      <c r="N340" s="12" t="n">
        <v>0.0462418297139244</v>
      </c>
      <c r="O340" s="4" t="n">
        <v>168.882</v>
      </c>
      <c r="P340" s="3" t="n">
        <v>275.8</v>
      </c>
      <c r="Q340" s="4" t="n">
        <v>0.22</v>
      </c>
      <c r="R340" s="13" t="n">
        <f aca="false">P340/200000</f>
        <v>0.001379</v>
      </c>
      <c r="V340" s="4"/>
      <c r="W340" s="4"/>
    </row>
    <row r="341" customFormat="false" ht="14.25" hidden="false" customHeight="false" outlineLevel="0" collapsed="false">
      <c r="A341" s="0" t="s">
        <v>104</v>
      </c>
      <c r="B341" s="1" t="n">
        <v>35.8</v>
      </c>
      <c r="C341" s="3" t="n">
        <v>276</v>
      </c>
      <c r="D341" s="1" t="n">
        <v>2</v>
      </c>
      <c r="E341" s="2" t="n">
        <v>36.4</v>
      </c>
      <c r="F341" s="4" t="n">
        <v>2.54783553354044</v>
      </c>
      <c r="G341" s="1" t="n">
        <v>38</v>
      </c>
      <c r="H341" s="1" t="n">
        <v>55.9</v>
      </c>
      <c r="I341" s="1" t="n">
        <v>152.4</v>
      </c>
      <c r="J341" s="1" t="n">
        <v>584.2</v>
      </c>
      <c r="K341" s="1" t="n">
        <v>2012</v>
      </c>
      <c r="L341" s="1" t="n">
        <v>29817.06</v>
      </c>
      <c r="M341" s="3" t="n">
        <v>231.967079154845</v>
      </c>
      <c r="N341" s="12" t="n">
        <v>0.0674781484157056</v>
      </c>
      <c r="O341" s="4" t="n">
        <v>167.034</v>
      </c>
      <c r="P341" s="3" t="n">
        <v>184.086480713456</v>
      </c>
      <c r="Q341" s="4" t="n">
        <v>0.17</v>
      </c>
      <c r="R341" s="13" t="n">
        <f aca="false">P341/200000</f>
        <v>0.000920432403567281</v>
      </c>
      <c r="V341" s="4"/>
      <c r="W341" s="4"/>
    </row>
    <row r="342" customFormat="false" ht="14.25" hidden="false" customHeight="false" outlineLevel="0" collapsed="false">
      <c r="A342" s="0" t="s">
        <v>105</v>
      </c>
      <c r="B342" s="1" t="n">
        <v>35.8</v>
      </c>
      <c r="C342" s="3" t="n">
        <v>276</v>
      </c>
      <c r="D342" s="1" t="n">
        <v>2</v>
      </c>
      <c r="E342" s="2" t="n">
        <v>36.4</v>
      </c>
      <c r="F342" s="4" t="n">
        <v>2.75637342683892</v>
      </c>
      <c r="G342" s="1" t="n">
        <v>38</v>
      </c>
      <c r="H342" s="1" t="n">
        <v>55.9</v>
      </c>
      <c r="I342" s="1" t="n">
        <v>152.4</v>
      </c>
      <c r="J342" s="1" t="n">
        <v>584.2</v>
      </c>
      <c r="K342" s="1" t="n">
        <v>2012</v>
      </c>
      <c r="L342" s="1" t="n">
        <v>29817.06</v>
      </c>
      <c r="M342" s="3" t="n">
        <v>228.699800687537</v>
      </c>
      <c r="N342" s="12" t="n">
        <v>0.0674781484157056</v>
      </c>
      <c r="O342" s="4" t="n">
        <v>130.788</v>
      </c>
      <c r="P342" s="3" t="n">
        <v>143.792876986957</v>
      </c>
      <c r="Q342" s="4" t="n">
        <v>0.19</v>
      </c>
      <c r="R342" s="13" t="n">
        <f aca="false">P342/200000</f>
        <v>0.000718964384934785</v>
      </c>
      <c r="V342" s="4"/>
      <c r="W342" s="4"/>
    </row>
    <row r="343" customFormat="false" ht="14.25" hidden="false" customHeight="false" outlineLevel="0" collapsed="false">
      <c r="B343" s="1" t="n">
        <v>35.8</v>
      </c>
      <c r="C343" s="3" t="n">
        <v>276</v>
      </c>
      <c r="D343" s="1" t="n">
        <v>2</v>
      </c>
      <c r="E343" s="2" t="n">
        <v>36.4</v>
      </c>
      <c r="F343" s="4" t="n">
        <v>2.75637342683892</v>
      </c>
      <c r="G343" s="1" t="n">
        <v>38</v>
      </c>
      <c r="H343" s="1" t="n">
        <v>55.9</v>
      </c>
      <c r="I343" s="1" t="n">
        <v>152.4</v>
      </c>
      <c r="J343" s="1" t="n">
        <v>584.2</v>
      </c>
      <c r="K343" s="1" t="n">
        <v>2012</v>
      </c>
      <c r="L343" s="1" t="n">
        <v>29817.06</v>
      </c>
      <c r="M343" s="3" t="n">
        <v>228.699800687537</v>
      </c>
      <c r="N343" s="12" t="n">
        <v>0.0674781484157056</v>
      </c>
      <c r="O343" s="4" t="n">
        <v>167.034</v>
      </c>
      <c r="P343" s="3" t="n">
        <v>183.642990294518</v>
      </c>
      <c r="Q343" s="4" t="n">
        <v>0.25</v>
      </c>
      <c r="R343" s="13" t="n">
        <f aca="false">P343/200000</f>
        <v>0.000918214951472588</v>
      </c>
      <c r="V343" s="4"/>
      <c r="W343" s="4"/>
    </row>
    <row r="345" customFormat="false" ht="14.25" hidden="false" customHeight="false" outlineLevel="0" collapsed="false">
      <c r="W345" s="4"/>
    </row>
    <row r="346" customFormat="false" ht="14.25" hidden="false" customHeight="false" outlineLevel="0" collapsed="false">
      <c r="W346" s="4"/>
    </row>
    <row r="347" customFormat="false" ht="14.25" hidden="false" customHeight="false" outlineLevel="0" collapsed="false">
      <c r="W347" s="10"/>
    </row>
  </sheetData>
  <mergeCells count="1">
    <mergeCell ref="B1:P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342"/>
  <sheetViews>
    <sheetView showFormulas="false" showGridLines="true" showRowColHeaders="true" showZeros="true" rightToLeft="false" tabSelected="false" showOutlineSymbols="true" defaultGridColor="true" view="normal" topLeftCell="A335" colorId="64" zoomScale="120" zoomScaleNormal="120" zoomScalePageLayoutView="100" workbookViewId="0">
      <pane xSplit="1" ySplit="0" topLeftCell="P335" activePane="topRight" state="frozen"/>
      <selection pane="topLeft" activeCell="A335" activeCellId="0" sqref="A335"/>
      <selection pane="topRight" activeCell="A1" activeCellId="0" sqref="A1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35.89"/>
    <col collapsed="false" customWidth="true" hidden="false" outlineLevel="0" max="2" min="2" style="1" width="24.78"/>
    <col collapsed="false" customWidth="true" hidden="false" outlineLevel="0" max="3" min="3" style="1" width="29.66"/>
    <col collapsed="false" customWidth="true" hidden="false" outlineLevel="0" max="4" min="4" style="2" width="29.33"/>
    <col collapsed="false" customWidth="true" hidden="false" outlineLevel="0" max="5" min="5" style="4" width="22.44"/>
    <col collapsed="false" customWidth="true" hidden="false" outlineLevel="0" max="6" min="6" style="1" width="16.45"/>
    <col collapsed="false" customWidth="true" hidden="false" outlineLevel="0" max="7" min="7" style="1" width="25.66"/>
    <col collapsed="false" customWidth="true" hidden="false" outlineLevel="0" max="8" min="8" style="3" width="30.67"/>
    <col collapsed="false" customWidth="true" hidden="false" outlineLevel="0" max="9" min="9" style="1" width="19.78"/>
    <col collapsed="false" customWidth="true" hidden="false" outlineLevel="0" max="10" min="10" style="2" width="19.78"/>
    <col collapsed="false" customWidth="true" hidden="false" outlineLevel="0" max="11" min="11" style="3" width="19.78"/>
    <col collapsed="false" customWidth="true" hidden="false" outlineLevel="0" max="12" min="12" style="2" width="19.78"/>
    <col collapsed="false" customWidth="true" hidden="false" outlineLevel="0" max="13" min="13" style="4" width="9.66"/>
    <col collapsed="false" customWidth="true" hidden="false" outlineLevel="0" max="14" min="14" style="24" width="28"/>
    <col collapsed="false" customWidth="true" hidden="false" outlineLevel="0" max="15" min="15" style="25" width="22.67"/>
    <col collapsed="false" customWidth="true" hidden="false" outlineLevel="0" max="16" min="16" style="25" width="37.33"/>
    <col collapsed="false" customWidth="true" hidden="false" outlineLevel="0" max="17" min="17" style="26" width="15.33"/>
    <col collapsed="false" customWidth="true" hidden="false" outlineLevel="0" max="18" min="18" style="24" width="8.89"/>
    <col collapsed="false" customWidth="true" hidden="false" outlineLevel="0" max="19" min="19" style="4" width="23.45"/>
    <col collapsed="false" customWidth="true" hidden="false" outlineLevel="0" max="20" min="20" style="25" width="22.67"/>
    <col collapsed="false" customWidth="true" hidden="false" outlineLevel="0" max="21" min="21" style="25" width="36.89"/>
    <col collapsed="false" customWidth="true" hidden="false" outlineLevel="0" max="22" min="22" style="2" width="19.78"/>
    <col collapsed="false" customWidth="true" hidden="false" outlineLevel="0" max="25" min="23" style="24" width="8.89"/>
    <col collapsed="false" customWidth="true" hidden="false" outlineLevel="0" max="26" min="26" style="24" width="16.11"/>
    <col collapsed="false" customWidth="true" hidden="false" outlineLevel="0" max="27" min="27" style="25" width="22.67"/>
    <col collapsed="false" customWidth="true" hidden="false" outlineLevel="0" max="28" min="28" style="25" width="34.22"/>
    <col collapsed="false" customWidth="true" hidden="false" outlineLevel="0" max="29" min="29" style="26" width="15.33"/>
    <col collapsed="false" customWidth="true" hidden="false" outlineLevel="0" max="30" min="30" style="24" width="8.89"/>
    <col collapsed="false" customWidth="true" hidden="false" outlineLevel="0" max="31" min="31" style="24" width="19.78"/>
    <col collapsed="false" customWidth="true" hidden="false" outlineLevel="0" max="32" min="32" style="24" width="23.45"/>
    <col collapsed="false" customWidth="true" hidden="false" outlineLevel="0" max="33" min="33" style="25" width="23"/>
    <col collapsed="false" customWidth="true" hidden="false" outlineLevel="0" max="34" min="34" style="26" width="15"/>
    <col collapsed="false" customWidth="true" hidden="false" outlineLevel="0" max="35" min="35" style="24" width="8.89"/>
  </cols>
  <sheetData>
    <row r="1" customFormat="false" ht="46.25" hidden="false" customHeight="false" outlineLevel="0" collapsed="false">
      <c r="A1" s="0" t="s">
        <v>8</v>
      </c>
      <c r="B1" s="1" t="s">
        <v>109</v>
      </c>
      <c r="C1" s="1" t="s">
        <v>13</v>
      </c>
      <c r="D1" s="2" t="s">
        <v>14</v>
      </c>
      <c r="E1" s="27" t="s">
        <v>110</v>
      </c>
      <c r="F1" s="1" t="s">
        <v>111</v>
      </c>
      <c r="G1" s="28" t="s">
        <v>112</v>
      </c>
      <c r="H1" s="19" t="s">
        <v>123</v>
      </c>
      <c r="I1" s="18" t="s">
        <v>120</v>
      </c>
      <c r="J1" s="29" t="s">
        <v>131</v>
      </c>
      <c r="K1" s="19" t="s">
        <v>132</v>
      </c>
      <c r="L1" s="29" t="s">
        <v>133</v>
      </c>
      <c r="M1" s="4" t="s">
        <v>115</v>
      </c>
      <c r="N1" s="24" t="s">
        <v>134</v>
      </c>
      <c r="O1" s="30" t="s">
        <v>135</v>
      </c>
      <c r="P1" s="30" t="s">
        <v>136</v>
      </c>
      <c r="Q1" s="26" t="s">
        <v>18</v>
      </c>
      <c r="R1" s="24" t="s">
        <v>137</v>
      </c>
      <c r="S1" s="4" t="s">
        <v>138</v>
      </c>
      <c r="T1" s="30" t="s">
        <v>135</v>
      </c>
      <c r="U1" s="30" t="s">
        <v>136</v>
      </c>
      <c r="V1" s="29" t="s">
        <v>18</v>
      </c>
      <c r="W1" s="24" t="s">
        <v>139</v>
      </c>
      <c r="X1" s="24" t="s">
        <v>140</v>
      </c>
      <c r="Y1" s="24" t="s">
        <v>137</v>
      </c>
      <c r="Z1" s="24" t="s">
        <v>141</v>
      </c>
      <c r="AA1" s="25" t="s">
        <v>114</v>
      </c>
      <c r="AB1" s="30" t="s">
        <v>142</v>
      </c>
      <c r="AC1" s="26" t="s">
        <v>18</v>
      </c>
      <c r="AD1" s="24" t="s">
        <v>137</v>
      </c>
      <c r="AE1" s="31" t="s">
        <v>143</v>
      </c>
      <c r="AF1" s="31" t="s">
        <v>144</v>
      </c>
      <c r="AG1" s="25" t="s">
        <v>114</v>
      </c>
      <c r="AH1" s="26" t="s">
        <v>18</v>
      </c>
      <c r="AI1" s="24" t="s">
        <v>137</v>
      </c>
    </row>
    <row r="2" customFormat="false" ht="14.25" hidden="false" customHeight="false" outlineLevel="0" collapsed="false">
      <c r="A2" s="0" t="s">
        <v>22</v>
      </c>
      <c r="B2" s="1" t="n">
        <v>20</v>
      </c>
      <c r="C2" s="1" t="n">
        <v>2</v>
      </c>
      <c r="D2" s="2" t="n">
        <v>126</v>
      </c>
      <c r="E2" s="4" t="n">
        <v>4.12034052390144</v>
      </c>
      <c r="F2" s="1" t="n">
        <v>25</v>
      </c>
      <c r="G2" s="1" t="n">
        <v>39</v>
      </c>
      <c r="H2" s="3" t="n">
        <v>57.3617765856203</v>
      </c>
      <c r="I2" s="1" t="n">
        <v>201</v>
      </c>
      <c r="J2" s="2" t="n">
        <v>162</v>
      </c>
      <c r="K2" s="3" t="n">
        <v>104</v>
      </c>
      <c r="L2" s="2" t="n">
        <v>136.5</v>
      </c>
      <c r="M2" s="4" t="n">
        <v>0.16</v>
      </c>
      <c r="N2" s="24" t="n">
        <v>0.125734068964105</v>
      </c>
      <c r="O2" s="25" t="n">
        <v>231.811004938734</v>
      </c>
      <c r="P2" s="25" t="n">
        <v>90.1359745417982</v>
      </c>
      <c r="Q2" s="26" t="n">
        <v>0.0607235456892252</v>
      </c>
      <c r="R2" s="24" t="n">
        <v>0.785837931025657</v>
      </c>
      <c r="S2" s="4" t="n">
        <v>0.0861593825131977</v>
      </c>
      <c r="T2" s="25" t="n">
        <v>231.811004938734</v>
      </c>
      <c r="U2" s="25" t="n">
        <v>216</v>
      </c>
      <c r="V2" s="12" t="n">
        <v>0.0212996879663546</v>
      </c>
      <c r="W2" s="24" t="n">
        <f aca="false">(I2-H2)/(J2-H2)</f>
        <v>1.37271274996284</v>
      </c>
      <c r="X2" s="24" t="n">
        <f aca="false">0.5*(1+(I2-K2-L2)/(I2-K2))</f>
        <v>0.29639175257732</v>
      </c>
      <c r="Y2" s="24" t="n">
        <v>0.538496140707486</v>
      </c>
      <c r="Z2" s="24" t="n">
        <v>0.125291652504146</v>
      </c>
      <c r="AA2" s="25" t="n">
        <v>231.811004938734</v>
      </c>
      <c r="AB2" s="25" t="n">
        <v>90.1359745417982</v>
      </c>
      <c r="AC2" s="26" t="n">
        <v>0.0607235456892252</v>
      </c>
      <c r="AD2" s="24" t="n">
        <v>0.783072828150915</v>
      </c>
      <c r="AE2" s="24" t="n">
        <v>0.262467786905328</v>
      </c>
      <c r="AF2" s="24" t="n">
        <v>0.157379678407401</v>
      </c>
      <c r="AG2" s="25" t="n">
        <v>246.562213228083</v>
      </c>
      <c r="AH2" s="26" t="n">
        <v>0.0157</v>
      </c>
      <c r="AI2" s="24" t="n">
        <v>0.983622990046259</v>
      </c>
    </row>
    <row r="3" customFormat="false" ht="14.25" hidden="false" customHeight="false" outlineLevel="0" collapsed="false">
      <c r="B3" s="1" t="n">
        <v>20</v>
      </c>
      <c r="C3" s="1" t="n">
        <v>2</v>
      </c>
      <c r="D3" s="2" t="n">
        <v>126</v>
      </c>
      <c r="E3" s="4" t="n">
        <v>4.12034052390144</v>
      </c>
      <c r="F3" s="1" t="n">
        <v>25</v>
      </c>
      <c r="G3" s="1" t="n">
        <v>39</v>
      </c>
      <c r="H3" s="3" t="n">
        <v>57.3617765856203</v>
      </c>
      <c r="I3" s="1" t="n">
        <v>201</v>
      </c>
      <c r="J3" s="32" t="n">
        <v>162</v>
      </c>
      <c r="K3" s="3" t="n">
        <v>104</v>
      </c>
      <c r="L3" s="2" t="n">
        <v>136.5</v>
      </c>
      <c r="M3" s="4" t="n">
        <v>0.23</v>
      </c>
      <c r="N3" s="24" t="n">
        <v>0.176982162918118</v>
      </c>
      <c r="O3" s="25" t="n">
        <v>304.251943982088</v>
      </c>
      <c r="P3" s="25" t="n">
        <v>90.1359745417982</v>
      </c>
      <c r="Q3" s="26" t="n">
        <v>0.0607235456892252</v>
      </c>
      <c r="R3" s="24" t="n">
        <v>0.769487664861383</v>
      </c>
      <c r="S3" s="4" t="n">
        <v>0.147126541852635</v>
      </c>
      <c r="T3" s="25" t="n">
        <v>304.251943982088</v>
      </c>
      <c r="U3" s="25" t="n">
        <v>216</v>
      </c>
      <c r="V3" s="26" t="n">
        <v>0.0212996879663546</v>
      </c>
      <c r="W3" s="24" t="n">
        <f aca="false">(I3-H3)/(J3-H3)</f>
        <v>1.37271274996284</v>
      </c>
      <c r="X3" s="24" t="n">
        <f aca="false">0.5*(1+(I3-K3-L3)/(I3-K3))</f>
        <v>0.29639175257732</v>
      </c>
      <c r="Y3" s="24" t="n">
        <v>0.639680616750585</v>
      </c>
      <c r="Z3" s="24" t="n">
        <v>0.176359421423795</v>
      </c>
      <c r="AA3" s="25" t="n">
        <v>304.251943982088</v>
      </c>
      <c r="AB3" s="25" t="n">
        <v>90.1359745417982</v>
      </c>
      <c r="AC3" s="26" t="n">
        <v>0.0607235456892252</v>
      </c>
      <c r="AD3" s="24" t="n">
        <v>0.766780093146934</v>
      </c>
      <c r="AE3" s="24" t="n">
        <v>0.344488970313243</v>
      </c>
      <c r="AF3" s="24" t="n">
        <v>0.2711110866315</v>
      </c>
      <c r="AG3" s="25" t="n">
        <v>323.612904861859</v>
      </c>
      <c r="AH3" s="26" t="n">
        <v>0.0157</v>
      </c>
      <c r="AI3" s="24" t="n">
        <v>1.17874385491957</v>
      </c>
    </row>
    <row r="4" customFormat="false" ht="14.25" hidden="false" customHeight="false" outlineLevel="0" collapsed="false">
      <c r="B4" s="1" t="n">
        <v>20</v>
      </c>
      <c r="C4" s="1" t="n">
        <v>2</v>
      </c>
      <c r="D4" s="2" t="n">
        <v>126</v>
      </c>
      <c r="E4" s="4" t="n">
        <v>4.12034052390144</v>
      </c>
      <c r="F4" s="1" t="n">
        <v>25</v>
      </c>
      <c r="G4" s="1" t="n">
        <v>39</v>
      </c>
      <c r="H4" s="3" t="n">
        <v>57.3617765856203</v>
      </c>
      <c r="I4" s="1" t="n">
        <v>201</v>
      </c>
      <c r="J4" s="32" t="n">
        <v>162</v>
      </c>
      <c r="K4" s="3" t="n">
        <v>104</v>
      </c>
      <c r="L4" s="2" t="n">
        <v>136.5</v>
      </c>
      <c r="M4" s="4" t="n">
        <v>0.24</v>
      </c>
      <c r="N4" s="24" t="n">
        <v>0.184078052850212</v>
      </c>
      <c r="O4" s="25" t="n">
        <v>314.282227849629</v>
      </c>
      <c r="P4" s="25" t="n">
        <v>90.1359745417982</v>
      </c>
      <c r="Q4" s="26" t="n">
        <v>0.0607235456892252</v>
      </c>
      <c r="R4" s="24" t="n">
        <v>0.766991886875884</v>
      </c>
      <c r="S4" s="4" t="n">
        <v>0.155568148530403</v>
      </c>
      <c r="T4" s="25" t="n">
        <v>314.282227849629</v>
      </c>
      <c r="U4" s="25" t="n">
        <v>216</v>
      </c>
      <c r="V4" s="26" t="n">
        <v>0.0212996879663546</v>
      </c>
      <c r="W4" s="24" t="n">
        <f aca="false">(I4-H4)/(J4-H4)</f>
        <v>1.37271274996284</v>
      </c>
      <c r="X4" s="24" t="n">
        <f aca="false">0.5*(1+(I4-K4-L4)/(I4-K4))</f>
        <v>0.29639175257732</v>
      </c>
      <c r="Y4" s="24" t="n">
        <v>0.648200618876678</v>
      </c>
      <c r="Z4" s="24" t="n">
        <v>0.183430343274208</v>
      </c>
      <c r="AA4" s="25" t="n">
        <v>314.282227849629</v>
      </c>
      <c r="AB4" s="25" t="n">
        <v>90.1359745417982</v>
      </c>
      <c r="AC4" s="26" t="n">
        <v>0.0607235456892252</v>
      </c>
      <c r="AD4" s="24" t="n">
        <v>0.764293096975865</v>
      </c>
      <c r="AE4" s="24" t="n">
        <v>0.355845749554339</v>
      </c>
      <c r="AF4" s="24" t="n">
        <v>0.289281193270853</v>
      </c>
      <c r="AG4" s="25" t="n">
        <v>334.281462164997</v>
      </c>
      <c r="AH4" s="26" t="n">
        <v>0.0157</v>
      </c>
      <c r="AI4" s="24" t="n">
        <v>1.20533830529522</v>
      </c>
    </row>
    <row r="5" customFormat="false" ht="14.25" hidden="false" customHeight="false" outlineLevel="0" collapsed="false">
      <c r="B5" s="1" t="n">
        <v>20</v>
      </c>
      <c r="C5" s="1" t="n">
        <v>2</v>
      </c>
      <c r="D5" s="2" t="n">
        <v>126</v>
      </c>
      <c r="E5" s="4" t="n">
        <v>4.12034052390144</v>
      </c>
      <c r="F5" s="1" t="n">
        <v>25</v>
      </c>
      <c r="G5" s="1" t="n">
        <v>39</v>
      </c>
      <c r="H5" s="3" t="n">
        <v>57.3617765856203</v>
      </c>
      <c r="I5" s="1" t="n">
        <v>201</v>
      </c>
      <c r="J5" s="32" t="n">
        <v>162</v>
      </c>
      <c r="K5" s="3" t="n">
        <v>104</v>
      </c>
      <c r="L5" s="2" t="n">
        <v>136.5</v>
      </c>
      <c r="M5" s="4" t="n">
        <v>0.27</v>
      </c>
      <c r="N5" s="24" t="n">
        <v>0.218769070296006</v>
      </c>
      <c r="O5" s="25" t="n">
        <v>363.319171202054</v>
      </c>
      <c r="P5" s="25" t="n">
        <v>90.1359745417982</v>
      </c>
      <c r="Q5" s="26" t="n">
        <v>0.0607235456892252</v>
      </c>
      <c r="R5" s="24" t="n">
        <v>0.810255815911132</v>
      </c>
      <c r="S5" s="4" t="n">
        <v>0.196838225621714</v>
      </c>
      <c r="T5" s="25" t="n">
        <v>363.319171202054</v>
      </c>
      <c r="U5" s="25" t="n">
        <v>216</v>
      </c>
      <c r="V5" s="26" t="n">
        <v>0.0212996879663546</v>
      </c>
      <c r="W5" s="24" t="n">
        <f aca="false">(I5-H5)/(J5-H5)</f>
        <v>1.37271274996284</v>
      </c>
      <c r="X5" s="24" t="n">
        <f aca="false">0.5*(1+(I5-K5-L5)/(I5-K5))</f>
        <v>0.29639175257732</v>
      </c>
      <c r="Y5" s="24" t="n">
        <v>0.729030465265607</v>
      </c>
      <c r="Z5" s="24" t="n">
        <v>0.217999294542893</v>
      </c>
      <c r="AA5" s="25" t="n">
        <v>363.319171202054</v>
      </c>
      <c r="AB5" s="25" t="n">
        <v>90.1359745417982</v>
      </c>
      <c r="AC5" s="26" t="n">
        <v>0.0607235456892252</v>
      </c>
      <c r="AD5" s="24" t="n">
        <v>0.807404794603306</v>
      </c>
      <c r="AE5" s="24" t="n">
        <v>0.411367781399697</v>
      </c>
      <c r="AF5" s="24" t="n">
        <v>0.386595846487264</v>
      </c>
      <c r="AG5" s="25" t="n">
        <v>386.438853424784</v>
      </c>
      <c r="AH5" s="26" t="n">
        <v>0.0157</v>
      </c>
      <c r="AI5" s="24" t="n">
        <v>1.43183646847135</v>
      </c>
    </row>
    <row r="6" customFormat="false" ht="14.25" hidden="false" customHeight="false" outlineLevel="0" collapsed="false">
      <c r="B6" s="1" t="n">
        <v>20</v>
      </c>
      <c r="C6" s="1" t="n">
        <v>2</v>
      </c>
      <c r="D6" s="2" t="n">
        <v>126</v>
      </c>
      <c r="E6" s="4" t="n">
        <v>4.12034052390144</v>
      </c>
      <c r="F6" s="1" t="n">
        <v>25</v>
      </c>
      <c r="G6" s="1" t="n">
        <v>39</v>
      </c>
      <c r="H6" s="3" t="n">
        <v>57.3617765856203</v>
      </c>
      <c r="I6" s="1" t="n">
        <v>201</v>
      </c>
      <c r="J6" s="32" t="n">
        <v>162</v>
      </c>
      <c r="K6" s="3" t="n">
        <v>104</v>
      </c>
      <c r="L6" s="2" t="n">
        <v>136.5</v>
      </c>
      <c r="M6" s="4" t="n">
        <v>0.35</v>
      </c>
      <c r="N6" s="24" t="n">
        <v>0.286574240758238</v>
      </c>
      <c r="O6" s="25" t="n">
        <v>459.164105936338</v>
      </c>
      <c r="P6" s="25" t="n">
        <v>90.1359745417982</v>
      </c>
      <c r="Q6" s="26" t="n">
        <v>0.0607235456892252</v>
      </c>
      <c r="R6" s="24" t="n">
        <v>0.818783545023538</v>
      </c>
      <c r="S6" s="4" t="n">
        <v>0.277502467209276</v>
      </c>
      <c r="T6" s="25" t="n">
        <v>459.164105936338</v>
      </c>
      <c r="U6" s="25" t="n">
        <v>216</v>
      </c>
      <c r="V6" s="26" t="n">
        <v>0.0212996879663546</v>
      </c>
      <c r="W6" s="24" t="n">
        <f aca="false">(I6-H6)/(J6-H6)</f>
        <v>1.37271274996284</v>
      </c>
      <c r="X6" s="24" t="n">
        <f aca="false">0.5*(1+(I6-K6-L6)/(I6-K6))</f>
        <v>0.29639175257732</v>
      </c>
      <c r="Y6" s="24" t="n">
        <v>0.792864192026504</v>
      </c>
      <c r="Z6" s="24" t="n">
        <v>0.285565881113504</v>
      </c>
      <c r="AA6" s="25" t="n">
        <v>459.164105936338</v>
      </c>
      <c r="AB6" s="25" t="n">
        <v>90.1359745417982</v>
      </c>
      <c r="AC6" s="26" t="n">
        <v>0.0607235456892252</v>
      </c>
      <c r="AD6" s="24" t="n">
        <v>0.815902517467155</v>
      </c>
      <c r="AE6" s="24" t="n">
        <v>0.519888116370169</v>
      </c>
      <c r="AF6" s="24" t="n">
        <v>0.617470787065134</v>
      </c>
      <c r="AG6" s="25" t="n">
        <v>488.382845432549</v>
      </c>
      <c r="AH6" s="26" t="n">
        <v>0.0157</v>
      </c>
      <c r="AI6" s="24" t="n">
        <v>1.48539461820048</v>
      </c>
    </row>
    <row r="7" customFormat="false" ht="14.25" hidden="false" customHeight="false" outlineLevel="0" collapsed="false">
      <c r="B7" s="1" t="n">
        <v>20</v>
      </c>
      <c r="C7" s="1" t="n">
        <v>2</v>
      </c>
      <c r="D7" s="2" t="n">
        <v>126</v>
      </c>
      <c r="E7" s="4" t="n">
        <v>4.12034052390144</v>
      </c>
      <c r="F7" s="1" t="n">
        <v>25</v>
      </c>
      <c r="G7" s="1" t="n">
        <v>39</v>
      </c>
      <c r="H7" s="3" t="n">
        <v>57.3617765856203</v>
      </c>
      <c r="I7" s="1" t="n">
        <v>201</v>
      </c>
      <c r="J7" s="32" t="n">
        <v>162</v>
      </c>
      <c r="K7" s="3" t="n">
        <v>104</v>
      </c>
      <c r="L7" s="2" t="n">
        <v>136.5</v>
      </c>
      <c r="M7" s="4" t="n">
        <v>0.4</v>
      </c>
      <c r="N7" s="24" t="n">
        <v>0.315463454002951</v>
      </c>
      <c r="O7" s="25" t="n">
        <v>500</v>
      </c>
      <c r="P7" s="25" t="n">
        <v>90.1359745417982</v>
      </c>
      <c r="Q7" s="26" t="n">
        <v>0.0607235456892252</v>
      </c>
      <c r="R7" s="24" t="n">
        <v>0.788658635007377</v>
      </c>
      <c r="S7" s="4" t="n">
        <v>0.311870443287798</v>
      </c>
      <c r="T7" s="25" t="n">
        <v>500</v>
      </c>
      <c r="U7" s="25" t="n">
        <v>216</v>
      </c>
      <c r="V7" s="26" t="n">
        <v>0.0212996879663546</v>
      </c>
      <c r="W7" s="24" t="n">
        <f aca="false">(I7-H7)/(J7-H7)</f>
        <v>1.37271274996284</v>
      </c>
      <c r="X7" s="24" t="n">
        <f aca="false">0.5*(1+(I7-K7-L7)/(I7-K7))</f>
        <v>0.29639175257732</v>
      </c>
      <c r="Y7" s="24" t="n">
        <v>0.779676108219496</v>
      </c>
      <c r="Z7" s="24" t="n">
        <v>0.314353442804585</v>
      </c>
      <c r="AA7" s="25" t="n">
        <v>500</v>
      </c>
      <c r="AB7" s="25" t="n">
        <v>90.1359745417982</v>
      </c>
      <c r="AC7" s="26" t="n">
        <v>0.0607235456892252</v>
      </c>
      <c r="AD7" s="24" t="n">
        <v>0.785883607011461</v>
      </c>
      <c r="AE7" s="24" t="n">
        <v>0.53225468628993</v>
      </c>
      <c r="AF7" s="24" t="n">
        <v>0.64719569928693</v>
      </c>
      <c r="AG7" s="25" t="n">
        <v>500</v>
      </c>
      <c r="AH7" s="26" t="n">
        <v>0.0157</v>
      </c>
      <c r="AI7" s="24" t="n">
        <v>1.33063671572482</v>
      </c>
    </row>
    <row r="8" customFormat="false" ht="14.25" hidden="false" customHeight="false" outlineLevel="0" collapsed="false">
      <c r="A8" s="0" t="s">
        <v>23</v>
      </c>
      <c r="B8" s="1" t="n">
        <v>10</v>
      </c>
      <c r="C8" s="1" t="n">
        <v>8</v>
      </c>
      <c r="D8" s="2" t="n">
        <v>87.7</v>
      </c>
      <c r="E8" s="4" t="n">
        <v>4.13112676332901</v>
      </c>
      <c r="F8" s="1" t="n">
        <v>25</v>
      </c>
      <c r="G8" s="1" t="n">
        <v>53</v>
      </c>
      <c r="H8" s="3" t="n">
        <v>99.6964003818006</v>
      </c>
      <c r="I8" s="1" t="n">
        <v>604</v>
      </c>
      <c r="J8" s="32" t="n">
        <v>551</v>
      </c>
      <c r="K8" s="25" t="n">
        <v>306</v>
      </c>
      <c r="L8" s="32" t="n">
        <v>141</v>
      </c>
      <c r="M8" s="4" t="n">
        <v>0.16</v>
      </c>
      <c r="N8" s="24" t="n">
        <v>0.17110696370813</v>
      </c>
      <c r="O8" s="25" t="n">
        <v>322.919715637812</v>
      </c>
      <c r="P8" s="25" t="n">
        <v>290.768494381616</v>
      </c>
      <c r="Q8" s="26" t="n">
        <v>0.015388385199706</v>
      </c>
      <c r="R8" s="24" t="n">
        <v>1.06941852317581</v>
      </c>
      <c r="S8" s="4" t="n">
        <v>0.135806726806593</v>
      </c>
      <c r="T8" s="25" t="n">
        <v>322.919715637812</v>
      </c>
      <c r="U8" s="25" t="n">
        <v>308</v>
      </c>
      <c r="V8" s="26" t="n">
        <v>0.0144607165883762</v>
      </c>
      <c r="W8" s="24" t="n">
        <f aca="false">(I8-H8)/(J8-H8)</f>
        <v>1.11743757427337</v>
      </c>
      <c r="X8" s="24" t="n">
        <f aca="false">0.5*(1+(I8-K8-L8)/(I8-K8))</f>
        <v>0.763422818791946</v>
      </c>
      <c r="Y8" s="24" t="n">
        <v>0.848792042541209</v>
      </c>
      <c r="Z8" s="24" t="n">
        <v>0.189366188849765</v>
      </c>
      <c r="AA8" s="25" t="n">
        <v>322.919715637812</v>
      </c>
      <c r="AB8" s="25" t="n">
        <v>290.768494381616</v>
      </c>
      <c r="AC8" s="26" t="n">
        <v>0.015388385199706</v>
      </c>
      <c r="AD8" s="24" t="n">
        <v>1.18353868031103</v>
      </c>
      <c r="AE8" s="24" t="n">
        <v>0.2432137981837</v>
      </c>
      <c r="AF8" s="24" t="n">
        <v>0.144849533368963</v>
      </c>
      <c r="AG8" s="25" t="n">
        <v>334.960384958872</v>
      </c>
      <c r="AH8" s="26" t="n">
        <v>0.011</v>
      </c>
      <c r="AI8" s="24" t="n">
        <v>0.90530958355602</v>
      </c>
    </row>
    <row r="9" customFormat="false" ht="14.25" hidden="false" customHeight="false" outlineLevel="0" collapsed="false">
      <c r="B9" s="1" t="n">
        <v>10</v>
      </c>
      <c r="C9" s="1" t="n">
        <v>8</v>
      </c>
      <c r="D9" s="2" t="n">
        <v>87.7</v>
      </c>
      <c r="E9" s="4" t="n">
        <v>4.13112676332901</v>
      </c>
      <c r="F9" s="1" t="n">
        <v>25</v>
      </c>
      <c r="G9" s="1" t="n">
        <v>53</v>
      </c>
      <c r="H9" s="3" t="n">
        <v>99.6964003818006</v>
      </c>
      <c r="I9" s="1" t="n">
        <v>604</v>
      </c>
      <c r="J9" s="32" t="n">
        <v>551</v>
      </c>
      <c r="K9" s="25" t="n">
        <v>306</v>
      </c>
      <c r="L9" s="32" t="n">
        <v>141</v>
      </c>
      <c r="M9" s="4" t="n">
        <v>0.18</v>
      </c>
      <c r="N9" s="24" t="n">
        <v>0.22285815917348</v>
      </c>
      <c r="O9" s="25" t="n">
        <v>367.820933240784</v>
      </c>
      <c r="P9" s="25" t="n">
        <v>290.768494381616</v>
      </c>
      <c r="Q9" s="26" t="n">
        <v>0.015388385199706</v>
      </c>
      <c r="R9" s="24" t="n">
        <v>1.23810088429711</v>
      </c>
      <c r="S9" s="4" t="n">
        <v>0.179954155396124</v>
      </c>
      <c r="T9" s="25" t="n">
        <v>367.820933240784</v>
      </c>
      <c r="U9" s="25" t="n">
        <v>308</v>
      </c>
      <c r="V9" s="26" t="n">
        <v>0.0144607165883762</v>
      </c>
      <c r="W9" s="24" t="n">
        <f aca="false">(I9-H9)/(J9-H9)</f>
        <v>1.11743757427337</v>
      </c>
      <c r="X9" s="24" t="n">
        <f aca="false">0.5*(1+(I9-K9-L9)/(I9-K9))</f>
        <v>0.763422818791946</v>
      </c>
      <c r="Y9" s="24" t="n">
        <v>0.999745307756244</v>
      </c>
      <c r="Z9" s="24" t="n">
        <v>0.215697106537447</v>
      </c>
      <c r="AA9" s="25" t="n">
        <v>367.820933240784</v>
      </c>
      <c r="AB9" s="25" t="n">
        <v>290.768494381616</v>
      </c>
      <c r="AC9" s="26" t="n">
        <v>0.015388385199706</v>
      </c>
      <c r="AD9" s="24" t="n">
        <v>1.19831725854137</v>
      </c>
      <c r="AE9" s="24" t="n">
        <v>0.277032097740672</v>
      </c>
      <c r="AF9" s="24" t="n">
        <v>0.187932054533786</v>
      </c>
      <c r="AG9" s="25" t="n">
        <v>381.535828962677</v>
      </c>
      <c r="AH9" s="26" t="n">
        <v>0.011</v>
      </c>
      <c r="AI9" s="24" t="n">
        <v>1.04406696963214</v>
      </c>
    </row>
    <row r="10" customFormat="false" ht="14.25" hidden="false" customHeight="false" outlineLevel="0" collapsed="false">
      <c r="B10" s="1" t="n">
        <v>10</v>
      </c>
      <c r="C10" s="1" t="n">
        <v>8</v>
      </c>
      <c r="D10" s="2" t="n">
        <v>87.7</v>
      </c>
      <c r="E10" s="4" t="n">
        <v>4.13112676332901</v>
      </c>
      <c r="F10" s="1" t="n">
        <v>25</v>
      </c>
      <c r="G10" s="1" t="n">
        <v>53</v>
      </c>
      <c r="H10" s="3" t="n">
        <v>99.6964003818006</v>
      </c>
      <c r="I10" s="1" t="n">
        <v>604</v>
      </c>
      <c r="J10" s="32" t="n">
        <v>551</v>
      </c>
      <c r="K10" s="25" t="n">
        <v>306</v>
      </c>
      <c r="L10" s="32" t="n">
        <v>141</v>
      </c>
      <c r="M10" s="4" t="n">
        <v>0.26</v>
      </c>
      <c r="N10" s="24" t="n">
        <v>0.375202017212444</v>
      </c>
      <c r="O10" s="25" t="n">
        <v>500</v>
      </c>
      <c r="P10" s="25" t="n">
        <v>290.768494381616</v>
      </c>
      <c r="Q10" s="26" t="n">
        <v>0.015388385199706</v>
      </c>
      <c r="R10" s="24" t="n">
        <v>1.44308468158632</v>
      </c>
      <c r="S10" s="4" t="n">
        <v>0.309914237155623</v>
      </c>
      <c r="T10" s="25" t="n">
        <v>500</v>
      </c>
      <c r="U10" s="25" t="n">
        <v>308</v>
      </c>
      <c r="V10" s="26" t="n">
        <v>0.0144607165883762</v>
      </c>
      <c r="W10" s="24" t="n">
        <f aca="false">(I10-H10)/(J10-H10)</f>
        <v>1.11743757427337</v>
      </c>
      <c r="X10" s="24" t="n">
        <f aca="false">0.5*(1+(I10-K10-L10)/(I10-K10))</f>
        <v>0.763422818791946</v>
      </c>
      <c r="Y10" s="24" t="n">
        <v>1.19197783521394</v>
      </c>
      <c r="Z10" s="24" t="n">
        <v>0.318170216250936</v>
      </c>
      <c r="AA10" s="25" t="n">
        <v>500</v>
      </c>
      <c r="AB10" s="25" t="n">
        <v>290.768494381616</v>
      </c>
      <c r="AC10" s="26" t="n">
        <v>0.015388385199706</v>
      </c>
      <c r="AD10" s="24" t="n">
        <v>1.22373160096514</v>
      </c>
      <c r="AE10" s="24" t="n">
        <v>0.363048600827174</v>
      </c>
      <c r="AF10" s="24" t="n">
        <v>0.322752946041018</v>
      </c>
      <c r="AG10" s="25" t="n">
        <v>500</v>
      </c>
      <c r="AH10" s="26" t="n">
        <v>0.011</v>
      </c>
      <c r="AI10" s="24" t="n">
        <v>1.24135748477314</v>
      </c>
    </row>
    <row r="11" customFormat="false" ht="14.25" hidden="false" customHeight="false" outlineLevel="0" collapsed="false">
      <c r="A11" s="0" t="s">
        <v>24</v>
      </c>
      <c r="B11" s="1" t="n">
        <v>10</v>
      </c>
      <c r="C11" s="1" t="n">
        <v>4</v>
      </c>
      <c r="D11" s="2" t="n">
        <v>32.4666666666667</v>
      </c>
      <c r="E11" s="4" t="n">
        <v>3.262</v>
      </c>
      <c r="F11" s="1" t="n">
        <v>25</v>
      </c>
      <c r="G11" s="1" t="n">
        <v>36</v>
      </c>
      <c r="H11" s="3" t="n">
        <v>95.7219268645215</v>
      </c>
      <c r="I11" s="1" t="n">
        <v>600</v>
      </c>
      <c r="J11" s="32" t="n">
        <v>564</v>
      </c>
      <c r="K11" s="25" t="n">
        <v>304</v>
      </c>
      <c r="L11" s="32" t="n">
        <v>86</v>
      </c>
      <c r="M11" s="4" t="n">
        <v>0.16</v>
      </c>
      <c r="N11" s="24" t="n">
        <v>0.160070918112908</v>
      </c>
      <c r="O11" s="25" t="n">
        <v>285.048032184717</v>
      </c>
      <c r="P11" s="25" t="n">
        <v>207.320633540607</v>
      </c>
      <c r="Q11" s="26" t="n">
        <v>0.0174444444444444</v>
      </c>
      <c r="R11" s="24" t="n">
        <v>1.00044323820567</v>
      </c>
      <c r="S11" s="4" t="n">
        <v>0.138680290254408</v>
      </c>
      <c r="T11" s="25" t="n">
        <v>285.048032184717</v>
      </c>
      <c r="U11" s="25" t="n">
        <v>199</v>
      </c>
      <c r="V11" s="26" t="n">
        <v>0.0182558139534884</v>
      </c>
      <c r="W11" s="24" t="n">
        <f aca="false">(I11-H11)/(J11-H11)</f>
        <v>1.07687739842046</v>
      </c>
      <c r="X11" s="24" t="n">
        <f aca="false">0.5*(1+(I11-K11-L11)/(I11-K11))</f>
        <v>0.85472972972973</v>
      </c>
      <c r="Y11" s="24" t="n">
        <v>0.866751814090053</v>
      </c>
      <c r="Z11" s="24" t="n">
        <v>0.148593282655709</v>
      </c>
      <c r="AA11" s="25" t="n">
        <v>285.048032184717</v>
      </c>
      <c r="AB11" s="25" t="n">
        <v>207.320633540607</v>
      </c>
      <c r="AC11" s="26" t="n">
        <v>0.0174444444444444</v>
      </c>
      <c r="AD11" s="24" t="n">
        <v>0.928708016598181</v>
      </c>
      <c r="AE11" s="24" t="n">
        <v>0.184403997894612</v>
      </c>
      <c r="AF11" s="24" t="n">
        <v>0.13403771715747</v>
      </c>
      <c r="AG11" s="25" t="n">
        <v>293.393694026064</v>
      </c>
      <c r="AH11" s="26" t="n">
        <v>0.0123</v>
      </c>
      <c r="AI11" s="24" t="n">
        <v>0.837735732234187</v>
      </c>
    </row>
    <row r="12" customFormat="false" ht="14.25" hidden="false" customHeight="false" outlineLevel="0" collapsed="false">
      <c r="B12" s="1" t="n">
        <v>10</v>
      </c>
      <c r="C12" s="1" t="n">
        <v>4</v>
      </c>
      <c r="D12" s="2" t="n">
        <v>32.4666666666667</v>
      </c>
      <c r="E12" s="4" t="n">
        <v>3.262</v>
      </c>
      <c r="F12" s="1" t="n">
        <v>25</v>
      </c>
      <c r="G12" s="1" t="n">
        <v>36</v>
      </c>
      <c r="H12" s="3" t="n">
        <v>95.7219268645215</v>
      </c>
      <c r="I12" s="1" t="n">
        <v>600</v>
      </c>
      <c r="J12" s="32" t="n">
        <v>564</v>
      </c>
      <c r="K12" s="25" t="n">
        <v>304</v>
      </c>
      <c r="L12" s="32" t="n">
        <v>86</v>
      </c>
      <c r="M12" s="4" t="n">
        <v>0.2</v>
      </c>
      <c r="N12" s="24" t="n">
        <v>0.199877121284813</v>
      </c>
      <c r="O12" s="25" t="n">
        <v>324.999646144464</v>
      </c>
      <c r="P12" s="25" t="n">
        <v>207.320633540607</v>
      </c>
      <c r="Q12" s="26" t="n">
        <v>0.0174444444444444</v>
      </c>
      <c r="R12" s="24" t="n">
        <v>0.999385606424064</v>
      </c>
      <c r="S12" s="4" t="n">
        <v>0.172128911017169</v>
      </c>
      <c r="T12" s="25" t="n">
        <v>324.999646144464</v>
      </c>
      <c r="U12" s="25" t="n">
        <v>199</v>
      </c>
      <c r="V12" s="26" t="n">
        <v>0.0182558139534884</v>
      </c>
      <c r="W12" s="24" t="n">
        <f aca="false">(I12-H12)/(J12-H12)</f>
        <v>1.07687739842046</v>
      </c>
      <c r="X12" s="24" t="n">
        <f aca="false">0.5*(1+(I12-K12-L12)/(I12-K12))</f>
        <v>0.85472972972973</v>
      </c>
      <c r="Y12" s="24" t="n">
        <v>0.860644555085843</v>
      </c>
      <c r="Z12" s="24" t="n">
        <v>0.174291632852465</v>
      </c>
      <c r="AA12" s="25" t="n">
        <v>324.999646144464</v>
      </c>
      <c r="AB12" s="25" t="n">
        <v>207.320633540607</v>
      </c>
      <c r="AC12" s="26" t="n">
        <v>0.0174444444444444</v>
      </c>
      <c r="AD12" s="24" t="n">
        <v>0.871458164262323</v>
      </c>
      <c r="AE12" s="24" t="n">
        <v>0.210249597599527</v>
      </c>
      <c r="AF12" s="24" t="n">
        <v>0.174243547470355</v>
      </c>
      <c r="AG12" s="25" t="n">
        <v>334.515014921055</v>
      </c>
      <c r="AH12" s="26" t="n">
        <v>0.0123</v>
      </c>
      <c r="AI12" s="24" t="n">
        <v>0.871217737351776</v>
      </c>
    </row>
    <row r="13" customFormat="false" ht="14.25" hidden="false" customHeight="false" outlineLevel="0" collapsed="false">
      <c r="B13" s="1" t="n">
        <v>10</v>
      </c>
      <c r="C13" s="1" t="n">
        <v>4</v>
      </c>
      <c r="D13" s="2" t="n">
        <v>32.4666666666667</v>
      </c>
      <c r="E13" s="4" t="n">
        <v>3.262</v>
      </c>
      <c r="F13" s="1" t="n">
        <v>25</v>
      </c>
      <c r="G13" s="1" t="n">
        <v>36</v>
      </c>
      <c r="H13" s="3" t="n">
        <v>95.7219268645215</v>
      </c>
      <c r="I13" s="1" t="n">
        <v>600</v>
      </c>
      <c r="J13" s="32" t="n">
        <v>564</v>
      </c>
      <c r="K13" s="25" t="n">
        <v>304</v>
      </c>
      <c r="L13" s="32" t="n">
        <v>86</v>
      </c>
      <c r="M13" s="4" t="n">
        <v>0.2</v>
      </c>
      <c r="N13" s="24" t="n">
        <v>0.242366888715498</v>
      </c>
      <c r="O13" s="25" t="n">
        <v>367.644627337453</v>
      </c>
      <c r="P13" s="25" t="n">
        <v>207.320633540607</v>
      </c>
      <c r="Q13" s="26" t="n">
        <v>0.0174444444444444</v>
      </c>
      <c r="R13" s="24" t="n">
        <v>1.21183444357749</v>
      </c>
      <c r="S13" s="4" t="n">
        <v>0.207832494977418</v>
      </c>
      <c r="T13" s="25" t="n">
        <v>367.644627337453</v>
      </c>
      <c r="U13" s="25" t="n">
        <v>199</v>
      </c>
      <c r="V13" s="26" t="n">
        <v>0.0182558139534884</v>
      </c>
      <c r="W13" s="24" t="n">
        <f aca="false">(I13-H13)/(J13-H13)</f>
        <v>1.07687739842046</v>
      </c>
      <c r="X13" s="24" t="n">
        <f aca="false">0.5*(1+(I13-K13-L13)/(I13-K13))</f>
        <v>0.85472972972973</v>
      </c>
      <c r="Y13" s="24" t="n">
        <v>1.03916247488709</v>
      </c>
      <c r="Z13" s="24" t="n">
        <v>0.211342451362418</v>
      </c>
      <c r="AA13" s="25" t="n">
        <v>367.644627337453</v>
      </c>
      <c r="AB13" s="25" t="n">
        <v>207.320633540607</v>
      </c>
      <c r="AC13" s="26" t="n">
        <v>0.0174444444444444</v>
      </c>
      <c r="AD13" s="24" t="n">
        <v>1.05671225681209</v>
      </c>
      <c r="AE13" s="24" t="n">
        <v>0.237837597284547</v>
      </c>
      <c r="AF13" s="24" t="n">
        <v>0.222970483472656</v>
      </c>
      <c r="AG13" s="25" t="n">
        <v>378.408559696608</v>
      </c>
      <c r="AH13" s="26" t="n">
        <v>0.0123</v>
      </c>
      <c r="AI13" s="24" t="n">
        <v>1.11485241736328</v>
      </c>
    </row>
    <row r="14" customFormat="false" ht="14.25" hidden="false" customHeight="false" outlineLevel="0" collapsed="false">
      <c r="B14" s="1" t="n">
        <v>10</v>
      </c>
      <c r="C14" s="1" t="n">
        <v>4</v>
      </c>
      <c r="D14" s="2" t="n">
        <v>32.4666666666667</v>
      </c>
      <c r="E14" s="4" t="n">
        <v>3.262</v>
      </c>
      <c r="F14" s="1" t="n">
        <v>25</v>
      </c>
      <c r="G14" s="1" t="n">
        <v>36</v>
      </c>
      <c r="H14" s="3" t="n">
        <v>95.7219268645215</v>
      </c>
      <c r="I14" s="1" t="n">
        <v>600</v>
      </c>
      <c r="J14" s="32" t="n">
        <v>564</v>
      </c>
      <c r="K14" s="25" t="n">
        <v>304</v>
      </c>
      <c r="L14" s="32" t="n">
        <v>86</v>
      </c>
      <c r="M14" s="4" t="n">
        <v>0.24</v>
      </c>
      <c r="N14" s="24" t="n">
        <v>0.28530391685598</v>
      </c>
      <c r="O14" s="25" t="n">
        <v>410.738503069316</v>
      </c>
      <c r="P14" s="25" t="n">
        <v>207.320633540607</v>
      </c>
      <c r="Q14" s="26" t="n">
        <v>0.0174444444444444</v>
      </c>
      <c r="R14" s="24" t="n">
        <v>1.18876632023325</v>
      </c>
      <c r="S14" s="4" t="n">
        <v>0.243911906137249</v>
      </c>
      <c r="T14" s="25" t="n">
        <v>410.738503069316</v>
      </c>
      <c r="U14" s="25" t="n">
        <v>199</v>
      </c>
      <c r="V14" s="26" t="n">
        <v>0.0182558139534884</v>
      </c>
      <c r="W14" s="24" t="n">
        <f aca="false">(I14-H14)/(J14-H14)</f>
        <v>1.07687739842046</v>
      </c>
      <c r="X14" s="24" t="n">
        <f aca="false">0.5*(1+(I14-K14-L14)/(I14-K14))</f>
        <v>0.85472972972973</v>
      </c>
      <c r="Y14" s="24" t="n">
        <v>1.0162996089052</v>
      </c>
      <c r="Z14" s="24" t="n">
        <v>0.248783278488266</v>
      </c>
      <c r="AA14" s="25" t="n">
        <v>410.738503069316</v>
      </c>
      <c r="AB14" s="25" t="n">
        <v>207.320633540607</v>
      </c>
      <c r="AC14" s="26" t="n">
        <v>0.0174444444444444</v>
      </c>
      <c r="AD14" s="24" t="n">
        <v>1.03659699370111</v>
      </c>
      <c r="AE14" s="24" t="n">
        <v>0.265715996966253</v>
      </c>
      <c r="AF14" s="24" t="n">
        <v>0.278305481423927</v>
      </c>
      <c r="AG14" s="25" t="n">
        <v>422.764141785588</v>
      </c>
      <c r="AH14" s="26" t="n">
        <v>0.0123</v>
      </c>
      <c r="AI14" s="24" t="n">
        <v>1.10714998735939</v>
      </c>
    </row>
    <row r="15" customFormat="false" ht="14.25" hidden="false" customHeight="false" outlineLevel="0" collapsed="false">
      <c r="B15" s="1" t="n">
        <v>10</v>
      </c>
      <c r="C15" s="1" t="n">
        <v>4</v>
      </c>
      <c r="D15" s="2" t="n">
        <v>32.4666666666667</v>
      </c>
      <c r="E15" s="4" t="n">
        <v>3.262</v>
      </c>
      <c r="F15" s="1" t="n">
        <v>25</v>
      </c>
      <c r="G15" s="1" t="n">
        <v>36</v>
      </c>
      <c r="H15" s="3" t="n">
        <v>95.7219268645215</v>
      </c>
      <c r="I15" s="1" t="n">
        <v>600</v>
      </c>
      <c r="J15" s="32" t="n">
        <v>564</v>
      </c>
      <c r="K15" s="25" t="n">
        <v>304</v>
      </c>
      <c r="L15" s="32" t="n">
        <v>86</v>
      </c>
      <c r="M15" s="4" t="n">
        <v>0.3</v>
      </c>
      <c r="N15" s="24" t="n">
        <v>0.313034080863375</v>
      </c>
      <c r="O15" s="25" t="n">
        <v>438.569964479477</v>
      </c>
      <c r="P15" s="25" t="n">
        <v>207.320633540607</v>
      </c>
      <c r="Q15" s="26" t="n">
        <v>0.0174444444444444</v>
      </c>
      <c r="R15" s="24" t="n">
        <v>1.04344693621125</v>
      </c>
      <c r="S15" s="4" t="n">
        <v>0.267213192511307</v>
      </c>
      <c r="T15" s="25" t="n">
        <v>438.569964479477</v>
      </c>
      <c r="U15" s="25" t="n">
        <v>199</v>
      </c>
      <c r="V15" s="26" t="n">
        <v>0.0182558139534884</v>
      </c>
      <c r="W15" s="24" t="n">
        <f aca="false">(I15-H15)/(J15-H15)</f>
        <v>1.07687739842046</v>
      </c>
      <c r="X15" s="24" t="n">
        <f aca="false">0.5*(1+(I15-K15-L15)/(I15-K15))</f>
        <v>0.85472972972973</v>
      </c>
      <c r="Y15" s="24" t="n">
        <v>0.890710641704356</v>
      </c>
      <c r="Z15" s="24" t="n">
        <v>0.27296381267371</v>
      </c>
      <c r="AA15" s="25" t="n">
        <v>438.569964479477</v>
      </c>
      <c r="AB15" s="25" t="n">
        <v>207.320633540607</v>
      </c>
      <c r="AC15" s="26" t="n">
        <v>0.0174444444444444</v>
      </c>
      <c r="AD15" s="24" t="n">
        <v>0.909879375579032</v>
      </c>
      <c r="AE15" s="24" t="n">
        <v>0.283720796760687</v>
      </c>
      <c r="AF15" s="24" t="n">
        <v>0.317298997137089</v>
      </c>
      <c r="AG15" s="25" t="n">
        <v>451.410455218054</v>
      </c>
      <c r="AH15" s="26" t="n">
        <v>0.0123</v>
      </c>
      <c r="AI15" s="24" t="n">
        <v>0.945735989202291</v>
      </c>
    </row>
    <row r="16" customFormat="false" ht="14.25" hidden="false" customHeight="false" outlineLevel="0" collapsed="false">
      <c r="B16" s="1" t="n">
        <v>10</v>
      </c>
      <c r="C16" s="1" t="n">
        <v>4</v>
      </c>
      <c r="D16" s="2" t="n">
        <v>32.4666666666667</v>
      </c>
      <c r="E16" s="4" t="n">
        <v>3.262</v>
      </c>
      <c r="F16" s="1" t="n">
        <v>25</v>
      </c>
      <c r="G16" s="1" t="n">
        <v>36</v>
      </c>
      <c r="H16" s="3" t="n">
        <v>95.7219268645215</v>
      </c>
      <c r="I16" s="1" t="n">
        <v>600</v>
      </c>
      <c r="J16" s="32" t="n">
        <v>564</v>
      </c>
      <c r="K16" s="25" t="n">
        <v>304</v>
      </c>
      <c r="L16" s="32" t="n">
        <v>86</v>
      </c>
      <c r="M16" s="4" t="n">
        <v>0.32</v>
      </c>
      <c r="N16" s="24" t="n">
        <v>0.372519755266334</v>
      </c>
      <c r="O16" s="25" t="n">
        <v>498.272938149662</v>
      </c>
      <c r="P16" s="25" t="n">
        <v>207.320633540607</v>
      </c>
      <c r="Q16" s="26" t="n">
        <v>0.0174444444444444</v>
      </c>
      <c r="R16" s="24" t="n">
        <v>1.16412423520729</v>
      </c>
      <c r="S16" s="4" t="n">
        <v>0.317198210055656</v>
      </c>
      <c r="T16" s="25" t="n">
        <v>498.272938149662</v>
      </c>
      <c r="U16" s="25" t="n">
        <v>199</v>
      </c>
      <c r="V16" s="26" t="n">
        <v>0.0182558139534884</v>
      </c>
      <c r="W16" s="24" t="n">
        <f aca="false">(I16-H16)/(J16-H16)</f>
        <v>1.07687739842046</v>
      </c>
      <c r="X16" s="24" t="n">
        <f aca="false">0.5*(1+(I16-K16-L16)/(I16-K16))</f>
        <v>0.85472972972973</v>
      </c>
      <c r="Y16" s="24" t="n">
        <v>0.991244406423925</v>
      </c>
      <c r="Z16" s="24" t="n">
        <v>0.324834958587645</v>
      </c>
      <c r="AA16" s="25" t="n">
        <v>498.272938149662</v>
      </c>
      <c r="AB16" s="25" t="n">
        <v>207.320633540607</v>
      </c>
      <c r="AC16" s="26" t="n">
        <v>0.0174444444444444</v>
      </c>
      <c r="AD16" s="24" t="n">
        <v>1.01510924558639</v>
      </c>
      <c r="AE16" s="24" t="n">
        <v>0.322343996319716</v>
      </c>
      <c r="AF16" s="24" t="n">
        <v>0.409567539983182</v>
      </c>
      <c r="AG16" s="25" t="n">
        <v>512.861417903828</v>
      </c>
      <c r="AH16" s="26" t="n">
        <v>0.0123</v>
      </c>
      <c r="AI16" s="24" t="n">
        <v>1.00732498849911</v>
      </c>
    </row>
    <row r="17" customFormat="false" ht="14.25" hidden="false" customHeight="false" outlineLevel="0" collapsed="false">
      <c r="B17" s="1" t="n">
        <v>10</v>
      </c>
      <c r="C17" s="1" t="n">
        <v>4</v>
      </c>
      <c r="D17" s="2" t="n">
        <v>32.4666666666667</v>
      </c>
      <c r="E17" s="4" t="n">
        <v>3.262</v>
      </c>
      <c r="F17" s="1" t="n">
        <v>25</v>
      </c>
      <c r="G17" s="1" t="n">
        <v>36</v>
      </c>
      <c r="H17" s="3" t="n">
        <v>95.7219268645215</v>
      </c>
      <c r="I17" s="1" t="n">
        <v>600</v>
      </c>
      <c r="J17" s="32" t="n">
        <v>564</v>
      </c>
      <c r="K17" s="25" t="n">
        <v>304</v>
      </c>
      <c r="L17" s="32" t="n">
        <v>86</v>
      </c>
      <c r="M17" s="4" t="n">
        <v>0.38</v>
      </c>
      <c r="N17" s="24" t="n">
        <v>0.376992362364301</v>
      </c>
      <c r="O17" s="25" t="n">
        <v>502.761883538398</v>
      </c>
      <c r="P17" s="25" t="n">
        <v>207.320633540607</v>
      </c>
      <c r="Q17" s="26" t="n">
        <v>0.0174444444444444</v>
      </c>
      <c r="R17" s="24" t="n">
        <v>0.992085164116581</v>
      </c>
      <c r="S17" s="4" t="n">
        <v>0.320956482051472</v>
      </c>
      <c r="T17" s="25" t="n">
        <v>502.761883538398</v>
      </c>
      <c r="U17" s="25" t="n">
        <v>199</v>
      </c>
      <c r="V17" s="26" t="n">
        <v>0.0182558139534884</v>
      </c>
      <c r="W17" s="24" t="n">
        <f aca="false">(I17-H17)/(J17-H17)</f>
        <v>1.07687739842046</v>
      </c>
      <c r="X17" s="24" t="n">
        <f aca="false">0.5*(1+(I17-K17-L17)/(I17-K17))</f>
        <v>0.85472972972973</v>
      </c>
      <c r="Y17" s="24" t="n">
        <v>0.844622321188084</v>
      </c>
      <c r="Z17" s="24" t="n">
        <v>0.328735044746587</v>
      </c>
      <c r="AA17" s="25" t="n">
        <v>502.761883538398</v>
      </c>
      <c r="AB17" s="25" t="n">
        <v>207.320633540607</v>
      </c>
      <c r="AC17" s="26" t="n">
        <v>0.0174444444444444</v>
      </c>
      <c r="AD17" s="24" t="n">
        <v>0.865092223017335</v>
      </c>
      <c r="AE17" s="24" t="n">
        <v>0.325247996286561</v>
      </c>
      <c r="AF17" s="24" t="n">
        <v>0.416980376718533</v>
      </c>
      <c r="AG17" s="25" t="n">
        <v>517.481791038096</v>
      </c>
      <c r="AH17" s="26" t="n">
        <v>0.0123</v>
      </c>
      <c r="AI17" s="24" t="n">
        <v>0.855915779701475</v>
      </c>
    </row>
    <row r="18" customFormat="false" ht="14.25" hidden="false" customHeight="false" outlineLevel="0" collapsed="false">
      <c r="B18" s="1" t="n">
        <v>10</v>
      </c>
      <c r="C18" s="1" t="n">
        <v>4</v>
      </c>
      <c r="D18" s="2" t="n">
        <v>32.4666666666667</v>
      </c>
      <c r="E18" s="4" t="n">
        <v>3.262</v>
      </c>
      <c r="F18" s="1" t="n">
        <v>25</v>
      </c>
      <c r="G18" s="1" t="n">
        <v>36</v>
      </c>
      <c r="H18" s="3" t="n">
        <v>95.7219268645215</v>
      </c>
      <c r="I18" s="1" t="n">
        <v>600</v>
      </c>
      <c r="J18" s="32" t="n">
        <v>564</v>
      </c>
      <c r="K18" s="25" t="n">
        <v>304</v>
      </c>
      <c r="L18" s="32" t="n">
        <v>86</v>
      </c>
      <c r="M18" s="4" t="n">
        <v>0.42</v>
      </c>
      <c r="N18" s="24" t="n">
        <v>0.412773219148035</v>
      </c>
      <c r="O18" s="25" t="n">
        <v>538.673446648283</v>
      </c>
      <c r="P18" s="25" t="n">
        <v>207.320633540607</v>
      </c>
      <c r="Q18" s="26" t="n">
        <v>0.0174444444444444</v>
      </c>
      <c r="R18" s="24" t="n">
        <v>0.982793378923894</v>
      </c>
      <c r="S18" s="4" t="n">
        <v>0.351022658017998</v>
      </c>
      <c r="T18" s="25" t="n">
        <v>538.673446648283</v>
      </c>
      <c r="U18" s="25" t="n">
        <v>199</v>
      </c>
      <c r="V18" s="26" t="n">
        <v>0.0182558139534884</v>
      </c>
      <c r="W18" s="24" t="n">
        <f aca="false">(I18-H18)/(J18-H18)</f>
        <v>1.07687739842046</v>
      </c>
      <c r="X18" s="24" t="n">
        <f aca="false">0.5*(1+(I18-K18-L18)/(I18-K18))</f>
        <v>0.85472972972973</v>
      </c>
      <c r="Y18" s="24" t="n">
        <v>0.835768233376185</v>
      </c>
      <c r="Z18" s="24" t="n">
        <v>0.359935734018127</v>
      </c>
      <c r="AA18" s="25" t="n">
        <v>538.673446648283</v>
      </c>
      <c r="AB18" s="25" t="n">
        <v>207.320633540607</v>
      </c>
      <c r="AC18" s="26" t="n">
        <v>0.0174444444444444</v>
      </c>
      <c r="AD18" s="24" t="n">
        <v>0.856989842900303</v>
      </c>
      <c r="AE18" s="24" t="n">
        <v>0.348479996021315</v>
      </c>
      <c r="AF18" s="24" t="n">
        <v>0.478676452865663</v>
      </c>
      <c r="AG18" s="25" t="n">
        <v>554.444776112246</v>
      </c>
      <c r="AH18" s="26" t="n">
        <v>0.0123</v>
      </c>
      <c r="AI18" s="24" t="n">
        <v>0.829714276241226</v>
      </c>
    </row>
    <row r="19" customFormat="false" ht="14.25" hidden="false" customHeight="false" outlineLevel="0" collapsed="false">
      <c r="B19" s="1" t="n">
        <v>10</v>
      </c>
      <c r="C19" s="1" t="n">
        <v>4</v>
      </c>
      <c r="D19" s="2" t="n">
        <v>32.4666666666667</v>
      </c>
      <c r="E19" s="4" t="n">
        <v>3.262</v>
      </c>
      <c r="F19" s="1" t="n">
        <v>25</v>
      </c>
      <c r="G19" s="1" t="n">
        <v>36</v>
      </c>
      <c r="H19" s="3" t="n">
        <v>95.7219268645215</v>
      </c>
      <c r="I19" s="1" t="n">
        <v>600</v>
      </c>
      <c r="J19" s="32" t="n">
        <v>564</v>
      </c>
      <c r="K19" s="25" t="n">
        <v>304</v>
      </c>
      <c r="L19" s="32" t="n">
        <v>86</v>
      </c>
      <c r="M19" s="4" t="n">
        <v>0.44</v>
      </c>
      <c r="N19" s="24" t="n">
        <v>0.501774653106298</v>
      </c>
      <c r="O19" s="25" t="n">
        <v>628</v>
      </c>
      <c r="P19" s="25" t="n">
        <v>207.320633540607</v>
      </c>
      <c r="Q19" s="26" t="n">
        <v>0.0174444444444444</v>
      </c>
      <c r="R19" s="24" t="n">
        <v>1.14039693887795</v>
      </c>
      <c r="S19" s="4" t="n">
        <v>0.425809374021921</v>
      </c>
      <c r="T19" s="25" t="n">
        <v>628</v>
      </c>
      <c r="U19" s="25" t="n">
        <v>199</v>
      </c>
      <c r="V19" s="26" t="n">
        <v>0.0182558139534884</v>
      </c>
      <c r="W19" s="24" t="n">
        <f aca="false">(I19-H19)/(J19-H19)</f>
        <v>1.07687739842046</v>
      </c>
      <c r="X19" s="24" t="n">
        <f aca="false">0.5*(1+(I19-K19-L19)/(I19-K19))</f>
        <v>0.85472972972973</v>
      </c>
      <c r="Y19" s="24" t="n">
        <v>0.967748577322548</v>
      </c>
      <c r="Z19" s="24" t="n">
        <v>0.437544442564076</v>
      </c>
      <c r="AA19" s="25" t="n">
        <v>628</v>
      </c>
      <c r="AB19" s="25" t="n">
        <v>207.320633540607</v>
      </c>
      <c r="AC19" s="26" t="n">
        <v>0.0174444444444444</v>
      </c>
      <c r="AD19" s="24" t="n">
        <v>0.994419187645627</v>
      </c>
      <c r="AE19" s="24" t="n">
        <v>0.39471097380685</v>
      </c>
      <c r="AF19" s="24" t="n">
        <v>0.614108006578883</v>
      </c>
      <c r="AG19" s="25" t="n">
        <v>628</v>
      </c>
      <c r="AH19" s="26" t="n">
        <v>0.0123</v>
      </c>
      <c r="AI19" s="24" t="n">
        <v>0.897070395015569</v>
      </c>
    </row>
    <row r="20" customFormat="false" ht="14.25" hidden="false" customHeight="false" outlineLevel="0" collapsed="false">
      <c r="B20" s="1" t="n">
        <v>10</v>
      </c>
      <c r="C20" s="1" t="n">
        <v>4</v>
      </c>
      <c r="D20" s="2" t="n">
        <v>32.4666666666667</v>
      </c>
      <c r="E20" s="4" t="n">
        <v>3.262</v>
      </c>
      <c r="F20" s="1" t="n">
        <v>25</v>
      </c>
      <c r="G20" s="1" t="n">
        <v>36</v>
      </c>
      <c r="H20" s="3" t="n">
        <v>95.7219268645215</v>
      </c>
      <c r="I20" s="1" t="n">
        <v>600</v>
      </c>
      <c r="J20" s="32" t="n">
        <v>564</v>
      </c>
      <c r="K20" s="25" t="n">
        <v>304</v>
      </c>
      <c r="L20" s="32" t="n">
        <v>86</v>
      </c>
      <c r="M20" s="4" t="n">
        <v>0.5</v>
      </c>
      <c r="N20" s="24" t="n">
        <v>0.501774653106298</v>
      </c>
      <c r="O20" s="25" t="n">
        <v>628</v>
      </c>
      <c r="P20" s="25" t="n">
        <v>207.320633540607</v>
      </c>
      <c r="Q20" s="26" t="n">
        <v>0.0174444444444444</v>
      </c>
      <c r="R20" s="24" t="n">
        <v>1.0035493062126</v>
      </c>
      <c r="S20" s="4" t="n">
        <v>0.425809374021921</v>
      </c>
      <c r="T20" s="25" t="n">
        <v>628</v>
      </c>
      <c r="U20" s="25" t="n">
        <v>199</v>
      </c>
      <c r="V20" s="26" t="n">
        <v>0.0182558139534884</v>
      </c>
      <c r="W20" s="24" t="n">
        <f aca="false">(I20-H20)/(J20-H20)</f>
        <v>1.07687739842046</v>
      </c>
      <c r="X20" s="24" t="n">
        <f aca="false">0.5*(1+(I20-K20-L20)/(I20-K20))</f>
        <v>0.85472972972973</v>
      </c>
      <c r="Y20" s="24" t="n">
        <v>0.851618748043842</v>
      </c>
      <c r="Z20" s="24" t="n">
        <v>0.437544442564076</v>
      </c>
      <c r="AA20" s="25" t="n">
        <v>628</v>
      </c>
      <c r="AB20" s="25" t="n">
        <v>207.320633540607</v>
      </c>
      <c r="AC20" s="26" t="n">
        <v>0.0174444444444444</v>
      </c>
      <c r="AD20" s="24" t="n">
        <v>0.875088885128152</v>
      </c>
      <c r="AE20" s="24" t="n">
        <v>0.39471097380685</v>
      </c>
      <c r="AF20" s="24" t="n">
        <v>0.614108006578883</v>
      </c>
      <c r="AG20" s="25" t="n">
        <v>628</v>
      </c>
      <c r="AH20" s="26" t="n">
        <v>0.0123</v>
      </c>
      <c r="AI20" s="24" t="n">
        <v>0.789421947613701</v>
      </c>
    </row>
    <row r="21" customFormat="false" ht="14.25" hidden="false" customHeight="false" outlineLevel="0" collapsed="false">
      <c r="A21" s="0" t="s">
        <v>25</v>
      </c>
      <c r="B21" s="1" t="n">
        <v>10</v>
      </c>
      <c r="C21" s="1" t="n">
        <v>4</v>
      </c>
      <c r="D21" s="2" t="n">
        <v>32.4666666666667</v>
      </c>
      <c r="E21" s="4" t="n">
        <v>3.514</v>
      </c>
      <c r="F21" s="1" t="n">
        <v>25</v>
      </c>
      <c r="G21" s="1" t="n">
        <v>36</v>
      </c>
      <c r="H21" s="3" t="n">
        <v>87.1206787100977</v>
      </c>
      <c r="I21" s="1" t="n">
        <v>600</v>
      </c>
      <c r="J21" s="32" t="n">
        <v>564</v>
      </c>
      <c r="K21" s="25" t="n">
        <v>303</v>
      </c>
      <c r="L21" s="32" t="n">
        <v>86</v>
      </c>
      <c r="M21" s="4" t="n">
        <v>0.24</v>
      </c>
      <c r="N21" s="24" t="n">
        <v>0.189229893046237</v>
      </c>
      <c r="O21" s="25" t="n">
        <v>321.471876442594</v>
      </c>
      <c r="P21" s="25" t="n">
        <v>219.251221075838</v>
      </c>
      <c r="Q21" s="26" t="n">
        <v>0.0174444444444444</v>
      </c>
      <c r="R21" s="24" t="n">
        <v>0.788457887692654</v>
      </c>
      <c r="S21" s="4" t="n">
        <v>0.163338720819284</v>
      </c>
      <c r="T21" s="25" t="n">
        <v>321.471876442594</v>
      </c>
      <c r="U21" s="25" t="n">
        <v>210</v>
      </c>
      <c r="V21" s="26" t="n">
        <v>0.0182558139534884</v>
      </c>
      <c r="W21" s="24" t="n">
        <f aca="false">(I21-H21)/(J21-H21)</f>
        <v>1.07549079692243</v>
      </c>
      <c r="X21" s="24" t="n">
        <f aca="false">0.5*(1+(I21-K21-L21)/(I21-K21))</f>
        <v>0.855218855218855</v>
      </c>
      <c r="Y21" s="24" t="n">
        <v>0.680578003413682</v>
      </c>
      <c r="Z21" s="24" t="n">
        <v>0.167580744325716</v>
      </c>
      <c r="AA21" s="25" t="n">
        <v>321.471876442594</v>
      </c>
      <c r="AB21" s="25" t="n">
        <v>219.251221075838</v>
      </c>
      <c r="AC21" s="26" t="n">
        <v>0.0174444444444444</v>
      </c>
      <c r="AD21" s="24" t="n">
        <v>0.69825310135715</v>
      </c>
      <c r="AE21" s="24" t="n">
        <v>0.209087997612789</v>
      </c>
      <c r="AF21" s="24" t="n">
        <v>0.159965660822198</v>
      </c>
      <c r="AG21" s="25" t="n">
        <v>332.666865667348</v>
      </c>
      <c r="AH21" s="26" t="n">
        <v>0.0123</v>
      </c>
      <c r="AI21" s="24" t="n">
        <v>0.66652358675916</v>
      </c>
    </row>
    <row r="22" customFormat="false" ht="14.25" hidden="false" customHeight="false" outlineLevel="0" collapsed="false">
      <c r="B22" s="1" t="n">
        <v>10</v>
      </c>
      <c r="C22" s="1" t="n">
        <v>4</v>
      </c>
      <c r="D22" s="2" t="n">
        <v>32.4666666666667</v>
      </c>
      <c r="E22" s="4" t="n">
        <v>3.514</v>
      </c>
      <c r="F22" s="1" t="n">
        <v>25</v>
      </c>
      <c r="G22" s="1" t="n">
        <v>36</v>
      </c>
      <c r="H22" s="3" t="n">
        <v>87.1206787100977</v>
      </c>
      <c r="I22" s="1" t="n">
        <v>600</v>
      </c>
      <c r="J22" s="32" t="n">
        <v>564</v>
      </c>
      <c r="K22" s="25" t="n">
        <v>303</v>
      </c>
      <c r="L22" s="32" t="n">
        <v>86</v>
      </c>
      <c r="M22" s="4" t="n">
        <v>0.3</v>
      </c>
      <c r="N22" s="24" t="n">
        <v>0.224818984614798</v>
      </c>
      <c r="O22" s="25" t="n">
        <v>357.190973825104</v>
      </c>
      <c r="P22" s="25" t="n">
        <v>219.251221075838</v>
      </c>
      <c r="Q22" s="26" t="n">
        <v>0.0174444444444444</v>
      </c>
      <c r="R22" s="24" t="n">
        <v>0.749396615382661</v>
      </c>
      <c r="S22" s="4" t="n">
        <v>0.193213400157039</v>
      </c>
      <c r="T22" s="25" t="n">
        <v>357.190973825104</v>
      </c>
      <c r="U22" s="25" t="n">
        <v>210</v>
      </c>
      <c r="V22" s="26" t="n">
        <v>0.0182558139534884</v>
      </c>
      <c r="W22" s="24" t="n">
        <f aca="false">(I22-H22)/(J22-H22)</f>
        <v>1.07549079692243</v>
      </c>
      <c r="X22" s="24" t="n">
        <f aca="false">0.5*(1+(I22-K22-L22)/(I22-K22))</f>
        <v>0.855218855218855</v>
      </c>
      <c r="Y22" s="24" t="n">
        <v>0.644044667190131</v>
      </c>
      <c r="Z22" s="24" t="n">
        <v>0.196040785823163</v>
      </c>
      <c r="AA22" s="25" t="n">
        <v>357.190973825104</v>
      </c>
      <c r="AB22" s="25" t="n">
        <v>219.251221075838</v>
      </c>
      <c r="AC22" s="26" t="n">
        <v>0.0174444444444444</v>
      </c>
      <c r="AD22" s="24" t="n">
        <v>0.653469286077209</v>
      </c>
      <c r="AE22" s="24" t="n">
        <v>0.232319997347543</v>
      </c>
      <c r="AF22" s="24" t="n">
        <v>0.197488470150862</v>
      </c>
      <c r="AG22" s="25" t="n">
        <v>369.629850741498</v>
      </c>
      <c r="AH22" s="26" t="n">
        <v>0.0123</v>
      </c>
      <c r="AI22" s="24" t="n">
        <v>0.658294900502874</v>
      </c>
    </row>
    <row r="23" customFormat="false" ht="14.25" hidden="false" customHeight="false" outlineLevel="0" collapsed="false">
      <c r="B23" s="1" t="n">
        <v>10</v>
      </c>
      <c r="C23" s="1" t="n">
        <v>4</v>
      </c>
      <c r="D23" s="2" t="n">
        <v>32.4666666666667</v>
      </c>
      <c r="E23" s="4" t="n">
        <v>3.514</v>
      </c>
      <c r="F23" s="1" t="n">
        <v>25</v>
      </c>
      <c r="G23" s="1" t="n">
        <v>36</v>
      </c>
      <c r="H23" s="3" t="n">
        <v>87.1206787100977</v>
      </c>
      <c r="I23" s="1" t="n">
        <v>600</v>
      </c>
      <c r="J23" s="32" t="n">
        <v>564</v>
      </c>
      <c r="K23" s="25" t="n">
        <v>303</v>
      </c>
      <c r="L23" s="32" t="n">
        <v>86</v>
      </c>
      <c r="M23" s="4" t="n">
        <v>0.3</v>
      </c>
      <c r="N23" s="24" t="n">
        <v>0.238164893953009</v>
      </c>
      <c r="O23" s="25" t="n">
        <v>370.585635343545</v>
      </c>
      <c r="P23" s="25" t="n">
        <v>219.251221075838</v>
      </c>
      <c r="Q23" s="26" t="n">
        <v>0.0174444444444444</v>
      </c>
      <c r="R23" s="24" t="n">
        <v>0.793882979843363</v>
      </c>
      <c r="S23" s="4" t="n">
        <v>0.204416404908698</v>
      </c>
      <c r="T23" s="25" t="n">
        <v>370.585635343545</v>
      </c>
      <c r="U23" s="25" t="n">
        <v>210</v>
      </c>
      <c r="V23" s="26" t="n">
        <v>0.0182558139534884</v>
      </c>
      <c r="W23" s="24" t="n">
        <f aca="false">(I23-H23)/(J23-H23)</f>
        <v>1.07549079692243</v>
      </c>
      <c r="X23" s="24" t="n">
        <f aca="false">0.5*(1+(I23-K23-L23)/(I23-K23))</f>
        <v>0.855218855218855</v>
      </c>
      <c r="Y23" s="24" t="n">
        <v>0.681388016362326</v>
      </c>
      <c r="Z23" s="24" t="n">
        <v>0.207678337512449</v>
      </c>
      <c r="AA23" s="25" t="n">
        <v>370.585635343545</v>
      </c>
      <c r="AB23" s="25" t="n">
        <v>219.251221075838</v>
      </c>
      <c r="AC23" s="26" t="n">
        <v>0.0174444444444444</v>
      </c>
      <c r="AD23" s="24" t="n">
        <v>0.692261125041495</v>
      </c>
      <c r="AE23" s="24" t="n">
        <v>0.241031997248076</v>
      </c>
      <c r="AF23" s="24" t="n">
        <v>0.212577823573326</v>
      </c>
      <c r="AG23" s="25" t="n">
        <v>383.490970144304</v>
      </c>
      <c r="AH23" s="26" t="n">
        <v>0.0123</v>
      </c>
      <c r="AI23" s="24" t="n">
        <v>0.708592745244421</v>
      </c>
    </row>
    <row r="24" customFormat="false" ht="14.25" hidden="false" customHeight="false" outlineLevel="0" collapsed="false">
      <c r="B24" s="1" t="n">
        <v>10</v>
      </c>
      <c r="C24" s="1" t="n">
        <v>4</v>
      </c>
      <c r="D24" s="2" t="n">
        <v>32.4666666666667</v>
      </c>
      <c r="E24" s="4" t="n">
        <v>3.514</v>
      </c>
      <c r="F24" s="1" t="n">
        <v>25</v>
      </c>
      <c r="G24" s="1" t="n">
        <v>36</v>
      </c>
      <c r="H24" s="3" t="n">
        <v>87.1206787100977</v>
      </c>
      <c r="I24" s="1" t="n">
        <v>600</v>
      </c>
      <c r="J24" s="32" t="n">
        <v>564</v>
      </c>
      <c r="K24" s="25" t="n">
        <v>303</v>
      </c>
      <c r="L24" s="32" t="n">
        <v>86</v>
      </c>
      <c r="M24" s="4" t="n">
        <v>0.3</v>
      </c>
      <c r="N24" s="24" t="n">
        <v>0.26040807618336</v>
      </c>
      <c r="O24" s="25" t="n">
        <v>392.910071207614</v>
      </c>
      <c r="P24" s="25" t="n">
        <v>219.251221075838</v>
      </c>
      <c r="Q24" s="26" t="n">
        <v>0.0174444444444444</v>
      </c>
      <c r="R24" s="24" t="n">
        <v>0.868026920611199</v>
      </c>
      <c r="S24" s="4" t="n">
        <v>0.223088079494795</v>
      </c>
      <c r="T24" s="25" t="n">
        <v>392.910071207614</v>
      </c>
      <c r="U24" s="25" t="n">
        <v>210</v>
      </c>
      <c r="V24" s="26" t="n">
        <v>0.0182558139534884</v>
      </c>
      <c r="W24" s="24" t="n">
        <f aca="false">(I24-H24)/(J24-H24)</f>
        <v>1.07549079692243</v>
      </c>
      <c r="X24" s="24" t="n">
        <f aca="false">0.5*(1+(I24-K24-L24)/(I24-K24))</f>
        <v>0.855218855218855</v>
      </c>
      <c r="Y24" s="24" t="n">
        <v>0.743626931649316</v>
      </c>
      <c r="Z24" s="24" t="n">
        <v>0.227074256994592</v>
      </c>
      <c r="AA24" s="25" t="n">
        <v>392.910071207614</v>
      </c>
      <c r="AB24" s="25" t="n">
        <v>219.251221075838</v>
      </c>
      <c r="AC24" s="26" t="n">
        <v>0.0174444444444444</v>
      </c>
      <c r="AD24" s="24" t="n">
        <v>0.756914189981972</v>
      </c>
      <c r="AE24" s="24" t="n">
        <v>0.255551997082298</v>
      </c>
      <c r="AF24" s="24" t="n">
        <v>0.238961048882543</v>
      </c>
      <c r="AG24" s="25" t="n">
        <v>406.592835815647</v>
      </c>
      <c r="AH24" s="26" t="n">
        <v>0.0123</v>
      </c>
      <c r="AI24" s="24" t="n">
        <v>0.796536829608477</v>
      </c>
    </row>
    <row r="25" customFormat="false" ht="14.25" hidden="false" customHeight="false" outlineLevel="0" collapsed="false">
      <c r="B25" s="1" t="n">
        <v>10</v>
      </c>
      <c r="C25" s="1" t="n">
        <v>4</v>
      </c>
      <c r="D25" s="2" t="n">
        <v>32.4666666666667</v>
      </c>
      <c r="E25" s="4" t="n">
        <v>3.514</v>
      </c>
      <c r="F25" s="1" t="n">
        <v>25</v>
      </c>
      <c r="G25" s="1" t="n">
        <v>36</v>
      </c>
      <c r="H25" s="3" t="n">
        <v>87.1206787100977</v>
      </c>
      <c r="I25" s="1" t="n">
        <v>600</v>
      </c>
      <c r="J25" s="32" t="n">
        <v>564</v>
      </c>
      <c r="K25" s="25" t="n">
        <v>303</v>
      </c>
      <c r="L25" s="32" t="n">
        <v>86</v>
      </c>
      <c r="M25" s="4" t="n">
        <v>0.38</v>
      </c>
      <c r="N25" s="24" t="n">
        <v>0.291548531305851</v>
      </c>
      <c r="O25" s="25" t="n">
        <v>424.164281417311</v>
      </c>
      <c r="P25" s="25" t="n">
        <v>219.251221075838</v>
      </c>
      <c r="Q25" s="26" t="n">
        <v>0.0174444444444444</v>
      </c>
      <c r="R25" s="24" t="n">
        <v>0.76723297712066</v>
      </c>
      <c r="S25" s="4" t="n">
        <v>0.249228423915331</v>
      </c>
      <c r="T25" s="25" t="n">
        <v>424.164281417311</v>
      </c>
      <c r="U25" s="25" t="n">
        <v>210</v>
      </c>
      <c r="V25" s="26" t="n">
        <v>0.0182558139534884</v>
      </c>
      <c r="W25" s="24" t="n">
        <f aca="false">(I25-H25)/(J25-H25)</f>
        <v>1.07549079692243</v>
      </c>
      <c r="X25" s="24" t="n">
        <f aca="false">0.5*(1+(I25-K25-L25)/(I25-K25))</f>
        <v>0.855218855218855</v>
      </c>
      <c r="Y25" s="24" t="n">
        <v>0.655864273461397</v>
      </c>
      <c r="Z25" s="24" t="n">
        <v>0.254228544269592</v>
      </c>
      <c r="AA25" s="25" t="n">
        <v>424.164281417311</v>
      </c>
      <c r="AB25" s="25" t="n">
        <v>219.251221075838</v>
      </c>
      <c r="AC25" s="26" t="n">
        <v>0.0174444444444444</v>
      </c>
      <c r="AD25" s="24" t="n">
        <v>0.669022484919979</v>
      </c>
      <c r="AE25" s="24" t="n">
        <v>0.275879996850208</v>
      </c>
      <c r="AF25" s="24" t="n">
        <v>0.278489600486177</v>
      </c>
      <c r="AG25" s="25" t="n">
        <v>438.935447755528</v>
      </c>
      <c r="AH25" s="26" t="n">
        <v>0.0123</v>
      </c>
      <c r="AI25" s="24" t="n">
        <v>0.725999991711073</v>
      </c>
    </row>
    <row r="26" customFormat="false" ht="14.25" hidden="false" customHeight="false" outlineLevel="0" collapsed="false">
      <c r="B26" s="1" t="n">
        <v>10</v>
      </c>
      <c r="C26" s="1" t="n">
        <v>4</v>
      </c>
      <c r="D26" s="2" t="n">
        <v>32.4666666666667</v>
      </c>
      <c r="E26" s="4" t="n">
        <v>3.514</v>
      </c>
      <c r="F26" s="1" t="n">
        <v>25</v>
      </c>
      <c r="G26" s="1" t="n">
        <v>36</v>
      </c>
      <c r="H26" s="3" t="n">
        <v>87.1206787100977</v>
      </c>
      <c r="I26" s="1" t="n">
        <v>600</v>
      </c>
      <c r="J26" s="32" t="n">
        <v>564</v>
      </c>
      <c r="K26" s="25" t="n">
        <v>303</v>
      </c>
      <c r="L26" s="32" t="n">
        <v>86</v>
      </c>
      <c r="M26" s="4" t="n">
        <v>0.44</v>
      </c>
      <c r="N26" s="24" t="n">
        <v>0.358278077996903</v>
      </c>
      <c r="O26" s="25" t="n">
        <v>491.137589009518</v>
      </c>
      <c r="P26" s="25" t="n">
        <v>219.251221075838</v>
      </c>
      <c r="Q26" s="26" t="n">
        <v>0.0174444444444444</v>
      </c>
      <c r="R26" s="24" t="n">
        <v>0.814268359083871</v>
      </c>
      <c r="S26" s="4" t="n">
        <v>0.305243447673623</v>
      </c>
      <c r="T26" s="25" t="n">
        <v>491.137589009518</v>
      </c>
      <c r="U26" s="25" t="n">
        <v>210</v>
      </c>
      <c r="V26" s="26" t="n">
        <v>0.0182558139534884</v>
      </c>
      <c r="W26" s="24" t="n">
        <f aca="false">(I26-H26)/(J26-H26)</f>
        <v>1.07549079692243</v>
      </c>
      <c r="X26" s="24" t="n">
        <f aca="false">0.5*(1+(I26-K26-L26)/(I26-K26))</f>
        <v>0.855218855218855</v>
      </c>
      <c r="Y26" s="24" t="n">
        <v>0.693735108349142</v>
      </c>
      <c r="Z26" s="24" t="n">
        <v>0.312416302716021</v>
      </c>
      <c r="AA26" s="25" t="n">
        <v>491.137589009518</v>
      </c>
      <c r="AB26" s="25" t="n">
        <v>219.251221075838</v>
      </c>
      <c r="AC26" s="26" t="n">
        <v>0.0174444444444444</v>
      </c>
      <c r="AD26" s="24" t="n">
        <v>0.710037051627321</v>
      </c>
      <c r="AE26" s="24" t="n">
        <v>0.319439996352872</v>
      </c>
      <c r="AF26" s="24" t="n">
        <v>0.373376638878974</v>
      </c>
      <c r="AG26" s="25" t="n">
        <v>508.241044769559</v>
      </c>
      <c r="AH26" s="26" t="n">
        <v>0.0123</v>
      </c>
      <c r="AI26" s="24" t="n">
        <v>0.725999991711073</v>
      </c>
    </row>
    <row r="27" customFormat="false" ht="14.25" hidden="false" customHeight="false" outlineLevel="0" collapsed="false">
      <c r="A27" s="0" t="s">
        <v>26</v>
      </c>
      <c r="B27" s="1" t="n">
        <v>16</v>
      </c>
      <c r="C27" s="1" t="n">
        <v>4</v>
      </c>
      <c r="D27" s="2" t="n">
        <v>37</v>
      </c>
      <c r="E27" s="4" t="n">
        <v>4.2588</v>
      </c>
      <c r="F27" s="1" t="n">
        <v>33</v>
      </c>
      <c r="G27" s="1" t="n">
        <v>59</v>
      </c>
      <c r="H27" s="3" t="n">
        <v>86</v>
      </c>
      <c r="I27" s="1" t="n">
        <v>250</v>
      </c>
      <c r="J27" s="32" t="n">
        <v>191</v>
      </c>
      <c r="K27" s="25" t="n">
        <v>132</v>
      </c>
      <c r="L27" s="32" t="n">
        <v>132</v>
      </c>
      <c r="M27" s="4" t="n">
        <v>0.18</v>
      </c>
      <c r="N27" s="24" t="n">
        <v>0.0534417672094403</v>
      </c>
      <c r="O27" s="33" t="n">
        <v>140.041965597591</v>
      </c>
      <c r="P27" s="25" t="n">
        <v>60</v>
      </c>
      <c r="Q27" s="26" t="n">
        <v>0.1168</v>
      </c>
      <c r="R27" s="34" t="n">
        <v>0.296898706719113</v>
      </c>
      <c r="S27" s="4" t="n">
        <v>0.0547132573499686</v>
      </c>
      <c r="T27" s="25" t="n">
        <v>140.041965597591</v>
      </c>
      <c r="U27" s="25" t="n">
        <v>128</v>
      </c>
      <c r="V27" s="26" t="n">
        <v>0.0408</v>
      </c>
      <c r="W27" s="24" t="n">
        <f aca="false">(I27-H27)/(J27-H27)</f>
        <v>1.56190476190476</v>
      </c>
      <c r="X27" s="24" t="n">
        <f aca="false">0.5*(1+(I27-K27-L27)/(I27-K27))</f>
        <v>0.440677966101695</v>
      </c>
      <c r="Y27" s="24" t="n">
        <v>0.303962540833159</v>
      </c>
      <c r="Z27" s="24" t="n">
        <v>0.0695899270348662</v>
      </c>
      <c r="AA27" s="25" t="n">
        <v>140.041965597591</v>
      </c>
      <c r="AB27" s="25" t="n">
        <v>60</v>
      </c>
      <c r="AC27" s="26" t="n">
        <v>0.1168</v>
      </c>
      <c r="AD27" s="24" t="n">
        <v>0.386610705749257</v>
      </c>
      <c r="AE27" s="24" t="n">
        <v>0.0497776641482087</v>
      </c>
      <c r="AF27" s="24" t="n">
        <v>0.0444588449024558</v>
      </c>
      <c r="AG27" s="25" t="n">
        <v>150.070861621726</v>
      </c>
      <c r="AH27" s="26" t="n">
        <v>0.0545</v>
      </c>
      <c r="AI27" s="24" t="n">
        <v>0.246993582791421</v>
      </c>
    </row>
    <row r="28" customFormat="false" ht="14.25" hidden="false" customHeight="false" outlineLevel="0" collapsed="false">
      <c r="B28" s="1" t="n">
        <v>16</v>
      </c>
      <c r="C28" s="1" t="n">
        <v>4</v>
      </c>
      <c r="D28" s="2" t="n">
        <v>37</v>
      </c>
      <c r="E28" s="4" t="n">
        <v>4.2588</v>
      </c>
      <c r="F28" s="1" t="n">
        <v>33</v>
      </c>
      <c r="G28" s="1" t="n">
        <v>59</v>
      </c>
      <c r="H28" s="3" t="n">
        <v>86</v>
      </c>
      <c r="I28" s="1" t="n">
        <v>250</v>
      </c>
      <c r="J28" s="32" t="n">
        <v>191</v>
      </c>
      <c r="K28" s="25" t="n">
        <v>132</v>
      </c>
      <c r="L28" s="32" t="n">
        <v>132</v>
      </c>
      <c r="M28" s="4" t="n">
        <v>0.2</v>
      </c>
      <c r="N28" s="24" t="n">
        <v>0.0849919226631271</v>
      </c>
      <c r="O28" s="33" t="n">
        <v>201.598873552576</v>
      </c>
      <c r="P28" s="25" t="n">
        <v>60</v>
      </c>
      <c r="Q28" s="26" t="n">
        <v>0.1168</v>
      </c>
      <c r="R28" s="34" t="n">
        <v>0.424959613315635</v>
      </c>
      <c r="S28" s="4" t="n">
        <v>0.107787020276924</v>
      </c>
      <c r="T28" s="25" t="n">
        <v>201.598873552576</v>
      </c>
      <c r="U28" s="25" t="n">
        <v>128</v>
      </c>
      <c r="V28" s="26" t="n">
        <v>0.0408</v>
      </c>
      <c r="W28" s="24" t="n">
        <f aca="false">(I28-H28)/(J28-H28)</f>
        <v>1.56190476190476</v>
      </c>
      <c r="X28" s="24" t="n">
        <f aca="false">0.5*(1+(I28-K28-L28)/(I28-K28))</f>
        <v>0.440677966101695</v>
      </c>
      <c r="Y28" s="24" t="n">
        <v>0.53893510138462</v>
      </c>
      <c r="Z28" s="24" t="n">
        <v>0.110673392844599</v>
      </c>
      <c r="AA28" s="25" t="n">
        <v>201.598873552576</v>
      </c>
      <c r="AB28" s="25" t="n">
        <v>60</v>
      </c>
      <c r="AC28" s="26" t="n">
        <v>0.1168</v>
      </c>
      <c r="AD28" s="24" t="n">
        <v>0.553366964222996</v>
      </c>
      <c r="AE28" s="24" t="n">
        <v>0.0716579560814873</v>
      </c>
      <c r="AF28" s="24" t="n">
        <v>0.092133587413482</v>
      </c>
      <c r="AG28" s="25" t="n">
        <v>216.036075521386</v>
      </c>
      <c r="AH28" s="26" t="n">
        <v>0.0545</v>
      </c>
      <c r="AI28" s="24" t="n">
        <v>0.358289780407436</v>
      </c>
    </row>
    <row r="29" customFormat="false" ht="14.25" hidden="false" customHeight="false" outlineLevel="0" collapsed="false">
      <c r="B29" s="1" t="n">
        <v>16</v>
      </c>
      <c r="C29" s="1" t="n">
        <v>4</v>
      </c>
      <c r="D29" s="2" t="n">
        <v>37</v>
      </c>
      <c r="E29" s="4" t="n">
        <v>4.2588</v>
      </c>
      <c r="F29" s="1" t="n">
        <v>33</v>
      </c>
      <c r="G29" s="1" t="n">
        <v>59</v>
      </c>
      <c r="H29" s="3" t="n">
        <v>86</v>
      </c>
      <c r="I29" s="1" t="n">
        <v>250</v>
      </c>
      <c r="J29" s="32" t="n">
        <v>191</v>
      </c>
      <c r="K29" s="25" t="n">
        <v>132</v>
      </c>
      <c r="L29" s="32" t="n">
        <v>132</v>
      </c>
      <c r="M29" s="4" t="n">
        <v>0.26</v>
      </c>
      <c r="N29" s="24" t="n">
        <v>0.106682654537537</v>
      </c>
      <c r="O29" s="33" t="n">
        <v>243.919247771628</v>
      </c>
      <c r="P29" s="25" t="n">
        <v>60</v>
      </c>
      <c r="Q29" s="26" t="n">
        <v>0.1168</v>
      </c>
      <c r="R29" s="34" t="n">
        <v>0.410317902067449</v>
      </c>
      <c r="S29" s="4" t="n">
        <v>0.144275232289206</v>
      </c>
      <c r="T29" s="25" t="n">
        <v>243.919247771628</v>
      </c>
      <c r="U29" s="25" t="n">
        <v>128</v>
      </c>
      <c r="V29" s="26" t="n">
        <v>0.0408</v>
      </c>
      <c r="W29" s="24" t="n">
        <f aca="false">(I29-H29)/(J29-H29)</f>
        <v>1.56190476190476</v>
      </c>
      <c r="X29" s="24" t="n">
        <f aca="false">0.5*(1+(I29-K29-L29)/(I29-K29))</f>
        <v>0.440677966101695</v>
      </c>
      <c r="Y29" s="24" t="n">
        <v>0.554904739573869</v>
      </c>
      <c r="Z29" s="24" t="n">
        <v>0.138918275588791</v>
      </c>
      <c r="AA29" s="25" t="n">
        <v>243.919247771628</v>
      </c>
      <c r="AB29" s="25" t="n">
        <v>60</v>
      </c>
      <c r="AC29" s="26" t="n">
        <v>0.1168</v>
      </c>
      <c r="AD29" s="24" t="n">
        <v>0.534301059956887</v>
      </c>
      <c r="AE29" s="24" t="n">
        <v>0.0867006567856163</v>
      </c>
      <c r="AF29" s="24" t="n">
        <v>0.134875765771129</v>
      </c>
      <c r="AG29" s="25" t="n">
        <v>261.387160077402</v>
      </c>
      <c r="AH29" s="26" t="n">
        <v>0.0545</v>
      </c>
      <c r="AI29" s="24" t="n">
        <v>0.333464064560063</v>
      </c>
    </row>
    <row r="30" customFormat="false" ht="14.25" hidden="false" customHeight="false" outlineLevel="0" collapsed="false">
      <c r="B30" s="1" t="n">
        <v>16</v>
      </c>
      <c r="C30" s="1" t="n">
        <v>4</v>
      </c>
      <c r="D30" s="2" t="n">
        <v>37</v>
      </c>
      <c r="E30" s="4" t="n">
        <v>4.2588</v>
      </c>
      <c r="F30" s="1" t="n">
        <v>33</v>
      </c>
      <c r="G30" s="1" t="n">
        <v>59</v>
      </c>
      <c r="H30" s="3" t="n">
        <v>86</v>
      </c>
      <c r="I30" s="1" t="n">
        <v>250</v>
      </c>
      <c r="J30" s="32" t="n">
        <v>191</v>
      </c>
      <c r="K30" s="25" t="n">
        <v>132</v>
      </c>
      <c r="L30" s="32" t="n">
        <v>132</v>
      </c>
      <c r="M30" s="4" t="n">
        <v>0.44</v>
      </c>
      <c r="N30" s="24" t="n">
        <v>0.142570956366105</v>
      </c>
      <c r="O30" s="33" t="n">
        <v>313.940230570424</v>
      </c>
      <c r="P30" s="25" t="n">
        <v>60</v>
      </c>
      <c r="Q30" s="26" t="n">
        <v>0.1168</v>
      </c>
      <c r="R30" s="34" t="n">
        <v>0.324024900832058</v>
      </c>
      <c r="S30" s="4" t="n">
        <v>0.204646637618618</v>
      </c>
      <c r="T30" s="25" t="n">
        <v>313.940230570424</v>
      </c>
      <c r="U30" s="25" t="n">
        <v>128</v>
      </c>
      <c r="V30" s="26" t="n">
        <v>0.0408</v>
      </c>
      <c r="W30" s="24" t="n">
        <f aca="false">(I30-H30)/(J30-H30)</f>
        <v>1.56190476190476</v>
      </c>
      <c r="X30" s="24" t="n">
        <f aca="false">0.5*(1+(I30-K30-L30)/(I30-K30))</f>
        <v>0.440677966101695</v>
      </c>
      <c r="Y30" s="24" t="n">
        <v>0.465105994587768</v>
      </c>
      <c r="Z30" s="24" t="n">
        <v>0.185650717947362</v>
      </c>
      <c r="AA30" s="25" t="n">
        <v>313.940230570424</v>
      </c>
      <c r="AB30" s="25" t="n">
        <v>60</v>
      </c>
      <c r="AC30" s="26" t="n">
        <v>0.1168</v>
      </c>
      <c r="AD30" s="24" t="n">
        <v>0.421933449880368</v>
      </c>
      <c r="AE30" s="24" t="n">
        <v>0.111589488859721</v>
      </c>
      <c r="AF30" s="24" t="n">
        <v>0.223427036524647</v>
      </c>
      <c r="AG30" s="25" t="n">
        <v>336.422590888265</v>
      </c>
      <c r="AH30" s="26" t="n">
        <v>0.0545</v>
      </c>
      <c r="AI30" s="24" t="n">
        <v>0.253612474681183</v>
      </c>
    </row>
    <row r="31" customFormat="false" ht="14.25" hidden="false" customHeight="false" outlineLevel="0" collapsed="false">
      <c r="B31" s="1" t="n">
        <v>16</v>
      </c>
      <c r="C31" s="1" t="n">
        <v>4</v>
      </c>
      <c r="D31" s="2" t="n">
        <v>37</v>
      </c>
      <c r="E31" s="4" t="n">
        <v>4.2588</v>
      </c>
      <c r="F31" s="1" t="n">
        <v>33</v>
      </c>
      <c r="G31" s="1" t="n">
        <v>59</v>
      </c>
      <c r="H31" s="3" t="n">
        <v>86</v>
      </c>
      <c r="I31" s="1" t="n">
        <v>250</v>
      </c>
      <c r="J31" s="32" t="n">
        <v>191</v>
      </c>
      <c r="K31" s="25" t="n">
        <v>132</v>
      </c>
      <c r="L31" s="32" t="n">
        <v>132</v>
      </c>
      <c r="M31" s="4" t="n">
        <v>0.6</v>
      </c>
      <c r="N31" s="24" t="n">
        <v>0.19502308980786</v>
      </c>
      <c r="O31" s="33" t="n">
        <v>416.278590045587</v>
      </c>
      <c r="P31" s="25" t="n">
        <v>60</v>
      </c>
      <c r="Q31" s="26" t="n">
        <v>0.1168</v>
      </c>
      <c r="R31" s="34" t="n">
        <v>0.3250384830131</v>
      </c>
      <c r="S31" s="4" t="n">
        <v>0.292881768484681</v>
      </c>
      <c r="T31" s="25" t="n">
        <v>416.278590045587</v>
      </c>
      <c r="U31" s="25" t="n">
        <v>128</v>
      </c>
      <c r="V31" s="26" t="n">
        <v>0.0408</v>
      </c>
      <c r="W31" s="24" t="n">
        <f aca="false">(I31-H31)/(J31-H31)</f>
        <v>1.56190476190476</v>
      </c>
      <c r="X31" s="24" t="n">
        <f aca="false">0.5*(1+(I31-K31-L31)/(I31-K31))</f>
        <v>0.440677966101695</v>
      </c>
      <c r="Y31" s="24" t="n">
        <v>0.488136280807802</v>
      </c>
      <c r="Z31" s="24" t="n">
        <v>0.253951979856043</v>
      </c>
      <c r="AA31" s="25" t="n">
        <v>416.278590045587</v>
      </c>
      <c r="AB31" s="25" t="n">
        <v>60</v>
      </c>
      <c r="AC31" s="26" t="n">
        <v>0.1168</v>
      </c>
      <c r="AD31" s="24" t="n">
        <v>0.423253299760072</v>
      </c>
      <c r="AE31" s="24" t="n">
        <v>0.147965474198796</v>
      </c>
      <c r="AF31" s="24" t="n">
        <v>0.392834777952411</v>
      </c>
      <c r="AG31" s="25" t="n">
        <v>446.089758996449</v>
      </c>
      <c r="AH31" s="26" t="n">
        <v>0.0545</v>
      </c>
      <c r="AI31" s="24" t="n">
        <v>0.24660912366466</v>
      </c>
    </row>
    <row r="32" customFormat="false" ht="14.25" hidden="false" customHeight="false" outlineLevel="0" collapsed="false">
      <c r="A32" s="0" t="s">
        <v>27</v>
      </c>
      <c r="B32" s="1" t="n">
        <v>12</v>
      </c>
      <c r="C32" s="1" t="n">
        <v>4</v>
      </c>
      <c r="D32" s="2" t="n">
        <v>79.3</v>
      </c>
      <c r="E32" s="4" t="n">
        <v>2.69332921131829</v>
      </c>
      <c r="F32" s="1" t="n">
        <v>20</v>
      </c>
      <c r="G32" s="1" t="n">
        <v>38</v>
      </c>
      <c r="H32" s="3" t="n">
        <v>76.1694282016424</v>
      </c>
      <c r="I32" s="1" t="n">
        <v>450</v>
      </c>
      <c r="J32" s="32" t="n">
        <v>412</v>
      </c>
      <c r="K32" s="25" t="n">
        <v>228</v>
      </c>
      <c r="L32" s="32" t="n">
        <v>98</v>
      </c>
      <c r="M32" s="4" t="n">
        <v>0.36</v>
      </c>
      <c r="N32" s="24" t="n">
        <v>0.243492377830339</v>
      </c>
      <c r="O32" s="25" t="n">
        <v>300.432956249241</v>
      </c>
      <c r="P32" s="25" t="n">
        <v>216.141372464892</v>
      </c>
      <c r="Q32" s="26" t="n">
        <v>0.013593984962406</v>
      </c>
      <c r="R32" s="24" t="n">
        <v>0.676367716195387</v>
      </c>
      <c r="S32" s="4" t="n">
        <v>0.234277041464278</v>
      </c>
      <c r="T32" s="25" t="n">
        <v>300.432956249241</v>
      </c>
      <c r="U32" s="25" t="n">
        <v>222</v>
      </c>
      <c r="V32" s="26" t="n">
        <v>0.0131778425655977</v>
      </c>
      <c r="W32" s="24" t="n">
        <f aca="false">(I32-H32)/(J32-H32)</f>
        <v>1.113152295208</v>
      </c>
      <c r="X32" s="24" t="n">
        <f aca="false">0.5*(1+(I32-K32-L32)/(I32-K32))</f>
        <v>0.779279279279279</v>
      </c>
      <c r="Y32" s="24" t="n">
        <v>0.650769559622994</v>
      </c>
      <c r="Z32" s="24" t="n">
        <v>0.196542974108381</v>
      </c>
      <c r="AA32" s="25" t="n">
        <v>300.432956249241</v>
      </c>
      <c r="AB32" s="25" t="n">
        <v>216.141372464892</v>
      </c>
      <c r="AC32" s="26" t="n">
        <v>0.013593984962406</v>
      </c>
      <c r="AD32" s="24" t="n">
        <v>0.545952705856613</v>
      </c>
      <c r="AE32" s="24" t="n">
        <v>0.223463390024859</v>
      </c>
      <c r="AF32" s="24" t="n">
        <v>0.226934289651311</v>
      </c>
      <c r="AG32" s="25" t="n">
        <v>309.032955202506</v>
      </c>
      <c r="AH32" s="26" t="n">
        <v>0.0136</v>
      </c>
      <c r="AI32" s="24" t="n">
        <v>0.620731638957942</v>
      </c>
    </row>
    <row r="33" customFormat="false" ht="14.25" hidden="false" customHeight="false" outlineLevel="0" collapsed="false">
      <c r="B33" s="1" t="n">
        <v>12</v>
      </c>
      <c r="C33" s="1" t="n">
        <v>4</v>
      </c>
      <c r="D33" s="2" t="n">
        <v>79.3</v>
      </c>
      <c r="E33" s="4" t="n">
        <v>2.69332921131829</v>
      </c>
      <c r="F33" s="1" t="n">
        <v>20</v>
      </c>
      <c r="G33" s="1" t="n">
        <v>38</v>
      </c>
      <c r="H33" s="3" t="n">
        <v>76.1694282016424</v>
      </c>
      <c r="I33" s="1" t="n">
        <v>450</v>
      </c>
      <c r="J33" s="32" t="n">
        <v>412</v>
      </c>
      <c r="K33" s="25" t="n">
        <v>228</v>
      </c>
      <c r="L33" s="32" t="n">
        <v>98</v>
      </c>
      <c r="M33" s="4" t="n">
        <v>0.43</v>
      </c>
      <c r="N33" s="24" t="n">
        <v>0.36590013330846</v>
      </c>
      <c r="O33" s="25" t="n">
        <v>386.270943749024</v>
      </c>
      <c r="P33" s="25" t="n">
        <v>216.141372464892</v>
      </c>
      <c r="Q33" s="26" t="n">
        <v>0.013593984962406</v>
      </c>
      <c r="R33" s="24" t="n">
        <v>0.850930542577813</v>
      </c>
      <c r="S33" s="4" t="n">
        <v>0.354699637155838</v>
      </c>
      <c r="T33" s="25" t="n">
        <v>386.270943749024</v>
      </c>
      <c r="U33" s="25" t="n">
        <v>222</v>
      </c>
      <c r="V33" s="26" t="n">
        <v>0.0131778425655977</v>
      </c>
      <c r="W33" s="24" t="n">
        <f aca="false">(I33-H33)/(J33-H33)</f>
        <v>1.113152295208</v>
      </c>
      <c r="X33" s="24" t="n">
        <f aca="false">0.5*(1+(I33-K33-L33)/(I33-K33))</f>
        <v>0.779279279279279</v>
      </c>
      <c r="Y33" s="24" t="n">
        <v>0.8248828771066</v>
      </c>
      <c r="Z33" s="24" t="n">
        <v>0.279764021355549</v>
      </c>
      <c r="AA33" s="25" t="n">
        <v>386.270943749024</v>
      </c>
      <c r="AB33" s="25" t="n">
        <v>216.141372464892</v>
      </c>
      <c r="AC33" s="26" t="n">
        <v>0.013593984962406</v>
      </c>
      <c r="AD33" s="24" t="n">
        <v>0.650614003152439</v>
      </c>
      <c r="AE33" s="24" t="n">
        <v>0.287310072889104</v>
      </c>
      <c r="AF33" s="24" t="n">
        <v>0.375136274729718</v>
      </c>
      <c r="AG33" s="25" t="n">
        <v>397.328085260365</v>
      </c>
      <c r="AH33" s="26" t="n">
        <v>0.0136</v>
      </c>
      <c r="AI33" s="24" t="n">
        <v>0.668162960207219</v>
      </c>
    </row>
    <row r="34" customFormat="false" ht="14.25" hidden="false" customHeight="false" outlineLevel="0" collapsed="false">
      <c r="B34" s="1" t="n">
        <v>12</v>
      </c>
      <c r="C34" s="1" t="n">
        <v>4</v>
      </c>
      <c r="D34" s="2" t="n">
        <v>79.3</v>
      </c>
      <c r="E34" s="4" t="n">
        <v>2.69332921131829</v>
      </c>
      <c r="F34" s="1" t="n">
        <v>20</v>
      </c>
      <c r="G34" s="1" t="n">
        <v>38</v>
      </c>
      <c r="H34" s="3" t="n">
        <v>76.1694282016424</v>
      </c>
      <c r="I34" s="1" t="n">
        <v>450</v>
      </c>
      <c r="J34" s="32" t="n">
        <v>412</v>
      </c>
      <c r="K34" s="25" t="n">
        <v>228</v>
      </c>
      <c r="L34" s="32" t="n">
        <v>98</v>
      </c>
      <c r="M34" s="4" t="n">
        <v>0.56</v>
      </c>
      <c r="N34" s="24" t="n">
        <v>0.52808145784571</v>
      </c>
      <c r="O34" s="25" t="n">
        <v>500</v>
      </c>
      <c r="P34" s="25" t="n">
        <v>216.141372464892</v>
      </c>
      <c r="Q34" s="26" t="n">
        <v>0.013593984962406</v>
      </c>
      <c r="R34" s="24" t="n">
        <v>0.943002603295911</v>
      </c>
      <c r="S34" s="4" t="n">
        <v>0.51425077014726</v>
      </c>
      <c r="T34" s="25" t="n">
        <v>500</v>
      </c>
      <c r="U34" s="25" t="n">
        <v>222</v>
      </c>
      <c r="V34" s="26" t="n">
        <v>0.0131778425655977</v>
      </c>
      <c r="W34" s="24" t="n">
        <f aca="false">(I34-H34)/(J34-H34)</f>
        <v>1.113152295208</v>
      </c>
      <c r="X34" s="24" t="n">
        <f aca="false">0.5*(1+(I34-K34-L34)/(I34-K34))</f>
        <v>0.779279279279279</v>
      </c>
      <c r="Y34" s="24" t="n">
        <v>0.918304946691535</v>
      </c>
      <c r="Z34" s="24" t="n">
        <v>0.403766434612558</v>
      </c>
      <c r="AA34" s="25" t="n">
        <v>500</v>
      </c>
      <c r="AB34" s="25" t="n">
        <v>216.141372464892</v>
      </c>
      <c r="AC34" s="26" t="n">
        <v>0.013593984962406</v>
      </c>
      <c r="AD34" s="24" t="n">
        <v>0.721011490379568</v>
      </c>
      <c r="AE34" s="24" t="n">
        <v>0.361552685988499</v>
      </c>
      <c r="AF34" s="24" t="n">
        <v>0.594060315120875</v>
      </c>
      <c r="AG34" s="25" t="n">
        <v>500</v>
      </c>
      <c r="AH34" s="26" t="n">
        <v>0.0136</v>
      </c>
      <c r="AI34" s="24" t="n">
        <v>0.645629796408033</v>
      </c>
    </row>
    <row r="35" customFormat="false" ht="14.25" hidden="false" customHeight="false" outlineLevel="0" collapsed="false">
      <c r="B35" s="1" t="n">
        <v>12</v>
      </c>
      <c r="C35" s="1" t="n">
        <v>4</v>
      </c>
      <c r="D35" s="2" t="n">
        <v>79.3</v>
      </c>
      <c r="E35" s="4" t="n">
        <v>2.69332921131829</v>
      </c>
      <c r="F35" s="1" t="n">
        <v>20</v>
      </c>
      <c r="G35" s="1" t="n">
        <v>38</v>
      </c>
      <c r="H35" s="3" t="n">
        <v>76.1694282016424</v>
      </c>
      <c r="I35" s="1" t="n">
        <v>450</v>
      </c>
      <c r="J35" s="32" t="n">
        <v>412</v>
      </c>
      <c r="K35" s="25" t="n">
        <v>228</v>
      </c>
      <c r="L35" s="32" t="n">
        <v>98</v>
      </c>
      <c r="M35" s="4" t="n">
        <v>0.71</v>
      </c>
      <c r="N35" s="24" t="n">
        <v>0.52808145784571</v>
      </c>
      <c r="O35" s="25" t="n">
        <v>500</v>
      </c>
      <c r="P35" s="25" t="n">
        <v>216.141372464892</v>
      </c>
      <c r="Q35" s="26" t="n">
        <v>0.013593984962406</v>
      </c>
      <c r="R35" s="24" t="n">
        <v>0.743776701191141</v>
      </c>
      <c r="S35" s="4" t="n">
        <v>0.51425077014726</v>
      </c>
      <c r="T35" s="25" t="n">
        <v>500</v>
      </c>
      <c r="U35" s="25" t="n">
        <v>222</v>
      </c>
      <c r="V35" s="26" t="n">
        <v>0.0131778425655977</v>
      </c>
      <c r="W35" s="24" t="n">
        <f aca="false">(I35-H35)/(J35-H35)</f>
        <v>1.113152295208</v>
      </c>
      <c r="X35" s="24" t="n">
        <f aca="false">0.5*(1+(I35-K35-L35)/(I35-K35))</f>
        <v>0.779279279279279</v>
      </c>
      <c r="Y35" s="24" t="n">
        <v>0.724296859362337</v>
      </c>
      <c r="Z35" s="24" t="n">
        <v>0.403766434612558</v>
      </c>
      <c r="AA35" s="25" t="n">
        <v>500</v>
      </c>
      <c r="AB35" s="25" t="n">
        <v>216.141372464892</v>
      </c>
      <c r="AC35" s="26" t="n">
        <v>0.013593984962406</v>
      </c>
      <c r="AD35" s="24" t="n">
        <v>0.568685119172617</v>
      </c>
      <c r="AE35" s="24" t="n">
        <v>0.361552685988499</v>
      </c>
      <c r="AF35" s="24" t="n">
        <v>0.594060315120875</v>
      </c>
      <c r="AG35" s="25" t="n">
        <v>500</v>
      </c>
      <c r="AH35" s="26" t="n">
        <v>0.0136</v>
      </c>
      <c r="AI35" s="24" t="n">
        <v>0.509229135195069</v>
      </c>
    </row>
    <row r="36" customFormat="false" ht="14.25" hidden="false" customHeight="false" outlineLevel="0" collapsed="false">
      <c r="B36" s="1" t="n">
        <v>12</v>
      </c>
      <c r="C36" s="1" t="n">
        <v>4</v>
      </c>
      <c r="D36" s="2" t="n">
        <v>79.3</v>
      </c>
      <c r="E36" s="4" t="n">
        <v>2.69332921131829</v>
      </c>
      <c r="F36" s="1" t="n">
        <v>20</v>
      </c>
      <c r="G36" s="1" t="n">
        <v>38</v>
      </c>
      <c r="H36" s="3" t="n">
        <v>76.1694282016424</v>
      </c>
      <c r="I36" s="1" t="n">
        <v>450</v>
      </c>
      <c r="J36" s="32" t="n">
        <v>412</v>
      </c>
      <c r="K36" s="25" t="n">
        <v>228</v>
      </c>
      <c r="L36" s="32" t="n">
        <v>98</v>
      </c>
      <c r="M36" s="4" t="n">
        <v>0.79</v>
      </c>
      <c r="N36" s="24" t="n">
        <v>0.52808145784571</v>
      </c>
      <c r="O36" s="25" t="n">
        <v>500</v>
      </c>
      <c r="P36" s="25" t="n">
        <v>216.141372464892</v>
      </c>
      <c r="Q36" s="26" t="n">
        <v>0.013593984962406</v>
      </c>
      <c r="R36" s="24" t="n">
        <v>0.668457541576848</v>
      </c>
      <c r="S36" s="4" t="n">
        <v>0.51425077014726</v>
      </c>
      <c r="T36" s="25" t="n">
        <v>500</v>
      </c>
      <c r="U36" s="25" t="n">
        <v>222</v>
      </c>
      <c r="V36" s="26" t="n">
        <v>0.0131778425655977</v>
      </c>
      <c r="W36" s="24" t="n">
        <f aca="false">(I36-H36)/(J36-H36)</f>
        <v>1.113152295208</v>
      </c>
      <c r="X36" s="24" t="n">
        <f aca="false">0.5*(1+(I36-K36-L36)/(I36-K36))</f>
        <v>0.779279279279279</v>
      </c>
      <c r="Y36" s="24" t="n">
        <v>0.650950341958556</v>
      </c>
      <c r="Z36" s="24" t="n">
        <v>0.403766434612558</v>
      </c>
      <c r="AA36" s="25" t="n">
        <v>500</v>
      </c>
      <c r="AB36" s="25" t="n">
        <v>216.141372464892</v>
      </c>
      <c r="AC36" s="26" t="n">
        <v>0.013593984962406</v>
      </c>
      <c r="AD36" s="24" t="n">
        <v>0.511096752674124</v>
      </c>
      <c r="AE36" s="24" t="n">
        <v>0.361552685988499</v>
      </c>
      <c r="AF36" s="24" t="n">
        <v>0.594060315120875</v>
      </c>
      <c r="AG36" s="25" t="n">
        <v>500</v>
      </c>
      <c r="AH36" s="26" t="n">
        <v>0.0136</v>
      </c>
      <c r="AI36" s="24" t="n">
        <v>0.457661627833543</v>
      </c>
    </row>
    <row r="37" customFormat="false" ht="14.25" hidden="false" customHeight="false" outlineLevel="0" collapsed="false">
      <c r="A37" s="0" t="s">
        <v>28</v>
      </c>
      <c r="B37" s="1" t="n">
        <v>25</v>
      </c>
      <c r="C37" s="1" t="n">
        <v>4</v>
      </c>
      <c r="D37" s="2" t="n">
        <v>62</v>
      </c>
      <c r="E37" s="4" t="n">
        <v>2.69332921131829</v>
      </c>
      <c r="F37" s="1" t="n">
        <v>20</v>
      </c>
      <c r="G37" s="1" t="n">
        <v>44.5</v>
      </c>
      <c r="H37" s="3" t="n">
        <v>140.92716892937</v>
      </c>
      <c r="I37" s="1" t="n">
        <v>450</v>
      </c>
      <c r="J37" s="32" t="n">
        <v>405.5</v>
      </c>
      <c r="K37" s="25" t="n">
        <v>237</v>
      </c>
      <c r="L37" s="32" t="n">
        <v>155.75</v>
      </c>
      <c r="M37" s="4" t="n">
        <v>0.2</v>
      </c>
      <c r="N37" s="24" t="n">
        <v>0.0553032499253404</v>
      </c>
      <c r="O37" s="25" t="n">
        <v>106.512655225995</v>
      </c>
      <c r="P37" s="25" t="n">
        <v>67.4636116506187</v>
      </c>
      <c r="Q37" s="26" t="n">
        <v>0.0544670511994589</v>
      </c>
      <c r="R37" s="24" t="n">
        <v>0.276516249626702</v>
      </c>
      <c r="S37" s="4" t="n">
        <v>0.0521970847573939</v>
      </c>
      <c r="T37" s="25" t="n">
        <v>106.512655225995</v>
      </c>
      <c r="U37" s="25" t="n">
        <v>93</v>
      </c>
      <c r="V37" s="26" t="n">
        <v>0.0360284338454483</v>
      </c>
      <c r="W37" s="24" t="n">
        <f aca="false">(I37-H37)/(J37-H37)</f>
        <v>1.16819565266745</v>
      </c>
      <c r="X37" s="24" t="n">
        <f aca="false">0.5*(1+(I37-K37-L37)/(I37-K37))</f>
        <v>0.634389671361502</v>
      </c>
      <c r="Y37" s="24" t="n">
        <v>0.26098542378697</v>
      </c>
      <c r="Z37" s="24" t="n">
        <v>0.04821469359438</v>
      </c>
      <c r="AA37" s="25" t="n">
        <v>106.512655225995</v>
      </c>
      <c r="AB37" s="25" t="n">
        <v>67.4636116506187</v>
      </c>
      <c r="AC37" s="26" t="n">
        <v>0.0544670511994589</v>
      </c>
      <c r="AD37" s="24" t="n">
        <v>0.2410734679719</v>
      </c>
      <c r="AE37" s="24" t="n">
        <v>0.0899305279180532</v>
      </c>
      <c r="AF37" s="24" t="n">
        <v>0.0617003800958814</v>
      </c>
      <c r="AG37" s="25" t="n">
        <v>111.639857150688</v>
      </c>
      <c r="AH37" s="26" t="n">
        <v>0.0294</v>
      </c>
      <c r="AI37" s="24" t="n">
        <v>0.308501900479407</v>
      </c>
    </row>
    <row r="38" customFormat="false" ht="14.25" hidden="false" customHeight="false" outlineLevel="0" collapsed="false">
      <c r="B38" s="1" t="n">
        <v>25</v>
      </c>
      <c r="C38" s="1" t="n">
        <v>4</v>
      </c>
      <c r="D38" s="2" t="n">
        <v>62</v>
      </c>
      <c r="E38" s="4" t="n">
        <v>2.69332921131829</v>
      </c>
      <c r="F38" s="1" t="n">
        <v>20</v>
      </c>
      <c r="G38" s="1" t="n">
        <v>44.5</v>
      </c>
      <c r="H38" s="3" t="n">
        <v>140.92716892937</v>
      </c>
      <c r="I38" s="1" t="n">
        <v>450</v>
      </c>
      <c r="J38" s="32" t="n">
        <v>405.5</v>
      </c>
      <c r="K38" s="25" t="n">
        <v>237</v>
      </c>
      <c r="L38" s="32" t="n">
        <v>155.75</v>
      </c>
      <c r="M38" s="4" t="n">
        <v>0.25</v>
      </c>
      <c r="N38" s="24" t="n">
        <v>0.126665910856779</v>
      </c>
      <c r="O38" s="25" t="n">
        <v>191.72277940679</v>
      </c>
      <c r="P38" s="25" t="n">
        <v>67.4636116506187</v>
      </c>
      <c r="Q38" s="26" t="n">
        <v>0.0544670511994589</v>
      </c>
      <c r="R38" s="24" t="n">
        <v>0.506663643427114</v>
      </c>
      <c r="S38" s="4" t="n">
        <v>0.139663916262374</v>
      </c>
      <c r="T38" s="25" t="n">
        <v>191.72277940679</v>
      </c>
      <c r="U38" s="25" t="n">
        <v>93</v>
      </c>
      <c r="V38" s="26" t="n">
        <v>0.0360284338454483</v>
      </c>
      <c r="W38" s="24" t="n">
        <f aca="false">(I38-H38)/(J38-H38)</f>
        <v>1.16819565266745</v>
      </c>
      <c r="X38" s="24" t="n">
        <f aca="false">0.5*(1+(I38-K38-L38)/(I38-K38))</f>
        <v>0.634389671361502</v>
      </c>
      <c r="Y38" s="24" t="n">
        <v>0.558655665049494</v>
      </c>
      <c r="Z38" s="24" t="n">
        <v>0.110430365106161</v>
      </c>
      <c r="AA38" s="25" t="n">
        <v>191.72277940679</v>
      </c>
      <c r="AB38" s="25" t="n">
        <v>67.4636116506187</v>
      </c>
      <c r="AC38" s="26" t="n">
        <v>0.0544670511994589</v>
      </c>
      <c r="AD38" s="24" t="n">
        <v>0.441721460424645</v>
      </c>
      <c r="AE38" s="24" t="n">
        <v>0.161874950252496</v>
      </c>
      <c r="AF38" s="24" t="n">
        <v>0.199909231510656</v>
      </c>
      <c r="AG38" s="25" t="n">
        <v>200.951742871238</v>
      </c>
      <c r="AH38" s="26" t="n">
        <v>0.0294</v>
      </c>
      <c r="AI38" s="24" t="n">
        <v>0.647499801009983</v>
      </c>
    </row>
    <row r="39" customFormat="false" ht="14.25" hidden="false" customHeight="false" outlineLevel="0" collapsed="false">
      <c r="B39" s="1" t="n">
        <v>25</v>
      </c>
      <c r="C39" s="1" t="n">
        <v>4</v>
      </c>
      <c r="D39" s="2" t="n">
        <v>62</v>
      </c>
      <c r="E39" s="4" t="n">
        <v>2.69332921131829</v>
      </c>
      <c r="F39" s="1" t="n">
        <v>20</v>
      </c>
      <c r="G39" s="1" t="n">
        <v>44.5</v>
      </c>
      <c r="H39" s="3" t="n">
        <v>140.92716892937</v>
      </c>
      <c r="I39" s="1" t="n">
        <v>450</v>
      </c>
      <c r="J39" s="32" t="n">
        <v>405.5</v>
      </c>
      <c r="K39" s="25" t="n">
        <v>237</v>
      </c>
      <c r="L39" s="32" t="n">
        <v>155.75</v>
      </c>
      <c r="M39" s="4" t="n">
        <v>0.36</v>
      </c>
      <c r="N39" s="24" t="n">
        <v>0.198028571788217</v>
      </c>
      <c r="O39" s="25" t="n">
        <v>276.932903587586</v>
      </c>
      <c r="P39" s="25" t="n">
        <v>67.4636116506187</v>
      </c>
      <c r="Q39" s="26" t="n">
        <v>0.0544670511994589</v>
      </c>
      <c r="R39" s="24" t="n">
        <v>0.55007936607838</v>
      </c>
      <c r="S39" s="4" t="n">
        <v>0.227130747767353</v>
      </c>
      <c r="T39" s="25" t="n">
        <v>276.932903587586</v>
      </c>
      <c r="U39" s="25" t="n">
        <v>93</v>
      </c>
      <c r="V39" s="26" t="n">
        <v>0.0360284338454483</v>
      </c>
      <c r="W39" s="24" t="n">
        <f aca="false">(I39-H39)/(J39-H39)</f>
        <v>1.16819565266745</v>
      </c>
      <c r="X39" s="24" t="n">
        <f aca="false">0.5*(1+(I39-K39-L39)/(I39-K39))</f>
        <v>0.634389671361502</v>
      </c>
      <c r="Y39" s="24" t="n">
        <v>0.630918743798204</v>
      </c>
      <c r="Z39" s="24" t="n">
        <v>0.172646036617943</v>
      </c>
      <c r="AA39" s="25" t="n">
        <v>276.932903587586</v>
      </c>
      <c r="AB39" s="25" t="n">
        <v>67.4636116506187</v>
      </c>
      <c r="AC39" s="26" t="n">
        <v>0.0544670511994589</v>
      </c>
      <c r="AD39" s="24" t="n">
        <v>0.479572323938729</v>
      </c>
      <c r="AE39" s="24" t="n">
        <v>0.233819372586938</v>
      </c>
      <c r="AF39" s="24" t="n">
        <v>0.417094569448159</v>
      </c>
      <c r="AG39" s="25" t="n">
        <v>290.263628591788</v>
      </c>
      <c r="AH39" s="26" t="n">
        <v>0.0294</v>
      </c>
      <c r="AI39" s="24" t="n">
        <v>0.64949825718594</v>
      </c>
    </row>
    <row r="40" customFormat="false" ht="14.25" hidden="false" customHeight="false" outlineLevel="0" collapsed="false">
      <c r="B40" s="1" t="n">
        <v>25</v>
      </c>
      <c r="C40" s="1" t="n">
        <v>4</v>
      </c>
      <c r="D40" s="2" t="n">
        <v>62</v>
      </c>
      <c r="E40" s="4" t="n">
        <v>2.69332921131829</v>
      </c>
      <c r="F40" s="1" t="n">
        <v>20</v>
      </c>
      <c r="G40" s="1" t="n">
        <v>44.5</v>
      </c>
      <c r="H40" s="3" t="n">
        <v>140.92716892937</v>
      </c>
      <c r="I40" s="1" t="n">
        <v>450</v>
      </c>
      <c r="J40" s="32" t="n">
        <v>405.5</v>
      </c>
      <c r="K40" s="25" t="n">
        <v>237</v>
      </c>
      <c r="L40" s="32" t="n">
        <v>155.75</v>
      </c>
      <c r="M40" s="4" t="n">
        <v>0.47</v>
      </c>
      <c r="N40" s="24" t="n">
        <v>0.269391232719655</v>
      </c>
      <c r="O40" s="25" t="n">
        <v>362.143027768382</v>
      </c>
      <c r="P40" s="25" t="n">
        <v>67.4636116506187</v>
      </c>
      <c r="Q40" s="26" t="n">
        <v>0.0544670511994589</v>
      </c>
      <c r="R40" s="24" t="n">
        <v>0.573172835573734</v>
      </c>
      <c r="S40" s="4" t="n">
        <v>0.314597579272333</v>
      </c>
      <c r="T40" s="25" t="n">
        <v>362.143027768382</v>
      </c>
      <c r="U40" s="25" t="n">
        <v>93</v>
      </c>
      <c r="V40" s="26" t="n">
        <v>0.0360284338454483</v>
      </c>
      <c r="W40" s="24" t="n">
        <f aca="false">(I40-H40)/(J40-H40)</f>
        <v>1.16819565266745</v>
      </c>
      <c r="X40" s="24" t="n">
        <f aca="false">0.5*(1+(I40-K40-L40)/(I40-K40))</f>
        <v>0.634389671361502</v>
      </c>
      <c r="Y40" s="24" t="n">
        <v>0.669356551643262</v>
      </c>
      <c r="Z40" s="24" t="n">
        <v>0.234861708129724</v>
      </c>
      <c r="AA40" s="25" t="n">
        <v>362.143027768382</v>
      </c>
      <c r="AB40" s="25" t="n">
        <v>67.4636116506187</v>
      </c>
      <c r="AC40" s="26" t="n">
        <v>0.0544670511994589</v>
      </c>
      <c r="AD40" s="24" t="n">
        <v>0.499705761978136</v>
      </c>
      <c r="AE40" s="24" t="n">
        <v>0.305763794921381</v>
      </c>
      <c r="AF40" s="24" t="n">
        <v>0.71325639390839</v>
      </c>
      <c r="AG40" s="25" t="n">
        <v>379.575514312338</v>
      </c>
      <c r="AH40" s="26" t="n">
        <v>0.0294</v>
      </c>
      <c r="AI40" s="24" t="n">
        <v>0.650561265790172</v>
      </c>
    </row>
    <row r="41" customFormat="false" ht="14.25" hidden="false" customHeight="false" outlineLevel="0" collapsed="false">
      <c r="B41" s="1" t="n">
        <v>25</v>
      </c>
      <c r="C41" s="1" t="n">
        <v>4</v>
      </c>
      <c r="D41" s="2" t="n">
        <v>62</v>
      </c>
      <c r="E41" s="4" t="n">
        <v>2.69332921131829</v>
      </c>
      <c r="F41" s="1" t="n">
        <v>20</v>
      </c>
      <c r="G41" s="1" t="n">
        <v>44.5</v>
      </c>
      <c r="H41" s="3" t="n">
        <v>140.92716892937</v>
      </c>
      <c r="I41" s="1" t="n">
        <v>450</v>
      </c>
      <c r="J41" s="32" t="n">
        <v>405.5</v>
      </c>
      <c r="K41" s="25" t="n">
        <v>237</v>
      </c>
      <c r="L41" s="32" t="n">
        <v>155.75</v>
      </c>
      <c r="M41" s="4" t="n">
        <v>0.57</v>
      </c>
      <c r="N41" s="24" t="n">
        <v>0.322913228418233</v>
      </c>
      <c r="O41" s="25" t="n">
        <v>426.050620903978</v>
      </c>
      <c r="P41" s="25" t="n">
        <v>67.4636116506187</v>
      </c>
      <c r="Q41" s="26" t="n">
        <v>0.0544670511994589</v>
      </c>
      <c r="R41" s="24" t="n">
        <v>0.566514435821462</v>
      </c>
      <c r="S41" s="4" t="n">
        <v>0.380197702901068</v>
      </c>
      <c r="T41" s="25" t="n">
        <v>426.050620903978</v>
      </c>
      <c r="U41" s="25" t="n">
        <v>93</v>
      </c>
      <c r="V41" s="26" t="n">
        <v>0.0360284338454483</v>
      </c>
      <c r="W41" s="24" t="n">
        <f aca="false">(I41-H41)/(J41-H41)</f>
        <v>1.16819565266745</v>
      </c>
      <c r="X41" s="24" t="n">
        <f aca="false">0.5*(1+(I41-K41-L41)/(I41-K41))</f>
        <v>0.634389671361502</v>
      </c>
      <c r="Y41" s="24" t="n">
        <v>0.667013513861522</v>
      </c>
      <c r="Z41" s="24" t="n">
        <v>0.28152346176356</v>
      </c>
      <c r="AA41" s="25" t="n">
        <v>426.050620903978</v>
      </c>
      <c r="AB41" s="25" t="n">
        <v>67.4636116506187</v>
      </c>
      <c r="AC41" s="26" t="n">
        <v>0.0544670511994589</v>
      </c>
      <c r="AD41" s="24" t="n">
        <v>0.493900810111509</v>
      </c>
      <c r="AE41" s="24" t="n">
        <v>0.359722111672213</v>
      </c>
      <c r="AF41" s="24" t="n">
        <v>0.987206081534103</v>
      </c>
      <c r="AG41" s="25" t="n">
        <v>446.55942860275</v>
      </c>
      <c r="AH41" s="26" t="n">
        <v>0.0294</v>
      </c>
      <c r="AI41" s="24" t="n">
        <v>0.631091423986338</v>
      </c>
    </row>
    <row r="42" customFormat="false" ht="14.25" hidden="false" customHeight="false" outlineLevel="0" collapsed="false">
      <c r="B42" s="1" t="n">
        <v>25</v>
      </c>
      <c r="C42" s="1" t="n">
        <v>4</v>
      </c>
      <c r="D42" s="2" t="n">
        <v>62</v>
      </c>
      <c r="E42" s="4" t="n">
        <v>2.69332921131829</v>
      </c>
      <c r="F42" s="1" t="n">
        <v>20</v>
      </c>
      <c r="G42" s="1" t="n">
        <v>44.5</v>
      </c>
      <c r="H42" s="3" t="n">
        <v>140.92716892937</v>
      </c>
      <c r="I42" s="1" t="n">
        <v>450</v>
      </c>
      <c r="J42" s="32" t="n">
        <v>405.5</v>
      </c>
      <c r="K42" s="25" t="n">
        <v>237</v>
      </c>
      <c r="L42" s="32" t="n">
        <v>155.75</v>
      </c>
      <c r="M42" s="4" t="n">
        <v>0.78</v>
      </c>
      <c r="N42" s="24" t="n">
        <v>0.384845123451302</v>
      </c>
      <c r="O42" s="25" t="n">
        <v>500</v>
      </c>
      <c r="P42" s="25" t="n">
        <v>67.4636116506187</v>
      </c>
      <c r="Q42" s="26" t="n">
        <v>0.0544670511994589</v>
      </c>
      <c r="R42" s="24" t="n">
        <v>0.493391183911926</v>
      </c>
      <c r="S42" s="4" t="n">
        <v>0.456105559431892</v>
      </c>
      <c r="T42" s="25" t="n">
        <v>500</v>
      </c>
      <c r="U42" s="25" t="n">
        <v>93</v>
      </c>
      <c r="V42" s="26" t="n">
        <v>0.0360284338454483</v>
      </c>
      <c r="W42" s="24" t="n">
        <f aca="false">(I42-H42)/(J42-H42)</f>
        <v>1.16819565266745</v>
      </c>
      <c r="X42" s="24" t="n">
        <f aca="false">0.5*(1+(I42-K42-L42)/(I42-K42))</f>
        <v>0.634389671361502</v>
      </c>
      <c r="Y42" s="24" t="n">
        <v>0.584750717220375</v>
      </c>
      <c r="Z42" s="24" t="n">
        <v>0.335517166415092</v>
      </c>
      <c r="AA42" s="25" t="n">
        <v>500</v>
      </c>
      <c r="AB42" s="25" t="n">
        <v>67.4636116506187</v>
      </c>
      <c r="AC42" s="26" t="n">
        <v>0.0544670511994589</v>
      </c>
      <c r="AD42" s="24" t="n">
        <v>0.430150213352682</v>
      </c>
      <c r="AE42" s="24" t="n">
        <v>0.402770704895601</v>
      </c>
      <c r="AF42" s="24" t="n">
        <v>1.23762565650182</v>
      </c>
      <c r="AG42" s="25" t="n">
        <v>500</v>
      </c>
      <c r="AH42" s="26" t="n">
        <v>0.0294</v>
      </c>
      <c r="AI42" s="24" t="n">
        <v>0.516372698584103</v>
      </c>
    </row>
    <row r="43" customFormat="false" ht="14.25" hidden="false" customHeight="false" outlineLevel="0" collapsed="false">
      <c r="A43" s="0" t="s">
        <v>29</v>
      </c>
      <c r="B43" s="1" t="n">
        <v>12</v>
      </c>
      <c r="C43" s="1" t="n">
        <v>4</v>
      </c>
      <c r="D43" s="2" t="n">
        <v>79.3</v>
      </c>
      <c r="E43" s="4" t="n">
        <v>2.69332921131829</v>
      </c>
      <c r="F43" s="1" t="n">
        <v>20</v>
      </c>
      <c r="G43" s="1" t="n">
        <v>34</v>
      </c>
      <c r="H43" s="3" t="n">
        <v>76.5758696896729</v>
      </c>
      <c r="I43" s="1" t="n">
        <v>450</v>
      </c>
      <c r="J43" s="32" t="n">
        <v>416</v>
      </c>
      <c r="K43" s="25" t="n">
        <v>228</v>
      </c>
      <c r="L43" s="32" t="n">
        <v>94</v>
      </c>
      <c r="M43" s="4" t="n">
        <v>0.21</v>
      </c>
      <c r="N43" s="24" t="n">
        <v>0.123601278848589</v>
      </c>
      <c r="O43" s="25" t="n">
        <v>212.47112712609</v>
      </c>
      <c r="P43" s="25" t="n">
        <v>195.285947156012</v>
      </c>
      <c r="Q43" s="26" t="n">
        <v>0.0151932773109244</v>
      </c>
      <c r="R43" s="24" t="n">
        <v>0.588577518326616</v>
      </c>
      <c r="S43" s="4" t="n">
        <v>0.115038822092364</v>
      </c>
      <c r="T43" s="25" t="n">
        <v>212.47112712609</v>
      </c>
      <c r="U43" s="25" t="n">
        <v>214</v>
      </c>
      <c r="V43" s="26" t="n">
        <v>0.0137386018237082</v>
      </c>
      <c r="W43" s="24" t="n">
        <f aca="false">(I43-H43)/(J43-H43)</f>
        <v>1.10016966079847</v>
      </c>
      <c r="X43" s="24" t="n">
        <f aca="false">0.5*(1+(I43-K43-L43)/(I43-K43))</f>
        <v>0.788288288288288</v>
      </c>
      <c r="Y43" s="24" t="n">
        <v>0.547803914725544</v>
      </c>
      <c r="Z43" s="24" t="n">
        <v>0.128929548243119</v>
      </c>
      <c r="AA43" s="25" t="n">
        <v>212.47112712609</v>
      </c>
      <c r="AB43" s="25" t="n">
        <v>195.285947156012</v>
      </c>
      <c r="AC43" s="26" t="n">
        <v>0.0151932773109244</v>
      </c>
      <c r="AD43" s="24" t="n">
        <v>0.613950229729136</v>
      </c>
      <c r="AE43" s="24" t="n">
        <v>0.158019738781601</v>
      </c>
      <c r="AF43" s="24" t="n">
        <v>0.113477572228636</v>
      </c>
      <c r="AG43" s="25" t="n">
        <v>218.529338745705</v>
      </c>
      <c r="AH43" s="26" t="n">
        <v>0.0136</v>
      </c>
      <c r="AI43" s="24" t="n">
        <v>0.540369391564933</v>
      </c>
    </row>
    <row r="44" customFormat="false" ht="14.25" hidden="false" customHeight="false" outlineLevel="0" collapsed="false">
      <c r="B44" s="1" t="n">
        <v>12</v>
      </c>
      <c r="C44" s="1" t="n">
        <v>4</v>
      </c>
      <c r="D44" s="2" t="n">
        <v>79.3</v>
      </c>
      <c r="E44" s="4" t="n">
        <v>2.69332921131829</v>
      </c>
      <c r="F44" s="1" t="n">
        <v>20</v>
      </c>
      <c r="G44" s="1" t="n">
        <v>34</v>
      </c>
      <c r="H44" s="3" t="n">
        <v>76.5758696896729</v>
      </c>
      <c r="I44" s="1" t="n">
        <v>450</v>
      </c>
      <c r="J44" s="32" t="n">
        <v>416</v>
      </c>
      <c r="K44" s="25" t="n">
        <v>228</v>
      </c>
      <c r="L44" s="32" t="n">
        <v>94</v>
      </c>
      <c r="M44" s="4" t="n">
        <v>0.31</v>
      </c>
      <c r="N44" s="24" t="n">
        <v>0.178715286411518</v>
      </c>
      <c r="O44" s="25" t="n">
        <v>254.965352551308</v>
      </c>
      <c r="P44" s="25" t="n">
        <v>195.285947156012</v>
      </c>
      <c r="Q44" s="26" t="n">
        <v>0.0151932773109244</v>
      </c>
      <c r="R44" s="24" t="n">
        <v>0.576500923908122</v>
      </c>
      <c r="S44" s="4" t="n">
        <v>0.171271218190764</v>
      </c>
      <c r="T44" s="25" t="n">
        <v>254.965352551308</v>
      </c>
      <c r="U44" s="25" t="n">
        <v>214</v>
      </c>
      <c r="V44" s="26" t="n">
        <v>0.0137386018237082</v>
      </c>
      <c r="W44" s="24" t="n">
        <f aca="false">(I44-H44)/(J44-H44)</f>
        <v>1.10016966079847</v>
      </c>
      <c r="X44" s="24" t="n">
        <f aca="false">0.5*(1+(I44-K44-L44)/(I44-K44))</f>
        <v>0.788288288288288</v>
      </c>
      <c r="Y44" s="24" t="n">
        <v>0.552487800615368</v>
      </c>
      <c r="Z44" s="24" t="n">
        <v>0.154715457891742</v>
      </c>
      <c r="AA44" s="25" t="n">
        <v>254.965352551308</v>
      </c>
      <c r="AB44" s="25" t="n">
        <v>195.285947156012</v>
      </c>
      <c r="AC44" s="26" t="n">
        <v>0.0151932773109244</v>
      </c>
      <c r="AD44" s="24" t="n">
        <v>0.499082122231427</v>
      </c>
      <c r="AE44" s="24" t="n">
        <v>0.189623686537921</v>
      </c>
      <c r="AF44" s="24" t="n">
        <v>0.163407704009236</v>
      </c>
      <c r="AG44" s="25" t="n">
        <v>262.235206494847</v>
      </c>
      <c r="AH44" s="26" t="n">
        <v>0.0136</v>
      </c>
      <c r="AI44" s="24" t="n">
        <v>0.527121625836244</v>
      </c>
    </row>
    <row r="45" customFormat="false" ht="14.25" hidden="false" customHeight="false" outlineLevel="0" collapsed="false">
      <c r="B45" s="1" t="n">
        <v>12</v>
      </c>
      <c r="C45" s="1" t="n">
        <v>4</v>
      </c>
      <c r="D45" s="2" t="n">
        <v>79.3</v>
      </c>
      <c r="E45" s="4" t="n">
        <v>2.69332921131829</v>
      </c>
      <c r="F45" s="1" t="n">
        <v>20</v>
      </c>
      <c r="G45" s="1" t="n">
        <v>34</v>
      </c>
      <c r="H45" s="3" t="n">
        <v>76.5758696896729</v>
      </c>
      <c r="I45" s="1" t="n">
        <v>450</v>
      </c>
      <c r="J45" s="32" t="n">
        <v>416</v>
      </c>
      <c r="K45" s="25" t="n">
        <v>228</v>
      </c>
      <c r="L45" s="32" t="n">
        <v>94</v>
      </c>
      <c r="M45" s="4" t="n">
        <v>0.38</v>
      </c>
      <c r="N45" s="24" t="n">
        <v>0.233829293974446</v>
      </c>
      <c r="O45" s="25" t="n">
        <v>297.459577976525</v>
      </c>
      <c r="P45" s="25" t="n">
        <v>195.285947156012</v>
      </c>
      <c r="Q45" s="26" t="n">
        <v>0.0151932773109244</v>
      </c>
      <c r="R45" s="24" t="n">
        <v>0.615340247301173</v>
      </c>
      <c r="S45" s="4" t="n">
        <v>0.228790629236946</v>
      </c>
      <c r="T45" s="25" t="n">
        <v>297.459577976525</v>
      </c>
      <c r="U45" s="25" t="n">
        <v>214</v>
      </c>
      <c r="V45" s="26" t="n">
        <v>0.0137386018237082</v>
      </c>
      <c r="W45" s="24" t="n">
        <f aca="false">(I45-H45)/(J45-H45)</f>
        <v>1.10016966079847</v>
      </c>
      <c r="X45" s="24" t="n">
        <f aca="false">0.5*(1+(I45-K45-L45)/(I45-K45))</f>
        <v>0.788288288288288</v>
      </c>
      <c r="Y45" s="24" t="n">
        <v>0.602080603255121</v>
      </c>
      <c r="Z45" s="24" t="n">
        <v>0.182334198819364</v>
      </c>
      <c r="AA45" s="25" t="n">
        <v>297.459577976525</v>
      </c>
      <c r="AB45" s="25" t="n">
        <v>195.285947156012</v>
      </c>
      <c r="AC45" s="26" t="n">
        <v>0.0151932773109244</v>
      </c>
      <c r="AD45" s="24" t="n">
        <v>0.479826838998326</v>
      </c>
      <c r="AE45" s="24" t="n">
        <v>0.221227634294241</v>
      </c>
      <c r="AF45" s="24" t="n">
        <v>0.222416041568126</v>
      </c>
      <c r="AG45" s="25" t="n">
        <v>305.941074243988</v>
      </c>
      <c r="AH45" s="26" t="n">
        <v>0.0136</v>
      </c>
      <c r="AI45" s="24" t="n">
        <v>0.582177984984844</v>
      </c>
    </row>
    <row r="46" customFormat="false" ht="14.25" hidden="false" customHeight="false" outlineLevel="0" collapsed="false">
      <c r="B46" s="1" t="n">
        <v>12</v>
      </c>
      <c r="C46" s="1" t="n">
        <v>4</v>
      </c>
      <c r="D46" s="2" t="n">
        <v>79.3</v>
      </c>
      <c r="E46" s="4" t="n">
        <v>2.69332921131829</v>
      </c>
      <c r="F46" s="1" t="n">
        <v>20</v>
      </c>
      <c r="G46" s="1" t="n">
        <v>34</v>
      </c>
      <c r="H46" s="3" t="n">
        <v>76.5758696896729</v>
      </c>
      <c r="I46" s="1" t="n">
        <v>450</v>
      </c>
      <c r="J46" s="32" t="n">
        <v>416</v>
      </c>
      <c r="K46" s="25" t="n">
        <v>228</v>
      </c>
      <c r="L46" s="32" t="n">
        <v>94</v>
      </c>
      <c r="M46" s="4" t="n">
        <v>0.52</v>
      </c>
      <c r="N46" s="24" t="n">
        <v>0.344057309100303</v>
      </c>
      <c r="O46" s="25" t="n">
        <v>382.448028826961</v>
      </c>
      <c r="P46" s="25" t="n">
        <v>195.285947156012</v>
      </c>
      <c r="Q46" s="26" t="n">
        <v>0.0151932773109244</v>
      </c>
      <c r="R46" s="24" t="n">
        <v>0.661648671346736</v>
      </c>
      <c r="S46" s="4" t="n">
        <v>0.34382945132931</v>
      </c>
      <c r="T46" s="25" t="n">
        <v>382.448028826961</v>
      </c>
      <c r="U46" s="25" t="n">
        <v>214</v>
      </c>
      <c r="V46" s="26" t="n">
        <v>0.0137386018237082</v>
      </c>
      <c r="W46" s="24" t="n">
        <f aca="false">(I46-H46)/(J46-H46)</f>
        <v>1.10016966079847</v>
      </c>
      <c r="X46" s="24" t="n">
        <f aca="false">0.5*(1+(I46-K46-L46)/(I46-K46))</f>
        <v>0.788288288288288</v>
      </c>
      <c r="Y46" s="24" t="n">
        <v>0.661210483325597</v>
      </c>
      <c r="Z46" s="24" t="n">
        <v>0.268287230981443</v>
      </c>
      <c r="AA46" s="25" t="n">
        <v>382.448028826961</v>
      </c>
      <c r="AB46" s="25" t="n">
        <v>195.285947156012</v>
      </c>
      <c r="AC46" s="26" t="n">
        <v>0.0151932773109244</v>
      </c>
      <c r="AD46" s="24" t="n">
        <v>0.515936982656621</v>
      </c>
      <c r="AE46" s="24" t="n">
        <v>0.284435529806881</v>
      </c>
      <c r="AF46" s="24" t="n">
        <v>0.36766733402078</v>
      </c>
      <c r="AG46" s="25" t="n">
        <v>393.35280974227</v>
      </c>
      <c r="AH46" s="26" t="n">
        <v>0.0136</v>
      </c>
      <c r="AI46" s="24" t="n">
        <v>0.546991403474771</v>
      </c>
    </row>
    <row r="47" customFormat="false" ht="14.25" hidden="false" customHeight="false" outlineLevel="0" collapsed="false">
      <c r="B47" s="1" t="n">
        <v>12</v>
      </c>
      <c r="C47" s="1" t="n">
        <v>4</v>
      </c>
      <c r="D47" s="2" t="n">
        <v>79.3</v>
      </c>
      <c r="E47" s="4" t="n">
        <v>2.69332921131829</v>
      </c>
      <c r="F47" s="1" t="n">
        <v>20</v>
      </c>
      <c r="G47" s="1" t="n">
        <v>34</v>
      </c>
      <c r="H47" s="3" t="n">
        <v>76.5758696896729</v>
      </c>
      <c r="I47" s="1" t="n">
        <v>450</v>
      </c>
      <c r="J47" s="32" t="n">
        <v>416</v>
      </c>
      <c r="K47" s="25" t="n">
        <v>228</v>
      </c>
      <c r="L47" s="32" t="n">
        <v>94</v>
      </c>
      <c r="M47" s="4" t="n">
        <v>0.74</v>
      </c>
      <c r="N47" s="24" t="n">
        <v>0.496519441623919</v>
      </c>
      <c r="O47" s="25" t="n">
        <v>500</v>
      </c>
      <c r="P47" s="25" t="n">
        <v>195.285947156012</v>
      </c>
      <c r="Q47" s="26" t="n">
        <v>0.0151932773109244</v>
      </c>
      <c r="R47" s="24" t="n">
        <v>0.670972218410701</v>
      </c>
      <c r="S47" s="4" t="n">
        <v>0.502945662568176</v>
      </c>
      <c r="T47" s="25" t="n">
        <v>500</v>
      </c>
      <c r="U47" s="25" t="n">
        <v>214</v>
      </c>
      <c r="V47" s="26" t="n">
        <v>0.0137386018237082</v>
      </c>
      <c r="W47" s="24" t="n">
        <f aca="false">(I47-H47)/(J47-H47)</f>
        <v>1.10016966079847</v>
      </c>
      <c r="X47" s="24" t="n">
        <f aca="false">0.5*(1+(I47-K47-L47)/(I47-K47))</f>
        <v>0.788288288288288</v>
      </c>
      <c r="Y47" s="24" t="n">
        <v>0.679656300767806</v>
      </c>
      <c r="Z47" s="24" t="n">
        <v>0.387173365013149</v>
      </c>
      <c r="AA47" s="25" t="n">
        <v>500</v>
      </c>
      <c r="AB47" s="25" t="n">
        <v>195.285947156012</v>
      </c>
      <c r="AC47" s="26" t="n">
        <v>0.0151932773109244</v>
      </c>
      <c r="AD47" s="24" t="n">
        <v>0.523207250017769</v>
      </c>
      <c r="AE47" s="24" t="n">
        <v>0.361552685988499</v>
      </c>
      <c r="AF47" s="24" t="n">
        <v>0.594060315120875</v>
      </c>
      <c r="AG47" s="25" t="n">
        <v>500</v>
      </c>
      <c r="AH47" s="26" t="n">
        <v>0.0136</v>
      </c>
      <c r="AI47" s="24" t="n">
        <v>0.488584710795269</v>
      </c>
    </row>
    <row r="48" customFormat="false" ht="14.25" hidden="false" customHeight="false" outlineLevel="0" collapsed="false">
      <c r="A48" s="0" t="s">
        <v>30</v>
      </c>
      <c r="B48" s="1" t="n">
        <v>12</v>
      </c>
      <c r="C48" s="1" t="n">
        <v>4</v>
      </c>
      <c r="D48" s="2" t="n">
        <v>79.3</v>
      </c>
      <c r="E48" s="4" t="n">
        <v>2.69332921131829</v>
      </c>
      <c r="F48" s="1" t="n">
        <v>20</v>
      </c>
      <c r="G48" s="1" t="n">
        <v>34</v>
      </c>
      <c r="H48" s="3" t="n">
        <v>76.5758696896729</v>
      </c>
      <c r="I48" s="1" t="n">
        <v>450</v>
      </c>
      <c r="J48" s="32" t="n">
        <v>416</v>
      </c>
      <c r="K48" s="25" t="n">
        <v>228</v>
      </c>
      <c r="L48" s="32" t="n">
        <v>94</v>
      </c>
      <c r="M48" s="4" t="n">
        <v>0.17</v>
      </c>
      <c r="N48" s="24" t="n">
        <v>0.123601278848589</v>
      </c>
      <c r="O48" s="25" t="n">
        <v>212.47112712609</v>
      </c>
      <c r="P48" s="25" t="n">
        <v>195.285947156012</v>
      </c>
      <c r="Q48" s="26" t="n">
        <v>0.0151932773109244</v>
      </c>
      <c r="R48" s="24" t="n">
        <v>0.727066346168173</v>
      </c>
      <c r="S48" s="4" t="n">
        <v>0.115038822092364</v>
      </c>
      <c r="T48" s="25" t="n">
        <v>212.47112712609</v>
      </c>
      <c r="U48" s="25" t="n">
        <v>214</v>
      </c>
      <c r="V48" s="26" t="n">
        <v>0.0137386018237082</v>
      </c>
      <c r="W48" s="24" t="n">
        <f aca="false">(I48-H48)/(J48-H48)</f>
        <v>1.10016966079847</v>
      </c>
      <c r="X48" s="24" t="n">
        <f aca="false">0.5*(1+(I48-K48-L48)/(I48-K48))</f>
        <v>0.788288288288288</v>
      </c>
      <c r="Y48" s="24" t="n">
        <v>0.676698953484495</v>
      </c>
      <c r="Z48" s="24" t="n">
        <v>0.128929548243119</v>
      </c>
      <c r="AA48" s="25" t="n">
        <v>212.47112712609</v>
      </c>
      <c r="AB48" s="25" t="n">
        <v>195.285947156012</v>
      </c>
      <c r="AC48" s="26" t="n">
        <v>0.0151932773109244</v>
      </c>
      <c r="AD48" s="24" t="n">
        <v>0.758409107312462</v>
      </c>
      <c r="AE48" s="24" t="n">
        <v>0.158019738781601</v>
      </c>
      <c r="AF48" s="24" t="n">
        <v>0.113477572228636</v>
      </c>
      <c r="AG48" s="25" t="n">
        <v>218.529338745705</v>
      </c>
      <c r="AH48" s="26" t="n">
        <v>0.0136</v>
      </c>
      <c r="AI48" s="24" t="n">
        <v>0.667515130756681</v>
      </c>
    </row>
    <row r="49" customFormat="false" ht="14.25" hidden="false" customHeight="false" outlineLevel="0" collapsed="false">
      <c r="B49" s="1" t="n">
        <v>12</v>
      </c>
      <c r="C49" s="1" t="n">
        <v>4</v>
      </c>
      <c r="D49" s="2" t="n">
        <v>79.3</v>
      </c>
      <c r="E49" s="4" t="n">
        <v>2.69332921131829</v>
      </c>
      <c r="F49" s="1" t="n">
        <v>20</v>
      </c>
      <c r="G49" s="1" t="n">
        <v>34</v>
      </c>
      <c r="H49" s="3" t="n">
        <v>76.5758696896729</v>
      </c>
      <c r="I49" s="1" t="n">
        <v>450</v>
      </c>
      <c r="J49" s="32" t="n">
        <v>416</v>
      </c>
      <c r="K49" s="25" t="n">
        <v>228</v>
      </c>
      <c r="L49" s="32" t="n">
        <v>94</v>
      </c>
      <c r="M49" s="4" t="n">
        <v>0.36</v>
      </c>
      <c r="N49" s="24" t="n">
        <v>0.233829293974446</v>
      </c>
      <c r="O49" s="25" t="n">
        <v>297.459577976525</v>
      </c>
      <c r="P49" s="25" t="n">
        <v>195.285947156012</v>
      </c>
      <c r="Q49" s="26" t="n">
        <v>0.0151932773109244</v>
      </c>
      <c r="R49" s="24" t="n">
        <v>0.649525816595683</v>
      </c>
      <c r="S49" s="4" t="n">
        <v>0.228790629236946</v>
      </c>
      <c r="T49" s="25" t="n">
        <v>297.459577976525</v>
      </c>
      <c r="U49" s="25" t="n">
        <v>214</v>
      </c>
      <c r="V49" s="26" t="n">
        <v>0.0137386018237082</v>
      </c>
      <c r="W49" s="24" t="n">
        <f aca="false">(I49-H49)/(J49-H49)</f>
        <v>1.10016966079847</v>
      </c>
      <c r="X49" s="24" t="n">
        <f aca="false">0.5*(1+(I49-K49-L49)/(I49-K49))</f>
        <v>0.788288288288288</v>
      </c>
      <c r="Y49" s="24" t="n">
        <v>0.635529525658183</v>
      </c>
      <c r="Z49" s="24" t="n">
        <v>0.182334198819364</v>
      </c>
      <c r="AA49" s="25" t="n">
        <v>297.459577976525</v>
      </c>
      <c r="AB49" s="25" t="n">
        <v>195.285947156012</v>
      </c>
      <c r="AC49" s="26" t="n">
        <v>0.0151932773109244</v>
      </c>
      <c r="AD49" s="24" t="n">
        <v>0.506483885609344</v>
      </c>
      <c r="AE49" s="24" t="n">
        <v>0.221227634294241</v>
      </c>
      <c r="AF49" s="24" t="n">
        <v>0.222416041568126</v>
      </c>
      <c r="AG49" s="25" t="n">
        <v>305.941074243988</v>
      </c>
      <c r="AH49" s="26" t="n">
        <v>0.0136</v>
      </c>
      <c r="AI49" s="24" t="n">
        <v>0.614521206372891</v>
      </c>
    </row>
    <row r="50" customFormat="false" ht="14.25" hidden="false" customHeight="false" outlineLevel="0" collapsed="false">
      <c r="B50" s="1" t="n">
        <v>12</v>
      </c>
      <c r="C50" s="1" t="n">
        <v>4</v>
      </c>
      <c r="D50" s="2" t="n">
        <v>79.3</v>
      </c>
      <c r="E50" s="4" t="n">
        <v>2.69332921131829</v>
      </c>
      <c r="F50" s="1" t="n">
        <v>20</v>
      </c>
      <c r="G50" s="1" t="n">
        <v>34</v>
      </c>
      <c r="H50" s="3" t="n">
        <v>76.5758696896729</v>
      </c>
      <c r="I50" s="1" t="n">
        <v>450</v>
      </c>
      <c r="J50" s="32" t="n">
        <v>416</v>
      </c>
      <c r="K50" s="25" t="n">
        <v>228</v>
      </c>
      <c r="L50" s="32" t="n">
        <v>94</v>
      </c>
      <c r="M50" s="4" t="n">
        <v>0.56</v>
      </c>
      <c r="N50" s="24" t="n">
        <v>0.344057309100303</v>
      </c>
      <c r="O50" s="25" t="n">
        <v>382.448028826961</v>
      </c>
      <c r="P50" s="25" t="n">
        <v>195.285947156012</v>
      </c>
      <c r="Q50" s="26" t="n">
        <v>0.0151932773109244</v>
      </c>
      <c r="R50" s="24" t="n">
        <v>0.614388051964826</v>
      </c>
      <c r="S50" s="4" t="n">
        <v>0.34382945132931</v>
      </c>
      <c r="T50" s="25" t="n">
        <v>382.448028826961</v>
      </c>
      <c r="U50" s="25" t="n">
        <v>214</v>
      </c>
      <c r="V50" s="26" t="n">
        <v>0.0137386018237082</v>
      </c>
      <c r="W50" s="24" t="n">
        <f aca="false">(I50-H50)/(J50-H50)</f>
        <v>1.10016966079847</v>
      </c>
      <c r="X50" s="24" t="n">
        <f aca="false">0.5*(1+(I50-K50-L50)/(I50-K50))</f>
        <v>0.788288288288288</v>
      </c>
      <c r="Y50" s="24" t="n">
        <v>0.613981163088054</v>
      </c>
      <c r="Z50" s="24" t="n">
        <v>0.268287230981443</v>
      </c>
      <c r="AA50" s="25" t="n">
        <v>382.448028826961</v>
      </c>
      <c r="AB50" s="25" t="n">
        <v>195.285947156012</v>
      </c>
      <c r="AC50" s="26" t="n">
        <v>0.0151932773109244</v>
      </c>
      <c r="AD50" s="24" t="n">
        <v>0.479084341038291</v>
      </c>
      <c r="AE50" s="24" t="n">
        <v>0.284435529806881</v>
      </c>
      <c r="AF50" s="24" t="n">
        <v>0.36766733402078</v>
      </c>
      <c r="AG50" s="25" t="n">
        <v>393.35280974227</v>
      </c>
      <c r="AH50" s="26" t="n">
        <v>0.0136</v>
      </c>
      <c r="AI50" s="24" t="n">
        <v>0.507920588940859</v>
      </c>
    </row>
    <row r="51" customFormat="false" ht="14.25" hidden="false" customHeight="false" outlineLevel="0" collapsed="false">
      <c r="B51" s="1" t="n">
        <v>12</v>
      </c>
      <c r="C51" s="1" t="n">
        <v>4</v>
      </c>
      <c r="D51" s="2" t="n">
        <v>79.3</v>
      </c>
      <c r="E51" s="4" t="n">
        <v>2.69332921131829</v>
      </c>
      <c r="F51" s="1" t="n">
        <v>20</v>
      </c>
      <c r="G51" s="1" t="n">
        <v>34</v>
      </c>
      <c r="H51" s="3" t="n">
        <v>76.5758696896729</v>
      </c>
      <c r="I51" s="1" t="n">
        <v>450</v>
      </c>
      <c r="J51" s="32" t="n">
        <v>416</v>
      </c>
      <c r="K51" s="25" t="n">
        <v>228</v>
      </c>
      <c r="L51" s="32" t="n">
        <v>94</v>
      </c>
      <c r="M51" s="4" t="n">
        <v>0.78</v>
      </c>
      <c r="N51" s="24" t="n">
        <v>0.496519441623919</v>
      </c>
      <c r="O51" s="25" t="n">
        <v>500</v>
      </c>
      <c r="P51" s="25" t="n">
        <v>195.285947156012</v>
      </c>
      <c r="Q51" s="26" t="n">
        <v>0.0151932773109244</v>
      </c>
      <c r="R51" s="24" t="n">
        <v>0.636563386697331</v>
      </c>
      <c r="S51" s="4" t="n">
        <v>0.502945662568176</v>
      </c>
      <c r="T51" s="25" t="n">
        <v>500</v>
      </c>
      <c r="U51" s="25" t="n">
        <v>214</v>
      </c>
      <c r="V51" s="26" t="n">
        <v>0.0137386018237082</v>
      </c>
      <c r="W51" s="24" t="n">
        <f aca="false">(I51-H51)/(J51-H51)</f>
        <v>1.10016966079847</v>
      </c>
      <c r="X51" s="24" t="n">
        <f aca="false">0.5*(1+(I51-K51-L51)/(I51-K51))</f>
        <v>0.788288288288288</v>
      </c>
      <c r="Y51" s="24" t="n">
        <v>0.644802131497662</v>
      </c>
      <c r="Z51" s="24" t="n">
        <v>0.387173365013149</v>
      </c>
      <c r="AA51" s="25" t="n">
        <v>500</v>
      </c>
      <c r="AB51" s="25" t="n">
        <v>195.285947156012</v>
      </c>
      <c r="AC51" s="26" t="n">
        <v>0.0151932773109244</v>
      </c>
      <c r="AD51" s="24" t="n">
        <v>0.496376108991217</v>
      </c>
      <c r="AE51" s="24" t="n">
        <v>0.361552685988499</v>
      </c>
      <c r="AF51" s="24" t="n">
        <v>0.594060315120875</v>
      </c>
      <c r="AG51" s="25" t="n">
        <v>500</v>
      </c>
      <c r="AH51" s="26" t="n">
        <v>0.0136</v>
      </c>
      <c r="AI51" s="24" t="n">
        <v>0.463529084600639</v>
      </c>
    </row>
    <row r="52" customFormat="false" ht="14.25" hidden="false" customHeight="false" outlineLevel="0" collapsed="false">
      <c r="A52" s="0" t="s">
        <v>31</v>
      </c>
      <c r="B52" s="1" t="n">
        <v>12</v>
      </c>
      <c r="C52" s="1" t="n">
        <v>4</v>
      </c>
      <c r="D52" s="2" t="n">
        <v>46</v>
      </c>
      <c r="E52" s="4" t="n">
        <v>2.69332921131829</v>
      </c>
      <c r="F52" s="1" t="n">
        <v>70</v>
      </c>
      <c r="G52" s="1" t="n">
        <v>88</v>
      </c>
      <c r="H52" s="3" t="n">
        <v>70.9138918544459</v>
      </c>
      <c r="I52" s="1" t="n">
        <v>450</v>
      </c>
      <c r="J52" s="32" t="n">
        <v>362</v>
      </c>
      <c r="K52" s="25" t="n">
        <v>227</v>
      </c>
      <c r="L52" s="32" t="n">
        <v>120</v>
      </c>
      <c r="M52" s="4" t="n">
        <v>0.31</v>
      </c>
      <c r="N52" s="24" t="n">
        <v>0.177758758294371</v>
      </c>
      <c r="O52" s="25" t="n">
        <v>245.194770485466</v>
      </c>
      <c r="P52" s="25" t="n">
        <v>281.548232499321</v>
      </c>
      <c r="Q52" s="26" t="n">
        <v>0.0102200677657071</v>
      </c>
      <c r="R52" s="24" t="n">
        <v>0.573415349336681</v>
      </c>
      <c r="S52" s="4" t="n">
        <v>0.261427701149999</v>
      </c>
      <c r="T52" s="25" t="n">
        <v>245.194770485466</v>
      </c>
      <c r="U52" s="25" t="n">
        <v>268</v>
      </c>
      <c r="V52" s="26" t="n">
        <v>0.0107619047619048</v>
      </c>
      <c r="W52" s="24" t="n">
        <f aca="false">(I52-H52)/(J52-H52)</f>
        <v>1.30231604167107</v>
      </c>
      <c r="X52" s="24" t="n">
        <f aca="false">0.5*(1+(I52-K52-L52)/(I52-K52))</f>
        <v>0.730941704035874</v>
      </c>
      <c r="Y52" s="24" t="n">
        <v>0.843315164999996</v>
      </c>
      <c r="Z52" s="24" t="n">
        <v>0.321897054920026</v>
      </c>
      <c r="AA52" s="25" t="n">
        <v>245.194770485466</v>
      </c>
      <c r="AB52" s="25" t="n">
        <v>281.548232499321</v>
      </c>
      <c r="AC52" s="26" t="n">
        <v>0.0102200677657071</v>
      </c>
      <c r="AD52" s="24" t="n">
        <v>1.03837759651621</v>
      </c>
      <c r="AE52" s="24" t="n">
        <v>0.35643211676505</v>
      </c>
      <c r="AF52" s="24" t="n">
        <v>0.1516070469554</v>
      </c>
      <c r="AG52" s="25" t="n">
        <v>252.588996756181</v>
      </c>
      <c r="AH52" s="26" t="n">
        <v>0.0065</v>
      </c>
      <c r="AI52" s="24" t="n">
        <v>0.48905499017871</v>
      </c>
    </row>
    <row r="53" customFormat="false" ht="14.25" hidden="false" customHeight="false" outlineLevel="0" collapsed="false">
      <c r="B53" s="1" t="n">
        <v>12</v>
      </c>
      <c r="C53" s="1" t="n">
        <v>4</v>
      </c>
      <c r="D53" s="2" t="n">
        <v>46</v>
      </c>
      <c r="E53" s="4" t="n">
        <v>2.69332921131829</v>
      </c>
      <c r="F53" s="1" t="n">
        <v>70</v>
      </c>
      <c r="G53" s="1" t="n">
        <v>88</v>
      </c>
      <c r="H53" s="3" t="n">
        <v>70.9138918544459</v>
      </c>
      <c r="I53" s="1" t="n">
        <v>450</v>
      </c>
      <c r="J53" s="32" t="n">
        <v>362</v>
      </c>
      <c r="K53" s="25" t="n">
        <v>227</v>
      </c>
      <c r="L53" s="32" t="n">
        <v>120</v>
      </c>
      <c r="M53" s="4" t="n">
        <v>0.44</v>
      </c>
      <c r="N53" s="24" t="n">
        <v>0.292057697618438</v>
      </c>
      <c r="O53" s="25" t="n">
        <v>294.23372458256</v>
      </c>
      <c r="P53" s="25" t="n">
        <v>281.548232499321</v>
      </c>
      <c r="Q53" s="26" t="n">
        <v>0.0102200677657071</v>
      </c>
      <c r="R53" s="24" t="n">
        <v>0.66376749458736</v>
      </c>
      <c r="S53" s="4" t="n">
        <v>0.355221300507252</v>
      </c>
      <c r="T53" s="25" t="n">
        <v>294.23372458256</v>
      </c>
      <c r="U53" s="25" t="n">
        <v>268</v>
      </c>
      <c r="V53" s="26" t="n">
        <v>0.0107619047619048</v>
      </c>
      <c r="W53" s="24" t="n">
        <f aca="false">(I53-H53)/(J53-H53)</f>
        <v>1.30231604167107</v>
      </c>
      <c r="X53" s="24" t="n">
        <f aca="false">0.5*(1+(I53-K53-L53)/(I53-K53))</f>
        <v>0.730941704035874</v>
      </c>
      <c r="Y53" s="24" t="n">
        <v>0.807321137516482</v>
      </c>
      <c r="Z53" s="24" t="n">
        <v>0.386276465904031</v>
      </c>
      <c r="AA53" s="25" t="n">
        <v>294.23372458256</v>
      </c>
      <c r="AB53" s="25" t="n">
        <v>281.548232499321</v>
      </c>
      <c r="AC53" s="26" t="n">
        <v>0.0102200677657071</v>
      </c>
      <c r="AD53" s="24" t="n">
        <v>0.877901058872799</v>
      </c>
      <c r="AE53" s="24" t="n">
        <v>0.42771854011806</v>
      </c>
      <c r="AF53" s="24" t="n">
        <v>0.218314147615776</v>
      </c>
      <c r="AG53" s="25" t="n">
        <v>303.106796107418</v>
      </c>
      <c r="AH53" s="26" t="n">
        <v>0.0065</v>
      </c>
      <c r="AI53" s="24" t="n">
        <v>0.496168517308582</v>
      </c>
    </row>
    <row r="54" customFormat="false" ht="14.25" hidden="false" customHeight="false" outlineLevel="0" collapsed="false">
      <c r="A54" s="0" t="s">
        <v>32</v>
      </c>
      <c r="B54" s="1" t="n">
        <v>12</v>
      </c>
      <c r="C54" s="1" t="n">
        <v>4</v>
      </c>
      <c r="D54" s="2" t="n">
        <v>46</v>
      </c>
      <c r="E54" s="4" t="n">
        <v>2.69332921131829</v>
      </c>
      <c r="F54" s="1" t="n">
        <v>70</v>
      </c>
      <c r="G54" s="1" t="n">
        <v>84</v>
      </c>
      <c r="H54" s="3" t="n">
        <v>71.3470436587611</v>
      </c>
      <c r="I54" s="1" t="n">
        <v>450</v>
      </c>
      <c r="J54" s="32" t="n">
        <v>366</v>
      </c>
      <c r="K54" s="25" t="n">
        <v>227</v>
      </c>
      <c r="L54" s="32" t="n">
        <v>120</v>
      </c>
      <c r="M54" s="4" t="n">
        <v>0.14</v>
      </c>
      <c r="N54" s="24" t="n">
        <v>0.058682947698772</v>
      </c>
      <c r="O54" s="25" t="n">
        <v>193.945814910414</v>
      </c>
      <c r="P54" s="25" t="n">
        <v>281.247113662578</v>
      </c>
      <c r="Q54" s="26" t="n">
        <v>0.0102317587896877</v>
      </c>
      <c r="R54" s="24" t="n">
        <v>0.419163912134086</v>
      </c>
      <c r="S54" s="4" t="n">
        <v>0.204037001359618</v>
      </c>
      <c r="T54" s="25" t="n">
        <v>193.945814910414</v>
      </c>
      <c r="U54" s="25" t="n">
        <v>268</v>
      </c>
      <c r="V54" s="26" t="n">
        <v>0.0107619047619048</v>
      </c>
      <c r="W54" s="24" t="n">
        <f aca="false">(I54-H54)/(J54-H54)</f>
        <v>1.28508113763067</v>
      </c>
      <c r="X54" s="24" t="n">
        <f aca="false">0.5*(1+(I54-K54-L54)/(I54-K54))</f>
        <v>0.730941704035874</v>
      </c>
      <c r="Y54" s="24" t="n">
        <v>1.4574071525687</v>
      </c>
      <c r="Z54" s="24" t="n">
        <v>0.254483602812162</v>
      </c>
      <c r="AA54" s="25" t="n">
        <v>193.945814910414</v>
      </c>
      <c r="AB54" s="25" t="n">
        <v>281.247113662578</v>
      </c>
      <c r="AC54" s="26" t="n">
        <v>0.0102317587896877</v>
      </c>
      <c r="AD54" s="24" t="n">
        <v>1.81774002008687</v>
      </c>
      <c r="AE54" s="24" t="n">
        <v>0.281896939977587</v>
      </c>
      <c r="AF54" s="24" t="n">
        <v>0.0948301531895278</v>
      </c>
      <c r="AG54" s="25" t="n">
        <v>199.768937501532</v>
      </c>
      <c r="AH54" s="26" t="n">
        <v>0.0065</v>
      </c>
      <c r="AI54" s="24" t="n">
        <v>0.677358237068056</v>
      </c>
    </row>
    <row r="55" customFormat="false" ht="14.25" hidden="false" customHeight="false" outlineLevel="0" collapsed="false">
      <c r="B55" s="1" t="n">
        <v>12</v>
      </c>
      <c r="C55" s="1" t="n">
        <v>4</v>
      </c>
      <c r="D55" s="2" t="n">
        <v>46</v>
      </c>
      <c r="E55" s="4" t="n">
        <v>2.69332921131829</v>
      </c>
      <c r="F55" s="1" t="n">
        <v>70</v>
      </c>
      <c r="G55" s="1" t="n">
        <v>84</v>
      </c>
      <c r="H55" s="3" t="n">
        <v>71.3470436587611</v>
      </c>
      <c r="I55" s="1" t="n">
        <v>450</v>
      </c>
      <c r="J55" s="32" t="n">
        <v>366</v>
      </c>
      <c r="K55" s="25" t="n">
        <v>227</v>
      </c>
      <c r="L55" s="32" t="n">
        <v>120</v>
      </c>
      <c r="M55" s="4" t="n">
        <v>0.31</v>
      </c>
      <c r="N55" s="24" t="n">
        <v>0.171603783231656</v>
      </c>
      <c r="O55" s="25" t="n">
        <v>242.432268638018</v>
      </c>
      <c r="P55" s="25" t="n">
        <v>281.247113662578</v>
      </c>
      <c r="Q55" s="26" t="n">
        <v>0.0102317587896877</v>
      </c>
      <c r="R55" s="24" t="n">
        <v>0.553560591069857</v>
      </c>
      <c r="S55" s="4" t="n">
        <v>0.255046251699522</v>
      </c>
      <c r="T55" s="25" t="n">
        <v>242.432268638018</v>
      </c>
      <c r="U55" s="25" t="n">
        <v>268</v>
      </c>
      <c r="V55" s="26" t="n">
        <v>0.0107619047619048</v>
      </c>
      <c r="W55" s="24" t="n">
        <f aca="false">(I55-H55)/(J55-H55)</f>
        <v>1.28508113763067</v>
      </c>
      <c r="X55" s="24" t="n">
        <f aca="false">0.5*(1+(I55-K55-L55)/(I55-K55))</f>
        <v>0.730941704035874</v>
      </c>
      <c r="Y55" s="24" t="n">
        <v>0.822729844192008</v>
      </c>
      <c r="Z55" s="24" t="n">
        <v>0.318104503515203</v>
      </c>
      <c r="AA55" s="25" t="n">
        <v>242.432268638018</v>
      </c>
      <c r="AB55" s="25" t="n">
        <v>281.247113662578</v>
      </c>
      <c r="AC55" s="26" t="n">
        <v>0.0102317587896877</v>
      </c>
      <c r="AD55" s="24" t="n">
        <v>1.02614355972646</v>
      </c>
      <c r="AE55" s="24" t="n">
        <v>0.352371174971984</v>
      </c>
      <c r="AF55" s="24" t="n">
        <v>0.148172114358637</v>
      </c>
      <c r="AG55" s="25" t="n">
        <v>249.711171876915</v>
      </c>
      <c r="AH55" s="26" t="n">
        <v>0.0065</v>
      </c>
      <c r="AI55" s="24" t="n">
        <v>0.477974562447217</v>
      </c>
    </row>
    <row r="56" customFormat="false" ht="14.25" hidden="false" customHeight="false" outlineLevel="0" collapsed="false">
      <c r="B56" s="1" t="n">
        <v>12</v>
      </c>
      <c r="C56" s="1" t="n">
        <v>4</v>
      </c>
      <c r="D56" s="2" t="n">
        <v>46</v>
      </c>
      <c r="E56" s="4" t="n">
        <v>2.69332921131829</v>
      </c>
      <c r="F56" s="1" t="n">
        <v>70</v>
      </c>
      <c r="G56" s="1" t="n">
        <v>84</v>
      </c>
      <c r="H56" s="3" t="n">
        <v>71.3470436587611</v>
      </c>
      <c r="I56" s="1" t="n">
        <v>450</v>
      </c>
      <c r="J56" s="32" t="n">
        <v>366</v>
      </c>
      <c r="K56" s="25" t="n">
        <v>227</v>
      </c>
      <c r="L56" s="32" t="n">
        <v>120</v>
      </c>
      <c r="M56" s="4" t="n">
        <v>0.4</v>
      </c>
      <c r="N56" s="24" t="n">
        <v>0.284524618764539</v>
      </c>
      <c r="O56" s="25" t="n">
        <v>290.918722365622</v>
      </c>
      <c r="P56" s="25" t="n">
        <v>281.247113662578</v>
      </c>
      <c r="Q56" s="26" t="n">
        <v>0.0102317587896877</v>
      </c>
      <c r="R56" s="24" t="n">
        <v>0.711311546911348</v>
      </c>
      <c r="S56" s="4" t="n">
        <v>0.341780558598951</v>
      </c>
      <c r="T56" s="25" t="n">
        <v>290.918722365622</v>
      </c>
      <c r="U56" s="25" t="n">
        <v>268</v>
      </c>
      <c r="V56" s="26" t="n">
        <v>0.0107619047619048</v>
      </c>
      <c r="W56" s="24" t="n">
        <f aca="false">(I56-H56)/(J56-H56)</f>
        <v>1.28508113763067</v>
      </c>
      <c r="X56" s="24" t="n">
        <f aca="false">0.5*(1+(I56-K56-L56)/(I56-K56))</f>
        <v>0.730941704035874</v>
      </c>
      <c r="Y56" s="24" t="n">
        <v>0.854451396497377</v>
      </c>
      <c r="Z56" s="24" t="n">
        <v>0.381725404218243</v>
      </c>
      <c r="AA56" s="25" t="n">
        <v>290.918722365622</v>
      </c>
      <c r="AB56" s="25" t="n">
        <v>281.247113662578</v>
      </c>
      <c r="AC56" s="26" t="n">
        <v>0.0102317587896877</v>
      </c>
      <c r="AD56" s="24" t="n">
        <v>0.954313510545609</v>
      </c>
      <c r="AE56" s="24" t="n">
        <v>0.422845409966381</v>
      </c>
      <c r="AF56" s="24" t="n">
        <v>0.213367844676438</v>
      </c>
      <c r="AG56" s="25" t="n">
        <v>299.653406252299</v>
      </c>
      <c r="AH56" s="26" t="n">
        <v>0.0065</v>
      </c>
      <c r="AI56" s="24" t="n">
        <v>0.533419611691094</v>
      </c>
    </row>
    <row r="57" customFormat="false" ht="14.25" hidden="false" customHeight="false" outlineLevel="0" collapsed="false">
      <c r="A57" s="0" t="s">
        <v>33</v>
      </c>
      <c r="B57" s="1" t="n">
        <v>12</v>
      </c>
      <c r="C57" s="1" t="n">
        <v>4</v>
      </c>
      <c r="D57" s="2" t="n">
        <v>46</v>
      </c>
      <c r="E57" s="4" t="n">
        <v>2.69332921131829</v>
      </c>
      <c r="F57" s="1" t="n">
        <v>70</v>
      </c>
      <c r="G57" s="1" t="n">
        <v>84</v>
      </c>
      <c r="H57" s="3" t="n">
        <v>71.3470436587611</v>
      </c>
      <c r="I57" s="1" t="n">
        <v>450</v>
      </c>
      <c r="J57" s="32" t="n">
        <v>366</v>
      </c>
      <c r="K57" s="25" t="n">
        <v>227</v>
      </c>
      <c r="L57" s="32" t="n">
        <v>120</v>
      </c>
      <c r="M57" s="4" t="n">
        <v>0.25</v>
      </c>
      <c r="N57" s="24" t="n">
        <v>0.058682947698772</v>
      </c>
      <c r="O57" s="25" t="n">
        <v>193.945814910414</v>
      </c>
      <c r="P57" s="25" t="n">
        <v>281.247113662578</v>
      </c>
      <c r="Q57" s="26" t="n">
        <v>0.0102317587896877</v>
      </c>
      <c r="R57" s="24" t="n">
        <v>0.234731790795088</v>
      </c>
      <c r="S57" s="4" t="n">
        <v>0.204037001359618</v>
      </c>
      <c r="T57" s="25" t="n">
        <v>193.945814910414</v>
      </c>
      <c r="U57" s="25" t="n">
        <v>268</v>
      </c>
      <c r="V57" s="26" t="n">
        <v>0.0107619047619048</v>
      </c>
      <c r="W57" s="24" t="n">
        <f aca="false">(I57-H57)/(J57-H57)</f>
        <v>1.28508113763067</v>
      </c>
      <c r="X57" s="24" t="n">
        <f aca="false">0.5*(1+(I57-K57-L57)/(I57-K57))</f>
        <v>0.730941704035874</v>
      </c>
      <c r="Y57" s="24" t="n">
        <v>0.816148005438472</v>
      </c>
      <c r="Z57" s="24" t="n">
        <v>0.254483602812162</v>
      </c>
      <c r="AA57" s="25" t="n">
        <v>193.945814910414</v>
      </c>
      <c r="AB57" s="25" t="n">
        <v>281.247113662578</v>
      </c>
      <c r="AC57" s="26" t="n">
        <v>0.0102317587896877</v>
      </c>
      <c r="AD57" s="24" t="n">
        <v>1.01793441124865</v>
      </c>
      <c r="AE57" s="24" t="n">
        <v>0.281896939977587</v>
      </c>
      <c r="AF57" s="24" t="n">
        <v>0.0948301531895278</v>
      </c>
      <c r="AG57" s="25" t="n">
        <v>199.768937501532</v>
      </c>
      <c r="AH57" s="26" t="n">
        <v>0.0065</v>
      </c>
      <c r="AI57" s="24" t="n">
        <v>0.379320612758111</v>
      </c>
    </row>
    <row r="58" customFormat="false" ht="14.25" hidden="false" customHeight="false" outlineLevel="0" collapsed="false">
      <c r="B58" s="1" t="n">
        <v>12</v>
      </c>
      <c r="C58" s="1" t="n">
        <v>4</v>
      </c>
      <c r="D58" s="2" t="n">
        <v>46</v>
      </c>
      <c r="E58" s="4" t="n">
        <v>2.69332921131829</v>
      </c>
      <c r="F58" s="1" t="n">
        <v>70</v>
      </c>
      <c r="G58" s="1" t="n">
        <v>84</v>
      </c>
      <c r="H58" s="3" t="n">
        <v>71.3470436587611</v>
      </c>
      <c r="I58" s="1" t="n">
        <v>450</v>
      </c>
      <c r="J58" s="32" t="n">
        <v>366</v>
      </c>
      <c r="K58" s="25" t="n">
        <v>227</v>
      </c>
      <c r="L58" s="32" t="n">
        <v>120</v>
      </c>
      <c r="M58" s="4" t="n">
        <v>0.44</v>
      </c>
      <c r="N58" s="24" t="n">
        <v>0.171603783231656</v>
      </c>
      <c r="O58" s="25" t="n">
        <v>242.432268638018</v>
      </c>
      <c r="P58" s="25" t="n">
        <v>281.247113662578</v>
      </c>
      <c r="Q58" s="26" t="n">
        <v>0.0102317587896877</v>
      </c>
      <c r="R58" s="24" t="n">
        <v>0.390008598253763</v>
      </c>
      <c r="S58" s="4" t="n">
        <v>0.255046251699522</v>
      </c>
      <c r="T58" s="25" t="n">
        <v>242.432268638018</v>
      </c>
      <c r="U58" s="25" t="n">
        <v>268</v>
      </c>
      <c r="V58" s="26" t="n">
        <v>0.0107619047619048</v>
      </c>
      <c r="W58" s="24" t="n">
        <f aca="false">(I58-H58)/(J58-H58)</f>
        <v>1.28508113763067</v>
      </c>
      <c r="X58" s="24" t="n">
        <f aca="false">0.5*(1+(I58-K58-L58)/(I58-K58))</f>
        <v>0.730941704035874</v>
      </c>
      <c r="Y58" s="24" t="n">
        <v>0.579650572044369</v>
      </c>
      <c r="Z58" s="24" t="n">
        <v>0.318104503515203</v>
      </c>
      <c r="AA58" s="25" t="n">
        <v>242.432268638018</v>
      </c>
      <c r="AB58" s="25" t="n">
        <v>281.247113662578</v>
      </c>
      <c r="AC58" s="26" t="n">
        <v>0.0102317587896877</v>
      </c>
      <c r="AD58" s="24" t="n">
        <v>0.72296478071637</v>
      </c>
      <c r="AE58" s="24" t="n">
        <v>0.352371174971984</v>
      </c>
      <c r="AF58" s="24" t="n">
        <v>0.148172114358637</v>
      </c>
      <c r="AG58" s="25" t="n">
        <v>249.711171876915</v>
      </c>
      <c r="AH58" s="26" t="n">
        <v>0.0065</v>
      </c>
      <c r="AI58" s="24" t="n">
        <v>0.336754805360539</v>
      </c>
    </row>
    <row r="59" customFormat="false" ht="14.25" hidden="false" customHeight="false" outlineLevel="0" collapsed="false">
      <c r="B59" s="1" t="n">
        <v>12</v>
      </c>
      <c r="C59" s="1" t="n">
        <v>4</v>
      </c>
      <c r="D59" s="2" t="n">
        <v>46</v>
      </c>
      <c r="E59" s="4" t="n">
        <v>2.69332921131829</v>
      </c>
      <c r="F59" s="1" t="n">
        <v>70</v>
      </c>
      <c r="G59" s="1" t="n">
        <v>84</v>
      </c>
      <c r="H59" s="3" t="n">
        <v>71.3470436587611</v>
      </c>
      <c r="I59" s="1" t="n">
        <v>450</v>
      </c>
      <c r="J59" s="32" t="n">
        <v>366</v>
      </c>
      <c r="K59" s="25" t="n">
        <v>227</v>
      </c>
      <c r="L59" s="32" t="n">
        <v>120</v>
      </c>
      <c r="M59" s="4" t="n">
        <v>0.56</v>
      </c>
      <c r="N59" s="24" t="n">
        <v>0.284524618764539</v>
      </c>
      <c r="O59" s="25" t="n">
        <v>290.918722365622</v>
      </c>
      <c r="P59" s="25" t="n">
        <v>281.247113662578</v>
      </c>
      <c r="Q59" s="26" t="n">
        <v>0.0102317587896877</v>
      </c>
      <c r="R59" s="24" t="n">
        <v>0.508079676365248</v>
      </c>
      <c r="S59" s="4" t="n">
        <v>0.341780558598951</v>
      </c>
      <c r="T59" s="25" t="n">
        <v>290.918722365622</v>
      </c>
      <c r="U59" s="25" t="n">
        <v>268</v>
      </c>
      <c r="V59" s="26" t="n">
        <v>0.0107619047619048</v>
      </c>
      <c r="W59" s="24" t="n">
        <f aca="false">(I59-H59)/(J59-H59)</f>
        <v>1.28508113763067</v>
      </c>
      <c r="X59" s="24" t="n">
        <f aca="false">0.5*(1+(I59-K59-L59)/(I59-K59))</f>
        <v>0.730941704035874</v>
      </c>
      <c r="Y59" s="24" t="n">
        <v>0.610322426069555</v>
      </c>
      <c r="Z59" s="24" t="n">
        <v>0.381725404218243</v>
      </c>
      <c r="AA59" s="25" t="n">
        <v>290.918722365622</v>
      </c>
      <c r="AB59" s="25" t="n">
        <v>281.247113662578</v>
      </c>
      <c r="AC59" s="26" t="n">
        <v>0.0102317587896877</v>
      </c>
      <c r="AD59" s="24" t="n">
        <v>0.681652507532577</v>
      </c>
      <c r="AE59" s="24" t="n">
        <v>0.422845409966381</v>
      </c>
      <c r="AF59" s="24" t="n">
        <v>0.213367844676438</v>
      </c>
      <c r="AG59" s="25" t="n">
        <v>299.653406252299</v>
      </c>
      <c r="AH59" s="26" t="n">
        <v>0.0065</v>
      </c>
      <c r="AI59" s="24" t="n">
        <v>0.381014008350781</v>
      </c>
    </row>
    <row r="60" customFormat="false" ht="14.25" hidden="false" customHeight="false" outlineLevel="0" collapsed="false">
      <c r="A60" s="0" t="s">
        <v>34</v>
      </c>
      <c r="B60" s="1" t="n">
        <v>25</v>
      </c>
      <c r="C60" s="1" t="n">
        <v>4</v>
      </c>
      <c r="D60" s="2" t="n">
        <v>62</v>
      </c>
      <c r="E60" s="4" t="n">
        <v>2.69332921131829</v>
      </c>
      <c r="F60" s="1" t="n">
        <v>20</v>
      </c>
      <c r="G60" s="1" t="n">
        <v>40.5</v>
      </c>
      <c r="H60" s="3" t="n">
        <v>141.766460137701</v>
      </c>
      <c r="I60" s="1" t="n">
        <v>450</v>
      </c>
      <c r="J60" s="32" t="n">
        <v>409.5</v>
      </c>
      <c r="K60" s="25" t="n">
        <v>237</v>
      </c>
      <c r="L60" s="32" t="n">
        <v>141.75</v>
      </c>
      <c r="M60" s="4" t="n">
        <v>0.23</v>
      </c>
      <c r="N60" s="24" t="n">
        <v>0.14122631889913</v>
      </c>
      <c r="O60" s="25" t="n">
        <v>210.837549268589</v>
      </c>
      <c r="P60" s="25" t="n">
        <v>66.6120081639751</v>
      </c>
      <c r="Q60" s="26" t="n">
        <v>0.0554215167548501</v>
      </c>
      <c r="R60" s="24" t="n">
        <v>0.614027473474477</v>
      </c>
      <c r="S60" s="4" t="n">
        <v>0.15610003267779</v>
      </c>
      <c r="T60" s="25" t="n">
        <v>210.837549268589</v>
      </c>
      <c r="U60" s="25" t="n">
        <v>86</v>
      </c>
      <c r="V60" s="26" t="n">
        <v>0.0395867976820358</v>
      </c>
      <c r="W60" s="24" t="n">
        <f aca="false">(I60-H60)/(J60-H60)</f>
        <v>1.1512698036295</v>
      </c>
      <c r="X60" s="24" t="n">
        <f aca="false">0.5*(1+(I60-K60-L60)/(I60-K60))</f>
        <v>0.667253521126761</v>
      </c>
      <c r="Y60" s="24" t="n">
        <v>0.678695794251259</v>
      </c>
      <c r="Z60" s="24" t="n">
        <v>0.123611894101224</v>
      </c>
      <c r="AA60" s="25" t="n">
        <v>210.837549268589</v>
      </c>
      <c r="AB60" s="25" t="n">
        <v>66.6120081639751</v>
      </c>
      <c r="AC60" s="26" t="n">
        <v>0.0554215167548501</v>
      </c>
      <c r="AD60" s="24" t="n">
        <v>0.537443017831408</v>
      </c>
      <c r="AE60" s="24" t="n">
        <v>0.177991911594174</v>
      </c>
      <c r="AF60" s="24" t="n">
        <v>0.241698574134364</v>
      </c>
      <c r="AG60" s="25" t="n">
        <v>220.959356565307</v>
      </c>
      <c r="AH60" s="26" t="n">
        <v>0.0294</v>
      </c>
      <c r="AI60" s="24" t="n">
        <v>0.77387787649641</v>
      </c>
    </row>
    <row r="61" customFormat="false" ht="14.25" hidden="false" customHeight="false" outlineLevel="0" collapsed="false">
      <c r="B61" s="1" t="n">
        <v>25</v>
      </c>
      <c r="C61" s="1" t="n">
        <v>4</v>
      </c>
      <c r="D61" s="2" t="n">
        <v>62</v>
      </c>
      <c r="E61" s="4" t="n">
        <v>2.69332921131829</v>
      </c>
      <c r="F61" s="1" t="n">
        <v>20</v>
      </c>
      <c r="G61" s="1" t="n">
        <v>40.5</v>
      </c>
      <c r="H61" s="3" t="n">
        <v>141.766460137701</v>
      </c>
      <c r="I61" s="1" t="n">
        <v>450</v>
      </c>
      <c r="J61" s="32" t="n">
        <v>409.5</v>
      </c>
      <c r="K61" s="25" t="n">
        <v>237</v>
      </c>
      <c r="L61" s="32" t="n">
        <v>141.75</v>
      </c>
      <c r="M61" s="4" t="n">
        <v>0.35</v>
      </c>
      <c r="N61" s="24" t="n">
        <v>0.228356157253072</v>
      </c>
      <c r="O61" s="25" t="n">
        <v>316.256323902884</v>
      </c>
      <c r="P61" s="25" t="n">
        <v>66.6120081639751</v>
      </c>
      <c r="Q61" s="26" t="n">
        <v>0.0554215167548501</v>
      </c>
      <c r="R61" s="24" t="n">
        <v>0.652446163580207</v>
      </c>
      <c r="S61" s="4" t="n">
        <v>0.2594615172932</v>
      </c>
      <c r="T61" s="25" t="n">
        <v>316.256323902884</v>
      </c>
      <c r="U61" s="25" t="n">
        <v>86</v>
      </c>
      <c r="V61" s="26" t="n">
        <v>0.0395867976820358</v>
      </c>
      <c r="W61" s="24" t="n">
        <f aca="false">(I61-H61)/(J61-H61)</f>
        <v>1.1512698036295</v>
      </c>
      <c r="X61" s="24" t="n">
        <f aca="false">0.5*(1+(I61-K61-L61)/(I61-K61))</f>
        <v>0.667253521126761</v>
      </c>
      <c r="Y61" s="24" t="n">
        <v>0.741318620837713</v>
      </c>
      <c r="Z61" s="24" t="n">
        <v>0.199874480534259</v>
      </c>
      <c r="AA61" s="25" t="n">
        <v>316.256323902884</v>
      </c>
      <c r="AB61" s="25" t="n">
        <v>66.6120081639751</v>
      </c>
      <c r="AC61" s="26" t="n">
        <v>0.0554215167548501</v>
      </c>
      <c r="AD61" s="24" t="n">
        <v>0.571069944383598</v>
      </c>
      <c r="AE61" s="24" t="n">
        <v>0.266987867391261</v>
      </c>
      <c r="AF61" s="24" t="n">
        <v>0.543821791802318</v>
      </c>
      <c r="AG61" s="25" t="n">
        <v>331.439034847961</v>
      </c>
      <c r="AH61" s="26" t="n">
        <v>0.0294</v>
      </c>
      <c r="AI61" s="24" t="n">
        <v>0.762822478260747</v>
      </c>
    </row>
    <row r="62" customFormat="false" ht="14.25" hidden="false" customHeight="false" outlineLevel="0" collapsed="false">
      <c r="B62" s="1" t="n">
        <v>25</v>
      </c>
      <c r="C62" s="1" t="n">
        <v>4</v>
      </c>
      <c r="D62" s="2" t="n">
        <v>62</v>
      </c>
      <c r="E62" s="4" t="n">
        <v>2.69332921131829</v>
      </c>
      <c r="F62" s="1" t="n">
        <v>20</v>
      </c>
      <c r="G62" s="1" t="n">
        <v>40.5</v>
      </c>
      <c r="H62" s="3" t="n">
        <v>141.766460137701</v>
      </c>
      <c r="I62" s="1" t="n">
        <v>450</v>
      </c>
      <c r="J62" s="32" t="n">
        <v>409.5</v>
      </c>
      <c r="K62" s="25" t="n">
        <v>237</v>
      </c>
      <c r="L62" s="32" t="n">
        <v>141.75</v>
      </c>
      <c r="M62" s="4" t="n">
        <v>0.49</v>
      </c>
      <c r="N62" s="24" t="n">
        <v>0.315485995607015</v>
      </c>
      <c r="O62" s="25" t="n">
        <v>421.675098537179</v>
      </c>
      <c r="P62" s="25" t="n">
        <v>66.6120081639751</v>
      </c>
      <c r="Q62" s="26" t="n">
        <v>0.0554215167548501</v>
      </c>
      <c r="R62" s="24" t="n">
        <v>0.643848970626561</v>
      </c>
      <c r="S62" s="4" t="n">
        <v>0.36282300190861</v>
      </c>
      <c r="T62" s="25" t="n">
        <v>421.675098537179</v>
      </c>
      <c r="U62" s="25" t="n">
        <v>86</v>
      </c>
      <c r="V62" s="26" t="n">
        <v>0.0395867976820358</v>
      </c>
      <c r="W62" s="24" t="n">
        <f aca="false">(I62-H62)/(J62-H62)</f>
        <v>1.1512698036295</v>
      </c>
      <c r="X62" s="24" t="n">
        <f aca="false">0.5*(1+(I62-K62-L62)/(I62-K62))</f>
        <v>0.667253521126761</v>
      </c>
      <c r="Y62" s="24" t="n">
        <v>0.740455105935938</v>
      </c>
      <c r="Z62" s="24" t="n">
        <v>0.276137066967295</v>
      </c>
      <c r="AA62" s="25" t="n">
        <v>421.675098537179</v>
      </c>
      <c r="AB62" s="25" t="n">
        <v>66.6120081639751</v>
      </c>
      <c r="AC62" s="26" t="n">
        <v>0.0554215167548501</v>
      </c>
      <c r="AD62" s="24" t="n">
        <v>0.563545034627132</v>
      </c>
      <c r="AE62" s="24" t="n">
        <v>0.355983823188348</v>
      </c>
      <c r="AF62" s="24" t="n">
        <v>0.966794296537454</v>
      </c>
      <c r="AG62" s="25" t="n">
        <v>441.918713130614</v>
      </c>
      <c r="AH62" s="26" t="n">
        <v>0.0294</v>
      </c>
      <c r="AI62" s="24" t="n">
        <v>0.726497598343568</v>
      </c>
    </row>
    <row r="63" customFormat="false" ht="14.25" hidden="false" customHeight="false" outlineLevel="0" collapsed="false">
      <c r="B63" s="1" t="n">
        <v>25</v>
      </c>
      <c r="C63" s="1" t="n">
        <v>4</v>
      </c>
      <c r="D63" s="2" t="n">
        <v>62</v>
      </c>
      <c r="E63" s="4" t="n">
        <v>2.69332921131829</v>
      </c>
      <c r="F63" s="1" t="n">
        <v>20</v>
      </c>
      <c r="G63" s="1" t="n">
        <v>40.5</v>
      </c>
      <c r="H63" s="3" t="n">
        <v>141.766460137701</v>
      </c>
      <c r="I63" s="1" t="n">
        <v>450</v>
      </c>
      <c r="J63" s="32" t="n">
        <v>409.5</v>
      </c>
      <c r="K63" s="25" t="n">
        <v>237</v>
      </c>
      <c r="L63" s="32" t="n">
        <v>141.75</v>
      </c>
      <c r="M63" s="4" t="n">
        <v>0.67</v>
      </c>
      <c r="N63" s="24" t="n">
        <v>0.380222433942772</v>
      </c>
      <c r="O63" s="25" t="n">
        <v>500</v>
      </c>
      <c r="P63" s="25" t="n">
        <v>66.6120081639751</v>
      </c>
      <c r="Q63" s="26" t="n">
        <v>0.0554215167548501</v>
      </c>
      <c r="R63" s="24" t="n">
        <v>0.567496170063839</v>
      </c>
      <c r="S63" s="4" t="n">
        <v>0.43961936124439</v>
      </c>
      <c r="T63" s="25" t="n">
        <v>500</v>
      </c>
      <c r="U63" s="25" t="n">
        <v>86</v>
      </c>
      <c r="V63" s="26" t="n">
        <v>0.0395867976820358</v>
      </c>
      <c r="W63" s="24" t="n">
        <f aca="false">(I63-H63)/(J63-H63)</f>
        <v>1.1512698036295</v>
      </c>
      <c r="X63" s="24" t="n">
        <f aca="false">0.5*(1+(I63-K63-L63)/(I63-K63))</f>
        <v>0.667253521126761</v>
      </c>
      <c r="Y63" s="24" t="n">
        <v>0.656148300364761</v>
      </c>
      <c r="Z63" s="24" t="n">
        <v>0.332799265787088</v>
      </c>
      <c r="AA63" s="25" t="n">
        <v>500</v>
      </c>
      <c r="AB63" s="25" t="n">
        <v>66.6120081639751</v>
      </c>
      <c r="AC63" s="26" t="n">
        <v>0.0554215167548501</v>
      </c>
      <c r="AD63" s="24" t="n">
        <v>0.496715322070281</v>
      </c>
      <c r="AE63" s="24" t="n">
        <v>0.402770704895601</v>
      </c>
      <c r="AF63" s="24" t="n">
        <v>1.23762565650182</v>
      </c>
      <c r="AG63" s="25" t="n">
        <v>500</v>
      </c>
      <c r="AH63" s="26" t="n">
        <v>0.0294</v>
      </c>
      <c r="AI63" s="24" t="n">
        <v>0.601150305814329</v>
      </c>
    </row>
    <row r="64" customFormat="false" ht="14.25" hidden="false" customHeight="false" outlineLevel="0" collapsed="false">
      <c r="A64" s="0" t="s">
        <v>35</v>
      </c>
      <c r="B64" s="1" t="n">
        <v>25</v>
      </c>
      <c r="C64" s="1" t="n">
        <v>4</v>
      </c>
      <c r="D64" s="2" t="n">
        <v>62</v>
      </c>
      <c r="E64" s="4" t="n">
        <v>2.69332921131829</v>
      </c>
      <c r="F64" s="1" t="n">
        <v>20</v>
      </c>
      <c r="G64" s="1" t="n">
        <v>40.5</v>
      </c>
      <c r="H64" s="3" t="n">
        <v>141.766460137701</v>
      </c>
      <c r="I64" s="1" t="n">
        <v>450</v>
      </c>
      <c r="J64" s="32" t="n">
        <v>409.5</v>
      </c>
      <c r="K64" s="25" t="n">
        <v>237</v>
      </c>
      <c r="L64" s="32" t="n">
        <v>141.75</v>
      </c>
      <c r="M64" s="4" t="n">
        <v>0.27</v>
      </c>
      <c r="N64" s="24" t="n">
        <v>0.14122631889913</v>
      </c>
      <c r="O64" s="25" t="n">
        <v>210.837549268589</v>
      </c>
      <c r="P64" s="25" t="n">
        <v>66.6120081639751</v>
      </c>
      <c r="Q64" s="26" t="n">
        <v>0.0554215167548501</v>
      </c>
      <c r="R64" s="24" t="n">
        <v>0.523060440367147</v>
      </c>
      <c r="S64" s="4" t="n">
        <v>0.15610003267779</v>
      </c>
      <c r="T64" s="25" t="n">
        <v>210.837549268589</v>
      </c>
      <c r="U64" s="25" t="n">
        <v>86</v>
      </c>
      <c r="V64" s="26" t="n">
        <v>0.0395867976820358</v>
      </c>
      <c r="W64" s="24" t="n">
        <f aca="false">(I64-H64)/(J64-H64)</f>
        <v>1.1512698036295</v>
      </c>
      <c r="X64" s="24" t="n">
        <f aca="false">0.5*(1+(I64-K64-L64)/(I64-K64))</f>
        <v>0.667253521126761</v>
      </c>
      <c r="Y64" s="24" t="n">
        <v>0.578148269176998</v>
      </c>
      <c r="Z64" s="24" t="n">
        <v>0.123611894101224</v>
      </c>
      <c r="AA64" s="25" t="n">
        <v>210.837549268589</v>
      </c>
      <c r="AB64" s="25" t="n">
        <v>66.6120081639751</v>
      </c>
      <c r="AC64" s="26" t="n">
        <v>0.0554215167548501</v>
      </c>
      <c r="AD64" s="24" t="n">
        <v>0.457821830004533</v>
      </c>
      <c r="AE64" s="24" t="n">
        <v>0.177991911594174</v>
      </c>
      <c r="AF64" s="24" t="n">
        <v>0.241698574134364</v>
      </c>
      <c r="AG64" s="25" t="n">
        <v>220.959356565307</v>
      </c>
      <c r="AH64" s="26" t="n">
        <v>0.0294</v>
      </c>
      <c r="AI64" s="24" t="n">
        <v>0.659229302200645</v>
      </c>
    </row>
    <row r="65" customFormat="false" ht="14.25" hidden="false" customHeight="false" outlineLevel="0" collapsed="false">
      <c r="B65" s="1" t="n">
        <v>25</v>
      </c>
      <c r="C65" s="1" t="n">
        <v>4</v>
      </c>
      <c r="D65" s="2" t="n">
        <v>62</v>
      </c>
      <c r="E65" s="4" t="n">
        <v>2.69332921131829</v>
      </c>
      <c r="F65" s="1" t="n">
        <v>20</v>
      </c>
      <c r="G65" s="1" t="n">
        <v>40.5</v>
      </c>
      <c r="H65" s="3" t="n">
        <v>141.766460137701</v>
      </c>
      <c r="I65" s="1" t="n">
        <v>450</v>
      </c>
      <c r="J65" s="32" t="n">
        <v>409.5</v>
      </c>
      <c r="K65" s="25" t="n">
        <v>237</v>
      </c>
      <c r="L65" s="32" t="n">
        <v>141.75</v>
      </c>
      <c r="M65" s="4" t="n">
        <v>0.4</v>
      </c>
      <c r="N65" s="24" t="n">
        <v>0.228356157253072</v>
      </c>
      <c r="O65" s="25" t="n">
        <v>316.256323902884</v>
      </c>
      <c r="P65" s="25" t="n">
        <v>66.6120081639751</v>
      </c>
      <c r="Q65" s="26" t="n">
        <v>0.0554215167548501</v>
      </c>
      <c r="R65" s="24" t="n">
        <v>0.570890393132681</v>
      </c>
      <c r="S65" s="4" t="n">
        <v>0.2594615172932</v>
      </c>
      <c r="T65" s="25" t="n">
        <v>316.256323902884</v>
      </c>
      <c r="U65" s="25" t="n">
        <v>86</v>
      </c>
      <c r="V65" s="26" t="n">
        <v>0.0395867976820358</v>
      </c>
      <c r="W65" s="24" t="n">
        <f aca="false">(I65-H65)/(J65-H65)</f>
        <v>1.1512698036295</v>
      </c>
      <c r="X65" s="24" t="n">
        <f aca="false">0.5*(1+(I65-K65-L65)/(I65-K65))</f>
        <v>0.667253521126761</v>
      </c>
      <c r="Y65" s="24" t="n">
        <v>0.648653793232999</v>
      </c>
      <c r="Z65" s="24" t="n">
        <v>0.199874480534259</v>
      </c>
      <c r="AA65" s="25" t="n">
        <v>316.256323902884</v>
      </c>
      <c r="AB65" s="25" t="n">
        <v>66.6120081639751</v>
      </c>
      <c r="AC65" s="26" t="n">
        <v>0.0554215167548501</v>
      </c>
      <c r="AD65" s="24" t="n">
        <v>0.499686201335648</v>
      </c>
      <c r="AE65" s="24" t="n">
        <v>0.266987867391261</v>
      </c>
      <c r="AF65" s="24" t="n">
        <v>0.543821791802318</v>
      </c>
      <c r="AG65" s="25" t="n">
        <v>331.439034847961</v>
      </c>
      <c r="AH65" s="26" t="n">
        <v>0.0294</v>
      </c>
      <c r="AI65" s="24" t="n">
        <v>0.667469668478153</v>
      </c>
    </row>
    <row r="66" customFormat="false" ht="14.25" hidden="false" customHeight="false" outlineLevel="0" collapsed="false">
      <c r="B66" s="1" t="n">
        <v>25</v>
      </c>
      <c r="C66" s="1" t="n">
        <v>4</v>
      </c>
      <c r="D66" s="2" t="n">
        <v>62</v>
      </c>
      <c r="E66" s="4" t="n">
        <v>2.69332921131829</v>
      </c>
      <c r="F66" s="1" t="n">
        <v>20</v>
      </c>
      <c r="G66" s="1" t="n">
        <v>40.5</v>
      </c>
      <c r="H66" s="3" t="n">
        <v>141.766460137701</v>
      </c>
      <c r="I66" s="1" t="n">
        <v>450</v>
      </c>
      <c r="J66" s="32" t="n">
        <v>409.5</v>
      </c>
      <c r="K66" s="25" t="n">
        <v>237</v>
      </c>
      <c r="L66" s="32" t="n">
        <v>141.75</v>
      </c>
      <c r="M66" s="4" t="n">
        <v>0.53</v>
      </c>
      <c r="N66" s="24" t="n">
        <v>0.315485995607015</v>
      </c>
      <c r="O66" s="25" t="n">
        <v>421.675098537179</v>
      </c>
      <c r="P66" s="25" t="n">
        <v>66.6120081639751</v>
      </c>
      <c r="Q66" s="26" t="n">
        <v>0.0554215167548501</v>
      </c>
      <c r="R66" s="24" t="n">
        <v>0.595256595484934</v>
      </c>
      <c r="S66" s="4" t="n">
        <v>0.36282300190861</v>
      </c>
      <c r="T66" s="25" t="n">
        <v>421.675098537179</v>
      </c>
      <c r="U66" s="25" t="n">
        <v>86</v>
      </c>
      <c r="V66" s="26" t="n">
        <v>0.0395867976820358</v>
      </c>
      <c r="W66" s="24" t="n">
        <f aca="false">(I66-H66)/(J66-H66)</f>
        <v>1.1512698036295</v>
      </c>
      <c r="X66" s="24" t="n">
        <f aca="false">0.5*(1+(I66-K66-L66)/(I66-K66))</f>
        <v>0.667253521126761</v>
      </c>
      <c r="Y66" s="24" t="n">
        <v>0.684571701714358</v>
      </c>
      <c r="Z66" s="24" t="n">
        <v>0.276137066967295</v>
      </c>
      <c r="AA66" s="25" t="n">
        <v>421.675098537179</v>
      </c>
      <c r="AB66" s="25" t="n">
        <v>66.6120081639751</v>
      </c>
      <c r="AC66" s="26" t="n">
        <v>0.0554215167548501</v>
      </c>
      <c r="AD66" s="24" t="n">
        <v>0.521013333900556</v>
      </c>
      <c r="AE66" s="24" t="n">
        <v>0.355983823188348</v>
      </c>
      <c r="AF66" s="24" t="n">
        <v>0.966794296537454</v>
      </c>
      <c r="AG66" s="25" t="n">
        <v>441.918713130614</v>
      </c>
      <c r="AH66" s="26" t="n">
        <v>0.0294</v>
      </c>
      <c r="AI66" s="24" t="n">
        <v>0.671667590921412</v>
      </c>
    </row>
    <row r="67" customFormat="false" ht="14.25" hidden="false" customHeight="false" outlineLevel="0" collapsed="false">
      <c r="B67" s="1" t="n">
        <v>25</v>
      </c>
      <c r="C67" s="1" t="n">
        <v>4</v>
      </c>
      <c r="D67" s="2" t="n">
        <v>62</v>
      </c>
      <c r="E67" s="4" t="n">
        <v>2.69332921131829</v>
      </c>
      <c r="F67" s="1" t="n">
        <v>20</v>
      </c>
      <c r="G67" s="1" t="n">
        <v>40.5</v>
      </c>
      <c r="H67" s="3" t="n">
        <v>141.766460137701</v>
      </c>
      <c r="I67" s="1" t="n">
        <v>450</v>
      </c>
      <c r="J67" s="32" t="n">
        <v>409.5</v>
      </c>
      <c r="K67" s="25" t="n">
        <v>237</v>
      </c>
      <c r="L67" s="32" t="n">
        <v>141.75</v>
      </c>
      <c r="M67" s="4" t="n">
        <v>0.72</v>
      </c>
      <c r="N67" s="24" t="n">
        <v>0.380222433942772</v>
      </c>
      <c r="O67" s="25" t="n">
        <v>500</v>
      </c>
      <c r="P67" s="25" t="n">
        <v>66.6120081639751</v>
      </c>
      <c r="Q67" s="26" t="n">
        <v>0.0554215167548501</v>
      </c>
      <c r="R67" s="24" t="n">
        <v>0.528086713809406</v>
      </c>
      <c r="S67" s="4" t="n">
        <v>0.43961936124439</v>
      </c>
      <c r="T67" s="25" t="n">
        <v>500</v>
      </c>
      <c r="U67" s="25" t="n">
        <v>86</v>
      </c>
      <c r="V67" s="26" t="n">
        <v>0.0395867976820358</v>
      </c>
      <c r="W67" s="24" t="n">
        <f aca="false">(I67-H67)/(J67-H67)</f>
        <v>1.1512698036295</v>
      </c>
      <c r="X67" s="24" t="n">
        <f aca="false">0.5*(1+(I67-K67-L67)/(I67-K67))</f>
        <v>0.667253521126761</v>
      </c>
      <c r="Y67" s="24" t="n">
        <v>0.610582446172764</v>
      </c>
      <c r="Z67" s="24" t="n">
        <v>0.332799265787088</v>
      </c>
      <c r="AA67" s="25" t="n">
        <v>500</v>
      </c>
      <c r="AB67" s="25" t="n">
        <v>66.6120081639751</v>
      </c>
      <c r="AC67" s="26" t="n">
        <v>0.0554215167548501</v>
      </c>
      <c r="AD67" s="24" t="n">
        <v>0.462221202482067</v>
      </c>
      <c r="AE67" s="24" t="n">
        <v>0.402770704895601</v>
      </c>
      <c r="AF67" s="24" t="n">
        <v>1.23762565650182</v>
      </c>
      <c r="AG67" s="25" t="n">
        <v>500</v>
      </c>
      <c r="AH67" s="26" t="n">
        <v>0.0294</v>
      </c>
      <c r="AI67" s="24" t="n">
        <v>0.559403756799445</v>
      </c>
    </row>
    <row r="68" customFormat="false" ht="14.25" hidden="false" customHeight="false" outlineLevel="0" collapsed="false">
      <c r="A68" s="0" t="s">
        <v>36</v>
      </c>
      <c r="B68" s="1" t="n">
        <v>25</v>
      </c>
      <c r="C68" s="1" t="n">
        <v>4</v>
      </c>
      <c r="D68" s="2" t="n">
        <v>28.7</v>
      </c>
      <c r="E68" s="4" t="n">
        <v>2.69332921131829</v>
      </c>
      <c r="F68" s="1" t="n">
        <v>70</v>
      </c>
      <c r="G68" s="1" t="n">
        <v>94.5</v>
      </c>
      <c r="H68" s="3" t="n">
        <v>130.081813066926</v>
      </c>
      <c r="I68" s="1" t="n">
        <v>450</v>
      </c>
      <c r="J68" s="32" t="n">
        <v>355.5</v>
      </c>
      <c r="K68" s="25" t="n">
        <v>234</v>
      </c>
      <c r="L68" s="32" t="n">
        <v>219.5</v>
      </c>
      <c r="M68" s="4" t="n">
        <v>0.3</v>
      </c>
      <c r="N68" s="24" t="n">
        <v>0.109905925341171</v>
      </c>
      <c r="O68" s="25" t="n">
        <v>122.340765829723</v>
      </c>
      <c r="P68" s="25" t="n">
        <v>69.1987677628068</v>
      </c>
      <c r="Q68" s="26" t="n">
        <v>0.0526205961457496</v>
      </c>
      <c r="R68" s="24" t="n">
        <v>0.366353084470569</v>
      </c>
      <c r="S68" s="4" t="n">
        <v>0.109394577369187</v>
      </c>
      <c r="T68" s="25" t="n">
        <v>122.340765829723</v>
      </c>
      <c r="U68" s="25" t="n">
        <v>123</v>
      </c>
      <c r="V68" s="26" t="n">
        <v>0.0255645948584445</v>
      </c>
      <c r="W68" s="24" t="n">
        <f aca="false">(I68-H68)/(J68-H68)</f>
        <v>1.41922083255889</v>
      </c>
      <c r="X68" s="24" t="n">
        <f aca="false">0.5*(1+(I68-K68-L68)/(I68-K68))</f>
        <v>0.491898148148148</v>
      </c>
      <c r="Y68" s="24" t="n">
        <v>0.364648591230624</v>
      </c>
      <c r="Z68" s="24" t="n">
        <v>0.128816084647821</v>
      </c>
      <c r="AA68" s="25" t="n">
        <v>122.340765829723</v>
      </c>
      <c r="AB68" s="25" t="n">
        <v>69.1987677628068</v>
      </c>
      <c r="AC68" s="26" t="n">
        <v>0.0526205961457496</v>
      </c>
      <c r="AD68" s="24" t="n">
        <v>0.429386948826071</v>
      </c>
      <c r="AE68" s="24" t="n">
        <v>0.165567113081299</v>
      </c>
      <c r="AF68" s="24" t="n">
        <v>0.0816655582722089</v>
      </c>
      <c r="AG68" s="25" t="n">
        <v>128.438380260679</v>
      </c>
      <c r="AH68" s="26" t="n">
        <v>0.0163</v>
      </c>
      <c r="AI68" s="24" t="n">
        <v>0.27221852757403</v>
      </c>
    </row>
    <row r="69" customFormat="false" ht="14.25" hidden="false" customHeight="false" outlineLevel="0" collapsed="false">
      <c r="B69" s="1" t="n">
        <v>25</v>
      </c>
      <c r="C69" s="1" t="n">
        <v>4</v>
      </c>
      <c r="D69" s="2" t="n">
        <v>28.7</v>
      </c>
      <c r="E69" s="4" t="n">
        <v>2.69332921131829</v>
      </c>
      <c r="F69" s="1" t="n">
        <v>70</v>
      </c>
      <c r="G69" s="1" t="n">
        <v>94.5</v>
      </c>
      <c r="H69" s="3" t="n">
        <v>130.081813066926</v>
      </c>
      <c r="I69" s="1" t="n">
        <v>450</v>
      </c>
      <c r="J69" s="32" t="n">
        <v>355.5</v>
      </c>
      <c r="K69" s="25" t="n">
        <v>234</v>
      </c>
      <c r="L69" s="32" t="n">
        <v>219.5</v>
      </c>
      <c r="M69" s="4" t="n">
        <v>0.57</v>
      </c>
      <c r="N69" s="24" t="n">
        <v>0.276272229047612</v>
      </c>
      <c r="O69" s="25" t="n">
        <v>244.681531659446</v>
      </c>
      <c r="P69" s="25" t="n">
        <v>69.1987677628068</v>
      </c>
      <c r="Q69" s="26" t="n">
        <v>0.0526205961457496</v>
      </c>
      <c r="R69" s="24" t="n">
        <v>0.484688121136162</v>
      </c>
      <c r="S69" s="4" t="n">
        <v>0.381502271008165</v>
      </c>
      <c r="T69" s="25" t="n">
        <v>244.681531659446</v>
      </c>
      <c r="U69" s="25" t="n">
        <v>123</v>
      </c>
      <c r="V69" s="26" t="n">
        <v>0.0255645948584445</v>
      </c>
      <c r="W69" s="24" t="n">
        <f aca="false">(I69-H69)/(J69-H69)</f>
        <v>1.41922083255889</v>
      </c>
      <c r="X69" s="24" t="n">
        <f aca="false">0.5*(1+(I69-K69-L69)/(I69-K69))</f>
        <v>0.491898148148148</v>
      </c>
      <c r="Y69" s="24" t="n">
        <v>0.669302229838885</v>
      </c>
      <c r="Z69" s="24" t="n">
        <v>0.32380698977208</v>
      </c>
      <c r="AA69" s="25" t="n">
        <v>244.681531659446</v>
      </c>
      <c r="AB69" s="25" t="n">
        <v>69.1987677628068</v>
      </c>
      <c r="AC69" s="26" t="n">
        <v>0.0526205961457496</v>
      </c>
      <c r="AD69" s="24" t="n">
        <v>0.568082438196632</v>
      </c>
      <c r="AE69" s="24" t="n">
        <v>0.331134226162599</v>
      </c>
      <c r="AF69" s="24" t="n">
        <v>0.326662233088835</v>
      </c>
      <c r="AG69" s="25" t="n">
        <v>256.876760521357</v>
      </c>
      <c r="AH69" s="26" t="n">
        <v>0.0163</v>
      </c>
      <c r="AI69" s="24" t="n">
        <v>0.573091636997957</v>
      </c>
    </row>
    <row r="70" customFormat="false" ht="14.25" hidden="false" customHeight="false" outlineLevel="0" collapsed="false">
      <c r="A70" s="0" t="s">
        <v>37</v>
      </c>
      <c r="B70" s="1" t="n">
        <v>25</v>
      </c>
      <c r="C70" s="1" t="n">
        <v>4</v>
      </c>
      <c r="D70" s="2" t="n">
        <v>28.7</v>
      </c>
      <c r="E70" s="4" t="n">
        <v>2.69332921131829</v>
      </c>
      <c r="F70" s="1" t="n">
        <v>70</v>
      </c>
      <c r="G70" s="1" t="n">
        <v>90.5</v>
      </c>
      <c r="H70" s="3" t="n">
        <v>130.975130551886</v>
      </c>
      <c r="I70" s="1" t="n">
        <v>450</v>
      </c>
      <c r="J70" s="32" t="n">
        <v>359.5</v>
      </c>
      <c r="K70" s="25" t="n">
        <v>234</v>
      </c>
      <c r="L70" s="32" t="n">
        <v>215.5</v>
      </c>
      <c r="M70" s="4" t="n">
        <v>0.26</v>
      </c>
      <c r="N70" s="24" t="n">
        <v>0.107925994945012</v>
      </c>
      <c r="O70" s="25" t="n">
        <v>120.90671371296</v>
      </c>
      <c r="P70" s="25" t="n">
        <v>69.0558452701</v>
      </c>
      <c r="Q70" s="26" t="n">
        <v>0.0527679417075151</v>
      </c>
      <c r="R70" s="24" t="n">
        <v>0.415099980557738</v>
      </c>
      <c r="S70" s="4" t="n">
        <v>0.106297702576725</v>
      </c>
      <c r="T70" s="25" t="n">
        <v>120.90671371296</v>
      </c>
      <c r="U70" s="25" t="n">
        <v>121</v>
      </c>
      <c r="V70" s="26" t="n">
        <v>0.0260391117003646</v>
      </c>
      <c r="W70" s="24" t="n">
        <f aca="false">(I70-H70)/(J70-H70)</f>
        <v>1.39601816738177</v>
      </c>
      <c r="X70" s="24" t="n">
        <f aca="false">0.5*(1+(I70-K70-L70)/(I70-K70))</f>
        <v>0.501157407407407</v>
      </c>
      <c r="Y70" s="24" t="n">
        <v>0.408837317602789</v>
      </c>
      <c r="Z70" s="24" t="n">
        <v>0.126577503015513</v>
      </c>
      <c r="AA70" s="25" t="n">
        <v>120.90671371296</v>
      </c>
      <c r="AB70" s="25" t="n">
        <v>69.0558452701</v>
      </c>
      <c r="AC70" s="26" t="n">
        <v>0.0527679417075151</v>
      </c>
      <c r="AD70" s="24" t="n">
        <v>0.486836550059664</v>
      </c>
      <c r="AE70" s="24" t="n">
        <v>0.163604172470817</v>
      </c>
      <c r="AF70" s="24" t="n">
        <v>0.0797406063526139</v>
      </c>
      <c r="AG70" s="25" t="n">
        <v>126.915632730289</v>
      </c>
      <c r="AH70" s="26" t="n">
        <v>0.0163</v>
      </c>
      <c r="AI70" s="24" t="n">
        <v>0.306694639817746</v>
      </c>
    </row>
    <row r="71" customFormat="false" ht="14.25" hidden="false" customHeight="false" outlineLevel="0" collapsed="false">
      <c r="B71" s="1" t="n">
        <v>25</v>
      </c>
      <c r="C71" s="1" t="n">
        <v>4</v>
      </c>
      <c r="D71" s="2" t="n">
        <v>28.7</v>
      </c>
      <c r="E71" s="4" t="n">
        <v>2.69332921131829</v>
      </c>
      <c r="F71" s="1" t="n">
        <v>70</v>
      </c>
      <c r="G71" s="1" t="n">
        <v>90.5</v>
      </c>
      <c r="H71" s="3" t="n">
        <v>130.975130551886</v>
      </c>
      <c r="I71" s="1" t="n">
        <v>450</v>
      </c>
      <c r="J71" s="32" t="n">
        <v>359.5</v>
      </c>
      <c r="K71" s="25" t="n">
        <v>234</v>
      </c>
      <c r="L71" s="32" t="n">
        <v>215.5</v>
      </c>
      <c r="M71" s="4" t="n">
        <v>0.6</v>
      </c>
      <c r="N71" s="24" t="n">
        <v>0.272119412315751</v>
      </c>
      <c r="O71" s="25" t="n">
        <v>241.81342742592</v>
      </c>
      <c r="P71" s="25" t="n">
        <v>69.0558452701</v>
      </c>
      <c r="Q71" s="26" t="n">
        <v>0.0527679417075151</v>
      </c>
      <c r="R71" s="24" t="n">
        <v>0.453532353859586</v>
      </c>
      <c r="S71" s="4" t="n">
        <v>0.371327050375408</v>
      </c>
      <c r="T71" s="25" t="n">
        <v>241.81342742592</v>
      </c>
      <c r="U71" s="25" t="n">
        <v>121</v>
      </c>
      <c r="V71" s="26" t="n">
        <v>0.0260391117003646</v>
      </c>
      <c r="W71" s="24" t="n">
        <f aca="false">(I71-H71)/(J71-H71)</f>
        <v>1.39601816738177</v>
      </c>
      <c r="X71" s="24" t="n">
        <f aca="false">0.5*(1+(I71-K71-L71)/(I71-K71))</f>
        <v>0.501157407407407</v>
      </c>
      <c r="Y71" s="24" t="n">
        <v>0.618878417292346</v>
      </c>
      <c r="Z71" s="24" t="n">
        <v>0.319146427610196</v>
      </c>
      <c r="AA71" s="25" t="n">
        <v>241.81342742592</v>
      </c>
      <c r="AB71" s="25" t="n">
        <v>69.0558452701</v>
      </c>
      <c r="AC71" s="26" t="n">
        <v>0.0527679417075151</v>
      </c>
      <c r="AD71" s="24" t="n">
        <v>0.531910712683659</v>
      </c>
      <c r="AE71" s="24" t="n">
        <v>0.327208344941633</v>
      </c>
      <c r="AF71" s="24" t="n">
        <v>0.318962425410456</v>
      </c>
      <c r="AG71" s="25" t="n">
        <v>253.831265460578</v>
      </c>
      <c r="AH71" s="26" t="n">
        <v>0.0163</v>
      </c>
      <c r="AI71" s="24" t="n">
        <v>0.531604042350759</v>
      </c>
    </row>
    <row r="72" customFormat="false" ht="14.25" hidden="false" customHeight="false" outlineLevel="0" collapsed="false">
      <c r="A72" s="0" t="s">
        <v>38</v>
      </c>
      <c r="B72" s="1" t="n">
        <v>25</v>
      </c>
      <c r="C72" s="1" t="n">
        <v>4</v>
      </c>
      <c r="D72" s="2" t="n">
        <v>28.7</v>
      </c>
      <c r="E72" s="4" t="n">
        <v>2.69332921131829</v>
      </c>
      <c r="F72" s="1" t="n">
        <v>70</v>
      </c>
      <c r="G72" s="1" t="n">
        <v>90.5</v>
      </c>
      <c r="H72" s="3" t="n">
        <v>130.975130551886</v>
      </c>
      <c r="I72" s="1" t="n">
        <v>450</v>
      </c>
      <c r="J72" s="32" t="n">
        <v>359.5</v>
      </c>
      <c r="K72" s="25" t="n">
        <v>234</v>
      </c>
      <c r="L72" s="32" t="n">
        <v>215.5</v>
      </c>
      <c r="M72" s="4" t="n">
        <v>0.27</v>
      </c>
      <c r="N72" s="24" t="n">
        <v>0.107925994945012</v>
      </c>
      <c r="O72" s="25" t="n">
        <v>120.90671371296</v>
      </c>
      <c r="P72" s="25" t="n">
        <v>69.0558452701</v>
      </c>
      <c r="Q72" s="26" t="n">
        <v>0.0527679417075151</v>
      </c>
      <c r="R72" s="24" t="n">
        <v>0.399725907203747</v>
      </c>
      <c r="S72" s="4" t="n">
        <v>0.106297702576725</v>
      </c>
      <c r="T72" s="25" t="n">
        <v>120.90671371296</v>
      </c>
      <c r="U72" s="25" t="n">
        <v>121</v>
      </c>
      <c r="V72" s="26" t="n">
        <v>0.0260391117003646</v>
      </c>
      <c r="W72" s="24" t="n">
        <f aca="false">(I72-H72)/(J72-H72)</f>
        <v>1.39601816738177</v>
      </c>
      <c r="X72" s="24" t="n">
        <f aca="false">0.5*(1+(I72-K72-L72)/(I72-K72))</f>
        <v>0.501157407407407</v>
      </c>
      <c r="Y72" s="24" t="n">
        <v>0.393695194728611</v>
      </c>
      <c r="Z72" s="24" t="n">
        <v>0.126577503015513</v>
      </c>
      <c r="AA72" s="25" t="n">
        <v>120.90671371296</v>
      </c>
      <c r="AB72" s="25" t="n">
        <v>69.0558452701</v>
      </c>
      <c r="AC72" s="26" t="n">
        <v>0.0527679417075151</v>
      </c>
      <c r="AD72" s="24" t="n">
        <v>0.468805566724121</v>
      </c>
      <c r="AE72" s="24" t="n">
        <v>0.163604172470817</v>
      </c>
      <c r="AF72" s="24" t="n">
        <v>0.0797406063526139</v>
      </c>
      <c r="AG72" s="25" t="n">
        <v>126.915632730289</v>
      </c>
      <c r="AH72" s="26" t="n">
        <v>0.0163</v>
      </c>
      <c r="AI72" s="24" t="n">
        <v>0.295335579083755</v>
      </c>
    </row>
    <row r="73" customFormat="false" ht="14.25" hidden="false" customHeight="false" outlineLevel="0" collapsed="false">
      <c r="B73" s="1" t="n">
        <v>25</v>
      </c>
      <c r="C73" s="1" t="n">
        <v>4</v>
      </c>
      <c r="D73" s="2" t="n">
        <v>28.7</v>
      </c>
      <c r="E73" s="4" t="n">
        <v>2.69332921131829</v>
      </c>
      <c r="F73" s="1" t="n">
        <v>70</v>
      </c>
      <c r="G73" s="1" t="n">
        <v>90.5</v>
      </c>
      <c r="H73" s="3" t="n">
        <v>130.975130551886</v>
      </c>
      <c r="I73" s="1" t="n">
        <v>450</v>
      </c>
      <c r="J73" s="32" t="n">
        <v>359.5</v>
      </c>
      <c r="K73" s="25" t="n">
        <v>234</v>
      </c>
      <c r="L73" s="32" t="n">
        <v>215.5</v>
      </c>
      <c r="M73" s="4" t="n">
        <v>0.59</v>
      </c>
      <c r="N73" s="24" t="n">
        <v>0.272119412315751</v>
      </c>
      <c r="O73" s="25" t="n">
        <v>241.81342742592</v>
      </c>
      <c r="P73" s="25" t="n">
        <v>69.0558452701</v>
      </c>
      <c r="Q73" s="26" t="n">
        <v>0.0527679417075151</v>
      </c>
      <c r="R73" s="24" t="n">
        <v>0.461219342908053</v>
      </c>
      <c r="S73" s="4" t="n">
        <v>0.371327050375408</v>
      </c>
      <c r="T73" s="25" t="n">
        <v>241.81342742592</v>
      </c>
      <c r="U73" s="25" t="n">
        <v>121</v>
      </c>
      <c r="V73" s="26" t="n">
        <v>0.0260391117003646</v>
      </c>
      <c r="W73" s="24" t="n">
        <f aca="false">(I73-H73)/(J73-H73)</f>
        <v>1.39601816738177</v>
      </c>
      <c r="X73" s="24" t="n">
        <f aca="false">0.5*(1+(I73-K73-L73)/(I73-K73))</f>
        <v>0.501157407407407</v>
      </c>
      <c r="Y73" s="24" t="n">
        <v>0.629367881992216</v>
      </c>
      <c r="Z73" s="24" t="n">
        <v>0.319146427610196</v>
      </c>
      <c r="AA73" s="25" t="n">
        <v>241.81342742592</v>
      </c>
      <c r="AB73" s="25" t="n">
        <v>69.0558452701</v>
      </c>
      <c r="AC73" s="26" t="n">
        <v>0.0527679417075151</v>
      </c>
      <c r="AD73" s="24" t="n">
        <v>0.540926148491857</v>
      </c>
      <c r="AE73" s="24" t="n">
        <v>0.327208344941633</v>
      </c>
      <c r="AF73" s="24" t="n">
        <v>0.318962425410456</v>
      </c>
      <c r="AG73" s="25" t="n">
        <v>253.831265460578</v>
      </c>
      <c r="AH73" s="26" t="n">
        <v>0.0163</v>
      </c>
      <c r="AI73" s="24" t="n">
        <v>0.540614280356704</v>
      </c>
    </row>
    <row r="74" customFormat="false" ht="14.25" hidden="false" customHeight="false" outlineLevel="0" collapsed="false">
      <c r="A74" s="0" t="s">
        <v>39</v>
      </c>
      <c r="B74" s="1" t="n">
        <v>9.52</v>
      </c>
      <c r="C74" s="1" t="n">
        <v>3</v>
      </c>
      <c r="D74" s="2" t="n">
        <v>22.2</v>
      </c>
      <c r="E74" s="4" t="n">
        <v>3.56416000199951</v>
      </c>
      <c r="F74" s="1" t="n">
        <v>20.64</v>
      </c>
      <c r="G74" s="1" t="n">
        <v>25.4</v>
      </c>
      <c r="H74" s="3" t="n">
        <v>56.390968153099</v>
      </c>
      <c r="I74" s="1" t="n">
        <v>228.6</v>
      </c>
      <c r="J74" s="32" t="n">
        <v>203.2</v>
      </c>
      <c r="K74" s="25" t="n">
        <v>118</v>
      </c>
      <c r="L74" s="32" t="n">
        <v>73</v>
      </c>
      <c r="M74" s="4" t="n">
        <v>0.15</v>
      </c>
      <c r="N74" s="24" t="n">
        <v>0.133293814927704</v>
      </c>
      <c r="O74" s="25" t="n">
        <v>295.47063165326</v>
      </c>
      <c r="P74" s="25" t="n">
        <v>130.564029483945</v>
      </c>
      <c r="Q74" s="26" t="n">
        <v>0.0324485100999475</v>
      </c>
      <c r="R74" s="24" t="n">
        <v>0.888625432851363</v>
      </c>
      <c r="S74" s="4" t="n">
        <v>0.123662143998871</v>
      </c>
      <c r="T74" s="25" t="n">
        <v>295.47063165326</v>
      </c>
      <c r="U74" s="25" t="n">
        <v>160</v>
      </c>
      <c r="V74" s="26" t="n">
        <v>0.0255156461606683</v>
      </c>
      <c r="W74" s="24" t="n">
        <f aca="false">(I74-H74)/(J74-H74)</f>
        <v>1.17301387850911</v>
      </c>
      <c r="X74" s="24" t="n">
        <f aca="false">0.5*(1+(I74-K74-L74)/(I74-K74))</f>
        <v>0.66998191681736</v>
      </c>
      <c r="Y74" s="24" t="n">
        <v>0.824414293325805</v>
      </c>
      <c r="Z74" s="24" t="n">
        <v>0.130335719526347</v>
      </c>
      <c r="AA74" s="25" t="n">
        <v>295.47063165326</v>
      </c>
      <c r="AB74" s="25" t="n">
        <v>130.564029483945</v>
      </c>
      <c r="AC74" s="26" t="n">
        <v>0.0324485100999475</v>
      </c>
      <c r="AD74" s="24" t="n">
        <v>0.868904796842313</v>
      </c>
      <c r="AE74" s="24" t="n">
        <v>0.141337500027187</v>
      </c>
      <c r="AF74" s="24" t="n">
        <v>0.136848304829132</v>
      </c>
      <c r="AG74" s="25" t="n">
        <v>309.942026977108</v>
      </c>
      <c r="AH74" s="26" t="n">
        <v>0.0178</v>
      </c>
      <c r="AI74" s="24" t="n">
        <v>0.912322032194212</v>
      </c>
    </row>
    <row r="75" customFormat="false" ht="14.25" hidden="false" customHeight="false" outlineLevel="0" collapsed="false">
      <c r="B75" s="1" t="n">
        <v>9.52</v>
      </c>
      <c r="C75" s="1" t="n">
        <v>3</v>
      </c>
      <c r="D75" s="2" t="n">
        <v>22.2</v>
      </c>
      <c r="E75" s="4" t="n">
        <v>3.56416000199951</v>
      </c>
      <c r="F75" s="1" t="n">
        <v>20.64</v>
      </c>
      <c r="G75" s="1" t="n">
        <v>25.4</v>
      </c>
      <c r="H75" s="3" t="n">
        <v>56.390968153099</v>
      </c>
      <c r="I75" s="1" t="n">
        <v>228.6</v>
      </c>
      <c r="J75" s="32" t="n">
        <v>203.2</v>
      </c>
      <c r="K75" s="25" t="n">
        <v>118</v>
      </c>
      <c r="L75" s="32" t="n">
        <v>73</v>
      </c>
      <c r="M75" s="4" t="n">
        <v>0.17</v>
      </c>
      <c r="N75" s="24" t="n">
        <v>0.163003337276488</v>
      </c>
      <c r="O75" s="25" t="n">
        <v>343.866683389569</v>
      </c>
      <c r="P75" s="25" t="n">
        <v>130.564029483945</v>
      </c>
      <c r="Q75" s="26" t="n">
        <v>0.0324485100999475</v>
      </c>
      <c r="R75" s="24" t="n">
        <v>0.958843160449926</v>
      </c>
      <c r="S75" s="4" t="n">
        <v>0.153702296183471</v>
      </c>
      <c r="T75" s="25" t="n">
        <v>343.866683389569</v>
      </c>
      <c r="U75" s="25" t="n">
        <v>160</v>
      </c>
      <c r="V75" s="26" t="n">
        <v>0.0255156461606683</v>
      </c>
      <c r="W75" s="24" t="n">
        <f aca="false">(I75-H75)/(J75-H75)</f>
        <v>1.17301387850911</v>
      </c>
      <c r="X75" s="24" t="n">
        <f aca="false">0.5*(1+(I75-K75-L75)/(I75-K75))</f>
        <v>0.66998191681736</v>
      </c>
      <c r="Y75" s="24" t="n">
        <v>0.904131154020415</v>
      </c>
      <c r="Z75" s="24" t="n">
        <v>0.159385919449073</v>
      </c>
      <c r="AA75" s="25" t="n">
        <v>343.866683389569</v>
      </c>
      <c r="AB75" s="25" t="n">
        <v>130.564029483945</v>
      </c>
      <c r="AC75" s="26" t="n">
        <v>0.0324485100999475</v>
      </c>
      <c r="AD75" s="24" t="n">
        <v>0.937564232053373</v>
      </c>
      <c r="AE75" s="24" t="n">
        <v>0.16448760779026</v>
      </c>
      <c r="AF75" s="24" t="n">
        <v>0.185349312983868</v>
      </c>
      <c r="AG75" s="25" t="n">
        <v>360.708393464738</v>
      </c>
      <c r="AH75" s="26" t="n">
        <v>0.0178</v>
      </c>
      <c r="AI75" s="24" t="n">
        <v>0.96757416347212</v>
      </c>
    </row>
    <row r="76" customFormat="false" ht="14.25" hidden="false" customHeight="false" outlineLevel="0" collapsed="false">
      <c r="A76" s="0" t="s">
        <v>40</v>
      </c>
      <c r="B76" s="1" t="n">
        <v>12.7</v>
      </c>
      <c r="C76" s="1" t="n">
        <v>3</v>
      </c>
      <c r="D76" s="2" t="n">
        <v>19.05</v>
      </c>
      <c r="E76" s="4" t="n">
        <v>3.97660816382294</v>
      </c>
      <c r="F76" s="1" t="n">
        <v>19.05</v>
      </c>
      <c r="G76" s="1" t="n">
        <v>25.4</v>
      </c>
      <c r="H76" s="3" t="n">
        <v>70.3736575776165</v>
      </c>
      <c r="I76" s="1" t="n">
        <v>228.6</v>
      </c>
      <c r="J76" s="32" t="n">
        <v>203.2</v>
      </c>
      <c r="K76" s="25" t="n">
        <v>120</v>
      </c>
      <c r="L76" s="32" t="n">
        <v>88.9</v>
      </c>
      <c r="M76" s="4" t="n">
        <v>0.15</v>
      </c>
      <c r="N76" s="24" t="n">
        <v>0.117678130194578</v>
      </c>
      <c r="O76" s="25" t="n">
        <v>303.256025231297</v>
      </c>
      <c r="P76" s="25" t="n">
        <v>83.8187090455694</v>
      </c>
      <c r="Q76" s="26" t="n">
        <v>0.0642124745559393</v>
      </c>
      <c r="R76" s="24" t="n">
        <v>0.784520867963852</v>
      </c>
      <c r="S76" s="4" t="n">
        <v>0.122571018889015</v>
      </c>
      <c r="T76" s="25" t="n">
        <v>303.256025231297</v>
      </c>
      <c r="U76" s="25" t="n">
        <v>126</v>
      </c>
      <c r="V76" s="26" t="n">
        <v>0.0380956317468191</v>
      </c>
      <c r="W76" s="24" t="n">
        <f aca="false">(I76-H76)/(J76-H76)</f>
        <v>1.19122712811913</v>
      </c>
      <c r="X76" s="24" t="n">
        <f aca="false">0.5*(1+(I76-K76-L76)/(I76-K76))</f>
        <v>0.590699815837937</v>
      </c>
      <c r="Y76" s="24" t="n">
        <v>0.817140125926767</v>
      </c>
      <c r="Z76" s="24" t="n">
        <v>0.124449511945649</v>
      </c>
      <c r="AA76" s="25" t="n">
        <v>303.256025231297</v>
      </c>
      <c r="AB76" s="25" t="n">
        <v>83.8187090455694</v>
      </c>
      <c r="AC76" s="26" t="n">
        <v>0.0642124745559393</v>
      </c>
      <c r="AD76" s="24" t="n">
        <v>0.829663412970991</v>
      </c>
      <c r="AE76" s="24" t="n">
        <v>0.146986108925762</v>
      </c>
      <c r="AF76" s="24" t="n">
        <v>0.17649154312757</v>
      </c>
      <c r="AG76" s="25" t="n">
        <v>321.897145575639</v>
      </c>
      <c r="AH76" s="26" t="n">
        <v>0.0254</v>
      </c>
      <c r="AI76" s="24" t="n">
        <v>0.979907392838412</v>
      </c>
    </row>
    <row r="77" customFormat="false" ht="14.25" hidden="false" customHeight="false" outlineLevel="0" collapsed="false">
      <c r="B77" s="1" t="n">
        <v>12.7</v>
      </c>
      <c r="C77" s="1" t="n">
        <v>3</v>
      </c>
      <c r="D77" s="2" t="n">
        <v>19.05</v>
      </c>
      <c r="E77" s="4" t="n">
        <v>3.97660816382294</v>
      </c>
      <c r="F77" s="1" t="n">
        <v>19.05</v>
      </c>
      <c r="G77" s="1" t="n">
        <v>25.4</v>
      </c>
      <c r="H77" s="3" t="n">
        <v>70.3736575776165</v>
      </c>
      <c r="I77" s="1" t="n">
        <v>228.6</v>
      </c>
      <c r="J77" s="32" t="n">
        <v>203.2</v>
      </c>
      <c r="K77" s="25" t="n">
        <v>120</v>
      </c>
      <c r="L77" s="32" t="n">
        <v>88.9</v>
      </c>
      <c r="M77" s="4" t="n">
        <v>0.17</v>
      </c>
      <c r="N77" s="24" t="n">
        <v>0.13840455251525</v>
      </c>
      <c r="O77" s="25" t="n">
        <v>347.810227990398</v>
      </c>
      <c r="P77" s="25" t="n">
        <v>83.8187090455694</v>
      </c>
      <c r="Q77" s="26" t="n">
        <v>0.0642124745559393</v>
      </c>
      <c r="R77" s="24" t="n">
        <v>0.814144426560293</v>
      </c>
      <c r="S77" s="4" t="n">
        <v>0.146576579413367</v>
      </c>
      <c r="T77" s="25" t="n">
        <v>347.810227990398</v>
      </c>
      <c r="U77" s="25" t="n">
        <v>126</v>
      </c>
      <c r="V77" s="26" t="n">
        <v>0.0380956317468191</v>
      </c>
      <c r="W77" s="24" t="n">
        <f aca="false">(I77-H77)/(J77-H77)</f>
        <v>1.19122712811913</v>
      </c>
      <c r="X77" s="24" t="n">
        <f aca="false">0.5*(1+(I77-K77-L77)/(I77-K77))</f>
        <v>0.590699815837937</v>
      </c>
      <c r="Y77" s="24" t="n">
        <v>0.862215173019806</v>
      </c>
      <c r="Z77" s="24" t="n">
        <v>0.146368564686562</v>
      </c>
      <c r="AA77" s="25" t="n">
        <v>347.810227990398</v>
      </c>
      <c r="AB77" s="25" t="n">
        <v>83.8187090455694</v>
      </c>
      <c r="AC77" s="26" t="n">
        <v>0.0642124745559393</v>
      </c>
      <c r="AD77" s="24" t="n">
        <v>0.860991556979777</v>
      </c>
      <c r="AE77" s="24" t="n">
        <v>0.168581224455139</v>
      </c>
      <c r="AF77" s="24" t="n">
        <v>0.232161243721457</v>
      </c>
      <c r="AG77" s="25" t="n">
        <v>369.190091134146</v>
      </c>
      <c r="AH77" s="26" t="n">
        <v>0.0254</v>
      </c>
      <c r="AI77" s="24" t="n">
        <v>0.991654261500818</v>
      </c>
    </row>
    <row r="78" customFormat="false" ht="14.25" hidden="false" customHeight="false" outlineLevel="0" collapsed="false">
      <c r="B78" s="1" t="n">
        <v>12.7</v>
      </c>
      <c r="C78" s="1" t="n">
        <v>3</v>
      </c>
      <c r="D78" s="2" t="n">
        <v>19.05</v>
      </c>
      <c r="E78" s="4" t="n">
        <v>3.97660816382294</v>
      </c>
      <c r="F78" s="1" t="n">
        <v>19.05</v>
      </c>
      <c r="G78" s="1" t="n">
        <v>25.4</v>
      </c>
      <c r="H78" s="3" t="n">
        <v>70.3736575776165</v>
      </c>
      <c r="I78" s="1" t="n">
        <v>228.6</v>
      </c>
      <c r="J78" s="32" t="n">
        <v>203.2</v>
      </c>
      <c r="K78" s="25" t="n">
        <v>120</v>
      </c>
      <c r="L78" s="32" t="n">
        <v>88.9</v>
      </c>
      <c r="M78" s="4" t="n">
        <v>0.2</v>
      </c>
      <c r="N78" s="24" t="n">
        <v>0.167822700325236</v>
      </c>
      <c r="O78" s="25" t="n">
        <v>411.048451261379</v>
      </c>
      <c r="P78" s="25" t="n">
        <v>83.8187090455694</v>
      </c>
      <c r="Q78" s="26" t="n">
        <v>0.0642124745559393</v>
      </c>
      <c r="R78" s="24" t="n">
        <v>0.83911350162618</v>
      </c>
      <c r="S78" s="4" t="n">
        <v>0.180648987899544</v>
      </c>
      <c r="T78" s="25" t="n">
        <v>411.048451261379</v>
      </c>
      <c r="U78" s="25" t="n">
        <v>126</v>
      </c>
      <c r="V78" s="26" t="n">
        <v>0.0380956317468191</v>
      </c>
      <c r="W78" s="24" t="n">
        <f aca="false">(I78-H78)/(J78-H78)</f>
        <v>1.19122712811913</v>
      </c>
      <c r="X78" s="24" t="n">
        <f aca="false">0.5*(1+(I78-K78-L78)/(I78-K78))</f>
        <v>0.590699815837937</v>
      </c>
      <c r="Y78" s="24" t="n">
        <v>0.903244939497721</v>
      </c>
      <c r="Z78" s="24" t="n">
        <v>0.17747947825431</v>
      </c>
      <c r="AA78" s="25" t="n">
        <v>411.048451261379</v>
      </c>
      <c r="AB78" s="25" t="n">
        <v>83.8187090455694</v>
      </c>
      <c r="AC78" s="26" t="n">
        <v>0.0642124745559393</v>
      </c>
      <c r="AD78" s="24" t="n">
        <v>0.887397391271552</v>
      </c>
      <c r="AE78" s="24" t="n">
        <v>0.198175013822205</v>
      </c>
      <c r="AF78" s="24" t="n">
        <v>0.320825668704265</v>
      </c>
      <c r="AG78" s="25" t="n">
        <v>434</v>
      </c>
      <c r="AH78" s="26" t="n">
        <v>0.0254</v>
      </c>
      <c r="AI78" s="24" t="n">
        <v>0.990875069111024</v>
      </c>
    </row>
    <row r="79" customFormat="false" ht="14.25" hidden="false" customHeight="false" outlineLevel="0" collapsed="false">
      <c r="A79" s="0" t="s">
        <v>41</v>
      </c>
      <c r="B79" s="1" t="n">
        <v>15.9</v>
      </c>
      <c r="C79" s="1" t="n">
        <v>3</v>
      </c>
      <c r="D79" s="2" t="n">
        <v>15.9</v>
      </c>
      <c r="E79" s="4" t="n">
        <v>3.97660816382294</v>
      </c>
      <c r="F79" s="1" t="n">
        <v>17.46</v>
      </c>
      <c r="G79" s="1" t="n">
        <v>25.4</v>
      </c>
      <c r="H79" s="3" t="n">
        <v>83.2568223624363</v>
      </c>
      <c r="I79" s="1" t="n">
        <v>228.6</v>
      </c>
      <c r="J79" s="32" t="n">
        <v>203.2</v>
      </c>
      <c r="K79" s="25" t="n">
        <v>123</v>
      </c>
      <c r="L79" s="32" t="n">
        <v>88.9</v>
      </c>
      <c r="M79" s="4" t="n">
        <v>0.16</v>
      </c>
      <c r="N79" s="24" t="n">
        <v>0.0963366191831329</v>
      </c>
      <c r="O79" s="25" t="n">
        <v>289.734922915654</v>
      </c>
      <c r="P79" s="25" t="n">
        <v>58.591082217381</v>
      </c>
      <c r="Q79" s="26" t="n">
        <v>0.108350675635655</v>
      </c>
      <c r="R79" s="24" t="n">
        <v>0.602103869894581</v>
      </c>
      <c r="S79" s="4" t="n">
        <v>0.111252068275181</v>
      </c>
      <c r="T79" s="25" t="n">
        <v>289.734922915654</v>
      </c>
      <c r="U79" s="25" t="n">
        <v>89</v>
      </c>
      <c r="V79" s="26" t="n">
        <v>0.0590477371430933</v>
      </c>
      <c r="W79" s="24" t="n">
        <f aca="false">(I79-H79)/(J79-H79)</f>
        <v>1.21176694248298</v>
      </c>
      <c r="X79" s="24" t="n">
        <f aca="false">0.5*(1+(I79-K79-L79)/(I79-K79))</f>
        <v>0.57907196969697</v>
      </c>
      <c r="Y79" s="24" t="n">
        <v>0.695325426719879</v>
      </c>
      <c r="Z79" s="24" t="n">
        <v>0.10731930169564</v>
      </c>
      <c r="AA79" s="25" t="n">
        <v>289.734922915654</v>
      </c>
      <c r="AB79" s="25" t="n">
        <v>58.591082217381</v>
      </c>
      <c r="AC79" s="26" t="n">
        <v>0.108350675635655</v>
      </c>
      <c r="AD79" s="24" t="n">
        <v>0.67074563559775</v>
      </c>
      <c r="AE79" s="24" t="n">
        <v>0.144641878913411</v>
      </c>
      <c r="AF79" s="24" t="n">
        <v>0.204135876154047</v>
      </c>
      <c r="AG79" s="25" t="n">
        <v>309.398456161179</v>
      </c>
      <c r="AH79" s="26" t="n">
        <v>0.0332</v>
      </c>
      <c r="AI79" s="24" t="n">
        <v>0.904011743208822</v>
      </c>
    </row>
    <row r="80" customFormat="false" ht="14.25" hidden="false" customHeight="false" outlineLevel="0" collapsed="false">
      <c r="B80" s="1" t="n">
        <v>15.9</v>
      </c>
      <c r="C80" s="1" t="n">
        <v>3</v>
      </c>
      <c r="D80" s="2" t="n">
        <v>15.9</v>
      </c>
      <c r="E80" s="4" t="n">
        <v>3.97660816382294</v>
      </c>
      <c r="F80" s="1" t="n">
        <v>17.46</v>
      </c>
      <c r="G80" s="1" t="n">
        <v>25.4</v>
      </c>
      <c r="H80" s="3" t="n">
        <v>83.2568223624363</v>
      </c>
      <c r="I80" s="1" t="n">
        <v>228.6</v>
      </c>
      <c r="J80" s="32" t="n">
        <v>203.2</v>
      </c>
      <c r="K80" s="25" t="n">
        <v>123</v>
      </c>
      <c r="L80" s="32" t="n">
        <v>88.9</v>
      </c>
      <c r="M80" s="4" t="n">
        <v>0.21</v>
      </c>
      <c r="N80" s="24" t="n">
        <v>0.130486662894268</v>
      </c>
      <c r="O80" s="25" t="n">
        <v>379.980226774629</v>
      </c>
      <c r="P80" s="25" t="n">
        <v>58.591082217381</v>
      </c>
      <c r="Q80" s="26" t="n">
        <v>0.108350675635655</v>
      </c>
      <c r="R80" s="24" t="n">
        <v>0.621365061401275</v>
      </c>
      <c r="S80" s="4" t="n">
        <v>0.153759462873372</v>
      </c>
      <c r="T80" s="25" t="n">
        <v>379.980226774629</v>
      </c>
      <c r="U80" s="25" t="n">
        <v>89</v>
      </c>
      <c r="V80" s="26" t="n">
        <v>0.0590477371430933</v>
      </c>
      <c r="W80" s="24" t="n">
        <f aca="false">(I80-H80)/(J80-H80)</f>
        <v>1.21176694248298</v>
      </c>
      <c r="X80" s="24" t="n">
        <f aca="false">0.5*(1+(I80-K80-L80)/(I80-K80))</f>
        <v>0.57907196969697</v>
      </c>
      <c r="Y80" s="24" t="n">
        <v>0.732187918444626</v>
      </c>
      <c r="Z80" s="24" t="n">
        <v>0.145362559545364</v>
      </c>
      <c r="AA80" s="25" t="n">
        <v>379.980226774629</v>
      </c>
      <c r="AB80" s="25" t="n">
        <v>58.591082217381</v>
      </c>
      <c r="AC80" s="26" t="n">
        <v>0.108350675635655</v>
      </c>
      <c r="AD80" s="24" t="n">
        <v>0.692202664501733</v>
      </c>
      <c r="AE80" s="24" t="n">
        <v>0.189694267427425</v>
      </c>
      <c r="AF80" s="24" t="n">
        <v>0.351107123726391</v>
      </c>
      <c r="AG80" s="25" t="n">
        <v>405.768467096629</v>
      </c>
      <c r="AH80" s="26" t="n">
        <v>0.0332</v>
      </c>
      <c r="AI80" s="24" t="n">
        <v>0.90330603536869</v>
      </c>
    </row>
    <row r="81" customFormat="false" ht="14.25" hidden="false" customHeight="false" outlineLevel="0" collapsed="false">
      <c r="A81" s="0" t="s">
        <v>42</v>
      </c>
      <c r="B81" s="1" t="n">
        <v>16</v>
      </c>
      <c r="C81" s="1" t="n">
        <v>2</v>
      </c>
      <c r="D81" s="2" t="n">
        <v>138</v>
      </c>
      <c r="E81" s="4" t="n">
        <v>3.269</v>
      </c>
      <c r="F81" s="1" t="n">
        <v>40</v>
      </c>
      <c r="G81" s="1" t="n">
        <v>48</v>
      </c>
      <c r="H81" s="3" t="n">
        <v>73.3862853425291</v>
      </c>
      <c r="I81" s="1" t="n">
        <v>348</v>
      </c>
      <c r="J81" s="32" t="n">
        <v>300</v>
      </c>
      <c r="K81" s="25" t="n">
        <v>178</v>
      </c>
      <c r="L81" s="32" t="n">
        <v>128</v>
      </c>
      <c r="M81" s="4" t="n">
        <v>0.15</v>
      </c>
      <c r="N81" s="24" t="n">
        <v>0.0977633179023726</v>
      </c>
      <c r="O81" s="25" t="n">
        <v>185.273964470166</v>
      </c>
      <c r="P81" s="25" t="n">
        <v>211.30113906801</v>
      </c>
      <c r="Q81" s="26" t="n">
        <v>0.0174790978884179</v>
      </c>
      <c r="R81" s="24" t="n">
        <v>0.651755452682484</v>
      </c>
      <c r="S81" s="4" t="n">
        <v>0.122061551131185</v>
      </c>
      <c r="T81" s="25" t="n">
        <v>185.273964470166</v>
      </c>
      <c r="U81" s="25" t="n">
        <v>286</v>
      </c>
      <c r="V81" s="26" t="n">
        <v>0.0125</v>
      </c>
      <c r="W81" s="24" t="n">
        <f aca="false">(I81-H81)/(J81-H81)</f>
        <v>1.21181418817724</v>
      </c>
      <c r="X81" s="24" t="n">
        <f aca="false">0.5*(1+(I81-K81-L81)/(I81-K81))</f>
        <v>0.623529411764706</v>
      </c>
      <c r="Y81" s="24" t="n">
        <v>0.813743674207898</v>
      </c>
      <c r="Z81" s="24" t="n">
        <v>0.162085689245024</v>
      </c>
      <c r="AA81" s="25" t="n">
        <v>185.273964470166</v>
      </c>
      <c r="AB81" s="25" t="n">
        <v>211.30113906801</v>
      </c>
      <c r="AC81" s="26" t="n">
        <v>0.0174790978884179</v>
      </c>
      <c r="AD81" s="24" t="n">
        <v>1.08057126163349</v>
      </c>
      <c r="AE81" s="24" t="n">
        <v>0.251489698791037</v>
      </c>
      <c r="AF81" s="24" t="n">
        <v>0.0952789313462403</v>
      </c>
      <c r="AG81" s="25" t="n">
        <v>191.049780787031</v>
      </c>
      <c r="AH81" s="26" t="n">
        <v>0.0096</v>
      </c>
      <c r="AI81" s="24" t="n">
        <v>0.635192875641602</v>
      </c>
    </row>
    <row r="82" customFormat="false" ht="14.25" hidden="false" customHeight="false" outlineLevel="0" collapsed="false">
      <c r="B82" s="1" t="n">
        <v>16</v>
      </c>
      <c r="C82" s="1" t="n">
        <v>2</v>
      </c>
      <c r="D82" s="2" t="n">
        <v>138</v>
      </c>
      <c r="E82" s="4" t="n">
        <v>3.269</v>
      </c>
      <c r="F82" s="1" t="n">
        <v>40</v>
      </c>
      <c r="G82" s="1" t="n">
        <v>48</v>
      </c>
      <c r="H82" s="3" t="n">
        <v>73.3862853425291</v>
      </c>
      <c r="I82" s="1" t="n">
        <v>348</v>
      </c>
      <c r="J82" s="32" t="n">
        <v>300</v>
      </c>
      <c r="K82" s="25" t="n">
        <v>178</v>
      </c>
      <c r="L82" s="32" t="n">
        <v>128</v>
      </c>
      <c r="M82" s="4" t="n">
        <v>0.2</v>
      </c>
      <c r="N82" s="24" t="n">
        <v>0.142043710005398</v>
      </c>
      <c r="O82" s="25" t="n">
        <v>211.76759699969</v>
      </c>
      <c r="P82" s="25" t="n">
        <v>211.30113906801</v>
      </c>
      <c r="Q82" s="26" t="n">
        <v>0.0174790978884179</v>
      </c>
      <c r="R82" s="24" t="n">
        <v>0.71021855002699</v>
      </c>
      <c r="S82" s="4" t="n">
        <v>0.139515994290002</v>
      </c>
      <c r="T82" s="25" t="n">
        <v>211.76759699969</v>
      </c>
      <c r="U82" s="25" t="n">
        <v>286</v>
      </c>
      <c r="V82" s="26" t="n">
        <v>0.0125</v>
      </c>
      <c r="W82" s="24" t="n">
        <f aca="false">(I82-H82)/(J82-H82)</f>
        <v>1.21181418817724</v>
      </c>
      <c r="X82" s="24" t="n">
        <f aca="false">0.5*(1+(I82-K82-L82)/(I82-K82))</f>
        <v>0.623529411764706</v>
      </c>
      <c r="Y82" s="24" t="n">
        <v>0.697579971450012</v>
      </c>
      <c r="Z82" s="24" t="n">
        <v>0.185263466551364</v>
      </c>
      <c r="AA82" s="25" t="n">
        <v>211.76759699969</v>
      </c>
      <c r="AB82" s="25" t="n">
        <v>211.30113906801</v>
      </c>
      <c r="AC82" s="26" t="n">
        <v>0.0174790978884179</v>
      </c>
      <c r="AD82" s="24" t="n">
        <v>0.926317332756822</v>
      </c>
      <c r="AE82" s="24" t="n">
        <v>0.287451986767032</v>
      </c>
      <c r="AF82" s="24" t="n">
        <v>0.124476424595924</v>
      </c>
      <c r="AG82" s="25" t="n">
        <v>218.36933807881</v>
      </c>
      <c r="AH82" s="26" t="n">
        <v>0.0096</v>
      </c>
      <c r="AI82" s="24" t="n">
        <v>0.622382122979621</v>
      </c>
    </row>
    <row r="83" customFormat="false" ht="14.25" hidden="false" customHeight="false" outlineLevel="0" collapsed="false">
      <c r="B83" s="1" t="n">
        <v>16</v>
      </c>
      <c r="C83" s="1" t="n">
        <v>2</v>
      </c>
      <c r="D83" s="2" t="n">
        <v>138</v>
      </c>
      <c r="E83" s="4" t="n">
        <v>3.269</v>
      </c>
      <c r="F83" s="1" t="n">
        <v>40</v>
      </c>
      <c r="G83" s="1" t="n">
        <v>48</v>
      </c>
      <c r="H83" s="3" t="n">
        <v>73.3862853425291</v>
      </c>
      <c r="I83" s="1" t="n">
        <v>348</v>
      </c>
      <c r="J83" s="32" t="n">
        <v>300</v>
      </c>
      <c r="K83" s="25" t="n">
        <v>178</v>
      </c>
      <c r="L83" s="32" t="n">
        <v>128</v>
      </c>
      <c r="M83" s="4" t="n">
        <v>0.25</v>
      </c>
      <c r="N83" s="24" t="n">
        <v>0.186324102108424</v>
      </c>
      <c r="O83" s="25" t="n">
        <v>238.261229529214</v>
      </c>
      <c r="P83" s="25" t="n">
        <v>211.30113906801</v>
      </c>
      <c r="Q83" s="26" t="n">
        <v>0.0174790978884179</v>
      </c>
      <c r="R83" s="24" t="n">
        <v>0.745296408433695</v>
      </c>
      <c r="S83" s="4" t="n">
        <v>0.15697043744882</v>
      </c>
      <c r="T83" s="25" t="n">
        <v>238.261229529214</v>
      </c>
      <c r="U83" s="25" t="n">
        <v>286</v>
      </c>
      <c r="V83" s="26" t="n">
        <v>0.0125</v>
      </c>
      <c r="W83" s="24" t="n">
        <f aca="false">(I83-H83)/(J83-H83)</f>
        <v>1.21181418817724</v>
      </c>
      <c r="X83" s="24" t="n">
        <f aca="false">0.5*(1+(I83-K83-L83)/(I83-K83))</f>
        <v>0.623529411764706</v>
      </c>
      <c r="Y83" s="24" t="n">
        <v>0.627881749795281</v>
      </c>
      <c r="Z83" s="24" t="n">
        <v>0.208441243857705</v>
      </c>
      <c r="AA83" s="25" t="n">
        <v>238.261229529214</v>
      </c>
      <c r="AB83" s="25" t="n">
        <v>211.30113906801</v>
      </c>
      <c r="AC83" s="26" t="n">
        <v>0.0174790978884179</v>
      </c>
      <c r="AD83" s="24" t="n">
        <v>0.833764975430819</v>
      </c>
      <c r="AE83" s="24" t="n">
        <v>0.323414274743028</v>
      </c>
      <c r="AF83" s="24" t="n">
        <v>0.157570475445657</v>
      </c>
      <c r="AG83" s="25" t="n">
        <v>245.688895370589</v>
      </c>
      <c r="AH83" s="26" t="n">
        <v>0.0096</v>
      </c>
      <c r="AI83" s="24" t="n">
        <v>0.63028190178263</v>
      </c>
    </row>
    <row r="84" customFormat="false" ht="14.25" hidden="false" customHeight="false" outlineLevel="0" collapsed="false">
      <c r="B84" s="1" t="n">
        <v>16</v>
      </c>
      <c r="C84" s="1" t="n">
        <v>2</v>
      </c>
      <c r="D84" s="2" t="n">
        <v>138</v>
      </c>
      <c r="E84" s="4" t="n">
        <v>3.269</v>
      </c>
      <c r="F84" s="1" t="n">
        <v>40</v>
      </c>
      <c r="G84" s="1" t="n">
        <v>48</v>
      </c>
      <c r="H84" s="3" t="n">
        <v>73.3862853425291</v>
      </c>
      <c r="I84" s="1" t="n">
        <v>348</v>
      </c>
      <c r="J84" s="32" t="n">
        <v>300</v>
      </c>
      <c r="K84" s="25" t="n">
        <v>178</v>
      </c>
      <c r="L84" s="32" t="n">
        <v>128</v>
      </c>
      <c r="M84" s="4" t="n">
        <v>0.28</v>
      </c>
      <c r="N84" s="24" t="n">
        <v>0.230528671622232</v>
      </c>
      <c r="O84" s="25" t="n">
        <v>264.709496249612</v>
      </c>
      <c r="P84" s="25" t="n">
        <v>211.30113906801</v>
      </c>
      <c r="Q84" s="26" t="n">
        <v>0.0174790978884179</v>
      </c>
      <c r="R84" s="24" t="n">
        <v>0.823316684365114</v>
      </c>
      <c r="S84" s="4" t="n">
        <v>0.174394992862503</v>
      </c>
      <c r="T84" s="25" t="n">
        <v>264.709496249612</v>
      </c>
      <c r="U84" s="25" t="n">
        <v>286</v>
      </c>
      <c r="V84" s="26" t="n">
        <v>0.0125</v>
      </c>
      <c r="W84" s="24" t="n">
        <f aca="false">(I84-H84)/(J84-H84)</f>
        <v>1.21181418817724</v>
      </c>
      <c r="X84" s="24" t="n">
        <f aca="false">0.5*(1+(I84-K84-L84)/(I84-K84))</f>
        <v>0.623529411764706</v>
      </c>
      <c r="Y84" s="24" t="n">
        <v>0.622839260223225</v>
      </c>
      <c r="Z84" s="24" t="n">
        <v>0.231579333189206</v>
      </c>
      <c r="AA84" s="25" t="n">
        <v>264.709496249612</v>
      </c>
      <c r="AB84" s="25" t="n">
        <v>211.30113906801</v>
      </c>
      <c r="AC84" s="26" t="n">
        <v>0.0174790978884179</v>
      </c>
      <c r="AD84" s="24" t="n">
        <v>0.827069047104305</v>
      </c>
      <c r="AE84" s="24" t="n">
        <v>0.35931498345879</v>
      </c>
      <c r="AF84" s="24" t="n">
        <v>0.194494413431132</v>
      </c>
      <c r="AG84" s="25" t="n">
        <v>272.961672598513</v>
      </c>
      <c r="AH84" s="26" t="n">
        <v>0.0096</v>
      </c>
      <c r="AI84" s="24" t="n">
        <v>0.694622905111184</v>
      </c>
    </row>
    <row r="85" customFormat="false" ht="14.25" hidden="false" customHeight="false" outlineLevel="0" collapsed="false">
      <c r="B85" s="1" t="n">
        <v>16</v>
      </c>
      <c r="C85" s="1" t="n">
        <v>2</v>
      </c>
      <c r="D85" s="2" t="n">
        <v>138</v>
      </c>
      <c r="E85" s="4" t="n">
        <v>3.269</v>
      </c>
      <c r="F85" s="1" t="n">
        <v>40</v>
      </c>
      <c r="G85" s="1" t="n">
        <v>48</v>
      </c>
      <c r="H85" s="3" t="n">
        <v>73.3862853425291</v>
      </c>
      <c r="I85" s="1" t="n">
        <v>348</v>
      </c>
      <c r="J85" s="32" t="n">
        <v>300</v>
      </c>
      <c r="K85" s="25" t="n">
        <v>178</v>
      </c>
      <c r="L85" s="32" t="n">
        <v>128</v>
      </c>
      <c r="M85" s="4" t="n">
        <v>0.28</v>
      </c>
      <c r="N85" s="24" t="n">
        <v>0.27473324113604</v>
      </c>
      <c r="O85" s="25" t="n">
        <v>291.157762970011</v>
      </c>
      <c r="P85" s="25" t="n">
        <v>211.30113906801</v>
      </c>
      <c r="Q85" s="26" t="n">
        <v>0.0174790978884179</v>
      </c>
      <c r="R85" s="24" t="n">
        <v>0.981190146914429</v>
      </c>
      <c r="S85" s="4" t="n">
        <v>0.197116438963645</v>
      </c>
      <c r="T85" s="25" t="n">
        <v>291.157762970011</v>
      </c>
      <c r="U85" s="25" t="n">
        <v>286</v>
      </c>
      <c r="V85" s="26" t="n">
        <v>0.0125</v>
      </c>
      <c r="W85" s="24" t="n">
        <f aca="false">(I85-H85)/(J85-H85)</f>
        <v>1.21181418817724</v>
      </c>
      <c r="X85" s="24" t="n">
        <f aca="false">0.5*(1+(I85-K85-L85)/(I85-K85))</f>
        <v>0.623529411764706</v>
      </c>
      <c r="Y85" s="24" t="n">
        <v>0.703987282013016</v>
      </c>
      <c r="Z85" s="24" t="n">
        <v>0.254717422520706</v>
      </c>
      <c r="AA85" s="25" t="n">
        <v>291.157762970011</v>
      </c>
      <c r="AB85" s="25" t="n">
        <v>211.30113906801</v>
      </c>
      <c r="AC85" s="26" t="n">
        <v>0.0174790978884179</v>
      </c>
      <c r="AD85" s="24" t="n">
        <v>0.909705080431094</v>
      </c>
      <c r="AE85" s="24" t="n">
        <v>0.395215692174553</v>
      </c>
      <c r="AF85" s="24" t="n">
        <v>0.235301576066291</v>
      </c>
      <c r="AG85" s="25" t="n">
        <v>300.234449826436</v>
      </c>
      <c r="AH85" s="26" t="n">
        <v>0.0096</v>
      </c>
      <c r="AI85" s="24" t="n">
        <v>0.840362771665326</v>
      </c>
    </row>
    <row r="86" customFormat="false" ht="14.25" hidden="false" customHeight="false" outlineLevel="0" collapsed="false">
      <c r="B86" s="1" t="n">
        <v>16</v>
      </c>
      <c r="C86" s="1" t="n">
        <v>2</v>
      </c>
      <c r="D86" s="2" t="n">
        <v>138</v>
      </c>
      <c r="E86" s="4" t="n">
        <v>3.269</v>
      </c>
      <c r="F86" s="1" t="n">
        <v>40</v>
      </c>
      <c r="G86" s="1" t="n">
        <v>48</v>
      </c>
      <c r="H86" s="3" t="n">
        <v>73.3862853425291</v>
      </c>
      <c r="I86" s="1" t="n">
        <v>348</v>
      </c>
      <c r="J86" s="32" t="n">
        <v>300</v>
      </c>
      <c r="K86" s="25" t="n">
        <v>178</v>
      </c>
      <c r="L86" s="32" t="n">
        <v>128</v>
      </c>
      <c r="M86" s="4" t="n">
        <v>0.3</v>
      </c>
      <c r="N86" s="24" t="n">
        <v>0.319013633239066</v>
      </c>
      <c r="O86" s="25" t="n">
        <v>317.651395499535</v>
      </c>
      <c r="P86" s="25" t="n">
        <v>211.30113906801</v>
      </c>
      <c r="Q86" s="26" t="n">
        <v>0.0174790978884179</v>
      </c>
      <c r="R86" s="24" t="n">
        <v>1.06337877746355</v>
      </c>
      <c r="S86" s="4" t="n">
        <v>0.240752546860689</v>
      </c>
      <c r="T86" s="25" t="n">
        <v>317.651395499535</v>
      </c>
      <c r="U86" s="25" t="n">
        <v>286</v>
      </c>
      <c r="V86" s="26" t="n">
        <v>0.0125</v>
      </c>
      <c r="W86" s="24" t="n">
        <f aca="false">(I86-H86)/(J86-H86)</f>
        <v>1.21181418817724</v>
      </c>
      <c r="X86" s="24" t="n">
        <f aca="false">0.5*(1+(I86-K86-L86)/(I86-K86))</f>
        <v>0.623529411764706</v>
      </c>
      <c r="Y86" s="24" t="n">
        <v>0.80250848953563</v>
      </c>
      <c r="Z86" s="24" t="n">
        <v>0.278303277430267</v>
      </c>
      <c r="AA86" s="25" t="n">
        <v>317.651395499535</v>
      </c>
      <c r="AB86" s="25" t="n">
        <v>211.30113906801</v>
      </c>
      <c r="AC86" s="26" t="n">
        <v>0.0174790978884179</v>
      </c>
      <c r="AD86" s="24" t="n">
        <v>0.927677591434223</v>
      </c>
      <c r="AE86" s="24" t="n">
        <v>0.431177980150548</v>
      </c>
      <c r="AF86" s="24" t="n">
        <v>0.28007195534083</v>
      </c>
      <c r="AG86" s="25" t="n">
        <v>327.554007118215</v>
      </c>
      <c r="AH86" s="26" t="n">
        <v>0.0096</v>
      </c>
      <c r="AI86" s="24" t="n">
        <v>0.933573184469432</v>
      </c>
    </row>
    <row r="87" customFormat="false" ht="14.25" hidden="false" customHeight="false" outlineLevel="0" collapsed="false">
      <c r="B87" s="1" t="n">
        <v>16</v>
      </c>
      <c r="C87" s="1" t="n">
        <v>2</v>
      </c>
      <c r="D87" s="2" t="n">
        <v>138</v>
      </c>
      <c r="E87" s="4" t="n">
        <v>3.269</v>
      </c>
      <c r="F87" s="1" t="n">
        <v>40</v>
      </c>
      <c r="G87" s="1" t="n">
        <v>48</v>
      </c>
      <c r="H87" s="3" t="n">
        <v>73.3862853425291</v>
      </c>
      <c r="I87" s="1" t="n">
        <v>348</v>
      </c>
      <c r="J87" s="32" t="n">
        <v>300</v>
      </c>
      <c r="K87" s="25" t="n">
        <v>178</v>
      </c>
      <c r="L87" s="32" t="n">
        <v>128</v>
      </c>
      <c r="M87" s="4" t="n">
        <v>0.33</v>
      </c>
      <c r="N87" s="24" t="n">
        <v>0.363294025342091</v>
      </c>
      <c r="O87" s="25" t="n">
        <v>344.145028029059</v>
      </c>
      <c r="P87" s="25" t="n">
        <v>211.30113906801</v>
      </c>
      <c r="Q87" s="26" t="n">
        <v>0.0174790978884179</v>
      </c>
      <c r="R87" s="24" t="n">
        <v>1.10089098588513</v>
      </c>
      <c r="S87" s="4" t="n">
        <v>0.284388654757733</v>
      </c>
      <c r="T87" s="25" t="n">
        <v>344.145028029059</v>
      </c>
      <c r="U87" s="25" t="n">
        <v>286</v>
      </c>
      <c r="V87" s="26" t="n">
        <v>0.0125</v>
      </c>
      <c r="W87" s="24" t="n">
        <f aca="false">(I87-H87)/(J87-H87)</f>
        <v>1.21181418817724</v>
      </c>
      <c r="X87" s="24" t="n">
        <f aca="false">0.5*(1+(I87-K87-L87)/(I87-K87))</f>
        <v>0.623529411764706</v>
      </c>
      <c r="Y87" s="24" t="n">
        <v>0.861783802296162</v>
      </c>
      <c r="Z87" s="24" t="n">
        <v>0.316932906274168</v>
      </c>
      <c r="AA87" s="25" t="n">
        <v>344.145028029059</v>
      </c>
      <c r="AB87" s="25" t="n">
        <v>211.30113906801</v>
      </c>
      <c r="AC87" s="26" t="n">
        <v>0.0174790978884179</v>
      </c>
      <c r="AD87" s="24" t="n">
        <v>0.960402746285356</v>
      </c>
      <c r="AE87" s="24" t="n">
        <v>0.467140268126543</v>
      </c>
      <c r="AF87" s="24" t="n">
        <v>0.328738892215417</v>
      </c>
      <c r="AG87" s="25" t="n">
        <v>354.873564409994</v>
      </c>
      <c r="AH87" s="26" t="n">
        <v>0.0096</v>
      </c>
      <c r="AI87" s="24" t="n">
        <v>0.99617846125884</v>
      </c>
    </row>
    <row r="88" customFormat="false" ht="14.25" hidden="false" customHeight="false" outlineLevel="0" collapsed="false">
      <c r="B88" s="1" t="n">
        <v>16</v>
      </c>
      <c r="C88" s="1" t="n">
        <v>2</v>
      </c>
      <c r="D88" s="2" t="n">
        <v>138</v>
      </c>
      <c r="E88" s="4" t="n">
        <v>3.269</v>
      </c>
      <c r="F88" s="1" t="n">
        <v>40</v>
      </c>
      <c r="G88" s="1" t="n">
        <v>48</v>
      </c>
      <c r="H88" s="3" t="n">
        <v>73.3862853425291</v>
      </c>
      <c r="I88" s="1" t="n">
        <v>348</v>
      </c>
      <c r="J88" s="32" t="n">
        <v>300</v>
      </c>
      <c r="K88" s="25" t="n">
        <v>178</v>
      </c>
      <c r="L88" s="32" t="n">
        <v>128</v>
      </c>
      <c r="M88" s="4" t="n">
        <v>0.33</v>
      </c>
      <c r="N88" s="24" t="n">
        <v>0.407422772266682</v>
      </c>
      <c r="O88" s="25" t="n">
        <v>370.547928940332</v>
      </c>
      <c r="P88" s="25" t="n">
        <v>211.30113906801</v>
      </c>
      <c r="Q88" s="26" t="n">
        <v>0.0174790978884179</v>
      </c>
      <c r="R88" s="24" t="n">
        <v>1.23461446141419</v>
      </c>
      <c r="S88" s="4" t="n">
        <v>0.327875323929103</v>
      </c>
      <c r="T88" s="25" t="n">
        <v>370.547928940332</v>
      </c>
      <c r="U88" s="25" t="n">
        <v>286</v>
      </c>
      <c r="V88" s="26" t="n">
        <v>0.0125</v>
      </c>
      <c r="W88" s="24" t="n">
        <f aca="false">(I88-H88)/(J88-H88)</f>
        <v>1.21181418817724</v>
      </c>
      <c r="X88" s="24" t="n">
        <f aca="false">0.5*(1+(I88-K88-L88)/(I88-K88))</f>
        <v>0.623529411764706</v>
      </c>
      <c r="Y88" s="24" t="n">
        <v>0.993561587663949</v>
      </c>
      <c r="Z88" s="24" t="n">
        <v>0.355430241868603</v>
      </c>
      <c r="AA88" s="25" t="n">
        <v>370.547928940332</v>
      </c>
      <c r="AB88" s="25" t="n">
        <v>211.30113906801</v>
      </c>
      <c r="AC88" s="26" t="n">
        <v>0.0174790978884179</v>
      </c>
      <c r="AD88" s="24" t="n">
        <v>1.07706133899577</v>
      </c>
      <c r="AE88" s="24" t="n">
        <v>0.502979397582073</v>
      </c>
      <c r="AF88" s="24" t="n">
        <v>0.381115725384961</v>
      </c>
      <c r="AG88" s="25" t="n">
        <v>382.099561574062</v>
      </c>
      <c r="AH88" s="26" t="n">
        <v>0.0096</v>
      </c>
      <c r="AI88" s="24" t="n">
        <v>1.15489613753019</v>
      </c>
    </row>
    <row r="89" customFormat="false" ht="14.25" hidden="false" customHeight="false" outlineLevel="0" collapsed="false">
      <c r="A89" s="0" t="s">
        <v>43</v>
      </c>
      <c r="B89" s="1" t="n">
        <v>16</v>
      </c>
      <c r="C89" s="1" t="n">
        <v>2</v>
      </c>
      <c r="D89" s="2" t="n">
        <v>138</v>
      </c>
      <c r="E89" s="4" t="n">
        <v>3.269</v>
      </c>
      <c r="F89" s="1" t="n">
        <v>40</v>
      </c>
      <c r="G89" s="1" t="n">
        <v>48</v>
      </c>
      <c r="H89" s="3" t="n">
        <v>73.3862853425291</v>
      </c>
      <c r="I89" s="1" t="n">
        <v>348</v>
      </c>
      <c r="J89" s="32" t="n">
        <v>300</v>
      </c>
      <c r="K89" s="25" t="n">
        <v>178</v>
      </c>
      <c r="L89" s="32" t="n">
        <v>128</v>
      </c>
      <c r="M89" s="4" t="n">
        <v>0.15</v>
      </c>
      <c r="N89" s="24" t="n">
        <v>0.142043710005398</v>
      </c>
      <c r="O89" s="25" t="n">
        <v>211.76759699969</v>
      </c>
      <c r="P89" s="25" t="n">
        <v>211.30113906801</v>
      </c>
      <c r="Q89" s="26" t="n">
        <v>0.0174790978884179</v>
      </c>
      <c r="R89" s="24" t="n">
        <v>0.946958066702654</v>
      </c>
      <c r="S89" s="4" t="n">
        <v>0.139515994290002</v>
      </c>
      <c r="T89" s="25" t="n">
        <v>211.76759699969</v>
      </c>
      <c r="U89" s="25" t="n">
        <v>286</v>
      </c>
      <c r="V89" s="26" t="n">
        <v>0.0125</v>
      </c>
      <c r="W89" s="24" t="n">
        <f aca="false">(I89-H89)/(J89-H89)</f>
        <v>1.21181418817724</v>
      </c>
      <c r="X89" s="24" t="n">
        <f aca="false">0.5*(1+(I89-K89-L89)/(I89-K89))</f>
        <v>0.623529411764706</v>
      </c>
      <c r="Y89" s="24" t="n">
        <v>0.930106628600016</v>
      </c>
      <c r="Z89" s="24" t="n">
        <v>0.185263466551364</v>
      </c>
      <c r="AA89" s="25" t="n">
        <v>211.76759699969</v>
      </c>
      <c r="AB89" s="25" t="n">
        <v>211.30113906801</v>
      </c>
      <c r="AC89" s="26" t="n">
        <v>0.0174790978884179</v>
      </c>
      <c r="AD89" s="24" t="n">
        <v>1.2350897770091</v>
      </c>
      <c r="AE89" s="24" t="n">
        <v>0.287451986767032</v>
      </c>
      <c r="AF89" s="24" t="n">
        <v>0.124476424595924</v>
      </c>
      <c r="AG89" s="25" t="n">
        <v>218.36933807881</v>
      </c>
      <c r="AH89" s="26" t="n">
        <v>0.0096</v>
      </c>
      <c r="AI89" s="24" t="n">
        <v>0.829842830639495</v>
      </c>
    </row>
    <row r="90" customFormat="false" ht="14.25" hidden="false" customHeight="false" outlineLevel="0" collapsed="false">
      <c r="B90" s="1" t="n">
        <v>16</v>
      </c>
      <c r="C90" s="1" t="n">
        <v>2</v>
      </c>
      <c r="D90" s="2" t="n">
        <v>138</v>
      </c>
      <c r="E90" s="4" t="n">
        <v>3.269</v>
      </c>
      <c r="F90" s="1" t="n">
        <v>40</v>
      </c>
      <c r="G90" s="1" t="n">
        <v>48</v>
      </c>
      <c r="H90" s="3" t="n">
        <v>73.3862853425291</v>
      </c>
      <c r="I90" s="1" t="n">
        <v>348</v>
      </c>
      <c r="J90" s="32" t="n">
        <v>300</v>
      </c>
      <c r="K90" s="25" t="n">
        <v>178</v>
      </c>
      <c r="L90" s="32" t="n">
        <v>128</v>
      </c>
      <c r="M90" s="4" t="n">
        <v>0.18</v>
      </c>
      <c r="N90" s="24" t="n">
        <v>0.186324102108424</v>
      </c>
      <c r="O90" s="25" t="n">
        <v>238.261229529214</v>
      </c>
      <c r="P90" s="25" t="n">
        <v>211.30113906801</v>
      </c>
      <c r="Q90" s="26" t="n">
        <v>0.0174790978884179</v>
      </c>
      <c r="R90" s="24" t="n">
        <v>1.03513390060235</v>
      </c>
      <c r="S90" s="4" t="n">
        <v>0.15697043744882</v>
      </c>
      <c r="T90" s="25" t="n">
        <v>238.261229529214</v>
      </c>
      <c r="U90" s="25" t="n">
        <v>286</v>
      </c>
      <c r="V90" s="26" t="n">
        <v>0.0125</v>
      </c>
      <c r="W90" s="24" t="n">
        <f aca="false">(I90-H90)/(J90-H90)</f>
        <v>1.21181418817724</v>
      </c>
      <c r="X90" s="24" t="n">
        <f aca="false">0.5*(1+(I90-K90-L90)/(I90-K90))</f>
        <v>0.623529411764706</v>
      </c>
      <c r="Y90" s="24" t="n">
        <v>0.872057985826779</v>
      </c>
      <c r="Z90" s="24" t="n">
        <v>0.208441243857705</v>
      </c>
      <c r="AA90" s="25" t="n">
        <v>238.261229529214</v>
      </c>
      <c r="AB90" s="25" t="n">
        <v>211.30113906801</v>
      </c>
      <c r="AC90" s="26" t="n">
        <v>0.0174790978884179</v>
      </c>
      <c r="AD90" s="24" t="n">
        <v>1.15800691032058</v>
      </c>
      <c r="AE90" s="24" t="n">
        <v>0.323414274743028</v>
      </c>
      <c r="AF90" s="24" t="n">
        <v>0.157570475445657</v>
      </c>
      <c r="AG90" s="25" t="n">
        <v>245.688895370589</v>
      </c>
      <c r="AH90" s="26" t="n">
        <v>0.0096</v>
      </c>
      <c r="AI90" s="24" t="n">
        <v>0.875391530253653</v>
      </c>
    </row>
    <row r="91" customFormat="false" ht="14.25" hidden="false" customHeight="false" outlineLevel="0" collapsed="false">
      <c r="B91" s="1" t="n">
        <v>16</v>
      </c>
      <c r="C91" s="1" t="n">
        <v>2</v>
      </c>
      <c r="D91" s="2" t="n">
        <v>138</v>
      </c>
      <c r="E91" s="4" t="n">
        <v>3.269</v>
      </c>
      <c r="F91" s="1" t="n">
        <v>40</v>
      </c>
      <c r="G91" s="1" t="n">
        <v>48</v>
      </c>
      <c r="H91" s="3" t="n">
        <v>73.3862853425291</v>
      </c>
      <c r="I91" s="1" t="n">
        <v>348</v>
      </c>
      <c r="J91" s="32" t="n">
        <v>300</v>
      </c>
      <c r="K91" s="25" t="n">
        <v>178</v>
      </c>
      <c r="L91" s="32" t="n">
        <v>128</v>
      </c>
      <c r="M91" s="4" t="n">
        <v>0.2</v>
      </c>
      <c r="N91" s="24" t="n">
        <v>0.230528671622232</v>
      </c>
      <c r="O91" s="25" t="n">
        <v>264.709496249612</v>
      </c>
      <c r="P91" s="25" t="n">
        <v>211.30113906801</v>
      </c>
      <c r="Q91" s="26" t="n">
        <v>0.0174790978884179</v>
      </c>
      <c r="R91" s="24" t="n">
        <v>1.15264335811116</v>
      </c>
      <c r="S91" s="4" t="n">
        <v>0.174394992862503</v>
      </c>
      <c r="T91" s="25" t="n">
        <v>264.709496249612</v>
      </c>
      <c r="U91" s="25" t="n">
        <v>286</v>
      </c>
      <c r="V91" s="26" t="n">
        <v>0.0125</v>
      </c>
      <c r="W91" s="24" t="n">
        <f aca="false">(I91-H91)/(J91-H91)</f>
        <v>1.21181418817724</v>
      </c>
      <c r="X91" s="24" t="n">
        <f aca="false">0.5*(1+(I91-K91-L91)/(I91-K91))</f>
        <v>0.623529411764706</v>
      </c>
      <c r="Y91" s="24" t="n">
        <v>0.871974964312515</v>
      </c>
      <c r="Z91" s="24" t="n">
        <v>0.231579333189206</v>
      </c>
      <c r="AA91" s="25" t="n">
        <v>264.709496249612</v>
      </c>
      <c r="AB91" s="25" t="n">
        <v>211.30113906801</v>
      </c>
      <c r="AC91" s="26" t="n">
        <v>0.0174790978884179</v>
      </c>
      <c r="AD91" s="24" t="n">
        <v>1.15789666594603</v>
      </c>
      <c r="AE91" s="24" t="n">
        <v>0.35931498345879</v>
      </c>
      <c r="AF91" s="24" t="n">
        <v>0.194494413431132</v>
      </c>
      <c r="AG91" s="25" t="n">
        <v>272.961672598513</v>
      </c>
      <c r="AH91" s="26" t="n">
        <v>0.0096</v>
      </c>
      <c r="AI91" s="24" t="n">
        <v>0.972472067155658</v>
      </c>
    </row>
    <row r="92" customFormat="false" ht="14.25" hidden="false" customHeight="false" outlineLevel="0" collapsed="false">
      <c r="B92" s="1" t="n">
        <v>16</v>
      </c>
      <c r="C92" s="1" t="n">
        <v>2</v>
      </c>
      <c r="D92" s="2" t="n">
        <v>138</v>
      </c>
      <c r="E92" s="4" t="n">
        <v>3.269</v>
      </c>
      <c r="F92" s="1" t="n">
        <v>40</v>
      </c>
      <c r="G92" s="1" t="n">
        <v>48</v>
      </c>
      <c r="H92" s="3" t="n">
        <v>73.3862853425291</v>
      </c>
      <c r="I92" s="1" t="n">
        <v>348</v>
      </c>
      <c r="J92" s="32" t="n">
        <v>300</v>
      </c>
      <c r="K92" s="25" t="n">
        <v>178</v>
      </c>
      <c r="L92" s="32" t="n">
        <v>128</v>
      </c>
      <c r="M92" s="4" t="n">
        <v>0.25</v>
      </c>
      <c r="N92" s="24" t="n">
        <v>0.27473324113604</v>
      </c>
      <c r="O92" s="25" t="n">
        <v>291.157762970011</v>
      </c>
      <c r="P92" s="25" t="n">
        <v>211.30113906801</v>
      </c>
      <c r="Q92" s="26" t="n">
        <v>0.0174790978884179</v>
      </c>
      <c r="R92" s="24" t="n">
        <v>1.09893296454416</v>
      </c>
      <c r="S92" s="4" t="n">
        <v>0.197116438963645</v>
      </c>
      <c r="T92" s="25" t="n">
        <v>291.157762970011</v>
      </c>
      <c r="U92" s="25" t="n">
        <v>286</v>
      </c>
      <c r="V92" s="26" t="n">
        <v>0.0125</v>
      </c>
      <c r="W92" s="24" t="n">
        <f aca="false">(I92-H92)/(J92-H92)</f>
        <v>1.21181418817724</v>
      </c>
      <c r="X92" s="24" t="n">
        <f aca="false">0.5*(1+(I92-K92-L92)/(I92-K92))</f>
        <v>0.623529411764706</v>
      </c>
      <c r="Y92" s="24" t="n">
        <v>0.788465755854579</v>
      </c>
      <c r="Z92" s="24" t="n">
        <v>0.254717422520706</v>
      </c>
      <c r="AA92" s="25" t="n">
        <v>291.157762970011</v>
      </c>
      <c r="AB92" s="25" t="n">
        <v>211.30113906801</v>
      </c>
      <c r="AC92" s="26" t="n">
        <v>0.0174790978884179</v>
      </c>
      <c r="AD92" s="24" t="n">
        <v>1.01886969008283</v>
      </c>
      <c r="AE92" s="24" t="n">
        <v>0.395215692174553</v>
      </c>
      <c r="AF92" s="24" t="n">
        <v>0.235301576066291</v>
      </c>
      <c r="AG92" s="25" t="n">
        <v>300.234449826436</v>
      </c>
      <c r="AH92" s="26" t="n">
        <v>0.0096</v>
      </c>
      <c r="AI92" s="24" t="n">
        <v>0.941206304265165</v>
      </c>
    </row>
    <row r="93" customFormat="false" ht="14.25" hidden="false" customHeight="false" outlineLevel="0" collapsed="false">
      <c r="B93" s="1" t="n">
        <v>16</v>
      </c>
      <c r="C93" s="1" t="n">
        <v>2</v>
      </c>
      <c r="D93" s="2" t="n">
        <v>138</v>
      </c>
      <c r="E93" s="4" t="n">
        <v>3.269</v>
      </c>
      <c r="F93" s="1" t="n">
        <v>40</v>
      </c>
      <c r="G93" s="1" t="n">
        <v>48</v>
      </c>
      <c r="H93" s="3" t="n">
        <v>73.3862853425291</v>
      </c>
      <c r="I93" s="1" t="n">
        <v>348</v>
      </c>
      <c r="J93" s="32" t="n">
        <v>300</v>
      </c>
      <c r="K93" s="25" t="n">
        <v>178</v>
      </c>
      <c r="L93" s="32" t="n">
        <v>128</v>
      </c>
      <c r="M93" s="4" t="n">
        <v>0.3</v>
      </c>
      <c r="N93" s="24" t="n">
        <v>0.319013633239066</v>
      </c>
      <c r="O93" s="25" t="n">
        <v>317.651395499535</v>
      </c>
      <c r="P93" s="25" t="n">
        <v>211.30113906801</v>
      </c>
      <c r="Q93" s="26" t="n">
        <v>0.0174790978884179</v>
      </c>
      <c r="R93" s="24" t="n">
        <v>1.06337877746355</v>
      </c>
      <c r="S93" s="4" t="n">
        <v>0.240752546860689</v>
      </c>
      <c r="T93" s="25" t="n">
        <v>317.651395499535</v>
      </c>
      <c r="U93" s="25" t="n">
        <v>286</v>
      </c>
      <c r="V93" s="26" t="n">
        <v>0.0125</v>
      </c>
      <c r="W93" s="24" t="n">
        <f aca="false">(I93-H93)/(J93-H93)</f>
        <v>1.21181418817724</v>
      </c>
      <c r="X93" s="24" t="n">
        <f aca="false">0.5*(1+(I93-K93-L93)/(I93-K93))</f>
        <v>0.623529411764706</v>
      </c>
      <c r="Y93" s="24" t="n">
        <v>0.80250848953563</v>
      </c>
      <c r="Z93" s="24" t="n">
        <v>0.278303277430267</v>
      </c>
      <c r="AA93" s="25" t="n">
        <v>317.651395499535</v>
      </c>
      <c r="AB93" s="25" t="n">
        <v>211.30113906801</v>
      </c>
      <c r="AC93" s="26" t="n">
        <v>0.0174790978884179</v>
      </c>
      <c r="AD93" s="24" t="n">
        <v>0.927677591434223</v>
      </c>
      <c r="AE93" s="24" t="n">
        <v>0.431177980150548</v>
      </c>
      <c r="AF93" s="24" t="n">
        <v>0.28007195534083</v>
      </c>
      <c r="AG93" s="25" t="n">
        <v>327.554007118215</v>
      </c>
      <c r="AH93" s="26" t="n">
        <v>0.0096</v>
      </c>
      <c r="AI93" s="24" t="n">
        <v>0.933573184469432</v>
      </c>
    </row>
    <row r="94" customFormat="false" ht="14.25" hidden="false" customHeight="false" outlineLevel="0" collapsed="false">
      <c r="B94" s="1" t="n">
        <v>16</v>
      </c>
      <c r="C94" s="1" t="n">
        <v>2</v>
      </c>
      <c r="D94" s="2" t="n">
        <v>138</v>
      </c>
      <c r="E94" s="4" t="n">
        <v>3.269</v>
      </c>
      <c r="F94" s="1" t="n">
        <v>40</v>
      </c>
      <c r="G94" s="1" t="n">
        <v>48</v>
      </c>
      <c r="H94" s="3" t="n">
        <v>73.3862853425291</v>
      </c>
      <c r="I94" s="1" t="n">
        <v>348</v>
      </c>
      <c r="J94" s="32" t="n">
        <v>300</v>
      </c>
      <c r="K94" s="25" t="n">
        <v>178</v>
      </c>
      <c r="L94" s="32" t="n">
        <v>128</v>
      </c>
      <c r="M94" s="4" t="n">
        <v>0.33</v>
      </c>
      <c r="N94" s="24" t="n">
        <v>0.363294025342091</v>
      </c>
      <c r="O94" s="25" t="n">
        <v>344.145028029059</v>
      </c>
      <c r="P94" s="25" t="n">
        <v>211.30113906801</v>
      </c>
      <c r="Q94" s="26" t="n">
        <v>0.0174790978884179</v>
      </c>
      <c r="R94" s="24" t="n">
        <v>1.10089098588513</v>
      </c>
      <c r="S94" s="4" t="n">
        <v>0.284388654757733</v>
      </c>
      <c r="T94" s="25" t="n">
        <v>344.145028029059</v>
      </c>
      <c r="U94" s="25" t="n">
        <v>286</v>
      </c>
      <c r="V94" s="26" t="n">
        <v>0.0125</v>
      </c>
      <c r="W94" s="24" t="n">
        <f aca="false">(I94-H94)/(J94-H94)</f>
        <v>1.21181418817724</v>
      </c>
      <c r="X94" s="24" t="n">
        <f aca="false">0.5*(1+(I94-K94-L94)/(I94-K94))</f>
        <v>0.623529411764706</v>
      </c>
      <c r="Y94" s="24" t="n">
        <v>0.861783802296162</v>
      </c>
      <c r="Z94" s="24" t="n">
        <v>0.316932906274168</v>
      </c>
      <c r="AA94" s="25" t="n">
        <v>344.145028029059</v>
      </c>
      <c r="AB94" s="25" t="n">
        <v>211.30113906801</v>
      </c>
      <c r="AC94" s="26" t="n">
        <v>0.0174790978884179</v>
      </c>
      <c r="AD94" s="24" t="n">
        <v>0.960402746285356</v>
      </c>
      <c r="AE94" s="24" t="n">
        <v>0.467140268126543</v>
      </c>
      <c r="AF94" s="24" t="n">
        <v>0.328738892215417</v>
      </c>
      <c r="AG94" s="25" t="n">
        <v>354.873564409994</v>
      </c>
      <c r="AH94" s="26" t="n">
        <v>0.0096</v>
      </c>
      <c r="AI94" s="24" t="n">
        <v>0.99617846125884</v>
      </c>
    </row>
    <row r="95" customFormat="false" ht="14.25" hidden="false" customHeight="false" outlineLevel="0" collapsed="false">
      <c r="B95" s="1" t="n">
        <v>16</v>
      </c>
      <c r="C95" s="1" t="n">
        <v>2</v>
      </c>
      <c r="D95" s="2" t="n">
        <v>138</v>
      </c>
      <c r="E95" s="4" t="n">
        <v>3.269</v>
      </c>
      <c r="F95" s="1" t="n">
        <v>40</v>
      </c>
      <c r="G95" s="1" t="n">
        <v>48</v>
      </c>
      <c r="H95" s="3" t="n">
        <v>73.3862853425291</v>
      </c>
      <c r="I95" s="1" t="n">
        <v>348</v>
      </c>
      <c r="J95" s="32" t="n">
        <v>300</v>
      </c>
      <c r="K95" s="25" t="n">
        <v>178</v>
      </c>
      <c r="L95" s="32" t="n">
        <v>128</v>
      </c>
      <c r="M95" s="4" t="n">
        <v>0.38</v>
      </c>
      <c r="N95" s="24" t="n">
        <v>0.407422772266682</v>
      </c>
      <c r="O95" s="25" t="n">
        <v>370.547928940332</v>
      </c>
      <c r="P95" s="25" t="n">
        <v>211.30113906801</v>
      </c>
      <c r="Q95" s="26" t="n">
        <v>0.0174790978884179</v>
      </c>
      <c r="R95" s="24" t="n">
        <v>1.07216519017548</v>
      </c>
      <c r="S95" s="4" t="n">
        <v>0.327875323929103</v>
      </c>
      <c r="T95" s="25" t="n">
        <v>370.547928940332</v>
      </c>
      <c r="U95" s="25" t="n">
        <v>286</v>
      </c>
      <c r="V95" s="26" t="n">
        <v>0.0125</v>
      </c>
      <c r="W95" s="24" t="n">
        <f aca="false">(I95-H95)/(J95-H95)</f>
        <v>1.21181418817724</v>
      </c>
      <c r="X95" s="24" t="n">
        <f aca="false">0.5*(1+(I95-K95-L95)/(I95-K95))</f>
        <v>0.623529411764706</v>
      </c>
      <c r="Y95" s="24" t="n">
        <v>0.86282979981343</v>
      </c>
      <c r="Z95" s="24" t="n">
        <v>0.355430241868603</v>
      </c>
      <c r="AA95" s="25" t="n">
        <v>370.547928940332</v>
      </c>
      <c r="AB95" s="25" t="n">
        <v>211.30113906801</v>
      </c>
      <c r="AC95" s="26" t="n">
        <v>0.0174790978884179</v>
      </c>
      <c r="AD95" s="24" t="n">
        <v>0.935342741759481</v>
      </c>
      <c r="AE95" s="24" t="n">
        <v>0.502979397582073</v>
      </c>
      <c r="AF95" s="24" t="n">
        <v>0.381115725384961</v>
      </c>
      <c r="AG95" s="25" t="n">
        <v>382.099561574062</v>
      </c>
      <c r="AH95" s="26" t="n">
        <v>0.0096</v>
      </c>
      <c r="AI95" s="24" t="n">
        <v>1.00293611943411</v>
      </c>
    </row>
    <row r="96" customFormat="false" ht="14.25" hidden="false" customHeight="false" outlineLevel="0" collapsed="false">
      <c r="A96" s="0" t="s">
        <v>44</v>
      </c>
      <c r="B96" s="1" t="n">
        <v>16</v>
      </c>
      <c r="C96" s="1" t="n">
        <v>2</v>
      </c>
      <c r="D96" s="2" t="n">
        <v>168</v>
      </c>
      <c r="E96" s="4" t="n">
        <v>3.269</v>
      </c>
      <c r="F96" s="1" t="n">
        <v>25</v>
      </c>
      <c r="G96" s="1" t="n">
        <v>33</v>
      </c>
      <c r="H96" s="3" t="n">
        <v>73.3862853425291</v>
      </c>
      <c r="I96" s="1" t="n">
        <v>333</v>
      </c>
      <c r="J96" s="32" t="n">
        <v>300</v>
      </c>
      <c r="K96" s="25" t="n">
        <v>170</v>
      </c>
      <c r="L96" s="32" t="n">
        <v>113</v>
      </c>
      <c r="M96" s="4" t="n">
        <v>0.15</v>
      </c>
      <c r="N96" s="24" t="n">
        <v>0.134092481231732</v>
      </c>
      <c r="O96" s="25" t="n">
        <v>211.76759699969</v>
      </c>
      <c r="P96" s="25" t="n">
        <v>192.835569648162</v>
      </c>
      <c r="Q96" s="26" t="n">
        <v>0.0193939393939394</v>
      </c>
      <c r="R96" s="24" t="n">
        <v>0.893949874878211</v>
      </c>
      <c r="S96" s="4" t="n">
        <v>0.09927475204534</v>
      </c>
      <c r="T96" s="25" t="n">
        <v>211.76759699969</v>
      </c>
      <c r="U96" s="25" t="n">
        <v>232</v>
      </c>
      <c r="V96" s="26" t="n">
        <v>0.0157460983498901</v>
      </c>
      <c r="W96" s="24" t="n">
        <f aca="false">(I96-H96)/(J96-H96)</f>
        <v>1.14562225437185</v>
      </c>
      <c r="X96" s="24" t="n">
        <f aca="false">0.5*(1+(I96-K96-L96)/(I96-K96))</f>
        <v>0.653374233128834</v>
      </c>
      <c r="Y96" s="24" t="n">
        <v>0.661831680302267</v>
      </c>
      <c r="Z96" s="24" t="n">
        <v>0.14310195367254</v>
      </c>
      <c r="AA96" s="25" t="n">
        <v>211.76759699969</v>
      </c>
      <c r="AB96" s="25" t="n">
        <v>192.835569648162</v>
      </c>
      <c r="AC96" s="26" t="n">
        <v>0.0193939393939394</v>
      </c>
      <c r="AD96" s="24" t="n">
        <v>0.954013024483603</v>
      </c>
      <c r="AE96" s="24" t="n">
        <v>0.264282280383733</v>
      </c>
      <c r="AF96" s="24" t="n">
        <v>0.124476424595924</v>
      </c>
      <c r="AG96" s="25" t="n">
        <v>218.36933807881</v>
      </c>
      <c r="AH96" s="26" t="n">
        <v>0.0105</v>
      </c>
      <c r="AI96" s="24" t="n">
        <v>0.829842830639495</v>
      </c>
    </row>
    <row r="97" customFormat="false" ht="14.25" hidden="false" customHeight="false" outlineLevel="0" collapsed="false">
      <c r="B97" s="1" t="n">
        <v>16</v>
      </c>
      <c r="C97" s="1" t="n">
        <v>2</v>
      </c>
      <c r="D97" s="2" t="n">
        <v>168</v>
      </c>
      <c r="E97" s="4" t="n">
        <v>3.269</v>
      </c>
      <c r="F97" s="1" t="n">
        <v>25</v>
      </c>
      <c r="G97" s="1" t="n">
        <v>33</v>
      </c>
      <c r="H97" s="3" t="n">
        <v>73.3862853425291</v>
      </c>
      <c r="I97" s="1" t="n">
        <v>333</v>
      </c>
      <c r="J97" s="32" t="n">
        <v>300</v>
      </c>
      <c r="K97" s="25" t="n">
        <v>170</v>
      </c>
      <c r="L97" s="32" t="n">
        <v>113</v>
      </c>
      <c r="M97" s="4" t="n">
        <v>0.18</v>
      </c>
      <c r="N97" s="24" t="n">
        <v>0.171073176637526</v>
      </c>
      <c r="O97" s="25" t="n">
        <v>238.261229529214</v>
      </c>
      <c r="P97" s="25" t="n">
        <v>192.835569648162</v>
      </c>
      <c r="Q97" s="26" t="n">
        <v>0.0193939393939394</v>
      </c>
      <c r="R97" s="24" t="n">
        <v>0.950406536875143</v>
      </c>
      <c r="S97" s="4" t="n">
        <v>0.116178589995917</v>
      </c>
      <c r="T97" s="25" t="n">
        <v>238.261229529214</v>
      </c>
      <c r="U97" s="25" t="n">
        <v>232</v>
      </c>
      <c r="V97" s="26" t="n">
        <v>0.0157460983498901</v>
      </c>
      <c r="W97" s="24" t="n">
        <f aca="false">(I97-H97)/(J97-H97)</f>
        <v>1.14562225437185</v>
      </c>
      <c r="X97" s="24" t="n">
        <f aca="false">0.5*(1+(I97-K97-L97)/(I97-K97))</f>
        <v>0.653374233128834</v>
      </c>
      <c r="Y97" s="24" t="n">
        <v>0.645436611088427</v>
      </c>
      <c r="Z97" s="24" t="n">
        <v>0.161005025854366</v>
      </c>
      <c r="AA97" s="25" t="n">
        <v>238.261229529214</v>
      </c>
      <c r="AB97" s="25" t="n">
        <v>192.835569648162</v>
      </c>
      <c r="AC97" s="26" t="n">
        <v>0.0193939393939394</v>
      </c>
      <c r="AD97" s="24" t="n">
        <v>0.894472365857592</v>
      </c>
      <c r="AE97" s="24" t="n">
        <v>0.29734587330235</v>
      </c>
      <c r="AF97" s="24" t="n">
        <v>0.157570475445657</v>
      </c>
      <c r="AG97" s="25" t="n">
        <v>245.688895370589</v>
      </c>
      <c r="AH97" s="26" t="n">
        <v>0.0105</v>
      </c>
      <c r="AI97" s="24" t="n">
        <v>0.875391530253653</v>
      </c>
    </row>
    <row r="98" customFormat="false" ht="14.25" hidden="false" customHeight="false" outlineLevel="0" collapsed="false">
      <c r="B98" s="1" t="n">
        <v>16</v>
      </c>
      <c r="C98" s="1" t="n">
        <v>2</v>
      </c>
      <c r="D98" s="2" t="n">
        <v>168</v>
      </c>
      <c r="E98" s="4" t="n">
        <v>3.269</v>
      </c>
      <c r="F98" s="1" t="n">
        <v>25</v>
      </c>
      <c r="G98" s="1" t="n">
        <v>33</v>
      </c>
      <c r="H98" s="3" t="n">
        <v>73.3862853425291</v>
      </c>
      <c r="I98" s="1" t="n">
        <v>333</v>
      </c>
      <c r="J98" s="32" t="n">
        <v>300</v>
      </c>
      <c r="K98" s="25" t="n">
        <v>170</v>
      </c>
      <c r="L98" s="32" t="n">
        <v>113</v>
      </c>
      <c r="M98" s="4" t="n">
        <v>0.2</v>
      </c>
      <c r="N98" s="24" t="n">
        <v>0.207990548934748</v>
      </c>
      <c r="O98" s="25" t="n">
        <v>264.709496249612</v>
      </c>
      <c r="P98" s="25" t="n">
        <v>192.835569648162</v>
      </c>
      <c r="Q98" s="26" t="n">
        <v>0.0193939393939394</v>
      </c>
      <c r="R98" s="24" t="n">
        <v>1.03995274467374</v>
      </c>
      <c r="S98" s="4" t="n">
        <v>0.147175366154032</v>
      </c>
      <c r="T98" s="25" t="n">
        <v>264.709496249612</v>
      </c>
      <c r="U98" s="25" t="n">
        <v>232</v>
      </c>
      <c r="V98" s="26" t="n">
        <v>0.0157460983498901</v>
      </c>
      <c r="W98" s="24" t="n">
        <f aca="false">(I98-H98)/(J98-H98)</f>
        <v>1.14562225437185</v>
      </c>
      <c r="X98" s="24" t="n">
        <f aca="false">0.5*(1+(I98-K98-L98)/(I98-K98))</f>
        <v>0.653374233128834</v>
      </c>
      <c r="Y98" s="24" t="n">
        <v>0.735876830770162</v>
      </c>
      <c r="Z98" s="24" t="n">
        <v>0.178877442090676</v>
      </c>
      <c r="AA98" s="25" t="n">
        <v>264.709496249612</v>
      </c>
      <c r="AB98" s="25" t="n">
        <v>192.835569648162</v>
      </c>
      <c r="AC98" s="26" t="n">
        <v>0.0193939393939394</v>
      </c>
      <c r="AD98" s="24" t="n">
        <v>0.894387210453378</v>
      </c>
      <c r="AE98" s="24" t="n">
        <v>0.330352850479667</v>
      </c>
      <c r="AF98" s="24" t="n">
        <v>0.194494413431132</v>
      </c>
      <c r="AG98" s="25" t="n">
        <v>272.961672598513</v>
      </c>
      <c r="AH98" s="26" t="n">
        <v>0.0105</v>
      </c>
      <c r="AI98" s="24" t="n">
        <v>0.972472067155658</v>
      </c>
    </row>
    <row r="99" customFormat="false" ht="14.25" hidden="false" customHeight="false" outlineLevel="0" collapsed="false">
      <c r="B99" s="1" t="n">
        <v>16</v>
      </c>
      <c r="C99" s="1" t="n">
        <v>2</v>
      </c>
      <c r="D99" s="2" t="n">
        <v>168</v>
      </c>
      <c r="E99" s="4" t="n">
        <v>3.269</v>
      </c>
      <c r="F99" s="1" t="n">
        <v>25</v>
      </c>
      <c r="G99" s="1" t="n">
        <v>33</v>
      </c>
      <c r="H99" s="3" t="n">
        <v>73.3862853425291</v>
      </c>
      <c r="I99" s="1" t="n">
        <v>333</v>
      </c>
      <c r="J99" s="32" t="n">
        <v>300</v>
      </c>
      <c r="K99" s="25" t="n">
        <v>170</v>
      </c>
      <c r="L99" s="32" t="n">
        <v>113</v>
      </c>
      <c r="M99" s="4" t="n">
        <v>0.23</v>
      </c>
      <c r="N99" s="24" t="n">
        <v>0.244907921231971</v>
      </c>
      <c r="O99" s="25" t="n">
        <v>291.157762970011</v>
      </c>
      <c r="P99" s="25" t="n">
        <v>192.835569648162</v>
      </c>
      <c r="Q99" s="26" t="n">
        <v>0.0193939393939394</v>
      </c>
      <c r="R99" s="24" t="n">
        <v>1.06481704883466</v>
      </c>
      <c r="S99" s="4" t="n">
        <v>0.178172142312148</v>
      </c>
      <c r="T99" s="25" t="n">
        <v>291.157762970011</v>
      </c>
      <c r="U99" s="25" t="n">
        <v>232</v>
      </c>
      <c r="V99" s="26" t="n">
        <v>0.0157460983498901</v>
      </c>
      <c r="W99" s="24" t="n">
        <f aca="false">(I99-H99)/(J99-H99)</f>
        <v>1.14562225437185</v>
      </c>
      <c r="X99" s="24" t="n">
        <f aca="false">0.5*(1+(I99-K99-L99)/(I99-K99))</f>
        <v>0.653374233128834</v>
      </c>
      <c r="Y99" s="24" t="n">
        <v>0.774661488313686</v>
      </c>
      <c r="Z99" s="24" t="n">
        <v>0.197607794355229</v>
      </c>
      <c r="AA99" s="25" t="n">
        <v>291.157762970011</v>
      </c>
      <c r="AB99" s="25" t="n">
        <v>192.835569648162</v>
      </c>
      <c r="AC99" s="26" t="n">
        <v>0.0193939393939394</v>
      </c>
      <c r="AD99" s="24" t="n">
        <v>0.859164323283605</v>
      </c>
      <c r="AE99" s="24" t="n">
        <v>0.363359827656984</v>
      </c>
      <c r="AF99" s="24" t="n">
        <v>0.235301576066291</v>
      </c>
      <c r="AG99" s="25" t="n">
        <v>300.234449826436</v>
      </c>
      <c r="AH99" s="26" t="n">
        <v>0.0105</v>
      </c>
      <c r="AI99" s="24" t="n">
        <v>1.02305033072301</v>
      </c>
    </row>
    <row r="100" customFormat="false" ht="14.25" hidden="false" customHeight="false" outlineLevel="0" collapsed="false">
      <c r="B100" s="1" t="n">
        <v>16</v>
      </c>
      <c r="C100" s="1" t="n">
        <v>2</v>
      </c>
      <c r="D100" s="2" t="n">
        <v>168</v>
      </c>
      <c r="E100" s="4" t="n">
        <v>3.269</v>
      </c>
      <c r="F100" s="1" t="n">
        <v>25</v>
      </c>
      <c r="G100" s="1" t="n">
        <v>33</v>
      </c>
      <c r="H100" s="3" t="n">
        <v>73.3862853425291</v>
      </c>
      <c r="I100" s="1" t="n">
        <v>333</v>
      </c>
      <c r="J100" s="32" t="n">
        <v>300</v>
      </c>
      <c r="K100" s="25" t="n">
        <v>170</v>
      </c>
      <c r="L100" s="32" t="n">
        <v>113</v>
      </c>
      <c r="M100" s="4" t="n">
        <v>0.25</v>
      </c>
      <c r="N100" s="24" t="n">
        <v>0.281888616637765</v>
      </c>
      <c r="O100" s="25" t="n">
        <v>317.651395499535</v>
      </c>
      <c r="P100" s="25" t="n">
        <v>192.835569648162</v>
      </c>
      <c r="Q100" s="26" t="n">
        <v>0.0193939393939394</v>
      </c>
      <c r="R100" s="24" t="n">
        <v>1.12755446655106</v>
      </c>
      <c r="S100" s="4" t="n">
        <v>0.20922208618237</v>
      </c>
      <c r="T100" s="25" t="n">
        <v>317.651395499535</v>
      </c>
      <c r="U100" s="25" t="n">
        <v>232</v>
      </c>
      <c r="V100" s="26" t="n">
        <v>0.0157460983498901</v>
      </c>
      <c r="W100" s="24" t="n">
        <f aca="false">(I100-H100)/(J100-H100)</f>
        <v>1.14562225437185</v>
      </c>
      <c r="X100" s="24" t="n">
        <f aca="false">0.5*(1+(I100-K100-L100)/(I100-K100))</f>
        <v>0.653374233128834</v>
      </c>
      <c r="Y100" s="24" t="n">
        <v>0.836888344729479</v>
      </c>
      <c r="Z100" s="24" t="n">
        <v>0.227446247991606</v>
      </c>
      <c r="AA100" s="25" t="n">
        <v>317.651395499535</v>
      </c>
      <c r="AB100" s="25" t="n">
        <v>192.835569648162</v>
      </c>
      <c r="AC100" s="26" t="n">
        <v>0.0193939393939394</v>
      </c>
      <c r="AD100" s="24" t="n">
        <v>0.909784991966423</v>
      </c>
      <c r="AE100" s="24" t="n">
        <v>0.3964234205756</v>
      </c>
      <c r="AF100" s="24" t="n">
        <v>0.28007195534083</v>
      </c>
      <c r="AG100" s="25" t="n">
        <v>327.554007118215</v>
      </c>
      <c r="AH100" s="26" t="n">
        <v>0.0105</v>
      </c>
      <c r="AI100" s="24" t="n">
        <v>1.12028782136332</v>
      </c>
    </row>
    <row r="101" customFormat="false" ht="14.25" hidden="false" customHeight="false" outlineLevel="0" collapsed="false">
      <c r="B101" s="1" t="n">
        <v>16</v>
      </c>
      <c r="C101" s="1" t="n">
        <v>2</v>
      </c>
      <c r="D101" s="2" t="n">
        <v>168</v>
      </c>
      <c r="E101" s="4" t="n">
        <v>3.269</v>
      </c>
      <c r="F101" s="1" t="n">
        <v>25</v>
      </c>
      <c r="G101" s="1" t="n">
        <v>33</v>
      </c>
      <c r="H101" s="3" t="n">
        <v>73.3862853425291</v>
      </c>
      <c r="I101" s="1" t="n">
        <v>333</v>
      </c>
      <c r="J101" s="32" t="n">
        <v>300</v>
      </c>
      <c r="K101" s="25" t="n">
        <v>170</v>
      </c>
      <c r="L101" s="32" t="n">
        <v>113</v>
      </c>
      <c r="M101" s="4" t="n">
        <v>0.3</v>
      </c>
      <c r="N101" s="24" t="n">
        <v>0.318869312043559</v>
      </c>
      <c r="O101" s="25" t="n">
        <v>344.145028029059</v>
      </c>
      <c r="P101" s="25" t="n">
        <v>192.835569648162</v>
      </c>
      <c r="Q101" s="26" t="n">
        <v>0.0193939393939394</v>
      </c>
      <c r="R101" s="24" t="n">
        <v>1.06289770681186</v>
      </c>
      <c r="S101" s="4" t="n">
        <v>0.240272030052592</v>
      </c>
      <c r="T101" s="25" t="n">
        <v>344.145028029059</v>
      </c>
      <c r="U101" s="25" t="n">
        <v>232</v>
      </c>
      <c r="V101" s="26" t="n">
        <v>0.0157460983498901</v>
      </c>
      <c r="W101" s="24" t="n">
        <f aca="false">(I101-H101)/(J101-H101)</f>
        <v>1.14562225437185</v>
      </c>
      <c r="X101" s="24" t="n">
        <f aca="false">0.5*(1+(I101-K101-L101)/(I101-K101))</f>
        <v>0.653374233128834</v>
      </c>
      <c r="Y101" s="24" t="n">
        <v>0.800906766841973</v>
      </c>
      <c r="Z101" s="24" t="n">
        <v>0.257284701627982</v>
      </c>
      <c r="AA101" s="25" t="n">
        <v>344.145028029059</v>
      </c>
      <c r="AB101" s="25" t="n">
        <v>192.835569648162</v>
      </c>
      <c r="AC101" s="26" t="n">
        <v>0.0193939393939394</v>
      </c>
      <c r="AD101" s="24" t="n">
        <v>0.857615672093275</v>
      </c>
      <c r="AE101" s="24" t="n">
        <v>0.429487013494216</v>
      </c>
      <c r="AF101" s="24" t="n">
        <v>0.328738892215417</v>
      </c>
      <c r="AG101" s="25" t="n">
        <v>354.873564409995</v>
      </c>
      <c r="AH101" s="26" t="n">
        <v>0.0105</v>
      </c>
      <c r="AI101" s="24" t="n">
        <v>1.09579630738472</v>
      </c>
    </row>
    <row r="102" customFormat="false" ht="14.25" hidden="false" customHeight="false" outlineLevel="0" collapsed="false">
      <c r="B102" s="1" t="n">
        <v>16</v>
      </c>
      <c r="C102" s="1" t="n">
        <v>2</v>
      </c>
      <c r="D102" s="2" t="n">
        <v>168</v>
      </c>
      <c r="E102" s="4" t="n">
        <v>3.269</v>
      </c>
      <c r="F102" s="1" t="n">
        <v>25</v>
      </c>
      <c r="G102" s="1" t="n">
        <v>33</v>
      </c>
      <c r="H102" s="3" t="n">
        <v>73.3862853425291</v>
      </c>
      <c r="I102" s="1" t="n">
        <v>333</v>
      </c>
      <c r="J102" s="32" t="n">
        <v>300</v>
      </c>
      <c r="K102" s="25" t="n">
        <v>170</v>
      </c>
      <c r="L102" s="32" t="n">
        <v>113</v>
      </c>
      <c r="M102" s="4" t="n">
        <v>0.3</v>
      </c>
      <c r="N102" s="24" t="n">
        <v>0.35572336123221</v>
      </c>
      <c r="O102" s="25" t="n">
        <v>370.547928940332</v>
      </c>
      <c r="P102" s="25" t="n">
        <v>192.835569648162</v>
      </c>
      <c r="Q102" s="26" t="n">
        <v>0.0193939393939394</v>
      </c>
      <c r="R102" s="24" t="n">
        <v>1.1857445374407</v>
      </c>
      <c r="S102" s="4" t="n">
        <v>0.271215638498601</v>
      </c>
      <c r="T102" s="25" t="n">
        <v>370.547928940332</v>
      </c>
      <c r="U102" s="25" t="n">
        <v>232</v>
      </c>
      <c r="V102" s="26" t="n">
        <v>0.0157460983498901</v>
      </c>
      <c r="W102" s="24" t="n">
        <f aca="false">(I102-H102)/(J102-H102)</f>
        <v>1.14562225437185</v>
      </c>
      <c r="X102" s="24" t="n">
        <f aca="false">0.5*(1+(I102-K102-L102)/(I102-K102))</f>
        <v>0.653374233128834</v>
      </c>
      <c r="Y102" s="24" t="n">
        <v>0.904052128328669</v>
      </c>
      <c r="Z102" s="24" t="n">
        <v>0.287020968779303</v>
      </c>
      <c r="AA102" s="25" t="n">
        <v>370.547928940332</v>
      </c>
      <c r="AB102" s="25" t="n">
        <v>192.835569648162</v>
      </c>
      <c r="AC102" s="26" t="n">
        <v>0.0193939393939394</v>
      </c>
      <c r="AD102" s="24" t="n">
        <v>0.956736562597677</v>
      </c>
      <c r="AE102" s="24" t="n">
        <v>0.462437374930234</v>
      </c>
      <c r="AF102" s="24" t="n">
        <v>0.381115725384961</v>
      </c>
      <c r="AG102" s="25" t="n">
        <v>382.099561574062</v>
      </c>
      <c r="AH102" s="26" t="n">
        <v>0.0105</v>
      </c>
      <c r="AI102" s="24" t="n">
        <v>1.2703857512832</v>
      </c>
    </row>
    <row r="103" customFormat="false" ht="14.25" hidden="false" customHeight="false" outlineLevel="0" collapsed="false">
      <c r="A103" s="0" t="s">
        <v>45</v>
      </c>
      <c r="B103" s="1" t="n">
        <v>16</v>
      </c>
      <c r="C103" s="1" t="n">
        <v>2</v>
      </c>
      <c r="D103" s="2" t="n">
        <v>168</v>
      </c>
      <c r="E103" s="4" t="n">
        <v>3.269</v>
      </c>
      <c r="F103" s="1" t="n">
        <v>25</v>
      </c>
      <c r="G103" s="1" t="n">
        <v>33</v>
      </c>
      <c r="H103" s="3" t="n">
        <v>73.3862853425291</v>
      </c>
      <c r="I103" s="1" t="n">
        <v>333</v>
      </c>
      <c r="J103" s="32" t="n">
        <v>300</v>
      </c>
      <c r="K103" s="25" t="n">
        <v>170</v>
      </c>
      <c r="L103" s="32" t="n">
        <v>113</v>
      </c>
      <c r="M103" s="4" t="n">
        <v>0.15</v>
      </c>
      <c r="N103" s="24" t="n">
        <v>0.0971117858259375</v>
      </c>
      <c r="O103" s="25" t="n">
        <v>185.273964470166</v>
      </c>
      <c r="P103" s="25" t="n">
        <v>192.835569648162</v>
      </c>
      <c r="Q103" s="26" t="n">
        <v>0.0193939393939394</v>
      </c>
      <c r="R103" s="24" t="n">
        <v>0.64741190550625</v>
      </c>
      <c r="S103" s="4" t="n">
        <v>0.0868547744972512</v>
      </c>
      <c r="T103" s="25" t="n">
        <v>185.273964470166</v>
      </c>
      <c r="U103" s="25" t="n">
        <v>232</v>
      </c>
      <c r="V103" s="26" t="n">
        <v>0.0157460983498901</v>
      </c>
      <c r="W103" s="24" t="n">
        <f aca="false">(I103-H103)/(J103-H103)</f>
        <v>1.14562225437185</v>
      </c>
      <c r="X103" s="24" t="n">
        <f aca="false">0.5*(1+(I103-K103-L103)/(I103-K103))</f>
        <v>0.653374233128834</v>
      </c>
      <c r="Y103" s="24" t="n">
        <v>0.579031829981675</v>
      </c>
      <c r="Z103" s="24" t="n">
        <v>0.125198881490715</v>
      </c>
      <c r="AA103" s="25" t="n">
        <v>185.273964470166</v>
      </c>
      <c r="AB103" s="25" t="n">
        <v>192.835569648162</v>
      </c>
      <c r="AC103" s="26" t="n">
        <v>0.0193939393939394</v>
      </c>
      <c r="AD103" s="24" t="n">
        <v>0.834659209938097</v>
      </c>
      <c r="AE103" s="24" t="n">
        <v>0.231218687465117</v>
      </c>
      <c r="AF103" s="24" t="n">
        <v>0.0952789313462403</v>
      </c>
      <c r="AG103" s="25" t="n">
        <v>191.049780787031</v>
      </c>
      <c r="AH103" s="26" t="n">
        <v>0.0105</v>
      </c>
      <c r="AI103" s="24" t="n">
        <v>0.635192875641602</v>
      </c>
    </row>
    <row r="104" customFormat="false" ht="14.25" hidden="false" customHeight="false" outlineLevel="0" collapsed="false">
      <c r="B104" s="1" t="n">
        <v>16</v>
      </c>
      <c r="C104" s="1" t="n">
        <v>2</v>
      </c>
      <c r="D104" s="2" t="n">
        <v>168</v>
      </c>
      <c r="E104" s="4" t="n">
        <v>3.269</v>
      </c>
      <c r="F104" s="1" t="n">
        <v>25</v>
      </c>
      <c r="G104" s="1" t="n">
        <v>33</v>
      </c>
      <c r="H104" s="3" t="n">
        <v>73.3862853425291</v>
      </c>
      <c r="I104" s="1" t="n">
        <v>333</v>
      </c>
      <c r="J104" s="32" t="n">
        <v>300</v>
      </c>
      <c r="K104" s="25" t="n">
        <v>170</v>
      </c>
      <c r="L104" s="32" t="n">
        <v>113</v>
      </c>
      <c r="M104" s="4" t="n">
        <v>0.18</v>
      </c>
      <c r="N104" s="24" t="n">
        <v>0.134092481231732</v>
      </c>
      <c r="O104" s="25" t="n">
        <v>211.76759699969</v>
      </c>
      <c r="P104" s="25" t="n">
        <v>192.835569648162</v>
      </c>
      <c r="Q104" s="26" t="n">
        <v>0.0193939393939394</v>
      </c>
      <c r="R104" s="24" t="n">
        <v>0.744958229065176</v>
      </c>
      <c r="S104" s="4" t="n">
        <v>0.09927475204534</v>
      </c>
      <c r="T104" s="25" t="n">
        <v>211.76759699969</v>
      </c>
      <c r="U104" s="25" t="n">
        <v>232</v>
      </c>
      <c r="V104" s="26" t="n">
        <v>0.0157460983498901</v>
      </c>
      <c r="W104" s="24" t="n">
        <f aca="false">(I104-H104)/(J104-H104)</f>
        <v>1.14562225437185</v>
      </c>
      <c r="X104" s="24" t="n">
        <f aca="false">0.5*(1+(I104-K104-L104)/(I104-K104))</f>
        <v>0.653374233128834</v>
      </c>
      <c r="Y104" s="24" t="n">
        <v>0.551526400251889</v>
      </c>
      <c r="Z104" s="24" t="n">
        <v>0.14310195367254</v>
      </c>
      <c r="AA104" s="25" t="n">
        <v>211.76759699969</v>
      </c>
      <c r="AB104" s="25" t="n">
        <v>192.835569648162</v>
      </c>
      <c r="AC104" s="26" t="n">
        <v>0.0193939393939394</v>
      </c>
      <c r="AD104" s="24" t="n">
        <v>0.795010853736336</v>
      </c>
      <c r="AE104" s="24" t="n">
        <v>0.264282280383733</v>
      </c>
      <c r="AF104" s="24" t="n">
        <v>0.124476424595924</v>
      </c>
      <c r="AG104" s="25" t="n">
        <v>218.36933807881</v>
      </c>
      <c r="AH104" s="26" t="n">
        <v>0.0105</v>
      </c>
      <c r="AI104" s="24" t="n">
        <v>0.691535692199579</v>
      </c>
    </row>
    <row r="105" customFormat="false" ht="14.25" hidden="false" customHeight="false" outlineLevel="0" collapsed="false">
      <c r="B105" s="1" t="n">
        <v>16</v>
      </c>
      <c r="C105" s="1" t="n">
        <v>2</v>
      </c>
      <c r="D105" s="2" t="n">
        <v>168</v>
      </c>
      <c r="E105" s="4" t="n">
        <v>3.269</v>
      </c>
      <c r="F105" s="1" t="n">
        <v>25</v>
      </c>
      <c r="G105" s="1" t="n">
        <v>33</v>
      </c>
      <c r="H105" s="3" t="n">
        <v>73.3862853425291</v>
      </c>
      <c r="I105" s="1" t="n">
        <v>333</v>
      </c>
      <c r="J105" s="32" t="n">
        <v>300</v>
      </c>
      <c r="K105" s="25" t="n">
        <v>170</v>
      </c>
      <c r="L105" s="32" t="n">
        <v>113</v>
      </c>
      <c r="M105" s="4" t="n">
        <v>0.18</v>
      </c>
      <c r="N105" s="24" t="n">
        <v>0.171073176637526</v>
      </c>
      <c r="O105" s="25" t="n">
        <v>238.261229529214</v>
      </c>
      <c r="P105" s="25" t="n">
        <v>192.835569648162</v>
      </c>
      <c r="Q105" s="26" t="n">
        <v>0.0193939393939394</v>
      </c>
      <c r="R105" s="24" t="n">
        <v>0.950406536875143</v>
      </c>
      <c r="S105" s="4" t="n">
        <v>0.116178589995917</v>
      </c>
      <c r="T105" s="25" t="n">
        <v>238.261229529214</v>
      </c>
      <c r="U105" s="25" t="n">
        <v>232</v>
      </c>
      <c r="V105" s="26" t="n">
        <v>0.0157460983498901</v>
      </c>
      <c r="W105" s="24" t="n">
        <f aca="false">(I105-H105)/(J105-H105)</f>
        <v>1.14562225437185</v>
      </c>
      <c r="X105" s="24" t="n">
        <f aca="false">0.5*(1+(I105-K105-L105)/(I105-K105))</f>
        <v>0.653374233128834</v>
      </c>
      <c r="Y105" s="24" t="n">
        <v>0.645436611088427</v>
      </c>
      <c r="Z105" s="24" t="n">
        <v>0.161005025854366</v>
      </c>
      <c r="AA105" s="25" t="n">
        <v>238.261229529214</v>
      </c>
      <c r="AB105" s="25" t="n">
        <v>192.835569648162</v>
      </c>
      <c r="AC105" s="26" t="n">
        <v>0.0193939393939394</v>
      </c>
      <c r="AD105" s="24" t="n">
        <v>0.894472365857592</v>
      </c>
      <c r="AE105" s="24" t="n">
        <v>0.29734587330235</v>
      </c>
      <c r="AF105" s="24" t="n">
        <v>0.157570475445657</v>
      </c>
      <c r="AG105" s="25" t="n">
        <v>245.688895370589</v>
      </c>
      <c r="AH105" s="26" t="n">
        <v>0.0105</v>
      </c>
      <c r="AI105" s="24" t="n">
        <v>0.875391530253653</v>
      </c>
    </row>
    <row r="106" customFormat="false" ht="14.25" hidden="false" customHeight="false" outlineLevel="0" collapsed="false">
      <c r="B106" s="1" t="n">
        <v>16</v>
      </c>
      <c r="C106" s="1" t="n">
        <v>2</v>
      </c>
      <c r="D106" s="2" t="n">
        <v>168</v>
      </c>
      <c r="E106" s="4" t="n">
        <v>3.269</v>
      </c>
      <c r="F106" s="1" t="n">
        <v>25</v>
      </c>
      <c r="G106" s="1" t="n">
        <v>33</v>
      </c>
      <c r="H106" s="3" t="n">
        <v>73.3862853425291</v>
      </c>
      <c r="I106" s="1" t="n">
        <v>333</v>
      </c>
      <c r="J106" s="32" t="n">
        <v>300</v>
      </c>
      <c r="K106" s="25" t="n">
        <v>170</v>
      </c>
      <c r="L106" s="32" t="n">
        <v>113</v>
      </c>
      <c r="M106" s="4" t="n">
        <v>0.25</v>
      </c>
      <c r="N106" s="24" t="n">
        <v>0.207990548934748</v>
      </c>
      <c r="O106" s="25" t="n">
        <v>264.709496249612</v>
      </c>
      <c r="P106" s="25" t="n">
        <v>192.835569648162</v>
      </c>
      <c r="Q106" s="26" t="n">
        <v>0.0193939393939394</v>
      </c>
      <c r="R106" s="24" t="n">
        <v>0.831962195738993</v>
      </c>
      <c r="S106" s="4" t="n">
        <v>0.147175366154032</v>
      </c>
      <c r="T106" s="25" t="n">
        <v>264.709496249612</v>
      </c>
      <c r="U106" s="25" t="n">
        <v>232</v>
      </c>
      <c r="V106" s="26" t="n">
        <v>0.0157460983498901</v>
      </c>
      <c r="W106" s="24" t="n">
        <f aca="false">(I106-H106)/(J106-H106)</f>
        <v>1.14562225437185</v>
      </c>
      <c r="X106" s="24" t="n">
        <f aca="false">0.5*(1+(I106-K106-L106)/(I106-K106))</f>
        <v>0.653374233128834</v>
      </c>
      <c r="Y106" s="24" t="n">
        <v>0.588701464616129</v>
      </c>
      <c r="Z106" s="24" t="n">
        <v>0.178877442090676</v>
      </c>
      <c r="AA106" s="25" t="n">
        <v>264.709496249612</v>
      </c>
      <c r="AB106" s="25" t="n">
        <v>192.835569648162</v>
      </c>
      <c r="AC106" s="26" t="n">
        <v>0.0193939393939394</v>
      </c>
      <c r="AD106" s="24" t="n">
        <v>0.715509768362702</v>
      </c>
      <c r="AE106" s="24" t="n">
        <v>0.330352850479667</v>
      </c>
      <c r="AF106" s="24" t="n">
        <v>0.194494413431132</v>
      </c>
      <c r="AG106" s="25" t="n">
        <v>272.961672598513</v>
      </c>
      <c r="AH106" s="26" t="n">
        <v>0.0105</v>
      </c>
      <c r="AI106" s="24" t="n">
        <v>0.777977653724527</v>
      </c>
    </row>
    <row r="107" customFormat="false" ht="14.25" hidden="false" customHeight="false" outlineLevel="0" collapsed="false">
      <c r="B107" s="1" t="n">
        <v>16</v>
      </c>
      <c r="C107" s="1" t="n">
        <v>2</v>
      </c>
      <c r="D107" s="2" t="n">
        <v>168</v>
      </c>
      <c r="E107" s="4" t="n">
        <v>3.269</v>
      </c>
      <c r="F107" s="1" t="n">
        <v>25</v>
      </c>
      <c r="G107" s="1" t="n">
        <v>33</v>
      </c>
      <c r="H107" s="3" t="n">
        <v>73.3862853425291</v>
      </c>
      <c r="I107" s="1" t="n">
        <v>333</v>
      </c>
      <c r="J107" s="32" t="n">
        <v>300</v>
      </c>
      <c r="K107" s="25" t="n">
        <v>170</v>
      </c>
      <c r="L107" s="32" t="n">
        <v>113</v>
      </c>
      <c r="M107" s="4" t="n">
        <v>0.28</v>
      </c>
      <c r="N107" s="24" t="n">
        <v>0.244907921231971</v>
      </c>
      <c r="O107" s="25" t="n">
        <v>291.157762970011</v>
      </c>
      <c r="P107" s="25" t="n">
        <v>192.835569648162</v>
      </c>
      <c r="Q107" s="26" t="n">
        <v>0.0193939393939394</v>
      </c>
      <c r="R107" s="24" t="n">
        <v>0.874671147257039</v>
      </c>
      <c r="S107" s="4" t="n">
        <v>0.178172142312148</v>
      </c>
      <c r="T107" s="25" t="n">
        <v>291.157762970011</v>
      </c>
      <c r="U107" s="25" t="n">
        <v>232</v>
      </c>
      <c r="V107" s="26" t="n">
        <v>0.0157460983498901</v>
      </c>
      <c r="W107" s="24" t="n">
        <f aca="false">(I107-H107)/(J107-H107)</f>
        <v>1.14562225437185</v>
      </c>
      <c r="X107" s="24" t="n">
        <f aca="false">0.5*(1+(I107-K107-L107)/(I107-K107))</f>
        <v>0.653374233128834</v>
      </c>
      <c r="Y107" s="24" t="n">
        <v>0.636329079686242</v>
      </c>
      <c r="Z107" s="24" t="n">
        <v>0.197607794355229</v>
      </c>
      <c r="AA107" s="25" t="n">
        <v>291.157762970011</v>
      </c>
      <c r="AB107" s="25" t="n">
        <v>192.835569648162</v>
      </c>
      <c r="AC107" s="26" t="n">
        <v>0.0193939393939394</v>
      </c>
      <c r="AD107" s="24" t="n">
        <v>0.705742122697247</v>
      </c>
      <c r="AE107" s="24" t="n">
        <v>0.363359827656984</v>
      </c>
      <c r="AF107" s="24" t="n">
        <v>0.235301576066291</v>
      </c>
      <c r="AG107" s="25" t="n">
        <v>300.234449826436</v>
      </c>
      <c r="AH107" s="26" t="n">
        <v>0.0105</v>
      </c>
      <c r="AI107" s="24" t="n">
        <v>0.840362771665326</v>
      </c>
    </row>
    <row r="108" customFormat="false" ht="14.25" hidden="false" customHeight="false" outlineLevel="0" collapsed="false">
      <c r="B108" s="1" t="n">
        <v>16</v>
      </c>
      <c r="C108" s="1" t="n">
        <v>2</v>
      </c>
      <c r="D108" s="2" t="n">
        <v>168</v>
      </c>
      <c r="E108" s="4" t="n">
        <v>3.269</v>
      </c>
      <c r="F108" s="1" t="n">
        <v>25</v>
      </c>
      <c r="G108" s="1" t="n">
        <v>33</v>
      </c>
      <c r="H108" s="3" t="n">
        <v>73.3862853425291</v>
      </c>
      <c r="I108" s="1" t="n">
        <v>333</v>
      </c>
      <c r="J108" s="32" t="n">
        <v>300</v>
      </c>
      <c r="K108" s="25" t="n">
        <v>170</v>
      </c>
      <c r="L108" s="32" t="n">
        <v>113</v>
      </c>
      <c r="M108" s="4" t="n">
        <v>0.33</v>
      </c>
      <c r="N108" s="24" t="n">
        <v>0.281888616637765</v>
      </c>
      <c r="O108" s="25" t="n">
        <v>317.651395499535</v>
      </c>
      <c r="P108" s="25" t="n">
        <v>192.835569648162</v>
      </c>
      <c r="Q108" s="26" t="n">
        <v>0.0193939393939394</v>
      </c>
      <c r="R108" s="24" t="n">
        <v>0.854207929205349</v>
      </c>
      <c r="S108" s="4" t="n">
        <v>0.20922208618237</v>
      </c>
      <c r="T108" s="25" t="n">
        <v>317.651395499535</v>
      </c>
      <c r="U108" s="25" t="n">
        <v>232</v>
      </c>
      <c r="V108" s="26" t="n">
        <v>0.0157460983498901</v>
      </c>
      <c r="W108" s="24" t="n">
        <f aca="false">(I108-H108)/(J108-H108)</f>
        <v>1.14562225437185</v>
      </c>
      <c r="X108" s="24" t="n">
        <f aca="false">0.5*(1+(I108-K108-L108)/(I108-K108))</f>
        <v>0.653374233128834</v>
      </c>
      <c r="Y108" s="24" t="n">
        <v>0.634006321764757</v>
      </c>
      <c r="Z108" s="24" t="n">
        <v>0.227446247991606</v>
      </c>
      <c r="AA108" s="25" t="n">
        <v>317.651395499535</v>
      </c>
      <c r="AB108" s="25" t="n">
        <v>192.835569648162</v>
      </c>
      <c r="AC108" s="26" t="n">
        <v>0.0193939393939394</v>
      </c>
      <c r="AD108" s="24" t="n">
        <v>0.689231054520018</v>
      </c>
      <c r="AE108" s="24" t="n">
        <v>0.3964234205756</v>
      </c>
      <c r="AF108" s="24" t="n">
        <v>0.28007195534083</v>
      </c>
      <c r="AG108" s="25" t="n">
        <v>327.554007118215</v>
      </c>
      <c r="AH108" s="26" t="n">
        <v>0.0105</v>
      </c>
      <c r="AI108" s="24" t="n">
        <v>0.848702894972211</v>
      </c>
    </row>
    <row r="109" customFormat="false" ht="14.25" hidden="false" customHeight="false" outlineLevel="0" collapsed="false">
      <c r="B109" s="1" t="n">
        <v>16</v>
      </c>
      <c r="C109" s="1" t="n">
        <v>2</v>
      </c>
      <c r="D109" s="2" t="n">
        <v>168</v>
      </c>
      <c r="E109" s="4" t="n">
        <v>3.269</v>
      </c>
      <c r="F109" s="1" t="n">
        <v>25</v>
      </c>
      <c r="G109" s="1" t="n">
        <v>33</v>
      </c>
      <c r="H109" s="3" t="n">
        <v>73.3862853425291</v>
      </c>
      <c r="I109" s="1" t="n">
        <v>333</v>
      </c>
      <c r="J109" s="32" t="n">
        <v>300</v>
      </c>
      <c r="K109" s="25" t="n">
        <v>170</v>
      </c>
      <c r="L109" s="32" t="n">
        <v>113</v>
      </c>
      <c r="M109" s="4" t="n">
        <v>0.38</v>
      </c>
      <c r="N109" s="24" t="n">
        <v>0.318869312043559</v>
      </c>
      <c r="O109" s="25" t="n">
        <v>344.145028029059</v>
      </c>
      <c r="P109" s="25" t="n">
        <v>192.835569648162</v>
      </c>
      <c r="Q109" s="26" t="n">
        <v>0.0193939393939394</v>
      </c>
      <c r="R109" s="24" t="n">
        <v>0.839129768535682</v>
      </c>
      <c r="S109" s="4" t="n">
        <v>0.240272030052592</v>
      </c>
      <c r="T109" s="25" t="n">
        <v>344.145028029059</v>
      </c>
      <c r="U109" s="25" t="n">
        <v>232</v>
      </c>
      <c r="V109" s="26" t="n">
        <v>0.0157460983498901</v>
      </c>
      <c r="W109" s="24" t="n">
        <f aca="false">(I109-H109)/(J109-H109)</f>
        <v>1.14562225437185</v>
      </c>
      <c r="X109" s="24" t="n">
        <f aca="false">0.5*(1+(I109-K109-L109)/(I109-K109))</f>
        <v>0.653374233128834</v>
      </c>
      <c r="Y109" s="24" t="n">
        <v>0.632294815927873</v>
      </c>
      <c r="Z109" s="24" t="n">
        <v>0.257284701627982</v>
      </c>
      <c r="AA109" s="25" t="n">
        <v>344.145028029059</v>
      </c>
      <c r="AB109" s="25" t="n">
        <v>192.835569648162</v>
      </c>
      <c r="AC109" s="26" t="n">
        <v>0.0193939393939394</v>
      </c>
      <c r="AD109" s="24" t="n">
        <v>0.677065004284164</v>
      </c>
      <c r="AE109" s="24" t="n">
        <v>0.429487013494216</v>
      </c>
      <c r="AF109" s="24" t="n">
        <v>0.328738892215417</v>
      </c>
      <c r="AG109" s="25" t="n">
        <v>354.873564409995</v>
      </c>
      <c r="AH109" s="26" t="n">
        <v>0.0105</v>
      </c>
      <c r="AI109" s="24" t="n">
        <v>0.865102347935308</v>
      </c>
    </row>
    <row r="110" customFormat="false" ht="14.25" hidden="false" customHeight="false" outlineLevel="0" collapsed="false">
      <c r="B110" s="1" t="n">
        <v>16</v>
      </c>
      <c r="C110" s="1" t="n">
        <v>2</v>
      </c>
      <c r="D110" s="2" t="n">
        <v>168</v>
      </c>
      <c r="E110" s="4" t="n">
        <v>3.269</v>
      </c>
      <c r="F110" s="1" t="n">
        <v>25</v>
      </c>
      <c r="G110" s="1" t="n">
        <v>33</v>
      </c>
      <c r="H110" s="3" t="n">
        <v>73.3862853425291</v>
      </c>
      <c r="I110" s="1" t="n">
        <v>333</v>
      </c>
      <c r="J110" s="32" t="n">
        <v>300</v>
      </c>
      <c r="K110" s="25" t="n">
        <v>170</v>
      </c>
      <c r="L110" s="32" t="n">
        <v>113</v>
      </c>
      <c r="M110" s="4" t="n">
        <v>0.43</v>
      </c>
      <c r="N110" s="24" t="n">
        <v>0.35572336123221</v>
      </c>
      <c r="O110" s="25" t="n">
        <v>370.547928940332</v>
      </c>
      <c r="P110" s="25" t="n">
        <v>192.835569648162</v>
      </c>
      <c r="Q110" s="26" t="n">
        <v>0.0193939393939394</v>
      </c>
      <c r="R110" s="24" t="n">
        <v>0.827263630772583</v>
      </c>
      <c r="S110" s="4" t="n">
        <v>0.271215638498601</v>
      </c>
      <c r="T110" s="25" t="n">
        <v>370.547928940332</v>
      </c>
      <c r="U110" s="25" t="n">
        <v>232</v>
      </c>
      <c r="V110" s="26" t="n">
        <v>0.0157460983498901</v>
      </c>
      <c r="W110" s="24" t="n">
        <f aca="false">(I110-H110)/(J110-H110)</f>
        <v>1.14562225437185</v>
      </c>
      <c r="X110" s="24" t="n">
        <f aca="false">0.5*(1+(I110-K110-L110)/(I110-K110))</f>
        <v>0.653374233128834</v>
      </c>
      <c r="Y110" s="24" t="n">
        <v>0.630734043020002</v>
      </c>
      <c r="Z110" s="24" t="n">
        <v>0.287020968779303</v>
      </c>
      <c r="AA110" s="25" t="n">
        <v>370.547928940332</v>
      </c>
      <c r="AB110" s="25" t="n">
        <v>192.835569648162</v>
      </c>
      <c r="AC110" s="26" t="n">
        <v>0.0193939393939394</v>
      </c>
      <c r="AD110" s="24" t="n">
        <v>0.667490625068146</v>
      </c>
      <c r="AE110" s="24" t="n">
        <v>0.462437374930234</v>
      </c>
      <c r="AF110" s="24" t="n">
        <v>0.381115725384961</v>
      </c>
      <c r="AG110" s="25" t="n">
        <v>382.099561574062</v>
      </c>
      <c r="AH110" s="26" t="n">
        <v>0.0105</v>
      </c>
      <c r="AI110" s="24" t="n">
        <v>0.886315640430142</v>
      </c>
    </row>
    <row r="111" customFormat="false" ht="14.25" hidden="false" customHeight="false" outlineLevel="0" collapsed="false">
      <c r="A111" s="0" t="s">
        <v>46</v>
      </c>
      <c r="B111" s="1" t="n">
        <v>16</v>
      </c>
      <c r="C111" s="1" t="n">
        <v>3</v>
      </c>
      <c r="D111" s="2" t="n">
        <v>76</v>
      </c>
      <c r="E111" s="4" t="n">
        <v>3.269</v>
      </c>
      <c r="F111" s="1" t="n">
        <v>25</v>
      </c>
      <c r="G111" s="1" t="n">
        <v>33</v>
      </c>
      <c r="H111" s="3" t="n">
        <v>87.1145054053498</v>
      </c>
      <c r="I111" s="1" t="n">
        <v>333</v>
      </c>
      <c r="J111" s="32" t="n">
        <v>300</v>
      </c>
      <c r="K111" s="25" t="n">
        <v>172</v>
      </c>
      <c r="L111" s="32" t="n">
        <v>113</v>
      </c>
      <c r="M111" s="4" t="n">
        <v>0.15</v>
      </c>
      <c r="N111" s="24" t="n">
        <v>0.153106235449795</v>
      </c>
      <c r="O111" s="25" t="n">
        <v>233.304692064372</v>
      </c>
      <c r="P111" s="25" t="n">
        <v>135.916601846761</v>
      </c>
      <c r="Q111" s="26" t="n">
        <v>0.0292819225138491</v>
      </c>
      <c r="R111" s="24" t="n">
        <v>1.02070823633196</v>
      </c>
      <c r="S111" s="4" t="n">
        <v>0.122267343570241</v>
      </c>
      <c r="T111" s="25" t="n">
        <v>233.304692064372</v>
      </c>
      <c r="U111" s="25" t="n">
        <v>178</v>
      </c>
      <c r="V111" s="26" t="n">
        <v>0.0212389380530973</v>
      </c>
      <c r="W111" s="24" t="n">
        <f aca="false">(I111-H111)/(J111-H111)</f>
        <v>1.15501290993468</v>
      </c>
      <c r="X111" s="24" t="n">
        <f aca="false">0.5*(1+(I111-K111-L111)/(I111-K111))</f>
        <v>0.649068322981367</v>
      </c>
      <c r="Y111" s="24" t="n">
        <v>0.815115623801606</v>
      </c>
      <c r="Z111" s="24" t="n">
        <v>0.134978302915392</v>
      </c>
      <c r="AA111" s="25" t="n">
        <v>233.304692064372</v>
      </c>
      <c r="AB111" s="25" t="n">
        <v>135.916601846761</v>
      </c>
      <c r="AC111" s="26" t="n">
        <v>0.0292819225138491</v>
      </c>
      <c r="AD111" s="24" t="n">
        <v>0.899855352769282</v>
      </c>
      <c r="AE111" s="24" t="n">
        <v>0.196247756368415</v>
      </c>
      <c r="AF111" s="24" t="n">
        <v>0.152481776878277</v>
      </c>
      <c r="AG111" s="25" t="n">
        <v>241.689107009564</v>
      </c>
      <c r="AH111" s="26" t="n">
        <v>0.0166</v>
      </c>
      <c r="AI111" s="24" t="n">
        <v>1.01654517918851</v>
      </c>
    </row>
    <row r="112" customFormat="false" ht="14.25" hidden="false" customHeight="false" outlineLevel="0" collapsed="false">
      <c r="B112" s="1" t="n">
        <v>16</v>
      </c>
      <c r="C112" s="1" t="n">
        <v>3</v>
      </c>
      <c r="D112" s="2" t="n">
        <v>76</v>
      </c>
      <c r="E112" s="4" t="n">
        <v>3.269</v>
      </c>
      <c r="F112" s="1" t="n">
        <v>25</v>
      </c>
      <c r="G112" s="1" t="n">
        <v>33</v>
      </c>
      <c r="H112" s="3" t="n">
        <v>87.1145054053498</v>
      </c>
      <c r="I112" s="1" t="n">
        <v>333</v>
      </c>
      <c r="J112" s="32" t="n">
        <v>300</v>
      </c>
      <c r="K112" s="25" t="n">
        <v>172</v>
      </c>
      <c r="L112" s="32" t="n">
        <v>113</v>
      </c>
      <c r="M112" s="4" t="n">
        <v>0.18</v>
      </c>
      <c r="N112" s="24" t="n">
        <v>0.17116484293996</v>
      </c>
      <c r="O112" s="25" t="n">
        <v>251.2038920092</v>
      </c>
      <c r="P112" s="25" t="n">
        <v>135.916601846761</v>
      </c>
      <c r="Q112" s="26" t="n">
        <v>0.0292819225138491</v>
      </c>
      <c r="R112" s="24" t="n">
        <v>0.950915794110889</v>
      </c>
      <c r="S112" s="4" t="n">
        <v>0.139582863940406</v>
      </c>
      <c r="T112" s="25" t="n">
        <v>251.2038920092</v>
      </c>
      <c r="U112" s="25" t="n">
        <v>178</v>
      </c>
      <c r="V112" s="26" t="n">
        <v>0.0212389380530973</v>
      </c>
      <c r="W112" s="24" t="n">
        <f aca="false">(I112-H112)/(J112-H112)</f>
        <v>1.15501290993468</v>
      </c>
      <c r="X112" s="24" t="n">
        <f aca="false">0.5*(1+(I112-K112-L112)/(I112-K112))</f>
        <v>0.649068322981367</v>
      </c>
      <c r="Y112" s="24" t="n">
        <v>0.775460355224478</v>
      </c>
      <c r="Z112" s="24" t="n">
        <v>0.150898753084367</v>
      </c>
      <c r="AA112" s="25" t="n">
        <v>251.2038920092</v>
      </c>
      <c r="AB112" s="25" t="n">
        <v>135.916601846761</v>
      </c>
      <c r="AC112" s="26" t="n">
        <v>0.0292819225138491</v>
      </c>
      <c r="AD112" s="24" t="n">
        <v>0.83832640602426</v>
      </c>
      <c r="AE112" s="24" t="n">
        <v>0.211303938046034</v>
      </c>
      <c r="AF112" s="24" t="n">
        <v>0.17677617215085</v>
      </c>
      <c r="AG112" s="25" t="n">
        <v>260.231561567904</v>
      </c>
      <c r="AH112" s="26" t="n">
        <v>0.0166</v>
      </c>
      <c r="AI112" s="24" t="n">
        <v>0.982089845282499</v>
      </c>
    </row>
    <row r="113" customFormat="false" ht="14.25" hidden="false" customHeight="false" outlineLevel="0" collapsed="false">
      <c r="B113" s="1" t="n">
        <v>16</v>
      </c>
      <c r="C113" s="1" t="n">
        <v>3</v>
      </c>
      <c r="D113" s="2" t="n">
        <v>76</v>
      </c>
      <c r="E113" s="4" t="n">
        <v>3.269</v>
      </c>
      <c r="F113" s="1" t="n">
        <v>25</v>
      </c>
      <c r="G113" s="1" t="n">
        <v>33</v>
      </c>
      <c r="H113" s="3" t="n">
        <v>87.1145054053498</v>
      </c>
      <c r="I113" s="1" t="n">
        <v>333</v>
      </c>
      <c r="J113" s="32" t="n">
        <v>300</v>
      </c>
      <c r="K113" s="25" t="n">
        <v>172</v>
      </c>
      <c r="L113" s="32" t="n">
        <v>113</v>
      </c>
      <c r="M113" s="4" t="n">
        <v>0.18</v>
      </c>
      <c r="N113" s="24" t="n">
        <v>0.189285507500539</v>
      </c>
      <c r="O113" s="25" t="n">
        <v>269.164601232189</v>
      </c>
      <c r="P113" s="25" t="n">
        <v>135.916601846761</v>
      </c>
      <c r="Q113" s="26" t="n">
        <v>0.0292819225138491</v>
      </c>
      <c r="R113" s="24" t="n">
        <v>1.05158615278077</v>
      </c>
      <c r="S113" s="4" t="n">
        <v>0.156957887816998</v>
      </c>
      <c r="T113" s="25" t="n">
        <v>269.164601232189</v>
      </c>
      <c r="U113" s="25" t="n">
        <v>178</v>
      </c>
      <c r="V113" s="26" t="n">
        <v>0.0212389380530973</v>
      </c>
      <c r="W113" s="24" t="n">
        <f aca="false">(I113-H113)/(J113-H113)</f>
        <v>1.15501290993468</v>
      </c>
      <c r="X113" s="24" t="n">
        <f aca="false">0.5*(1+(I113-K113-L113)/(I113-K113))</f>
        <v>0.649068322981367</v>
      </c>
      <c r="Y113" s="24" t="n">
        <v>0.871988265649987</v>
      </c>
      <c r="Z113" s="24" t="n">
        <v>0.166873912704094</v>
      </c>
      <c r="AA113" s="25" t="n">
        <v>269.164601232189</v>
      </c>
      <c r="AB113" s="25" t="n">
        <v>135.916601846761</v>
      </c>
      <c r="AC113" s="26" t="n">
        <v>0.0292819225138491</v>
      </c>
      <c r="AD113" s="24" t="n">
        <v>0.927077292800521</v>
      </c>
      <c r="AE113" s="24" t="n">
        <v>0.22641185917959</v>
      </c>
      <c r="AF113" s="24" t="n">
        <v>0.20295833219562</v>
      </c>
      <c r="AG113" s="25" t="n">
        <v>278.837735901358</v>
      </c>
      <c r="AH113" s="26" t="n">
        <v>0.0166</v>
      </c>
      <c r="AI113" s="24" t="n">
        <v>1.12754628997567</v>
      </c>
    </row>
    <row r="114" customFormat="false" ht="14.25" hidden="false" customHeight="false" outlineLevel="0" collapsed="false">
      <c r="B114" s="1" t="n">
        <v>16</v>
      </c>
      <c r="C114" s="1" t="n">
        <v>3</v>
      </c>
      <c r="D114" s="2" t="n">
        <v>76</v>
      </c>
      <c r="E114" s="4" t="n">
        <v>3.269</v>
      </c>
      <c r="F114" s="1" t="n">
        <v>25</v>
      </c>
      <c r="G114" s="1" t="n">
        <v>33</v>
      </c>
      <c r="H114" s="3" t="n">
        <v>87.1145054053498</v>
      </c>
      <c r="I114" s="1" t="n">
        <v>333</v>
      </c>
      <c r="J114" s="32" t="n">
        <v>300</v>
      </c>
      <c r="K114" s="25" t="n">
        <v>172</v>
      </c>
      <c r="L114" s="32" t="n">
        <v>113</v>
      </c>
      <c r="M114" s="4" t="n">
        <v>0.2</v>
      </c>
      <c r="N114" s="24" t="n">
        <v>0.207406172061117</v>
      </c>
      <c r="O114" s="25" t="n">
        <v>287.125310455178</v>
      </c>
      <c r="P114" s="25" t="n">
        <v>135.916601846761</v>
      </c>
      <c r="Q114" s="26" t="n">
        <v>0.0292819225138491</v>
      </c>
      <c r="R114" s="24" t="n">
        <v>1.03703086030558</v>
      </c>
      <c r="S114" s="4" t="n">
        <v>0.17433291169359</v>
      </c>
      <c r="T114" s="25" t="n">
        <v>287.125310455178</v>
      </c>
      <c r="U114" s="25" t="n">
        <v>178</v>
      </c>
      <c r="V114" s="26" t="n">
        <v>0.0212389380530973</v>
      </c>
      <c r="W114" s="24" t="n">
        <f aca="false">(I114-H114)/(J114-H114)</f>
        <v>1.15501290993468</v>
      </c>
      <c r="X114" s="24" t="n">
        <f aca="false">0.5*(1+(I114-K114-L114)/(I114-K114))</f>
        <v>0.649068322981367</v>
      </c>
      <c r="Y114" s="24" t="n">
        <v>0.871664558467947</v>
      </c>
      <c r="Z114" s="24" t="n">
        <v>0.182849072323821</v>
      </c>
      <c r="AA114" s="25" t="n">
        <v>287.125310455178</v>
      </c>
      <c r="AB114" s="25" t="n">
        <v>135.916601846761</v>
      </c>
      <c r="AC114" s="26" t="n">
        <v>0.0292819225138491</v>
      </c>
      <c r="AD114" s="24" t="n">
        <v>0.914245361619103</v>
      </c>
      <c r="AE114" s="24" t="n">
        <v>0.241519780313146</v>
      </c>
      <c r="AF114" s="24" t="n">
        <v>0.230947865936152</v>
      </c>
      <c r="AG114" s="25" t="n">
        <v>297.443910234813</v>
      </c>
      <c r="AH114" s="26" t="n">
        <v>0.0166</v>
      </c>
      <c r="AI114" s="24" t="n">
        <v>1.15473932968076</v>
      </c>
    </row>
    <row r="115" customFormat="false" ht="14.25" hidden="false" customHeight="false" outlineLevel="0" collapsed="false">
      <c r="B115" s="1" t="n">
        <v>16</v>
      </c>
      <c r="C115" s="1" t="n">
        <v>3</v>
      </c>
      <c r="D115" s="2" t="n">
        <v>76</v>
      </c>
      <c r="E115" s="4" t="n">
        <v>3.269</v>
      </c>
      <c r="F115" s="1" t="n">
        <v>25</v>
      </c>
      <c r="G115" s="1" t="n">
        <v>33</v>
      </c>
      <c r="H115" s="3" t="n">
        <v>87.1145054053498</v>
      </c>
      <c r="I115" s="1" t="n">
        <v>333</v>
      </c>
      <c r="J115" s="32" t="n">
        <v>300</v>
      </c>
      <c r="K115" s="25" t="n">
        <v>172</v>
      </c>
      <c r="L115" s="32" t="n">
        <v>113</v>
      </c>
      <c r="M115" s="4" t="n">
        <v>0.2</v>
      </c>
      <c r="N115" s="24" t="n">
        <v>0.225526836621695</v>
      </c>
      <c r="O115" s="25" t="n">
        <v>305.086019678167</v>
      </c>
      <c r="P115" s="25" t="n">
        <v>135.916601846761</v>
      </c>
      <c r="Q115" s="26" t="n">
        <v>0.0292819225138491</v>
      </c>
      <c r="R115" s="24" t="n">
        <v>1.12763418310848</v>
      </c>
      <c r="S115" s="4" t="n">
        <v>0.191707935570181</v>
      </c>
      <c r="T115" s="25" t="n">
        <v>305.086019678167</v>
      </c>
      <c r="U115" s="25" t="n">
        <v>178</v>
      </c>
      <c r="V115" s="26" t="n">
        <v>0.0212389380530973</v>
      </c>
      <c r="W115" s="24" t="n">
        <f aca="false">(I115-H115)/(J115-H115)</f>
        <v>1.15501290993468</v>
      </c>
      <c r="X115" s="24" t="n">
        <f aca="false">0.5*(1+(I115-K115-L115)/(I115-K115))</f>
        <v>0.649068322981367</v>
      </c>
      <c r="Y115" s="24" t="n">
        <v>0.958539677850907</v>
      </c>
      <c r="Z115" s="24" t="n">
        <v>0.198824231943548</v>
      </c>
      <c r="AA115" s="25" t="n">
        <v>305.086019678167</v>
      </c>
      <c r="AB115" s="25" t="n">
        <v>135.916601846761</v>
      </c>
      <c r="AC115" s="26" t="n">
        <v>0.0292819225138491</v>
      </c>
      <c r="AD115" s="24" t="n">
        <v>0.994121159717738</v>
      </c>
      <c r="AE115" s="24" t="n">
        <v>0.256627701446702</v>
      </c>
      <c r="AF115" s="24" t="n">
        <v>0.260744773372447</v>
      </c>
      <c r="AG115" s="25" t="n">
        <v>316.050084568267</v>
      </c>
      <c r="AH115" s="26" t="n">
        <v>0.0166</v>
      </c>
      <c r="AI115" s="24" t="n">
        <v>1.28313850723351</v>
      </c>
    </row>
    <row r="116" customFormat="false" ht="14.25" hidden="false" customHeight="false" outlineLevel="0" collapsed="false">
      <c r="A116" s="0" t="s">
        <v>47</v>
      </c>
      <c r="B116" s="1" t="n">
        <v>16</v>
      </c>
      <c r="C116" s="1" t="n">
        <v>3</v>
      </c>
      <c r="D116" s="2" t="n">
        <v>76</v>
      </c>
      <c r="E116" s="4" t="n">
        <v>3.269</v>
      </c>
      <c r="F116" s="1" t="n">
        <v>25</v>
      </c>
      <c r="G116" s="1" t="n">
        <v>33</v>
      </c>
      <c r="H116" s="3" t="n">
        <v>87.1145054053498</v>
      </c>
      <c r="I116" s="1" t="n">
        <v>333</v>
      </c>
      <c r="J116" s="32" t="n">
        <v>300</v>
      </c>
      <c r="K116" s="25" t="n">
        <v>172</v>
      </c>
      <c r="L116" s="32" t="n">
        <v>113</v>
      </c>
      <c r="M116" s="4" t="n">
        <v>0.15</v>
      </c>
      <c r="N116" s="24" t="n">
        <v>0.17116484293996</v>
      </c>
      <c r="O116" s="25" t="n">
        <v>251.2038920092</v>
      </c>
      <c r="P116" s="25" t="n">
        <v>135.916601846761</v>
      </c>
      <c r="Q116" s="26" t="n">
        <v>0.0292819225138491</v>
      </c>
      <c r="R116" s="24" t="n">
        <v>1.14109895293307</v>
      </c>
      <c r="S116" s="4" t="n">
        <v>0.139582863940406</v>
      </c>
      <c r="T116" s="25" t="n">
        <v>251.2038920092</v>
      </c>
      <c r="U116" s="25" t="n">
        <v>178</v>
      </c>
      <c r="V116" s="26" t="n">
        <v>0.0212389380530973</v>
      </c>
      <c r="W116" s="24" t="n">
        <f aca="false">(I116-H116)/(J116-H116)</f>
        <v>1.15501290993468</v>
      </c>
      <c r="X116" s="24" t="n">
        <f aca="false">0.5*(1+(I116-K116-L116)/(I116-K116))</f>
        <v>0.649068322981367</v>
      </c>
      <c r="Y116" s="24" t="n">
        <v>0.930552426269373</v>
      </c>
      <c r="Z116" s="24" t="n">
        <v>0.150898753084367</v>
      </c>
      <c r="AA116" s="25" t="n">
        <v>251.2038920092</v>
      </c>
      <c r="AB116" s="25" t="n">
        <v>135.916601846761</v>
      </c>
      <c r="AC116" s="26" t="n">
        <v>0.0292819225138491</v>
      </c>
      <c r="AD116" s="24" t="n">
        <v>1.00599168722911</v>
      </c>
      <c r="AE116" s="24" t="n">
        <v>0.211303938046034</v>
      </c>
      <c r="AF116" s="24" t="n">
        <v>0.17677617215085</v>
      </c>
      <c r="AG116" s="25" t="n">
        <v>260.231561567904</v>
      </c>
      <c r="AH116" s="26" t="n">
        <v>0.0166</v>
      </c>
      <c r="AI116" s="24" t="n">
        <v>1.178507814339</v>
      </c>
    </row>
    <row r="117" customFormat="false" ht="14.25" hidden="false" customHeight="false" outlineLevel="0" collapsed="false">
      <c r="B117" s="1" t="n">
        <v>16</v>
      </c>
      <c r="C117" s="1" t="n">
        <v>3</v>
      </c>
      <c r="D117" s="2" t="n">
        <v>76</v>
      </c>
      <c r="E117" s="4" t="n">
        <v>3.269</v>
      </c>
      <c r="F117" s="1" t="n">
        <v>25</v>
      </c>
      <c r="G117" s="1" t="n">
        <v>33</v>
      </c>
      <c r="H117" s="3" t="n">
        <v>87.1145054053498</v>
      </c>
      <c r="I117" s="1" t="n">
        <v>333</v>
      </c>
      <c r="J117" s="32" t="n">
        <v>300</v>
      </c>
      <c r="K117" s="25" t="n">
        <v>172</v>
      </c>
      <c r="L117" s="32" t="n">
        <v>113</v>
      </c>
      <c r="M117" s="4" t="n">
        <v>0.18</v>
      </c>
      <c r="N117" s="24" t="n">
        <v>0.189285507500539</v>
      </c>
      <c r="O117" s="25" t="n">
        <v>269.164601232189</v>
      </c>
      <c r="P117" s="25" t="n">
        <v>135.916601846761</v>
      </c>
      <c r="Q117" s="26" t="n">
        <v>0.0292819225138491</v>
      </c>
      <c r="R117" s="24" t="n">
        <v>1.05158615278077</v>
      </c>
      <c r="S117" s="4" t="n">
        <v>0.156957887816998</v>
      </c>
      <c r="T117" s="25" t="n">
        <v>269.164601232189</v>
      </c>
      <c r="U117" s="25" t="n">
        <v>178</v>
      </c>
      <c r="V117" s="26" t="n">
        <v>0.0212389380530973</v>
      </c>
      <c r="W117" s="24" t="n">
        <f aca="false">(I117-H117)/(J117-H117)</f>
        <v>1.15501290993468</v>
      </c>
      <c r="X117" s="24" t="n">
        <f aca="false">0.5*(1+(I117-K117-L117)/(I117-K117))</f>
        <v>0.649068322981367</v>
      </c>
      <c r="Y117" s="24" t="n">
        <v>0.871988265649987</v>
      </c>
      <c r="Z117" s="24" t="n">
        <v>0.166873912704094</v>
      </c>
      <c r="AA117" s="25" t="n">
        <v>269.164601232189</v>
      </c>
      <c r="AB117" s="25" t="n">
        <v>135.916601846761</v>
      </c>
      <c r="AC117" s="26" t="n">
        <v>0.0292819225138491</v>
      </c>
      <c r="AD117" s="24" t="n">
        <v>0.927077292800521</v>
      </c>
      <c r="AE117" s="24" t="n">
        <v>0.22641185917959</v>
      </c>
      <c r="AF117" s="24" t="n">
        <v>0.20295833219562</v>
      </c>
      <c r="AG117" s="25" t="n">
        <v>278.837735901358</v>
      </c>
      <c r="AH117" s="26" t="n">
        <v>0.0166</v>
      </c>
      <c r="AI117" s="24" t="n">
        <v>1.12754628997567</v>
      </c>
    </row>
    <row r="118" customFormat="false" ht="14.25" hidden="false" customHeight="false" outlineLevel="0" collapsed="false">
      <c r="B118" s="1" t="n">
        <v>16</v>
      </c>
      <c r="C118" s="1" t="n">
        <v>3</v>
      </c>
      <c r="D118" s="2" t="n">
        <v>76</v>
      </c>
      <c r="E118" s="4" t="n">
        <v>3.269</v>
      </c>
      <c r="F118" s="1" t="n">
        <v>25</v>
      </c>
      <c r="G118" s="1" t="n">
        <v>33</v>
      </c>
      <c r="H118" s="3" t="n">
        <v>87.1145054053498</v>
      </c>
      <c r="I118" s="1" t="n">
        <v>333</v>
      </c>
      <c r="J118" s="32" t="n">
        <v>300</v>
      </c>
      <c r="K118" s="25" t="n">
        <v>172</v>
      </c>
      <c r="L118" s="32" t="n">
        <v>113</v>
      </c>
      <c r="M118" s="4" t="n">
        <v>0.2</v>
      </c>
      <c r="N118" s="24" t="n">
        <v>0.207406172061117</v>
      </c>
      <c r="O118" s="25" t="n">
        <v>287.125310455178</v>
      </c>
      <c r="P118" s="25" t="n">
        <v>135.916601846761</v>
      </c>
      <c r="Q118" s="26" t="n">
        <v>0.0292819225138491</v>
      </c>
      <c r="R118" s="24" t="n">
        <v>1.03703086030558</v>
      </c>
      <c r="S118" s="4" t="n">
        <v>0.17433291169359</v>
      </c>
      <c r="T118" s="25" t="n">
        <v>287.125310455178</v>
      </c>
      <c r="U118" s="25" t="n">
        <v>178</v>
      </c>
      <c r="V118" s="26" t="n">
        <v>0.0212389380530973</v>
      </c>
      <c r="W118" s="24" t="n">
        <f aca="false">(I118-H118)/(J118-H118)</f>
        <v>1.15501290993468</v>
      </c>
      <c r="X118" s="24" t="n">
        <f aca="false">0.5*(1+(I118-K118-L118)/(I118-K118))</f>
        <v>0.649068322981367</v>
      </c>
      <c r="Y118" s="24" t="n">
        <v>0.871664558467947</v>
      </c>
      <c r="Z118" s="24" t="n">
        <v>0.182849072323821</v>
      </c>
      <c r="AA118" s="25" t="n">
        <v>287.125310455178</v>
      </c>
      <c r="AB118" s="25" t="n">
        <v>135.916601846761</v>
      </c>
      <c r="AC118" s="26" t="n">
        <v>0.0292819225138491</v>
      </c>
      <c r="AD118" s="24" t="n">
        <v>0.914245361619103</v>
      </c>
      <c r="AE118" s="24" t="n">
        <v>0.241519780313146</v>
      </c>
      <c r="AF118" s="24" t="n">
        <v>0.230947865936152</v>
      </c>
      <c r="AG118" s="25" t="n">
        <v>297.443910234813</v>
      </c>
      <c r="AH118" s="26" t="n">
        <v>0.0166</v>
      </c>
      <c r="AI118" s="24" t="n">
        <v>1.15473932968076</v>
      </c>
    </row>
    <row r="119" customFormat="false" ht="14.25" hidden="false" customHeight="false" outlineLevel="0" collapsed="false">
      <c r="B119" s="1" t="n">
        <v>16</v>
      </c>
      <c r="C119" s="1" t="n">
        <v>3</v>
      </c>
      <c r="D119" s="2" t="n">
        <v>76</v>
      </c>
      <c r="E119" s="4" t="n">
        <v>3.269</v>
      </c>
      <c r="F119" s="1" t="n">
        <v>25</v>
      </c>
      <c r="G119" s="1" t="n">
        <v>33</v>
      </c>
      <c r="H119" s="3" t="n">
        <v>87.1145054053498</v>
      </c>
      <c r="I119" s="1" t="n">
        <v>333</v>
      </c>
      <c r="J119" s="32" t="n">
        <v>300</v>
      </c>
      <c r="K119" s="25" t="n">
        <v>172</v>
      </c>
      <c r="L119" s="32" t="n">
        <v>113</v>
      </c>
      <c r="M119" s="4" t="n">
        <v>0.2</v>
      </c>
      <c r="N119" s="24" t="n">
        <v>0.225526836621695</v>
      </c>
      <c r="O119" s="25" t="n">
        <v>305.086019678167</v>
      </c>
      <c r="P119" s="25" t="n">
        <v>135.916601846761</v>
      </c>
      <c r="Q119" s="26" t="n">
        <v>0.0292819225138491</v>
      </c>
      <c r="R119" s="24" t="n">
        <v>1.12763418310848</v>
      </c>
      <c r="S119" s="4" t="n">
        <v>0.191707935570181</v>
      </c>
      <c r="T119" s="25" t="n">
        <v>305.086019678167</v>
      </c>
      <c r="U119" s="25" t="n">
        <v>178</v>
      </c>
      <c r="V119" s="26" t="n">
        <v>0.0212389380530973</v>
      </c>
      <c r="W119" s="24" t="n">
        <f aca="false">(I119-H119)/(J119-H119)</f>
        <v>1.15501290993468</v>
      </c>
      <c r="X119" s="24" t="n">
        <f aca="false">0.5*(1+(I119-K119-L119)/(I119-K119))</f>
        <v>0.649068322981367</v>
      </c>
      <c r="Y119" s="24" t="n">
        <v>0.958539677850907</v>
      </c>
      <c r="Z119" s="24" t="n">
        <v>0.198824231943548</v>
      </c>
      <c r="AA119" s="25" t="n">
        <v>305.086019678167</v>
      </c>
      <c r="AB119" s="25" t="n">
        <v>135.916601846761</v>
      </c>
      <c r="AC119" s="26" t="n">
        <v>0.0292819225138491</v>
      </c>
      <c r="AD119" s="24" t="n">
        <v>0.994121159717738</v>
      </c>
      <c r="AE119" s="24" t="n">
        <v>0.256627701446702</v>
      </c>
      <c r="AF119" s="24" t="n">
        <v>0.260744773372447</v>
      </c>
      <c r="AG119" s="25" t="n">
        <v>316.050084568267</v>
      </c>
      <c r="AH119" s="26" t="n">
        <v>0.0166</v>
      </c>
      <c r="AI119" s="24" t="n">
        <v>1.28313850723351</v>
      </c>
    </row>
    <row r="120" customFormat="false" ht="14.25" hidden="false" customHeight="false" outlineLevel="0" collapsed="false">
      <c r="A120" s="0" t="s">
        <v>48</v>
      </c>
      <c r="B120" s="1" t="n">
        <v>12</v>
      </c>
      <c r="C120" s="1" t="n">
        <v>2</v>
      </c>
      <c r="D120" s="2" t="n">
        <v>296</v>
      </c>
      <c r="E120" s="4" t="n">
        <v>3.269</v>
      </c>
      <c r="F120" s="1" t="n">
        <v>25</v>
      </c>
      <c r="G120" s="1" t="n">
        <v>31</v>
      </c>
      <c r="H120" s="3" t="n">
        <v>28.7588606062944</v>
      </c>
      <c r="I120" s="1" t="n">
        <v>161</v>
      </c>
      <c r="J120" s="32" t="n">
        <v>130</v>
      </c>
      <c r="K120" s="25" t="n">
        <v>82</v>
      </c>
      <c r="L120" s="32" t="n">
        <v>91</v>
      </c>
      <c r="M120" s="4" t="n">
        <v>0.2</v>
      </c>
      <c r="N120" s="24" t="n">
        <v>0.0071690562907373</v>
      </c>
      <c r="O120" s="25" t="n">
        <v>176.286173520268</v>
      </c>
      <c r="P120" s="25" t="n">
        <v>286.275505437873</v>
      </c>
      <c r="Q120" s="26" t="n">
        <v>0.0124772064696725</v>
      </c>
      <c r="R120" s="24" t="n">
        <v>0.0358452814536865</v>
      </c>
      <c r="S120" s="4" t="n">
        <v>0.0721486096686359</v>
      </c>
      <c r="T120" s="25" t="n">
        <v>176.286173520268</v>
      </c>
      <c r="U120" s="25" t="n">
        <v>303</v>
      </c>
      <c r="V120" s="26" t="n">
        <v>0.0117247911599868</v>
      </c>
      <c r="W120" s="24" t="n">
        <f aca="false">(I120-H120)/(J120-H120)</f>
        <v>1.30619963569797</v>
      </c>
      <c r="X120" s="24" t="n">
        <f aca="false">0.5*(1+(I120-K120-L120)/(I120-K120))</f>
        <v>0.424050632911392</v>
      </c>
      <c r="Y120" s="24" t="n">
        <v>0.36074304834318</v>
      </c>
      <c r="Z120" s="24" t="n">
        <v>0.131420356555269</v>
      </c>
      <c r="AA120" s="25" t="n">
        <v>176.286173520268</v>
      </c>
      <c r="AB120" s="25" t="n">
        <v>286.275505437873</v>
      </c>
      <c r="AC120" s="26" t="n">
        <v>0.0124772064696725</v>
      </c>
      <c r="AD120" s="24" t="n">
        <v>0.657101782776347</v>
      </c>
      <c r="AE120" s="24" t="n">
        <v>0.242542063772406</v>
      </c>
      <c r="AF120" s="24" t="n">
        <v>0.0643680163992452</v>
      </c>
      <c r="AG120" s="25" t="n">
        <v>181.322849846419</v>
      </c>
      <c r="AH120" s="26" t="n">
        <v>0.0069</v>
      </c>
      <c r="AI120" s="24" t="n">
        <v>0.321840081996226</v>
      </c>
    </row>
    <row r="121" customFormat="false" ht="14.25" hidden="false" customHeight="false" outlineLevel="0" collapsed="false">
      <c r="B121" s="1" t="n">
        <v>12</v>
      </c>
      <c r="C121" s="1" t="n">
        <v>2</v>
      </c>
      <c r="D121" s="2" t="n">
        <v>296</v>
      </c>
      <c r="E121" s="4" t="n">
        <v>3.269</v>
      </c>
      <c r="F121" s="1" t="n">
        <v>25</v>
      </c>
      <c r="G121" s="1" t="n">
        <v>31</v>
      </c>
      <c r="H121" s="3" t="n">
        <v>28.7588606062944</v>
      </c>
      <c r="I121" s="1" t="n">
        <v>161</v>
      </c>
      <c r="J121" s="32" t="n">
        <v>130</v>
      </c>
      <c r="K121" s="25" t="n">
        <v>82</v>
      </c>
      <c r="L121" s="32" t="n">
        <v>91</v>
      </c>
      <c r="M121" s="4" t="n">
        <v>0.25</v>
      </c>
      <c r="N121" s="24" t="n">
        <v>0.111925167013664</v>
      </c>
      <c r="O121" s="25" t="n">
        <v>242.346302783752</v>
      </c>
      <c r="P121" s="25" t="n">
        <v>286.275505437873</v>
      </c>
      <c r="Q121" s="26" t="n">
        <v>0.0124772064696725</v>
      </c>
      <c r="R121" s="24" t="n">
        <v>0.447700668054658</v>
      </c>
      <c r="S121" s="4" t="n">
        <v>0.0991850265680176</v>
      </c>
      <c r="T121" s="25" t="n">
        <v>242.346302783752</v>
      </c>
      <c r="U121" s="25" t="n">
        <v>303</v>
      </c>
      <c r="V121" s="26" t="n">
        <v>0.0117247911599868</v>
      </c>
      <c r="W121" s="24" t="n">
        <f aca="false">(I121-H121)/(J121-H121)</f>
        <v>1.30619963569797</v>
      </c>
      <c r="X121" s="24" t="n">
        <f aca="false">0.5*(1+(I121-K121-L121)/(I121-K121))</f>
        <v>0.424050632911392</v>
      </c>
      <c r="Y121" s="24" t="n">
        <v>0.396740106272071</v>
      </c>
      <c r="Z121" s="24" t="n">
        <v>0.180667813508529</v>
      </c>
      <c r="AA121" s="25" t="n">
        <v>242.346302783752</v>
      </c>
      <c r="AB121" s="25" t="n">
        <v>286.275505437873</v>
      </c>
      <c r="AC121" s="26" t="n">
        <v>0.0124772064696725</v>
      </c>
      <c r="AD121" s="24" t="n">
        <v>0.722671254034115</v>
      </c>
      <c r="AE121" s="24" t="n">
        <v>0.333430417434443</v>
      </c>
      <c r="AF121" s="24" t="n">
        <v>0.121648405518749</v>
      </c>
      <c r="AG121" s="25" t="n">
        <v>249.270384585441</v>
      </c>
      <c r="AH121" s="26" t="n">
        <v>0.0069</v>
      </c>
      <c r="AI121" s="24" t="n">
        <v>0.486593622074997</v>
      </c>
    </row>
    <row r="122" customFormat="false" ht="14.25" hidden="false" customHeight="false" outlineLevel="0" collapsed="false">
      <c r="B122" s="1" t="n">
        <v>12</v>
      </c>
      <c r="C122" s="1" t="n">
        <v>2</v>
      </c>
      <c r="D122" s="2" t="n">
        <v>296</v>
      </c>
      <c r="E122" s="4" t="n">
        <v>3.269</v>
      </c>
      <c r="F122" s="1" t="n">
        <v>25</v>
      </c>
      <c r="G122" s="1" t="n">
        <v>31</v>
      </c>
      <c r="H122" s="3" t="n">
        <v>28.7588606062944</v>
      </c>
      <c r="I122" s="1" t="n">
        <v>161</v>
      </c>
      <c r="J122" s="32" t="n">
        <v>130</v>
      </c>
      <c r="K122" s="25" t="n">
        <v>82</v>
      </c>
      <c r="L122" s="32" t="n">
        <v>91</v>
      </c>
      <c r="M122" s="4" t="n">
        <v>0.33</v>
      </c>
      <c r="N122" s="24" t="n">
        <v>0.216681277736592</v>
      </c>
      <c r="O122" s="25" t="n">
        <v>308.406432047236</v>
      </c>
      <c r="P122" s="25" t="n">
        <v>286.275505437873</v>
      </c>
      <c r="Q122" s="26" t="n">
        <v>0.0124772064696725</v>
      </c>
      <c r="R122" s="24" t="n">
        <v>0.656609932535127</v>
      </c>
      <c r="S122" s="4" t="n">
        <v>0.12948602837324</v>
      </c>
      <c r="T122" s="25" t="n">
        <v>308.406432047236</v>
      </c>
      <c r="U122" s="25" t="n">
        <v>303</v>
      </c>
      <c r="V122" s="26" t="n">
        <v>0.0117247911599868</v>
      </c>
      <c r="W122" s="24" t="n">
        <f aca="false">(I122-H122)/(J122-H122)</f>
        <v>1.30619963569797</v>
      </c>
      <c r="X122" s="24" t="n">
        <f aca="false">0.5*(1+(I122-K122-L122)/(I122-K122))</f>
        <v>0.424050632911392</v>
      </c>
      <c r="Y122" s="24" t="n">
        <v>0.392381904161332</v>
      </c>
      <c r="Z122" s="24" t="n">
        <v>0.229915270461788</v>
      </c>
      <c r="AA122" s="25" t="n">
        <v>308.406432047236</v>
      </c>
      <c r="AB122" s="25" t="n">
        <v>286.275505437873</v>
      </c>
      <c r="AC122" s="26" t="n">
        <v>0.0124772064696725</v>
      </c>
      <c r="AD122" s="24" t="n">
        <v>0.696712940793298</v>
      </c>
      <c r="AE122" s="24" t="n">
        <v>0.42431877109648</v>
      </c>
      <c r="AF122" s="24" t="n">
        <v>0.197006464784174</v>
      </c>
      <c r="AG122" s="25" t="n">
        <v>317.217919324463</v>
      </c>
      <c r="AH122" s="26" t="n">
        <v>0.0069</v>
      </c>
      <c r="AI122" s="24" t="n">
        <v>0.596989287224771</v>
      </c>
    </row>
    <row r="123" customFormat="false" ht="14.25" hidden="false" customHeight="false" outlineLevel="0" collapsed="false">
      <c r="A123" s="0" t="s">
        <v>49</v>
      </c>
      <c r="B123" s="1" t="n">
        <v>12</v>
      </c>
      <c r="C123" s="1" t="n">
        <v>2</v>
      </c>
      <c r="D123" s="2" t="n">
        <v>296</v>
      </c>
      <c r="E123" s="4" t="n">
        <v>3.269</v>
      </c>
      <c r="F123" s="1" t="n">
        <v>25</v>
      </c>
      <c r="G123" s="1" t="n">
        <v>31</v>
      </c>
      <c r="H123" s="3" t="n">
        <v>28.7588606062944</v>
      </c>
      <c r="I123" s="1" t="n">
        <v>161</v>
      </c>
      <c r="J123" s="32" t="n">
        <v>130</v>
      </c>
      <c r="K123" s="25" t="n">
        <v>82</v>
      </c>
      <c r="L123" s="32" t="n">
        <v>91</v>
      </c>
      <c r="M123" s="4" t="n">
        <v>0.23</v>
      </c>
      <c r="N123" s="24" t="n">
        <v>0.111925167013664</v>
      </c>
      <c r="O123" s="25" t="n">
        <v>242.346302783752</v>
      </c>
      <c r="P123" s="25" t="n">
        <v>286.275505437873</v>
      </c>
      <c r="Q123" s="26" t="n">
        <v>0.0124772064696725</v>
      </c>
      <c r="R123" s="24" t="n">
        <v>0.486631160928976</v>
      </c>
      <c r="S123" s="4" t="n">
        <v>0.0991850265680176</v>
      </c>
      <c r="T123" s="25" t="n">
        <v>242.346302783752</v>
      </c>
      <c r="U123" s="25" t="n">
        <v>303</v>
      </c>
      <c r="V123" s="26" t="n">
        <v>0.0117247911599868</v>
      </c>
      <c r="W123" s="24" t="n">
        <f aca="false">(I123-H123)/(J123-H123)</f>
        <v>1.30619963569797</v>
      </c>
      <c r="X123" s="24" t="n">
        <f aca="false">0.5*(1+(I123-K123-L123)/(I123-K123))</f>
        <v>0.424050632911392</v>
      </c>
      <c r="Y123" s="24" t="n">
        <v>0.431239245947903</v>
      </c>
      <c r="Z123" s="24" t="n">
        <v>0.180667813508529</v>
      </c>
      <c r="AA123" s="25" t="n">
        <v>242.346302783752</v>
      </c>
      <c r="AB123" s="25" t="n">
        <v>286.275505437873</v>
      </c>
      <c r="AC123" s="26" t="n">
        <v>0.0124772064696725</v>
      </c>
      <c r="AD123" s="24" t="n">
        <v>0.785512232645778</v>
      </c>
      <c r="AE123" s="24" t="n">
        <v>0.333430417434443</v>
      </c>
      <c r="AF123" s="24" t="n">
        <v>0.121648405518749</v>
      </c>
      <c r="AG123" s="25" t="n">
        <v>249.270384585441</v>
      </c>
      <c r="AH123" s="26" t="n">
        <v>0.0069</v>
      </c>
      <c r="AI123" s="24" t="n">
        <v>0.528906110951084</v>
      </c>
    </row>
    <row r="124" customFormat="false" ht="14.25" hidden="false" customHeight="false" outlineLevel="0" collapsed="false">
      <c r="B124" s="1" t="n">
        <v>12</v>
      </c>
      <c r="C124" s="1" t="n">
        <v>2</v>
      </c>
      <c r="D124" s="2" t="n">
        <v>296</v>
      </c>
      <c r="E124" s="4" t="n">
        <v>3.269</v>
      </c>
      <c r="F124" s="1" t="n">
        <v>25</v>
      </c>
      <c r="G124" s="1" t="n">
        <v>31</v>
      </c>
      <c r="H124" s="3" t="n">
        <v>28.7588606062944</v>
      </c>
      <c r="I124" s="1" t="n">
        <v>161</v>
      </c>
      <c r="J124" s="32" t="n">
        <v>130</v>
      </c>
      <c r="K124" s="25" t="n">
        <v>82</v>
      </c>
      <c r="L124" s="32" t="n">
        <v>91</v>
      </c>
      <c r="M124" s="4" t="n">
        <v>0.28</v>
      </c>
      <c r="N124" s="24" t="n">
        <v>0.216681277736592</v>
      </c>
      <c r="O124" s="25" t="n">
        <v>308.406432047236</v>
      </c>
      <c r="P124" s="25" t="n">
        <v>286.275505437873</v>
      </c>
      <c r="Q124" s="26" t="n">
        <v>0.0124772064696725</v>
      </c>
      <c r="R124" s="24" t="n">
        <v>0.773861706202113</v>
      </c>
      <c r="S124" s="4" t="n">
        <v>0.12948602837324</v>
      </c>
      <c r="T124" s="25" t="n">
        <v>308.406432047236</v>
      </c>
      <c r="U124" s="25" t="n">
        <v>303</v>
      </c>
      <c r="V124" s="26" t="n">
        <v>0.0117247911599868</v>
      </c>
      <c r="W124" s="24" t="n">
        <f aca="false">(I124-H124)/(J124-H124)</f>
        <v>1.30619963569797</v>
      </c>
      <c r="X124" s="24" t="n">
        <f aca="false">0.5*(1+(I124-K124-L124)/(I124-K124))</f>
        <v>0.424050632911392</v>
      </c>
      <c r="Y124" s="24" t="n">
        <v>0.462450101332999</v>
      </c>
      <c r="Z124" s="24" t="n">
        <v>0.229915270461788</v>
      </c>
      <c r="AA124" s="25" t="n">
        <v>308.406432047236</v>
      </c>
      <c r="AB124" s="25" t="n">
        <v>286.275505437873</v>
      </c>
      <c r="AC124" s="26" t="n">
        <v>0.0124772064696725</v>
      </c>
      <c r="AD124" s="24" t="n">
        <v>0.821125965934958</v>
      </c>
      <c r="AE124" s="24" t="n">
        <v>0.42431877109648</v>
      </c>
      <c r="AF124" s="24" t="n">
        <v>0.197006464784174</v>
      </c>
      <c r="AG124" s="25" t="n">
        <v>317.217919324463</v>
      </c>
      <c r="AH124" s="26" t="n">
        <v>0.0069</v>
      </c>
      <c r="AI124" s="24" t="n">
        <v>0.703594517086337</v>
      </c>
    </row>
    <row r="125" customFormat="false" ht="14.25" hidden="false" customHeight="false" outlineLevel="0" collapsed="false">
      <c r="A125" s="0" t="s">
        <v>50</v>
      </c>
      <c r="B125" s="1" t="n">
        <v>12</v>
      </c>
      <c r="C125" s="1" t="n">
        <v>3</v>
      </c>
      <c r="D125" s="2" t="n">
        <v>142</v>
      </c>
      <c r="E125" s="4" t="n">
        <v>3.269</v>
      </c>
      <c r="F125" s="1" t="n">
        <v>25</v>
      </c>
      <c r="G125" s="1" t="n">
        <v>31</v>
      </c>
      <c r="H125" s="3" t="n">
        <v>34.253185076506</v>
      </c>
      <c r="I125" s="1" t="n">
        <v>161</v>
      </c>
      <c r="J125" s="32" t="n">
        <v>130</v>
      </c>
      <c r="K125" s="25" t="n">
        <v>82</v>
      </c>
      <c r="L125" s="32" t="n">
        <v>91</v>
      </c>
      <c r="M125" s="4" t="n">
        <v>0.18</v>
      </c>
      <c r="N125" s="24" t="n">
        <v>0.103474462444596</v>
      </c>
      <c r="O125" s="25" t="n">
        <v>208.779739289304</v>
      </c>
      <c r="P125" s="25" t="n">
        <v>191.685974515799</v>
      </c>
      <c r="Q125" s="26" t="n">
        <v>0.0195271179121459</v>
      </c>
      <c r="R125" s="24" t="n">
        <v>0.574858124692201</v>
      </c>
      <c r="S125" s="4" t="n">
        <v>0.0861475657176162</v>
      </c>
      <c r="T125" s="25" t="n">
        <v>208.779739289304</v>
      </c>
      <c r="U125" s="25" t="n">
        <v>303</v>
      </c>
      <c r="V125" s="26" t="n">
        <v>0.0117247911599868</v>
      </c>
      <c r="W125" s="24" t="n">
        <f aca="false">(I125-H125)/(J125-H125)</f>
        <v>1.32377056119068</v>
      </c>
      <c r="X125" s="24" t="n">
        <f aca="false">0.5*(1+(I125-K125-L125)/(I125-K125))</f>
        <v>0.424050632911392</v>
      </c>
      <c r="Y125" s="24" t="n">
        <v>0.47859758732009</v>
      </c>
      <c r="Z125" s="24" t="n">
        <v>0.118672555494497</v>
      </c>
      <c r="AA125" s="25" t="n">
        <v>208.779739289304</v>
      </c>
      <c r="AB125" s="25" t="n">
        <v>191.685974515799</v>
      </c>
      <c r="AC125" s="26" t="n">
        <v>0.0195271179121459</v>
      </c>
      <c r="AD125" s="24" t="n">
        <v>0.659291974969426</v>
      </c>
      <c r="AE125" s="24" t="n">
        <v>0.262937479003861</v>
      </c>
      <c r="AF125" s="24" t="n">
        <v>0.0910971716584437</v>
      </c>
      <c r="AG125" s="25" t="n">
        <v>215.70982177723</v>
      </c>
      <c r="AH125" s="26" t="n">
        <v>0.0076</v>
      </c>
      <c r="AI125" s="24" t="n">
        <v>0.506095398102465</v>
      </c>
    </row>
    <row r="126" customFormat="false" ht="14.25" hidden="false" customHeight="false" outlineLevel="0" collapsed="false">
      <c r="B126" s="1" t="n">
        <v>12</v>
      </c>
      <c r="C126" s="1" t="n">
        <v>3</v>
      </c>
      <c r="D126" s="2" t="n">
        <v>142</v>
      </c>
      <c r="E126" s="4" t="n">
        <v>3.269</v>
      </c>
      <c r="F126" s="1" t="n">
        <v>25</v>
      </c>
      <c r="G126" s="1" t="n">
        <v>31</v>
      </c>
      <c r="H126" s="3" t="n">
        <v>34.253185076506</v>
      </c>
      <c r="I126" s="1" t="n">
        <v>161</v>
      </c>
      <c r="J126" s="32" t="n">
        <v>130</v>
      </c>
      <c r="K126" s="25" t="n">
        <v>82</v>
      </c>
      <c r="L126" s="32" t="n">
        <v>91</v>
      </c>
      <c r="M126" s="4" t="n">
        <v>0.23</v>
      </c>
      <c r="N126" s="24" t="n">
        <v>0.152823893840593</v>
      </c>
      <c r="O126" s="25" t="n">
        <v>253.500001682973</v>
      </c>
      <c r="P126" s="25" t="n">
        <v>191.685974515799</v>
      </c>
      <c r="Q126" s="26" t="n">
        <v>0.0195271179121459</v>
      </c>
      <c r="R126" s="24" t="n">
        <v>0.664451712350405</v>
      </c>
      <c r="S126" s="4" t="n">
        <v>0.104600226673042</v>
      </c>
      <c r="T126" s="25" t="n">
        <v>253.500001682973</v>
      </c>
      <c r="U126" s="25" t="n">
        <v>303</v>
      </c>
      <c r="V126" s="26" t="n">
        <v>0.0117247911599868</v>
      </c>
      <c r="W126" s="24" t="n">
        <f aca="false">(I126-H126)/(J126-H126)</f>
        <v>1.32377056119068</v>
      </c>
      <c r="X126" s="24" t="n">
        <f aca="false">0.5*(1+(I126-K126-L126)/(I126-K126))</f>
        <v>0.424050632911392</v>
      </c>
      <c r="Y126" s="24" t="n">
        <v>0.454783594230617</v>
      </c>
      <c r="Z126" s="24" t="n">
        <v>0.144092013525754</v>
      </c>
      <c r="AA126" s="25" t="n">
        <v>253.500001682973</v>
      </c>
      <c r="AB126" s="25" t="n">
        <v>191.685974515799</v>
      </c>
      <c r="AC126" s="26" t="n">
        <v>0.0195271179121459</v>
      </c>
      <c r="AD126" s="24" t="n">
        <v>0.626487015329364</v>
      </c>
      <c r="AE126" s="24" t="n">
        <v>0.319258236440428</v>
      </c>
      <c r="AF126" s="24" t="n">
        <v>0.134302508552043</v>
      </c>
      <c r="AG126" s="25" t="n">
        <v>261.914495964519</v>
      </c>
      <c r="AH126" s="26" t="n">
        <v>0.0076</v>
      </c>
      <c r="AI126" s="24" t="n">
        <v>0.583923950226275</v>
      </c>
    </row>
    <row r="127" customFormat="false" ht="14.25" hidden="false" customHeight="false" outlineLevel="0" collapsed="false">
      <c r="B127" s="1" t="n">
        <v>12</v>
      </c>
      <c r="C127" s="1" t="n">
        <v>3</v>
      </c>
      <c r="D127" s="2" t="n">
        <v>142</v>
      </c>
      <c r="E127" s="4" t="n">
        <v>3.269</v>
      </c>
      <c r="F127" s="1" t="n">
        <v>25</v>
      </c>
      <c r="G127" s="1" t="n">
        <v>31</v>
      </c>
      <c r="H127" s="3" t="n">
        <v>34.253185076506</v>
      </c>
      <c r="I127" s="1" t="n">
        <v>161</v>
      </c>
      <c r="J127" s="32" t="n">
        <v>130</v>
      </c>
      <c r="K127" s="25" t="n">
        <v>82</v>
      </c>
      <c r="L127" s="32" t="n">
        <v>91</v>
      </c>
      <c r="M127" s="4" t="n">
        <v>0.25</v>
      </c>
      <c r="N127" s="24" t="n">
        <v>0.20217332523659</v>
      </c>
      <c r="O127" s="25" t="n">
        <v>298.220264076643</v>
      </c>
      <c r="P127" s="25" t="n">
        <v>191.685974515799</v>
      </c>
      <c r="Q127" s="26" t="n">
        <v>0.0195271179121459</v>
      </c>
      <c r="R127" s="24" t="n">
        <v>0.80869330094636</v>
      </c>
      <c r="S127" s="4" t="n">
        <v>0.123052887628468</v>
      </c>
      <c r="T127" s="25" t="n">
        <v>298.220264076643</v>
      </c>
      <c r="U127" s="25" t="n">
        <v>303</v>
      </c>
      <c r="V127" s="26" t="n">
        <v>0.0117247911599868</v>
      </c>
      <c r="W127" s="24" t="n">
        <f aca="false">(I127-H127)/(J127-H127)</f>
        <v>1.32377056119068</v>
      </c>
      <c r="X127" s="24" t="n">
        <f aca="false">0.5*(1+(I127-K127-L127)/(I127-K127))</f>
        <v>0.424050632911392</v>
      </c>
      <c r="Y127" s="24" t="n">
        <v>0.492211550513871</v>
      </c>
      <c r="Z127" s="24" t="n">
        <v>0.173562835832662</v>
      </c>
      <c r="AA127" s="25" t="n">
        <v>298.220264076643</v>
      </c>
      <c r="AB127" s="25" t="n">
        <v>191.685974515799</v>
      </c>
      <c r="AC127" s="26" t="n">
        <v>0.0195271179121459</v>
      </c>
      <c r="AD127" s="24" t="n">
        <v>0.694251343330646</v>
      </c>
      <c r="AE127" s="24" t="n">
        <v>0.375578993876996</v>
      </c>
      <c r="AF127" s="24" t="n">
        <v>0.185867086967345</v>
      </c>
      <c r="AG127" s="25" t="n">
        <v>308.119170151809</v>
      </c>
      <c r="AH127" s="26" t="n">
        <v>0.0076</v>
      </c>
      <c r="AI127" s="24" t="n">
        <v>0.74346834786938</v>
      </c>
    </row>
    <row r="128" customFormat="false" ht="14.25" hidden="false" customHeight="false" outlineLevel="0" collapsed="false">
      <c r="A128" s="0" t="s">
        <v>51</v>
      </c>
      <c r="B128" s="1" t="n">
        <v>12</v>
      </c>
      <c r="C128" s="1" t="n">
        <v>3</v>
      </c>
      <c r="D128" s="2" t="n">
        <v>142</v>
      </c>
      <c r="E128" s="4" t="n">
        <v>3.269</v>
      </c>
      <c r="F128" s="1" t="n">
        <v>25</v>
      </c>
      <c r="G128" s="1" t="n">
        <v>31</v>
      </c>
      <c r="H128" s="3" t="n">
        <v>34.253185076506</v>
      </c>
      <c r="I128" s="1" t="n">
        <v>161</v>
      </c>
      <c r="J128" s="32" t="n">
        <v>130</v>
      </c>
      <c r="K128" s="25" t="n">
        <v>82</v>
      </c>
      <c r="L128" s="32" t="n">
        <v>91</v>
      </c>
      <c r="M128" s="4" t="n">
        <v>0.18</v>
      </c>
      <c r="N128" s="24" t="n">
        <v>0.103474462444596</v>
      </c>
      <c r="O128" s="25" t="n">
        <v>208.779739289304</v>
      </c>
      <c r="P128" s="25" t="n">
        <v>191.685974515799</v>
      </c>
      <c r="Q128" s="26" t="n">
        <v>0.0195271179121459</v>
      </c>
      <c r="R128" s="24" t="n">
        <v>0.574858124692201</v>
      </c>
      <c r="S128" s="4" t="n">
        <v>0.0861475657176162</v>
      </c>
      <c r="T128" s="25" t="n">
        <v>208.779739289304</v>
      </c>
      <c r="U128" s="25" t="n">
        <v>303</v>
      </c>
      <c r="V128" s="26" t="n">
        <v>0.0117247911599868</v>
      </c>
      <c r="W128" s="24" t="n">
        <f aca="false">(I128-H128)/(J128-H128)</f>
        <v>1.32377056119068</v>
      </c>
      <c r="X128" s="24" t="n">
        <f aca="false">0.5*(1+(I128-K128-L128)/(I128-K128))</f>
        <v>0.424050632911392</v>
      </c>
      <c r="Y128" s="24" t="n">
        <v>0.47859758732009</v>
      </c>
      <c r="Z128" s="24" t="n">
        <v>0.118672555494497</v>
      </c>
      <c r="AA128" s="25" t="n">
        <v>208.779739289304</v>
      </c>
      <c r="AB128" s="25" t="n">
        <v>191.685974515799</v>
      </c>
      <c r="AC128" s="26" t="n">
        <v>0.0195271179121459</v>
      </c>
      <c r="AD128" s="24" t="n">
        <v>0.659291974969426</v>
      </c>
      <c r="AE128" s="24" t="n">
        <v>0.262937479003861</v>
      </c>
      <c r="AF128" s="24" t="n">
        <v>0.0910971716584437</v>
      </c>
      <c r="AG128" s="25" t="n">
        <v>215.70982177723</v>
      </c>
      <c r="AH128" s="26" t="n">
        <v>0.0076</v>
      </c>
      <c r="AI128" s="24" t="n">
        <v>0.506095398102465</v>
      </c>
    </row>
    <row r="129" customFormat="false" ht="14.25" hidden="false" customHeight="false" outlineLevel="0" collapsed="false">
      <c r="B129" s="1" t="n">
        <v>12</v>
      </c>
      <c r="C129" s="1" t="n">
        <v>3</v>
      </c>
      <c r="D129" s="2" t="n">
        <v>142</v>
      </c>
      <c r="E129" s="4" t="n">
        <v>3.269</v>
      </c>
      <c r="F129" s="1" t="n">
        <v>25</v>
      </c>
      <c r="G129" s="1" t="n">
        <v>31</v>
      </c>
      <c r="H129" s="3" t="n">
        <v>34.253185076506</v>
      </c>
      <c r="I129" s="1" t="n">
        <v>161</v>
      </c>
      <c r="J129" s="32" t="n">
        <v>130</v>
      </c>
      <c r="K129" s="25" t="n">
        <v>82</v>
      </c>
      <c r="L129" s="32" t="n">
        <v>91</v>
      </c>
      <c r="M129" s="4" t="n">
        <v>0.23</v>
      </c>
      <c r="N129" s="24" t="n">
        <v>0.152823893840593</v>
      </c>
      <c r="O129" s="25" t="n">
        <v>253.500001682973</v>
      </c>
      <c r="P129" s="25" t="n">
        <v>191.685974515799</v>
      </c>
      <c r="Q129" s="26" t="n">
        <v>0.0195271179121459</v>
      </c>
      <c r="R129" s="24" t="n">
        <v>0.664451712350405</v>
      </c>
      <c r="S129" s="4" t="n">
        <v>0.104600226673042</v>
      </c>
      <c r="T129" s="25" t="n">
        <v>253.500001682973</v>
      </c>
      <c r="U129" s="25" t="n">
        <v>303</v>
      </c>
      <c r="V129" s="26" t="n">
        <v>0.0117247911599868</v>
      </c>
      <c r="W129" s="24" t="n">
        <f aca="false">(I129-H129)/(J129-H129)</f>
        <v>1.32377056119068</v>
      </c>
      <c r="X129" s="24" t="n">
        <f aca="false">0.5*(1+(I129-K129-L129)/(I129-K129))</f>
        <v>0.424050632911392</v>
      </c>
      <c r="Y129" s="24" t="n">
        <v>0.454783594230617</v>
      </c>
      <c r="Z129" s="24" t="n">
        <v>0.144092013525754</v>
      </c>
      <c r="AA129" s="25" t="n">
        <v>253.500001682973</v>
      </c>
      <c r="AB129" s="25" t="n">
        <v>191.685974515799</v>
      </c>
      <c r="AC129" s="26" t="n">
        <v>0.0195271179121459</v>
      </c>
      <c r="AD129" s="24" t="n">
        <v>0.626487015329364</v>
      </c>
      <c r="AE129" s="24" t="n">
        <v>0.319258236440428</v>
      </c>
      <c r="AF129" s="24" t="n">
        <v>0.134302508552043</v>
      </c>
      <c r="AG129" s="25" t="n">
        <v>261.914495964519</v>
      </c>
      <c r="AH129" s="26" t="n">
        <v>0.0076</v>
      </c>
      <c r="AI129" s="24" t="n">
        <v>0.583923950226275</v>
      </c>
    </row>
    <row r="130" customFormat="false" ht="14.25" hidden="false" customHeight="false" outlineLevel="0" collapsed="false">
      <c r="B130" s="1" t="n">
        <v>12</v>
      </c>
      <c r="C130" s="1" t="n">
        <v>3</v>
      </c>
      <c r="D130" s="2" t="n">
        <v>142</v>
      </c>
      <c r="E130" s="4" t="n">
        <v>3.269</v>
      </c>
      <c r="F130" s="1" t="n">
        <v>25</v>
      </c>
      <c r="G130" s="1" t="n">
        <v>31</v>
      </c>
      <c r="H130" s="3" t="n">
        <v>34.253185076506</v>
      </c>
      <c r="I130" s="1" t="n">
        <v>161</v>
      </c>
      <c r="J130" s="32" t="n">
        <v>130</v>
      </c>
      <c r="K130" s="25" t="n">
        <v>82</v>
      </c>
      <c r="L130" s="32" t="n">
        <v>91</v>
      </c>
      <c r="M130" s="4" t="n">
        <v>0.25</v>
      </c>
      <c r="N130" s="24" t="n">
        <v>0.20217332523659</v>
      </c>
      <c r="O130" s="25" t="n">
        <v>298.220264076643</v>
      </c>
      <c r="P130" s="25" t="n">
        <v>191.685974515799</v>
      </c>
      <c r="Q130" s="26" t="n">
        <v>0.0195271179121459</v>
      </c>
      <c r="R130" s="24" t="n">
        <v>0.80869330094636</v>
      </c>
      <c r="S130" s="4" t="n">
        <v>0.123052887628468</v>
      </c>
      <c r="T130" s="25" t="n">
        <v>298.220264076643</v>
      </c>
      <c r="U130" s="25" t="n">
        <v>303</v>
      </c>
      <c r="V130" s="26" t="n">
        <v>0.0117247911599868</v>
      </c>
      <c r="W130" s="24" t="n">
        <f aca="false">(I130-H130)/(J130-H130)</f>
        <v>1.32377056119068</v>
      </c>
      <c r="X130" s="24" t="n">
        <f aca="false">0.5*(1+(I130-K130-L130)/(I130-K130))</f>
        <v>0.424050632911392</v>
      </c>
      <c r="Y130" s="24" t="n">
        <v>0.492211550513871</v>
      </c>
      <c r="Z130" s="24" t="n">
        <v>0.173562835832662</v>
      </c>
      <c r="AA130" s="25" t="n">
        <v>298.220264076643</v>
      </c>
      <c r="AB130" s="25" t="n">
        <v>191.685974515799</v>
      </c>
      <c r="AC130" s="26" t="n">
        <v>0.0195271179121459</v>
      </c>
      <c r="AD130" s="24" t="n">
        <v>0.694251343330646</v>
      </c>
      <c r="AE130" s="24" t="n">
        <v>0.375578993876996</v>
      </c>
      <c r="AF130" s="24" t="n">
        <v>0.185867086967345</v>
      </c>
      <c r="AG130" s="25" t="n">
        <v>308.119170151809</v>
      </c>
      <c r="AH130" s="26" t="n">
        <v>0.0076</v>
      </c>
      <c r="AI130" s="24" t="n">
        <v>0.74346834786938</v>
      </c>
    </row>
    <row r="131" customFormat="false" ht="14.25" hidden="false" customHeight="false" outlineLevel="0" collapsed="false">
      <c r="A131" s="0" t="s">
        <v>52</v>
      </c>
      <c r="B131" s="1" t="n">
        <v>12</v>
      </c>
      <c r="C131" s="1" t="n">
        <v>4</v>
      </c>
      <c r="D131" s="2" t="n">
        <v>90.67</v>
      </c>
      <c r="E131" s="4" t="n">
        <v>3.269</v>
      </c>
      <c r="F131" s="1" t="n">
        <v>25</v>
      </c>
      <c r="G131" s="1" t="n">
        <v>31</v>
      </c>
      <c r="H131" s="3" t="n">
        <v>38.6362611891593</v>
      </c>
      <c r="I131" s="1" t="n">
        <v>161</v>
      </c>
      <c r="J131" s="32" t="n">
        <v>130</v>
      </c>
      <c r="K131" s="25" t="n">
        <v>83</v>
      </c>
      <c r="L131" s="32" t="n">
        <v>91</v>
      </c>
      <c r="M131" s="4" t="n">
        <v>0.15</v>
      </c>
      <c r="N131" s="24" t="n">
        <v>0.120790775953349</v>
      </c>
      <c r="O131" s="25" t="n">
        <v>226.45530266576</v>
      </c>
      <c r="P131" s="25" t="n">
        <v>145.492018412598</v>
      </c>
      <c r="Q131" s="26" t="n">
        <v>0.026968773854658</v>
      </c>
      <c r="R131" s="24" t="n">
        <v>0.805271839688994</v>
      </c>
      <c r="S131" s="4" t="n">
        <v>0.0923849935957769</v>
      </c>
      <c r="T131" s="25" t="n">
        <v>226.45530266576</v>
      </c>
      <c r="U131" s="25" t="n">
        <v>295</v>
      </c>
      <c r="V131" s="26" t="n">
        <v>0.0120879120879121</v>
      </c>
      <c r="W131" s="24" t="n">
        <f aca="false">(I131-H131)/(J131-H131)</f>
        <v>1.33930310212219</v>
      </c>
      <c r="X131" s="24" t="n">
        <f aca="false">0.5*(1+(I131-K131-L131)/(I131-K131))</f>
        <v>0.416666666666667</v>
      </c>
      <c r="Y131" s="24" t="n">
        <v>0.615899957305179</v>
      </c>
      <c r="Z131" s="24" t="n">
        <v>0.1117754998036</v>
      </c>
      <c r="AA131" s="25" t="n">
        <v>226.45530266576</v>
      </c>
      <c r="AB131" s="25" t="n">
        <v>145.492018412598</v>
      </c>
      <c r="AC131" s="26" t="n">
        <v>0.026968773854658</v>
      </c>
      <c r="AD131" s="24" t="n">
        <v>0.745169998690669</v>
      </c>
      <c r="AE131" s="24" t="n">
        <v>0.231137022897011</v>
      </c>
      <c r="AF131" s="24" t="n">
        <v>0.107884330678079</v>
      </c>
      <c r="AG131" s="25" t="n">
        <v>234.745166679024</v>
      </c>
      <c r="AH131" s="26" t="n">
        <v>0.0096</v>
      </c>
      <c r="AI131" s="24" t="n">
        <v>0.719228871187195</v>
      </c>
    </row>
    <row r="132" customFormat="false" ht="14.25" hidden="false" customHeight="false" outlineLevel="0" collapsed="false">
      <c r="B132" s="1" t="n">
        <v>12</v>
      </c>
      <c r="C132" s="1" t="n">
        <v>4</v>
      </c>
      <c r="D132" s="2" t="n">
        <v>90.67</v>
      </c>
      <c r="E132" s="4" t="n">
        <v>3.269</v>
      </c>
      <c r="F132" s="1" t="n">
        <v>25</v>
      </c>
      <c r="G132" s="1" t="n">
        <v>31</v>
      </c>
      <c r="H132" s="3" t="n">
        <v>38.6362611891593</v>
      </c>
      <c r="I132" s="1" t="n">
        <v>161</v>
      </c>
      <c r="J132" s="32" t="n">
        <v>130</v>
      </c>
      <c r="K132" s="25" t="n">
        <v>83</v>
      </c>
      <c r="L132" s="32" t="n">
        <v>91</v>
      </c>
      <c r="M132" s="4" t="n">
        <v>0.15</v>
      </c>
      <c r="N132" s="24" t="n">
        <v>0.150266789833339</v>
      </c>
      <c r="O132" s="25" t="n">
        <v>260.413895610496</v>
      </c>
      <c r="P132" s="25" t="n">
        <v>145.492018412598</v>
      </c>
      <c r="Q132" s="26" t="n">
        <v>0.026968773854658</v>
      </c>
      <c r="R132" s="24" t="n">
        <v>1.00177859888892</v>
      </c>
      <c r="S132" s="4" t="n">
        <v>0.106238784409197</v>
      </c>
      <c r="T132" s="25" t="n">
        <v>260.413895610496</v>
      </c>
      <c r="U132" s="25" t="n">
        <v>295</v>
      </c>
      <c r="V132" s="26" t="n">
        <v>0.0120879120879121</v>
      </c>
      <c r="W132" s="24" t="n">
        <f aca="false">(I132-H132)/(J132-H132)</f>
        <v>1.33930310212219</v>
      </c>
      <c r="X132" s="24" t="n">
        <f aca="false">0.5*(1+(I132-K132-L132)/(I132-K132))</f>
        <v>0.416666666666667</v>
      </c>
      <c r="Y132" s="24" t="n">
        <v>0.708258562727978</v>
      </c>
      <c r="Z132" s="24" t="n">
        <v>0.139051557579122</v>
      </c>
      <c r="AA132" s="25" t="n">
        <v>260.413895610496</v>
      </c>
      <c r="AB132" s="25" t="n">
        <v>145.492018412598</v>
      </c>
      <c r="AC132" s="26" t="n">
        <v>0.026968773854658</v>
      </c>
      <c r="AD132" s="24" t="n">
        <v>0.927010383860815</v>
      </c>
      <c r="AE132" s="24" t="n">
        <v>0.265797673288594</v>
      </c>
      <c r="AF132" s="24" t="n">
        <v>0.142666396244713</v>
      </c>
      <c r="AG132" s="25" t="n">
        <v>269.946884047344</v>
      </c>
      <c r="AH132" s="26" t="n">
        <v>0.0096</v>
      </c>
      <c r="AI132" s="24" t="n">
        <v>0.951109308298089</v>
      </c>
    </row>
    <row r="133" customFormat="false" ht="14.25" hidden="false" customHeight="false" outlineLevel="0" collapsed="false">
      <c r="B133" s="1" t="n">
        <v>12</v>
      </c>
      <c r="C133" s="1" t="n">
        <v>4</v>
      </c>
      <c r="D133" s="2" t="n">
        <v>90.67</v>
      </c>
      <c r="E133" s="4" t="n">
        <v>3.269</v>
      </c>
      <c r="F133" s="1" t="n">
        <v>25</v>
      </c>
      <c r="G133" s="1" t="n">
        <v>31</v>
      </c>
      <c r="H133" s="3" t="n">
        <v>38.6362611891593</v>
      </c>
      <c r="I133" s="1" t="n">
        <v>161</v>
      </c>
      <c r="J133" s="32" t="n">
        <v>130</v>
      </c>
      <c r="K133" s="25" t="n">
        <v>83</v>
      </c>
      <c r="L133" s="32" t="n">
        <v>91</v>
      </c>
      <c r="M133" s="4" t="n">
        <v>0.18</v>
      </c>
      <c r="N133" s="24" t="n">
        <v>0.179742803713328</v>
      </c>
      <c r="O133" s="25" t="n">
        <v>294.372488555233</v>
      </c>
      <c r="P133" s="25" t="n">
        <v>145.492018412598</v>
      </c>
      <c r="Q133" s="26" t="n">
        <v>0.026968773854658</v>
      </c>
      <c r="R133" s="24" t="n">
        <v>0.998571131740712</v>
      </c>
      <c r="S133" s="4" t="n">
        <v>0.120092575222617</v>
      </c>
      <c r="T133" s="25" t="n">
        <v>294.372488555233</v>
      </c>
      <c r="U133" s="25" t="n">
        <v>295</v>
      </c>
      <c r="V133" s="26" t="n">
        <v>0.0120879120879121</v>
      </c>
      <c r="W133" s="24" t="n">
        <f aca="false">(I133-H133)/(J133-H133)</f>
        <v>1.33930310212219</v>
      </c>
      <c r="X133" s="24" t="n">
        <f aca="false">0.5*(1+(I133-K133-L133)/(I133-K133))</f>
        <v>0.416666666666667</v>
      </c>
      <c r="Y133" s="24" t="n">
        <v>0.667180973458981</v>
      </c>
      <c r="Z133" s="24" t="n">
        <v>0.166327615354644</v>
      </c>
      <c r="AA133" s="25" t="n">
        <v>294.372488555233</v>
      </c>
      <c r="AB133" s="25" t="n">
        <v>145.492018412598</v>
      </c>
      <c r="AC133" s="26" t="n">
        <v>0.026968773854658</v>
      </c>
      <c r="AD133" s="24" t="n">
        <v>0.924042307525802</v>
      </c>
      <c r="AE133" s="24" t="n">
        <v>0.300458323680177</v>
      </c>
      <c r="AF133" s="24" t="n">
        <v>0.182300483711834</v>
      </c>
      <c r="AG133" s="25" t="n">
        <v>305.148601415663</v>
      </c>
      <c r="AH133" s="26" t="n">
        <v>0.0096</v>
      </c>
      <c r="AI133" s="24" t="n">
        <v>1.01278046506575</v>
      </c>
    </row>
    <row r="134" customFormat="false" ht="14.25" hidden="false" customHeight="false" outlineLevel="0" collapsed="false">
      <c r="A134" s="0" t="s">
        <v>53</v>
      </c>
      <c r="B134" s="1" t="n">
        <v>12</v>
      </c>
      <c r="C134" s="1" t="n">
        <v>4</v>
      </c>
      <c r="D134" s="2" t="n">
        <v>90.67</v>
      </c>
      <c r="E134" s="4" t="n">
        <v>3.269</v>
      </c>
      <c r="F134" s="1" t="n">
        <v>25</v>
      </c>
      <c r="G134" s="1" t="n">
        <v>31</v>
      </c>
      <c r="H134" s="3" t="n">
        <v>38.6362611891593</v>
      </c>
      <c r="I134" s="1" t="n">
        <v>161</v>
      </c>
      <c r="J134" s="32" t="n">
        <v>130</v>
      </c>
      <c r="K134" s="25" t="n">
        <v>83</v>
      </c>
      <c r="L134" s="32" t="n">
        <v>91</v>
      </c>
      <c r="M134" s="4" t="n">
        <v>0.18</v>
      </c>
      <c r="N134" s="24" t="n">
        <v>0.120790775953349</v>
      </c>
      <c r="O134" s="25" t="n">
        <v>226.45530266576</v>
      </c>
      <c r="P134" s="25" t="n">
        <v>145.492018412598</v>
      </c>
      <c r="Q134" s="26" t="n">
        <v>0.026968773854658</v>
      </c>
      <c r="R134" s="24" t="n">
        <v>0.671059866407495</v>
      </c>
      <c r="S134" s="4" t="n">
        <v>0.0923849935957769</v>
      </c>
      <c r="T134" s="25" t="n">
        <v>226.45530266576</v>
      </c>
      <c r="U134" s="25" t="n">
        <v>295</v>
      </c>
      <c r="V134" s="26" t="n">
        <v>0.0120879120879121</v>
      </c>
      <c r="W134" s="24" t="n">
        <f aca="false">(I134-H134)/(J134-H134)</f>
        <v>1.33930310212219</v>
      </c>
      <c r="X134" s="24" t="n">
        <f aca="false">0.5*(1+(I134-K134-L134)/(I134-K134))</f>
        <v>0.416666666666667</v>
      </c>
      <c r="Y134" s="24" t="n">
        <v>0.513249964420983</v>
      </c>
      <c r="Z134" s="24" t="n">
        <v>0.1117754998036</v>
      </c>
      <c r="AA134" s="25" t="n">
        <v>226.45530266576</v>
      </c>
      <c r="AB134" s="25" t="n">
        <v>145.492018412598</v>
      </c>
      <c r="AC134" s="26" t="n">
        <v>0.026968773854658</v>
      </c>
      <c r="AD134" s="24" t="n">
        <v>0.620974998908891</v>
      </c>
      <c r="AE134" s="24" t="n">
        <v>0.231137022897011</v>
      </c>
      <c r="AF134" s="24" t="n">
        <v>0.107884330678079</v>
      </c>
      <c r="AG134" s="25" t="n">
        <v>234.745166679024</v>
      </c>
      <c r="AH134" s="26" t="n">
        <v>0.0096</v>
      </c>
      <c r="AI134" s="24" t="n">
        <v>0.599357392655996</v>
      </c>
    </row>
    <row r="135" customFormat="false" ht="14.25" hidden="false" customHeight="false" outlineLevel="0" collapsed="false">
      <c r="B135" s="1" t="n">
        <v>12</v>
      </c>
      <c r="C135" s="1" t="n">
        <v>4</v>
      </c>
      <c r="D135" s="2" t="n">
        <v>90.67</v>
      </c>
      <c r="E135" s="4" t="n">
        <v>3.269</v>
      </c>
      <c r="F135" s="1" t="n">
        <v>25</v>
      </c>
      <c r="G135" s="1" t="n">
        <v>31</v>
      </c>
      <c r="H135" s="3" t="n">
        <v>38.6362611891593</v>
      </c>
      <c r="I135" s="1" t="n">
        <v>161</v>
      </c>
      <c r="J135" s="32" t="n">
        <v>130</v>
      </c>
      <c r="K135" s="25" t="n">
        <v>83</v>
      </c>
      <c r="L135" s="32" t="n">
        <v>91</v>
      </c>
      <c r="M135" s="4" t="n">
        <v>0.2</v>
      </c>
      <c r="N135" s="24" t="n">
        <v>0.150266789833339</v>
      </c>
      <c r="O135" s="25" t="n">
        <v>260.413895610496</v>
      </c>
      <c r="P135" s="25" t="n">
        <v>145.492018412598</v>
      </c>
      <c r="Q135" s="26" t="n">
        <v>0.026968773854658</v>
      </c>
      <c r="R135" s="24" t="n">
        <v>0.751333949166693</v>
      </c>
      <c r="S135" s="4" t="n">
        <v>0.106238784409197</v>
      </c>
      <c r="T135" s="25" t="n">
        <v>260.413895610496</v>
      </c>
      <c r="U135" s="25" t="n">
        <v>295</v>
      </c>
      <c r="V135" s="26" t="n">
        <v>0.0120879120879121</v>
      </c>
      <c r="W135" s="24" t="n">
        <f aca="false">(I135-H135)/(J135-H135)</f>
        <v>1.33930310212219</v>
      </c>
      <c r="X135" s="24" t="n">
        <f aca="false">0.5*(1+(I135-K135-L135)/(I135-K135))</f>
        <v>0.416666666666667</v>
      </c>
      <c r="Y135" s="24" t="n">
        <v>0.531193922045984</v>
      </c>
      <c r="Z135" s="24" t="n">
        <v>0.139051557579122</v>
      </c>
      <c r="AA135" s="25" t="n">
        <v>260.413895610496</v>
      </c>
      <c r="AB135" s="25" t="n">
        <v>145.492018412598</v>
      </c>
      <c r="AC135" s="26" t="n">
        <v>0.026968773854658</v>
      </c>
      <c r="AD135" s="24" t="n">
        <v>0.695257787895611</v>
      </c>
      <c r="AE135" s="24" t="n">
        <v>0.265797673288594</v>
      </c>
      <c r="AF135" s="24" t="n">
        <v>0.142666396244713</v>
      </c>
      <c r="AG135" s="25" t="n">
        <v>269.946884047344</v>
      </c>
      <c r="AH135" s="26" t="n">
        <v>0.0096</v>
      </c>
      <c r="AI135" s="24" t="n">
        <v>0.713331981223567</v>
      </c>
    </row>
    <row r="136" customFormat="false" ht="14.25" hidden="false" customHeight="false" outlineLevel="0" collapsed="false">
      <c r="B136" s="1" t="n">
        <v>12</v>
      </c>
      <c r="C136" s="1" t="n">
        <v>4</v>
      </c>
      <c r="D136" s="2" t="n">
        <v>90.67</v>
      </c>
      <c r="E136" s="4" t="n">
        <v>3.269</v>
      </c>
      <c r="F136" s="1" t="n">
        <v>25</v>
      </c>
      <c r="G136" s="1" t="n">
        <v>31</v>
      </c>
      <c r="H136" s="3" t="n">
        <v>38.6362611891593</v>
      </c>
      <c r="I136" s="1" t="n">
        <v>161</v>
      </c>
      <c r="J136" s="32" t="n">
        <v>130</v>
      </c>
      <c r="K136" s="25" t="n">
        <v>83</v>
      </c>
      <c r="L136" s="32" t="n">
        <v>91</v>
      </c>
      <c r="M136" s="4" t="n">
        <v>0.23</v>
      </c>
      <c r="N136" s="24" t="n">
        <v>0.179742803713328</v>
      </c>
      <c r="O136" s="25" t="n">
        <v>294.372488555233</v>
      </c>
      <c r="P136" s="25" t="n">
        <v>145.492018412598</v>
      </c>
      <c r="Q136" s="26" t="n">
        <v>0.026968773854658</v>
      </c>
      <c r="R136" s="24" t="n">
        <v>0.781490450927514</v>
      </c>
      <c r="S136" s="4" t="n">
        <v>0.120092575222617</v>
      </c>
      <c r="T136" s="25" t="n">
        <v>294.372488555233</v>
      </c>
      <c r="U136" s="25" t="n">
        <v>295</v>
      </c>
      <c r="V136" s="26" t="n">
        <v>0.0120879120879121</v>
      </c>
      <c r="W136" s="24" t="n">
        <f aca="false">(I136-H136)/(J136-H136)</f>
        <v>1.33930310212219</v>
      </c>
      <c r="X136" s="24" t="n">
        <f aca="false">0.5*(1+(I136-K136-L136)/(I136-K136))</f>
        <v>0.416666666666667</v>
      </c>
      <c r="Y136" s="24" t="n">
        <v>0.522141631402681</v>
      </c>
      <c r="Z136" s="24" t="n">
        <v>0.166327615354644</v>
      </c>
      <c r="AA136" s="25" t="n">
        <v>294.372488555233</v>
      </c>
      <c r="AB136" s="25" t="n">
        <v>145.492018412598</v>
      </c>
      <c r="AC136" s="26" t="n">
        <v>0.026968773854658</v>
      </c>
      <c r="AD136" s="24" t="n">
        <v>0.723163545020193</v>
      </c>
      <c r="AE136" s="24" t="n">
        <v>0.300458323680177</v>
      </c>
      <c r="AF136" s="24" t="n">
        <v>0.182300483711834</v>
      </c>
      <c r="AG136" s="25" t="n">
        <v>305.148601415663</v>
      </c>
      <c r="AH136" s="26" t="n">
        <v>0.0096</v>
      </c>
      <c r="AI136" s="24" t="n">
        <v>0.792610798747106</v>
      </c>
    </row>
    <row r="137" customFormat="false" ht="14.25" hidden="false" customHeight="false" outlineLevel="0" collapsed="false">
      <c r="A137" s="0" t="s">
        <v>54</v>
      </c>
      <c r="B137" s="1" t="n">
        <v>10</v>
      </c>
      <c r="C137" s="1" t="n">
        <v>1</v>
      </c>
      <c r="D137" s="2" t="n">
        <v>45</v>
      </c>
      <c r="E137" s="4" t="n">
        <v>2.8</v>
      </c>
      <c r="F137" s="1" t="n">
        <v>40</v>
      </c>
      <c r="G137" s="1" t="n">
        <v>45</v>
      </c>
      <c r="H137" s="3" t="n">
        <v>43.4459689087927</v>
      </c>
      <c r="I137" s="1" t="n">
        <v>250</v>
      </c>
      <c r="J137" s="32" t="n">
        <v>205</v>
      </c>
      <c r="K137" s="25" t="n">
        <v>127</v>
      </c>
      <c r="L137" s="32" t="n">
        <v>95</v>
      </c>
      <c r="M137" s="4" t="n">
        <v>0.16</v>
      </c>
      <c r="N137" s="24" t="n">
        <v>0.165127211242677</v>
      </c>
      <c r="O137" s="25" t="n">
        <v>274.143632212731</v>
      </c>
      <c r="P137" s="25" t="n">
        <v>266.421619941553</v>
      </c>
      <c r="Q137" s="26" t="n">
        <v>0.0114013751634802</v>
      </c>
      <c r="R137" s="24" t="n">
        <v>1.03204507026673</v>
      </c>
      <c r="S137" s="4" t="n">
        <v>0.162851279564335</v>
      </c>
      <c r="T137" s="25" t="n">
        <v>274.143632212731</v>
      </c>
      <c r="U137" s="25" t="n">
        <v>360</v>
      </c>
      <c r="V137" s="26" t="n">
        <v>0.00826315789473684</v>
      </c>
      <c r="W137" s="24" t="n">
        <f aca="false">(I137-H137)/(J137-H137)</f>
        <v>1.27854458162418</v>
      </c>
      <c r="X137" s="24" t="n">
        <f aca="false">0.5*(1+(I137-K137-L137)/(I137-K137))</f>
        <v>0.613821138211382</v>
      </c>
      <c r="Y137" s="24" t="n">
        <v>1.01782049727709</v>
      </c>
      <c r="Z137" s="24" t="n">
        <v>0.209356261929807</v>
      </c>
      <c r="AA137" s="25" t="n">
        <v>274.143632212731</v>
      </c>
      <c r="AB137" s="25" t="n">
        <v>266.421619941553</v>
      </c>
      <c r="AC137" s="26" t="n">
        <v>0.0114013751634802</v>
      </c>
      <c r="AD137" s="24" t="n">
        <v>1.30847663706129</v>
      </c>
      <c r="AE137" s="24" t="n">
        <v>0.231875216932936</v>
      </c>
      <c r="AF137" s="24" t="n">
        <v>0.134918611549185</v>
      </c>
      <c r="AG137" s="25" t="n">
        <v>281.659623643363</v>
      </c>
      <c r="AH137" s="26" t="n">
        <v>0.0084</v>
      </c>
      <c r="AI137" s="24" t="n">
        <v>0.843241322182408</v>
      </c>
    </row>
    <row r="138" customFormat="false" ht="14.25" hidden="false" customHeight="false" outlineLevel="0" collapsed="false">
      <c r="B138" s="1" t="n">
        <v>10</v>
      </c>
      <c r="C138" s="1" t="n">
        <v>1</v>
      </c>
      <c r="D138" s="2" t="n">
        <v>45</v>
      </c>
      <c r="E138" s="4" t="n">
        <v>2.8</v>
      </c>
      <c r="F138" s="1" t="n">
        <v>40</v>
      </c>
      <c r="G138" s="1" t="n">
        <v>45</v>
      </c>
      <c r="H138" s="3" t="n">
        <v>43.4459689087927</v>
      </c>
      <c r="I138" s="1" t="n">
        <v>250</v>
      </c>
      <c r="J138" s="32" t="n">
        <v>205</v>
      </c>
      <c r="K138" s="25" t="n">
        <v>127</v>
      </c>
      <c r="L138" s="32" t="n">
        <v>95</v>
      </c>
      <c r="M138" s="4" t="n">
        <v>0.18</v>
      </c>
      <c r="N138" s="24" t="n">
        <v>0.194108885132405</v>
      </c>
      <c r="O138" s="25" t="n">
        <v>294.202922374639</v>
      </c>
      <c r="P138" s="25" t="n">
        <v>266.421619941553</v>
      </c>
      <c r="Q138" s="26" t="n">
        <v>0.0114013751634802</v>
      </c>
      <c r="R138" s="24" t="n">
        <v>1.07838269518003</v>
      </c>
      <c r="S138" s="4" t="n">
        <v>0.17476722684953</v>
      </c>
      <c r="T138" s="25" t="n">
        <v>294.202922374639</v>
      </c>
      <c r="U138" s="25" t="n">
        <v>360</v>
      </c>
      <c r="V138" s="26" t="n">
        <v>0.00826315789473684</v>
      </c>
      <c r="W138" s="24" t="n">
        <f aca="false">(I138-H138)/(J138-H138)</f>
        <v>1.27854458162418</v>
      </c>
      <c r="X138" s="24" t="n">
        <f aca="false">0.5*(1+(I138-K138-L138)/(I138-K138))</f>
        <v>0.613821138211382</v>
      </c>
      <c r="Y138" s="24" t="n">
        <v>0.970929038052946</v>
      </c>
      <c r="Z138" s="24" t="n">
        <v>0.224675012802719</v>
      </c>
      <c r="AA138" s="25" t="n">
        <v>294.202922374639</v>
      </c>
      <c r="AB138" s="25" t="n">
        <v>266.421619941553</v>
      </c>
      <c r="AC138" s="26" t="n">
        <v>0.0114013751634802</v>
      </c>
      <c r="AD138" s="24" t="n">
        <v>1.24819451557066</v>
      </c>
      <c r="AE138" s="24" t="n">
        <v>0.248841696220712</v>
      </c>
      <c r="AF138" s="24" t="n">
        <v>0.15538514691209</v>
      </c>
      <c r="AG138" s="25" t="n">
        <v>302.268864397756</v>
      </c>
      <c r="AH138" s="26" t="n">
        <v>0.0084</v>
      </c>
      <c r="AI138" s="24" t="n">
        <v>0.863250816178276</v>
      </c>
    </row>
    <row r="139" customFormat="false" ht="14.25" hidden="false" customHeight="false" outlineLevel="0" collapsed="false">
      <c r="B139" s="1" t="n">
        <v>10</v>
      </c>
      <c r="C139" s="1" t="n">
        <v>1</v>
      </c>
      <c r="D139" s="2" t="n">
        <v>45</v>
      </c>
      <c r="E139" s="4" t="n">
        <v>2.8</v>
      </c>
      <c r="F139" s="1" t="n">
        <v>40</v>
      </c>
      <c r="G139" s="1" t="n">
        <v>45</v>
      </c>
      <c r="H139" s="3" t="n">
        <v>43.4459689087927</v>
      </c>
      <c r="I139" s="1" t="n">
        <v>250</v>
      </c>
      <c r="J139" s="32" t="n">
        <v>205</v>
      </c>
      <c r="K139" s="25" t="n">
        <v>127</v>
      </c>
      <c r="L139" s="32" t="n">
        <v>95</v>
      </c>
      <c r="M139" s="4" t="n">
        <v>0.2</v>
      </c>
      <c r="N139" s="24" t="n">
        <v>0.22695478220743</v>
      </c>
      <c r="O139" s="25" t="n">
        <v>316.936784558133</v>
      </c>
      <c r="P139" s="25" t="n">
        <v>266.421619941553</v>
      </c>
      <c r="Q139" s="26" t="n">
        <v>0.0114013751634802</v>
      </c>
      <c r="R139" s="24" t="n">
        <v>1.13477391103715</v>
      </c>
      <c r="S139" s="4" t="n">
        <v>0.188271967106085</v>
      </c>
      <c r="T139" s="25" t="n">
        <v>316.936784558133</v>
      </c>
      <c r="U139" s="25" t="n">
        <v>360</v>
      </c>
      <c r="V139" s="26" t="n">
        <v>0.00826315789473684</v>
      </c>
      <c r="W139" s="24" t="n">
        <f aca="false">(I139-H139)/(J139-H139)</f>
        <v>1.27854458162418</v>
      </c>
      <c r="X139" s="24" t="n">
        <f aca="false">0.5*(1+(I139-K139-L139)/(I139-K139))</f>
        <v>0.613821138211382</v>
      </c>
      <c r="Y139" s="24" t="n">
        <v>0.941359835530424</v>
      </c>
      <c r="Z139" s="24" t="n">
        <v>0.242036263792021</v>
      </c>
      <c r="AA139" s="25" t="n">
        <v>316.936784558133</v>
      </c>
      <c r="AB139" s="25" t="n">
        <v>266.421619941553</v>
      </c>
      <c r="AC139" s="26" t="n">
        <v>0.0114013751634802</v>
      </c>
      <c r="AD139" s="24" t="n">
        <v>1.2101813189601</v>
      </c>
      <c r="AE139" s="24" t="n">
        <v>0.268070372746858</v>
      </c>
      <c r="AF139" s="24" t="n">
        <v>0.180327031341016</v>
      </c>
      <c r="AG139" s="25" t="n">
        <v>325.6260039194</v>
      </c>
      <c r="AH139" s="26" t="n">
        <v>0.0084</v>
      </c>
      <c r="AI139" s="24" t="n">
        <v>0.901635156705079</v>
      </c>
    </row>
    <row r="140" customFormat="false" ht="14.25" hidden="false" customHeight="false" outlineLevel="0" collapsed="false">
      <c r="B140" s="1" t="n">
        <v>10</v>
      </c>
      <c r="C140" s="1" t="n">
        <v>1</v>
      </c>
      <c r="D140" s="2" t="n">
        <v>45</v>
      </c>
      <c r="E140" s="4" t="n">
        <v>2.8</v>
      </c>
      <c r="F140" s="1" t="n">
        <v>40</v>
      </c>
      <c r="G140" s="1" t="n">
        <v>45</v>
      </c>
      <c r="H140" s="3" t="n">
        <v>43.4459689087927</v>
      </c>
      <c r="I140" s="1" t="n">
        <v>250</v>
      </c>
      <c r="J140" s="32" t="n">
        <v>205</v>
      </c>
      <c r="K140" s="25" t="n">
        <v>127</v>
      </c>
      <c r="L140" s="32" t="n">
        <v>95</v>
      </c>
      <c r="M140" s="4" t="n">
        <v>0.22</v>
      </c>
      <c r="N140" s="24" t="n">
        <v>0.255936456097158</v>
      </c>
      <c r="O140" s="25" t="n">
        <v>336.996074720041</v>
      </c>
      <c r="P140" s="25" t="n">
        <v>266.421619941553</v>
      </c>
      <c r="Q140" s="26" t="n">
        <v>0.0114013751634802</v>
      </c>
      <c r="R140" s="24" t="n">
        <v>1.16334752771435</v>
      </c>
      <c r="S140" s="4" t="n">
        <v>0.20018791439128</v>
      </c>
      <c r="T140" s="25" t="n">
        <v>336.996074720041</v>
      </c>
      <c r="U140" s="25" t="n">
        <v>360</v>
      </c>
      <c r="V140" s="26" t="n">
        <v>0.00826315789473684</v>
      </c>
      <c r="W140" s="24" t="n">
        <f aca="false">(I140-H140)/(J140-H140)</f>
        <v>1.27854458162418</v>
      </c>
      <c r="X140" s="24" t="n">
        <f aca="false">0.5*(1+(I140-K140-L140)/(I140-K140))</f>
        <v>0.613821138211382</v>
      </c>
      <c r="Y140" s="24" t="n">
        <v>0.909945065414909</v>
      </c>
      <c r="Z140" s="24" t="n">
        <v>0.257355014664933</v>
      </c>
      <c r="AA140" s="25" t="n">
        <v>336.996074720041</v>
      </c>
      <c r="AB140" s="25" t="n">
        <v>266.421619941553</v>
      </c>
      <c r="AC140" s="26" t="n">
        <v>0.0114013751634802</v>
      </c>
      <c r="AD140" s="24" t="n">
        <v>1.16979552120424</v>
      </c>
      <c r="AE140" s="24" t="n">
        <v>0.285036852034634</v>
      </c>
      <c r="AF140" s="24" t="n">
        <v>0.203875586146805</v>
      </c>
      <c r="AG140" s="25" t="n">
        <v>346.235244673793</v>
      </c>
      <c r="AH140" s="26" t="n">
        <v>0.0084</v>
      </c>
      <c r="AI140" s="24" t="n">
        <v>0.926707209758203</v>
      </c>
    </row>
    <row r="141" customFormat="false" ht="14.25" hidden="false" customHeight="false" outlineLevel="0" collapsed="false">
      <c r="B141" s="1" t="n">
        <v>10</v>
      </c>
      <c r="C141" s="1" t="n">
        <v>1</v>
      </c>
      <c r="D141" s="2" t="n">
        <v>45</v>
      </c>
      <c r="E141" s="4" t="n">
        <v>2.8</v>
      </c>
      <c r="F141" s="1" t="n">
        <v>40</v>
      </c>
      <c r="G141" s="1" t="n">
        <v>45</v>
      </c>
      <c r="H141" s="3" t="n">
        <v>43.4459689087927</v>
      </c>
      <c r="I141" s="1" t="n">
        <v>250</v>
      </c>
      <c r="J141" s="32" t="n">
        <v>205</v>
      </c>
      <c r="K141" s="25" t="n">
        <v>127</v>
      </c>
      <c r="L141" s="32" t="n">
        <v>95</v>
      </c>
      <c r="M141" s="4" t="n">
        <v>0.24</v>
      </c>
      <c r="N141" s="24" t="n">
        <v>0.288782353172183</v>
      </c>
      <c r="O141" s="25" t="n">
        <v>359.729936903535</v>
      </c>
      <c r="P141" s="25" t="n">
        <v>266.421619941553</v>
      </c>
      <c r="Q141" s="26" t="n">
        <v>0.0114013751634802</v>
      </c>
      <c r="R141" s="24" t="n">
        <v>1.20325980488409</v>
      </c>
      <c r="S141" s="4" t="n">
        <v>0.213727605740981</v>
      </c>
      <c r="T141" s="25" t="n">
        <v>359.729936903535</v>
      </c>
      <c r="U141" s="25" t="n">
        <v>360</v>
      </c>
      <c r="V141" s="26" t="n">
        <v>0.00826315789473684</v>
      </c>
      <c r="W141" s="24" t="n">
        <f aca="false">(I141-H141)/(J141-H141)</f>
        <v>1.27854458162418</v>
      </c>
      <c r="X141" s="24" t="n">
        <f aca="false">0.5*(1+(I141-K141-L141)/(I141-K141))</f>
        <v>0.613821138211382</v>
      </c>
      <c r="Y141" s="24" t="n">
        <v>0.89053169058742</v>
      </c>
      <c r="Z141" s="24" t="n">
        <v>0.274716265654234</v>
      </c>
      <c r="AA141" s="25" t="n">
        <v>359.729936903535</v>
      </c>
      <c r="AB141" s="25" t="n">
        <v>266.421619941553</v>
      </c>
      <c r="AC141" s="26" t="n">
        <v>0.0114013751634802</v>
      </c>
      <c r="AD141" s="24" t="n">
        <v>1.14465110689264</v>
      </c>
      <c r="AE141" s="24" t="n">
        <v>0.30426552856078</v>
      </c>
      <c r="AF141" s="24" t="n">
        <v>0.232310425944333</v>
      </c>
      <c r="AG141" s="25" t="n">
        <v>369.592384195438</v>
      </c>
      <c r="AH141" s="26" t="n">
        <v>0.0084</v>
      </c>
      <c r="AI141" s="24" t="n">
        <v>0.967960108101388</v>
      </c>
    </row>
    <row r="142" customFormat="false" ht="14.25" hidden="false" customHeight="false" outlineLevel="0" collapsed="false">
      <c r="B142" s="1" t="n">
        <v>10</v>
      </c>
      <c r="C142" s="1" t="n">
        <v>1</v>
      </c>
      <c r="D142" s="2" t="n">
        <v>45</v>
      </c>
      <c r="E142" s="4" t="n">
        <v>2.8</v>
      </c>
      <c r="F142" s="1" t="n">
        <v>40</v>
      </c>
      <c r="G142" s="1" t="n">
        <v>45</v>
      </c>
      <c r="H142" s="3" t="n">
        <v>43.4459689087927</v>
      </c>
      <c r="I142" s="1" t="n">
        <v>250</v>
      </c>
      <c r="J142" s="32" t="n">
        <v>205</v>
      </c>
      <c r="K142" s="25" t="n">
        <v>127</v>
      </c>
      <c r="L142" s="32" t="n">
        <v>95</v>
      </c>
      <c r="M142" s="4" t="n">
        <v>0.26</v>
      </c>
      <c r="N142" s="24" t="n">
        <v>0.31776402706191</v>
      </c>
      <c r="O142" s="25" t="n">
        <v>379.789227065442</v>
      </c>
      <c r="P142" s="25" t="n">
        <v>266.421619941553</v>
      </c>
      <c r="Q142" s="26" t="n">
        <v>0.0114013751634802</v>
      </c>
      <c r="R142" s="24" t="n">
        <v>1.2221693348535</v>
      </c>
      <c r="S142" s="4" t="n">
        <v>0.243517473953969</v>
      </c>
      <c r="T142" s="25" t="n">
        <v>379.789227065442</v>
      </c>
      <c r="U142" s="25" t="n">
        <v>360</v>
      </c>
      <c r="V142" s="26" t="n">
        <v>0.00826315789473684</v>
      </c>
      <c r="W142" s="24" t="n">
        <f aca="false">(I142-H142)/(J142-H142)</f>
        <v>1.27854458162418</v>
      </c>
      <c r="X142" s="24" t="n">
        <f aca="false">0.5*(1+(I142-K142-L142)/(I142-K142))</f>
        <v>0.613821138211382</v>
      </c>
      <c r="Y142" s="24" t="n">
        <v>0.936605669053726</v>
      </c>
      <c r="Z142" s="24" t="n">
        <v>0.290035016527147</v>
      </c>
      <c r="AA142" s="25" t="n">
        <v>379.789227065442</v>
      </c>
      <c r="AB142" s="25" t="n">
        <v>266.421619941553</v>
      </c>
      <c r="AC142" s="26" t="n">
        <v>0.0114013751634802</v>
      </c>
      <c r="AD142" s="24" t="n">
        <v>1.11551929433518</v>
      </c>
      <c r="AE142" s="24" t="n">
        <v>0.321232007848556</v>
      </c>
      <c r="AF142" s="24" t="n">
        <v>0.258941000193006</v>
      </c>
      <c r="AG142" s="25" t="n">
        <v>390.20162494983</v>
      </c>
      <c r="AH142" s="26" t="n">
        <v>0.0084</v>
      </c>
      <c r="AI142" s="24" t="n">
        <v>0.995926923819255</v>
      </c>
    </row>
    <row r="143" customFormat="false" ht="14.25" hidden="false" customHeight="false" outlineLevel="0" collapsed="false">
      <c r="B143" s="1" t="n">
        <v>10</v>
      </c>
      <c r="C143" s="1" t="n">
        <v>1</v>
      </c>
      <c r="D143" s="2" t="n">
        <v>45</v>
      </c>
      <c r="E143" s="4" t="n">
        <v>2.8</v>
      </c>
      <c r="F143" s="1" t="n">
        <v>40</v>
      </c>
      <c r="G143" s="1" t="n">
        <v>45</v>
      </c>
      <c r="H143" s="3" t="n">
        <v>43.4459689087927</v>
      </c>
      <c r="I143" s="1" t="n">
        <v>250</v>
      </c>
      <c r="J143" s="32" t="n">
        <v>205</v>
      </c>
      <c r="K143" s="25" t="n">
        <v>127</v>
      </c>
      <c r="L143" s="32" t="n">
        <v>95</v>
      </c>
      <c r="M143" s="4" t="n">
        <v>0.28</v>
      </c>
      <c r="N143" s="24" t="n">
        <v>0.352542035729584</v>
      </c>
      <c r="O143" s="25" t="n">
        <v>403.860375259731</v>
      </c>
      <c r="P143" s="25" t="n">
        <v>266.421619941553</v>
      </c>
      <c r="Q143" s="26" t="n">
        <v>0.0114013751634802</v>
      </c>
      <c r="R143" s="24" t="n">
        <v>1.25907869903423</v>
      </c>
      <c r="S143" s="4" t="n">
        <v>0.279265315809555</v>
      </c>
      <c r="T143" s="25" t="n">
        <v>403.860375259731</v>
      </c>
      <c r="U143" s="25" t="n">
        <v>360</v>
      </c>
      <c r="V143" s="26" t="n">
        <v>0.00826315789473684</v>
      </c>
      <c r="W143" s="24" t="n">
        <f aca="false">(I143-H143)/(J143-H143)</f>
        <v>1.27854458162418</v>
      </c>
      <c r="X143" s="24" t="n">
        <f aca="false">0.5*(1+(I143-K143-L143)/(I143-K143))</f>
        <v>0.613821138211382</v>
      </c>
      <c r="Y143" s="24" t="n">
        <v>0.997376127891266</v>
      </c>
      <c r="Z143" s="24" t="n">
        <v>0.31057003114677</v>
      </c>
      <c r="AA143" s="25" t="n">
        <v>403.860375259731</v>
      </c>
      <c r="AB143" s="25" t="n">
        <v>266.421619941553</v>
      </c>
      <c r="AC143" s="26" t="n">
        <v>0.0114013751634802</v>
      </c>
      <c r="AD143" s="24" t="n">
        <v>1.10917868266704</v>
      </c>
      <c r="AE143" s="24" t="n">
        <v>0.341591782993887</v>
      </c>
      <c r="AF143" s="24" t="n">
        <v>0.292804688821699</v>
      </c>
      <c r="AG143" s="25" t="n">
        <v>414.932713855101</v>
      </c>
      <c r="AH143" s="26" t="n">
        <v>0.0084</v>
      </c>
      <c r="AI143" s="24" t="n">
        <v>1.04573103150607</v>
      </c>
    </row>
    <row r="144" customFormat="false" ht="14.25" hidden="false" customHeight="false" outlineLevel="0" collapsed="false">
      <c r="A144" s="0" t="s">
        <v>55</v>
      </c>
      <c r="B144" s="1" t="n">
        <v>10</v>
      </c>
      <c r="C144" s="1" t="n">
        <v>1</v>
      </c>
      <c r="D144" s="2" t="n">
        <v>45</v>
      </c>
      <c r="E144" s="4" t="n">
        <v>2.8</v>
      </c>
      <c r="F144" s="1" t="n">
        <v>40</v>
      </c>
      <c r="G144" s="1" t="n">
        <v>45</v>
      </c>
      <c r="H144" s="3" t="n">
        <v>43.4459689087927</v>
      </c>
      <c r="I144" s="1" t="n">
        <v>250</v>
      </c>
      <c r="J144" s="32" t="n">
        <v>205</v>
      </c>
      <c r="K144" s="25" t="n">
        <v>127</v>
      </c>
      <c r="L144" s="32" t="n">
        <v>95</v>
      </c>
      <c r="M144" s="4" t="n">
        <v>0.15</v>
      </c>
      <c r="N144" s="24" t="n">
        <v>0.132281314167652</v>
      </c>
      <c r="O144" s="25" t="n">
        <v>251.409770029237</v>
      </c>
      <c r="P144" s="25" t="n">
        <v>266.421619941553</v>
      </c>
      <c r="Q144" s="26" t="n">
        <v>0.0114013751634802</v>
      </c>
      <c r="R144" s="24" t="n">
        <v>0.88187542778435</v>
      </c>
      <c r="S144" s="4" t="n">
        <v>0.14934653930778</v>
      </c>
      <c r="T144" s="25" t="n">
        <v>251.409770029237</v>
      </c>
      <c r="U144" s="25" t="n">
        <v>360</v>
      </c>
      <c r="V144" s="26" t="n">
        <v>0.00826315789473684</v>
      </c>
      <c r="W144" s="24" t="n">
        <f aca="false">(I144-H144)/(J144-H144)</f>
        <v>1.27854458162418</v>
      </c>
      <c r="X144" s="24" t="n">
        <f aca="false">0.5*(1+(I144-K144-L144)/(I144-K144))</f>
        <v>0.613821138211382</v>
      </c>
      <c r="Y144" s="24" t="n">
        <v>0.995643595385202</v>
      </c>
      <c r="Z144" s="24" t="n">
        <v>0.191995010940506</v>
      </c>
      <c r="AA144" s="25" t="n">
        <v>251.409770029237</v>
      </c>
      <c r="AB144" s="25" t="n">
        <v>266.421619941553</v>
      </c>
      <c r="AC144" s="26" t="n">
        <v>0.0114013751634802</v>
      </c>
      <c r="AD144" s="24" t="n">
        <v>1.27996673960337</v>
      </c>
      <c r="AE144" s="24" t="n">
        <v>0.21264654040679</v>
      </c>
      <c r="AF144" s="24" t="n">
        <v>0.113469682488862</v>
      </c>
      <c r="AG144" s="25" t="n">
        <v>258.302484121718</v>
      </c>
      <c r="AH144" s="26" t="n">
        <v>0.0084</v>
      </c>
      <c r="AI144" s="24" t="n">
        <v>0.756464549925744</v>
      </c>
    </row>
    <row r="145" customFormat="false" ht="14.25" hidden="false" customHeight="false" outlineLevel="0" collapsed="false">
      <c r="B145" s="1" t="n">
        <v>10</v>
      </c>
      <c r="C145" s="1" t="n">
        <v>1</v>
      </c>
      <c r="D145" s="2" t="n">
        <v>45</v>
      </c>
      <c r="E145" s="4" t="n">
        <v>2.8</v>
      </c>
      <c r="F145" s="1" t="n">
        <v>40</v>
      </c>
      <c r="G145" s="1" t="n">
        <v>45</v>
      </c>
      <c r="H145" s="3" t="n">
        <v>43.4459689087927</v>
      </c>
      <c r="I145" s="1" t="n">
        <v>250</v>
      </c>
      <c r="J145" s="32" t="n">
        <v>205</v>
      </c>
      <c r="K145" s="25" t="n">
        <v>127</v>
      </c>
      <c r="L145" s="32" t="n">
        <v>95</v>
      </c>
      <c r="M145" s="4" t="n">
        <v>0.17</v>
      </c>
      <c r="N145" s="24" t="n">
        <v>0.165127211242677</v>
      </c>
      <c r="O145" s="25" t="n">
        <v>274.143632212731</v>
      </c>
      <c r="P145" s="25" t="n">
        <v>266.421619941553</v>
      </c>
      <c r="Q145" s="26" t="n">
        <v>0.0114013751634802</v>
      </c>
      <c r="R145" s="24" t="n">
        <v>0.971336536721631</v>
      </c>
      <c r="S145" s="4" t="n">
        <v>0.162851279564335</v>
      </c>
      <c r="T145" s="25" t="n">
        <v>274.143632212731</v>
      </c>
      <c r="U145" s="25" t="n">
        <v>360</v>
      </c>
      <c r="V145" s="26" t="n">
        <v>0.00826315789473684</v>
      </c>
      <c r="W145" s="24" t="n">
        <f aca="false">(I145-H145)/(J145-H145)</f>
        <v>1.27854458162418</v>
      </c>
      <c r="X145" s="24" t="n">
        <f aca="false">0.5*(1+(I145-K145-L145)/(I145-K145))</f>
        <v>0.613821138211382</v>
      </c>
      <c r="Y145" s="24" t="n">
        <v>0.957948703319617</v>
      </c>
      <c r="Z145" s="24" t="n">
        <v>0.209356261929807</v>
      </c>
      <c r="AA145" s="25" t="n">
        <v>274.143632212731</v>
      </c>
      <c r="AB145" s="25" t="n">
        <v>266.421619941553</v>
      </c>
      <c r="AC145" s="26" t="n">
        <v>0.0114013751634802</v>
      </c>
      <c r="AD145" s="24" t="n">
        <v>1.23150742311651</v>
      </c>
      <c r="AE145" s="24" t="n">
        <v>0.231875216932936</v>
      </c>
      <c r="AF145" s="24" t="n">
        <v>0.134918611549185</v>
      </c>
      <c r="AG145" s="25" t="n">
        <v>281.659623643363</v>
      </c>
      <c r="AH145" s="26" t="n">
        <v>0.0084</v>
      </c>
      <c r="AI145" s="24" t="n">
        <v>0.793638891465796</v>
      </c>
    </row>
    <row r="146" customFormat="false" ht="14.25" hidden="false" customHeight="false" outlineLevel="0" collapsed="false">
      <c r="B146" s="1" t="n">
        <v>10</v>
      </c>
      <c r="C146" s="1" t="n">
        <v>1</v>
      </c>
      <c r="D146" s="2" t="n">
        <v>45</v>
      </c>
      <c r="E146" s="4" t="n">
        <v>2.8</v>
      </c>
      <c r="F146" s="1" t="n">
        <v>40</v>
      </c>
      <c r="G146" s="1" t="n">
        <v>45</v>
      </c>
      <c r="H146" s="3" t="n">
        <v>43.4459689087927</v>
      </c>
      <c r="I146" s="1" t="n">
        <v>250</v>
      </c>
      <c r="J146" s="32" t="n">
        <v>205</v>
      </c>
      <c r="K146" s="25" t="n">
        <v>127</v>
      </c>
      <c r="L146" s="32" t="n">
        <v>95</v>
      </c>
      <c r="M146" s="4" t="n">
        <v>0.19</v>
      </c>
      <c r="N146" s="24" t="n">
        <v>0.196040996725054</v>
      </c>
      <c r="O146" s="25" t="n">
        <v>295.540208385432</v>
      </c>
      <c r="P146" s="25" t="n">
        <v>266.421619941553</v>
      </c>
      <c r="Q146" s="26" t="n">
        <v>0.0114013751634802</v>
      </c>
      <c r="R146" s="24" t="n">
        <v>1.03179471960555</v>
      </c>
      <c r="S146" s="4" t="n">
        <v>0.17556162333521</v>
      </c>
      <c r="T146" s="25" t="n">
        <v>295.540208385432</v>
      </c>
      <c r="U146" s="25" t="n">
        <v>360</v>
      </c>
      <c r="V146" s="26" t="n">
        <v>0.00826315789473684</v>
      </c>
      <c r="W146" s="24" t="n">
        <f aca="false">(I146-H146)/(J146-H146)</f>
        <v>1.27854458162418</v>
      </c>
      <c r="X146" s="24" t="n">
        <f aca="false">0.5*(1+(I146-K146-L146)/(I146-K146))</f>
        <v>0.613821138211382</v>
      </c>
      <c r="Y146" s="24" t="n">
        <v>0.924008543869526</v>
      </c>
      <c r="Z146" s="24" t="n">
        <v>0.225696262860914</v>
      </c>
      <c r="AA146" s="25" t="n">
        <v>295.540208385432</v>
      </c>
      <c r="AB146" s="25" t="n">
        <v>266.421619941553</v>
      </c>
      <c r="AC146" s="26" t="n">
        <v>0.0114013751634802</v>
      </c>
      <c r="AD146" s="24" t="n">
        <v>1.18787506768902</v>
      </c>
      <c r="AE146" s="24" t="n">
        <v>0.249972794839897</v>
      </c>
      <c r="AF146" s="24" t="n">
        <v>0.156800949593665</v>
      </c>
      <c r="AG146" s="25" t="n">
        <v>303.642813781382</v>
      </c>
      <c r="AH146" s="26" t="n">
        <v>0.0084</v>
      </c>
      <c r="AI146" s="24" t="n">
        <v>0.82526815575613</v>
      </c>
    </row>
    <row r="147" customFormat="false" ht="14.25" hidden="false" customHeight="false" outlineLevel="0" collapsed="false">
      <c r="B147" s="1" t="n">
        <v>10</v>
      </c>
      <c r="C147" s="1" t="n">
        <v>1</v>
      </c>
      <c r="D147" s="2" t="n">
        <v>45</v>
      </c>
      <c r="E147" s="4" t="n">
        <v>2.8</v>
      </c>
      <c r="F147" s="1" t="n">
        <v>40</v>
      </c>
      <c r="G147" s="1" t="n">
        <v>45</v>
      </c>
      <c r="H147" s="3" t="n">
        <v>43.4459689087927</v>
      </c>
      <c r="I147" s="1" t="n">
        <v>250</v>
      </c>
      <c r="J147" s="32" t="n">
        <v>205</v>
      </c>
      <c r="K147" s="25" t="n">
        <v>127</v>
      </c>
      <c r="L147" s="32" t="n">
        <v>95</v>
      </c>
      <c r="M147" s="4" t="n">
        <v>0.2</v>
      </c>
      <c r="N147" s="24" t="n">
        <v>0.224056614818457</v>
      </c>
      <c r="O147" s="25" t="n">
        <v>314.930855541943</v>
      </c>
      <c r="P147" s="25" t="n">
        <v>266.421619941553</v>
      </c>
      <c r="Q147" s="26" t="n">
        <v>0.0114013751634802</v>
      </c>
      <c r="R147" s="24" t="n">
        <v>1.12028307409229</v>
      </c>
      <c r="S147" s="4" t="n">
        <v>0.187080372377565</v>
      </c>
      <c r="T147" s="25" t="n">
        <v>314.930855541943</v>
      </c>
      <c r="U147" s="25" t="n">
        <v>360</v>
      </c>
      <c r="V147" s="26" t="n">
        <v>0.00826315789473684</v>
      </c>
      <c r="W147" s="24" t="n">
        <f aca="false">(I147-H147)/(J147-H147)</f>
        <v>1.27854458162418</v>
      </c>
      <c r="X147" s="24" t="n">
        <f aca="false">0.5*(1+(I147-K147-L147)/(I147-K147))</f>
        <v>0.613821138211382</v>
      </c>
      <c r="Y147" s="24" t="n">
        <v>0.935401861887826</v>
      </c>
      <c r="Z147" s="24" t="n">
        <v>0.240504388704729</v>
      </c>
      <c r="AA147" s="25" t="n">
        <v>314.930855541943</v>
      </c>
      <c r="AB147" s="25" t="n">
        <v>266.421619941553</v>
      </c>
      <c r="AC147" s="26" t="n">
        <v>0.0114013751634802</v>
      </c>
      <c r="AD147" s="24" t="n">
        <v>1.20252194352365</v>
      </c>
      <c r="AE147" s="24" t="n">
        <v>0.26637372481808</v>
      </c>
      <c r="AF147" s="24" t="n">
        <v>0.178051634174199</v>
      </c>
      <c r="AG147" s="25" t="n">
        <v>323.565079843961</v>
      </c>
      <c r="AH147" s="26" t="n">
        <v>0.0084</v>
      </c>
      <c r="AI147" s="24" t="n">
        <v>0.890258170870994</v>
      </c>
    </row>
    <row r="148" customFormat="false" ht="14.25" hidden="false" customHeight="false" outlineLevel="0" collapsed="false">
      <c r="B148" s="1" t="n">
        <v>10</v>
      </c>
      <c r="C148" s="1" t="n">
        <v>1</v>
      </c>
      <c r="D148" s="2" t="n">
        <v>45</v>
      </c>
      <c r="E148" s="4" t="n">
        <v>2.8</v>
      </c>
      <c r="F148" s="1" t="n">
        <v>40</v>
      </c>
      <c r="G148" s="1" t="n">
        <v>45</v>
      </c>
      <c r="H148" s="3" t="n">
        <v>43.4459689087927</v>
      </c>
      <c r="I148" s="1" t="n">
        <v>250</v>
      </c>
      <c r="J148" s="32" t="n">
        <v>205</v>
      </c>
      <c r="K148" s="25" t="n">
        <v>127</v>
      </c>
      <c r="L148" s="32" t="n">
        <v>95</v>
      </c>
      <c r="M148" s="4" t="n">
        <v>0.22</v>
      </c>
      <c r="N148" s="24" t="n">
        <v>0.255936456097158</v>
      </c>
      <c r="O148" s="25" t="n">
        <v>336.996074720041</v>
      </c>
      <c r="P148" s="25" t="n">
        <v>266.421619941553</v>
      </c>
      <c r="Q148" s="26" t="n">
        <v>0.0114013751634802</v>
      </c>
      <c r="R148" s="24" t="n">
        <v>1.16334752771435</v>
      </c>
      <c r="S148" s="4" t="n">
        <v>0.20018791439128</v>
      </c>
      <c r="T148" s="25" t="n">
        <v>336.996074720041</v>
      </c>
      <c r="U148" s="25" t="n">
        <v>360</v>
      </c>
      <c r="V148" s="26" t="n">
        <v>0.00826315789473684</v>
      </c>
      <c r="W148" s="24" t="n">
        <f aca="false">(I148-H148)/(J148-H148)</f>
        <v>1.27854458162418</v>
      </c>
      <c r="X148" s="24" t="n">
        <f aca="false">0.5*(1+(I148-K148-L148)/(I148-K148))</f>
        <v>0.613821138211382</v>
      </c>
      <c r="Y148" s="24" t="n">
        <v>0.909945065414909</v>
      </c>
      <c r="Z148" s="24" t="n">
        <v>0.257355014664933</v>
      </c>
      <c r="AA148" s="25" t="n">
        <v>336.996074720041</v>
      </c>
      <c r="AB148" s="25" t="n">
        <v>266.421619941553</v>
      </c>
      <c r="AC148" s="26" t="n">
        <v>0.0114013751634802</v>
      </c>
      <c r="AD148" s="24" t="n">
        <v>1.16979552120424</v>
      </c>
      <c r="AE148" s="24" t="n">
        <v>0.285036852034634</v>
      </c>
      <c r="AF148" s="24" t="n">
        <v>0.203875586146805</v>
      </c>
      <c r="AG148" s="25" t="n">
        <v>346.235244673793</v>
      </c>
      <c r="AH148" s="26" t="n">
        <v>0.0084</v>
      </c>
      <c r="AI148" s="24" t="n">
        <v>0.926707209758203</v>
      </c>
    </row>
    <row r="149" customFormat="false" ht="14.25" hidden="false" customHeight="false" outlineLevel="0" collapsed="false">
      <c r="B149" s="1" t="n">
        <v>10</v>
      </c>
      <c r="C149" s="1" t="n">
        <v>1</v>
      </c>
      <c r="D149" s="2" t="n">
        <v>45</v>
      </c>
      <c r="E149" s="4" t="n">
        <v>2.8</v>
      </c>
      <c r="F149" s="1" t="n">
        <v>40</v>
      </c>
      <c r="G149" s="1" t="n">
        <v>45</v>
      </c>
      <c r="H149" s="3" t="n">
        <v>43.4459689087927</v>
      </c>
      <c r="I149" s="1" t="n">
        <v>250</v>
      </c>
      <c r="J149" s="32" t="n">
        <v>205</v>
      </c>
      <c r="K149" s="25" t="n">
        <v>127</v>
      </c>
      <c r="L149" s="32" t="n">
        <v>95</v>
      </c>
      <c r="M149" s="4" t="n">
        <v>0.24</v>
      </c>
      <c r="N149" s="24" t="n">
        <v>0.287816297375858</v>
      </c>
      <c r="O149" s="25" t="n">
        <v>359.061293898138</v>
      </c>
      <c r="P149" s="25" t="n">
        <v>266.421619941553</v>
      </c>
      <c r="Q149" s="26" t="n">
        <v>0.0114013751634802</v>
      </c>
      <c r="R149" s="24" t="n">
        <v>1.19923457239941</v>
      </c>
      <c r="S149" s="4" t="n">
        <v>0.213295456404995</v>
      </c>
      <c r="T149" s="25" t="n">
        <v>359.061293898138</v>
      </c>
      <c r="U149" s="25" t="n">
        <v>360</v>
      </c>
      <c r="V149" s="26" t="n">
        <v>0.00826315789473684</v>
      </c>
      <c r="W149" s="24" t="n">
        <f aca="false">(I149-H149)/(J149-H149)</f>
        <v>1.27854458162418</v>
      </c>
      <c r="X149" s="24" t="n">
        <f aca="false">0.5*(1+(I149-K149-L149)/(I149-K149))</f>
        <v>0.613821138211382</v>
      </c>
      <c r="Y149" s="24" t="n">
        <v>0.888731068354145</v>
      </c>
      <c r="Z149" s="24" t="n">
        <v>0.274205640625137</v>
      </c>
      <c r="AA149" s="25" t="n">
        <v>359.061293898138</v>
      </c>
      <c r="AB149" s="25" t="n">
        <v>266.421619941553</v>
      </c>
      <c r="AC149" s="26" t="n">
        <v>0.0114013751634802</v>
      </c>
      <c r="AD149" s="24" t="n">
        <v>1.14252350260474</v>
      </c>
      <c r="AE149" s="24" t="n">
        <v>0.303699979251187</v>
      </c>
      <c r="AF149" s="24" t="n">
        <v>0.231447621022171</v>
      </c>
      <c r="AG149" s="25" t="n">
        <v>368.905409503624</v>
      </c>
      <c r="AH149" s="26" t="n">
        <v>0.0084</v>
      </c>
      <c r="AI149" s="24" t="n">
        <v>0.964365087592381</v>
      </c>
    </row>
    <row r="150" customFormat="false" ht="14.25" hidden="false" customHeight="false" outlineLevel="0" collapsed="false">
      <c r="B150" s="1" t="n">
        <v>10</v>
      </c>
      <c r="C150" s="1" t="n">
        <v>1</v>
      </c>
      <c r="D150" s="2" t="n">
        <v>45</v>
      </c>
      <c r="E150" s="4" t="n">
        <v>2.8</v>
      </c>
      <c r="F150" s="1" t="n">
        <v>40</v>
      </c>
      <c r="G150" s="1" t="n">
        <v>45</v>
      </c>
      <c r="H150" s="3" t="n">
        <v>43.4459689087927</v>
      </c>
      <c r="I150" s="1" t="n">
        <v>250</v>
      </c>
      <c r="J150" s="32" t="n">
        <v>205</v>
      </c>
      <c r="K150" s="25" t="n">
        <v>127</v>
      </c>
      <c r="L150" s="32" t="n">
        <v>95</v>
      </c>
      <c r="M150" s="4" t="n">
        <v>0.26</v>
      </c>
      <c r="N150" s="24" t="n">
        <v>0.314865859672938</v>
      </c>
      <c r="O150" s="25" t="n">
        <v>377.783298049252</v>
      </c>
      <c r="P150" s="25" t="n">
        <v>266.421619941553</v>
      </c>
      <c r="Q150" s="26" t="n">
        <v>0.0114013751634802</v>
      </c>
      <c r="R150" s="24" t="n">
        <v>1.21102253720361</v>
      </c>
      <c r="S150" s="4" t="n">
        <v>0.24053848713267</v>
      </c>
      <c r="T150" s="25" t="n">
        <v>377.783298049252</v>
      </c>
      <c r="U150" s="25" t="n">
        <v>360</v>
      </c>
      <c r="V150" s="26" t="n">
        <v>0.00826315789473684</v>
      </c>
      <c r="W150" s="24" t="n">
        <f aca="false">(I150-H150)/(J150-H150)</f>
        <v>1.27854458162418</v>
      </c>
      <c r="X150" s="24" t="n">
        <f aca="false">0.5*(1+(I150-K150-L150)/(I150-K150))</f>
        <v>0.613821138211382</v>
      </c>
      <c r="Y150" s="24" t="n">
        <v>0.925148027433346</v>
      </c>
      <c r="Z150" s="24" t="n">
        <v>0.288503141439856</v>
      </c>
      <c r="AA150" s="25" t="n">
        <v>377.783298049252</v>
      </c>
      <c r="AB150" s="25" t="n">
        <v>266.421619941553</v>
      </c>
      <c r="AC150" s="26" t="n">
        <v>0.0114013751634802</v>
      </c>
      <c r="AD150" s="24" t="n">
        <v>1.10962746707637</v>
      </c>
      <c r="AE150" s="24" t="n">
        <v>0.319535359919778</v>
      </c>
      <c r="AF150" s="24" t="n">
        <v>0.256212931420516</v>
      </c>
      <c r="AG150" s="25" t="n">
        <v>388.140700874391</v>
      </c>
      <c r="AH150" s="26" t="n">
        <v>0.0084</v>
      </c>
      <c r="AI150" s="24" t="n">
        <v>0.985434351617368</v>
      </c>
    </row>
    <row r="151" customFormat="false" ht="14.25" hidden="false" customHeight="false" outlineLevel="0" collapsed="false">
      <c r="B151" s="1" t="n">
        <v>10</v>
      </c>
      <c r="C151" s="1" t="n">
        <v>1</v>
      </c>
      <c r="D151" s="2" t="n">
        <v>45</v>
      </c>
      <c r="E151" s="4" t="n">
        <v>2.8</v>
      </c>
      <c r="F151" s="1" t="n">
        <v>40</v>
      </c>
      <c r="G151" s="1" t="n">
        <v>45</v>
      </c>
      <c r="H151" s="3" t="n">
        <v>43.4459689087927</v>
      </c>
      <c r="I151" s="1" t="n">
        <v>250</v>
      </c>
      <c r="J151" s="32" t="n">
        <v>205</v>
      </c>
      <c r="K151" s="25" t="n">
        <v>127</v>
      </c>
      <c r="L151" s="32" t="n">
        <v>95</v>
      </c>
      <c r="M151" s="4" t="n">
        <v>0.29</v>
      </c>
      <c r="N151" s="24" t="n">
        <v>0.340949366173693</v>
      </c>
      <c r="O151" s="25" t="n">
        <v>395.836659194968</v>
      </c>
      <c r="P151" s="25" t="n">
        <v>266.421619941553</v>
      </c>
      <c r="Q151" s="26" t="n">
        <v>0.0114013751634802</v>
      </c>
      <c r="R151" s="24" t="n">
        <v>1.17568746956446</v>
      </c>
      <c r="S151" s="4" t="n">
        <v>0.267349368524359</v>
      </c>
      <c r="T151" s="25" t="n">
        <v>395.836659194968</v>
      </c>
      <c r="U151" s="25" t="n">
        <v>360</v>
      </c>
      <c r="V151" s="26" t="n">
        <v>0.00826315789473684</v>
      </c>
      <c r="W151" s="24" t="n">
        <f aca="false">(I151-H151)/(J151-H151)</f>
        <v>1.27854458162418</v>
      </c>
      <c r="X151" s="24" t="n">
        <f aca="false">0.5*(1+(I151-K151-L151)/(I151-K151))</f>
        <v>0.613821138211382</v>
      </c>
      <c r="Y151" s="24" t="n">
        <v>0.921894374221929</v>
      </c>
      <c r="Z151" s="24" t="n">
        <v>0.302290017225477</v>
      </c>
      <c r="AA151" s="25" t="n">
        <v>395.836659194968</v>
      </c>
      <c r="AB151" s="25" t="n">
        <v>266.421619941553</v>
      </c>
      <c r="AC151" s="26" t="n">
        <v>0.0114013751634802</v>
      </c>
      <c r="AD151" s="24" t="n">
        <v>1.04237936974302</v>
      </c>
      <c r="AE151" s="24" t="n">
        <v>0.334805191278776</v>
      </c>
      <c r="AF151" s="24" t="n">
        <v>0.281285641153918</v>
      </c>
      <c r="AG151" s="25" t="n">
        <v>406.689017553344</v>
      </c>
      <c r="AH151" s="26" t="n">
        <v>0.0084</v>
      </c>
      <c r="AI151" s="24" t="n">
        <v>0.96995048673765</v>
      </c>
    </row>
    <row r="152" customFormat="false" ht="14.25" hidden="false" customHeight="false" outlineLevel="0" collapsed="false">
      <c r="A152" s="0" t="s">
        <v>56</v>
      </c>
      <c r="B152" s="1" t="n">
        <v>20</v>
      </c>
      <c r="C152" s="1" t="n">
        <v>1</v>
      </c>
      <c r="D152" s="2" t="n">
        <v>40</v>
      </c>
      <c r="E152" s="4" t="n">
        <v>2.8</v>
      </c>
      <c r="F152" s="1" t="n">
        <v>40</v>
      </c>
      <c r="G152" s="1" t="n">
        <v>50</v>
      </c>
      <c r="H152" s="3" t="n">
        <v>75.4003930660822</v>
      </c>
      <c r="I152" s="1" t="n">
        <v>250</v>
      </c>
      <c r="J152" s="32" t="n">
        <v>200</v>
      </c>
      <c r="K152" s="25" t="n">
        <v>130</v>
      </c>
      <c r="L152" s="32" t="n">
        <v>150</v>
      </c>
      <c r="M152" s="4" t="n">
        <v>0.17</v>
      </c>
      <c r="N152" s="24" t="n">
        <v>0.1324809211424</v>
      </c>
      <c r="O152" s="25" t="n">
        <v>201.33268539096</v>
      </c>
      <c r="P152" s="25" t="n">
        <v>72.0122866367508</v>
      </c>
      <c r="Q152" s="26" t="n">
        <v>0.0541238331858136</v>
      </c>
      <c r="R152" s="24" t="n">
        <v>0.779299536131765</v>
      </c>
      <c r="S152" s="4" t="n">
        <v>0.124480015931012</v>
      </c>
      <c r="T152" s="25" t="n">
        <v>201.33268539096</v>
      </c>
      <c r="U152" s="25" t="n">
        <v>154</v>
      </c>
      <c r="V152" s="26" t="n">
        <v>0.021</v>
      </c>
      <c r="W152" s="24" t="n">
        <f aca="false">(I152-H152)/(J152-H152)</f>
        <v>1.40128537505353</v>
      </c>
      <c r="X152" s="24" t="n">
        <f aca="false">0.5*(1+(I152-K152-L152)/(I152-K152))</f>
        <v>0.375</v>
      </c>
      <c r="Y152" s="24" t="n">
        <v>0.732235387829483</v>
      </c>
      <c r="Z152" s="24" t="n">
        <v>0.144212393826816</v>
      </c>
      <c r="AA152" s="25" t="n">
        <v>201.33268539096</v>
      </c>
      <c r="AB152" s="25" t="n">
        <v>72.0122866367508</v>
      </c>
      <c r="AC152" s="26" t="n">
        <v>0.0541238331858136</v>
      </c>
      <c r="AD152" s="24" t="n">
        <v>0.848308198981271</v>
      </c>
      <c r="AE152" s="24" t="n">
        <v>0.170738511362463</v>
      </c>
      <c r="AF152" s="24" t="n">
        <v>0.154785280126457</v>
      </c>
      <c r="AG152" s="25" t="n">
        <v>210.446996358186</v>
      </c>
      <c r="AH152" s="26" t="n">
        <v>0.0196</v>
      </c>
      <c r="AI152" s="24" t="n">
        <v>0.910501647802688</v>
      </c>
    </row>
    <row r="153" customFormat="false" ht="14.25" hidden="false" customHeight="false" outlineLevel="0" collapsed="false">
      <c r="B153" s="1" t="n">
        <v>20</v>
      </c>
      <c r="C153" s="1" t="n">
        <v>1</v>
      </c>
      <c r="D153" s="2" t="n">
        <v>40</v>
      </c>
      <c r="E153" s="4" t="n">
        <v>2.8</v>
      </c>
      <c r="F153" s="1" t="n">
        <v>40</v>
      </c>
      <c r="G153" s="1" t="n">
        <v>50</v>
      </c>
      <c r="H153" s="3" t="n">
        <v>75.4003930660822</v>
      </c>
      <c r="I153" s="1" t="n">
        <v>250</v>
      </c>
      <c r="J153" s="32" t="n">
        <v>200</v>
      </c>
      <c r="K153" s="25" t="n">
        <v>130</v>
      </c>
      <c r="L153" s="32" t="n">
        <v>150</v>
      </c>
      <c r="M153" s="4" t="n">
        <v>0.2</v>
      </c>
      <c r="N153" s="24" t="n">
        <v>0.160923979111368</v>
      </c>
      <c r="O153" s="25" t="n">
        <v>235.281479050211</v>
      </c>
      <c r="P153" s="25" t="n">
        <v>72.0122866367508</v>
      </c>
      <c r="Q153" s="26" t="n">
        <v>0.0541238331858136</v>
      </c>
      <c r="R153" s="24" t="n">
        <v>0.80461989555684</v>
      </c>
      <c r="S153" s="4" t="n">
        <v>0.163191479752936</v>
      </c>
      <c r="T153" s="25" t="n">
        <v>235.281479050211</v>
      </c>
      <c r="U153" s="25" t="n">
        <v>154</v>
      </c>
      <c r="V153" s="26" t="n">
        <v>0.021</v>
      </c>
      <c r="W153" s="24" t="n">
        <f aca="false">(I153-H153)/(J153-H153)</f>
        <v>1.40128537505353</v>
      </c>
      <c r="X153" s="24" t="n">
        <f aca="false">0.5*(1+(I153-K153-L153)/(I153-K153))</f>
        <v>0.375</v>
      </c>
      <c r="Y153" s="24" t="n">
        <v>0.815957398764679</v>
      </c>
      <c r="Z153" s="24" t="n">
        <v>0.17517414622172</v>
      </c>
      <c r="AA153" s="25" t="n">
        <v>235.281479050211</v>
      </c>
      <c r="AB153" s="25" t="n">
        <v>72.0122866367508</v>
      </c>
      <c r="AC153" s="26" t="n">
        <v>0.0541238331858136</v>
      </c>
      <c r="AD153" s="24" t="n">
        <v>0.8758707311086</v>
      </c>
      <c r="AE153" s="24" t="n">
        <v>0.199528503810417</v>
      </c>
      <c r="AF153" s="24" t="n">
        <v>0.211386169121142</v>
      </c>
      <c r="AG153" s="25" t="n">
        <v>245.932648584499</v>
      </c>
      <c r="AH153" s="26" t="n">
        <v>0.0196</v>
      </c>
      <c r="AI153" s="24" t="n">
        <v>0.997642519052085</v>
      </c>
    </row>
    <row r="154" customFormat="false" ht="14.25" hidden="false" customHeight="false" outlineLevel="0" collapsed="false">
      <c r="B154" s="1" t="n">
        <v>20</v>
      </c>
      <c r="C154" s="1" t="n">
        <v>1</v>
      </c>
      <c r="D154" s="2" t="n">
        <v>40</v>
      </c>
      <c r="E154" s="4" t="n">
        <v>2.8</v>
      </c>
      <c r="F154" s="1" t="n">
        <v>40</v>
      </c>
      <c r="G154" s="1" t="n">
        <v>50</v>
      </c>
      <c r="H154" s="3" t="n">
        <v>75.4003930660822</v>
      </c>
      <c r="I154" s="1" t="n">
        <v>250</v>
      </c>
      <c r="J154" s="32" t="n">
        <v>200</v>
      </c>
      <c r="K154" s="25" t="n">
        <v>130</v>
      </c>
      <c r="L154" s="32" t="n">
        <v>150</v>
      </c>
      <c r="M154" s="4" t="n">
        <v>0.24</v>
      </c>
      <c r="N154" s="24" t="n">
        <v>0.188454425594701</v>
      </c>
      <c r="O154" s="25" t="n">
        <v>268.141006602748</v>
      </c>
      <c r="P154" s="25" t="n">
        <v>72.0122866367508</v>
      </c>
      <c r="Q154" s="26" t="n">
        <v>0.0541238331858136</v>
      </c>
      <c r="R154" s="24" t="n">
        <v>0.785226773311254</v>
      </c>
      <c r="S154" s="4" t="n">
        <v>0.200660864521749</v>
      </c>
      <c r="T154" s="25" t="n">
        <v>268.141006602748</v>
      </c>
      <c r="U154" s="25" t="n">
        <v>154</v>
      </c>
      <c r="V154" s="26" t="n">
        <v>0.021</v>
      </c>
      <c r="W154" s="24" t="n">
        <f aca="false">(I154-H154)/(J154-H154)</f>
        <v>1.40128537505353</v>
      </c>
      <c r="X154" s="24" t="n">
        <f aca="false">0.5*(1+(I154-K154-L154)/(I154-K154))</f>
        <v>0.375</v>
      </c>
      <c r="Y154" s="24" t="n">
        <v>0.836086935507289</v>
      </c>
      <c r="Z154" s="24" t="n">
        <v>0.205142473406092</v>
      </c>
      <c r="AA154" s="25" t="n">
        <v>268.141006602748</v>
      </c>
      <c r="AB154" s="25" t="n">
        <v>72.0122866367508</v>
      </c>
      <c r="AC154" s="26" t="n">
        <v>0.0541238331858136</v>
      </c>
      <c r="AD154" s="24" t="n">
        <v>0.854760305858718</v>
      </c>
      <c r="AE154" s="24" t="n">
        <v>0.227394753185174</v>
      </c>
      <c r="AF154" s="24" t="n">
        <v>0.27455386120201</v>
      </c>
      <c r="AG154" s="25" t="n">
        <v>280.279723734032</v>
      </c>
      <c r="AH154" s="26" t="n">
        <v>0.0196</v>
      </c>
      <c r="AI154" s="24" t="n">
        <v>0.947478138271559</v>
      </c>
    </row>
    <row r="155" customFormat="false" ht="14.25" hidden="false" customHeight="false" outlineLevel="0" collapsed="false">
      <c r="B155" s="1" t="n">
        <v>20</v>
      </c>
      <c r="C155" s="1" t="n">
        <v>1</v>
      </c>
      <c r="D155" s="2" t="n">
        <v>40</v>
      </c>
      <c r="E155" s="4" t="n">
        <v>2.8</v>
      </c>
      <c r="F155" s="1" t="n">
        <v>40</v>
      </c>
      <c r="G155" s="1" t="n">
        <v>50</v>
      </c>
      <c r="H155" s="3" t="n">
        <v>75.4003930660822</v>
      </c>
      <c r="I155" s="1" t="n">
        <v>250</v>
      </c>
      <c r="J155" s="32" t="n">
        <v>200</v>
      </c>
      <c r="K155" s="25" t="n">
        <v>130</v>
      </c>
      <c r="L155" s="32" t="n">
        <v>150</v>
      </c>
      <c r="M155" s="4" t="n">
        <v>0.27</v>
      </c>
      <c r="N155" s="24" t="n">
        <v>0.215832770163761</v>
      </c>
      <c r="O155" s="25" t="n">
        <v>300.818989804166</v>
      </c>
      <c r="P155" s="25" t="n">
        <v>72.0122866367508</v>
      </c>
      <c r="Q155" s="26" t="n">
        <v>0.0541238331858136</v>
      </c>
      <c r="R155" s="24" t="n">
        <v>0.799380630236152</v>
      </c>
      <c r="S155" s="4" t="n">
        <v>0.237923236115045</v>
      </c>
      <c r="T155" s="25" t="n">
        <v>300.818989804166</v>
      </c>
      <c r="U155" s="25" t="n">
        <v>154</v>
      </c>
      <c r="V155" s="26" t="n">
        <v>0.021</v>
      </c>
      <c r="W155" s="24" t="n">
        <f aca="false">(I155-H155)/(J155-H155)</f>
        <v>1.40128537505353</v>
      </c>
      <c r="X155" s="24" t="n">
        <f aca="false">0.5*(1+(I155-K155-L155)/(I155-K155))</f>
        <v>0.375</v>
      </c>
      <c r="Y155" s="24" t="n">
        <v>0.881197170796462</v>
      </c>
      <c r="Z155" s="24" t="n">
        <v>0.234945229722043</v>
      </c>
      <c r="AA155" s="25" t="n">
        <v>300.818989804166</v>
      </c>
      <c r="AB155" s="25" t="n">
        <v>72.0122866367508</v>
      </c>
      <c r="AC155" s="26" t="n">
        <v>0.0541238331858136</v>
      </c>
      <c r="AD155" s="24" t="n">
        <v>0.870167517489047</v>
      </c>
      <c r="AE155" s="24" t="n">
        <v>0.255107045381066</v>
      </c>
      <c r="AF155" s="24" t="n">
        <v>0.345550544803869</v>
      </c>
      <c r="AG155" s="25" t="n">
        <v>314.437036037435</v>
      </c>
      <c r="AH155" s="26" t="n">
        <v>0.0196</v>
      </c>
      <c r="AI155" s="24" t="n">
        <v>0.944840908818761</v>
      </c>
    </row>
    <row r="156" customFormat="false" ht="14.25" hidden="false" customHeight="false" outlineLevel="0" collapsed="false">
      <c r="B156" s="1" t="n">
        <v>20</v>
      </c>
      <c r="C156" s="1" t="n">
        <v>1</v>
      </c>
      <c r="D156" s="2" t="n">
        <v>40</v>
      </c>
      <c r="E156" s="4" t="n">
        <v>2.8</v>
      </c>
      <c r="F156" s="1" t="n">
        <v>40</v>
      </c>
      <c r="G156" s="1" t="n">
        <v>50</v>
      </c>
      <c r="H156" s="3" t="n">
        <v>75.4003930660822</v>
      </c>
      <c r="I156" s="1" t="n">
        <v>250</v>
      </c>
      <c r="J156" s="32" t="n">
        <v>200</v>
      </c>
      <c r="K156" s="25" t="n">
        <v>130</v>
      </c>
      <c r="L156" s="32" t="n">
        <v>150</v>
      </c>
      <c r="M156" s="4" t="n">
        <v>0.32</v>
      </c>
      <c r="N156" s="24" t="n">
        <v>0.242906910904276</v>
      </c>
      <c r="O156" s="25" t="n">
        <v>333.133884303346</v>
      </c>
      <c r="P156" s="25" t="n">
        <v>72.0122866367508</v>
      </c>
      <c r="Q156" s="26" t="n">
        <v>0.0541238331858136</v>
      </c>
      <c r="R156" s="24" t="n">
        <v>0.759084096575863</v>
      </c>
      <c r="S156" s="4" t="n">
        <v>0.274771581357304</v>
      </c>
      <c r="T156" s="25" t="n">
        <v>333.133884303346</v>
      </c>
      <c r="U156" s="25" t="n">
        <v>154</v>
      </c>
      <c r="V156" s="26" t="n">
        <v>0.021</v>
      </c>
      <c r="W156" s="24" t="n">
        <f aca="false">(I156-H156)/(J156-H156)</f>
        <v>1.40128537505353</v>
      </c>
      <c r="X156" s="24" t="n">
        <f aca="false">0.5*(1+(I156-K156-L156)/(I156-K156))</f>
        <v>0.375</v>
      </c>
      <c r="Y156" s="24" t="n">
        <v>0.858661191741574</v>
      </c>
      <c r="Z156" s="24" t="n">
        <v>0.264416844301149</v>
      </c>
      <c r="AA156" s="25" t="n">
        <v>333.133884303346</v>
      </c>
      <c r="AB156" s="25" t="n">
        <v>72.0122866367508</v>
      </c>
      <c r="AC156" s="26" t="n">
        <v>0.0541238331858136</v>
      </c>
      <c r="AD156" s="24" t="n">
        <v>0.826302638441091</v>
      </c>
      <c r="AE156" s="24" t="n">
        <v>0.282511423219225</v>
      </c>
      <c r="AF156" s="24" t="n">
        <v>0.423778288203338</v>
      </c>
      <c r="AG156" s="25" t="n">
        <v>348.214822648577</v>
      </c>
      <c r="AH156" s="26" t="n">
        <v>0.0196</v>
      </c>
      <c r="AI156" s="24" t="n">
        <v>0.882848197560077</v>
      </c>
    </row>
    <row r="157" customFormat="false" ht="14.25" hidden="false" customHeight="false" outlineLevel="0" collapsed="false">
      <c r="B157" s="1" t="n">
        <v>20</v>
      </c>
      <c r="C157" s="1" t="n">
        <v>1</v>
      </c>
      <c r="D157" s="2" t="n">
        <v>40</v>
      </c>
      <c r="E157" s="4" t="n">
        <v>2.8</v>
      </c>
      <c r="F157" s="1" t="n">
        <v>40</v>
      </c>
      <c r="G157" s="1" t="n">
        <v>50</v>
      </c>
      <c r="H157" s="3" t="n">
        <v>75.4003930660822</v>
      </c>
      <c r="I157" s="1" t="n">
        <v>250</v>
      </c>
      <c r="J157" s="32" t="n">
        <v>200</v>
      </c>
      <c r="K157" s="25" t="n">
        <v>130</v>
      </c>
      <c r="L157" s="32" t="n">
        <v>150</v>
      </c>
      <c r="M157" s="4" t="n">
        <v>0.34</v>
      </c>
      <c r="N157" s="24" t="n">
        <v>0.270741561216154</v>
      </c>
      <c r="O157" s="25" t="n">
        <v>366.356500558121</v>
      </c>
      <c r="P157" s="25" t="n">
        <v>72.0122866367508</v>
      </c>
      <c r="Q157" s="26" t="n">
        <v>0.0541238331858136</v>
      </c>
      <c r="R157" s="24" t="n">
        <v>0.796298709459276</v>
      </c>
      <c r="S157" s="4" t="n">
        <v>0.312654992477154</v>
      </c>
      <c r="T157" s="25" t="n">
        <v>366.356500558121</v>
      </c>
      <c r="U157" s="25" t="n">
        <v>154</v>
      </c>
      <c r="V157" s="26" t="n">
        <v>0.021</v>
      </c>
      <c r="W157" s="24" t="n">
        <f aca="false">(I157-H157)/(J157-H157)</f>
        <v>1.40128537505353</v>
      </c>
      <c r="X157" s="24" t="n">
        <f aca="false">0.5*(1+(I157-K157-L157)/(I157-K157))</f>
        <v>0.375</v>
      </c>
      <c r="Y157" s="24" t="n">
        <v>0.919573507285747</v>
      </c>
      <c r="Z157" s="24" t="n">
        <v>0.294716313222365</v>
      </c>
      <c r="AA157" s="25" t="n">
        <v>366.356500558121</v>
      </c>
      <c r="AB157" s="25" t="n">
        <v>72.0122866367508</v>
      </c>
      <c r="AC157" s="26" t="n">
        <v>0.0541238331858136</v>
      </c>
      <c r="AD157" s="24" t="n">
        <v>0.866812685948133</v>
      </c>
      <c r="AE157" s="24" t="n">
        <v>0.310685586951714</v>
      </c>
      <c r="AF157" s="24" t="n">
        <v>0.51251772415843</v>
      </c>
      <c r="AG157" s="25" t="n">
        <v>382.94142349037</v>
      </c>
      <c r="AH157" s="26" t="n">
        <v>0.0196</v>
      </c>
      <c r="AI157" s="24" t="n">
        <v>0.913781138093276</v>
      </c>
    </row>
    <row r="158" customFormat="false" ht="14.25" hidden="false" customHeight="false" outlineLevel="0" collapsed="false">
      <c r="A158" s="0" t="s">
        <v>57</v>
      </c>
      <c r="B158" s="1" t="n">
        <v>20</v>
      </c>
      <c r="C158" s="1" t="n">
        <v>1</v>
      </c>
      <c r="D158" s="2" t="n">
        <v>40</v>
      </c>
      <c r="E158" s="4" t="n">
        <v>2.8</v>
      </c>
      <c r="F158" s="1" t="n">
        <v>40</v>
      </c>
      <c r="G158" s="1" t="n">
        <v>50</v>
      </c>
      <c r="H158" s="3" t="n">
        <v>75.4003930660822</v>
      </c>
      <c r="I158" s="1" t="n">
        <v>250</v>
      </c>
      <c r="J158" s="32" t="n">
        <v>200</v>
      </c>
      <c r="K158" s="25" t="n">
        <v>130</v>
      </c>
      <c r="L158" s="32" t="n">
        <v>150</v>
      </c>
      <c r="M158" s="4" t="n">
        <v>0.16</v>
      </c>
      <c r="N158" s="24" t="n">
        <v>0.106015188058975</v>
      </c>
      <c r="O158" s="25" t="n">
        <v>169.743968296255</v>
      </c>
      <c r="P158" s="25" t="n">
        <v>72.0122866367508</v>
      </c>
      <c r="Q158" s="26" t="n">
        <v>0.0541238331858136</v>
      </c>
      <c r="R158" s="24" t="n">
        <v>0.662594925368594</v>
      </c>
      <c r="S158" s="4" t="n">
        <v>0.0884597233908265</v>
      </c>
      <c r="T158" s="25" t="n">
        <v>169.743968296255</v>
      </c>
      <c r="U158" s="25" t="n">
        <v>154</v>
      </c>
      <c r="V158" s="26" t="n">
        <v>0.021</v>
      </c>
      <c r="W158" s="24" t="n">
        <f aca="false">(I158-H158)/(J158-H158)</f>
        <v>1.40128537505353</v>
      </c>
      <c r="X158" s="24" t="n">
        <f aca="false">0.5*(1+(I158-K158-L158)/(I158-K158))</f>
        <v>0.375</v>
      </c>
      <c r="Y158" s="24" t="n">
        <v>0.552873271192666</v>
      </c>
      <c r="Z158" s="24" t="n">
        <v>0.115403062721397</v>
      </c>
      <c r="AA158" s="25" t="n">
        <v>169.743968296255</v>
      </c>
      <c r="AB158" s="25" t="n">
        <v>72.0122866367508</v>
      </c>
      <c r="AC158" s="26" t="n">
        <v>0.0541238331858136</v>
      </c>
      <c r="AD158" s="24" t="n">
        <v>0.721269142008733</v>
      </c>
      <c r="AE158" s="24" t="n">
        <v>0.143949962239768</v>
      </c>
      <c r="AF158" s="24" t="n">
        <v>0.11002459711025</v>
      </c>
      <c r="AG158" s="25" t="n">
        <v>177.428261131564</v>
      </c>
      <c r="AH158" s="26" t="n">
        <v>0.0196</v>
      </c>
      <c r="AI158" s="24" t="n">
        <v>0.687653731939065</v>
      </c>
    </row>
    <row r="159" customFormat="false" ht="14.25" hidden="false" customHeight="false" outlineLevel="0" collapsed="false">
      <c r="B159" s="1" t="n">
        <v>20</v>
      </c>
      <c r="C159" s="1" t="n">
        <v>1</v>
      </c>
      <c r="D159" s="2" t="n">
        <v>40</v>
      </c>
      <c r="E159" s="4" t="n">
        <v>2.8</v>
      </c>
      <c r="F159" s="1" t="n">
        <v>40</v>
      </c>
      <c r="G159" s="1" t="n">
        <v>50</v>
      </c>
      <c r="H159" s="3" t="n">
        <v>75.4003930660822</v>
      </c>
      <c r="I159" s="1" t="n">
        <v>250</v>
      </c>
      <c r="J159" s="32" t="n">
        <v>200</v>
      </c>
      <c r="K159" s="25" t="n">
        <v>130</v>
      </c>
      <c r="L159" s="32" t="n">
        <v>150</v>
      </c>
      <c r="M159" s="4" t="n">
        <v>0.2</v>
      </c>
      <c r="N159" s="24" t="n">
        <v>0.132937226885218</v>
      </c>
      <c r="O159" s="25" t="n">
        <v>201.877318444317</v>
      </c>
      <c r="P159" s="25" t="n">
        <v>72.0122866367508</v>
      </c>
      <c r="Q159" s="26" t="n">
        <v>0.0541238331858136</v>
      </c>
      <c r="R159" s="24" t="n">
        <v>0.664686134426088</v>
      </c>
      <c r="S159" s="4" t="n">
        <v>0.125101055457567</v>
      </c>
      <c r="T159" s="25" t="n">
        <v>201.877318444317</v>
      </c>
      <c r="U159" s="25" t="n">
        <v>154</v>
      </c>
      <c r="V159" s="26" t="n">
        <v>0.021</v>
      </c>
      <c r="W159" s="24" t="n">
        <f aca="false">(I159-H159)/(J159-H159)</f>
        <v>1.40128537505353</v>
      </c>
      <c r="X159" s="24" t="n">
        <f aca="false">0.5*(1+(I159-K159-L159)/(I159-K159))</f>
        <v>0.375</v>
      </c>
      <c r="Y159" s="24" t="n">
        <v>0.625505277287835</v>
      </c>
      <c r="Z159" s="24" t="n">
        <v>0.144709106432082</v>
      </c>
      <c r="AA159" s="25" t="n">
        <v>201.877318444317</v>
      </c>
      <c r="AB159" s="25" t="n">
        <v>72.0122866367508</v>
      </c>
      <c r="AC159" s="26" t="n">
        <v>0.0541238331858136</v>
      </c>
      <c r="AD159" s="24" t="n">
        <v>0.723545532160409</v>
      </c>
      <c r="AE159" s="24" t="n">
        <v>0.171200382899061</v>
      </c>
      <c r="AF159" s="24" t="n">
        <v>0.155623844444048</v>
      </c>
      <c r="AG159" s="25" t="n">
        <v>211.016284896576</v>
      </c>
      <c r="AH159" s="26" t="n">
        <v>0.0196</v>
      </c>
      <c r="AI159" s="24" t="n">
        <v>0.778119222220238</v>
      </c>
    </row>
    <row r="160" customFormat="false" ht="14.25" hidden="false" customHeight="false" outlineLevel="0" collapsed="false">
      <c r="B160" s="1" t="n">
        <v>20</v>
      </c>
      <c r="C160" s="1" t="n">
        <v>1</v>
      </c>
      <c r="D160" s="2" t="n">
        <v>40</v>
      </c>
      <c r="E160" s="4" t="n">
        <v>2.8</v>
      </c>
      <c r="F160" s="1" t="n">
        <v>40</v>
      </c>
      <c r="G160" s="1" t="n">
        <v>50</v>
      </c>
      <c r="H160" s="3" t="n">
        <v>75.4003930660822</v>
      </c>
      <c r="I160" s="1" t="n">
        <v>250</v>
      </c>
      <c r="J160" s="32" t="n">
        <v>200</v>
      </c>
      <c r="K160" s="25" t="n">
        <v>130</v>
      </c>
      <c r="L160" s="32" t="n">
        <v>150</v>
      </c>
      <c r="M160" s="4" t="n">
        <v>0.24</v>
      </c>
      <c r="N160" s="24" t="n">
        <v>0.16046767336855</v>
      </c>
      <c r="O160" s="25" t="n">
        <v>234.736845996854</v>
      </c>
      <c r="P160" s="25" t="n">
        <v>72.0122866367508</v>
      </c>
      <c r="Q160" s="26" t="n">
        <v>0.0541238331858136</v>
      </c>
      <c r="R160" s="24" t="n">
        <v>0.668615305702293</v>
      </c>
      <c r="S160" s="4" t="n">
        <v>0.162570440226381</v>
      </c>
      <c r="T160" s="25" t="n">
        <v>234.736845996854</v>
      </c>
      <c r="U160" s="25" t="n">
        <v>154</v>
      </c>
      <c r="V160" s="26" t="n">
        <v>0.021</v>
      </c>
      <c r="W160" s="24" t="n">
        <f aca="false">(I160-H160)/(J160-H160)</f>
        <v>1.40128537505353</v>
      </c>
      <c r="X160" s="24" t="n">
        <f aca="false">0.5*(1+(I160-K160-L160)/(I160-K160))</f>
        <v>0.375</v>
      </c>
      <c r="Y160" s="24" t="n">
        <v>0.677376834276587</v>
      </c>
      <c r="Z160" s="24" t="n">
        <v>0.174677433616454</v>
      </c>
      <c r="AA160" s="25" t="n">
        <v>234.736845996854</v>
      </c>
      <c r="AB160" s="25" t="n">
        <v>72.0122866367508</v>
      </c>
      <c r="AC160" s="26" t="n">
        <v>0.0541238331858136</v>
      </c>
      <c r="AD160" s="24" t="n">
        <v>0.727822640068559</v>
      </c>
      <c r="AE160" s="24" t="n">
        <v>0.199066632273819</v>
      </c>
      <c r="AF160" s="24" t="n">
        <v>0.21040866213409</v>
      </c>
      <c r="AG160" s="25" t="n">
        <v>245.363360046109</v>
      </c>
      <c r="AH160" s="26" t="n">
        <v>0.0196</v>
      </c>
      <c r="AI160" s="24" t="n">
        <v>0.829444301140911</v>
      </c>
    </row>
    <row r="161" customFormat="false" ht="14.25" hidden="false" customHeight="false" outlineLevel="0" collapsed="false">
      <c r="B161" s="1" t="n">
        <v>20</v>
      </c>
      <c r="C161" s="1" t="n">
        <v>1</v>
      </c>
      <c r="D161" s="2" t="n">
        <v>40</v>
      </c>
      <c r="E161" s="4" t="n">
        <v>2.8</v>
      </c>
      <c r="F161" s="1" t="n">
        <v>40</v>
      </c>
      <c r="G161" s="1" t="n">
        <v>50</v>
      </c>
      <c r="H161" s="3" t="n">
        <v>75.4003930660822</v>
      </c>
      <c r="I161" s="1" t="n">
        <v>250</v>
      </c>
      <c r="J161" s="32" t="n">
        <v>200</v>
      </c>
      <c r="K161" s="25" t="n">
        <v>130</v>
      </c>
      <c r="L161" s="32" t="n">
        <v>150</v>
      </c>
      <c r="M161" s="4" t="n">
        <v>0.27</v>
      </c>
      <c r="N161" s="24" t="n">
        <v>0.187693916023338</v>
      </c>
      <c r="O161" s="25" t="n">
        <v>267.233284847153</v>
      </c>
      <c r="P161" s="25" t="n">
        <v>72.0122866367508</v>
      </c>
      <c r="Q161" s="26" t="n">
        <v>0.0541238331858136</v>
      </c>
      <c r="R161" s="24" t="n">
        <v>0.695162651938289</v>
      </c>
      <c r="S161" s="4" t="n">
        <v>0.199625798644158</v>
      </c>
      <c r="T161" s="25" t="n">
        <v>267.233284847153</v>
      </c>
      <c r="U161" s="25" t="n">
        <v>154</v>
      </c>
      <c r="V161" s="26" t="n">
        <v>0.021</v>
      </c>
      <c r="W161" s="24" t="n">
        <f aca="false">(I161-H161)/(J161-H161)</f>
        <v>1.40128537505353</v>
      </c>
      <c r="X161" s="24" t="n">
        <f aca="false">0.5*(1+(I161-K161-L161)/(I161-K161))</f>
        <v>0.375</v>
      </c>
      <c r="Y161" s="24" t="n">
        <v>0.739354809793177</v>
      </c>
      <c r="Z161" s="24" t="n">
        <v>0.204314619063983</v>
      </c>
      <c r="AA161" s="25" t="n">
        <v>267.233284847153</v>
      </c>
      <c r="AB161" s="25" t="n">
        <v>72.0122866367508</v>
      </c>
      <c r="AC161" s="26" t="n">
        <v>0.0541238331858136</v>
      </c>
      <c r="AD161" s="24" t="n">
        <v>0.756720811348083</v>
      </c>
      <c r="AE161" s="24" t="n">
        <v>0.226624967290844</v>
      </c>
      <c r="AF161" s="24" t="n">
        <v>0.272698145929179</v>
      </c>
      <c r="AG161" s="25" t="n">
        <v>279.330909503382</v>
      </c>
      <c r="AH161" s="26" t="n">
        <v>0.0196</v>
      </c>
      <c r="AI161" s="24" t="n">
        <v>0.839351730706829</v>
      </c>
    </row>
    <row r="162" customFormat="false" ht="14.25" hidden="false" customHeight="false" outlineLevel="0" collapsed="false">
      <c r="B162" s="1" t="n">
        <v>20</v>
      </c>
      <c r="C162" s="1" t="n">
        <v>1</v>
      </c>
      <c r="D162" s="2" t="n">
        <v>40</v>
      </c>
      <c r="E162" s="4" t="n">
        <v>2.8</v>
      </c>
      <c r="F162" s="1" t="n">
        <v>40</v>
      </c>
      <c r="G162" s="1" t="n">
        <v>50</v>
      </c>
      <c r="H162" s="3" t="n">
        <v>75.4003930660822</v>
      </c>
      <c r="I162" s="1" t="n">
        <v>250</v>
      </c>
      <c r="J162" s="32" t="n">
        <v>200</v>
      </c>
      <c r="K162" s="25" t="n">
        <v>130</v>
      </c>
      <c r="L162" s="32" t="n">
        <v>150</v>
      </c>
      <c r="M162" s="4" t="n">
        <v>0.29</v>
      </c>
      <c r="N162" s="24" t="n">
        <v>0.215984872078034</v>
      </c>
      <c r="O162" s="25" t="n">
        <v>301.000534155285</v>
      </c>
      <c r="P162" s="25" t="n">
        <v>72.0122866367508</v>
      </c>
      <c r="Q162" s="26" t="n">
        <v>0.0541238331858136</v>
      </c>
      <c r="R162" s="24" t="n">
        <v>0.744775420958737</v>
      </c>
      <c r="S162" s="4" t="n">
        <v>0.238130249290563</v>
      </c>
      <c r="T162" s="25" t="n">
        <v>301.000534155285</v>
      </c>
      <c r="U162" s="25" t="n">
        <v>154</v>
      </c>
      <c r="V162" s="26" t="n">
        <v>0.021</v>
      </c>
      <c r="W162" s="24" t="n">
        <f aca="false">(I162-H162)/(J162-H162)</f>
        <v>1.40128537505353</v>
      </c>
      <c r="X162" s="24" t="n">
        <f aca="false">0.5*(1+(I162-K162-L162)/(I162-K162))</f>
        <v>0.375</v>
      </c>
      <c r="Y162" s="24" t="n">
        <v>0.821138790657115</v>
      </c>
      <c r="Z162" s="24" t="n">
        <v>0.235110800590465</v>
      </c>
      <c r="AA162" s="25" t="n">
        <v>301.000534155285</v>
      </c>
      <c r="AB162" s="25" t="n">
        <v>72.0122866367508</v>
      </c>
      <c r="AC162" s="26" t="n">
        <v>0.0541238331858136</v>
      </c>
      <c r="AD162" s="24" t="n">
        <v>0.810726898587809</v>
      </c>
      <c r="AE162" s="24" t="n">
        <v>0.255261002559932</v>
      </c>
      <c r="AF162" s="24" t="n">
        <v>0.345967750373854</v>
      </c>
      <c r="AG162" s="25" t="n">
        <v>314.626798883565</v>
      </c>
      <c r="AH162" s="26" t="n">
        <v>0.0196</v>
      </c>
      <c r="AI162" s="24" t="n">
        <v>0.880210353654937</v>
      </c>
    </row>
    <row r="163" customFormat="false" ht="14.25" hidden="false" customHeight="false" outlineLevel="0" collapsed="false">
      <c r="B163" s="1" t="n">
        <v>20</v>
      </c>
      <c r="C163" s="1" t="n">
        <v>1</v>
      </c>
      <c r="D163" s="2" t="n">
        <v>40</v>
      </c>
      <c r="E163" s="4" t="n">
        <v>2.8</v>
      </c>
      <c r="F163" s="1" t="n">
        <v>40</v>
      </c>
      <c r="G163" s="1" t="n">
        <v>50</v>
      </c>
      <c r="H163" s="3" t="n">
        <v>75.4003930660822</v>
      </c>
      <c r="I163" s="1" t="n">
        <v>250</v>
      </c>
      <c r="J163" s="32" t="n">
        <v>200</v>
      </c>
      <c r="K163" s="25" t="n">
        <v>130</v>
      </c>
      <c r="L163" s="32" t="n">
        <v>150</v>
      </c>
      <c r="M163" s="4" t="n">
        <v>0.32</v>
      </c>
      <c r="N163" s="24" t="n">
        <v>0.242906910904276</v>
      </c>
      <c r="O163" s="25" t="n">
        <v>333.133884303346</v>
      </c>
      <c r="P163" s="25" t="n">
        <v>72.0122866367508</v>
      </c>
      <c r="Q163" s="26" t="n">
        <v>0.0541238331858136</v>
      </c>
      <c r="R163" s="24" t="n">
        <v>0.759084096575863</v>
      </c>
      <c r="S163" s="4" t="n">
        <v>0.274771581357304</v>
      </c>
      <c r="T163" s="25" t="n">
        <v>333.133884303346</v>
      </c>
      <c r="U163" s="25" t="n">
        <v>154</v>
      </c>
      <c r="V163" s="26" t="n">
        <v>0.021</v>
      </c>
      <c r="W163" s="24" t="n">
        <f aca="false">(I163-H163)/(J163-H163)</f>
        <v>1.40128537505353</v>
      </c>
      <c r="X163" s="24" t="n">
        <f aca="false">0.5*(1+(I163-K163-L163)/(I163-K163))</f>
        <v>0.375</v>
      </c>
      <c r="Y163" s="24" t="n">
        <v>0.858661191741574</v>
      </c>
      <c r="Z163" s="24" t="n">
        <v>0.264416844301149</v>
      </c>
      <c r="AA163" s="25" t="n">
        <v>333.133884303346</v>
      </c>
      <c r="AB163" s="25" t="n">
        <v>72.0122866367508</v>
      </c>
      <c r="AC163" s="26" t="n">
        <v>0.0541238331858136</v>
      </c>
      <c r="AD163" s="24" t="n">
        <v>0.826302638441091</v>
      </c>
      <c r="AE163" s="24" t="n">
        <v>0.282511423219225</v>
      </c>
      <c r="AF163" s="24" t="n">
        <v>0.423778288203338</v>
      </c>
      <c r="AG163" s="25" t="n">
        <v>348.214822648577</v>
      </c>
      <c r="AH163" s="26" t="n">
        <v>0.0196</v>
      </c>
      <c r="AI163" s="24" t="n">
        <v>0.882848197560077</v>
      </c>
    </row>
    <row r="164" customFormat="false" ht="14.25" hidden="false" customHeight="false" outlineLevel="0" collapsed="false">
      <c r="B164" s="1" t="n">
        <v>20</v>
      </c>
      <c r="C164" s="1" t="n">
        <v>1</v>
      </c>
      <c r="D164" s="2" t="n">
        <v>40</v>
      </c>
      <c r="E164" s="4" t="n">
        <v>2.8</v>
      </c>
      <c r="F164" s="1" t="n">
        <v>40</v>
      </c>
      <c r="G164" s="1" t="n">
        <v>50</v>
      </c>
      <c r="H164" s="3" t="n">
        <v>75.4003930660822</v>
      </c>
      <c r="I164" s="1" t="n">
        <v>250</v>
      </c>
      <c r="J164" s="32" t="n">
        <v>200</v>
      </c>
      <c r="K164" s="25" t="n">
        <v>130</v>
      </c>
      <c r="L164" s="32" t="n">
        <v>150</v>
      </c>
      <c r="M164" s="4" t="n">
        <v>0.33</v>
      </c>
      <c r="N164" s="24" t="n">
        <v>0.255987675531716</v>
      </c>
      <c r="O164" s="25" t="n">
        <v>348.746698499579</v>
      </c>
      <c r="P164" s="25" t="n">
        <v>72.0122866367508</v>
      </c>
      <c r="Q164" s="26" t="n">
        <v>0.0541238331858136</v>
      </c>
      <c r="R164" s="24" t="n">
        <v>0.775720228883988</v>
      </c>
      <c r="S164" s="4" t="n">
        <v>0.292574714451878</v>
      </c>
      <c r="T164" s="25" t="n">
        <v>348.746698499579</v>
      </c>
      <c r="U164" s="25" t="n">
        <v>154</v>
      </c>
      <c r="V164" s="26" t="n">
        <v>0.021</v>
      </c>
      <c r="W164" s="24" t="n">
        <f aca="false">(I164-H164)/(J164-H164)</f>
        <v>1.40128537505353</v>
      </c>
      <c r="X164" s="24" t="n">
        <f aca="false">0.5*(1+(I164-K164-L164)/(I164-K164))</f>
        <v>0.375</v>
      </c>
      <c r="Y164" s="24" t="n">
        <v>0.88659004379357</v>
      </c>
      <c r="Z164" s="24" t="n">
        <v>0.278655938985436</v>
      </c>
      <c r="AA164" s="25" t="n">
        <v>348.746698499579</v>
      </c>
      <c r="AB164" s="25" t="n">
        <v>72.0122866367508</v>
      </c>
      <c r="AC164" s="26" t="n">
        <v>0.0541238331858136</v>
      </c>
      <c r="AD164" s="24" t="n">
        <v>0.844411936319504</v>
      </c>
      <c r="AE164" s="24" t="n">
        <v>0.295751740601706</v>
      </c>
      <c r="AF164" s="24" t="n">
        <v>0.464431100991996</v>
      </c>
      <c r="AG164" s="25" t="n">
        <v>364.534427415758</v>
      </c>
      <c r="AH164" s="26" t="n">
        <v>0.0196</v>
      </c>
      <c r="AI164" s="24" t="n">
        <v>0.896217395762745</v>
      </c>
    </row>
    <row r="165" customFormat="false" ht="14.25" hidden="false" customHeight="false" outlineLevel="0" collapsed="false">
      <c r="A165" s="0" t="s">
        <v>58</v>
      </c>
      <c r="B165" s="1" t="n">
        <v>10</v>
      </c>
      <c r="C165" s="1" t="n">
        <v>1</v>
      </c>
      <c r="D165" s="2" t="n">
        <v>45</v>
      </c>
      <c r="E165" s="4" t="n">
        <v>2.8</v>
      </c>
      <c r="F165" s="1" t="n">
        <v>40</v>
      </c>
      <c r="G165" s="1" t="n">
        <v>45</v>
      </c>
      <c r="H165" s="3" t="n">
        <v>54.1386548495659</v>
      </c>
      <c r="I165" s="1" t="n">
        <v>350</v>
      </c>
      <c r="J165" s="32" t="n">
        <v>305</v>
      </c>
      <c r="K165" s="25" t="n">
        <v>177</v>
      </c>
      <c r="L165" s="32" t="n">
        <v>95</v>
      </c>
      <c r="M165" s="4" t="n">
        <v>0.15</v>
      </c>
      <c r="N165" s="24" t="n">
        <v>0.166126862563817</v>
      </c>
      <c r="O165" s="25" t="n">
        <v>310.309853574738</v>
      </c>
      <c r="P165" s="25" t="n">
        <v>372.60441372747</v>
      </c>
      <c r="Q165" s="26" t="n">
        <v>0.00795980968315605</v>
      </c>
      <c r="R165" s="24" t="n">
        <v>1.10751241709211</v>
      </c>
      <c r="S165" s="4" t="n">
        <v>0.188618412612428</v>
      </c>
      <c r="T165" s="25" t="n">
        <v>310.309853574738</v>
      </c>
      <c r="U165" s="25" t="n">
        <v>360</v>
      </c>
      <c r="V165" s="26" t="n">
        <v>0.00826315789473684</v>
      </c>
      <c r="W165" s="24" t="n">
        <f aca="false">(I165-H165)/(J165-H165)</f>
        <v>1.17938196087171</v>
      </c>
      <c r="X165" s="24" t="n">
        <f aca="false">0.5*(1+(I165-K165-L165)/(I165-K165))</f>
        <v>0.725433526011561</v>
      </c>
      <c r="Y165" s="24" t="n">
        <v>1.25745608408285</v>
      </c>
      <c r="Z165" s="24" t="n">
        <v>0.290560525568031</v>
      </c>
      <c r="AA165" s="25" t="n">
        <v>310.309853574738</v>
      </c>
      <c r="AB165" s="25" t="n">
        <v>372.60441372747</v>
      </c>
      <c r="AC165" s="26" t="n">
        <v>0.00795980968315605</v>
      </c>
      <c r="AD165" s="24" t="n">
        <v>1.93707017045354</v>
      </c>
      <c r="AE165" s="24" t="n">
        <v>0.261429251994705</v>
      </c>
      <c r="AF165" s="24" t="n">
        <v>0.171502935220785</v>
      </c>
      <c r="AG165" s="25" t="n">
        <v>317.559011696758</v>
      </c>
      <c r="AH165" s="26" t="n">
        <v>0.0084</v>
      </c>
      <c r="AI165" s="24" t="n">
        <v>1.1433529014719</v>
      </c>
    </row>
    <row r="166" customFormat="false" ht="14.25" hidden="false" customHeight="false" outlineLevel="0" collapsed="false">
      <c r="B166" s="1" t="n">
        <v>10</v>
      </c>
      <c r="C166" s="1" t="n">
        <v>1</v>
      </c>
      <c r="D166" s="2" t="n">
        <v>45</v>
      </c>
      <c r="E166" s="4" t="n">
        <v>2.8</v>
      </c>
      <c r="F166" s="1" t="n">
        <v>40</v>
      </c>
      <c r="G166" s="1" t="n">
        <v>45</v>
      </c>
      <c r="H166" s="3" t="n">
        <v>54.1386548495659</v>
      </c>
      <c r="I166" s="1" t="n">
        <v>350</v>
      </c>
      <c r="J166" s="32" t="n">
        <v>305</v>
      </c>
      <c r="K166" s="25" t="n">
        <v>177</v>
      </c>
      <c r="L166" s="32" t="n">
        <v>95</v>
      </c>
      <c r="M166" s="4" t="n">
        <v>0.19</v>
      </c>
      <c r="N166" s="24" t="n">
        <v>0.204384247011143</v>
      </c>
      <c r="O166" s="25" t="n">
        <v>330.286882774829</v>
      </c>
      <c r="P166" s="25" t="n">
        <v>372.60441372747</v>
      </c>
      <c r="Q166" s="26" t="n">
        <v>0.00795980968315605</v>
      </c>
      <c r="R166" s="24" t="n">
        <v>1.07570656321654</v>
      </c>
      <c r="S166" s="4" t="n">
        <v>0.20076122887503</v>
      </c>
      <c r="T166" s="25" t="n">
        <v>330.286882774829</v>
      </c>
      <c r="U166" s="25" t="n">
        <v>360</v>
      </c>
      <c r="V166" s="26" t="n">
        <v>0.00826315789473684</v>
      </c>
      <c r="W166" s="24" t="n">
        <f aca="false">(I166-H166)/(J166-H166)</f>
        <v>1.17938196087171</v>
      </c>
      <c r="X166" s="24" t="n">
        <f aca="false">0.5*(1+(I166-K166-L166)/(I166-K166))</f>
        <v>0.725433526011561</v>
      </c>
      <c r="Y166" s="24" t="n">
        <v>1.05663804671069</v>
      </c>
      <c r="Z166" s="24" t="n">
        <v>0.309266138802025</v>
      </c>
      <c r="AA166" s="25" t="n">
        <v>330.286882774829</v>
      </c>
      <c r="AB166" s="25" t="n">
        <v>372.60441372747</v>
      </c>
      <c r="AC166" s="26" t="n">
        <v>0.00795980968315605</v>
      </c>
      <c r="AD166" s="24" t="n">
        <v>1.62771652001066</v>
      </c>
      <c r="AE166" s="24" t="n">
        <v>0.278259461350587</v>
      </c>
      <c r="AF166" s="24" t="n">
        <v>0.194295649723133</v>
      </c>
      <c r="AG166" s="25" t="n">
        <v>338.00272489612</v>
      </c>
      <c r="AH166" s="26" t="n">
        <v>0.0084</v>
      </c>
      <c r="AI166" s="24" t="n">
        <v>1.02260868275333</v>
      </c>
    </row>
    <row r="167" customFormat="false" ht="14.25" hidden="false" customHeight="false" outlineLevel="0" collapsed="false">
      <c r="B167" s="1" t="n">
        <v>10</v>
      </c>
      <c r="C167" s="1" t="n">
        <v>1</v>
      </c>
      <c r="D167" s="2" t="n">
        <v>45</v>
      </c>
      <c r="E167" s="4" t="n">
        <v>2.8</v>
      </c>
      <c r="F167" s="1" t="n">
        <v>40</v>
      </c>
      <c r="G167" s="1" t="n">
        <v>45</v>
      </c>
      <c r="H167" s="3" t="n">
        <v>54.1386548495659</v>
      </c>
      <c r="I167" s="1" t="n">
        <v>350</v>
      </c>
      <c r="J167" s="32" t="n">
        <v>305</v>
      </c>
      <c r="K167" s="25" t="n">
        <v>177</v>
      </c>
      <c r="L167" s="32" t="n">
        <v>95</v>
      </c>
      <c r="M167" s="4" t="n">
        <v>0.2</v>
      </c>
      <c r="N167" s="24" t="n">
        <v>0.212035723900608</v>
      </c>
      <c r="O167" s="25" t="n">
        <v>334.282288614847</v>
      </c>
      <c r="P167" s="25" t="n">
        <v>372.60441372747</v>
      </c>
      <c r="Q167" s="26" t="n">
        <v>0.00795980968315605</v>
      </c>
      <c r="R167" s="24" t="n">
        <v>1.06017861950304</v>
      </c>
      <c r="S167" s="4" t="n">
        <v>0.203189792127551</v>
      </c>
      <c r="T167" s="25" t="n">
        <v>334.282288614847</v>
      </c>
      <c r="U167" s="25" t="n">
        <v>360</v>
      </c>
      <c r="V167" s="26" t="n">
        <v>0.00826315789473684</v>
      </c>
      <c r="W167" s="24" t="n">
        <f aca="false">(I167-H167)/(J167-H167)</f>
        <v>1.17938196087171</v>
      </c>
      <c r="X167" s="24" t="n">
        <f aca="false">0.5*(1+(I167-K167-L167)/(I167-K167))</f>
        <v>0.725433526011561</v>
      </c>
      <c r="Y167" s="24" t="n">
        <v>1.01594896063775</v>
      </c>
      <c r="Z167" s="24" t="n">
        <v>0.313007261448823</v>
      </c>
      <c r="AA167" s="25" t="n">
        <v>334.282288614847</v>
      </c>
      <c r="AB167" s="25" t="n">
        <v>372.60441372747</v>
      </c>
      <c r="AC167" s="26" t="n">
        <v>0.00795980968315605</v>
      </c>
      <c r="AD167" s="24" t="n">
        <v>1.56503630724412</v>
      </c>
      <c r="AE167" s="24" t="n">
        <v>0.281625503221764</v>
      </c>
      <c r="AF167" s="24" t="n">
        <v>0.199024782586614</v>
      </c>
      <c r="AG167" s="25" t="n">
        <v>342.091467535992</v>
      </c>
      <c r="AH167" s="26" t="n">
        <v>0.0084</v>
      </c>
      <c r="AI167" s="24" t="n">
        <v>0.995123912933068</v>
      </c>
    </row>
    <row r="168" customFormat="false" ht="14.25" hidden="false" customHeight="false" outlineLevel="0" collapsed="false">
      <c r="B168" s="1" t="n">
        <v>10</v>
      </c>
      <c r="C168" s="1" t="n">
        <v>1</v>
      </c>
      <c r="D168" s="2" t="n">
        <v>45</v>
      </c>
      <c r="E168" s="4" t="n">
        <v>2.8</v>
      </c>
      <c r="F168" s="1" t="n">
        <v>40</v>
      </c>
      <c r="G168" s="1" t="n">
        <v>45</v>
      </c>
      <c r="H168" s="3" t="n">
        <v>54.1386548495659</v>
      </c>
      <c r="I168" s="1" t="n">
        <v>350</v>
      </c>
      <c r="J168" s="32" t="n">
        <v>305</v>
      </c>
      <c r="K168" s="25" t="n">
        <v>177</v>
      </c>
      <c r="L168" s="32" t="n">
        <v>95</v>
      </c>
      <c r="M168" s="4" t="n">
        <v>0.23</v>
      </c>
      <c r="N168" s="24" t="n">
        <v>0.244341959656127</v>
      </c>
      <c r="O168" s="25" t="n">
        <v>351.151779939368</v>
      </c>
      <c r="P168" s="25" t="n">
        <v>372.60441372747</v>
      </c>
      <c r="Q168" s="26" t="n">
        <v>0.00795980968315605</v>
      </c>
      <c r="R168" s="24" t="n">
        <v>1.06235634633099</v>
      </c>
      <c r="S168" s="4" t="n">
        <v>0.213443725860415</v>
      </c>
      <c r="T168" s="25" t="n">
        <v>351.151779939368</v>
      </c>
      <c r="U168" s="25" t="n">
        <v>360</v>
      </c>
      <c r="V168" s="26" t="n">
        <v>0.00826315789473684</v>
      </c>
      <c r="W168" s="24" t="n">
        <f aca="false">(I168-H168)/(J168-H168)</f>
        <v>1.17938196087171</v>
      </c>
      <c r="X168" s="24" t="n">
        <f aca="false">0.5*(1+(I168-K168-L168)/(I168-K168))</f>
        <v>0.725433526011561</v>
      </c>
      <c r="Y168" s="24" t="n">
        <v>0.92801619939311</v>
      </c>
      <c r="Z168" s="24" t="n">
        <v>0.328803112624196</v>
      </c>
      <c r="AA168" s="25" t="n">
        <v>351.151779939368</v>
      </c>
      <c r="AB168" s="25" t="n">
        <v>372.60441372747</v>
      </c>
      <c r="AC168" s="26" t="n">
        <v>0.00795980968315605</v>
      </c>
      <c r="AD168" s="24" t="n">
        <v>1.42957875053998</v>
      </c>
      <c r="AE168" s="24" t="n">
        <v>0.295837680011176</v>
      </c>
      <c r="AF168" s="24" t="n">
        <v>0.219619133018303</v>
      </c>
      <c r="AG168" s="25" t="n">
        <v>359.355047571009</v>
      </c>
      <c r="AH168" s="26" t="n">
        <v>0.0084</v>
      </c>
      <c r="AI168" s="24" t="n">
        <v>0.954865795731753</v>
      </c>
    </row>
    <row r="169" customFormat="false" ht="14.25" hidden="false" customHeight="false" outlineLevel="0" collapsed="false">
      <c r="B169" s="1" t="n">
        <v>10</v>
      </c>
      <c r="C169" s="1" t="n">
        <v>1</v>
      </c>
      <c r="D169" s="2" t="n">
        <v>45</v>
      </c>
      <c r="E169" s="4" t="n">
        <v>2.8</v>
      </c>
      <c r="F169" s="1" t="n">
        <v>40</v>
      </c>
      <c r="G169" s="1" t="n">
        <v>45</v>
      </c>
      <c r="H169" s="3" t="n">
        <v>54.1386548495659</v>
      </c>
      <c r="I169" s="1" t="n">
        <v>350</v>
      </c>
      <c r="J169" s="32" t="n">
        <v>305</v>
      </c>
      <c r="K169" s="25" t="n">
        <v>177</v>
      </c>
      <c r="L169" s="32" t="n">
        <v>95</v>
      </c>
      <c r="M169" s="4" t="n">
        <v>0.25</v>
      </c>
      <c r="N169" s="24" t="n">
        <v>0.266446226225694</v>
      </c>
      <c r="O169" s="25" t="n">
        <v>362.694063477198</v>
      </c>
      <c r="P169" s="25" t="n">
        <v>372.60441372747</v>
      </c>
      <c r="Q169" s="26" t="n">
        <v>0.00795980968315605</v>
      </c>
      <c r="R169" s="24" t="n">
        <v>1.06578490490277</v>
      </c>
      <c r="S169" s="4" t="n">
        <v>0.223197905782135</v>
      </c>
      <c r="T169" s="25" t="n">
        <v>362.694063477198</v>
      </c>
      <c r="U169" s="25" t="n">
        <v>360</v>
      </c>
      <c r="V169" s="26" t="n">
        <v>0.00826315789473684</v>
      </c>
      <c r="W169" s="24" t="n">
        <f aca="false">(I169-H169)/(J169-H169)</f>
        <v>1.17938196087171</v>
      </c>
      <c r="X169" s="24" t="n">
        <f aca="false">0.5*(1+(I169-K169-L169)/(I169-K169))</f>
        <v>0.725433526011561</v>
      </c>
      <c r="Y169" s="24" t="n">
        <v>0.892791623128541</v>
      </c>
      <c r="Z169" s="24" t="n">
        <v>0.339610800270503</v>
      </c>
      <c r="AA169" s="25" t="n">
        <v>362.694063477198</v>
      </c>
      <c r="AB169" s="25" t="n">
        <v>372.60441372747</v>
      </c>
      <c r="AC169" s="26" t="n">
        <v>0.00795980968315605</v>
      </c>
      <c r="AD169" s="24" t="n">
        <v>1.35844320108201</v>
      </c>
      <c r="AE169" s="24" t="n">
        <v>0.305561800972352</v>
      </c>
      <c r="AF169" s="24" t="n">
        <v>0.23429408193513</v>
      </c>
      <c r="AG169" s="25" t="n">
        <v>371.166970752863</v>
      </c>
      <c r="AH169" s="26" t="n">
        <v>0.0084</v>
      </c>
      <c r="AI169" s="24" t="n">
        <v>0.93717632774052</v>
      </c>
    </row>
    <row r="170" customFormat="false" ht="14.25" hidden="false" customHeight="false" outlineLevel="0" collapsed="false">
      <c r="B170" s="1" t="n">
        <v>10</v>
      </c>
      <c r="C170" s="1" t="n">
        <v>1</v>
      </c>
      <c r="D170" s="2" t="n">
        <v>45</v>
      </c>
      <c r="E170" s="4" t="n">
        <v>2.8</v>
      </c>
      <c r="F170" s="1" t="n">
        <v>40</v>
      </c>
      <c r="G170" s="1" t="n">
        <v>45</v>
      </c>
      <c r="H170" s="3" t="n">
        <v>54.1386548495659</v>
      </c>
      <c r="I170" s="1" t="n">
        <v>350</v>
      </c>
      <c r="J170" s="32" t="n">
        <v>305</v>
      </c>
      <c r="K170" s="25" t="n">
        <v>177</v>
      </c>
      <c r="L170" s="32" t="n">
        <v>95</v>
      </c>
      <c r="M170" s="4" t="n">
        <v>0.28</v>
      </c>
      <c r="N170" s="24" t="n">
        <v>0.291100985091748</v>
      </c>
      <c r="O170" s="25" t="n">
        <v>375.568148961701</v>
      </c>
      <c r="P170" s="25" t="n">
        <v>372.60441372747</v>
      </c>
      <c r="Q170" s="26" t="n">
        <v>0.00795980968315605</v>
      </c>
      <c r="R170" s="24" t="n">
        <v>1.03964637532767</v>
      </c>
      <c r="S170" s="4" t="n">
        <v>0.242761331982995</v>
      </c>
      <c r="T170" s="25" t="n">
        <v>375.568148961701</v>
      </c>
      <c r="U170" s="25" t="n">
        <v>360</v>
      </c>
      <c r="V170" s="26" t="n">
        <v>0.00826315789473684</v>
      </c>
      <c r="W170" s="24" t="n">
        <f aca="false">(I170-H170)/(J170-H170)</f>
        <v>1.17938196087171</v>
      </c>
      <c r="X170" s="24" t="n">
        <f aca="false">0.5*(1+(I170-K170-L170)/(I170-K170))</f>
        <v>0.725433526011561</v>
      </c>
      <c r="Y170" s="24" t="n">
        <v>0.867004757082126</v>
      </c>
      <c r="Z170" s="24" t="n">
        <v>0.351665528799076</v>
      </c>
      <c r="AA170" s="25" t="n">
        <v>375.568148961701</v>
      </c>
      <c r="AB170" s="25" t="n">
        <v>372.60441372747</v>
      </c>
      <c r="AC170" s="26" t="n">
        <v>0.00795980968315605</v>
      </c>
      <c r="AD170" s="24" t="n">
        <v>1.25594831713956</v>
      </c>
      <c r="AE170" s="24" t="n">
        <v>0.316407935890587</v>
      </c>
      <c r="AF170" s="24" t="n">
        <v>0.251222152194693</v>
      </c>
      <c r="AG170" s="25" t="n">
        <v>384.341808148007</v>
      </c>
      <c r="AH170" s="26" t="n">
        <v>0.0084</v>
      </c>
      <c r="AI170" s="24" t="n">
        <v>0.897221972123904</v>
      </c>
    </row>
    <row r="171" customFormat="false" ht="14.25" hidden="false" customHeight="false" outlineLevel="0" collapsed="false">
      <c r="B171" s="1" t="n">
        <v>10</v>
      </c>
      <c r="C171" s="1" t="n">
        <v>1</v>
      </c>
      <c r="D171" s="2" t="n">
        <v>45</v>
      </c>
      <c r="E171" s="4" t="n">
        <v>2.8</v>
      </c>
      <c r="F171" s="1" t="n">
        <v>40</v>
      </c>
      <c r="G171" s="1" t="n">
        <v>45</v>
      </c>
      <c r="H171" s="3" t="n">
        <v>54.1386548495659</v>
      </c>
      <c r="I171" s="1" t="n">
        <v>350</v>
      </c>
      <c r="J171" s="32" t="n">
        <v>305</v>
      </c>
      <c r="K171" s="25" t="n">
        <v>177</v>
      </c>
      <c r="L171" s="32" t="n">
        <v>95</v>
      </c>
      <c r="M171" s="4" t="n">
        <v>0.31</v>
      </c>
      <c r="N171" s="24" t="n">
        <v>0.313205251661314</v>
      </c>
      <c r="O171" s="25" t="n">
        <v>387.110432499531</v>
      </c>
      <c r="P171" s="25" t="n">
        <v>372.60441372747</v>
      </c>
      <c r="Q171" s="26" t="n">
        <v>0.00795980968315605</v>
      </c>
      <c r="R171" s="24" t="n">
        <v>1.01033952148811</v>
      </c>
      <c r="S171" s="4" t="n">
        <v>0.260300955473421</v>
      </c>
      <c r="T171" s="25" t="n">
        <v>387.110432499531</v>
      </c>
      <c r="U171" s="25" t="n">
        <v>360</v>
      </c>
      <c r="V171" s="26" t="n">
        <v>0.00826315789473684</v>
      </c>
      <c r="W171" s="24" t="n">
        <f aca="false">(I171-H171)/(J171-H171)</f>
        <v>1.17938196087171</v>
      </c>
      <c r="X171" s="24" t="n">
        <f aca="false">0.5*(1+(I171-K171-L171)/(I171-K171))</f>
        <v>0.725433526011561</v>
      </c>
      <c r="Y171" s="24" t="n">
        <v>0.839680501527165</v>
      </c>
      <c r="Z171" s="24" t="n">
        <v>0.362473216445384</v>
      </c>
      <c r="AA171" s="25" t="n">
        <v>387.110432499531</v>
      </c>
      <c r="AB171" s="25" t="n">
        <v>372.60441372747</v>
      </c>
      <c r="AC171" s="26" t="n">
        <v>0.00795980968315605</v>
      </c>
      <c r="AD171" s="24" t="n">
        <v>1.1692684401464</v>
      </c>
      <c r="AE171" s="24" t="n">
        <v>0.326132056851764</v>
      </c>
      <c r="AF171" s="24" t="n">
        <v>0.266900984432945</v>
      </c>
      <c r="AG171" s="25" t="n">
        <v>396.153731329861</v>
      </c>
      <c r="AH171" s="26" t="n">
        <v>0.0084</v>
      </c>
      <c r="AI171" s="24" t="n">
        <v>0.860970917525629</v>
      </c>
    </row>
    <row r="172" customFormat="false" ht="14.25" hidden="false" customHeight="false" outlineLevel="0" collapsed="false">
      <c r="B172" s="1" t="n">
        <v>10</v>
      </c>
      <c r="C172" s="1" t="n">
        <v>1</v>
      </c>
      <c r="D172" s="2" t="n">
        <v>45</v>
      </c>
      <c r="E172" s="4" t="n">
        <v>2.8</v>
      </c>
      <c r="F172" s="1" t="n">
        <v>40</v>
      </c>
      <c r="G172" s="1" t="n">
        <v>45</v>
      </c>
      <c r="H172" s="3" t="n">
        <v>54.1386548495659</v>
      </c>
      <c r="I172" s="1" t="n">
        <v>350</v>
      </c>
      <c r="J172" s="32" t="n">
        <v>305</v>
      </c>
      <c r="K172" s="25" t="n">
        <v>177</v>
      </c>
      <c r="L172" s="32" t="n">
        <v>95</v>
      </c>
      <c r="M172" s="4" t="n">
        <v>0.36</v>
      </c>
      <c r="N172" s="24" t="n">
        <v>0.339560338725027</v>
      </c>
      <c r="O172" s="25" t="n">
        <v>400.872385948482</v>
      </c>
      <c r="P172" s="25" t="n">
        <v>372.60441372747</v>
      </c>
      <c r="Q172" s="26" t="n">
        <v>0.00795980968315605</v>
      </c>
      <c r="R172" s="24" t="n">
        <v>0.943223163125075</v>
      </c>
      <c r="S172" s="4" t="n">
        <v>0.281213583481237</v>
      </c>
      <c r="T172" s="25" t="n">
        <v>400.872385948482</v>
      </c>
      <c r="U172" s="25" t="n">
        <v>360</v>
      </c>
      <c r="V172" s="26" t="n">
        <v>0.00826315789473684</v>
      </c>
      <c r="W172" s="24" t="n">
        <f aca="false">(I172-H172)/(J172-H172)</f>
        <v>1.17938196087171</v>
      </c>
      <c r="X172" s="24" t="n">
        <f aca="false">0.5*(1+(I172-K172-L172)/(I172-K172))</f>
        <v>0.725433526011561</v>
      </c>
      <c r="Y172" s="24" t="n">
        <v>0.781148843003435</v>
      </c>
      <c r="Z172" s="24" t="n">
        <v>0.375359305562135</v>
      </c>
      <c r="AA172" s="25" t="n">
        <v>400.872385948482</v>
      </c>
      <c r="AB172" s="25" t="n">
        <v>372.60441372747</v>
      </c>
      <c r="AC172" s="26" t="n">
        <v>0.00795980968315605</v>
      </c>
      <c r="AD172" s="24" t="n">
        <v>1.0426647376726</v>
      </c>
      <c r="AE172" s="24" t="n">
        <v>0.337726201074705</v>
      </c>
      <c r="AF172" s="24" t="n">
        <v>0.286215208125741</v>
      </c>
      <c r="AG172" s="25" t="n">
        <v>410.237178200533</v>
      </c>
      <c r="AH172" s="26" t="n">
        <v>0.0084</v>
      </c>
      <c r="AI172" s="24" t="n">
        <v>0.795042244793724</v>
      </c>
    </row>
    <row r="173" customFormat="false" ht="14.25" hidden="false" customHeight="false" outlineLevel="0" collapsed="false">
      <c r="A173" s="0" t="s">
        <v>59</v>
      </c>
      <c r="B173" s="1" t="n">
        <v>10</v>
      </c>
      <c r="C173" s="1" t="n">
        <v>1</v>
      </c>
      <c r="D173" s="2" t="n">
        <v>45</v>
      </c>
      <c r="E173" s="4" t="n">
        <v>2.8</v>
      </c>
      <c r="F173" s="1" t="n">
        <v>40</v>
      </c>
      <c r="G173" s="1" t="n">
        <v>45</v>
      </c>
      <c r="H173" s="3" t="n">
        <v>54.1386548495659</v>
      </c>
      <c r="I173" s="1" t="n">
        <v>350</v>
      </c>
      <c r="J173" s="32" t="n">
        <v>305</v>
      </c>
      <c r="K173" s="25" t="n">
        <v>177</v>
      </c>
      <c r="L173" s="32" t="n">
        <v>95</v>
      </c>
      <c r="M173" s="4" t="n">
        <v>0.16</v>
      </c>
      <c r="N173" s="24" t="n">
        <v>0.163576370267329</v>
      </c>
      <c r="O173" s="25" t="n">
        <v>308.978051628066</v>
      </c>
      <c r="P173" s="25" t="n">
        <v>372.60441372747</v>
      </c>
      <c r="Q173" s="26" t="n">
        <v>0.00795980968315605</v>
      </c>
      <c r="R173" s="24" t="n">
        <v>1.0223523141708</v>
      </c>
      <c r="S173" s="4" t="n">
        <v>0.187808891528254</v>
      </c>
      <c r="T173" s="25" t="n">
        <v>308.978051628066</v>
      </c>
      <c r="U173" s="25" t="n">
        <v>360</v>
      </c>
      <c r="V173" s="26" t="n">
        <v>0.00826315789473684</v>
      </c>
      <c r="W173" s="24" t="n">
        <f aca="false">(I173-H173)/(J173-H173)</f>
        <v>1.17938196087171</v>
      </c>
      <c r="X173" s="24" t="n">
        <f aca="false">0.5*(1+(I173-K173-L173)/(I173-K173))</f>
        <v>0.725433526011561</v>
      </c>
      <c r="Y173" s="24" t="n">
        <v>1.17380557205159</v>
      </c>
      <c r="Z173" s="24" t="n">
        <v>0.289313484685765</v>
      </c>
      <c r="AA173" s="25" t="n">
        <v>308.978051628066</v>
      </c>
      <c r="AB173" s="25" t="n">
        <v>372.60441372747</v>
      </c>
      <c r="AC173" s="26" t="n">
        <v>0.00795980968315605</v>
      </c>
      <c r="AD173" s="24" t="n">
        <v>1.80820927928603</v>
      </c>
      <c r="AE173" s="24" t="n">
        <v>0.260307238037646</v>
      </c>
      <c r="AF173" s="24" t="n">
        <v>0.170033966094854</v>
      </c>
      <c r="AG173" s="25" t="n">
        <v>316.196097483467</v>
      </c>
      <c r="AH173" s="26" t="n">
        <v>0.0084</v>
      </c>
      <c r="AI173" s="24" t="n">
        <v>1.06271228809284</v>
      </c>
    </row>
    <row r="174" customFormat="false" ht="14.25" hidden="false" customHeight="false" outlineLevel="0" collapsed="false">
      <c r="B174" s="1" t="n">
        <v>10</v>
      </c>
      <c r="C174" s="1" t="n">
        <v>1</v>
      </c>
      <c r="D174" s="2" t="n">
        <v>45</v>
      </c>
      <c r="E174" s="4" t="n">
        <v>2.8</v>
      </c>
      <c r="F174" s="1" t="n">
        <v>40</v>
      </c>
      <c r="G174" s="1" t="n">
        <v>45</v>
      </c>
      <c r="H174" s="3" t="n">
        <v>54.1386548495659</v>
      </c>
      <c r="I174" s="1" t="n">
        <v>350</v>
      </c>
      <c r="J174" s="32" t="n">
        <v>305</v>
      </c>
      <c r="K174" s="25" t="n">
        <v>177</v>
      </c>
      <c r="L174" s="32" t="n">
        <v>95</v>
      </c>
      <c r="M174" s="4" t="n">
        <v>0.18</v>
      </c>
      <c r="N174" s="24" t="n">
        <v>0.189081293232212</v>
      </c>
      <c r="O174" s="25" t="n">
        <v>322.296071094793</v>
      </c>
      <c r="P174" s="25" t="n">
        <v>372.60441372747</v>
      </c>
      <c r="Q174" s="26" t="n">
        <v>0.00795980968315605</v>
      </c>
      <c r="R174" s="24" t="n">
        <v>1.05045162906785</v>
      </c>
      <c r="S174" s="4" t="n">
        <v>0.195904102369989</v>
      </c>
      <c r="T174" s="25" t="n">
        <v>322.296071094793</v>
      </c>
      <c r="U174" s="25" t="n">
        <v>360</v>
      </c>
      <c r="V174" s="26" t="n">
        <v>0.00826315789473684</v>
      </c>
      <c r="W174" s="24" t="n">
        <f aca="false">(I174-H174)/(J174-H174)</f>
        <v>1.17938196087171</v>
      </c>
      <c r="X174" s="24" t="n">
        <f aca="false">0.5*(1+(I174-K174-L174)/(I174-K174))</f>
        <v>0.725433526011561</v>
      </c>
      <c r="Y174" s="24" t="n">
        <v>1.08835612427772</v>
      </c>
      <c r="Z174" s="24" t="n">
        <v>0.301783893508427</v>
      </c>
      <c r="AA174" s="25" t="n">
        <v>322.296071094793</v>
      </c>
      <c r="AB174" s="25" t="n">
        <v>372.60441372747</v>
      </c>
      <c r="AC174" s="26" t="n">
        <v>0.00795980968315605</v>
      </c>
      <c r="AD174" s="24" t="n">
        <v>1.67657718615793</v>
      </c>
      <c r="AE174" s="24" t="n">
        <v>0.271527377608234</v>
      </c>
      <c r="AF174" s="24" t="n">
        <v>0.185007973959182</v>
      </c>
      <c r="AG174" s="25" t="n">
        <v>329.825239616375</v>
      </c>
      <c r="AH174" s="26" t="n">
        <v>0.0084</v>
      </c>
      <c r="AI174" s="24" t="n">
        <v>1.02782207755101</v>
      </c>
    </row>
    <row r="175" customFormat="false" ht="14.25" hidden="false" customHeight="false" outlineLevel="0" collapsed="false">
      <c r="B175" s="1" t="n">
        <v>10</v>
      </c>
      <c r="C175" s="1" t="n">
        <v>1</v>
      </c>
      <c r="D175" s="2" t="n">
        <v>45</v>
      </c>
      <c r="E175" s="4" t="n">
        <v>2.8</v>
      </c>
      <c r="F175" s="1" t="n">
        <v>40</v>
      </c>
      <c r="G175" s="1" t="n">
        <v>45</v>
      </c>
      <c r="H175" s="3" t="n">
        <v>54.1386548495659</v>
      </c>
      <c r="I175" s="1" t="n">
        <v>350</v>
      </c>
      <c r="J175" s="32" t="n">
        <v>305</v>
      </c>
      <c r="K175" s="25" t="n">
        <v>177</v>
      </c>
      <c r="L175" s="32" t="n">
        <v>95</v>
      </c>
      <c r="M175" s="4" t="n">
        <v>0.2</v>
      </c>
      <c r="N175" s="24" t="n">
        <v>0.212885887999437</v>
      </c>
      <c r="O175" s="25" t="n">
        <v>334.726222597071</v>
      </c>
      <c r="P175" s="25" t="n">
        <v>372.60441372747</v>
      </c>
      <c r="Q175" s="26" t="n">
        <v>0.00795980968315605</v>
      </c>
      <c r="R175" s="24" t="n">
        <v>1.06442943999719</v>
      </c>
      <c r="S175" s="4" t="n">
        <v>0.203459632488942</v>
      </c>
      <c r="T175" s="25" t="n">
        <v>334.726222597071</v>
      </c>
      <c r="U175" s="25" t="n">
        <v>360</v>
      </c>
      <c r="V175" s="26" t="n">
        <v>0.00826315789473684</v>
      </c>
      <c r="W175" s="24" t="n">
        <f aca="false">(I175-H175)/(J175-H175)</f>
        <v>1.17938196087171</v>
      </c>
      <c r="X175" s="24" t="n">
        <f aca="false">0.5*(1+(I175-K175-L175)/(I175-K175))</f>
        <v>0.725433526011561</v>
      </c>
      <c r="Y175" s="24" t="n">
        <v>1.01729816244471</v>
      </c>
      <c r="Z175" s="24" t="n">
        <v>0.313422941742912</v>
      </c>
      <c r="AA175" s="25" t="n">
        <v>334.726222597071</v>
      </c>
      <c r="AB175" s="25" t="n">
        <v>372.60441372747</v>
      </c>
      <c r="AC175" s="26" t="n">
        <v>0.00795980968315605</v>
      </c>
      <c r="AD175" s="24" t="n">
        <v>1.56711470871456</v>
      </c>
      <c r="AE175" s="24" t="n">
        <v>0.281999507874117</v>
      </c>
      <c r="AF175" s="24" t="n">
        <v>0.199553751875211</v>
      </c>
      <c r="AG175" s="25" t="n">
        <v>342.545772273756</v>
      </c>
      <c r="AH175" s="26" t="n">
        <v>0.0084</v>
      </c>
      <c r="AI175" s="24" t="n">
        <v>0.997768759376052</v>
      </c>
    </row>
    <row r="176" customFormat="false" ht="14.25" hidden="false" customHeight="false" outlineLevel="0" collapsed="false">
      <c r="B176" s="1" t="n">
        <v>10</v>
      </c>
      <c r="C176" s="1" t="n">
        <v>1</v>
      </c>
      <c r="D176" s="2" t="n">
        <v>45</v>
      </c>
      <c r="E176" s="4" t="n">
        <v>2.8</v>
      </c>
      <c r="F176" s="1" t="n">
        <v>40</v>
      </c>
      <c r="G176" s="1" t="n">
        <v>45</v>
      </c>
      <c r="H176" s="3" t="n">
        <v>54.1386548495659</v>
      </c>
      <c r="I176" s="1" t="n">
        <v>350</v>
      </c>
      <c r="J176" s="32" t="n">
        <v>305</v>
      </c>
      <c r="K176" s="25" t="n">
        <v>177</v>
      </c>
      <c r="L176" s="32" t="n">
        <v>95</v>
      </c>
      <c r="M176" s="4" t="n">
        <v>0.23</v>
      </c>
      <c r="N176" s="24" t="n">
        <v>0.237540646865492</v>
      </c>
      <c r="O176" s="25" t="n">
        <v>347.600308081574</v>
      </c>
      <c r="P176" s="25" t="n">
        <v>372.60441372747</v>
      </c>
      <c r="Q176" s="26" t="n">
        <v>0.00795980968315605</v>
      </c>
      <c r="R176" s="24" t="n">
        <v>1.03278542115431</v>
      </c>
      <c r="S176" s="4" t="n">
        <v>0.211285002969286</v>
      </c>
      <c r="T176" s="25" t="n">
        <v>347.600308081574</v>
      </c>
      <c r="U176" s="25" t="n">
        <v>360</v>
      </c>
      <c r="V176" s="26" t="n">
        <v>0.00826315789473684</v>
      </c>
      <c r="W176" s="24" t="n">
        <f aca="false">(I176-H176)/(J176-H176)</f>
        <v>1.17938196087171</v>
      </c>
      <c r="X176" s="24" t="n">
        <f aca="false">0.5*(1+(I176-K176-L176)/(I176-K176))</f>
        <v>0.725433526011561</v>
      </c>
      <c r="Y176" s="24" t="n">
        <v>0.918630447692547</v>
      </c>
      <c r="Z176" s="24" t="n">
        <v>0.325477670271486</v>
      </c>
      <c r="AA176" s="25" t="n">
        <v>347.600308081574</v>
      </c>
      <c r="AB176" s="25" t="n">
        <v>372.60441372747</v>
      </c>
      <c r="AC176" s="26" t="n">
        <v>0.00795980968315605</v>
      </c>
      <c r="AD176" s="24" t="n">
        <v>1.4151203055282</v>
      </c>
      <c r="AE176" s="24" t="n">
        <v>0.292845642792352</v>
      </c>
      <c r="AF176" s="24" t="n">
        <v>0.2151992383388</v>
      </c>
      <c r="AG176" s="25" t="n">
        <v>355.7206096689</v>
      </c>
      <c r="AH176" s="26" t="n">
        <v>0.0084</v>
      </c>
      <c r="AI176" s="24" t="n">
        <v>0.935648862342607</v>
      </c>
    </row>
    <row r="177" customFormat="false" ht="14.25" hidden="false" customHeight="false" outlineLevel="0" collapsed="false">
      <c r="B177" s="1" t="n">
        <v>10</v>
      </c>
      <c r="C177" s="1" t="n">
        <v>1</v>
      </c>
      <c r="D177" s="2" t="n">
        <v>45</v>
      </c>
      <c r="E177" s="4" t="n">
        <v>2.8</v>
      </c>
      <c r="F177" s="1" t="n">
        <v>40</v>
      </c>
      <c r="G177" s="1" t="n">
        <v>45</v>
      </c>
      <c r="H177" s="3" t="n">
        <v>54.1386548495659</v>
      </c>
      <c r="I177" s="1" t="n">
        <v>350</v>
      </c>
      <c r="J177" s="32" t="n">
        <v>305</v>
      </c>
      <c r="K177" s="25" t="n">
        <v>177</v>
      </c>
      <c r="L177" s="32" t="n">
        <v>95</v>
      </c>
      <c r="M177" s="4" t="n">
        <v>0.24</v>
      </c>
      <c r="N177" s="24" t="n">
        <v>0.263895733929205</v>
      </c>
      <c r="O177" s="25" t="n">
        <v>361.362261530525</v>
      </c>
      <c r="P177" s="25" t="n">
        <v>372.60441372747</v>
      </c>
      <c r="Q177" s="26" t="n">
        <v>0.00795980968315605</v>
      </c>
      <c r="R177" s="24" t="n">
        <v>1.09956555803836</v>
      </c>
      <c r="S177" s="4" t="n">
        <v>0.221174103071702</v>
      </c>
      <c r="T177" s="25" t="n">
        <v>361.362261530525</v>
      </c>
      <c r="U177" s="25" t="n">
        <v>360</v>
      </c>
      <c r="V177" s="26" t="n">
        <v>0.00826315789473684</v>
      </c>
      <c r="W177" s="24" t="n">
        <f aca="false">(I177-H177)/(J177-H177)</f>
        <v>1.17938196087171</v>
      </c>
      <c r="X177" s="24" t="n">
        <f aca="false">0.5*(1+(I177-K177-L177)/(I177-K177))</f>
        <v>0.725433526011561</v>
      </c>
      <c r="Y177" s="24" t="n">
        <v>0.921558762798757</v>
      </c>
      <c r="Z177" s="24" t="n">
        <v>0.338363759388237</v>
      </c>
      <c r="AA177" s="25" t="n">
        <v>361.362261530525</v>
      </c>
      <c r="AB177" s="25" t="n">
        <v>372.60441372747</v>
      </c>
      <c r="AC177" s="26" t="n">
        <v>0.00795980968315605</v>
      </c>
      <c r="AD177" s="24" t="n">
        <v>1.40984899745099</v>
      </c>
      <c r="AE177" s="24" t="n">
        <v>0.304439787015293</v>
      </c>
      <c r="AF177" s="24" t="n">
        <v>0.232576599035923</v>
      </c>
      <c r="AG177" s="25" t="n">
        <v>369.804056539572</v>
      </c>
      <c r="AH177" s="26" t="n">
        <v>0.0084</v>
      </c>
      <c r="AI177" s="24" t="n">
        <v>0.969069162649681</v>
      </c>
    </row>
    <row r="178" customFormat="false" ht="14.25" hidden="false" customHeight="false" outlineLevel="0" collapsed="false">
      <c r="B178" s="1" t="n">
        <v>10</v>
      </c>
      <c r="C178" s="1" t="n">
        <v>1</v>
      </c>
      <c r="D178" s="2" t="n">
        <v>45</v>
      </c>
      <c r="E178" s="4" t="n">
        <v>2.8</v>
      </c>
      <c r="F178" s="1" t="n">
        <v>40</v>
      </c>
      <c r="G178" s="1" t="n">
        <v>45</v>
      </c>
      <c r="H178" s="3" t="n">
        <v>54.1386548495659</v>
      </c>
      <c r="I178" s="1" t="n">
        <v>350</v>
      </c>
      <c r="J178" s="32" t="n">
        <v>305</v>
      </c>
      <c r="K178" s="25" t="n">
        <v>177</v>
      </c>
      <c r="L178" s="32" t="n">
        <v>95</v>
      </c>
      <c r="M178" s="4" t="n">
        <v>0.25</v>
      </c>
      <c r="N178" s="24" t="n">
        <v>0.291100985091748</v>
      </c>
      <c r="O178" s="25" t="n">
        <v>375.568148961701</v>
      </c>
      <c r="P178" s="25" t="n">
        <v>372.60441372747</v>
      </c>
      <c r="Q178" s="26" t="n">
        <v>0.00795980968315605</v>
      </c>
      <c r="R178" s="24" t="n">
        <v>1.16440394036699</v>
      </c>
      <c r="S178" s="4" t="n">
        <v>0.242761331982995</v>
      </c>
      <c r="T178" s="25" t="n">
        <v>375.568148961701</v>
      </c>
      <c r="U178" s="25" t="n">
        <v>360</v>
      </c>
      <c r="V178" s="26" t="n">
        <v>0.00826315789473684</v>
      </c>
      <c r="W178" s="24" t="n">
        <f aca="false">(I178-H178)/(J178-H178)</f>
        <v>1.17938196087171</v>
      </c>
      <c r="X178" s="24" t="n">
        <f aca="false">0.5*(1+(I178-K178-L178)/(I178-K178))</f>
        <v>0.725433526011561</v>
      </c>
      <c r="Y178" s="24" t="n">
        <v>0.971045327931981</v>
      </c>
      <c r="Z178" s="24" t="n">
        <v>0.351665528799076</v>
      </c>
      <c r="AA178" s="25" t="n">
        <v>375.568148961701</v>
      </c>
      <c r="AB178" s="25" t="n">
        <v>372.60441372747</v>
      </c>
      <c r="AC178" s="26" t="n">
        <v>0.00795980968315605</v>
      </c>
      <c r="AD178" s="24" t="n">
        <v>1.40666211519631</v>
      </c>
      <c r="AE178" s="24" t="n">
        <v>0.316407935890587</v>
      </c>
      <c r="AF178" s="24" t="n">
        <v>0.251222152194693</v>
      </c>
      <c r="AG178" s="25" t="n">
        <v>384.341808148007</v>
      </c>
      <c r="AH178" s="26" t="n">
        <v>0.0084</v>
      </c>
      <c r="AI178" s="24" t="n">
        <v>1.00488860877877</v>
      </c>
    </row>
    <row r="179" customFormat="false" ht="14.25" hidden="false" customHeight="false" outlineLevel="0" collapsed="false">
      <c r="B179" s="1" t="n">
        <v>10</v>
      </c>
      <c r="C179" s="1" t="n">
        <v>1</v>
      </c>
      <c r="D179" s="2" t="n">
        <v>45</v>
      </c>
      <c r="E179" s="4" t="n">
        <v>2.8</v>
      </c>
      <c r="F179" s="1" t="n">
        <v>40</v>
      </c>
      <c r="G179" s="1" t="n">
        <v>45</v>
      </c>
      <c r="H179" s="3" t="n">
        <v>54.1386548495659</v>
      </c>
      <c r="I179" s="1" t="n">
        <v>350</v>
      </c>
      <c r="J179" s="32" t="n">
        <v>305</v>
      </c>
      <c r="K179" s="25" t="n">
        <v>177</v>
      </c>
      <c r="L179" s="32" t="n">
        <v>95</v>
      </c>
      <c r="M179" s="4" t="n">
        <v>0.27</v>
      </c>
      <c r="N179" s="24" t="n">
        <v>0.315755743957802</v>
      </c>
      <c r="O179" s="25" t="n">
        <v>388.442234446203</v>
      </c>
      <c r="P179" s="25" t="n">
        <v>372.60441372747</v>
      </c>
      <c r="Q179" s="26" t="n">
        <v>0.00795980968315605</v>
      </c>
      <c r="R179" s="24" t="n">
        <v>1.16946571836223</v>
      </c>
      <c r="S179" s="4" t="n">
        <v>0.262324758183855</v>
      </c>
      <c r="T179" s="25" t="n">
        <v>388.442234446203</v>
      </c>
      <c r="U179" s="25" t="n">
        <v>360</v>
      </c>
      <c r="V179" s="26" t="n">
        <v>0.00826315789473684</v>
      </c>
      <c r="W179" s="24" t="n">
        <f aca="false">(I179-H179)/(J179-H179)</f>
        <v>1.17938196087171</v>
      </c>
      <c r="X179" s="24" t="n">
        <f aca="false">0.5*(1+(I179-K179-L179)/(I179-K179))</f>
        <v>0.725433526011561</v>
      </c>
      <c r="Y179" s="24" t="n">
        <v>0.971573178458722</v>
      </c>
      <c r="Z179" s="24" t="n">
        <v>0.36372025732765</v>
      </c>
      <c r="AA179" s="25" t="n">
        <v>388.442234446203</v>
      </c>
      <c r="AB179" s="25" t="n">
        <v>372.60441372747</v>
      </c>
      <c r="AC179" s="26" t="n">
        <v>0.00795980968315605</v>
      </c>
      <c r="AD179" s="24" t="n">
        <v>1.34711206417648</v>
      </c>
      <c r="AE179" s="24" t="n">
        <v>0.327254070808822</v>
      </c>
      <c r="AF179" s="24" t="n">
        <v>0.268740618169863</v>
      </c>
      <c r="AG179" s="25" t="n">
        <v>397.516645543152</v>
      </c>
      <c r="AH179" s="26" t="n">
        <v>0.0084</v>
      </c>
      <c r="AI179" s="24" t="n">
        <v>0.995335622851346</v>
      </c>
    </row>
    <row r="180" customFormat="false" ht="14.25" hidden="false" customHeight="false" outlineLevel="0" collapsed="false">
      <c r="B180" s="1" t="n">
        <v>10</v>
      </c>
      <c r="C180" s="1" t="n">
        <v>1</v>
      </c>
      <c r="D180" s="2" t="n">
        <v>45</v>
      </c>
      <c r="E180" s="4" t="n">
        <v>2.8</v>
      </c>
      <c r="F180" s="1" t="n">
        <v>40</v>
      </c>
      <c r="G180" s="1" t="n">
        <v>45</v>
      </c>
      <c r="H180" s="3" t="n">
        <v>54.1386548495659</v>
      </c>
      <c r="I180" s="1" t="n">
        <v>350</v>
      </c>
      <c r="J180" s="32" t="n">
        <v>305</v>
      </c>
      <c r="K180" s="25" t="n">
        <v>177</v>
      </c>
      <c r="L180" s="32" t="n">
        <v>95</v>
      </c>
      <c r="M180" s="4" t="n">
        <v>0.29</v>
      </c>
      <c r="N180" s="24" t="n">
        <v>0.337860010527368</v>
      </c>
      <c r="O180" s="25" t="n">
        <v>399.984517984033</v>
      </c>
      <c r="P180" s="25" t="n">
        <v>372.60441372747</v>
      </c>
      <c r="Q180" s="26" t="n">
        <v>0.00795980968315605</v>
      </c>
      <c r="R180" s="24" t="n">
        <v>1.16503451905989</v>
      </c>
      <c r="S180" s="4" t="n">
        <v>0.279864381674281</v>
      </c>
      <c r="T180" s="25" t="n">
        <v>399.984517984033</v>
      </c>
      <c r="U180" s="25" t="n">
        <v>360</v>
      </c>
      <c r="V180" s="26" t="n">
        <v>0.00826315789473684</v>
      </c>
      <c r="W180" s="24" t="n">
        <f aca="false">(I180-H180)/(J180-H180)</f>
        <v>1.17938196087171</v>
      </c>
      <c r="X180" s="24" t="n">
        <f aca="false">0.5*(1+(I180-K180-L180)/(I180-K180))</f>
        <v>0.725433526011561</v>
      </c>
      <c r="Y180" s="24" t="n">
        <v>0.965049591980279</v>
      </c>
      <c r="Z180" s="24" t="n">
        <v>0.374527944973957</v>
      </c>
      <c r="AA180" s="25" t="n">
        <v>399.984517984033</v>
      </c>
      <c r="AB180" s="25" t="n">
        <v>372.60441372747</v>
      </c>
      <c r="AC180" s="26" t="n">
        <v>0.00795980968315605</v>
      </c>
      <c r="AD180" s="24" t="n">
        <v>1.29147567232399</v>
      </c>
      <c r="AE180" s="24" t="n">
        <v>0.336978191769999</v>
      </c>
      <c r="AF180" s="24" t="n">
        <v>0.284948770704866</v>
      </c>
      <c r="AG180" s="25" t="n">
        <v>409.328568725005</v>
      </c>
      <c r="AH180" s="26" t="n">
        <v>0.0084</v>
      </c>
      <c r="AI180" s="24" t="n">
        <v>0.982581967947815</v>
      </c>
    </row>
    <row r="181" customFormat="false" ht="14.25" hidden="false" customHeight="false" outlineLevel="0" collapsed="false">
      <c r="A181" s="0" t="s">
        <v>60</v>
      </c>
      <c r="B181" s="1" t="n">
        <v>10</v>
      </c>
      <c r="C181" s="1" t="n">
        <v>1</v>
      </c>
      <c r="D181" s="2" t="n">
        <v>45</v>
      </c>
      <c r="E181" s="4" t="n">
        <v>2.8</v>
      </c>
      <c r="F181" s="1" t="n">
        <v>40</v>
      </c>
      <c r="G181" s="1" t="n">
        <v>45</v>
      </c>
      <c r="H181" s="3" t="n">
        <v>54.1386548495659</v>
      </c>
      <c r="I181" s="1" t="n">
        <v>350</v>
      </c>
      <c r="J181" s="32" t="n">
        <v>305</v>
      </c>
      <c r="K181" s="25" t="n">
        <v>177</v>
      </c>
      <c r="L181" s="32" t="n">
        <v>95</v>
      </c>
      <c r="M181" s="4" t="n">
        <v>0.15</v>
      </c>
      <c r="N181" s="24" t="n">
        <v>0.191631785528701</v>
      </c>
      <c r="O181" s="25" t="n">
        <v>323.627873041465</v>
      </c>
      <c r="P181" s="25" t="n">
        <v>372.60441372747</v>
      </c>
      <c r="Q181" s="26" t="n">
        <v>0.00795980968315605</v>
      </c>
      <c r="R181" s="24" t="n">
        <v>1.27754523685801</v>
      </c>
      <c r="S181" s="4" t="n">
        <v>0.196713623454163</v>
      </c>
      <c r="T181" s="25" t="n">
        <v>323.627873041465</v>
      </c>
      <c r="U181" s="25" t="n">
        <v>360</v>
      </c>
      <c r="V181" s="26" t="n">
        <v>0.00826315789473684</v>
      </c>
      <c r="W181" s="24" t="n">
        <f aca="false">(I181-H181)/(J181-H181)</f>
        <v>1.17938196087171</v>
      </c>
      <c r="X181" s="24" t="n">
        <f aca="false">0.5*(1+(I181-K181-L181)/(I181-K181))</f>
        <v>0.725433526011561</v>
      </c>
      <c r="Y181" s="24" t="n">
        <v>1.31142415636109</v>
      </c>
      <c r="Z181" s="24" t="n">
        <v>0.303030934390693</v>
      </c>
      <c r="AA181" s="25" t="n">
        <v>323.627873041465</v>
      </c>
      <c r="AB181" s="25" t="n">
        <v>372.60441372747</v>
      </c>
      <c r="AC181" s="26" t="n">
        <v>0.00795980968315605</v>
      </c>
      <c r="AD181" s="24" t="n">
        <v>2.02020622927129</v>
      </c>
      <c r="AE181" s="24" t="n">
        <v>0.272649391565293</v>
      </c>
      <c r="AF181" s="24" t="n">
        <v>0.186540124552895</v>
      </c>
      <c r="AG181" s="25" t="n">
        <v>331.188153829666</v>
      </c>
      <c r="AH181" s="26" t="n">
        <v>0.0084</v>
      </c>
      <c r="AI181" s="24" t="n">
        <v>1.24360083035263</v>
      </c>
    </row>
    <row r="182" customFormat="false" ht="14.25" hidden="false" customHeight="false" outlineLevel="0" collapsed="false">
      <c r="B182" s="1" t="n">
        <v>10</v>
      </c>
      <c r="C182" s="1" t="n">
        <v>1</v>
      </c>
      <c r="D182" s="2" t="n">
        <v>45</v>
      </c>
      <c r="E182" s="4" t="n">
        <v>2.8</v>
      </c>
      <c r="F182" s="1" t="n">
        <v>40</v>
      </c>
      <c r="G182" s="1" t="n">
        <v>45</v>
      </c>
      <c r="H182" s="3" t="n">
        <v>54.1386548495659</v>
      </c>
      <c r="I182" s="1" t="n">
        <v>350</v>
      </c>
      <c r="J182" s="32" t="n">
        <v>305</v>
      </c>
      <c r="K182" s="25" t="n">
        <v>177</v>
      </c>
      <c r="L182" s="32" t="n">
        <v>95</v>
      </c>
      <c r="M182" s="4" t="n">
        <v>0.16</v>
      </c>
      <c r="N182" s="24" t="n">
        <v>0.216286544394755</v>
      </c>
      <c r="O182" s="25" t="n">
        <v>336.501958525968</v>
      </c>
      <c r="P182" s="25" t="n">
        <v>372.60441372747</v>
      </c>
      <c r="Q182" s="26" t="n">
        <v>0.00795980968315605</v>
      </c>
      <c r="R182" s="24" t="n">
        <v>1.35179090246722</v>
      </c>
      <c r="S182" s="4" t="n">
        <v>0.204538993934507</v>
      </c>
      <c r="T182" s="25" t="n">
        <v>336.501958525968</v>
      </c>
      <c r="U182" s="25" t="n">
        <v>360</v>
      </c>
      <c r="V182" s="26" t="n">
        <v>0.00826315789473684</v>
      </c>
      <c r="W182" s="24" t="n">
        <f aca="false">(I182-H182)/(J182-H182)</f>
        <v>1.17938196087171</v>
      </c>
      <c r="X182" s="24" t="n">
        <f aca="false">0.5*(1+(I182-K182-L182)/(I182-K182))</f>
        <v>0.725433526011561</v>
      </c>
      <c r="Y182" s="24" t="n">
        <v>1.27836871209067</v>
      </c>
      <c r="Z182" s="24" t="n">
        <v>0.315085662919267</v>
      </c>
      <c r="AA182" s="25" t="n">
        <v>336.501958525968</v>
      </c>
      <c r="AB182" s="25" t="n">
        <v>372.60441372747</v>
      </c>
      <c r="AC182" s="26" t="n">
        <v>0.00795980968315605</v>
      </c>
      <c r="AD182" s="24" t="n">
        <v>1.96928539324542</v>
      </c>
      <c r="AE182" s="24" t="n">
        <v>0.283495526483528</v>
      </c>
      <c r="AF182" s="24" t="n">
        <v>0.201676649192685</v>
      </c>
      <c r="AG182" s="25" t="n">
        <v>344.36299122481</v>
      </c>
      <c r="AH182" s="26" t="n">
        <v>0.0084</v>
      </c>
      <c r="AI182" s="24" t="n">
        <v>1.26047905745428</v>
      </c>
    </row>
    <row r="183" customFormat="false" ht="14.25" hidden="false" customHeight="false" outlineLevel="0" collapsed="false">
      <c r="B183" s="1" t="n">
        <v>10</v>
      </c>
      <c r="C183" s="1" t="n">
        <v>1</v>
      </c>
      <c r="D183" s="2" t="n">
        <v>45</v>
      </c>
      <c r="E183" s="4" t="n">
        <v>2.8</v>
      </c>
      <c r="F183" s="1" t="n">
        <v>40</v>
      </c>
      <c r="G183" s="1" t="n">
        <v>45</v>
      </c>
      <c r="H183" s="3" t="n">
        <v>54.1386548495659</v>
      </c>
      <c r="I183" s="1" t="n">
        <v>350</v>
      </c>
      <c r="J183" s="32" t="n">
        <v>305</v>
      </c>
      <c r="K183" s="25" t="n">
        <v>177</v>
      </c>
      <c r="L183" s="32" t="n">
        <v>95</v>
      </c>
      <c r="M183" s="4" t="n">
        <v>0.18</v>
      </c>
      <c r="N183" s="24" t="n">
        <v>0.251143272446763</v>
      </c>
      <c r="O183" s="25" t="n">
        <v>354.703251797162</v>
      </c>
      <c r="P183" s="25" t="n">
        <v>372.60441372747</v>
      </c>
      <c r="Q183" s="26" t="n">
        <v>0.00795980968315605</v>
      </c>
      <c r="R183" s="24" t="n">
        <v>1.39524040248202</v>
      </c>
      <c r="S183" s="4" t="n">
        <v>0.215602448751545</v>
      </c>
      <c r="T183" s="25" t="n">
        <v>354.703251797162</v>
      </c>
      <c r="U183" s="25" t="n">
        <v>360</v>
      </c>
      <c r="V183" s="26" t="n">
        <v>0.00826315789473684</v>
      </c>
      <c r="W183" s="24" t="n">
        <f aca="false">(I183-H183)/(J183-H183)</f>
        <v>1.17938196087171</v>
      </c>
      <c r="X183" s="24" t="n">
        <f aca="false">0.5*(1+(I183-K183-L183)/(I183-K183))</f>
        <v>0.725433526011561</v>
      </c>
      <c r="Y183" s="24" t="n">
        <v>1.19779138195303</v>
      </c>
      <c r="Z183" s="24" t="n">
        <v>0.332128554976905</v>
      </c>
      <c r="AA183" s="25" t="n">
        <v>354.703251797162</v>
      </c>
      <c r="AB183" s="25" t="n">
        <v>372.60441372747</v>
      </c>
      <c r="AC183" s="26" t="n">
        <v>0.00795980968315605</v>
      </c>
      <c r="AD183" s="24" t="n">
        <v>1.84515863876059</v>
      </c>
      <c r="AE183" s="24" t="n">
        <v>0.298829717229999</v>
      </c>
      <c r="AF183" s="24" t="n">
        <v>0.224083956741563</v>
      </c>
      <c r="AG183" s="25" t="n">
        <v>362.989485473118</v>
      </c>
      <c r="AH183" s="26" t="n">
        <v>0.0084</v>
      </c>
      <c r="AI183" s="24" t="n">
        <v>1.24491087078646</v>
      </c>
    </row>
    <row r="184" customFormat="false" ht="14.25" hidden="false" customHeight="false" outlineLevel="0" collapsed="false">
      <c r="B184" s="1" t="n">
        <v>10</v>
      </c>
      <c r="C184" s="1" t="n">
        <v>1</v>
      </c>
      <c r="D184" s="2" t="n">
        <v>45</v>
      </c>
      <c r="E184" s="4" t="n">
        <v>2.8</v>
      </c>
      <c r="F184" s="1" t="n">
        <v>40</v>
      </c>
      <c r="G184" s="1" t="n">
        <v>45</v>
      </c>
      <c r="H184" s="3" t="n">
        <v>54.1386548495659</v>
      </c>
      <c r="I184" s="1" t="n">
        <v>350</v>
      </c>
      <c r="J184" s="32" t="n">
        <v>305</v>
      </c>
      <c r="K184" s="25" t="n">
        <v>177</v>
      </c>
      <c r="L184" s="32" t="n">
        <v>95</v>
      </c>
      <c r="M184" s="4" t="n">
        <v>0.18</v>
      </c>
      <c r="N184" s="24" t="n">
        <v>0.27154721081867</v>
      </c>
      <c r="O184" s="25" t="n">
        <v>365.357667370543</v>
      </c>
      <c r="P184" s="25" t="n">
        <v>372.60441372747</v>
      </c>
      <c r="Q184" s="26" t="n">
        <v>0.00795980968315605</v>
      </c>
      <c r="R184" s="24" t="n">
        <v>1.50859561565928</v>
      </c>
      <c r="S184" s="4" t="n">
        <v>0.227245511203003</v>
      </c>
      <c r="T184" s="25" t="n">
        <v>365.357667370543</v>
      </c>
      <c r="U184" s="25" t="n">
        <v>360</v>
      </c>
      <c r="V184" s="26" t="n">
        <v>0.00826315789473684</v>
      </c>
      <c r="W184" s="24" t="n">
        <f aca="false">(I184-H184)/(J184-H184)</f>
        <v>1.17938196087171</v>
      </c>
      <c r="X184" s="24" t="n">
        <f aca="false">0.5*(1+(I184-K184-L184)/(I184-K184))</f>
        <v>0.725433526011561</v>
      </c>
      <c r="Y184" s="24" t="n">
        <v>1.26247506223891</v>
      </c>
      <c r="Z184" s="24" t="n">
        <v>0.342104882035035</v>
      </c>
      <c r="AA184" s="25" t="n">
        <v>365.357667370543</v>
      </c>
      <c r="AB184" s="25" t="n">
        <v>372.60441372747</v>
      </c>
      <c r="AC184" s="26" t="n">
        <v>0.00795980968315605</v>
      </c>
      <c r="AD184" s="24" t="n">
        <v>1.90058267797242</v>
      </c>
      <c r="AE184" s="24" t="n">
        <v>0.30780582888647</v>
      </c>
      <c r="AF184" s="24" t="n">
        <v>0.237748002173878</v>
      </c>
      <c r="AG184" s="25" t="n">
        <v>373.892799179444</v>
      </c>
      <c r="AH184" s="26" t="n">
        <v>0.0084</v>
      </c>
      <c r="AI184" s="24" t="n">
        <v>1.32082223429932</v>
      </c>
    </row>
    <row r="185" customFormat="false" ht="14.25" hidden="false" customHeight="false" outlineLevel="0" collapsed="false">
      <c r="B185" s="1" t="n">
        <v>10</v>
      </c>
      <c r="C185" s="1" t="n">
        <v>1</v>
      </c>
      <c r="D185" s="2" t="n">
        <v>45</v>
      </c>
      <c r="E185" s="4" t="n">
        <v>2.8</v>
      </c>
      <c r="F185" s="1" t="n">
        <v>40</v>
      </c>
      <c r="G185" s="1" t="n">
        <v>45</v>
      </c>
      <c r="H185" s="3" t="n">
        <v>54.1386548495659</v>
      </c>
      <c r="I185" s="1" t="n">
        <v>350</v>
      </c>
      <c r="J185" s="32" t="n">
        <v>305</v>
      </c>
      <c r="K185" s="25" t="n">
        <v>177</v>
      </c>
      <c r="L185" s="32" t="n">
        <v>95</v>
      </c>
      <c r="M185" s="4" t="n">
        <v>0.19</v>
      </c>
      <c r="N185" s="24" t="n">
        <v>0.291100985091748</v>
      </c>
      <c r="O185" s="25" t="n">
        <v>375.568148961701</v>
      </c>
      <c r="P185" s="25" t="n">
        <v>372.60441372747</v>
      </c>
      <c r="Q185" s="26" t="n">
        <v>0.00795980968315605</v>
      </c>
      <c r="R185" s="24" t="n">
        <v>1.53211044785131</v>
      </c>
      <c r="S185" s="4" t="n">
        <v>0.242761331982995</v>
      </c>
      <c r="T185" s="25" t="n">
        <v>375.568148961701</v>
      </c>
      <c r="U185" s="25" t="n">
        <v>360</v>
      </c>
      <c r="V185" s="26" t="n">
        <v>0.00826315789473684</v>
      </c>
      <c r="W185" s="24" t="n">
        <f aca="false">(I185-H185)/(J185-H185)</f>
        <v>1.17938196087171</v>
      </c>
      <c r="X185" s="24" t="n">
        <f aca="false">0.5*(1+(I185-K185-L185)/(I185-K185))</f>
        <v>0.725433526011561</v>
      </c>
      <c r="Y185" s="24" t="n">
        <v>1.27769122096313</v>
      </c>
      <c r="Z185" s="24" t="n">
        <v>0.351665528799076</v>
      </c>
      <c r="AA185" s="25" t="n">
        <v>375.568148961701</v>
      </c>
      <c r="AB185" s="25" t="n">
        <v>372.60441372747</v>
      </c>
      <c r="AC185" s="26" t="n">
        <v>0.00795980968315605</v>
      </c>
      <c r="AD185" s="24" t="n">
        <v>1.85087120420567</v>
      </c>
      <c r="AE185" s="24" t="n">
        <v>0.316407935890587</v>
      </c>
      <c r="AF185" s="24" t="n">
        <v>0.251222152194693</v>
      </c>
      <c r="AG185" s="25" t="n">
        <v>384.341808148007</v>
      </c>
      <c r="AH185" s="26" t="n">
        <v>0.0084</v>
      </c>
      <c r="AI185" s="24" t="n">
        <v>1.32222185365628</v>
      </c>
    </row>
    <row r="186" customFormat="false" ht="14.25" hidden="false" customHeight="false" outlineLevel="0" collapsed="false">
      <c r="B186" s="1" t="n">
        <v>10</v>
      </c>
      <c r="C186" s="1" t="n">
        <v>1</v>
      </c>
      <c r="D186" s="2" t="n">
        <v>45</v>
      </c>
      <c r="E186" s="4" t="n">
        <v>2.8</v>
      </c>
      <c r="F186" s="1" t="n">
        <v>40</v>
      </c>
      <c r="G186" s="1" t="n">
        <v>45</v>
      </c>
      <c r="H186" s="3" t="n">
        <v>54.1386548495659</v>
      </c>
      <c r="I186" s="1" t="n">
        <v>350</v>
      </c>
      <c r="J186" s="32" t="n">
        <v>305</v>
      </c>
      <c r="K186" s="25" t="n">
        <v>177</v>
      </c>
      <c r="L186" s="32" t="n">
        <v>95</v>
      </c>
      <c r="M186" s="4" t="n">
        <v>0.2</v>
      </c>
      <c r="N186" s="24" t="n">
        <v>0.312355087562485</v>
      </c>
      <c r="O186" s="25" t="n">
        <v>386.666498517306</v>
      </c>
      <c r="P186" s="25" t="n">
        <v>372.60441372747</v>
      </c>
      <c r="Q186" s="26" t="n">
        <v>0.00795980968315605</v>
      </c>
      <c r="R186" s="24" t="n">
        <v>1.56177543781242</v>
      </c>
      <c r="S186" s="4" t="n">
        <v>0.259626354569943</v>
      </c>
      <c r="T186" s="25" t="n">
        <v>386.666498517306</v>
      </c>
      <c r="U186" s="25" t="n">
        <v>360</v>
      </c>
      <c r="V186" s="26" t="n">
        <v>0.00826315789473684</v>
      </c>
      <c r="W186" s="24" t="n">
        <f aca="false">(I186-H186)/(J186-H186)</f>
        <v>1.17938196087171</v>
      </c>
      <c r="X186" s="24" t="n">
        <f aca="false">0.5*(1+(I186-K186-L186)/(I186-K186))</f>
        <v>0.725433526011561</v>
      </c>
      <c r="Y186" s="24" t="n">
        <v>1.29813177284972</v>
      </c>
      <c r="Z186" s="24" t="n">
        <v>0.362057536151295</v>
      </c>
      <c r="AA186" s="25" t="n">
        <v>386.666498517306</v>
      </c>
      <c r="AB186" s="25" t="n">
        <v>372.60441372747</v>
      </c>
      <c r="AC186" s="26" t="n">
        <v>0.00795980968315605</v>
      </c>
      <c r="AD186" s="24" t="n">
        <v>1.81028768075647</v>
      </c>
      <c r="AE186" s="24" t="n">
        <v>0.325758052199411</v>
      </c>
      <c r="AF186" s="24" t="n">
        <v>0.266289177219923</v>
      </c>
      <c r="AG186" s="25" t="n">
        <v>395.699426592097</v>
      </c>
      <c r="AH186" s="26" t="n">
        <v>0.0084</v>
      </c>
      <c r="AI186" s="24" t="n">
        <v>1.33144588609961</v>
      </c>
    </row>
    <row r="187" customFormat="false" ht="14.25" hidden="false" customHeight="false" outlineLevel="0" collapsed="false">
      <c r="B187" s="1" t="n">
        <v>10</v>
      </c>
      <c r="C187" s="1" t="n">
        <v>1</v>
      </c>
      <c r="D187" s="2" t="n">
        <v>45</v>
      </c>
      <c r="E187" s="4" t="n">
        <v>2.8</v>
      </c>
      <c r="F187" s="1" t="n">
        <v>40</v>
      </c>
      <c r="G187" s="1" t="n">
        <v>45</v>
      </c>
      <c r="H187" s="3" t="n">
        <v>54.1386548495659</v>
      </c>
      <c r="I187" s="1" t="n">
        <v>350</v>
      </c>
      <c r="J187" s="32" t="n">
        <v>305</v>
      </c>
      <c r="K187" s="25" t="n">
        <v>177</v>
      </c>
      <c r="L187" s="32" t="n">
        <v>95</v>
      </c>
      <c r="M187" s="4" t="n">
        <v>0.22</v>
      </c>
      <c r="N187" s="24" t="n">
        <v>0.340410502823857</v>
      </c>
      <c r="O187" s="25" t="n">
        <v>401.316319930706</v>
      </c>
      <c r="P187" s="25" t="n">
        <v>372.60441372747</v>
      </c>
      <c r="Q187" s="26" t="n">
        <v>0.00795980968315605</v>
      </c>
      <c r="R187" s="24" t="n">
        <v>1.54732046738117</v>
      </c>
      <c r="S187" s="4" t="n">
        <v>0.281888184384715</v>
      </c>
      <c r="T187" s="25" t="n">
        <v>401.316319930706</v>
      </c>
      <c r="U187" s="25" t="n">
        <v>360</v>
      </c>
      <c r="V187" s="26" t="n">
        <v>0.00826315789473684</v>
      </c>
      <c r="W187" s="24" t="n">
        <f aca="false">(I187-H187)/(J187-H187)</f>
        <v>1.17938196087171</v>
      </c>
      <c r="X187" s="24" t="n">
        <f aca="false">0.5*(1+(I187-K187-L187)/(I187-K187))</f>
        <v>0.725433526011561</v>
      </c>
      <c r="Y187" s="24" t="n">
        <v>1.28130992902143</v>
      </c>
      <c r="Z187" s="24" t="n">
        <v>0.375774985856224</v>
      </c>
      <c r="AA187" s="25" t="n">
        <v>401.316319930706</v>
      </c>
      <c r="AB187" s="25" t="n">
        <v>372.60441372747</v>
      </c>
      <c r="AC187" s="26" t="n">
        <v>0.00795980968315605</v>
      </c>
      <c r="AD187" s="24" t="n">
        <v>1.70806811752829</v>
      </c>
      <c r="AE187" s="24" t="n">
        <v>0.338100205727058</v>
      </c>
      <c r="AF187" s="24" t="n">
        <v>0.286849479860641</v>
      </c>
      <c r="AG187" s="25" t="n">
        <v>410.691482938296</v>
      </c>
      <c r="AH187" s="26" t="n">
        <v>0.0084</v>
      </c>
      <c r="AI187" s="24" t="n">
        <v>1.30386127209382</v>
      </c>
    </row>
    <row r="188" customFormat="false" ht="14.25" hidden="false" customHeight="false" outlineLevel="0" collapsed="false">
      <c r="A188" s="0" t="s">
        <v>61</v>
      </c>
      <c r="B188" s="1" t="n">
        <v>20</v>
      </c>
      <c r="C188" s="1" t="n">
        <v>1</v>
      </c>
      <c r="D188" s="2" t="n">
        <v>40</v>
      </c>
      <c r="E188" s="4" t="n">
        <v>2.8</v>
      </c>
      <c r="F188" s="1" t="n">
        <v>40</v>
      </c>
      <c r="G188" s="1" t="n">
        <v>50</v>
      </c>
      <c r="H188" s="3" t="n">
        <v>96.3869213691258</v>
      </c>
      <c r="I188" s="1" t="n">
        <v>350</v>
      </c>
      <c r="J188" s="32" t="n">
        <v>300</v>
      </c>
      <c r="K188" s="25" t="n">
        <v>182</v>
      </c>
      <c r="L188" s="32" t="n">
        <v>150</v>
      </c>
      <c r="M188" s="4" t="n">
        <v>0.16</v>
      </c>
      <c r="N188" s="24" t="n">
        <v>0.176217506045446</v>
      </c>
      <c r="O188" s="25" t="n">
        <v>224.936489423332</v>
      </c>
      <c r="P188" s="25" t="n">
        <v>95.4236856580713</v>
      </c>
      <c r="Q188" s="26" t="n">
        <v>0.0372614852949054</v>
      </c>
      <c r="R188" s="24" t="n">
        <v>1.10135941278404</v>
      </c>
      <c r="S188" s="4" t="n">
        <v>0.162505263740563</v>
      </c>
      <c r="T188" s="25" t="n">
        <v>224.936489423332</v>
      </c>
      <c r="U188" s="25" t="n">
        <v>154</v>
      </c>
      <c r="V188" s="26" t="n">
        <v>0.021</v>
      </c>
      <c r="W188" s="24" t="n">
        <f aca="false">(I188-H188)/(J188-H188)</f>
        <v>1.24556379352548</v>
      </c>
      <c r="X188" s="24" t="n">
        <f aca="false">0.5*(1+(I188-K188-L188)/(I188-K188))</f>
        <v>0.553571428571429</v>
      </c>
      <c r="Y188" s="24" t="n">
        <v>1.01565789837852</v>
      </c>
      <c r="Z188" s="24" t="n">
        <v>0.174794955349353</v>
      </c>
      <c r="AA188" s="25" t="n">
        <v>224.936489423332</v>
      </c>
      <c r="AB188" s="25" t="n">
        <v>95.4236856580713</v>
      </c>
      <c r="AC188" s="26" t="n">
        <v>0.0372614852949054</v>
      </c>
      <c r="AD188" s="24" t="n">
        <v>1.09246847093345</v>
      </c>
      <c r="AE188" s="24" t="n">
        <v>0.189875768539394</v>
      </c>
      <c r="AF188" s="24" t="n">
        <v>0.191428133927133</v>
      </c>
      <c r="AG188" s="25" t="n">
        <v>234.034986315937</v>
      </c>
      <c r="AH188" s="26" t="n">
        <v>0.0196</v>
      </c>
      <c r="AI188" s="24" t="n">
        <v>1.18672355337121</v>
      </c>
    </row>
    <row r="189" customFormat="false" ht="14.25" hidden="false" customHeight="false" outlineLevel="0" collapsed="false">
      <c r="B189" s="1" t="n">
        <v>20</v>
      </c>
      <c r="C189" s="1" t="n">
        <v>1</v>
      </c>
      <c r="D189" s="2" t="n">
        <v>40</v>
      </c>
      <c r="E189" s="4" t="n">
        <v>2.8</v>
      </c>
      <c r="F189" s="1" t="n">
        <v>40</v>
      </c>
      <c r="G189" s="1" t="n">
        <v>50</v>
      </c>
      <c r="H189" s="3" t="n">
        <v>96.3869213691258</v>
      </c>
      <c r="I189" s="1" t="n">
        <v>350</v>
      </c>
      <c r="J189" s="32" t="n">
        <v>300</v>
      </c>
      <c r="K189" s="25" t="n">
        <v>182</v>
      </c>
      <c r="L189" s="32" t="n">
        <v>150</v>
      </c>
      <c r="M189" s="4" t="n">
        <v>0.2</v>
      </c>
      <c r="N189" s="24" t="n">
        <v>0.212958221223473</v>
      </c>
      <c r="O189" s="25" t="n">
        <v>259.897640308412</v>
      </c>
      <c r="P189" s="25" t="n">
        <v>95.4236856580713</v>
      </c>
      <c r="Q189" s="26" t="n">
        <v>0.0372614852949054</v>
      </c>
      <c r="R189" s="24" t="n">
        <v>1.06479110611736</v>
      </c>
      <c r="S189" s="4" t="n">
        <v>0.205296645840096</v>
      </c>
      <c r="T189" s="25" t="n">
        <v>259.897640308412</v>
      </c>
      <c r="U189" s="25" t="n">
        <v>154</v>
      </c>
      <c r="V189" s="26" t="n">
        <v>0.021</v>
      </c>
      <c r="W189" s="24" t="n">
        <f aca="false">(I189-H189)/(J189-H189)</f>
        <v>1.24556379352548</v>
      </c>
      <c r="X189" s="24" t="n">
        <f aca="false">0.5*(1+(I189-K189-L189)/(I189-K189))</f>
        <v>0.553571428571429</v>
      </c>
      <c r="Y189" s="24" t="n">
        <v>1.02648322920048</v>
      </c>
      <c r="Z189" s="24" t="n">
        <v>0.211239073832055</v>
      </c>
      <c r="AA189" s="25" t="n">
        <v>259.897640308412</v>
      </c>
      <c r="AB189" s="25" t="n">
        <v>95.4236856580713</v>
      </c>
      <c r="AC189" s="26" t="n">
        <v>0.0372614852949054</v>
      </c>
      <c r="AD189" s="24" t="n">
        <v>1.05619536916027</v>
      </c>
      <c r="AE189" s="24" t="n">
        <v>0.219387544998362</v>
      </c>
      <c r="AF189" s="24" t="n">
        <v>0.255558666285329</v>
      </c>
      <c r="AG189" s="25" t="n">
        <v>270.410287139542</v>
      </c>
      <c r="AH189" s="26" t="n">
        <v>0.0196</v>
      </c>
      <c r="AI189" s="24" t="n">
        <v>1.09693772499181</v>
      </c>
    </row>
    <row r="190" customFormat="false" ht="14.25" hidden="false" customHeight="false" outlineLevel="0" collapsed="false">
      <c r="B190" s="1" t="n">
        <v>20</v>
      </c>
      <c r="C190" s="1" t="n">
        <v>1</v>
      </c>
      <c r="D190" s="2" t="n">
        <v>40</v>
      </c>
      <c r="E190" s="4" t="n">
        <v>2.8</v>
      </c>
      <c r="F190" s="1" t="n">
        <v>40</v>
      </c>
      <c r="G190" s="1" t="n">
        <v>50</v>
      </c>
      <c r="H190" s="3" t="n">
        <v>96.3869213691258</v>
      </c>
      <c r="I190" s="1" t="n">
        <v>350</v>
      </c>
      <c r="J190" s="32" t="n">
        <v>300</v>
      </c>
      <c r="K190" s="25" t="n">
        <v>182</v>
      </c>
      <c r="L190" s="32" t="n">
        <v>150</v>
      </c>
      <c r="M190" s="4" t="n">
        <v>0.23</v>
      </c>
      <c r="N190" s="24" t="n">
        <v>0.249574391604286</v>
      </c>
      <c r="O190" s="25" t="n">
        <v>294.740278817611</v>
      </c>
      <c r="P190" s="25" t="n">
        <v>95.4236856580713</v>
      </c>
      <c r="Q190" s="26" t="n">
        <v>0.0372614852949054</v>
      </c>
      <c r="R190" s="24" t="n">
        <v>1.08510605045342</v>
      </c>
      <c r="S190" s="4" t="n">
        <v>0.247942972407087</v>
      </c>
      <c r="T190" s="25" t="n">
        <v>294.740278817611</v>
      </c>
      <c r="U190" s="25" t="n">
        <v>154</v>
      </c>
      <c r="V190" s="26" t="n">
        <v>0.021</v>
      </c>
      <c r="W190" s="24" t="n">
        <f aca="false">(I190-H190)/(J190-H190)</f>
        <v>1.24556379352548</v>
      </c>
      <c r="X190" s="24" t="n">
        <f aca="false">0.5*(1+(I190-K190-L190)/(I190-K190))</f>
        <v>0.553571428571429</v>
      </c>
      <c r="Y190" s="24" t="n">
        <v>1.07801292350908</v>
      </c>
      <c r="Z190" s="24" t="n">
        <v>0.24755965293007</v>
      </c>
      <c r="AA190" s="25" t="n">
        <v>294.740278817611</v>
      </c>
      <c r="AB190" s="25" t="n">
        <v>95.4236856580713</v>
      </c>
      <c r="AC190" s="26" t="n">
        <v>0.0372614852949054</v>
      </c>
      <c r="AD190" s="24" t="n">
        <v>1.07634631708726</v>
      </c>
      <c r="AE190" s="24" t="n">
        <v>0.24879928153713</v>
      </c>
      <c r="AF190" s="24" t="n">
        <v>0.328673674494575</v>
      </c>
      <c r="AG190" s="25" t="n">
        <v>306.66228185866</v>
      </c>
      <c r="AH190" s="26" t="n">
        <v>0.0196</v>
      </c>
      <c r="AI190" s="24" t="n">
        <v>1.08173600668317</v>
      </c>
    </row>
    <row r="191" customFormat="false" ht="14.25" hidden="false" customHeight="false" outlineLevel="0" collapsed="false">
      <c r="A191" s="0" t="s">
        <v>62</v>
      </c>
      <c r="B191" s="1" t="n">
        <v>20</v>
      </c>
      <c r="C191" s="1" t="n">
        <v>1</v>
      </c>
      <c r="D191" s="2" t="n">
        <v>40</v>
      </c>
      <c r="E191" s="4" t="n">
        <v>2.8</v>
      </c>
      <c r="F191" s="1" t="n">
        <v>40</v>
      </c>
      <c r="G191" s="1" t="n">
        <v>50</v>
      </c>
      <c r="H191" s="3" t="n">
        <v>96.3869213691258</v>
      </c>
      <c r="I191" s="1" t="n">
        <v>350</v>
      </c>
      <c r="J191" s="32" t="n">
        <v>300</v>
      </c>
      <c r="K191" s="25" t="n">
        <v>182</v>
      </c>
      <c r="L191" s="32" t="n">
        <v>150</v>
      </c>
      <c r="M191" s="4" t="n">
        <v>0.14</v>
      </c>
      <c r="N191" s="24" t="n">
        <v>0.176217506045446</v>
      </c>
      <c r="O191" s="25" t="n">
        <v>224.936489423332</v>
      </c>
      <c r="P191" s="25" t="n">
        <v>95.4236856580713</v>
      </c>
      <c r="Q191" s="26" t="n">
        <v>0.0372614852949054</v>
      </c>
      <c r="R191" s="24" t="n">
        <v>1.25869647175318</v>
      </c>
      <c r="S191" s="4" t="n">
        <v>0.162505263740563</v>
      </c>
      <c r="T191" s="25" t="n">
        <v>224.936489423332</v>
      </c>
      <c r="U191" s="25" t="n">
        <v>154</v>
      </c>
      <c r="V191" s="26" t="n">
        <v>0.021</v>
      </c>
      <c r="W191" s="24" t="n">
        <f aca="false">(I191-H191)/(J191-H191)</f>
        <v>1.24556379352548</v>
      </c>
      <c r="X191" s="24" t="n">
        <f aca="false">0.5*(1+(I191-K191-L191)/(I191-K191))</f>
        <v>0.553571428571429</v>
      </c>
      <c r="Y191" s="24" t="n">
        <v>1.16075188386116</v>
      </c>
      <c r="Z191" s="24" t="n">
        <v>0.174794955349353</v>
      </c>
      <c r="AA191" s="25" t="n">
        <v>224.936489423332</v>
      </c>
      <c r="AB191" s="25" t="n">
        <v>95.4236856580713</v>
      </c>
      <c r="AC191" s="26" t="n">
        <v>0.0372614852949054</v>
      </c>
      <c r="AD191" s="24" t="n">
        <v>1.24853539535252</v>
      </c>
      <c r="AE191" s="24" t="n">
        <v>0.189875768539394</v>
      </c>
      <c r="AF191" s="24" t="n">
        <v>0.191428133927133</v>
      </c>
      <c r="AG191" s="25" t="n">
        <v>234.034986315937</v>
      </c>
      <c r="AH191" s="26" t="n">
        <v>0.0196</v>
      </c>
      <c r="AI191" s="24" t="n">
        <v>1.3562554895671</v>
      </c>
    </row>
    <row r="192" customFormat="false" ht="14.25" hidden="false" customHeight="false" outlineLevel="0" collapsed="false">
      <c r="B192" s="1" t="n">
        <v>20</v>
      </c>
      <c r="C192" s="1" t="n">
        <v>1</v>
      </c>
      <c r="D192" s="2" t="n">
        <v>40</v>
      </c>
      <c r="E192" s="4" t="n">
        <v>2.8</v>
      </c>
      <c r="F192" s="1" t="n">
        <v>40</v>
      </c>
      <c r="G192" s="1" t="n">
        <v>50</v>
      </c>
      <c r="H192" s="3" t="n">
        <v>96.3869213691258</v>
      </c>
      <c r="I192" s="1" t="n">
        <v>350</v>
      </c>
      <c r="J192" s="32" t="n">
        <v>300</v>
      </c>
      <c r="K192" s="25" t="n">
        <v>182</v>
      </c>
      <c r="L192" s="32" t="n">
        <v>150</v>
      </c>
      <c r="M192" s="4" t="n">
        <v>0.17</v>
      </c>
      <c r="N192" s="24" t="n">
        <v>0.212460042034618</v>
      </c>
      <c r="O192" s="25" t="n">
        <v>259.423590804886</v>
      </c>
      <c r="P192" s="25" t="n">
        <v>95.4236856580713</v>
      </c>
      <c r="Q192" s="26" t="n">
        <v>0.0372614852949054</v>
      </c>
      <c r="R192" s="24" t="n">
        <v>1.24976495314481</v>
      </c>
      <c r="S192" s="4" t="n">
        <v>0.204716423709933</v>
      </c>
      <c r="T192" s="25" t="n">
        <v>259.423590804886</v>
      </c>
      <c r="U192" s="25" t="n">
        <v>154</v>
      </c>
      <c r="V192" s="26" t="n">
        <v>0.021</v>
      </c>
      <c r="W192" s="24" t="n">
        <f aca="false">(I192-H192)/(J192-H192)</f>
        <v>1.24556379352548</v>
      </c>
      <c r="X192" s="24" t="n">
        <f aca="false">0.5*(1+(I192-K192-L192)/(I192-K192))</f>
        <v>0.553571428571429</v>
      </c>
      <c r="Y192" s="24" t="n">
        <v>1.20421425711725</v>
      </c>
      <c r="Z192" s="24" t="n">
        <v>0.210744916293306</v>
      </c>
      <c r="AA192" s="25" t="n">
        <v>259.423590804886</v>
      </c>
      <c r="AB192" s="25" t="n">
        <v>95.4236856580713</v>
      </c>
      <c r="AC192" s="26" t="n">
        <v>0.0372614852949054</v>
      </c>
      <c r="AD192" s="24" t="n">
        <v>1.23967597819592</v>
      </c>
      <c r="AE192" s="24" t="n">
        <v>0.218987385317562</v>
      </c>
      <c r="AF192" s="24" t="n">
        <v>0.25462724595283</v>
      </c>
      <c r="AG192" s="25" t="n">
        <v>269.917062721595</v>
      </c>
      <c r="AH192" s="26" t="n">
        <v>0.0196</v>
      </c>
      <c r="AI192" s="24" t="n">
        <v>1.28816109010331</v>
      </c>
    </row>
    <row r="193" customFormat="false" ht="14.25" hidden="false" customHeight="false" outlineLevel="0" collapsed="false">
      <c r="B193" s="1" t="n">
        <v>20</v>
      </c>
      <c r="C193" s="1" t="n">
        <v>1</v>
      </c>
      <c r="D193" s="2" t="n">
        <v>40</v>
      </c>
      <c r="E193" s="4" t="n">
        <v>2.8</v>
      </c>
      <c r="F193" s="1" t="n">
        <v>40</v>
      </c>
      <c r="G193" s="1" t="n">
        <v>50</v>
      </c>
      <c r="H193" s="3" t="n">
        <v>96.3869213691258</v>
      </c>
      <c r="I193" s="1" t="n">
        <v>350</v>
      </c>
      <c r="J193" s="32" t="n">
        <v>300</v>
      </c>
      <c r="K193" s="25" t="n">
        <v>182</v>
      </c>
      <c r="L193" s="32" t="n">
        <v>150</v>
      </c>
      <c r="M193" s="4" t="n">
        <v>0.21</v>
      </c>
      <c r="N193" s="24" t="n">
        <v>0.248951667618218</v>
      </c>
      <c r="O193" s="25" t="n">
        <v>294.147716938203</v>
      </c>
      <c r="P193" s="25" t="n">
        <v>95.4236856580713</v>
      </c>
      <c r="Q193" s="26" t="n">
        <v>0.0372614852949054</v>
      </c>
      <c r="R193" s="24" t="n">
        <v>1.18548413151532</v>
      </c>
      <c r="S193" s="4" t="n">
        <v>0.247217694744383</v>
      </c>
      <c r="T193" s="25" t="n">
        <v>294.147716938203</v>
      </c>
      <c r="U193" s="25" t="n">
        <v>154</v>
      </c>
      <c r="V193" s="26" t="n">
        <v>0.021</v>
      </c>
      <c r="W193" s="24" t="n">
        <f aca="false">(I193-H193)/(J193-H193)</f>
        <v>1.24556379352548</v>
      </c>
      <c r="X193" s="24" t="n">
        <f aca="false">0.5*(1+(I193-K193-L193)/(I193-K193))</f>
        <v>0.553571428571429</v>
      </c>
      <c r="Y193" s="24" t="n">
        <v>1.1772271178304</v>
      </c>
      <c r="Z193" s="24" t="n">
        <v>0.246941956006634</v>
      </c>
      <c r="AA193" s="25" t="n">
        <v>294.147716938203</v>
      </c>
      <c r="AB193" s="25" t="n">
        <v>95.4236856580713</v>
      </c>
      <c r="AC193" s="26" t="n">
        <v>0.0372614852949054</v>
      </c>
      <c r="AD193" s="24" t="n">
        <v>1.17591407622207</v>
      </c>
      <c r="AE193" s="24" t="n">
        <v>0.24829908193613</v>
      </c>
      <c r="AF193" s="24" t="n">
        <v>0.327353436123915</v>
      </c>
      <c r="AG193" s="25" t="n">
        <v>306.045751336226</v>
      </c>
      <c r="AH193" s="26" t="n">
        <v>0.0196</v>
      </c>
      <c r="AI193" s="24" t="n">
        <v>1.18237658064824</v>
      </c>
    </row>
    <row r="194" customFormat="false" ht="14.25" hidden="false" customHeight="false" outlineLevel="0" collapsed="false">
      <c r="A194" s="0" t="s">
        <v>63</v>
      </c>
      <c r="B194" s="1" t="n">
        <v>20</v>
      </c>
      <c r="C194" s="1" t="n">
        <v>1</v>
      </c>
      <c r="D194" s="2" t="n">
        <v>40</v>
      </c>
      <c r="E194" s="4" t="n">
        <v>2.8</v>
      </c>
      <c r="F194" s="1" t="n">
        <v>40</v>
      </c>
      <c r="G194" s="1" t="n">
        <v>50</v>
      </c>
      <c r="H194" s="3" t="n">
        <v>96.3869213691258</v>
      </c>
      <c r="I194" s="1" t="n">
        <v>350</v>
      </c>
      <c r="J194" s="32" t="n">
        <v>300</v>
      </c>
      <c r="K194" s="25" t="n">
        <v>182</v>
      </c>
      <c r="L194" s="32" t="n">
        <v>150</v>
      </c>
      <c r="M194" s="4" t="n">
        <v>0.21</v>
      </c>
      <c r="N194" s="24" t="n">
        <v>0.10198880690611</v>
      </c>
      <c r="O194" s="25" t="n">
        <v>154.303113397881</v>
      </c>
      <c r="P194" s="25" t="n">
        <v>95.4236856580713</v>
      </c>
      <c r="Q194" s="26" t="n">
        <v>0.0372614852949054</v>
      </c>
      <c r="R194" s="24" t="n">
        <v>0.485660985267191</v>
      </c>
      <c r="S194" s="4" t="n">
        <v>0.0760521663462533</v>
      </c>
      <c r="T194" s="25" t="n">
        <v>154.303113397881</v>
      </c>
      <c r="U194" s="25" t="n">
        <v>154</v>
      </c>
      <c r="V194" s="26" t="n">
        <v>0.021</v>
      </c>
      <c r="W194" s="24" t="n">
        <f aca="false">(I194-H194)/(J194-H194)</f>
        <v>1.24556379352548</v>
      </c>
      <c r="X194" s="24" t="n">
        <f aca="false">0.5*(1+(I194-K194-L194)/(I194-K194))</f>
        <v>0.553571428571429</v>
      </c>
      <c r="Y194" s="24" t="n">
        <v>0.362153173077397</v>
      </c>
      <c r="Z194" s="24" t="n">
        <v>0.101165482075826</v>
      </c>
      <c r="AA194" s="25" t="n">
        <v>154.303113397881</v>
      </c>
      <c r="AB194" s="25" t="n">
        <v>95.4236856580713</v>
      </c>
      <c r="AC194" s="26" t="n">
        <v>0.0372614852949054</v>
      </c>
      <c r="AD194" s="24" t="n">
        <v>0.481740390837266</v>
      </c>
      <c r="AE194" s="24" t="n">
        <v>0.130251976100258</v>
      </c>
      <c r="AF194" s="24" t="n">
        <v>0.0900814396013918</v>
      </c>
      <c r="AG194" s="25" t="n">
        <v>160.544548041807</v>
      </c>
      <c r="AH194" s="26" t="n">
        <v>0.0196</v>
      </c>
      <c r="AI194" s="24" t="n">
        <v>0.428959236197104</v>
      </c>
    </row>
    <row r="195" customFormat="false" ht="14.25" hidden="false" customHeight="false" outlineLevel="0" collapsed="false">
      <c r="B195" s="1" t="n">
        <v>20</v>
      </c>
      <c r="C195" s="1" t="n">
        <v>1</v>
      </c>
      <c r="D195" s="2" t="n">
        <v>40</v>
      </c>
      <c r="E195" s="4" t="n">
        <v>2.8</v>
      </c>
      <c r="F195" s="1" t="n">
        <v>40</v>
      </c>
      <c r="G195" s="1" t="n">
        <v>50</v>
      </c>
      <c r="H195" s="3" t="n">
        <v>96.3869213691258</v>
      </c>
      <c r="I195" s="1" t="n">
        <v>350</v>
      </c>
      <c r="J195" s="32" t="n">
        <v>300</v>
      </c>
      <c r="K195" s="25" t="n">
        <v>182</v>
      </c>
      <c r="L195" s="32" t="n">
        <v>150</v>
      </c>
      <c r="M195" s="4" t="n">
        <v>0.25</v>
      </c>
      <c r="N195" s="24" t="n">
        <v>0.13985042525906</v>
      </c>
      <c r="O195" s="25" t="n">
        <v>190.330875665896</v>
      </c>
      <c r="P195" s="25" t="n">
        <v>95.4236856580713</v>
      </c>
      <c r="Q195" s="26" t="n">
        <v>0.0372614852949054</v>
      </c>
      <c r="R195" s="24" t="n">
        <v>0.55940170103624</v>
      </c>
      <c r="S195" s="4" t="n">
        <v>0.120149048238653</v>
      </c>
      <c r="T195" s="25" t="n">
        <v>190.330875665896</v>
      </c>
      <c r="U195" s="25" t="n">
        <v>154</v>
      </c>
      <c r="V195" s="26" t="n">
        <v>0.021</v>
      </c>
      <c r="W195" s="24" t="n">
        <f aca="false">(I195-H195)/(J195-H195)</f>
        <v>1.24556379352548</v>
      </c>
      <c r="X195" s="24" t="n">
        <f aca="false">0.5*(1+(I195-K195-L195)/(I195-K195))</f>
        <v>0.553571428571429</v>
      </c>
      <c r="Y195" s="24" t="n">
        <v>0.480596192954612</v>
      </c>
      <c r="Z195" s="24" t="n">
        <v>0.138721455020712</v>
      </c>
      <c r="AA195" s="25" t="n">
        <v>190.330875665896</v>
      </c>
      <c r="AB195" s="25" t="n">
        <v>95.4236856580713</v>
      </c>
      <c r="AC195" s="26" t="n">
        <v>0.0372614852949054</v>
      </c>
      <c r="AD195" s="24" t="n">
        <v>0.554885820082848</v>
      </c>
      <c r="AE195" s="24" t="n">
        <v>0.160664111841025</v>
      </c>
      <c r="AF195" s="24" t="n">
        <v>0.137058013048421</v>
      </c>
      <c r="AG195" s="25" t="n">
        <v>198.029603805793</v>
      </c>
      <c r="AH195" s="26" t="n">
        <v>0.0196</v>
      </c>
      <c r="AI195" s="24" t="n">
        <v>0.548232052193684</v>
      </c>
    </row>
    <row r="196" customFormat="false" ht="14.25" hidden="false" customHeight="false" outlineLevel="0" collapsed="false">
      <c r="B196" s="1" t="n">
        <v>20</v>
      </c>
      <c r="C196" s="1" t="n">
        <v>1</v>
      </c>
      <c r="D196" s="2" t="n">
        <v>40</v>
      </c>
      <c r="E196" s="4" t="n">
        <v>2.8</v>
      </c>
      <c r="F196" s="1" t="n">
        <v>40</v>
      </c>
      <c r="G196" s="1" t="n">
        <v>50</v>
      </c>
      <c r="H196" s="3" t="n">
        <v>96.3869213691258</v>
      </c>
      <c r="I196" s="1" t="n">
        <v>350</v>
      </c>
      <c r="J196" s="32" t="n">
        <v>300</v>
      </c>
      <c r="K196" s="25" t="n">
        <v>182</v>
      </c>
      <c r="L196" s="32" t="n">
        <v>150</v>
      </c>
      <c r="M196" s="4" t="n">
        <v>0.29</v>
      </c>
      <c r="N196" s="24" t="n">
        <v>0.175594782059378</v>
      </c>
      <c r="O196" s="25" t="n">
        <v>224.343927543924</v>
      </c>
      <c r="P196" s="25" t="n">
        <v>95.4236856580713</v>
      </c>
      <c r="Q196" s="26" t="n">
        <v>0.0372614852949054</v>
      </c>
      <c r="R196" s="24" t="n">
        <v>0.605499248480612</v>
      </c>
      <c r="S196" s="4" t="n">
        <v>0.161779986077859</v>
      </c>
      <c r="T196" s="25" t="n">
        <v>224.343927543924</v>
      </c>
      <c r="U196" s="25" t="n">
        <v>154</v>
      </c>
      <c r="V196" s="26" t="n">
        <v>0.021</v>
      </c>
      <c r="W196" s="24" t="n">
        <f aca="false">(I196-H196)/(J196-H196)</f>
        <v>1.24556379352548</v>
      </c>
      <c r="X196" s="24" t="n">
        <f aca="false">0.5*(1+(I196-K196-L196)/(I196-K196))</f>
        <v>0.553571428571429</v>
      </c>
      <c r="Y196" s="24" t="n">
        <v>0.557862020958135</v>
      </c>
      <c r="Z196" s="24" t="n">
        <v>0.174177258425917</v>
      </c>
      <c r="AA196" s="25" t="n">
        <v>224.343927543924</v>
      </c>
      <c r="AB196" s="25" t="n">
        <v>95.4236856580713</v>
      </c>
      <c r="AC196" s="26" t="n">
        <v>0.0372614852949054</v>
      </c>
      <c r="AD196" s="24" t="n">
        <v>0.600611235951438</v>
      </c>
      <c r="AE196" s="24" t="n">
        <v>0.189375568938394</v>
      </c>
      <c r="AF196" s="24" t="n">
        <v>0.190420884246479</v>
      </c>
      <c r="AG196" s="25" t="n">
        <v>233.418455793503</v>
      </c>
      <c r="AH196" s="26" t="n">
        <v>0.0196</v>
      </c>
      <c r="AI196" s="24" t="n">
        <v>0.653019203235842</v>
      </c>
    </row>
    <row r="197" customFormat="false" ht="14.25" hidden="false" customHeight="false" outlineLevel="0" collapsed="false">
      <c r="B197" s="1" t="n">
        <v>20</v>
      </c>
      <c r="C197" s="1" t="n">
        <v>1</v>
      </c>
      <c r="D197" s="2" t="n">
        <v>40</v>
      </c>
      <c r="E197" s="4" t="n">
        <v>2.8</v>
      </c>
      <c r="F197" s="1" t="n">
        <v>40</v>
      </c>
      <c r="G197" s="1" t="n">
        <v>50</v>
      </c>
      <c r="H197" s="3" t="n">
        <v>96.3869213691258</v>
      </c>
      <c r="I197" s="1" t="n">
        <v>350</v>
      </c>
      <c r="J197" s="32" t="n">
        <v>300</v>
      </c>
      <c r="K197" s="25" t="n">
        <v>182</v>
      </c>
      <c r="L197" s="32" t="n">
        <v>150</v>
      </c>
      <c r="M197" s="4" t="n">
        <v>0.33</v>
      </c>
      <c r="N197" s="24" t="n">
        <v>0.211463683656909</v>
      </c>
      <c r="O197" s="25" t="n">
        <v>258.475491797833</v>
      </c>
      <c r="P197" s="25" t="n">
        <v>95.4236856580713</v>
      </c>
      <c r="Q197" s="26" t="n">
        <v>0.0372614852949054</v>
      </c>
      <c r="R197" s="24" t="n">
        <v>0.640799041384572</v>
      </c>
      <c r="S197" s="4" t="n">
        <v>0.203555979449606</v>
      </c>
      <c r="T197" s="25" t="n">
        <v>258.475491797833</v>
      </c>
      <c r="U197" s="25" t="n">
        <v>154</v>
      </c>
      <c r="V197" s="26" t="n">
        <v>0.021</v>
      </c>
      <c r="W197" s="24" t="n">
        <f aca="false">(I197-H197)/(J197-H197)</f>
        <v>1.24556379352548</v>
      </c>
      <c r="X197" s="24" t="n">
        <f aca="false">0.5*(1+(I197-K197-L197)/(I197-K197))</f>
        <v>0.553571428571429</v>
      </c>
      <c r="Y197" s="24" t="n">
        <v>0.616836301362443</v>
      </c>
      <c r="Z197" s="24" t="n">
        <v>0.209756601215809</v>
      </c>
      <c r="AA197" s="25" t="n">
        <v>258.475491797833</v>
      </c>
      <c r="AB197" s="25" t="n">
        <v>95.4236856580713</v>
      </c>
      <c r="AC197" s="26" t="n">
        <v>0.0372614852949054</v>
      </c>
      <c r="AD197" s="24" t="n">
        <v>0.635626064290331</v>
      </c>
      <c r="AE197" s="24" t="n">
        <v>0.218187065955963</v>
      </c>
      <c r="AF197" s="24" t="n">
        <v>0.252769506631506</v>
      </c>
      <c r="AG197" s="25" t="n">
        <v>268.930613885701</v>
      </c>
      <c r="AH197" s="26" t="n">
        <v>0.0196</v>
      </c>
      <c r="AI197" s="24" t="n">
        <v>0.661172927139282</v>
      </c>
    </row>
    <row r="198" customFormat="false" ht="14.25" hidden="false" customHeight="false" outlineLevel="0" collapsed="false">
      <c r="B198" s="1" t="n">
        <v>20</v>
      </c>
      <c r="C198" s="1" t="n">
        <v>1</v>
      </c>
      <c r="D198" s="2" t="n">
        <v>40</v>
      </c>
      <c r="E198" s="4" t="n">
        <v>2.8</v>
      </c>
      <c r="F198" s="1" t="n">
        <v>40</v>
      </c>
      <c r="G198" s="1" t="n">
        <v>50</v>
      </c>
      <c r="H198" s="3" t="n">
        <v>96.3869213691258</v>
      </c>
      <c r="I198" s="1" t="n">
        <v>350</v>
      </c>
      <c r="J198" s="32" t="n">
        <v>300</v>
      </c>
      <c r="K198" s="25" t="n">
        <v>182</v>
      </c>
      <c r="L198" s="32" t="n">
        <v>150</v>
      </c>
      <c r="M198" s="4" t="n">
        <v>0.37</v>
      </c>
      <c r="N198" s="24" t="n">
        <v>0.262153416122864</v>
      </c>
      <c r="O198" s="25" t="n">
        <v>306.710028781656</v>
      </c>
      <c r="P198" s="25" t="n">
        <v>95.4236856580713</v>
      </c>
      <c r="Q198" s="26" t="n">
        <v>0.0372614852949054</v>
      </c>
      <c r="R198" s="24" t="n">
        <v>0.708522746278012</v>
      </c>
      <c r="S198" s="4" t="n">
        <v>0.262593581193707</v>
      </c>
      <c r="T198" s="25" t="n">
        <v>306.710028781656</v>
      </c>
      <c r="U198" s="25" t="n">
        <v>154</v>
      </c>
      <c r="V198" s="26" t="n">
        <v>0.021</v>
      </c>
      <c r="W198" s="24" t="n">
        <f aca="false">(I198-H198)/(J198-H198)</f>
        <v>1.24556379352548</v>
      </c>
      <c r="X198" s="24" t="n">
        <f aca="false">0.5*(1+(I198-K198-L198)/(I198-K198))</f>
        <v>0.553571428571429</v>
      </c>
      <c r="Y198" s="24" t="n">
        <v>0.709712381604613</v>
      </c>
      <c r="Z198" s="24" t="n">
        <v>0.260037130783469</v>
      </c>
      <c r="AA198" s="25" t="n">
        <v>306.710028781656</v>
      </c>
      <c r="AB198" s="25" t="n">
        <v>95.4236856580713</v>
      </c>
      <c r="AC198" s="26" t="n">
        <v>0.0372614852949054</v>
      </c>
      <c r="AD198" s="24" t="n">
        <v>0.702803056171539</v>
      </c>
      <c r="AE198" s="24" t="n">
        <v>0.258903313477319</v>
      </c>
      <c r="AF198" s="24" t="n">
        <v>0.355911395679567</v>
      </c>
      <c r="AG198" s="25" t="n">
        <v>319.116198411826</v>
      </c>
      <c r="AH198" s="26" t="n">
        <v>0.0196</v>
      </c>
      <c r="AI198" s="24" t="n">
        <v>0.699738685073834</v>
      </c>
    </row>
    <row r="199" customFormat="false" ht="14.25" hidden="false" customHeight="false" outlineLevel="0" collapsed="false">
      <c r="A199" s="0" t="s">
        <v>64</v>
      </c>
      <c r="B199" s="1" t="n">
        <v>20</v>
      </c>
      <c r="C199" s="1" t="n">
        <v>6</v>
      </c>
      <c r="D199" s="2" t="n">
        <v>84</v>
      </c>
      <c r="E199" s="4" t="n">
        <v>3.50882128585544</v>
      </c>
      <c r="F199" s="1" t="n">
        <v>50</v>
      </c>
      <c r="G199" s="1" t="n">
        <v>64</v>
      </c>
      <c r="H199" s="3" t="n">
        <v>96.251010941285</v>
      </c>
      <c r="I199" s="1" t="n">
        <v>400</v>
      </c>
      <c r="J199" s="32" t="n">
        <v>336</v>
      </c>
      <c r="K199" s="25" t="n">
        <v>205</v>
      </c>
      <c r="L199" s="32" t="n">
        <v>164</v>
      </c>
      <c r="M199" s="4" t="n">
        <v>0.15</v>
      </c>
      <c r="N199" s="24" t="n">
        <v>0.13165888294921</v>
      </c>
      <c r="O199" s="25" t="n">
        <v>179.888040262956</v>
      </c>
      <c r="P199" s="25" t="n">
        <v>134.732486106954</v>
      </c>
      <c r="Q199" s="26" t="n">
        <v>0.0310124488946994</v>
      </c>
      <c r="R199" s="24" t="n">
        <v>0.877725886328068</v>
      </c>
      <c r="S199" s="4" t="n">
        <v>0.111129674723574</v>
      </c>
      <c r="T199" s="25" t="n">
        <v>179.888040262956</v>
      </c>
      <c r="U199" s="25" t="n">
        <v>205</v>
      </c>
      <c r="V199" s="26" t="n">
        <v>0.0191463414634146</v>
      </c>
      <c r="W199" s="24" t="n">
        <f aca="false">(I199-H199)/(J199-H199)</f>
        <v>1.26694585971466</v>
      </c>
      <c r="X199" s="24" t="n">
        <f aca="false">0.5*(1+(I199-K199-L199)/(I199-K199))</f>
        <v>0.579487179487179</v>
      </c>
      <c r="Y199" s="24" t="n">
        <v>0.740864498157161</v>
      </c>
      <c r="Z199" s="24" t="n">
        <v>0.143722008779929</v>
      </c>
      <c r="AA199" s="25" t="n">
        <v>179.888040262956</v>
      </c>
      <c r="AB199" s="25" t="n">
        <v>134.732486106954</v>
      </c>
      <c r="AC199" s="26" t="n">
        <v>0.0310124488946994</v>
      </c>
      <c r="AD199" s="24" t="n">
        <v>0.958146725199527</v>
      </c>
      <c r="AE199" s="24" t="n">
        <v>0.185534235736366</v>
      </c>
      <c r="AF199" s="24" t="n">
        <v>0.102644145640501</v>
      </c>
      <c r="AG199" s="25" t="n">
        <v>188.290324676688</v>
      </c>
      <c r="AH199" s="26" t="n">
        <v>0.0163</v>
      </c>
      <c r="AI199" s="24" t="n">
        <v>0.684294304270004</v>
      </c>
    </row>
    <row r="200" customFormat="false" ht="14.25" hidden="false" customHeight="false" outlineLevel="0" collapsed="false">
      <c r="B200" s="1" t="n">
        <v>20</v>
      </c>
      <c r="C200" s="1" t="n">
        <v>6</v>
      </c>
      <c r="D200" s="2" t="n">
        <v>84</v>
      </c>
      <c r="E200" s="4" t="n">
        <v>3.50882128585544</v>
      </c>
      <c r="F200" s="1" t="n">
        <v>50</v>
      </c>
      <c r="G200" s="1" t="n">
        <v>64</v>
      </c>
      <c r="H200" s="3" t="n">
        <v>96.251010941285</v>
      </c>
      <c r="I200" s="1" t="n">
        <v>400</v>
      </c>
      <c r="J200" s="32" t="n">
        <v>336</v>
      </c>
      <c r="K200" s="25" t="n">
        <v>205</v>
      </c>
      <c r="L200" s="32" t="n">
        <v>164</v>
      </c>
      <c r="M200" s="4" t="n">
        <v>0.23</v>
      </c>
      <c r="N200" s="24" t="n">
        <v>0.19201766444682</v>
      </c>
      <c r="O200" s="25" t="n">
        <v>225.296671785643</v>
      </c>
      <c r="P200" s="25" t="n">
        <v>134.732486106954</v>
      </c>
      <c r="Q200" s="26" t="n">
        <v>0.0310124488946994</v>
      </c>
      <c r="R200" s="24" t="n">
        <v>0.834859410638349</v>
      </c>
      <c r="S200" s="4" t="n">
        <v>0.158125712265201</v>
      </c>
      <c r="T200" s="25" t="n">
        <v>225.296671785643</v>
      </c>
      <c r="U200" s="25" t="n">
        <v>205</v>
      </c>
      <c r="V200" s="26" t="n">
        <v>0.0191463414634146</v>
      </c>
      <c r="W200" s="24" t="n">
        <f aca="false">(I200-H200)/(J200-H200)</f>
        <v>1.26694585971466</v>
      </c>
      <c r="X200" s="24" t="n">
        <f aca="false">0.5*(1+(I200-K200-L200)/(I200-K200))</f>
        <v>0.579487179487179</v>
      </c>
      <c r="Y200" s="24" t="n">
        <v>0.687503096805223</v>
      </c>
      <c r="Z200" s="24" t="n">
        <v>0.192357387771054</v>
      </c>
      <c r="AA200" s="25" t="n">
        <v>225.296671785643</v>
      </c>
      <c r="AB200" s="25" t="n">
        <v>134.732486106954</v>
      </c>
      <c r="AC200" s="26" t="n">
        <v>0.0310124488946994</v>
      </c>
      <c r="AD200" s="24" t="n">
        <v>0.8363364685698</v>
      </c>
      <c r="AE200" s="24" t="n">
        <v>0.232368120485351</v>
      </c>
      <c r="AF200" s="24" t="n">
        <v>0.161004922952547</v>
      </c>
      <c r="AG200" s="25" t="n">
        <v>235.819921197017</v>
      </c>
      <c r="AH200" s="26" t="n">
        <v>0.0163</v>
      </c>
      <c r="AI200" s="24" t="n">
        <v>0.700021404141508</v>
      </c>
    </row>
    <row r="201" customFormat="false" ht="14.25" hidden="false" customHeight="false" outlineLevel="0" collapsed="false">
      <c r="B201" s="1" t="n">
        <v>20</v>
      </c>
      <c r="C201" s="1" t="n">
        <v>6</v>
      </c>
      <c r="D201" s="2" t="n">
        <v>84</v>
      </c>
      <c r="E201" s="4" t="n">
        <v>3.50882128585544</v>
      </c>
      <c r="F201" s="1" t="n">
        <v>50</v>
      </c>
      <c r="G201" s="1" t="n">
        <v>64</v>
      </c>
      <c r="H201" s="3" t="n">
        <v>96.251010941285</v>
      </c>
      <c r="I201" s="1" t="n">
        <v>400</v>
      </c>
      <c r="J201" s="32" t="n">
        <v>336</v>
      </c>
      <c r="K201" s="25" t="n">
        <v>205</v>
      </c>
      <c r="L201" s="32" t="n">
        <v>164</v>
      </c>
      <c r="M201" s="4" t="n">
        <v>0.28</v>
      </c>
      <c r="N201" s="24" t="n">
        <v>0.252376445944431</v>
      </c>
      <c r="O201" s="25" t="n">
        <v>270.705303308331</v>
      </c>
      <c r="P201" s="25" t="n">
        <v>134.732486106954</v>
      </c>
      <c r="Q201" s="26" t="n">
        <v>0.0310124488946994</v>
      </c>
      <c r="R201" s="24" t="n">
        <v>0.901344449801538</v>
      </c>
      <c r="S201" s="4" t="n">
        <v>0.228256089517942</v>
      </c>
      <c r="T201" s="25" t="n">
        <v>270.705303308331</v>
      </c>
      <c r="U201" s="25" t="n">
        <v>205</v>
      </c>
      <c r="V201" s="26" t="n">
        <v>0.0191463414634146</v>
      </c>
      <c r="W201" s="24" t="n">
        <f aca="false">(I201-H201)/(J201-H201)</f>
        <v>1.26694585971466</v>
      </c>
      <c r="X201" s="24" t="n">
        <f aca="false">0.5*(1+(I201-K201-L201)/(I201-K201))</f>
        <v>0.579487179487179</v>
      </c>
      <c r="Y201" s="24" t="n">
        <v>0.815200319706936</v>
      </c>
      <c r="Z201" s="24" t="n">
        <v>0.252822957807917</v>
      </c>
      <c r="AA201" s="25" t="n">
        <v>270.705303308331</v>
      </c>
      <c r="AB201" s="25" t="n">
        <v>134.732486106954</v>
      </c>
      <c r="AC201" s="26" t="n">
        <v>0.0310124488946994</v>
      </c>
      <c r="AD201" s="24" t="n">
        <v>0.902939135028276</v>
      </c>
      <c r="AE201" s="24" t="n">
        <v>0.279202005234337</v>
      </c>
      <c r="AF201" s="24" t="n">
        <v>0.23244656414488</v>
      </c>
      <c r="AG201" s="25" t="n">
        <v>283.349517717345</v>
      </c>
      <c r="AH201" s="26" t="n">
        <v>0.0163</v>
      </c>
      <c r="AI201" s="24" t="n">
        <v>0.830166300517427</v>
      </c>
    </row>
    <row r="202" customFormat="false" ht="14.25" hidden="false" customHeight="false" outlineLevel="0" collapsed="false">
      <c r="A202" s="0" t="s">
        <v>65</v>
      </c>
      <c r="B202" s="1" t="n">
        <v>20</v>
      </c>
      <c r="C202" s="1" t="n">
        <v>9</v>
      </c>
      <c r="D202" s="2" t="n">
        <v>45</v>
      </c>
      <c r="E202" s="4" t="n">
        <v>3.50882128585544</v>
      </c>
      <c r="F202" s="1" t="n">
        <v>50</v>
      </c>
      <c r="G202" s="1" t="n">
        <v>64</v>
      </c>
      <c r="H202" s="3" t="n">
        <v>113.550333982961</v>
      </c>
      <c r="I202" s="1" t="n">
        <v>400</v>
      </c>
      <c r="J202" s="32" t="n">
        <v>336</v>
      </c>
      <c r="K202" s="25" t="n">
        <v>208</v>
      </c>
      <c r="L202" s="32" t="n">
        <v>164</v>
      </c>
      <c r="M202" s="4" t="n">
        <v>0.18</v>
      </c>
      <c r="N202" s="24" t="n">
        <v>0.122720959724115</v>
      </c>
      <c r="O202" s="25" t="n">
        <v>176.839573733521</v>
      </c>
      <c r="P202" s="25" t="n">
        <v>92.7225291287049</v>
      </c>
      <c r="Q202" s="26" t="n">
        <v>0.0493280379637779</v>
      </c>
      <c r="R202" s="24" t="n">
        <v>0.681783109578416</v>
      </c>
      <c r="S202" s="4" t="n">
        <v>0.117948216713536</v>
      </c>
      <c r="T202" s="25" t="n">
        <v>176.839573733521</v>
      </c>
      <c r="U202" s="25" t="n">
        <v>144</v>
      </c>
      <c r="V202" s="26" t="n">
        <v>0.028719512195122</v>
      </c>
      <c r="W202" s="24" t="n">
        <f aca="false">(I202-H202)/(J202-H202)</f>
        <v>1.28770553422678</v>
      </c>
      <c r="X202" s="24" t="n">
        <f aca="false">0.5*(1+(I202-K202-L202)/(I202-K202))</f>
        <v>0.572916666666667</v>
      </c>
      <c r="Y202" s="24" t="n">
        <v>0.655267870630753</v>
      </c>
      <c r="Z202" s="24" t="n">
        <v>0.13790150792585</v>
      </c>
      <c r="AA202" s="25" t="n">
        <v>176.839573733521</v>
      </c>
      <c r="AB202" s="25" t="n">
        <v>92.7225291287049</v>
      </c>
      <c r="AC202" s="26" t="n">
        <v>0.0493280379637779</v>
      </c>
      <c r="AD202" s="24" t="n">
        <v>0.766119488476944</v>
      </c>
      <c r="AE202" s="24" t="n">
        <v>0.150581080168074</v>
      </c>
      <c r="AF202" s="24" t="n">
        <v>0.100352810571405</v>
      </c>
      <c r="AG202" s="25" t="n">
        <v>186.176851840473</v>
      </c>
      <c r="AH202" s="26" t="n">
        <v>0.0206</v>
      </c>
      <c r="AI202" s="24" t="n">
        <v>0.557515614285581</v>
      </c>
    </row>
    <row r="203" customFormat="false" ht="14.25" hidden="false" customHeight="false" outlineLevel="0" collapsed="false">
      <c r="B203" s="1" t="n">
        <v>20</v>
      </c>
      <c r="C203" s="1" t="n">
        <v>9</v>
      </c>
      <c r="D203" s="2" t="n">
        <v>45</v>
      </c>
      <c r="E203" s="4" t="n">
        <v>3.50882128585544</v>
      </c>
      <c r="F203" s="1" t="n">
        <v>50</v>
      </c>
      <c r="G203" s="1" t="n">
        <v>64</v>
      </c>
      <c r="H203" s="3" t="n">
        <v>113.550333982961</v>
      </c>
      <c r="I203" s="1" t="n">
        <v>400</v>
      </c>
      <c r="J203" s="32" t="n">
        <v>336</v>
      </c>
      <c r="K203" s="25" t="n">
        <v>208</v>
      </c>
      <c r="L203" s="32" t="n">
        <v>164</v>
      </c>
      <c r="M203" s="4" t="n">
        <v>0.26</v>
      </c>
      <c r="N203" s="24" t="n">
        <v>0.167182994846346</v>
      </c>
      <c r="O203" s="25" t="n">
        <v>220.752756472718</v>
      </c>
      <c r="P203" s="25" t="n">
        <v>92.7225291287049</v>
      </c>
      <c r="Q203" s="26" t="n">
        <v>0.0493280379637779</v>
      </c>
      <c r="R203" s="24" t="n">
        <v>0.643011518639792</v>
      </c>
      <c r="S203" s="4" t="n">
        <v>0.175129396940842</v>
      </c>
      <c r="T203" s="25" t="n">
        <v>220.752756472718</v>
      </c>
      <c r="U203" s="25" t="n">
        <v>144</v>
      </c>
      <c r="V203" s="26" t="n">
        <v>0.028719512195122</v>
      </c>
      <c r="W203" s="24" t="n">
        <f aca="false">(I203-H203)/(J203-H203)</f>
        <v>1.28770553422678</v>
      </c>
      <c r="X203" s="24" t="n">
        <f aca="false">0.5*(1+(I203-K203-L203)/(I203-K203))</f>
        <v>0.572916666666667</v>
      </c>
      <c r="Y203" s="24" t="n">
        <v>0.673574603618623</v>
      </c>
      <c r="Z203" s="24" t="n">
        <v>0.187863484287439</v>
      </c>
      <c r="AA203" s="25" t="n">
        <v>220.752756472718</v>
      </c>
      <c r="AB203" s="25" t="n">
        <v>92.7225291287049</v>
      </c>
      <c r="AC203" s="26" t="n">
        <v>0.0493280379637779</v>
      </c>
      <c r="AD203" s="24" t="n">
        <v>0.722551862643996</v>
      </c>
      <c r="AE203" s="24" t="n">
        <v>0.187973697391018</v>
      </c>
      <c r="AF203" s="24" t="n">
        <v>0.156380606032535</v>
      </c>
      <c r="AG203" s="25" t="n">
        <v>232.408687532403</v>
      </c>
      <c r="AH203" s="26" t="n">
        <v>0.0206</v>
      </c>
      <c r="AI203" s="24" t="n">
        <v>0.601463869355904</v>
      </c>
    </row>
    <row r="204" customFormat="false" ht="14.25" hidden="false" customHeight="false" outlineLevel="0" collapsed="false">
      <c r="B204" s="1" t="n">
        <v>20</v>
      </c>
      <c r="C204" s="1" t="n">
        <v>9</v>
      </c>
      <c r="D204" s="2" t="n">
        <v>45</v>
      </c>
      <c r="E204" s="4" t="n">
        <v>3.50882128585544</v>
      </c>
      <c r="F204" s="1" t="n">
        <v>50</v>
      </c>
      <c r="G204" s="1" t="n">
        <v>64</v>
      </c>
      <c r="H204" s="3" t="n">
        <v>113.550333982961</v>
      </c>
      <c r="I204" s="1" t="n">
        <v>400</v>
      </c>
      <c r="J204" s="32" t="n">
        <v>336</v>
      </c>
      <c r="K204" s="25" t="n">
        <v>208</v>
      </c>
      <c r="L204" s="32" t="n">
        <v>164</v>
      </c>
      <c r="M204" s="4" t="n">
        <v>0.34</v>
      </c>
      <c r="N204" s="24" t="n">
        <v>0.211645029968577</v>
      </c>
      <c r="O204" s="25" t="n">
        <v>264.665939211914</v>
      </c>
      <c r="P204" s="25" t="n">
        <v>92.7225291287049</v>
      </c>
      <c r="Q204" s="26" t="n">
        <v>0.0493280379637779</v>
      </c>
      <c r="R204" s="24" t="n">
        <v>0.622485382260521</v>
      </c>
      <c r="S204" s="4" t="n">
        <v>0.232310577168148</v>
      </c>
      <c r="T204" s="25" t="n">
        <v>264.665939211914</v>
      </c>
      <c r="U204" s="25" t="n">
        <v>144</v>
      </c>
      <c r="V204" s="26" t="n">
        <v>0.028719512195122</v>
      </c>
      <c r="W204" s="24" t="n">
        <f aca="false">(I204-H204)/(J204-H204)</f>
        <v>1.28770553422678</v>
      </c>
      <c r="X204" s="24" t="n">
        <f aca="false">0.5*(1+(I204-K204-L204)/(I204-K204))</f>
        <v>0.572916666666667</v>
      </c>
      <c r="Y204" s="24" t="n">
        <v>0.683266403435731</v>
      </c>
      <c r="Z204" s="24" t="n">
        <v>0.237825460649028</v>
      </c>
      <c r="AA204" s="25" t="n">
        <v>264.665939211914</v>
      </c>
      <c r="AB204" s="25" t="n">
        <v>92.7225291287049</v>
      </c>
      <c r="AC204" s="26" t="n">
        <v>0.0493280379637779</v>
      </c>
      <c r="AD204" s="24" t="n">
        <v>0.69948664896773</v>
      </c>
      <c r="AE204" s="24" t="n">
        <v>0.225366314613963</v>
      </c>
      <c r="AF204" s="24" t="n">
        <v>0.224784690640303</v>
      </c>
      <c r="AG204" s="25" t="n">
        <v>278.640523224332</v>
      </c>
      <c r="AH204" s="26" t="n">
        <v>0.0206</v>
      </c>
      <c r="AI204" s="24" t="n">
        <v>0.661131443059716</v>
      </c>
    </row>
    <row r="205" customFormat="false" ht="14.25" hidden="false" customHeight="false" outlineLevel="0" collapsed="false">
      <c r="A205" s="0" t="s">
        <v>66</v>
      </c>
      <c r="B205" s="1" t="n">
        <v>16</v>
      </c>
      <c r="C205" s="1" t="n">
        <v>2</v>
      </c>
      <c r="D205" s="2" t="n">
        <v>52</v>
      </c>
      <c r="E205" s="4" t="n">
        <v>3.42</v>
      </c>
      <c r="F205" s="1" t="n">
        <v>27</v>
      </c>
      <c r="G205" s="1" t="n">
        <v>35</v>
      </c>
      <c r="H205" s="3" t="n">
        <v>69.8404266407112</v>
      </c>
      <c r="I205" s="1" t="n">
        <v>235</v>
      </c>
      <c r="J205" s="32" t="n">
        <v>200</v>
      </c>
      <c r="K205" s="25" t="n">
        <v>123</v>
      </c>
      <c r="L205" s="32" t="n">
        <v>115</v>
      </c>
      <c r="M205" s="4" t="n">
        <v>0.15</v>
      </c>
      <c r="N205" s="24" t="n">
        <v>0.129477989251275</v>
      </c>
      <c r="O205" s="25" t="n">
        <v>234.722345423214</v>
      </c>
      <c r="P205" s="25" t="n">
        <v>94.1655129923692</v>
      </c>
      <c r="Q205" s="26" t="n">
        <v>0.0486801935635287</v>
      </c>
      <c r="R205" s="24" t="n">
        <v>0.863186595008498</v>
      </c>
      <c r="S205" s="4" t="n">
        <v>0.117527781949306</v>
      </c>
      <c r="T205" s="25" t="n">
        <v>234.722345423214</v>
      </c>
      <c r="U205" s="25" t="n">
        <v>171</v>
      </c>
      <c r="V205" s="26" t="n">
        <v>0.023304347826087</v>
      </c>
      <c r="W205" s="24" t="n">
        <f aca="false">(I205-H205)/(J205-H205)</f>
        <v>1.26890069701894</v>
      </c>
      <c r="X205" s="24" t="n">
        <f aca="false">0.5*(1+(I205-K205-L205)/(I205-K205))</f>
        <v>0.486607142857143</v>
      </c>
      <c r="Y205" s="24" t="n">
        <v>0.783518546328709</v>
      </c>
      <c r="Z205" s="24" t="n">
        <v>0.13159532895532</v>
      </c>
      <c r="AA205" s="25" t="n">
        <v>234.722345423214</v>
      </c>
      <c r="AB205" s="25" t="n">
        <v>94.1655129923692</v>
      </c>
      <c r="AC205" s="26" t="n">
        <v>0.0486801935635287</v>
      </c>
      <c r="AD205" s="24" t="n">
        <v>0.877302193035469</v>
      </c>
      <c r="AE205" s="24" t="n">
        <v>0.179901478557426</v>
      </c>
      <c r="AF205" s="24" t="n">
        <v>0.150210926096571</v>
      </c>
      <c r="AG205" s="25" t="n">
        <v>245.360393553323</v>
      </c>
      <c r="AH205" s="26" t="n">
        <v>0.0188</v>
      </c>
      <c r="AI205" s="24" t="n">
        <v>1.00140617397714</v>
      </c>
    </row>
    <row r="206" customFormat="false" ht="14.25" hidden="false" customHeight="false" outlineLevel="0" collapsed="false">
      <c r="B206" s="1" t="n">
        <v>16</v>
      </c>
      <c r="C206" s="1" t="n">
        <v>2</v>
      </c>
      <c r="D206" s="2" t="n">
        <v>52</v>
      </c>
      <c r="E206" s="4" t="n">
        <v>3.42</v>
      </c>
      <c r="F206" s="1" t="n">
        <v>27</v>
      </c>
      <c r="G206" s="1" t="n">
        <v>35</v>
      </c>
      <c r="H206" s="3" t="n">
        <v>69.8404266407112</v>
      </c>
      <c r="I206" s="1" t="n">
        <v>235</v>
      </c>
      <c r="J206" s="32" t="n">
        <v>200</v>
      </c>
      <c r="K206" s="25" t="n">
        <v>123</v>
      </c>
      <c r="L206" s="32" t="n">
        <v>115</v>
      </c>
      <c r="M206" s="4" t="n">
        <v>0.19</v>
      </c>
      <c r="N206" s="24" t="n">
        <v>0.188279507963272</v>
      </c>
      <c r="O206" s="25" t="n">
        <v>315.661085224322</v>
      </c>
      <c r="P206" s="25" t="n">
        <v>94.1655129923692</v>
      </c>
      <c r="Q206" s="26" t="n">
        <v>0.0486801935635287</v>
      </c>
      <c r="R206" s="24" t="n">
        <v>0.990944778754063</v>
      </c>
      <c r="S206" s="4" t="n">
        <v>0.189416395861782</v>
      </c>
      <c r="T206" s="25" t="n">
        <v>315.661085224322</v>
      </c>
      <c r="U206" s="25" t="n">
        <v>171</v>
      </c>
      <c r="V206" s="26" t="n">
        <v>0.023304347826087</v>
      </c>
      <c r="W206" s="24" t="n">
        <f aca="false">(I206-H206)/(J206-H206)</f>
        <v>1.26890069701894</v>
      </c>
      <c r="X206" s="24" t="n">
        <f aca="false">0.5*(1+(I206-K206-L206)/(I206-K206))</f>
        <v>0.486607142857143</v>
      </c>
      <c r="Y206" s="24" t="n">
        <v>0.996928399272535</v>
      </c>
      <c r="Z206" s="24" t="n">
        <v>0.191358422611036</v>
      </c>
      <c r="AA206" s="25" t="n">
        <v>315.661085224322</v>
      </c>
      <c r="AB206" s="25" t="n">
        <v>94.1655129923692</v>
      </c>
      <c r="AC206" s="26" t="n">
        <v>0.0486801935635287</v>
      </c>
      <c r="AD206" s="24" t="n">
        <v>1.00714959268966</v>
      </c>
      <c r="AE206" s="24" t="n">
        <v>0.241936471163435</v>
      </c>
      <c r="AF206" s="24" t="n">
        <v>0.271665658255511</v>
      </c>
      <c r="AG206" s="25" t="n">
        <v>329.967425813089</v>
      </c>
      <c r="AH206" s="26" t="n">
        <v>0.0188</v>
      </c>
      <c r="AI206" s="24" t="n">
        <v>1.27334984822861</v>
      </c>
    </row>
    <row r="207" customFormat="false" ht="14.25" hidden="false" customHeight="false" outlineLevel="0" collapsed="false">
      <c r="B207" s="1" t="n">
        <v>16</v>
      </c>
      <c r="C207" s="1" t="n">
        <v>2</v>
      </c>
      <c r="D207" s="2" t="n">
        <v>52</v>
      </c>
      <c r="E207" s="4" t="n">
        <v>3.42</v>
      </c>
      <c r="F207" s="1" t="n">
        <v>27</v>
      </c>
      <c r="G207" s="1" t="n">
        <v>35</v>
      </c>
      <c r="H207" s="3" t="n">
        <v>69.8404266407112</v>
      </c>
      <c r="I207" s="1" t="n">
        <v>235</v>
      </c>
      <c r="J207" s="32" t="n">
        <v>200</v>
      </c>
      <c r="K207" s="25" t="n">
        <v>123</v>
      </c>
      <c r="L207" s="32" t="n">
        <v>115</v>
      </c>
      <c r="M207" s="4" t="n">
        <v>0.22</v>
      </c>
      <c r="N207" s="24" t="n">
        <v>0.22356041919047</v>
      </c>
      <c r="O207" s="25" t="n">
        <v>364.224329104987</v>
      </c>
      <c r="P207" s="25" t="n">
        <v>94.1655129923692</v>
      </c>
      <c r="Q207" s="26" t="n">
        <v>0.0486801935635287</v>
      </c>
      <c r="R207" s="24" t="n">
        <v>1.01618372359305</v>
      </c>
      <c r="S207" s="4" t="n">
        <v>0.232549564209267</v>
      </c>
      <c r="T207" s="25" t="n">
        <v>364.224329104987</v>
      </c>
      <c r="U207" s="25" t="n">
        <v>171</v>
      </c>
      <c r="V207" s="26" t="n">
        <v>0.023304347826087</v>
      </c>
      <c r="W207" s="24" t="n">
        <f aca="false">(I207-H207)/(J207-H207)</f>
        <v>1.26890069701894</v>
      </c>
      <c r="X207" s="24" t="n">
        <f aca="false">0.5*(1+(I207-K207-L207)/(I207-K207))</f>
        <v>0.486607142857143</v>
      </c>
      <c r="Y207" s="24" t="n">
        <v>1.05704347367849</v>
      </c>
      <c r="Z207" s="24" t="n">
        <v>0.227216278804466</v>
      </c>
      <c r="AA207" s="25" t="n">
        <v>364.224329104987</v>
      </c>
      <c r="AB207" s="25" t="n">
        <v>94.1655129923692</v>
      </c>
      <c r="AC207" s="26" t="n">
        <v>0.0486801935635287</v>
      </c>
      <c r="AD207" s="24" t="n">
        <v>1.03280126729303</v>
      </c>
      <c r="AE207" s="24" t="n">
        <v>0.279157466727041</v>
      </c>
      <c r="AF207" s="24" t="n">
        <v>0.361685047973314</v>
      </c>
      <c r="AG207" s="25" t="n">
        <v>380.731645168949</v>
      </c>
      <c r="AH207" s="26" t="n">
        <v>0.0188</v>
      </c>
      <c r="AI207" s="24" t="n">
        <v>1.268897576032</v>
      </c>
    </row>
    <row r="208" customFormat="false" ht="14.25" hidden="false" customHeight="false" outlineLevel="0" collapsed="false">
      <c r="B208" s="1" t="n">
        <v>16</v>
      </c>
      <c r="C208" s="1" t="n">
        <v>2</v>
      </c>
      <c r="D208" s="2" t="n">
        <v>52</v>
      </c>
      <c r="E208" s="4" t="n">
        <v>3.42</v>
      </c>
      <c r="F208" s="1" t="n">
        <v>27</v>
      </c>
      <c r="G208" s="1" t="n">
        <v>35</v>
      </c>
      <c r="H208" s="3" t="n">
        <v>69.8404266407112</v>
      </c>
      <c r="I208" s="1" t="n">
        <v>235</v>
      </c>
      <c r="J208" s="32" t="n">
        <v>200</v>
      </c>
      <c r="K208" s="25" t="n">
        <v>123</v>
      </c>
      <c r="L208" s="32" t="n">
        <v>115</v>
      </c>
      <c r="M208" s="4" t="n">
        <v>0.22</v>
      </c>
      <c r="N208" s="24" t="n">
        <v>0.252961178546469</v>
      </c>
      <c r="O208" s="25" t="n">
        <v>404.693699005541</v>
      </c>
      <c r="P208" s="25" t="n">
        <v>94.1655129923692</v>
      </c>
      <c r="Q208" s="26" t="n">
        <v>0.0486801935635287</v>
      </c>
      <c r="R208" s="24" t="n">
        <v>1.14982353884759</v>
      </c>
      <c r="S208" s="4" t="n">
        <v>0.268493871165504</v>
      </c>
      <c r="T208" s="25" t="n">
        <v>404.693699005541</v>
      </c>
      <c r="U208" s="25" t="n">
        <v>171</v>
      </c>
      <c r="V208" s="26" t="n">
        <v>0.023304347826087</v>
      </c>
      <c r="W208" s="24" t="n">
        <f aca="false">(I208-H208)/(J208-H208)</f>
        <v>1.26890069701894</v>
      </c>
      <c r="X208" s="24" t="n">
        <f aca="false">0.5*(1+(I208-K208-L208)/(I208-K208))</f>
        <v>0.486607142857143</v>
      </c>
      <c r="Y208" s="24" t="n">
        <v>1.22042668711593</v>
      </c>
      <c r="Z208" s="24" t="n">
        <v>0.257097825632324</v>
      </c>
      <c r="AA208" s="25" t="n">
        <v>404.693699005541</v>
      </c>
      <c r="AB208" s="25" t="n">
        <v>94.1655129923692</v>
      </c>
      <c r="AC208" s="26" t="n">
        <v>0.0486801935635287</v>
      </c>
      <c r="AD208" s="24" t="n">
        <v>1.16862648014693</v>
      </c>
      <c r="AE208" s="24" t="n">
        <v>0.310174963030045</v>
      </c>
      <c r="AF208" s="24" t="n">
        <v>0.446524750584338</v>
      </c>
      <c r="AG208" s="25" t="n">
        <v>423.035161298832</v>
      </c>
      <c r="AH208" s="26" t="n">
        <v>0.0188</v>
      </c>
      <c r="AI208" s="24" t="n">
        <v>1.40988619559112</v>
      </c>
    </row>
    <row r="209" customFormat="false" ht="14.25" hidden="false" customHeight="false" outlineLevel="0" collapsed="false">
      <c r="B209" s="1" t="n">
        <v>16</v>
      </c>
      <c r="C209" s="1" t="n">
        <v>2</v>
      </c>
      <c r="D209" s="2" t="n">
        <v>52</v>
      </c>
      <c r="E209" s="4" t="n">
        <v>3.42</v>
      </c>
      <c r="F209" s="1" t="n">
        <v>27</v>
      </c>
      <c r="G209" s="1" t="n">
        <v>35</v>
      </c>
      <c r="H209" s="3" t="n">
        <v>69.8404266407112</v>
      </c>
      <c r="I209" s="1" t="n">
        <v>235</v>
      </c>
      <c r="J209" s="32" t="n">
        <v>200</v>
      </c>
      <c r="K209" s="25" t="n">
        <v>123</v>
      </c>
      <c r="L209" s="32" t="n">
        <v>115</v>
      </c>
      <c r="M209" s="4" t="n">
        <v>0.25</v>
      </c>
      <c r="N209" s="24" t="n">
        <v>0.300002393516067</v>
      </c>
      <c r="O209" s="25" t="n">
        <v>469.444690846428</v>
      </c>
      <c r="P209" s="25" t="n">
        <v>94.1655129923692</v>
      </c>
      <c r="Q209" s="26" t="n">
        <v>0.0486801935635287</v>
      </c>
      <c r="R209" s="24" t="n">
        <v>1.20000957406427</v>
      </c>
      <c r="S209" s="4" t="n">
        <v>0.326004762295485</v>
      </c>
      <c r="T209" s="25" t="n">
        <v>469.444690846428</v>
      </c>
      <c r="U209" s="25" t="n">
        <v>171</v>
      </c>
      <c r="V209" s="26" t="n">
        <v>0.023304347826087</v>
      </c>
      <c r="W209" s="24" t="n">
        <f aca="false">(I209-H209)/(J209-H209)</f>
        <v>1.26890069701894</v>
      </c>
      <c r="X209" s="24" t="n">
        <f aca="false">0.5*(1+(I209-K209-L209)/(I209-K209))</f>
        <v>0.486607142857143</v>
      </c>
      <c r="Y209" s="24" t="n">
        <v>1.30401904918194</v>
      </c>
      <c r="Z209" s="24" t="n">
        <v>0.304908300556896</v>
      </c>
      <c r="AA209" s="25" t="n">
        <v>469.444690846428</v>
      </c>
      <c r="AB209" s="25" t="n">
        <v>94.1655129923692</v>
      </c>
      <c r="AC209" s="26" t="n">
        <v>0.0486801935635287</v>
      </c>
      <c r="AD209" s="24" t="n">
        <v>1.21963320222759</v>
      </c>
      <c r="AE209" s="24" t="n">
        <v>0.359802957114853</v>
      </c>
      <c r="AF209" s="24" t="n">
        <v>0.600843704386285</v>
      </c>
      <c r="AG209" s="25" t="n">
        <v>490.720787106645</v>
      </c>
      <c r="AH209" s="26" t="n">
        <v>0.0188</v>
      </c>
      <c r="AI209" s="24" t="n">
        <v>1.43921182845941</v>
      </c>
    </row>
    <row r="210" customFormat="false" ht="14.25" hidden="false" customHeight="false" outlineLevel="0" collapsed="false">
      <c r="B210" s="1" t="n">
        <v>16</v>
      </c>
      <c r="C210" s="1" t="n">
        <v>2</v>
      </c>
      <c r="D210" s="2" t="n">
        <v>52</v>
      </c>
      <c r="E210" s="4" t="n">
        <v>3.42</v>
      </c>
      <c r="F210" s="1" t="n">
        <v>27</v>
      </c>
      <c r="G210" s="1" t="n">
        <v>35</v>
      </c>
      <c r="H210" s="3" t="n">
        <v>69.8404266407112</v>
      </c>
      <c r="I210" s="1" t="n">
        <v>235</v>
      </c>
      <c r="J210" s="32" t="n">
        <v>200</v>
      </c>
      <c r="K210" s="25" t="n">
        <v>123</v>
      </c>
      <c r="L210" s="32" t="n">
        <v>115</v>
      </c>
      <c r="M210" s="4" t="n">
        <v>0.29</v>
      </c>
      <c r="N210" s="24" t="n">
        <v>0.341163456614465</v>
      </c>
      <c r="O210" s="25" t="n">
        <v>526.101808707204</v>
      </c>
      <c r="P210" s="25" t="n">
        <v>94.1655129923692</v>
      </c>
      <c r="Q210" s="26" t="n">
        <v>0.0486801935635287</v>
      </c>
      <c r="R210" s="24" t="n">
        <v>1.17642571246367</v>
      </c>
      <c r="S210" s="4" t="n">
        <v>0.376326792034218</v>
      </c>
      <c r="T210" s="25" t="n">
        <v>526.101808707204</v>
      </c>
      <c r="U210" s="25" t="n">
        <v>171</v>
      </c>
      <c r="V210" s="26" t="n">
        <v>0.023304347826087</v>
      </c>
      <c r="W210" s="24" t="n">
        <f aca="false">(I210-H210)/(J210-H210)</f>
        <v>1.26890069701894</v>
      </c>
      <c r="X210" s="24" t="n">
        <f aca="false">0.5*(1+(I210-K210-L210)/(I210-K210))</f>
        <v>0.486607142857143</v>
      </c>
      <c r="Y210" s="24" t="n">
        <v>1.29767859322144</v>
      </c>
      <c r="Z210" s="24" t="n">
        <v>0.346742466115898</v>
      </c>
      <c r="AA210" s="25" t="n">
        <v>526.101808707204</v>
      </c>
      <c r="AB210" s="25" t="n">
        <v>94.1655129923692</v>
      </c>
      <c r="AC210" s="26" t="n">
        <v>0.0486801935635287</v>
      </c>
      <c r="AD210" s="24" t="n">
        <v>1.19566367626172</v>
      </c>
      <c r="AE210" s="24" t="n">
        <v>0.387136567979452</v>
      </c>
      <c r="AF210" s="24" t="n">
        <v>0.695601403508772</v>
      </c>
      <c r="AG210" s="25" t="n">
        <v>528</v>
      </c>
      <c r="AH210" s="26" t="n">
        <v>0.0188</v>
      </c>
      <c r="AI210" s="24" t="n">
        <v>1.33495368268777</v>
      </c>
    </row>
    <row r="211" customFormat="false" ht="14.25" hidden="false" customHeight="false" outlineLevel="0" collapsed="false">
      <c r="A211" s="0" t="s">
        <v>67</v>
      </c>
      <c r="B211" s="1" t="n">
        <v>20</v>
      </c>
      <c r="C211" s="1" t="n">
        <v>2</v>
      </c>
      <c r="D211" s="2" t="n">
        <v>44</v>
      </c>
      <c r="E211" s="4" t="n">
        <v>3.42</v>
      </c>
      <c r="F211" s="1" t="n">
        <v>25</v>
      </c>
      <c r="G211" s="1" t="n">
        <v>35</v>
      </c>
      <c r="H211" s="3" t="n">
        <v>82.8238244445564</v>
      </c>
      <c r="I211" s="1" t="n">
        <v>235</v>
      </c>
      <c r="J211" s="32" t="n">
        <v>200</v>
      </c>
      <c r="K211" s="25" t="n">
        <v>125</v>
      </c>
      <c r="L211" s="32" t="n">
        <v>122.5</v>
      </c>
      <c r="M211" s="4" t="n">
        <v>0.17</v>
      </c>
      <c r="N211" s="24" t="n">
        <v>0.135881990075412</v>
      </c>
      <c r="O211" s="25" t="n">
        <v>270.870133310726</v>
      </c>
      <c r="P211" s="25" t="n">
        <v>65.3475740094375</v>
      </c>
      <c r="Q211" s="26" t="n">
        <v>0.0825359157184491</v>
      </c>
      <c r="R211" s="24" t="n">
        <v>0.799305823973012</v>
      </c>
      <c r="S211" s="4" t="n">
        <v>0.151281203007386</v>
      </c>
      <c r="T211" s="25" t="n">
        <v>270.870133310726</v>
      </c>
      <c r="U211" s="25" t="n">
        <v>124</v>
      </c>
      <c r="V211" s="26" t="n">
        <v>0.0341768707482993</v>
      </c>
      <c r="W211" s="24" t="n">
        <f aca="false">(I211-H211)/(J211-H211)</f>
        <v>1.29869553118705</v>
      </c>
      <c r="X211" s="24" t="n">
        <f aca="false">0.5*(1+(I211-K211-L211)/(I211-K211))</f>
        <v>0.443181818181818</v>
      </c>
      <c r="Y211" s="24" t="n">
        <v>0.889889429455213</v>
      </c>
      <c r="Z211" s="24" t="n">
        <v>0.146171730108329</v>
      </c>
      <c r="AA211" s="25" t="n">
        <v>270.870133310726</v>
      </c>
      <c r="AB211" s="25" t="n">
        <v>65.3475740094375</v>
      </c>
      <c r="AC211" s="26" t="n">
        <v>0.0825359157184491</v>
      </c>
      <c r="AD211" s="24" t="n">
        <v>0.859833706519585</v>
      </c>
      <c r="AE211" s="24" t="n">
        <v>0.205195232552164</v>
      </c>
      <c r="AF211" s="24" t="n">
        <v>0.252527711331119</v>
      </c>
      <c r="AG211" s="25" t="n">
        <v>284.546476775834</v>
      </c>
      <c r="AH211" s="26" t="n">
        <v>0.0253</v>
      </c>
      <c r="AI211" s="24" t="n">
        <v>1.20703077971861</v>
      </c>
    </row>
    <row r="212" customFormat="false" ht="14.25" hidden="false" customHeight="false" outlineLevel="0" collapsed="false">
      <c r="B212" s="1" t="n">
        <v>20</v>
      </c>
      <c r="C212" s="1" t="n">
        <v>2</v>
      </c>
      <c r="D212" s="2" t="n">
        <v>44</v>
      </c>
      <c r="E212" s="4" t="n">
        <v>3.42</v>
      </c>
      <c r="F212" s="1" t="n">
        <v>25</v>
      </c>
      <c r="G212" s="1" t="n">
        <v>35</v>
      </c>
      <c r="H212" s="3" t="n">
        <v>82.8238244445564</v>
      </c>
      <c r="I212" s="1" t="n">
        <v>235</v>
      </c>
      <c r="J212" s="32" t="n">
        <v>200</v>
      </c>
      <c r="K212" s="25" t="n">
        <v>125</v>
      </c>
      <c r="L212" s="32" t="n">
        <v>122.5</v>
      </c>
      <c r="M212" s="4" t="n">
        <v>0.19</v>
      </c>
      <c r="N212" s="24" t="n">
        <v>0.15768903676555</v>
      </c>
      <c r="O212" s="25" t="n">
        <v>308.048386902394</v>
      </c>
      <c r="P212" s="25" t="n">
        <v>65.3475740094375</v>
      </c>
      <c r="Q212" s="26" t="n">
        <v>0.0825359157184491</v>
      </c>
      <c r="R212" s="24" t="n">
        <v>0.829942298766051</v>
      </c>
      <c r="S212" s="4" t="n">
        <v>0.179906448678004</v>
      </c>
      <c r="T212" s="25" t="n">
        <v>308.048386902394</v>
      </c>
      <c r="U212" s="25" t="n">
        <v>124</v>
      </c>
      <c r="V212" s="26" t="n">
        <v>0.0341768707482993</v>
      </c>
      <c r="W212" s="24" t="n">
        <f aca="false">(I212-H212)/(J212-H212)</f>
        <v>1.29869553118705</v>
      </c>
      <c r="X212" s="24" t="n">
        <f aca="false">0.5*(1+(I212-K212-L212)/(I212-K212))</f>
        <v>0.443181818181818</v>
      </c>
      <c r="Y212" s="24" t="n">
        <v>0.946876045673703</v>
      </c>
      <c r="Z212" s="24" t="n">
        <v>0.169630127659627</v>
      </c>
      <c r="AA212" s="25" t="n">
        <v>308.048386902394</v>
      </c>
      <c r="AB212" s="25" t="n">
        <v>65.3475740094375</v>
      </c>
      <c r="AC212" s="26" t="n">
        <v>0.0825359157184491</v>
      </c>
      <c r="AD212" s="24" t="n">
        <v>0.892790145576986</v>
      </c>
      <c r="AE212" s="24" t="n">
        <v>0.233359284078932</v>
      </c>
      <c r="AF212" s="24" t="n">
        <v>0.326606390202954</v>
      </c>
      <c r="AG212" s="25" t="n">
        <v>323.601875548987</v>
      </c>
      <c r="AH212" s="26" t="n">
        <v>0.0253</v>
      </c>
      <c r="AI212" s="24" t="n">
        <v>1.22820675831017</v>
      </c>
    </row>
    <row r="213" customFormat="false" ht="14.25" hidden="false" customHeight="false" outlineLevel="0" collapsed="false">
      <c r="B213" s="1" t="n">
        <v>20</v>
      </c>
      <c r="C213" s="1" t="n">
        <v>2</v>
      </c>
      <c r="D213" s="2" t="n">
        <v>44</v>
      </c>
      <c r="E213" s="4" t="n">
        <v>3.42</v>
      </c>
      <c r="F213" s="1" t="n">
        <v>25</v>
      </c>
      <c r="G213" s="1" t="n">
        <v>35</v>
      </c>
      <c r="H213" s="3" t="n">
        <v>82.8238244445564</v>
      </c>
      <c r="I213" s="1" t="n">
        <v>235</v>
      </c>
      <c r="J213" s="32" t="n">
        <v>200</v>
      </c>
      <c r="K213" s="25" t="n">
        <v>125</v>
      </c>
      <c r="L213" s="32" t="n">
        <v>122.5</v>
      </c>
      <c r="M213" s="4" t="n">
        <v>0.21</v>
      </c>
      <c r="N213" s="24" t="n">
        <v>0.185726668224298</v>
      </c>
      <c r="O213" s="25" t="n">
        <v>355.848998663111</v>
      </c>
      <c r="P213" s="25" t="n">
        <v>65.3475740094375</v>
      </c>
      <c r="Q213" s="26" t="n">
        <v>0.0825359157184491</v>
      </c>
      <c r="R213" s="24" t="n">
        <v>0.884412705829992</v>
      </c>
      <c r="S213" s="4" t="n">
        <v>0.216710335968798</v>
      </c>
      <c r="T213" s="25" t="n">
        <v>355.848998663111</v>
      </c>
      <c r="U213" s="25" t="n">
        <v>124</v>
      </c>
      <c r="V213" s="26" t="n">
        <v>0.0341768707482993</v>
      </c>
      <c r="W213" s="24" t="n">
        <f aca="false">(I213-H213)/(J213-H213)</f>
        <v>1.29869553118705</v>
      </c>
      <c r="X213" s="24" t="n">
        <f aca="false">0.5*(1+(I213-K213-L213)/(I213-K213))</f>
        <v>0.443181818181818</v>
      </c>
      <c r="Y213" s="24" t="n">
        <v>1.0319539808038</v>
      </c>
      <c r="Z213" s="24" t="n">
        <v>0.199790924511296</v>
      </c>
      <c r="AA213" s="25" t="n">
        <v>355.848998663111</v>
      </c>
      <c r="AB213" s="25" t="n">
        <v>65.3475740094375</v>
      </c>
      <c r="AC213" s="26" t="n">
        <v>0.0825359157184491</v>
      </c>
      <c r="AD213" s="24" t="n">
        <v>0.951385354815697</v>
      </c>
      <c r="AE213" s="24" t="n">
        <v>0.269570207470491</v>
      </c>
      <c r="AF213" s="24" t="n">
        <v>0.435831178840981</v>
      </c>
      <c r="AG213" s="25" t="n">
        <v>373.815959685899</v>
      </c>
      <c r="AH213" s="26" t="n">
        <v>0.0253</v>
      </c>
      <c r="AI213" s="24" t="n">
        <v>1.28366765462138</v>
      </c>
    </row>
    <row r="214" customFormat="false" ht="14.25" hidden="false" customHeight="false" outlineLevel="0" collapsed="false">
      <c r="B214" s="1" t="n">
        <v>20</v>
      </c>
      <c r="C214" s="1" t="n">
        <v>2</v>
      </c>
      <c r="D214" s="2" t="n">
        <v>44</v>
      </c>
      <c r="E214" s="4" t="n">
        <v>3.42</v>
      </c>
      <c r="F214" s="1" t="n">
        <v>25</v>
      </c>
      <c r="G214" s="1" t="n">
        <v>35</v>
      </c>
      <c r="H214" s="3" t="n">
        <v>82.8238244445564</v>
      </c>
      <c r="I214" s="1" t="n">
        <v>235</v>
      </c>
      <c r="J214" s="32" t="n">
        <v>200</v>
      </c>
      <c r="K214" s="25" t="n">
        <v>125</v>
      </c>
      <c r="L214" s="32" t="n">
        <v>122.5</v>
      </c>
      <c r="M214" s="4" t="n">
        <v>0.23</v>
      </c>
      <c r="N214" s="24" t="n">
        <v>0.19818783776152</v>
      </c>
      <c r="O214" s="25" t="n">
        <v>377.093715001207</v>
      </c>
      <c r="P214" s="25" t="n">
        <v>65.3475740094375</v>
      </c>
      <c r="Q214" s="26" t="n">
        <v>0.0825359157184491</v>
      </c>
      <c r="R214" s="24" t="n">
        <v>0.861686251137043</v>
      </c>
      <c r="S214" s="4" t="n">
        <v>0.23306761920915</v>
      </c>
      <c r="T214" s="25" t="n">
        <v>377.093715001207</v>
      </c>
      <c r="U214" s="25" t="n">
        <v>124</v>
      </c>
      <c r="V214" s="26" t="n">
        <v>0.0341768707482993</v>
      </c>
      <c r="W214" s="24" t="n">
        <f aca="false">(I214-H214)/(J214-H214)</f>
        <v>1.29869553118705</v>
      </c>
      <c r="X214" s="24" t="n">
        <f aca="false">0.5*(1+(I214-K214-L214)/(I214-K214))</f>
        <v>0.443181818181818</v>
      </c>
      <c r="Y214" s="24" t="n">
        <v>1.01333747482239</v>
      </c>
      <c r="Z214" s="24" t="n">
        <v>0.213195723112038</v>
      </c>
      <c r="AA214" s="25" t="n">
        <v>377.093715001207</v>
      </c>
      <c r="AB214" s="25" t="n">
        <v>65.3475740094375</v>
      </c>
      <c r="AC214" s="26" t="n">
        <v>0.0825359157184491</v>
      </c>
      <c r="AD214" s="24" t="n">
        <v>0.926937926574079</v>
      </c>
      <c r="AE214" s="24" t="n">
        <v>0.285663951200072</v>
      </c>
      <c r="AF214" s="24" t="n">
        <v>0.489424141799373</v>
      </c>
      <c r="AG214" s="25" t="n">
        <v>396.133330413415</v>
      </c>
      <c r="AH214" s="26" t="n">
        <v>0.0253</v>
      </c>
      <c r="AI214" s="24" t="n">
        <v>1.24201717913075</v>
      </c>
    </row>
    <row r="215" customFormat="false" ht="14.25" hidden="false" customHeight="false" outlineLevel="0" collapsed="false">
      <c r="B215" s="1" t="n">
        <v>20</v>
      </c>
      <c r="C215" s="1" t="n">
        <v>2</v>
      </c>
      <c r="D215" s="2" t="n">
        <v>44</v>
      </c>
      <c r="E215" s="4" t="n">
        <v>3.42</v>
      </c>
      <c r="F215" s="1" t="n">
        <v>25</v>
      </c>
      <c r="G215" s="1" t="n">
        <v>35</v>
      </c>
      <c r="H215" s="3" t="n">
        <v>82.8238244445564</v>
      </c>
      <c r="I215" s="1" t="n">
        <v>235</v>
      </c>
      <c r="J215" s="32" t="n">
        <v>200</v>
      </c>
      <c r="K215" s="25" t="n">
        <v>125</v>
      </c>
      <c r="L215" s="32" t="n">
        <v>122.5</v>
      </c>
      <c r="M215" s="4" t="n">
        <v>0.25</v>
      </c>
      <c r="N215" s="24" t="n">
        <v>0.226225469220269</v>
      </c>
      <c r="O215" s="25" t="n">
        <v>424.894326761923</v>
      </c>
      <c r="P215" s="25" t="n">
        <v>65.3475740094375</v>
      </c>
      <c r="Q215" s="26" t="n">
        <v>0.0825359157184491</v>
      </c>
      <c r="R215" s="24" t="n">
        <v>0.904901876881074</v>
      </c>
      <c r="S215" s="4" t="n">
        <v>0.269871506499944</v>
      </c>
      <c r="T215" s="25" t="n">
        <v>424.894326761923</v>
      </c>
      <c r="U215" s="25" t="n">
        <v>124</v>
      </c>
      <c r="V215" s="26" t="n">
        <v>0.0341768707482993</v>
      </c>
      <c r="W215" s="24" t="n">
        <f aca="false">(I215-H215)/(J215-H215)</f>
        <v>1.29869553118705</v>
      </c>
      <c r="X215" s="24" t="n">
        <f aca="false">0.5*(1+(I215-K215-L215)/(I215-K215))</f>
        <v>0.443181818181818</v>
      </c>
      <c r="Y215" s="24" t="n">
        <v>1.07948602599978</v>
      </c>
      <c r="Z215" s="24" t="n">
        <v>0.243356519963707</v>
      </c>
      <c r="AA215" s="25" t="n">
        <v>424.894326761923</v>
      </c>
      <c r="AB215" s="25" t="n">
        <v>65.3475740094375</v>
      </c>
      <c r="AC215" s="26" t="n">
        <v>0.0825359157184491</v>
      </c>
      <c r="AD215" s="24" t="n">
        <v>0.973426079854829</v>
      </c>
      <c r="AE215" s="24" t="n">
        <v>0.32187487459163</v>
      </c>
      <c r="AF215" s="24" t="n">
        <v>0.62136768647411</v>
      </c>
      <c r="AG215" s="25" t="n">
        <v>446.347414550327</v>
      </c>
      <c r="AH215" s="26" t="n">
        <v>0.0253</v>
      </c>
      <c r="AI215" s="24" t="n">
        <v>1.28749949836652</v>
      </c>
    </row>
    <row r="216" customFormat="false" ht="14.25" hidden="false" customHeight="false" outlineLevel="0" collapsed="false">
      <c r="B216" s="1" t="n">
        <v>20</v>
      </c>
      <c r="C216" s="1" t="n">
        <v>2</v>
      </c>
      <c r="D216" s="2" t="n">
        <v>44</v>
      </c>
      <c r="E216" s="4" t="n">
        <v>3.42</v>
      </c>
      <c r="F216" s="1" t="n">
        <v>25</v>
      </c>
      <c r="G216" s="1" t="n">
        <v>35</v>
      </c>
      <c r="H216" s="3" t="n">
        <v>82.8238244445564</v>
      </c>
      <c r="I216" s="1" t="n">
        <v>235</v>
      </c>
      <c r="J216" s="32" t="n">
        <v>200</v>
      </c>
      <c r="K216" s="25" t="n">
        <v>125</v>
      </c>
      <c r="L216" s="32" t="n">
        <v>122.5</v>
      </c>
      <c r="M216" s="4" t="n">
        <v>0.25</v>
      </c>
      <c r="N216" s="24" t="n">
        <v>0.285416024522071</v>
      </c>
      <c r="O216" s="25" t="n">
        <v>525.80672936788</v>
      </c>
      <c r="P216" s="25" t="n">
        <v>65.3475740094375</v>
      </c>
      <c r="Q216" s="26" t="n">
        <v>0.0825359157184491</v>
      </c>
      <c r="R216" s="24" t="n">
        <v>1.14166409808828</v>
      </c>
      <c r="S216" s="4" t="n">
        <v>0.34756860189162</v>
      </c>
      <c r="T216" s="25" t="n">
        <v>525.80672936788</v>
      </c>
      <c r="U216" s="25" t="n">
        <v>124</v>
      </c>
      <c r="V216" s="26" t="n">
        <v>0.0341768707482993</v>
      </c>
      <c r="W216" s="24" t="n">
        <f aca="false">(I216-H216)/(J216-H216)</f>
        <v>1.29869553118705</v>
      </c>
      <c r="X216" s="24" t="n">
        <f aca="false">0.5*(1+(I216-K216-L216)/(I216-K216))</f>
        <v>0.443181818181818</v>
      </c>
      <c r="Y216" s="24" t="n">
        <v>1.39027440756648</v>
      </c>
      <c r="Z216" s="24" t="n">
        <v>0.307029313317231</v>
      </c>
      <c r="AA216" s="25" t="n">
        <v>525.80672936788</v>
      </c>
      <c r="AB216" s="25" t="n">
        <v>65.3475740094375</v>
      </c>
      <c r="AC216" s="26" t="n">
        <v>0.0825359157184491</v>
      </c>
      <c r="AD216" s="24" t="n">
        <v>1.22811725326892</v>
      </c>
      <c r="AE216" s="24" t="n">
        <v>0.380757070040603</v>
      </c>
      <c r="AF216" s="24" t="n">
        <v>0.869501754385965</v>
      </c>
      <c r="AG216" s="25" t="n">
        <v>528</v>
      </c>
      <c r="AH216" s="26" t="n">
        <v>0.0253</v>
      </c>
      <c r="AI216" s="24" t="n">
        <v>1.52302828016241</v>
      </c>
    </row>
    <row r="217" customFormat="false" ht="14.25" hidden="false" customHeight="false" outlineLevel="0" collapsed="false">
      <c r="A217" s="0" t="s">
        <v>68</v>
      </c>
      <c r="B217" s="1" t="n">
        <v>20</v>
      </c>
      <c r="C217" s="1" t="n">
        <v>3</v>
      </c>
      <c r="D217" s="2" t="n">
        <v>12</v>
      </c>
      <c r="E217" s="4" t="n">
        <v>3.42</v>
      </c>
      <c r="F217" s="1" t="n">
        <v>25</v>
      </c>
      <c r="G217" s="1" t="n">
        <v>35</v>
      </c>
      <c r="H217" s="3" t="n">
        <v>95.7017321457163</v>
      </c>
      <c r="I217" s="1" t="n">
        <v>235</v>
      </c>
      <c r="J217" s="32" t="n">
        <v>200</v>
      </c>
      <c r="K217" s="25" t="n">
        <v>129</v>
      </c>
      <c r="L217" s="32" t="n">
        <v>122.5</v>
      </c>
      <c r="M217" s="4" t="n">
        <v>0.18</v>
      </c>
      <c r="N217" s="24" t="n">
        <v>0.0990015411272229</v>
      </c>
      <c r="O217" s="25" t="n">
        <v>246.921912945398</v>
      </c>
      <c r="P217" s="25" t="n">
        <v>49.1976958492583</v>
      </c>
      <c r="Q217" s="26" t="n">
        <v>0.135249348683273</v>
      </c>
      <c r="R217" s="24" t="n">
        <v>0.550008561817905</v>
      </c>
      <c r="S217" s="4" t="n">
        <v>0.127038496444004</v>
      </c>
      <c r="T217" s="25" t="n">
        <v>246.921912945398</v>
      </c>
      <c r="U217" s="25" t="n">
        <v>91</v>
      </c>
      <c r="V217" s="26" t="n">
        <v>0.051265306122449</v>
      </c>
      <c r="W217" s="24" t="n">
        <f aca="false">(I217-H217)/(J217-H217)</f>
        <v>1.33557604282459</v>
      </c>
      <c r="X217" s="24" t="n">
        <f aca="false">0.5*(1+(I217-K217-L217)/(I217-K217))</f>
        <v>0.422169811320755</v>
      </c>
      <c r="Y217" s="24" t="n">
        <v>0.705769424688912</v>
      </c>
      <c r="Z217" s="24" t="n">
        <v>0.11972263952841</v>
      </c>
      <c r="AA217" s="25" t="n">
        <v>246.921912945398</v>
      </c>
      <c r="AB217" s="25" t="n">
        <v>49.1976958492583</v>
      </c>
      <c r="AC217" s="26" t="n">
        <v>0.135249348683273</v>
      </c>
      <c r="AD217" s="24" t="n">
        <v>0.665125775157832</v>
      </c>
      <c r="AE217" s="24" t="n">
        <v>0.152811532156772</v>
      </c>
      <c r="AF217" s="24" t="n">
        <v>0.211274549254942</v>
      </c>
      <c r="AG217" s="25" t="n">
        <v>260.268903933731</v>
      </c>
      <c r="AH217" s="26" t="n">
        <v>0.0333</v>
      </c>
      <c r="AI217" s="24" t="n">
        <v>0.84895295642651</v>
      </c>
    </row>
    <row r="218" customFormat="false" ht="14.25" hidden="false" customHeight="false" outlineLevel="0" collapsed="false">
      <c r="B218" s="1" t="n">
        <v>20</v>
      </c>
      <c r="C218" s="1" t="n">
        <v>3</v>
      </c>
      <c r="D218" s="2" t="n">
        <v>12</v>
      </c>
      <c r="E218" s="4" t="n">
        <v>3.42</v>
      </c>
      <c r="F218" s="1" t="n">
        <v>25</v>
      </c>
      <c r="G218" s="1" t="n">
        <v>35</v>
      </c>
      <c r="H218" s="3" t="n">
        <v>95.7017321457163</v>
      </c>
      <c r="I218" s="1" t="n">
        <v>235</v>
      </c>
      <c r="J218" s="32" t="n">
        <v>200</v>
      </c>
      <c r="K218" s="25" t="n">
        <v>129</v>
      </c>
      <c r="L218" s="32" t="n">
        <v>122.5</v>
      </c>
      <c r="M218" s="4" t="n">
        <v>0.19</v>
      </c>
      <c r="N218" s="24" t="n">
        <v>0.11553739220709</v>
      </c>
      <c r="O218" s="25" t="n">
        <v>283.23395896678</v>
      </c>
      <c r="P218" s="25" t="n">
        <v>49.1976958492583</v>
      </c>
      <c r="Q218" s="26" t="n">
        <v>0.135249348683273</v>
      </c>
      <c r="R218" s="24" t="n">
        <v>0.608091537932053</v>
      </c>
      <c r="S218" s="4" t="n">
        <v>0.150996277788399</v>
      </c>
      <c r="T218" s="25" t="n">
        <v>283.23395896678</v>
      </c>
      <c r="U218" s="25" t="n">
        <v>91</v>
      </c>
      <c r="V218" s="26" t="n">
        <v>0.051265306122449</v>
      </c>
      <c r="W218" s="24" t="n">
        <f aca="false">(I218-H218)/(J218-H218)</f>
        <v>1.33557604282459</v>
      </c>
      <c r="X218" s="24" t="n">
        <f aca="false">0.5*(1+(I218-K218-L218)/(I218-K218))</f>
        <v>0.422169811320755</v>
      </c>
      <c r="Y218" s="24" t="n">
        <v>0.794717251517889</v>
      </c>
      <c r="Z218" s="24" t="n">
        <v>0.139719456907104</v>
      </c>
      <c r="AA218" s="25" t="n">
        <v>283.23395896678</v>
      </c>
      <c r="AB218" s="25" t="n">
        <v>49.1976958492583</v>
      </c>
      <c r="AC218" s="26" t="n">
        <v>0.135249348683273</v>
      </c>
      <c r="AD218" s="24" t="n">
        <v>0.735365562668971</v>
      </c>
      <c r="AE218" s="24" t="n">
        <v>0.175283816297473</v>
      </c>
      <c r="AF218" s="24" t="n">
        <v>0.277983208838033</v>
      </c>
      <c r="AG218" s="25" t="n">
        <v>298.543742747515</v>
      </c>
      <c r="AH218" s="26" t="n">
        <v>0.0333</v>
      </c>
      <c r="AI218" s="24" t="n">
        <v>0.92254640156565</v>
      </c>
    </row>
    <row r="219" customFormat="false" ht="14.25" hidden="false" customHeight="false" outlineLevel="0" collapsed="false">
      <c r="B219" s="1" t="n">
        <v>20</v>
      </c>
      <c r="C219" s="1" t="n">
        <v>3</v>
      </c>
      <c r="D219" s="2" t="n">
        <v>12</v>
      </c>
      <c r="E219" s="4" t="n">
        <v>3.42</v>
      </c>
      <c r="F219" s="1" t="n">
        <v>25</v>
      </c>
      <c r="G219" s="1" t="n">
        <v>35</v>
      </c>
      <c r="H219" s="3" t="n">
        <v>95.7017321457163</v>
      </c>
      <c r="I219" s="1" t="n">
        <v>235</v>
      </c>
      <c r="J219" s="32" t="n">
        <v>200</v>
      </c>
      <c r="K219" s="25" t="n">
        <v>129</v>
      </c>
      <c r="L219" s="32" t="n">
        <v>122.5</v>
      </c>
      <c r="M219" s="4" t="n">
        <v>0.21</v>
      </c>
      <c r="N219" s="24" t="n">
        <v>0.130419658178971</v>
      </c>
      <c r="O219" s="25" t="n">
        <v>315.914800386024</v>
      </c>
      <c r="P219" s="25" t="n">
        <v>49.1976958492583</v>
      </c>
      <c r="Q219" s="26" t="n">
        <v>0.135249348683273</v>
      </c>
      <c r="R219" s="24" t="n">
        <v>0.621045991328431</v>
      </c>
      <c r="S219" s="4" t="n">
        <v>0.172558280998354</v>
      </c>
      <c r="T219" s="25" t="n">
        <v>315.914800386024</v>
      </c>
      <c r="U219" s="25" t="n">
        <v>91</v>
      </c>
      <c r="V219" s="26" t="n">
        <v>0.051265306122449</v>
      </c>
      <c r="W219" s="24" t="n">
        <f aca="false">(I219-H219)/(J219-H219)</f>
        <v>1.33557604282459</v>
      </c>
      <c r="X219" s="24" t="n">
        <f aca="false">0.5*(1+(I219-K219-L219)/(I219-K219))</f>
        <v>0.422169811320755</v>
      </c>
      <c r="Y219" s="24" t="n">
        <v>0.821706099992163</v>
      </c>
      <c r="Z219" s="24" t="n">
        <v>0.15771659254793</v>
      </c>
      <c r="AA219" s="25" t="n">
        <v>315.914800386024</v>
      </c>
      <c r="AB219" s="25" t="n">
        <v>49.1976958492583</v>
      </c>
      <c r="AC219" s="26" t="n">
        <v>0.135249348683273</v>
      </c>
      <c r="AD219" s="24" t="n">
        <v>0.751031393085379</v>
      </c>
      <c r="AE219" s="24" t="n">
        <v>0.195508872024105</v>
      </c>
      <c r="AF219" s="24" t="n">
        <v>0.345834139989328</v>
      </c>
      <c r="AG219" s="25" t="n">
        <v>332.99109767992</v>
      </c>
      <c r="AH219" s="26" t="n">
        <v>0.0333</v>
      </c>
      <c r="AI219" s="24" t="n">
        <v>0.930994628686214</v>
      </c>
    </row>
    <row r="220" customFormat="false" ht="14.25" hidden="false" customHeight="false" outlineLevel="0" collapsed="false">
      <c r="B220" s="1" t="n">
        <v>20</v>
      </c>
      <c r="C220" s="1" t="n">
        <v>3</v>
      </c>
      <c r="D220" s="2" t="n">
        <v>12</v>
      </c>
      <c r="E220" s="4" t="n">
        <v>3.42</v>
      </c>
      <c r="F220" s="1" t="n">
        <v>25</v>
      </c>
      <c r="G220" s="1" t="n">
        <v>35</v>
      </c>
      <c r="H220" s="3" t="n">
        <v>95.7017321457163</v>
      </c>
      <c r="I220" s="1" t="n">
        <v>235</v>
      </c>
      <c r="J220" s="32" t="n">
        <v>200</v>
      </c>
      <c r="K220" s="25" t="n">
        <v>129</v>
      </c>
      <c r="L220" s="32" t="n">
        <v>122.5</v>
      </c>
      <c r="M220" s="4" t="n">
        <v>0.23</v>
      </c>
      <c r="N220" s="24" t="n">
        <v>0.148609094366824</v>
      </c>
      <c r="O220" s="25" t="n">
        <v>355.858051009545</v>
      </c>
      <c r="P220" s="25" t="n">
        <v>49.1976958492583</v>
      </c>
      <c r="Q220" s="26" t="n">
        <v>0.135249348683273</v>
      </c>
      <c r="R220" s="24" t="n">
        <v>0.646126497247063</v>
      </c>
      <c r="S220" s="4" t="n">
        <v>0.198911840477188</v>
      </c>
      <c r="T220" s="25" t="n">
        <v>355.858051009545</v>
      </c>
      <c r="U220" s="25" t="n">
        <v>91</v>
      </c>
      <c r="V220" s="26" t="n">
        <v>0.051265306122449</v>
      </c>
      <c r="W220" s="24" t="n">
        <f aca="false">(I220-H220)/(J220-H220)</f>
        <v>1.33557604282459</v>
      </c>
      <c r="X220" s="24" t="n">
        <f aca="false">0.5*(1+(I220-K220-L220)/(I220-K220))</f>
        <v>0.422169811320755</v>
      </c>
      <c r="Y220" s="24" t="n">
        <v>0.864834089031253</v>
      </c>
      <c r="Z220" s="24" t="n">
        <v>0.179713091664494</v>
      </c>
      <c r="AA220" s="25" t="n">
        <v>355.858051009545</v>
      </c>
      <c r="AB220" s="25" t="n">
        <v>49.1976958492583</v>
      </c>
      <c r="AC220" s="26" t="n">
        <v>0.135249348683273</v>
      </c>
      <c r="AD220" s="24" t="n">
        <v>0.781361268106494</v>
      </c>
      <c r="AE220" s="24" t="n">
        <v>0.220228384578877</v>
      </c>
      <c r="AF220" s="24" t="n">
        <v>0.438815045641103</v>
      </c>
      <c r="AG220" s="25" t="n">
        <v>375.093420375083</v>
      </c>
      <c r="AH220" s="26" t="n">
        <v>0.0333</v>
      </c>
      <c r="AI220" s="24" t="n">
        <v>0.957514715560334</v>
      </c>
    </row>
    <row r="221" customFormat="false" ht="14.25" hidden="false" customHeight="false" outlineLevel="0" collapsed="false">
      <c r="B221" s="1" t="n">
        <v>20</v>
      </c>
      <c r="C221" s="1" t="n">
        <v>3</v>
      </c>
      <c r="D221" s="2" t="n">
        <v>12</v>
      </c>
      <c r="E221" s="4" t="n">
        <v>3.42</v>
      </c>
      <c r="F221" s="1" t="n">
        <v>25</v>
      </c>
      <c r="G221" s="1" t="n">
        <v>35</v>
      </c>
      <c r="H221" s="3" t="n">
        <v>95.7017321457163</v>
      </c>
      <c r="I221" s="1" t="n">
        <v>235</v>
      </c>
      <c r="J221" s="32" t="n">
        <v>200</v>
      </c>
      <c r="K221" s="25" t="n">
        <v>129</v>
      </c>
      <c r="L221" s="32" t="n">
        <v>122.5</v>
      </c>
      <c r="M221" s="4" t="n">
        <v>0.25</v>
      </c>
      <c r="N221" s="24" t="n">
        <v>0.166798530554678</v>
      </c>
      <c r="O221" s="25" t="n">
        <v>395.801301633065</v>
      </c>
      <c r="P221" s="25" t="n">
        <v>49.1976958492583</v>
      </c>
      <c r="Q221" s="26" t="n">
        <v>0.135249348683273</v>
      </c>
      <c r="R221" s="24" t="n">
        <v>0.667194122218713</v>
      </c>
      <c r="S221" s="4" t="n">
        <v>0.225265399956023</v>
      </c>
      <c r="T221" s="25" t="n">
        <v>395.801301633065</v>
      </c>
      <c r="U221" s="25" t="n">
        <v>91</v>
      </c>
      <c r="V221" s="26" t="n">
        <v>0.051265306122449</v>
      </c>
      <c r="W221" s="24" t="n">
        <f aca="false">(I221-H221)/(J221-H221)</f>
        <v>1.33557604282459</v>
      </c>
      <c r="X221" s="24" t="n">
        <f aca="false">0.5*(1+(I221-K221-L221)/(I221-K221))</f>
        <v>0.422169811320755</v>
      </c>
      <c r="Y221" s="24" t="n">
        <v>0.90106159982409</v>
      </c>
      <c r="Z221" s="24" t="n">
        <v>0.201709590781058</v>
      </c>
      <c r="AA221" s="25" t="n">
        <v>395.801301633065</v>
      </c>
      <c r="AB221" s="25" t="n">
        <v>49.1976958492583</v>
      </c>
      <c r="AC221" s="26" t="n">
        <v>0.135249348683273</v>
      </c>
      <c r="AD221" s="24" t="n">
        <v>0.806838363124231</v>
      </c>
      <c r="AE221" s="24" t="n">
        <v>0.244947897133649</v>
      </c>
      <c r="AF221" s="24" t="n">
        <v>0.542853140073089</v>
      </c>
      <c r="AG221" s="25" t="n">
        <v>417.195743070245</v>
      </c>
      <c r="AH221" s="26" t="n">
        <v>0.0333</v>
      </c>
      <c r="AI221" s="24" t="n">
        <v>0.979791588534596</v>
      </c>
    </row>
    <row r="222" customFormat="false" ht="14.25" hidden="false" customHeight="false" outlineLevel="0" collapsed="false">
      <c r="B222" s="1" t="n">
        <v>20</v>
      </c>
      <c r="C222" s="1" t="n">
        <v>3</v>
      </c>
      <c r="D222" s="2" t="n">
        <v>12</v>
      </c>
      <c r="E222" s="4" t="n">
        <v>3.42</v>
      </c>
      <c r="F222" s="1" t="n">
        <v>25</v>
      </c>
      <c r="G222" s="1" t="n">
        <v>35</v>
      </c>
      <c r="H222" s="3" t="n">
        <v>95.7017321457163</v>
      </c>
      <c r="I222" s="1" t="n">
        <v>235</v>
      </c>
      <c r="J222" s="32" t="n">
        <v>200</v>
      </c>
      <c r="K222" s="25" t="n">
        <v>129</v>
      </c>
      <c r="L222" s="32" t="n">
        <v>122.5</v>
      </c>
      <c r="M222" s="4" t="n">
        <v>0.29</v>
      </c>
      <c r="N222" s="24" t="n">
        <v>0.183334381634546</v>
      </c>
      <c r="O222" s="25" t="n">
        <v>432.113347654447</v>
      </c>
      <c r="P222" s="25" t="n">
        <v>49.1976958492583</v>
      </c>
      <c r="Q222" s="26" t="n">
        <v>0.135249348683273</v>
      </c>
      <c r="R222" s="24" t="n">
        <v>0.632187522877743</v>
      </c>
      <c r="S222" s="4" t="n">
        <v>0.249223181300417</v>
      </c>
      <c r="T222" s="25" t="n">
        <v>432.113347654447</v>
      </c>
      <c r="U222" s="25" t="n">
        <v>91</v>
      </c>
      <c r="V222" s="26" t="n">
        <v>0.051265306122449</v>
      </c>
      <c r="W222" s="24" t="n">
        <f aca="false">(I222-H222)/(J222-H222)</f>
        <v>1.33557604282459</v>
      </c>
      <c r="X222" s="24" t="n">
        <f aca="false">0.5*(1+(I222-K222-L222)/(I222-K222))</f>
        <v>0.422169811320755</v>
      </c>
      <c r="Y222" s="24" t="n">
        <v>0.859390280346266</v>
      </c>
      <c r="Z222" s="24" t="n">
        <v>0.221706408159752</v>
      </c>
      <c r="AA222" s="25" t="n">
        <v>432.113347654447</v>
      </c>
      <c r="AB222" s="25" t="n">
        <v>49.1976958492583</v>
      </c>
      <c r="AC222" s="26" t="n">
        <v>0.135249348683273</v>
      </c>
      <c r="AD222" s="24" t="n">
        <v>0.764504855723284</v>
      </c>
      <c r="AE222" s="24" t="n">
        <v>0.267420181274351</v>
      </c>
      <c r="AF222" s="24" t="n">
        <v>0.647028307093258</v>
      </c>
      <c r="AG222" s="25" t="n">
        <v>455.470581884029</v>
      </c>
      <c r="AH222" s="26" t="n">
        <v>0.0333</v>
      </c>
      <c r="AI222" s="24" t="n">
        <v>0.92213855611845</v>
      </c>
    </row>
    <row r="223" customFormat="false" ht="14.25" hidden="false" customHeight="false" outlineLevel="0" collapsed="false">
      <c r="B223" s="1" t="n">
        <v>20</v>
      </c>
      <c r="C223" s="1" t="n">
        <v>3</v>
      </c>
      <c r="D223" s="2" t="n">
        <v>12</v>
      </c>
      <c r="E223" s="4" t="n">
        <v>3.42</v>
      </c>
      <c r="F223" s="1" t="n">
        <v>25</v>
      </c>
      <c r="G223" s="1" t="n">
        <v>35</v>
      </c>
      <c r="H223" s="3" t="n">
        <v>95.7017321457163</v>
      </c>
      <c r="I223" s="1" t="n">
        <v>235</v>
      </c>
      <c r="J223" s="32" t="n">
        <v>200</v>
      </c>
      <c r="K223" s="25" t="n">
        <v>129</v>
      </c>
      <c r="L223" s="32" t="n">
        <v>122.5</v>
      </c>
      <c r="M223" s="4" t="n">
        <v>0.31</v>
      </c>
      <c r="N223" s="24" t="n">
        <v>0.199870232714413</v>
      </c>
      <c r="O223" s="25" t="n">
        <v>468.425393675829</v>
      </c>
      <c r="P223" s="25" t="n">
        <v>49.1976958492583</v>
      </c>
      <c r="Q223" s="26" t="n">
        <v>0.135249348683273</v>
      </c>
      <c r="R223" s="24" t="n">
        <v>0.644742686175525</v>
      </c>
      <c r="S223" s="4" t="n">
        <v>0.273180962644812</v>
      </c>
      <c r="T223" s="25" t="n">
        <v>468.425393675829</v>
      </c>
      <c r="U223" s="25" t="n">
        <v>91</v>
      </c>
      <c r="V223" s="26" t="n">
        <v>0.051265306122449</v>
      </c>
      <c r="W223" s="24" t="n">
        <f aca="false">(I223-H223)/(J223-H223)</f>
        <v>1.33557604282459</v>
      </c>
      <c r="X223" s="24" t="n">
        <f aca="false">0.5*(1+(I223-K223-L223)/(I223-K223))</f>
        <v>0.422169811320755</v>
      </c>
      <c r="Y223" s="24" t="n">
        <v>0.881228911757457</v>
      </c>
      <c r="Z223" s="24" t="n">
        <v>0.241703225538447</v>
      </c>
      <c r="AA223" s="25" t="n">
        <v>468.425393675829</v>
      </c>
      <c r="AB223" s="25" t="n">
        <v>49.1976958492583</v>
      </c>
      <c r="AC223" s="26" t="n">
        <v>0.135249348683273</v>
      </c>
      <c r="AD223" s="24" t="n">
        <v>0.779687824317571</v>
      </c>
      <c r="AE223" s="24" t="n">
        <v>0.289892465415052</v>
      </c>
      <c r="AF223" s="24" t="n">
        <v>0.760341646659058</v>
      </c>
      <c r="AG223" s="25" t="n">
        <v>493.745420697813</v>
      </c>
      <c r="AH223" s="26" t="n">
        <v>0.0333</v>
      </c>
      <c r="AI223" s="24" t="n">
        <v>0.935136985209846</v>
      </c>
    </row>
    <row r="224" customFormat="false" ht="14.25" hidden="false" customHeight="false" outlineLevel="0" collapsed="false">
      <c r="B224" s="1" t="n">
        <v>20</v>
      </c>
      <c r="C224" s="1" t="n">
        <v>3</v>
      </c>
      <c r="D224" s="2" t="n">
        <v>12</v>
      </c>
      <c r="E224" s="4" t="n">
        <v>3.42</v>
      </c>
      <c r="F224" s="1" t="n">
        <v>25</v>
      </c>
      <c r="G224" s="1" t="n">
        <v>35</v>
      </c>
      <c r="H224" s="3" t="n">
        <v>95.7017321457163</v>
      </c>
      <c r="I224" s="1" t="n">
        <v>235</v>
      </c>
      <c r="J224" s="32" t="n">
        <v>200</v>
      </c>
      <c r="K224" s="25" t="n">
        <v>129</v>
      </c>
      <c r="L224" s="32" t="n">
        <v>122.5</v>
      </c>
      <c r="M224" s="4" t="n">
        <v>0.37</v>
      </c>
      <c r="N224" s="24" t="n">
        <v>0.214752498686293</v>
      </c>
      <c r="O224" s="25" t="n">
        <v>501.106235095073</v>
      </c>
      <c r="P224" s="25" t="n">
        <v>49.1976958492583</v>
      </c>
      <c r="Q224" s="26" t="n">
        <v>0.135249348683273</v>
      </c>
      <c r="R224" s="24" t="n">
        <v>0.580412158611603</v>
      </c>
      <c r="S224" s="4" t="n">
        <v>0.294742965854767</v>
      </c>
      <c r="T224" s="25" t="n">
        <v>501.106235095073</v>
      </c>
      <c r="U224" s="25" t="n">
        <v>91</v>
      </c>
      <c r="V224" s="26" t="n">
        <v>0.051265306122449</v>
      </c>
      <c r="W224" s="24" t="n">
        <f aca="false">(I224-H224)/(J224-H224)</f>
        <v>1.33557604282459</v>
      </c>
      <c r="X224" s="24" t="n">
        <f aca="false">0.5*(1+(I224-K224-L224)/(I224-K224))</f>
        <v>0.422169811320755</v>
      </c>
      <c r="Y224" s="24" t="n">
        <v>0.796602610418289</v>
      </c>
      <c r="Z224" s="24" t="n">
        <v>0.259700361179272</v>
      </c>
      <c r="AA224" s="25" t="n">
        <v>501.106235095073</v>
      </c>
      <c r="AB224" s="25" t="n">
        <v>49.1976958492583</v>
      </c>
      <c r="AC224" s="26" t="n">
        <v>0.135249348683273</v>
      </c>
      <c r="AD224" s="24" t="n">
        <v>0.701892868052087</v>
      </c>
      <c r="AE224" s="24" t="n">
        <v>0.310004336896578</v>
      </c>
      <c r="AF224" s="24" t="n">
        <v>0.869501754385965</v>
      </c>
      <c r="AG224" s="25" t="n">
        <v>528</v>
      </c>
      <c r="AH224" s="26" t="n">
        <v>0.0333</v>
      </c>
      <c r="AI224" s="24" t="n">
        <v>0.837849559179941</v>
      </c>
    </row>
    <row r="225" customFormat="false" ht="14.25" hidden="false" customHeight="false" outlineLevel="0" collapsed="false">
      <c r="A225" s="0" t="s">
        <v>69</v>
      </c>
      <c r="B225" s="1" t="n">
        <v>16</v>
      </c>
      <c r="C225" s="1" t="n">
        <v>2</v>
      </c>
      <c r="D225" s="2" t="n">
        <v>52</v>
      </c>
      <c r="E225" s="4" t="n">
        <v>2.98</v>
      </c>
      <c r="F225" s="1" t="n">
        <v>27</v>
      </c>
      <c r="G225" s="1" t="n">
        <v>35</v>
      </c>
      <c r="H225" s="3" t="n">
        <v>67.594050734713</v>
      </c>
      <c r="I225" s="1" t="n">
        <v>235</v>
      </c>
      <c r="J225" s="32" t="n">
        <v>200</v>
      </c>
      <c r="K225" s="25" t="n">
        <v>122</v>
      </c>
      <c r="L225" s="32" t="n">
        <v>115</v>
      </c>
      <c r="M225" s="4" t="n">
        <v>0.16</v>
      </c>
      <c r="N225" s="24" t="n">
        <v>0.235935661884893</v>
      </c>
      <c r="O225" s="25" t="n">
        <v>370.747284048733</v>
      </c>
      <c r="P225" s="25" t="n">
        <v>81.2334347833225</v>
      </c>
      <c r="Q225" s="26" t="n">
        <v>0.04802696699422</v>
      </c>
      <c r="R225" s="24" t="n">
        <v>1.47459788678058</v>
      </c>
      <c r="S225" s="4" t="n">
        <v>0.250565220443721</v>
      </c>
      <c r="T225" s="25" t="n">
        <v>370.747284048733</v>
      </c>
      <c r="U225" s="25" t="n">
        <v>147</v>
      </c>
      <c r="V225" s="26" t="n">
        <v>0.023304347826087</v>
      </c>
      <c r="W225" s="24" t="n">
        <f aca="false">(I225-H225)/(J225-H225)</f>
        <v>1.2643385753753</v>
      </c>
      <c r="X225" s="24" t="n">
        <f aca="false">0.5*(1+(I225-K225-L225)/(I225-K225))</f>
        <v>0.491150442477876</v>
      </c>
      <c r="Y225" s="24" t="n">
        <v>1.56603262777326</v>
      </c>
      <c r="Z225" s="24" t="n">
        <v>0.238985466954541</v>
      </c>
      <c r="AA225" s="25" t="n">
        <v>370.747284048733</v>
      </c>
      <c r="AB225" s="25" t="n">
        <v>81.2334347833225</v>
      </c>
      <c r="AC225" s="26" t="n">
        <v>0.04802696699422</v>
      </c>
      <c r="AD225" s="24" t="n">
        <v>1.49365916846588</v>
      </c>
      <c r="AE225" s="24" t="n">
        <v>0.285360965987642</v>
      </c>
      <c r="AF225" s="24" t="n">
        <v>0.433741556113918</v>
      </c>
      <c r="AG225" s="25" t="n">
        <v>389.192348394926</v>
      </c>
      <c r="AH225" s="26" t="n">
        <v>0.0188</v>
      </c>
      <c r="AI225" s="24" t="n">
        <v>1.78350603742276</v>
      </c>
    </row>
    <row r="226" customFormat="false" ht="14.25" hidden="false" customHeight="false" outlineLevel="0" collapsed="false">
      <c r="B226" s="1" t="n">
        <v>16</v>
      </c>
      <c r="C226" s="1" t="n">
        <v>2</v>
      </c>
      <c r="D226" s="2" t="n">
        <v>52</v>
      </c>
      <c r="E226" s="4" t="n">
        <v>2.98</v>
      </c>
      <c r="F226" s="1" t="n">
        <v>27</v>
      </c>
      <c r="G226" s="1" t="n">
        <v>35</v>
      </c>
      <c r="H226" s="3" t="n">
        <v>67.594050734713</v>
      </c>
      <c r="I226" s="1" t="n">
        <v>235</v>
      </c>
      <c r="J226" s="32" t="n">
        <v>200</v>
      </c>
      <c r="K226" s="25" t="n">
        <v>122</v>
      </c>
      <c r="L226" s="32" t="n">
        <v>115</v>
      </c>
      <c r="M226" s="4" t="n">
        <v>0.2</v>
      </c>
      <c r="N226" s="24" t="n">
        <v>0.289084115385482</v>
      </c>
      <c r="O226" s="25" t="n">
        <v>443.284796145224</v>
      </c>
      <c r="P226" s="25" t="n">
        <v>81.2334347833225</v>
      </c>
      <c r="Q226" s="26" t="n">
        <v>0.04802696699422</v>
      </c>
      <c r="R226" s="24" t="n">
        <v>1.44542057692741</v>
      </c>
      <c r="S226" s="4" t="n">
        <v>0.314900010645328</v>
      </c>
      <c r="T226" s="25" t="n">
        <v>443.284796145224</v>
      </c>
      <c r="U226" s="25" t="n">
        <v>147</v>
      </c>
      <c r="V226" s="26" t="n">
        <v>0.023304347826087</v>
      </c>
      <c r="W226" s="24" t="n">
        <f aca="false">(I226-H226)/(J226-H226)</f>
        <v>1.2643385753753</v>
      </c>
      <c r="X226" s="24" t="n">
        <f aca="false">0.5*(1+(I226-K226-L226)/(I226-K226))</f>
        <v>0.491150442477876</v>
      </c>
      <c r="Y226" s="24" t="n">
        <v>1.57450005322664</v>
      </c>
      <c r="Z226" s="24" t="n">
        <v>0.292820940050367</v>
      </c>
      <c r="AA226" s="25" t="n">
        <v>443.284796145224</v>
      </c>
      <c r="AB226" s="25" t="n">
        <v>81.2334347833225</v>
      </c>
      <c r="AC226" s="26" t="n">
        <v>0.04802696699422</v>
      </c>
      <c r="AD226" s="24" t="n">
        <v>1.46410470025183</v>
      </c>
      <c r="AE226" s="24" t="n">
        <v>0.34119245933305</v>
      </c>
      <c r="AF226" s="24" t="n">
        <v>0.620070041230908</v>
      </c>
      <c r="AG226" s="25" t="n">
        <v>465.338677428716</v>
      </c>
      <c r="AH226" s="26" t="n">
        <v>0.0188</v>
      </c>
      <c r="AI226" s="24" t="n">
        <v>1.70596229666525</v>
      </c>
    </row>
    <row r="227" customFormat="false" ht="14.25" hidden="false" customHeight="false" outlineLevel="0" collapsed="false">
      <c r="B227" s="1" t="n">
        <v>16</v>
      </c>
      <c r="C227" s="1" t="n">
        <v>2</v>
      </c>
      <c r="D227" s="2" t="n">
        <v>52</v>
      </c>
      <c r="E227" s="4" t="n">
        <v>2.98</v>
      </c>
      <c r="F227" s="1" t="n">
        <v>27</v>
      </c>
      <c r="G227" s="1" t="n">
        <v>35</v>
      </c>
      <c r="H227" s="3" t="n">
        <v>67.594050734713</v>
      </c>
      <c r="I227" s="1" t="n">
        <v>235</v>
      </c>
      <c r="J227" s="32" t="n">
        <v>200</v>
      </c>
      <c r="K227" s="25" t="n">
        <v>122</v>
      </c>
      <c r="L227" s="32" t="n">
        <v>115</v>
      </c>
      <c r="M227" s="4" t="n">
        <v>0.26</v>
      </c>
      <c r="N227" s="24" t="n">
        <v>0.348137952608359</v>
      </c>
      <c r="O227" s="25" t="n">
        <v>523.882031807992</v>
      </c>
      <c r="P227" s="25" t="n">
        <v>81.2334347833225</v>
      </c>
      <c r="Q227" s="26" t="n">
        <v>0.04802696699422</v>
      </c>
      <c r="R227" s="24" t="n">
        <v>1.33899212541677</v>
      </c>
      <c r="S227" s="4" t="n">
        <v>0.386383110869336</v>
      </c>
      <c r="T227" s="25" t="n">
        <v>523.882031807992</v>
      </c>
      <c r="U227" s="25" t="n">
        <v>147</v>
      </c>
      <c r="V227" s="26" t="n">
        <v>0.023304347826087</v>
      </c>
      <c r="W227" s="24" t="n">
        <f aca="false">(I227-H227)/(J227-H227)</f>
        <v>1.2643385753753</v>
      </c>
      <c r="X227" s="24" t="n">
        <f aca="false">0.5*(1+(I227-K227-L227)/(I227-K227))</f>
        <v>0.491150442477876</v>
      </c>
      <c r="Y227" s="24" t="n">
        <v>1.48608888795899</v>
      </c>
      <c r="Z227" s="24" t="n">
        <v>0.352638132379062</v>
      </c>
      <c r="AA227" s="25" t="n">
        <v>523.882031807992</v>
      </c>
      <c r="AB227" s="25" t="n">
        <v>81.2334347833225</v>
      </c>
      <c r="AC227" s="26" t="n">
        <v>0.04802696699422</v>
      </c>
      <c r="AD227" s="24" t="n">
        <v>1.35630050915024</v>
      </c>
      <c r="AE227" s="24" t="n">
        <v>0.387136567979452</v>
      </c>
      <c r="AF227" s="24" t="n">
        <v>0.798307651006711</v>
      </c>
      <c r="AG227" s="25" t="n">
        <v>528</v>
      </c>
      <c r="AH227" s="26" t="n">
        <v>0.0188</v>
      </c>
      <c r="AI227" s="24" t="n">
        <v>1.48898679992097</v>
      </c>
    </row>
    <row r="228" customFormat="false" ht="14.25" hidden="false" customHeight="false" outlineLevel="0" collapsed="false">
      <c r="A228" s="0" t="s">
        <v>70</v>
      </c>
      <c r="B228" s="1" t="n">
        <v>20</v>
      </c>
      <c r="C228" s="1" t="n">
        <v>2</v>
      </c>
      <c r="D228" s="2" t="n">
        <v>44</v>
      </c>
      <c r="E228" s="4" t="n">
        <v>2.98</v>
      </c>
      <c r="F228" s="1" t="n">
        <v>25</v>
      </c>
      <c r="G228" s="1" t="n">
        <v>35</v>
      </c>
      <c r="H228" s="3" t="n">
        <v>80.321192218195</v>
      </c>
      <c r="I228" s="1" t="n">
        <v>235</v>
      </c>
      <c r="J228" s="32" t="n">
        <v>200</v>
      </c>
      <c r="K228" s="25" t="n">
        <v>125</v>
      </c>
      <c r="L228" s="32" t="n">
        <v>122.5</v>
      </c>
      <c r="M228" s="4" t="n">
        <v>0.17</v>
      </c>
      <c r="N228" s="24" t="n">
        <v>0.136624194395983</v>
      </c>
      <c r="O228" s="25" t="n">
        <v>264.280094309474</v>
      </c>
      <c r="P228" s="25" t="n">
        <v>55.8842323237379</v>
      </c>
      <c r="Q228" s="26" t="n">
        <v>0.0812005224252669</v>
      </c>
      <c r="R228" s="24" t="n">
        <v>0.803671731741077</v>
      </c>
      <c r="S228" s="4" t="n">
        <v>0.154143497430964</v>
      </c>
      <c r="T228" s="25" t="n">
        <v>264.280094309474</v>
      </c>
      <c r="U228" s="25" t="n">
        <v>106</v>
      </c>
      <c r="V228" s="26" t="n">
        <v>0.0341768707482993</v>
      </c>
      <c r="W228" s="24" t="n">
        <f aca="false">(I228-H228)/(J228-H228)</f>
        <v>1.29244943736247</v>
      </c>
      <c r="X228" s="24" t="n">
        <f aca="false">0.5*(1+(I228-K228-L228)/(I228-K228))</f>
        <v>0.443181818181818</v>
      </c>
      <c r="Y228" s="24" t="n">
        <v>0.906726455476259</v>
      </c>
      <c r="Z228" s="24" t="n">
        <v>0.146377885907284</v>
      </c>
      <c r="AA228" s="25" t="n">
        <v>264.280094309474</v>
      </c>
      <c r="AB228" s="25" t="n">
        <v>55.8842323237379</v>
      </c>
      <c r="AC228" s="26" t="n">
        <v>0.0812005224252669</v>
      </c>
      <c r="AD228" s="24" t="n">
        <v>0.861046387689909</v>
      </c>
      <c r="AE228" s="24" t="n">
        <v>0.201171796619769</v>
      </c>
      <c r="AF228" s="24" t="n">
        <v>0.278559863640606</v>
      </c>
      <c r="AG228" s="25" t="n">
        <v>278.967134093954</v>
      </c>
      <c r="AH228" s="26" t="n">
        <v>0.0253</v>
      </c>
      <c r="AI228" s="24" t="n">
        <v>1.18336350952805</v>
      </c>
    </row>
    <row r="229" customFormat="false" ht="14.25" hidden="false" customHeight="false" outlineLevel="0" collapsed="false">
      <c r="B229" s="1" t="n">
        <v>20</v>
      </c>
      <c r="C229" s="1" t="n">
        <v>2</v>
      </c>
      <c r="D229" s="2" t="n">
        <v>44</v>
      </c>
      <c r="E229" s="4" t="n">
        <v>2.98</v>
      </c>
      <c r="F229" s="1" t="n">
        <v>25</v>
      </c>
      <c r="G229" s="1" t="n">
        <v>35</v>
      </c>
      <c r="H229" s="3" t="n">
        <v>80.321192218195</v>
      </c>
      <c r="I229" s="1" t="n">
        <v>235</v>
      </c>
      <c r="J229" s="32" t="n">
        <v>200</v>
      </c>
      <c r="K229" s="25" t="n">
        <v>125</v>
      </c>
      <c r="L229" s="32" t="n">
        <v>122.5</v>
      </c>
      <c r="M229" s="4" t="n">
        <v>0.19</v>
      </c>
      <c r="N229" s="24" t="n">
        <v>0.158531008903368</v>
      </c>
      <c r="O229" s="25" t="n">
        <v>301.2793075128</v>
      </c>
      <c r="P229" s="25" t="n">
        <v>55.8842323237379</v>
      </c>
      <c r="Q229" s="26" t="n">
        <v>0.0812005224252669</v>
      </c>
      <c r="R229" s="24" t="n">
        <v>0.83437373107036</v>
      </c>
      <c r="S229" s="4" t="n">
        <v>0.18259499046457</v>
      </c>
      <c r="T229" s="25" t="n">
        <v>301.2793075128</v>
      </c>
      <c r="U229" s="25" t="n">
        <v>106</v>
      </c>
      <c r="V229" s="26" t="n">
        <v>0.0341768707482993</v>
      </c>
      <c r="W229" s="24" t="n">
        <f aca="false">(I229-H229)/(J229-H229)</f>
        <v>1.29244943736247</v>
      </c>
      <c r="X229" s="24" t="n">
        <f aca="false">0.5*(1+(I229-K229-L229)/(I229-K229))</f>
        <v>0.443181818181818</v>
      </c>
      <c r="Y229" s="24" t="n">
        <v>0.961026265602999</v>
      </c>
      <c r="Z229" s="24" t="n">
        <v>0.169848642377109</v>
      </c>
      <c r="AA229" s="25" t="n">
        <v>301.2793075128</v>
      </c>
      <c r="AB229" s="25" t="n">
        <v>55.8842323237379</v>
      </c>
      <c r="AC229" s="26" t="n">
        <v>0.0812005224252669</v>
      </c>
      <c r="AD229" s="24" t="n">
        <v>0.893940223037416</v>
      </c>
      <c r="AE229" s="24" t="n">
        <v>0.229335848146537</v>
      </c>
      <c r="AF229" s="24" t="n">
        <v>0.362016398787332</v>
      </c>
      <c r="AG229" s="25" t="n">
        <v>318.022532867108</v>
      </c>
      <c r="AH229" s="26" t="n">
        <v>0.0253</v>
      </c>
      <c r="AI229" s="24" t="n">
        <v>1.20703077971861</v>
      </c>
    </row>
    <row r="230" customFormat="false" ht="14.25" hidden="false" customHeight="false" outlineLevel="0" collapsed="false">
      <c r="B230" s="1" t="n">
        <v>20</v>
      </c>
      <c r="C230" s="1" t="n">
        <v>2</v>
      </c>
      <c r="D230" s="2" t="n">
        <v>44</v>
      </c>
      <c r="E230" s="4" t="n">
        <v>2.98</v>
      </c>
      <c r="F230" s="1" t="n">
        <v>25</v>
      </c>
      <c r="G230" s="1" t="n">
        <v>35</v>
      </c>
      <c r="H230" s="3" t="n">
        <v>80.321192218195</v>
      </c>
      <c r="I230" s="1" t="n">
        <v>235</v>
      </c>
      <c r="J230" s="32" t="n">
        <v>200</v>
      </c>
      <c r="K230" s="25" t="n">
        <v>125</v>
      </c>
      <c r="L230" s="32" t="n">
        <v>122.5</v>
      </c>
      <c r="M230" s="4" t="n">
        <v>0.23</v>
      </c>
      <c r="N230" s="24" t="n">
        <v>0.186696913270007</v>
      </c>
      <c r="O230" s="25" t="n">
        <v>348.849724488505</v>
      </c>
      <c r="P230" s="25" t="n">
        <v>55.8842323237379</v>
      </c>
      <c r="Q230" s="26" t="n">
        <v>0.0812005224252669</v>
      </c>
      <c r="R230" s="24" t="n">
        <v>0.811725709869594</v>
      </c>
      <c r="S230" s="4" t="n">
        <v>0.219175481507777</v>
      </c>
      <c r="T230" s="25" t="n">
        <v>348.849724488505</v>
      </c>
      <c r="U230" s="25" t="n">
        <v>106</v>
      </c>
      <c r="V230" s="26" t="n">
        <v>0.0341768707482993</v>
      </c>
      <c r="W230" s="24" t="n">
        <f aca="false">(I230-H230)/(J230-H230)</f>
        <v>1.29244943736247</v>
      </c>
      <c r="X230" s="24" t="n">
        <f aca="false">0.5*(1+(I230-K230-L230)/(I230-K230))</f>
        <v>0.443181818181818</v>
      </c>
      <c r="Y230" s="24" t="n">
        <v>0.95293687612077</v>
      </c>
      <c r="Z230" s="24" t="n">
        <v>0.200025329266883</v>
      </c>
      <c r="AA230" s="25" t="n">
        <v>348.849724488505</v>
      </c>
      <c r="AB230" s="25" t="n">
        <v>55.8842323237379</v>
      </c>
      <c r="AC230" s="26" t="n">
        <v>0.0812005224252669</v>
      </c>
      <c r="AD230" s="24" t="n">
        <v>0.869675344638624</v>
      </c>
      <c r="AE230" s="24" t="n">
        <v>0.265546771538095</v>
      </c>
      <c r="AF230" s="24" t="n">
        <v>0.485362706407392</v>
      </c>
      <c r="AG230" s="25" t="n">
        <v>368.23661700402</v>
      </c>
      <c r="AH230" s="26" t="n">
        <v>0.0253</v>
      </c>
      <c r="AI230" s="24" t="n">
        <v>1.15455118060041</v>
      </c>
    </row>
    <row r="231" customFormat="false" ht="14.25" hidden="false" customHeight="false" outlineLevel="0" collapsed="false">
      <c r="B231" s="1" t="n">
        <v>20</v>
      </c>
      <c r="C231" s="1" t="n">
        <v>2</v>
      </c>
      <c r="D231" s="2" t="n">
        <v>44</v>
      </c>
      <c r="E231" s="4" t="n">
        <v>2.98</v>
      </c>
      <c r="F231" s="1" t="n">
        <v>25</v>
      </c>
      <c r="G231" s="1" t="n">
        <v>35</v>
      </c>
      <c r="H231" s="3" t="n">
        <v>80.321192218195</v>
      </c>
      <c r="I231" s="1" t="n">
        <v>235</v>
      </c>
      <c r="J231" s="32" t="n">
        <v>200</v>
      </c>
      <c r="K231" s="25" t="n">
        <v>125</v>
      </c>
      <c r="L231" s="32" t="n">
        <v>122.5</v>
      </c>
      <c r="M231" s="4" t="n">
        <v>0.25</v>
      </c>
      <c r="N231" s="24" t="n">
        <v>0.199215092988513</v>
      </c>
      <c r="O231" s="25" t="n">
        <v>369.992132033263</v>
      </c>
      <c r="P231" s="25" t="n">
        <v>55.8842323237379</v>
      </c>
      <c r="Q231" s="26" t="n">
        <v>0.0812005224252669</v>
      </c>
      <c r="R231" s="24" t="n">
        <v>0.79686037195405</v>
      </c>
      <c r="S231" s="4" t="n">
        <v>0.235433477526981</v>
      </c>
      <c r="T231" s="25" t="n">
        <v>369.992132033263</v>
      </c>
      <c r="U231" s="25" t="n">
        <v>106</v>
      </c>
      <c r="V231" s="26" t="n">
        <v>0.0341768707482993</v>
      </c>
      <c r="W231" s="24" t="n">
        <f aca="false">(I231-H231)/(J231-H231)</f>
        <v>1.29244943736247</v>
      </c>
      <c r="X231" s="24" t="n">
        <f aca="false">0.5*(1+(I231-K231-L231)/(I231-K231))</f>
        <v>0.443181818181818</v>
      </c>
      <c r="Y231" s="24" t="n">
        <v>0.941733910107922</v>
      </c>
      <c r="Z231" s="24" t="n">
        <v>0.213437190106783</v>
      </c>
      <c r="AA231" s="25" t="n">
        <v>369.992132033263</v>
      </c>
      <c r="AB231" s="25" t="n">
        <v>55.8842323237379</v>
      </c>
      <c r="AC231" s="26" t="n">
        <v>0.0812005224252669</v>
      </c>
      <c r="AD231" s="24" t="n">
        <v>0.853748760427133</v>
      </c>
      <c r="AE231" s="24" t="n">
        <v>0.281640515267677</v>
      </c>
      <c r="AF231" s="24" t="n">
        <v>0.545977332735588</v>
      </c>
      <c r="AG231" s="25" t="n">
        <v>390.553987731536</v>
      </c>
      <c r="AH231" s="26" t="n">
        <v>0.0253</v>
      </c>
      <c r="AI231" s="24" t="n">
        <v>1.12656206107071</v>
      </c>
    </row>
    <row r="232" customFormat="false" ht="14.25" hidden="false" customHeight="false" outlineLevel="0" collapsed="false">
      <c r="B232" s="1" t="n">
        <v>20</v>
      </c>
      <c r="C232" s="1" t="n">
        <v>2</v>
      </c>
      <c r="D232" s="2" t="n">
        <v>44</v>
      </c>
      <c r="E232" s="4" t="n">
        <v>2.98</v>
      </c>
      <c r="F232" s="1" t="n">
        <v>25</v>
      </c>
      <c r="G232" s="1" t="n">
        <v>35</v>
      </c>
      <c r="H232" s="3" t="n">
        <v>80.321192218195</v>
      </c>
      <c r="I232" s="1" t="n">
        <v>235</v>
      </c>
      <c r="J232" s="32" t="n">
        <v>200</v>
      </c>
      <c r="K232" s="25" t="n">
        <v>125</v>
      </c>
      <c r="L232" s="32" t="n">
        <v>122.5</v>
      </c>
      <c r="M232" s="4" t="n">
        <v>0.3</v>
      </c>
      <c r="N232" s="24" t="n">
        <v>0.217992362566271</v>
      </c>
      <c r="O232" s="25" t="n">
        <v>401.7057433504</v>
      </c>
      <c r="P232" s="25" t="n">
        <v>55.8842323237379</v>
      </c>
      <c r="Q232" s="26" t="n">
        <v>0.0812005224252669</v>
      </c>
      <c r="R232" s="24" t="n">
        <v>0.726641208554238</v>
      </c>
      <c r="S232" s="4" t="n">
        <v>0.259820471555785</v>
      </c>
      <c r="T232" s="25" t="n">
        <v>401.7057433504</v>
      </c>
      <c r="U232" s="25" t="n">
        <v>106</v>
      </c>
      <c r="V232" s="26" t="n">
        <v>0.0341768707482993</v>
      </c>
      <c r="W232" s="24" t="n">
        <f aca="false">(I232-H232)/(J232-H232)</f>
        <v>1.29244943736247</v>
      </c>
      <c r="X232" s="24" t="n">
        <f aca="false">0.5*(1+(I232-K232-L232)/(I232-K232))</f>
        <v>0.443181818181818</v>
      </c>
      <c r="Y232" s="24" t="n">
        <v>0.866068238519285</v>
      </c>
      <c r="Z232" s="24" t="n">
        <v>0.233554981366633</v>
      </c>
      <c r="AA232" s="25" t="n">
        <v>401.7057433504</v>
      </c>
      <c r="AB232" s="25" t="n">
        <v>55.8842323237379</v>
      </c>
      <c r="AC232" s="26" t="n">
        <v>0.0812005224252669</v>
      </c>
      <c r="AD232" s="24" t="n">
        <v>0.778516604555443</v>
      </c>
      <c r="AE232" s="24" t="n">
        <v>0.305781130862049</v>
      </c>
      <c r="AF232" s="24" t="n">
        <v>0.643584708955256</v>
      </c>
      <c r="AG232" s="25" t="n">
        <v>424.030043822811</v>
      </c>
      <c r="AH232" s="26" t="n">
        <v>0.0253</v>
      </c>
      <c r="AI232" s="24" t="n">
        <v>1.01927043620683</v>
      </c>
    </row>
    <row r="233" customFormat="false" ht="14.25" hidden="false" customHeight="false" outlineLevel="0" collapsed="false">
      <c r="B233" s="1" t="n">
        <v>20</v>
      </c>
      <c r="C233" s="1" t="n">
        <v>2</v>
      </c>
      <c r="D233" s="2" t="n">
        <v>44</v>
      </c>
      <c r="E233" s="4" t="n">
        <v>2.98</v>
      </c>
      <c r="F233" s="1" t="n">
        <v>25</v>
      </c>
      <c r="G233" s="1" t="n">
        <v>35</v>
      </c>
      <c r="H233" s="3" t="n">
        <v>80.321192218195</v>
      </c>
      <c r="I233" s="1" t="n">
        <v>235</v>
      </c>
      <c r="J233" s="32" t="n">
        <v>200</v>
      </c>
      <c r="K233" s="25" t="n">
        <v>125</v>
      </c>
      <c r="L233" s="32" t="n">
        <v>122.5</v>
      </c>
      <c r="M233" s="4" t="n">
        <v>0.32</v>
      </c>
      <c r="N233" s="24" t="n">
        <v>0.230510542284777</v>
      </c>
      <c r="O233" s="25" t="n">
        <v>422.848150895158</v>
      </c>
      <c r="P233" s="25" t="n">
        <v>55.8842323237379</v>
      </c>
      <c r="Q233" s="26" t="n">
        <v>0.0812005224252669</v>
      </c>
      <c r="R233" s="24" t="n">
        <v>0.720345444639929</v>
      </c>
      <c r="S233" s="4" t="n">
        <v>0.276078467574989</v>
      </c>
      <c r="T233" s="25" t="n">
        <v>422.848150895158</v>
      </c>
      <c r="U233" s="25" t="n">
        <v>106</v>
      </c>
      <c r="V233" s="26" t="n">
        <v>0.0341768707482993</v>
      </c>
      <c r="W233" s="24" t="n">
        <f aca="false">(I233-H233)/(J233-H233)</f>
        <v>1.29244943736247</v>
      </c>
      <c r="X233" s="24" t="n">
        <f aca="false">0.5*(1+(I233-K233-L233)/(I233-K233))</f>
        <v>0.443181818181818</v>
      </c>
      <c r="Y233" s="24" t="n">
        <v>0.86274521117184</v>
      </c>
      <c r="Z233" s="24" t="n">
        <v>0.246966842206533</v>
      </c>
      <c r="AA233" s="25" t="n">
        <v>422.848150895158</v>
      </c>
      <c r="AB233" s="25" t="n">
        <v>55.8842323237379</v>
      </c>
      <c r="AC233" s="26" t="n">
        <v>0.0812005224252669</v>
      </c>
      <c r="AD233" s="24" t="n">
        <v>0.771771381895414</v>
      </c>
      <c r="AE233" s="24" t="n">
        <v>0.32187487459163</v>
      </c>
      <c r="AF233" s="24" t="n">
        <v>0.713113250919952</v>
      </c>
      <c r="AG233" s="25" t="n">
        <v>446.347414550327</v>
      </c>
      <c r="AH233" s="26" t="n">
        <v>0.0253</v>
      </c>
      <c r="AI233" s="24" t="n">
        <v>1.00585898309885</v>
      </c>
    </row>
    <row r="234" customFormat="false" ht="14.25" hidden="false" customHeight="false" outlineLevel="0" collapsed="false">
      <c r="B234" s="1" t="n">
        <v>20</v>
      </c>
      <c r="C234" s="1" t="n">
        <v>2</v>
      </c>
      <c r="D234" s="2" t="n">
        <v>44</v>
      </c>
      <c r="E234" s="4" t="n">
        <v>2.98</v>
      </c>
      <c r="F234" s="1" t="n">
        <v>25</v>
      </c>
      <c r="G234" s="1" t="n">
        <v>35</v>
      </c>
      <c r="H234" s="3" t="n">
        <v>80.321192218195</v>
      </c>
      <c r="I234" s="1" t="n">
        <v>235</v>
      </c>
      <c r="J234" s="32" t="n">
        <v>200</v>
      </c>
      <c r="K234" s="25" t="n">
        <v>125</v>
      </c>
      <c r="L234" s="32" t="n">
        <v>122.5</v>
      </c>
      <c r="M234" s="4" t="n">
        <v>0.36</v>
      </c>
      <c r="N234" s="24" t="n">
        <v>0.261180082595117</v>
      </c>
      <c r="O234" s="25" t="n">
        <v>474.647049379814</v>
      </c>
      <c r="P234" s="25" t="n">
        <v>55.8842323237379</v>
      </c>
      <c r="Q234" s="26" t="n">
        <v>0.0812005224252669</v>
      </c>
      <c r="R234" s="24" t="n">
        <v>0.725500229430879</v>
      </c>
      <c r="S234" s="4" t="n">
        <v>0.315910557822037</v>
      </c>
      <c r="T234" s="25" t="n">
        <v>474.647049379814</v>
      </c>
      <c r="U234" s="25" t="n">
        <v>106</v>
      </c>
      <c r="V234" s="26" t="n">
        <v>0.0341768707482993</v>
      </c>
      <c r="W234" s="24" t="n">
        <f aca="false">(I234-H234)/(J234-H234)</f>
        <v>1.29244943736247</v>
      </c>
      <c r="X234" s="24" t="n">
        <f aca="false">0.5*(1+(I234-K234-L234)/(I234-K234))</f>
        <v>0.443181818181818</v>
      </c>
      <c r="Y234" s="24" t="n">
        <v>0.877529327283436</v>
      </c>
      <c r="Z234" s="24" t="n">
        <v>0.279825901264287</v>
      </c>
      <c r="AA234" s="25" t="n">
        <v>474.647049379814</v>
      </c>
      <c r="AB234" s="25" t="n">
        <v>55.8842323237379</v>
      </c>
      <c r="AC234" s="26" t="n">
        <v>0.0812005224252669</v>
      </c>
      <c r="AD234" s="24" t="n">
        <v>0.777294170178575</v>
      </c>
      <c r="AE234" s="24" t="n">
        <v>0.361304546729105</v>
      </c>
      <c r="AF234" s="24" t="n">
        <v>0.898527153116957</v>
      </c>
      <c r="AG234" s="25" t="n">
        <v>501.024972832742</v>
      </c>
      <c r="AH234" s="26" t="n">
        <v>0.0253</v>
      </c>
      <c r="AI234" s="24" t="n">
        <v>1.00362374091418</v>
      </c>
    </row>
    <row r="235" customFormat="false" ht="14.25" hidden="false" customHeight="false" outlineLevel="0" collapsed="false">
      <c r="B235" s="1" t="n">
        <v>20</v>
      </c>
      <c r="C235" s="1" t="n">
        <v>2</v>
      </c>
      <c r="D235" s="2" t="n">
        <v>44</v>
      </c>
      <c r="E235" s="4" t="n">
        <v>2.98</v>
      </c>
      <c r="F235" s="1" t="n">
        <v>25</v>
      </c>
      <c r="G235" s="1" t="n">
        <v>35</v>
      </c>
      <c r="H235" s="3" t="n">
        <v>80.321192218195</v>
      </c>
      <c r="I235" s="1" t="n">
        <v>235</v>
      </c>
      <c r="J235" s="32" t="n">
        <v>200</v>
      </c>
      <c r="K235" s="25" t="n">
        <v>125</v>
      </c>
      <c r="L235" s="32" t="n">
        <v>122.5</v>
      </c>
      <c r="M235" s="4" t="n">
        <v>0.47</v>
      </c>
      <c r="N235" s="24" t="n">
        <v>0.291849622905456</v>
      </c>
      <c r="O235" s="25" t="n">
        <v>526.445947864471</v>
      </c>
      <c r="P235" s="25" t="n">
        <v>55.8842323237379</v>
      </c>
      <c r="Q235" s="26" t="n">
        <v>0.0812005224252669</v>
      </c>
      <c r="R235" s="24" t="n">
        <v>0.620956644479694</v>
      </c>
      <c r="S235" s="4" t="n">
        <v>0.355742648069085</v>
      </c>
      <c r="T235" s="25" t="n">
        <v>526.445947864471</v>
      </c>
      <c r="U235" s="25" t="n">
        <v>106</v>
      </c>
      <c r="V235" s="26" t="n">
        <v>0.0341768707482993</v>
      </c>
      <c r="W235" s="24" t="n">
        <f aca="false">(I235-H235)/(J235-H235)</f>
        <v>1.29244943736247</v>
      </c>
      <c r="X235" s="24" t="n">
        <f aca="false">0.5*(1+(I235-K235-L235)/(I235-K235))</f>
        <v>0.443181818181818</v>
      </c>
      <c r="Y235" s="24" t="n">
        <v>0.756899251210819</v>
      </c>
      <c r="Z235" s="24" t="n">
        <v>0.312684960322041</v>
      </c>
      <c r="AA235" s="25" t="n">
        <v>526.445947864471</v>
      </c>
      <c r="AB235" s="25" t="n">
        <v>55.8842323237379</v>
      </c>
      <c r="AC235" s="26" t="n">
        <v>0.0812005224252669</v>
      </c>
      <c r="AD235" s="24" t="n">
        <v>0.665287149621364</v>
      </c>
      <c r="AE235" s="24" t="n">
        <v>0.380757070040603</v>
      </c>
      <c r="AF235" s="24" t="n">
        <v>0.997884563758389</v>
      </c>
      <c r="AG235" s="25" t="n">
        <v>528</v>
      </c>
      <c r="AH235" s="26" t="n">
        <v>0.0253</v>
      </c>
      <c r="AI235" s="24" t="n">
        <v>0.810121425618304</v>
      </c>
    </row>
    <row r="236" customFormat="false" ht="14.25" hidden="false" customHeight="false" outlineLevel="0" collapsed="false">
      <c r="A236" s="0" t="s">
        <v>71</v>
      </c>
      <c r="B236" s="1" t="n">
        <v>20</v>
      </c>
      <c r="C236" s="1" t="n">
        <v>3</v>
      </c>
      <c r="D236" s="2" t="n">
        <v>12</v>
      </c>
      <c r="E236" s="4" t="n">
        <v>2.98</v>
      </c>
      <c r="F236" s="1" t="n">
        <v>25</v>
      </c>
      <c r="G236" s="1" t="n">
        <v>35</v>
      </c>
      <c r="H236" s="3" t="n">
        <v>93.0113581251418</v>
      </c>
      <c r="I236" s="1" t="n">
        <v>235</v>
      </c>
      <c r="J236" s="32" t="n">
        <v>200</v>
      </c>
      <c r="K236" s="25" t="n">
        <v>128</v>
      </c>
      <c r="L236" s="32" t="n">
        <v>122.5</v>
      </c>
      <c r="M236" s="4" t="n">
        <v>0.16</v>
      </c>
      <c r="N236" s="24" t="n">
        <v>0.127890127915377</v>
      </c>
      <c r="O236" s="25" t="n">
        <v>303.402568314191</v>
      </c>
      <c r="P236" s="25" t="n">
        <v>41.643886357836</v>
      </c>
      <c r="Q236" s="26" t="n">
        <v>0.132686669519698</v>
      </c>
      <c r="R236" s="24" t="n">
        <v>0.799313299471105</v>
      </c>
      <c r="S236" s="4" t="n">
        <v>0.16920059472353</v>
      </c>
      <c r="T236" s="25" t="n">
        <v>303.402568314191</v>
      </c>
      <c r="U236" s="25" t="n">
        <v>77</v>
      </c>
      <c r="V236" s="26" t="n">
        <v>0.051265306122449</v>
      </c>
      <c r="W236" s="24" t="n">
        <f aca="false">(I236-H236)/(J236-H236)</f>
        <v>1.32713752961682</v>
      </c>
      <c r="X236" s="24" t="n">
        <f aca="false">0.5*(1+(I236-K236-L236)/(I236-K236))</f>
        <v>0.427570093457944</v>
      </c>
      <c r="Y236" s="24" t="n">
        <v>1.05750371702206</v>
      </c>
      <c r="Z236" s="24" t="n">
        <v>0.153997974612072</v>
      </c>
      <c r="AA236" s="25" t="n">
        <v>303.402568314191</v>
      </c>
      <c r="AB236" s="25" t="n">
        <v>41.643886357836</v>
      </c>
      <c r="AC236" s="26" t="n">
        <v>0.132686669519698</v>
      </c>
      <c r="AD236" s="24" t="n">
        <v>0.962487341325447</v>
      </c>
      <c r="AE236" s="24" t="n">
        <v>0.188767186781895</v>
      </c>
      <c r="AF236" s="24" t="n">
        <v>0.369996633470296</v>
      </c>
      <c r="AG236" s="25" t="n">
        <v>321.508646035785</v>
      </c>
      <c r="AH236" s="26" t="n">
        <v>0.0333</v>
      </c>
      <c r="AI236" s="24" t="n">
        <v>1.17979491738684</v>
      </c>
    </row>
    <row r="237" customFormat="false" ht="14.25" hidden="false" customHeight="false" outlineLevel="0" collapsed="false">
      <c r="B237" s="1" t="n">
        <v>20</v>
      </c>
      <c r="C237" s="1" t="n">
        <v>3</v>
      </c>
      <c r="D237" s="2" t="n">
        <v>12</v>
      </c>
      <c r="E237" s="4" t="n">
        <v>2.98</v>
      </c>
      <c r="F237" s="1" t="n">
        <v>25</v>
      </c>
      <c r="G237" s="1" t="n">
        <v>35</v>
      </c>
      <c r="H237" s="3" t="n">
        <v>93.0113581251418</v>
      </c>
      <c r="I237" s="1" t="n">
        <v>235</v>
      </c>
      <c r="J237" s="32" t="n">
        <v>200</v>
      </c>
      <c r="K237" s="25" t="n">
        <v>128</v>
      </c>
      <c r="L237" s="32" t="n">
        <v>122.5</v>
      </c>
      <c r="M237" s="4" t="n">
        <v>0.18</v>
      </c>
      <c r="N237" s="24" t="n">
        <v>0.134526678686815</v>
      </c>
      <c r="O237" s="25" t="n">
        <v>317.850309662485</v>
      </c>
      <c r="P237" s="25" t="n">
        <v>41.643886357836</v>
      </c>
      <c r="Q237" s="26" t="n">
        <v>0.132686669519698</v>
      </c>
      <c r="R237" s="24" t="n">
        <v>0.747370437148974</v>
      </c>
      <c r="S237" s="4" t="n">
        <v>0.178712000702632</v>
      </c>
      <c r="T237" s="25" t="n">
        <v>317.850309662485</v>
      </c>
      <c r="U237" s="25" t="n">
        <v>77</v>
      </c>
      <c r="V237" s="26" t="n">
        <v>0.051265306122449</v>
      </c>
      <c r="W237" s="24" t="n">
        <f aca="false">(I237-H237)/(J237-H237)</f>
        <v>1.32713752961682</v>
      </c>
      <c r="X237" s="24" t="n">
        <f aca="false">0.5*(1+(I237-K237-L237)/(I237-K237))</f>
        <v>0.427570093457944</v>
      </c>
      <c r="Y237" s="24" t="n">
        <v>0.992844448347955</v>
      </c>
      <c r="Z237" s="24" t="n">
        <v>0.161989329330928</v>
      </c>
      <c r="AA237" s="25" t="n">
        <v>317.850309662485</v>
      </c>
      <c r="AB237" s="25" t="n">
        <v>41.643886357836</v>
      </c>
      <c r="AC237" s="26" t="n">
        <v>0.132686669519698</v>
      </c>
      <c r="AD237" s="24" t="n">
        <v>0.899940718505156</v>
      </c>
      <c r="AE237" s="24" t="n">
        <v>0.197756100438175</v>
      </c>
      <c r="AF237" s="24" t="n">
        <v>0.406073402720234</v>
      </c>
      <c r="AG237" s="25" t="n">
        <v>336.818581561299</v>
      </c>
      <c r="AH237" s="26" t="n">
        <v>0.0333</v>
      </c>
      <c r="AI237" s="24" t="n">
        <v>1.09864500243431</v>
      </c>
    </row>
    <row r="238" customFormat="false" ht="14.25" hidden="false" customHeight="false" outlineLevel="0" collapsed="false">
      <c r="B238" s="1" t="n">
        <v>20</v>
      </c>
      <c r="C238" s="1" t="n">
        <v>3</v>
      </c>
      <c r="D238" s="2" t="n">
        <v>12</v>
      </c>
      <c r="E238" s="4" t="n">
        <v>2.98</v>
      </c>
      <c r="F238" s="1" t="n">
        <v>25</v>
      </c>
      <c r="G238" s="1" t="n">
        <v>35</v>
      </c>
      <c r="H238" s="3" t="n">
        <v>93.0113581251418</v>
      </c>
      <c r="I238" s="1" t="n">
        <v>235</v>
      </c>
      <c r="J238" s="32" t="n">
        <v>200</v>
      </c>
      <c r="K238" s="25" t="n">
        <v>128</v>
      </c>
      <c r="L238" s="32" t="n">
        <v>122.5</v>
      </c>
      <c r="M238" s="4" t="n">
        <v>0.18</v>
      </c>
      <c r="N238" s="24" t="n">
        <v>0.151118055615412</v>
      </c>
      <c r="O238" s="25" t="n">
        <v>353.969663033222</v>
      </c>
      <c r="P238" s="25" t="n">
        <v>41.643886357836</v>
      </c>
      <c r="Q238" s="26" t="n">
        <v>0.132686669519698</v>
      </c>
      <c r="R238" s="24" t="n">
        <v>0.839544753418954</v>
      </c>
      <c r="S238" s="4" t="n">
        <v>0.202490515650387</v>
      </c>
      <c r="T238" s="25" t="n">
        <v>353.969663033222</v>
      </c>
      <c r="U238" s="25" t="n">
        <v>77</v>
      </c>
      <c r="V238" s="26" t="n">
        <v>0.051265306122449</v>
      </c>
      <c r="W238" s="24" t="n">
        <f aca="false">(I238-H238)/(J238-H238)</f>
        <v>1.32713752961682</v>
      </c>
      <c r="X238" s="24" t="n">
        <f aca="false">0.5*(1+(I238-K238-L238)/(I238-K238))</f>
        <v>0.427570093457944</v>
      </c>
      <c r="Y238" s="24" t="n">
        <v>1.12494730916882</v>
      </c>
      <c r="Z238" s="24" t="n">
        <v>0.18196771612807</v>
      </c>
      <c r="AA238" s="25" t="n">
        <v>353.969663033222</v>
      </c>
      <c r="AB238" s="25" t="n">
        <v>41.643886357836</v>
      </c>
      <c r="AC238" s="26" t="n">
        <v>0.132686669519698</v>
      </c>
      <c r="AD238" s="24" t="n">
        <v>1.01093175626705</v>
      </c>
      <c r="AE238" s="24" t="n">
        <v>0.220228384578877</v>
      </c>
      <c r="AF238" s="24" t="n">
        <v>0.503606528890124</v>
      </c>
      <c r="AG238" s="25" t="n">
        <v>375.093420375083</v>
      </c>
      <c r="AH238" s="26" t="n">
        <v>0.0333</v>
      </c>
      <c r="AI238" s="24" t="n">
        <v>1.22349102543821</v>
      </c>
    </row>
    <row r="239" customFormat="false" ht="14.25" hidden="false" customHeight="false" outlineLevel="0" collapsed="false">
      <c r="B239" s="1" t="n">
        <v>20</v>
      </c>
      <c r="C239" s="1" t="n">
        <v>3</v>
      </c>
      <c r="D239" s="2" t="n">
        <v>12</v>
      </c>
      <c r="E239" s="4" t="n">
        <v>2.98</v>
      </c>
      <c r="F239" s="1" t="n">
        <v>25</v>
      </c>
      <c r="G239" s="1" t="n">
        <v>35</v>
      </c>
      <c r="H239" s="3" t="n">
        <v>93.0113581251418</v>
      </c>
      <c r="I239" s="1" t="n">
        <v>235</v>
      </c>
      <c r="J239" s="32" t="n">
        <v>200</v>
      </c>
      <c r="K239" s="25" t="n">
        <v>128</v>
      </c>
      <c r="L239" s="32" t="n">
        <v>122.5</v>
      </c>
      <c r="M239" s="4" t="n">
        <v>0.2</v>
      </c>
      <c r="N239" s="24" t="n">
        <v>0.169368570236868</v>
      </c>
      <c r="O239" s="25" t="n">
        <v>393.700951741033</v>
      </c>
      <c r="P239" s="25" t="n">
        <v>41.643886357836</v>
      </c>
      <c r="Q239" s="26" t="n">
        <v>0.132686669519698</v>
      </c>
      <c r="R239" s="24" t="n">
        <v>0.846842851184338</v>
      </c>
      <c r="S239" s="4" t="n">
        <v>0.228646882092917</v>
      </c>
      <c r="T239" s="25" t="n">
        <v>393.700951741033</v>
      </c>
      <c r="U239" s="25" t="n">
        <v>77</v>
      </c>
      <c r="V239" s="26" t="n">
        <v>0.051265306122449</v>
      </c>
      <c r="W239" s="24" t="n">
        <f aca="false">(I239-H239)/(J239-H239)</f>
        <v>1.32713752961682</v>
      </c>
      <c r="X239" s="24" t="n">
        <f aca="false">0.5*(1+(I239-K239-L239)/(I239-K239))</f>
        <v>0.427570093457944</v>
      </c>
      <c r="Y239" s="24" t="n">
        <v>1.14323441046458</v>
      </c>
      <c r="Z239" s="24" t="n">
        <v>0.203943941604925</v>
      </c>
      <c r="AA239" s="25" t="n">
        <v>393.700951741033</v>
      </c>
      <c r="AB239" s="25" t="n">
        <v>41.643886357836</v>
      </c>
      <c r="AC239" s="26" t="n">
        <v>0.132686669519698</v>
      </c>
      <c r="AD239" s="24" t="n">
        <v>1.01971970802463</v>
      </c>
      <c r="AE239" s="24" t="n">
        <v>0.244947897133649</v>
      </c>
      <c r="AF239" s="24" t="n">
        <v>0.62300595270133</v>
      </c>
      <c r="AG239" s="25" t="n">
        <v>417.195743070245</v>
      </c>
      <c r="AH239" s="26" t="n">
        <v>0.0333</v>
      </c>
      <c r="AI239" s="24" t="n">
        <v>1.22473948566824</v>
      </c>
    </row>
    <row r="240" customFormat="false" ht="14.25" hidden="false" customHeight="false" outlineLevel="0" collapsed="false">
      <c r="B240" s="1" t="n">
        <v>20</v>
      </c>
      <c r="C240" s="1" t="n">
        <v>3</v>
      </c>
      <c r="D240" s="2" t="n">
        <v>12</v>
      </c>
      <c r="E240" s="4" t="n">
        <v>2.98</v>
      </c>
      <c r="F240" s="1" t="n">
        <v>25</v>
      </c>
      <c r="G240" s="1" t="n">
        <v>35</v>
      </c>
      <c r="H240" s="3" t="n">
        <v>93.0113581251418</v>
      </c>
      <c r="I240" s="1" t="n">
        <v>235</v>
      </c>
      <c r="J240" s="32" t="n">
        <v>200</v>
      </c>
      <c r="K240" s="25" t="n">
        <v>128</v>
      </c>
      <c r="L240" s="32" t="n">
        <v>122.5</v>
      </c>
      <c r="M240" s="4" t="n">
        <v>0.2</v>
      </c>
      <c r="N240" s="24" t="n">
        <v>0.185959947165464</v>
      </c>
      <c r="O240" s="25" t="n">
        <v>429.82030511177</v>
      </c>
      <c r="P240" s="25" t="n">
        <v>41.643886357836</v>
      </c>
      <c r="Q240" s="26" t="n">
        <v>0.132686669519698</v>
      </c>
      <c r="R240" s="24" t="n">
        <v>0.92979973582732</v>
      </c>
      <c r="S240" s="4" t="n">
        <v>0.252425397040672</v>
      </c>
      <c r="T240" s="25" t="n">
        <v>429.82030511177</v>
      </c>
      <c r="U240" s="25" t="n">
        <v>77</v>
      </c>
      <c r="V240" s="26" t="n">
        <v>0.051265306122449</v>
      </c>
      <c r="W240" s="24" t="n">
        <f aca="false">(I240-H240)/(J240-H240)</f>
        <v>1.32713752961682</v>
      </c>
      <c r="X240" s="24" t="n">
        <f aca="false">0.5*(1+(I240-K240-L240)/(I240-K240))</f>
        <v>0.427570093457944</v>
      </c>
      <c r="Y240" s="24" t="n">
        <v>1.26212698520336</v>
      </c>
      <c r="Z240" s="24" t="n">
        <v>0.223922328402067</v>
      </c>
      <c r="AA240" s="25" t="n">
        <v>429.82030511177</v>
      </c>
      <c r="AB240" s="25" t="n">
        <v>41.643886357836</v>
      </c>
      <c r="AC240" s="26" t="n">
        <v>0.132686669519698</v>
      </c>
      <c r="AD240" s="24" t="n">
        <v>1.11961164201033</v>
      </c>
      <c r="AE240" s="24" t="n">
        <v>0.267420181274351</v>
      </c>
      <c r="AF240" s="24" t="n">
        <v>0.742562688006357</v>
      </c>
      <c r="AG240" s="25" t="n">
        <v>455.470581884029</v>
      </c>
      <c r="AH240" s="26" t="n">
        <v>0.0333</v>
      </c>
      <c r="AI240" s="24" t="n">
        <v>1.33710090637175</v>
      </c>
    </row>
    <row r="241" customFormat="false" ht="14.25" hidden="false" customHeight="false" outlineLevel="0" collapsed="false">
      <c r="B241" s="1" t="n">
        <v>20</v>
      </c>
      <c r="C241" s="1" t="n">
        <v>3</v>
      </c>
      <c r="D241" s="2" t="n">
        <v>12</v>
      </c>
      <c r="E241" s="4" t="n">
        <v>2.98</v>
      </c>
      <c r="F241" s="1" t="n">
        <v>25</v>
      </c>
      <c r="G241" s="1" t="n">
        <v>35</v>
      </c>
      <c r="H241" s="3" t="n">
        <v>93.0113581251418</v>
      </c>
      <c r="I241" s="1" t="n">
        <v>235</v>
      </c>
      <c r="J241" s="32" t="n">
        <v>200</v>
      </c>
      <c r="K241" s="25" t="n">
        <v>128</v>
      </c>
      <c r="L241" s="32" t="n">
        <v>122.5</v>
      </c>
      <c r="M241" s="4" t="n">
        <v>0.2</v>
      </c>
      <c r="N241" s="24" t="n">
        <v>0.200892186401201</v>
      </c>
      <c r="O241" s="25" t="n">
        <v>462.327723145433</v>
      </c>
      <c r="P241" s="25" t="n">
        <v>41.643886357836</v>
      </c>
      <c r="Q241" s="26" t="n">
        <v>0.132686669519698</v>
      </c>
      <c r="R241" s="24" t="n">
        <v>1.004460932006</v>
      </c>
      <c r="S241" s="4" t="n">
        <v>0.273826060493651</v>
      </c>
      <c r="T241" s="25" t="n">
        <v>462.327723145433</v>
      </c>
      <c r="U241" s="25" t="n">
        <v>77</v>
      </c>
      <c r="V241" s="26" t="n">
        <v>0.051265306122449</v>
      </c>
      <c r="W241" s="24" t="n">
        <f aca="false">(I241-H241)/(J241-H241)</f>
        <v>1.32713752961682</v>
      </c>
      <c r="X241" s="24" t="n">
        <f aca="false">0.5*(1+(I241-K241-L241)/(I241-K241))</f>
        <v>0.427570093457944</v>
      </c>
      <c r="Y241" s="24" t="n">
        <v>1.36913030246825</v>
      </c>
      <c r="Z241" s="24" t="n">
        <v>0.241902876519494</v>
      </c>
      <c r="AA241" s="25" t="n">
        <v>462.327723145433</v>
      </c>
      <c r="AB241" s="25" t="n">
        <v>41.643886357836</v>
      </c>
      <c r="AC241" s="26" t="n">
        <v>0.132686669519698</v>
      </c>
      <c r="AD241" s="24" t="n">
        <v>1.20951438259747</v>
      </c>
      <c r="AE241" s="24" t="n">
        <v>0.287645237000982</v>
      </c>
      <c r="AF241" s="24" t="n">
        <v>0.859130504928759</v>
      </c>
      <c r="AG241" s="25" t="n">
        <v>489.917936816435</v>
      </c>
      <c r="AH241" s="26" t="n">
        <v>0.0333</v>
      </c>
      <c r="AI241" s="24" t="n">
        <v>1.43822618500491</v>
      </c>
    </row>
    <row r="242" customFormat="false" ht="14.25" hidden="false" customHeight="false" outlineLevel="0" collapsed="false">
      <c r="B242" s="1" t="n">
        <v>20</v>
      </c>
      <c r="C242" s="1" t="n">
        <v>3</v>
      </c>
      <c r="D242" s="2" t="n">
        <v>12</v>
      </c>
      <c r="E242" s="4" t="n">
        <v>2.98</v>
      </c>
      <c r="F242" s="1" t="n">
        <v>25</v>
      </c>
      <c r="G242" s="1" t="n">
        <v>35</v>
      </c>
      <c r="H242" s="3" t="n">
        <v>93.0113581251418</v>
      </c>
      <c r="I242" s="1" t="n">
        <v>235</v>
      </c>
      <c r="J242" s="32" t="n">
        <v>200</v>
      </c>
      <c r="K242" s="25" t="n">
        <v>128</v>
      </c>
      <c r="L242" s="32" t="n">
        <v>122.5</v>
      </c>
      <c r="M242" s="4" t="n">
        <v>0.22</v>
      </c>
      <c r="N242" s="24" t="n">
        <v>0.219142701022657</v>
      </c>
      <c r="O242" s="25" t="n">
        <v>502.059011853244</v>
      </c>
      <c r="P242" s="25" t="n">
        <v>41.643886357836</v>
      </c>
      <c r="Q242" s="26" t="n">
        <v>0.132686669519698</v>
      </c>
      <c r="R242" s="24" t="n">
        <v>0.996103186466621</v>
      </c>
      <c r="S242" s="4" t="n">
        <v>0.299982426936181</v>
      </c>
      <c r="T242" s="25" t="n">
        <v>502.059011853244</v>
      </c>
      <c r="U242" s="25" t="n">
        <v>77</v>
      </c>
      <c r="V242" s="26" t="n">
        <v>0.051265306122449</v>
      </c>
      <c r="W242" s="24" t="n">
        <f aca="false">(I242-H242)/(J242-H242)</f>
        <v>1.32713752961682</v>
      </c>
      <c r="X242" s="24" t="n">
        <f aca="false">0.5*(1+(I242-K242-L242)/(I242-K242))</f>
        <v>0.427570093457944</v>
      </c>
      <c r="Y242" s="24" t="n">
        <v>1.36355648607355</v>
      </c>
      <c r="Z242" s="24" t="n">
        <v>0.263879101996349</v>
      </c>
      <c r="AA242" s="25" t="n">
        <v>502.059011853244</v>
      </c>
      <c r="AB242" s="25" t="n">
        <v>41.643886357836</v>
      </c>
      <c r="AC242" s="26" t="n">
        <v>0.132686669519698</v>
      </c>
      <c r="AD242" s="24" t="n">
        <v>1.19945046361977</v>
      </c>
      <c r="AE242" s="24" t="n">
        <v>0.310004336896578</v>
      </c>
      <c r="AF242" s="24" t="n">
        <v>0.997884563758389</v>
      </c>
      <c r="AG242" s="25" t="n">
        <v>528</v>
      </c>
      <c r="AH242" s="26" t="n">
        <v>0.0333</v>
      </c>
      <c r="AI242" s="24" t="n">
        <v>1.40911062225717</v>
      </c>
    </row>
    <row r="243" customFormat="false" ht="14.25" hidden="false" customHeight="false" outlineLevel="0" collapsed="false">
      <c r="A243" s="0" t="s">
        <v>72</v>
      </c>
      <c r="B243" s="1" t="n">
        <v>28</v>
      </c>
      <c r="C243" s="1" t="n">
        <v>4</v>
      </c>
      <c r="D243" s="2" t="n">
        <v>16</v>
      </c>
      <c r="E243" s="4" t="n">
        <v>5.30847435710111</v>
      </c>
      <c r="F243" s="1" t="n">
        <v>30</v>
      </c>
      <c r="G243" s="1" t="n">
        <v>44</v>
      </c>
      <c r="H243" s="3" t="n">
        <v>133.493416234983</v>
      </c>
      <c r="I243" s="1" t="n">
        <v>300</v>
      </c>
      <c r="J243" s="32" t="n">
        <v>256</v>
      </c>
      <c r="K243" s="25" t="n">
        <v>168</v>
      </c>
      <c r="L243" s="32" t="n">
        <v>154</v>
      </c>
      <c r="M243" s="4" t="n">
        <v>0.22</v>
      </c>
      <c r="N243" s="24" t="n">
        <v>0.0560843968035876</v>
      </c>
      <c r="O243" s="25" t="n">
        <v>151.171969977459</v>
      </c>
      <c r="P243" s="25" t="n">
        <v>55.2766664422132</v>
      </c>
      <c r="Q243" s="26" t="n">
        <v>0.221883118160293</v>
      </c>
      <c r="R243" s="24" t="n">
        <v>0.254929076379943</v>
      </c>
      <c r="S243" s="4" t="n">
        <v>0.0676476530429682</v>
      </c>
      <c r="T243" s="25" t="n">
        <v>151.171969977459</v>
      </c>
      <c r="U243" s="25" t="n">
        <v>98</v>
      </c>
      <c r="V243" s="26" t="n">
        <v>0.0799675324675325</v>
      </c>
      <c r="W243" s="24" t="n">
        <f aca="false">(I243-H243)/(J243-H243)</f>
        <v>1.35916437017293</v>
      </c>
      <c r="X243" s="24" t="n">
        <f aca="false">0.5*(1+(I243-K243-L243)/(I243-K243))</f>
        <v>0.416666666666667</v>
      </c>
      <c r="Y243" s="24" t="n">
        <v>0.307489332013492</v>
      </c>
      <c r="Z243" s="24" t="n">
        <v>0.0728407994883951</v>
      </c>
      <c r="AA243" s="25" t="n">
        <v>151.171969977459</v>
      </c>
      <c r="AB243" s="25" t="n">
        <v>55.2766664422132</v>
      </c>
      <c r="AC243" s="26" t="n">
        <v>0.221883118160293</v>
      </c>
      <c r="AD243" s="24" t="n">
        <v>0.331094543129069</v>
      </c>
      <c r="AE243" s="24" t="n">
        <v>0.110449823597294</v>
      </c>
      <c r="AF243" s="24" t="n">
        <v>0.0733613773686082</v>
      </c>
      <c r="AG243" s="25" t="n">
        <v>161.487986871358</v>
      </c>
      <c r="AH243" s="26" t="n">
        <v>0.0433</v>
      </c>
      <c r="AI243" s="24" t="n">
        <v>0.333460806220946</v>
      </c>
    </row>
    <row r="244" customFormat="false" ht="14.25" hidden="false" customHeight="false" outlineLevel="0" collapsed="false">
      <c r="B244" s="1" t="n">
        <v>28</v>
      </c>
      <c r="C244" s="1" t="n">
        <v>4</v>
      </c>
      <c r="D244" s="2" t="n">
        <v>16</v>
      </c>
      <c r="E244" s="4" t="n">
        <v>5.30847435710111</v>
      </c>
      <c r="F244" s="1" t="n">
        <v>30</v>
      </c>
      <c r="G244" s="1" t="n">
        <v>44</v>
      </c>
      <c r="H244" s="3" t="n">
        <v>133.493416234983</v>
      </c>
      <c r="I244" s="1" t="n">
        <v>300</v>
      </c>
      <c r="J244" s="32" t="n">
        <v>256</v>
      </c>
      <c r="K244" s="25" t="n">
        <v>168</v>
      </c>
      <c r="L244" s="32" t="n">
        <v>154</v>
      </c>
      <c r="M244" s="4" t="n">
        <v>0.25</v>
      </c>
      <c r="N244" s="24" t="n">
        <v>0.0801018616532419</v>
      </c>
      <c r="O244" s="25" t="n">
        <v>201.706599941352</v>
      </c>
      <c r="P244" s="25" t="n">
        <v>55.2766664422132</v>
      </c>
      <c r="Q244" s="26" t="n">
        <v>0.221883118160293</v>
      </c>
      <c r="R244" s="24" t="n">
        <v>0.320407446612968</v>
      </c>
      <c r="S244" s="4" t="n">
        <v>0.104592545860819</v>
      </c>
      <c r="T244" s="25" t="n">
        <v>201.706599941352</v>
      </c>
      <c r="U244" s="25" t="n">
        <v>98</v>
      </c>
      <c r="V244" s="26" t="n">
        <v>0.0799675324675325</v>
      </c>
      <c r="W244" s="24" t="n">
        <f aca="false">(I244-H244)/(J244-H244)</f>
        <v>1.35916437017293</v>
      </c>
      <c r="X244" s="24" t="n">
        <f aca="false">0.5*(1+(I244-K244-L244)/(I244-K244))</f>
        <v>0.416666666666667</v>
      </c>
      <c r="Y244" s="24" t="n">
        <v>0.418370183443275</v>
      </c>
      <c r="Z244" s="24" t="n">
        <v>0.104033991196598</v>
      </c>
      <c r="AA244" s="25" t="n">
        <v>201.706599941352</v>
      </c>
      <c r="AB244" s="25" t="n">
        <v>55.2766664422132</v>
      </c>
      <c r="AC244" s="26" t="n">
        <v>0.221883118160293</v>
      </c>
      <c r="AD244" s="24" t="n">
        <v>0.416135964786393</v>
      </c>
      <c r="AE244" s="24" t="n">
        <v>0.147371621771247</v>
      </c>
      <c r="AF244" s="24" t="n">
        <v>0.130606607583203</v>
      </c>
      <c r="AG244" s="25" t="n">
        <v>215.471113911212</v>
      </c>
      <c r="AH244" s="26" t="n">
        <v>0.0433</v>
      </c>
      <c r="AI244" s="24" t="n">
        <v>0.522426430332813</v>
      </c>
    </row>
    <row r="245" customFormat="false" ht="14.25" hidden="false" customHeight="false" outlineLevel="0" collapsed="false">
      <c r="B245" s="1" t="n">
        <v>28</v>
      </c>
      <c r="C245" s="1" t="n">
        <v>4</v>
      </c>
      <c r="D245" s="2" t="n">
        <v>16</v>
      </c>
      <c r="E245" s="4" t="n">
        <v>5.30847435710111</v>
      </c>
      <c r="F245" s="1" t="n">
        <v>30</v>
      </c>
      <c r="G245" s="1" t="n">
        <v>44</v>
      </c>
      <c r="H245" s="3" t="n">
        <v>133.493416234983</v>
      </c>
      <c r="I245" s="1" t="n">
        <v>300</v>
      </c>
      <c r="J245" s="32" t="n">
        <v>256</v>
      </c>
      <c r="K245" s="25" t="n">
        <v>168</v>
      </c>
      <c r="L245" s="32" t="n">
        <v>154</v>
      </c>
      <c r="M245" s="4" t="n">
        <v>0.29</v>
      </c>
      <c r="N245" s="24" t="n">
        <v>0.0938554526355226</v>
      </c>
      <c r="O245" s="25" t="n">
        <v>230.64523419418</v>
      </c>
      <c r="P245" s="25" t="n">
        <v>55.2766664422132</v>
      </c>
      <c r="Q245" s="26" t="n">
        <v>0.221883118160293</v>
      </c>
      <c r="R245" s="24" t="n">
        <v>0.32363949184663</v>
      </c>
      <c r="S245" s="4" t="n">
        <v>0.125749022944545</v>
      </c>
      <c r="T245" s="25" t="n">
        <v>230.64523419418</v>
      </c>
      <c r="U245" s="25" t="n">
        <v>98</v>
      </c>
      <c r="V245" s="26" t="n">
        <v>0.0799675324675325</v>
      </c>
      <c r="W245" s="24" t="n">
        <f aca="false">(I245-H245)/(J245-H245)</f>
        <v>1.35916437017293</v>
      </c>
      <c r="X245" s="24" t="n">
        <f aca="false">0.5*(1+(I245-K245-L245)/(I245-K245))</f>
        <v>0.416666666666667</v>
      </c>
      <c r="Y245" s="24" t="n">
        <v>0.433617320498431</v>
      </c>
      <c r="Z245" s="24" t="n">
        <v>0.121896759097877</v>
      </c>
      <c r="AA245" s="25" t="n">
        <v>230.64523419418</v>
      </c>
      <c r="AB245" s="25" t="n">
        <v>55.2766664422132</v>
      </c>
      <c r="AC245" s="26" t="n">
        <v>0.221883118160293</v>
      </c>
      <c r="AD245" s="24" t="n">
        <v>0.420333652061645</v>
      </c>
      <c r="AE245" s="24" t="n">
        <v>0.168514873717015</v>
      </c>
      <c r="AF245" s="24" t="n">
        <v>0.170770913672839</v>
      </c>
      <c r="AG245" s="25" t="n">
        <v>246.384528540872</v>
      </c>
      <c r="AH245" s="26" t="n">
        <v>0.0433</v>
      </c>
      <c r="AI245" s="24" t="n">
        <v>0.581085771437981</v>
      </c>
    </row>
    <row r="246" customFormat="false" ht="14.25" hidden="false" customHeight="false" outlineLevel="0" collapsed="false">
      <c r="B246" s="1" t="n">
        <v>28</v>
      </c>
      <c r="C246" s="1" t="n">
        <v>4</v>
      </c>
      <c r="D246" s="2" t="n">
        <v>16</v>
      </c>
      <c r="E246" s="4" t="n">
        <v>5.30847435710111</v>
      </c>
      <c r="F246" s="1" t="n">
        <v>30</v>
      </c>
      <c r="G246" s="1" t="n">
        <v>44</v>
      </c>
      <c r="H246" s="3" t="n">
        <v>133.493416234983</v>
      </c>
      <c r="I246" s="1" t="n">
        <v>300</v>
      </c>
      <c r="J246" s="32" t="n">
        <v>256</v>
      </c>
      <c r="K246" s="25" t="n">
        <v>168</v>
      </c>
      <c r="L246" s="32" t="n">
        <v>154</v>
      </c>
      <c r="M246" s="4" t="n">
        <v>0.31</v>
      </c>
      <c r="N246" s="24" t="n">
        <v>0.109661818391278</v>
      </c>
      <c r="O246" s="25" t="n">
        <v>263.903067589221</v>
      </c>
      <c r="P246" s="25" t="n">
        <v>55.2766664422132</v>
      </c>
      <c r="Q246" s="26" t="n">
        <v>0.221883118160293</v>
      </c>
      <c r="R246" s="24" t="n">
        <v>0.353747801262187</v>
      </c>
      <c r="S246" s="4" t="n">
        <v>0.150063183175096</v>
      </c>
      <c r="T246" s="25" t="n">
        <v>263.903067589221</v>
      </c>
      <c r="U246" s="25" t="n">
        <v>98</v>
      </c>
      <c r="V246" s="26" t="n">
        <v>0.0799675324675325</v>
      </c>
      <c r="W246" s="24" t="n">
        <f aca="false">(I246-H246)/(J246-H246)</f>
        <v>1.35916437017293</v>
      </c>
      <c r="X246" s="24" t="n">
        <f aca="false">0.5*(1+(I246-K246-L246)/(I246-K246))</f>
        <v>0.416666666666667</v>
      </c>
      <c r="Y246" s="24" t="n">
        <v>0.484074784435794</v>
      </c>
      <c r="Z246" s="24" t="n">
        <v>0.142425611760541</v>
      </c>
      <c r="AA246" s="25" t="n">
        <v>263.903067589221</v>
      </c>
      <c r="AB246" s="25" t="n">
        <v>55.2766664422132</v>
      </c>
      <c r="AC246" s="26" t="n">
        <v>0.221883118160293</v>
      </c>
      <c r="AD246" s="24" t="n">
        <v>0.459437457292067</v>
      </c>
      <c r="AE246" s="24" t="n">
        <v>0.192813834908419</v>
      </c>
      <c r="AF246" s="24" t="n">
        <v>0.223570144984703</v>
      </c>
      <c r="AG246" s="25" t="n">
        <v>281.911885652571</v>
      </c>
      <c r="AH246" s="26" t="n">
        <v>0.0433</v>
      </c>
      <c r="AI246" s="24" t="n">
        <v>0.621980112607804</v>
      </c>
    </row>
    <row r="247" customFormat="false" ht="14.25" hidden="false" customHeight="false" outlineLevel="0" collapsed="false">
      <c r="B247" s="1" t="n">
        <v>28</v>
      </c>
      <c r="C247" s="1" t="n">
        <v>4</v>
      </c>
      <c r="D247" s="2" t="n">
        <v>16</v>
      </c>
      <c r="E247" s="4" t="n">
        <v>5.30847435710111</v>
      </c>
      <c r="F247" s="1" t="n">
        <v>30</v>
      </c>
      <c r="G247" s="1" t="n">
        <v>44</v>
      </c>
      <c r="H247" s="3" t="n">
        <v>133.493416234983</v>
      </c>
      <c r="I247" s="1" t="n">
        <v>300</v>
      </c>
      <c r="J247" s="32" t="n">
        <v>256</v>
      </c>
      <c r="K247" s="25" t="n">
        <v>168</v>
      </c>
      <c r="L247" s="32" t="n">
        <v>154</v>
      </c>
      <c r="M247" s="4" t="n">
        <v>0.33</v>
      </c>
      <c r="N247" s="24" t="n">
        <v>0.134295115672975</v>
      </c>
      <c r="O247" s="25" t="n">
        <v>315.733457295778</v>
      </c>
      <c r="P247" s="25" t="n">
        <v>55.2766664422132</v>
      </c>
      <c r="Q247" s="26" t="n">
        <v>0.221883118160293</v>
      </c>
      <c r="R247" s="24" t="n">
        <v>0.406954895978711</v>
      </c>
      <c r="S247" s="4" t="n">
        <v>0.187955380936994</v>
      </c>
      <c r="T247" s="25" t="n">
        <v>315.733457295778</v>
      </c>
      <c r="U247" s="25" t="n">
        <v>98</v>
      </c>
      <c r="V247" s="26" t="n">
        <v>0.0799675324675325</v>
      </c>
      <c r="W247" s="24" t="n">
        <f aca="false">(I247-H247)/(J247-H247)</f>
        <v>1.35916437017293</v>
      </c>
      <c r="X247" s="24" t="n">
        <f aca="false">0.5*(1+(I247-K247-L247)/(I247-K247))</f>
        <v>0.416666666666667</v>
      </c>
      <c r="Y247" s="24" t="n">
        <v>0.569561760415134</v>
      </c>
      <c r="Z247" s="24" t="n">
        <v>0.174418628897159</v>
      </c>
      <c r="AA247" s="25" t="n">
        <v>315.733457295778</v>
      </c>
      <c r="AB247" s="25" t="n">
        <v>55.2766664422132</v>
      </c>
      <c r="AC247" s="26" t="n">
        <v>0.221883118160293</v>
      </c>
      <c r="AD247" s="24" t="n">
        <v>0.528541299688362</v>
      </c>
      <c r="AE247" s="24" t="n">
        <v>0.230682345856063</v>
      </c>
      <c r="AF247" s="24" t="n">
        <v>0.320011909976056</v>
      </c>
      <c r="AG247" s="25" t="n">
        <v>337.279195437036</v>
      </c>
      <c r="AH247" s="26" t="n">
        <v>0.0433</v>
      </c>
      <c r="AI247" s="24" t="n">
        <v>0.699037411685039</v>
      </c>
    </row>
    <row r="248" customFormat="false" ht="14.25" hidden="false" customHeight="false" outlineLevel="0" collapsed="false">
      <c r="B248" s="1" t="n">
        <v>28</v>
      </c>
      <c r="C248" s="1" t="n">
        <v>4</v>
      </c>
      <c r="D248" s="2" t="n">
        <v>16</v>
      </c>
      <c r="E248" s="4" t="n">
        <v>5.30847435710111</v>
      </c>
      <c r="F248" s="1" t="n">
        <v>30</v>
      </c>
      <c r="G248" s="1" t="n">
        <v>44</v>
      </c>
      <c r="H248" s="3" t="n">
        <v>133.493416234983</v>
      </c>
      <c r="I248" s="1" t="n">
        <v>300</v>
      </c>
      <c r="J248" s="32" t="n">
        <v>256</v>
      </c>
      <c r="K248" s="25" t="n">
        <v>168</v>
      </c>
      <c r="L248" s="32" t="n">
        <v>154</v>
      </c>
      <c r="M248" s="4" t="n">
        <v>0.34</v>
      </c>
      <c r="N248" s="24" t="n">
        <v>0.146817041791171</v>
      </c>
      <c r="O248" s="25" t="n">
        <v>342.080572063278</v>
      </c>
      <c r="P248" s="25" t="n">
        <v>55.2766664422132</v>
      </c>
      <c r="Q248" s="26" t="n">
        <v>0.221883118160293</v>
      </c>
      <c r="R248" s="24" t="n">
        <v>0.43181482879756</v>
      </c>
      <c r="S248" s="4" t="n">
        <v>0.207217248132626</v>
      </c>
      <c r="T248" s="25" t="n">
        <v>342.080572063278</v>
      </c>
      <c r="U248" s="25" t="n">
        <v>98</v>
      </c>
      <c r="V248" s="26" t="n">
        <v>0.0799675324675325</v>
      </c>
      <c r="W248" s="24" t="n">
        <f aca="false">(I248-H248)/(J248-H248)</f>
        <v>1.35916437017293</v>
      </c>
      <c r="X248" s="24" t="n">
        <f aca="false">0.5*(1+(I248-K248-L248)/(I248-K248))</f>
        <v>0.416666666666667</v>
      </c>
      <c r="Y248" s="24" t="n">
        <v>0.609462494507722</v>
      </c>
      <c r="Z248" s="24" t="n">
        <v>0.190681745941607</v>
      </c>
      <c r="AA248" s="25" t="n">
        <v>342.080572063278</v>
      </c>
      <c r="AB248" s="25" t="n">
        <v>55.2766664422132</v>
      </c>
      <c r="AC248" s="26" t="n">
        <v>0.221883118160293</v>
      </c>
      <c r="AD248" s="24" t="n">
        <v>0.560828664534139</v>
      </c>
      <c r="AE248" s="24" t="n">
        <v>0.249932172254449</v>
      </c>
      <c r="AF248" s="24" t="n">
        <v>0.375648579704022</v>
      </c>
      <c r="AG248" s="25" t="n">
        <v>365.424244577473</v>
      </c>
      <c r="AH248" s="26" t="n">
        <v>0.0433</v>
      </c>
      <c r="AI248" s="24" t="n">
        <v>0.73509462427779</v>
      </c>
    </row>
    <row r="249" customFormat="false" ht="14.25" hidden="false" customHeight="false" outlineLevel="0" collapsed="false">
      <c r="B249" s="1" t="n">
        <v>28</v>
      </c>
      <c r="C249" s="1" t="n">
        <v>4</v>
      </c>
      <c r="D249" s="2" t="n">
        <v>16</v>
      </c>
      <c r="E249" s="4" t="n">
        <v>5.30847435710111</v>
      </c>
      <c r="F249" s="1" t="n">
        <v>30</v>
      </c>
      <c r="G249" s="1" t="n">
        <v>44</v>
      </c>
      <c r="H249" s="3" t="n">
        <v>133.493416234983</v>
      </c>
      <c r="I249" s="1" t="n">
        <v>300</v>
      </c>
      <c r="J249" s="32" t="n">
        <v>256</v>
      </c>
      <c r="K249" s="25" t="n">
        <v>168</v>
      </c>
      <c r="L249" s="32" t="n">
        <v>154</v>
      </c>
      <c r="M249" s="4" t="n">
        <v>0.37</v>
      </c>
      <c r="N249" s="24" t="n">
        <v>0.165086737275096</v>
      </c>
      <c r="O249" s="25" t="n">
        <v>380.521444428975</v>
      </c>
      <c r="P249" s="25" t="n">
        <v>55.2766664422132</v>
      </c>
      <c r="Q249" s="26" t="n">
        <v>0.221883118160293</v>
      </c>
      <c r="R249" s="24" t="n">
        <v>0.446180371013772</v>
      </c>
      <c r="S249" s="4" t="n">
        <v>0.235320628139366</v>
      </c>
      <c r="T249" s="25" t="n">
        <v>380.521444428975</v>
      </c>
      <c r="U249" s="25" t="n">
        <v>98</v>
      </c>
      <c r="V249" s="26" t="n">
        <v>0.0799675324675325</v>
      </c>
      <c r="W249" s="24" t="n">
        <f aca="false">(I249-H249)/(J249-H249)</f>
        <v>1.35916437017293</v>
      </c>
      <c r="X249" s="24" t="n">
        <f aca="false">0.5*(1+(I249-K249-L249)/(I249-K249))</f>
        <v>0.416666666666667</v>
      </c>
      <c r="Y249" s="24" t="n">
        <v>0.636001697673963</v>
      </c>
      <c r="Z249" s="24" t="n">
        <v>0.214409900317933</v>
      </c>
      <c r="AA249" s="25" t="n">
        <v>380.521444428975</v>
      </c>
      <c r="AB249" s="25" t="n">
        <v>55.2766664422132</v>
      </c>
      <c r="AC249" s="26" t="n">
        <v>0.221883118160293</v>
      </c>
      <c r="AD249" s="24" t="n">
        <v>0.579486217075494</v>
      </c>
      <c r="AE249" s="24" t="n">
        <v>0.273580284793021</v>
      </c>
      <c r="AF249" s="24" t="n">
        <v>0.450097932589076</v>
      </c>
      <c r="AG249" s="25" t="n">
        <v>400</v>
      </c>
      <c r="AH249" s="26" t="n">
        <v>0.0433</v>
      </c>
      <c r="AI249" s="24" t="n">
        <v>0.739406175116272</v>
      </c>
    </row>
    <row r="250" customFormat="false" ht="14.25" hidden="false" customHeight="false" outlineLevel="0" collapsed="false">
      <c r="A250" s="0" t="s">
        <v>73</v>
      </c>
      <c r="B250" s="1" t="n">
        <v>15.9</v>
      </c>
      <c r="C250" s="1" t="n">
        <v>2</v>
      </c>
      <c r="D250" s="2" t="n">
        <v>46</v>
      </c>
      <c r="E250" s="4" t="n">
        <v>2.82587739786632</v>
      </c>
      <c r="F250" s="1" t="n">
        <v>30</v>
      </c>
      <c r="G250" s="1" t="n">
        <v>38</v>
      </c>
      <c r="H250" s="3" t="n">
        <v>70.0613812094831</v>
      </c>
      <c r="I250" s="1" t="n">
        <v>250</v>
      </c>
      <c r="J250" s="32" t="n">
        <v>212</v>
      </c>
      <c r="K250" s="25" t="n">
        <v>130</v>
      </c>
      <c r="L250" s="32" t="n">
        <v>117.5</v>
      </c>
      <c r="M250" s="4" t="n">
        <v>0.2</v>
      </c>
      <c r="N250" s="24" t="n">
        <v>0.249818807990607</v>
      </c>
      <c r="O250" s="25" t="n">
        <v>361.669574509028</v>
      </c>
      <c r="P250" s="25" t="n">
        <v>82.4614147066224</v>
      </c>
      <c r="Q250" s="26" t="n">
        <v>0.0441483882303684</v>
      </c>
      <c r="R250" s="24" t="n">
        <v>1.24909403995303</v>
      </c>
      <c r="S250" s="4" t="n">
        <v>0.267289298730918</v>
      </c>
      <c r="T250" s="25" t="n">
        <v>361.669574509028</v>
      </c>
      <c r="U250" s="25" t="n">
        <v>144</v>
      </c>
      <c r="V250" s="26" t="n">
        <v>0.022536170212766</v>
      </c>
      <c r="W250" s="24" t="n">
        <f aca="false">(I250-H250)/(J250-H250)</f>
        <v>1.26772135958349</v>
      </c>
      <c r="X250" s="24" t="n">
        <f aca="false">0.5*(1+(I250-K250-L250)/(I250-K250))</f>
        <v>0.510416666666667</v>
      </c>
      <c r="Y250" s="24" t="n">
        <v>1.33644649365459</v>
      </c>
      <c r="Z250" s="24" t="n">
        <v>0.254788816153853</v>
      </c>
      <c r="AA250" s="25" t="n">
        <v>361.669574509028</v>
      </c>
      <c r="AB250" s="25" t="n">
        <v>82.4614147066224</v>
      </c>
      <c r="AC250" s="26" t="n">
        <v>0.0441483882303684</v>
      </c>
      <c r="AD250" s="24" t="n">
        <v>1.27394408076927</v>
      </c>
      <c r="AE250" s="24" t="n">
        <v>0.281993618425503</v>
      </c>
      <c r="AF250" s="24" t="n">
        <v>0.431133668483731</v>
      </c>
      <c r="AG250" s="25" t="n">
        <v>379.0397016511</v>
      </c>
      <c r="AH250" s="26" t="n">
        <v>0.0183</v>
      </c>
      <c r="AI250" s="24" t="n">
        <v>1.40996809212752</v>
      </c>
    </row>
    <row r="251" customFormat="false" ht="14.25" hidden="false" customHeight="false" outlineLevel="0" collapsed="false">
      <c r="B251" s="1" t="n">
        <v>15.9</v>
      </c>
      <c r="C251" s="1" t="n">
        <v>2</v>
      </c>
      <c r="D251" s="2" t="n">
        <v>46</v>
      </c>
      <c r="E251" s="4" t="n">
        <v>2.82587739786632</v>
      </c>
      <c r="F251" s="1" t="n">
        <v>30</v>
      </c>
      <c r="G251" s="1" t="n">
        <v>38</v>
      </c>
      <c r="H251" s="3" t="n">
        <v>70.0613812094831</v>
      </c>
      <c r="I251" s="1" t="n">
        <v>250</v>
      </c>
      <c r="J251" s="32" t="n">
        <v>212</v>
      </c>
      <c r="K251" s="25" t="n">
        <v>130</v>
      </c>
      <c r="L251" s="32" t="n">
        <v>117.5</v>
      </c>
      <c r="M251" s="4" t="n">
        <v>0.35</v>
      </c>
      <c r="N251" s="24" t="n">
        <v>0.274329489229603</v>
      </c>
      <c r="O251" s="25" t="n">
        <v>392.3</v>
      </c>
      <c r="P251" s="25" t="n">
        <v>82.4614147066224</v>
      </c>
      <c r="Q251" s="26" t="n">
        <v>0.0441483882303684</v>
      </c>
      <c r="R251" s="24" t="n">
        <v>0.783798540656008</v>
      </c>
      <c r="S251" s="4" t="n">
        <v>0.297021729415675</v>
      </c>
      <c r="T251" s="25" t="n">
        <v>392.3</v>
      </c>
      <c r="U251" s="25" t="n">
        <v>144</v>
      </c>
      <c r="V251" s="26" t="n">
        <v>0.022536170212766</v>
      </c>
      <c r="W251" s="24" t="n">
        <f aca="false">(I251-H251)/(J251-H251)</f>
        <v>1.26772135958349</v>
      </c>
      <c r="X251" s="24" t="n">
        <f aca="false">0.5*(1+(I251-K251-L251)/(I251-K251))</f>
        <v>0.510416666666667</v>
      </c>
      <c r="Y251" s="24" t="n">
        <v>0.848633512616216</v>
      </c>
      <c r="Z251" s="24" t="n">
        <v>0.279787123952372</v>
      </c>
      <c r="AA251" s="25" t="n">
        <v>392.3</v>
      </c>
      <c r="AB251" s="25" t="n">
        <v>82.4614147066224</v>
      </c>
      <c r="AC251" s="26" t="n">
        <v>0.0441483882303684</v>
      </c>
      <c r="AD251" s="24" t="n">
        <v>0.799391782721063</v>
      </c>
      <c r="AE251" s="24" t="n">
        <v>0.291858863402532</v>
      </c>
      <c r="AF251" s="24" t="n">
        <v>0.461826822418196</v>
      </c>
      <c r="AG251" s="25" t="n">
        <v>392.3</v>
      </c>
      <c r="AH251" s="26" t="n">
        <v>0.0183</v>
      </c>
      <c r="AI251" s="24" t="n">
        <v>0.833882466864377</v>
      </c>
    </row>
    <row r="252" customFormat="false" ht="14.25" hidden="false" customHeight="false" outlineLevel="0" collapsed="false">
      <c r="A252" s="0" t="s">
        <v>74</v>
      </c>
      <c r="B252" s="1" t="n">
        <v>15.9</v>
      </c>
      <c r="C252" s="1" t="n">
        <v>2</v>
      </c>
      <c r="D252" s="2" t="n">
        <v>46</v>
      </c>
      <c r="E252" s="4" t="n">
        <v>2.82587739786632</v>
      </c>
      <c r="F252" s="1" t="n">
        <v>30</v>
      </c>
      <c r="G252" s="1" t="n">
        <v>38</v>
      </c>
      <c r="H252" s="3" t="n">
        <v>70.0613812094831</v>
      </c>
      <c r="I252" s="1" t="n">
        <v>250</v>
      </c>
      <c r="J252" s="32" t="n">
        <v>212</v>
      </c>
      <c r="K252" s="25" t="n">
        <v>130</v>
      </c>
      <c r="L252" s="32" t="n">
        <v>117.5</v>
      </c>
      <c r="M252" s="4" t="n">
        <v>0.2</v>
      </c>
      <c r="N252" s="24" t="n">
        <v>0.250886743523152</v>
      </c>
      <c r="O252" s="25" t="n">
        <v>363.004148584707</v>
      </c>
      <c r="P252" s="25" t="n">
        <v>82.4614147066224</v>
      </c>
      <c r="Q252" s="26" t="n">
        <v>0.0441483882303684</v>
      </c>
      <c r="R252" s="24" t="n">
        <v>1.25443371761576</v>
      </c>
      <c r="S252" s="4" t="n">
        <v>0.268584746984175</v>
      </c>
      <c r="T252" s="25" t="n">
        <v>363.004148584707</v>
      </c>
      <c r="U252" s="25" t="n">
        <v>144</v>
      </c>
      <c r="V252" s="26" t="n">
        <v>0.022536170212766</v>
      </c>
      <c r="W252" s="24" t="n">
        <f aca="false">(I252-H252)/(J252-H252)</f>
        <v>1.26772135958349</v>
      </c>
      <c r="X252" s="24" t="n">
        <f aca="false">0.5*(1+(I252-K252-L252)/(I252-K252))</f>
        <v>0.510416666666667</v>
      </c>
      <c r="Y252" s="24" t="n">
        <v>1.34292373492088</v>
      </c>
      <c r="Z252" s="24" t="n">
        <v>0.255877997678073</v>
      </c>
      <c r="AA252" s="25" t="n">
        <v>363.004148584707</v>
      </c>
      <c r="AB252" s="25" t="n">
        <v>82.4614147066224</v>
      </c>
      <c r="AC252" s="26" t="n">
        <v>0.0441483882303684</v>
      </c>
      <c r="AD252" s="24" t="n">
        <v>1.27938998839036</v>
      </c>
      <c r="AE252" s="24" t="n">
        <v>0.283034185283162</v>
      </c>
      <c r="AF252" s="24" t="n">
        <v>0.434321337251676</v>
      </c>
      <c r="AG252" s="25" t="n">
        <v>380.438372136898</v>
      </c>
      <c r="AH252" s="26" t="n">
        <v>0.0183</v>
      </c>
      <c r="AI252" s="24" t="n">
        <v>1.41517092641581</v>
      </c>
    </row>
    <row r="253" customFormat="false" ht="14.25" hidden="false" customHeight="false" outlineLevel="0" collapsed="false">
      <c r="B253" s="1" t="n">
        <v>15.9</v>
      </c>
      <c r="C253" s="1" t="n">
        <v>2</v>
      </c>
      <c r="D253" s="2" t="n">
        <v>46</v>
      </c>
      <c r="E253" s="4" t="n">
        <v>2.82587739786632</v>
      </c>
      <c r="F253" s="1" t="n">
        <v>30</v>
      </c>
      <c r="G253" s="1" t="n">
        <v>38</v>
      </c>
      <c r="H253" s="3" t="n">
        <v>70.0613812094831</v>
      </c>
      <c r="I253" s="1" t="n">
        <v>250</v>
      </c>
      <c r="J253" s="32" t="n">
        <v>212</v>
      </c>
      <c r="K253" s="25" t="n">
        <v>130</v>
      </c>
      <c r="L253" s="32" t="n">
        <v>117.5</v>
      </c>
      <c r="M253" s="4" t="n">
        <v>0.25</v>
      </c>
      <c r="N253" s="24" t="n">
        <v>0.274329489229603</v>
      </c>
      <c r="O253" s="25" t="n">
        <v>392.3</v>
      </c>
      <c r="P253" s="25" t="n">
        <v>82.4614147066224</v>
      </c>
      <c r="Q253" s="26" t="n">
        <v>0.0441483882303684</v>
      </c>
      <c r="R253" s="24" t="n">
        <v>1.09731795691841</v>
      </c>
      <c r="S253" s="4" t="n">
        <v>0.297021729415675</v>
      </c>
      <c r="T253" s="25" t="n">
        <v>392.3</v>
      </c>
      <c r="U253" s="25" t="n">
        <v>144</v>
      </c>
      <c r="V253" s="26" t="n">
        <v>0.022536170212766</v>
      </c>
      <c r="W253" s="24" t="n">
        <f aca="false">(I253-H253)/(J253-H253)</f>
        <v>1.26772135958349</v>
      </c>
      <c r="X253" s="24" t="n">
        <f aca="false">0.5*(1+(I253-K253-L253)/(I253-K253))</f>
        <v>0.510416666666667</v>
      </c>
      <c r="Y253" s="24" t="n">
        <v>1.1880869176627</v>
      </c>
      <c r="Z253" s="24" t="n">
        <v>0.279787123952372</v>
      </c>
      <c r="AA253" s="25" t="n">
        <v>392.3</v>
      </c>
      <c r="AB253" s="25" t="n">
        <v>82.4614147066224</v>
      </c>
      <c r="AC253" s="26" t="n">
        <v>0.0441483882303684</v>
      </c>
      <c r="AD253" s="24" t="n">
        <v>1.11914849580949</v>
      </c>
      <c r="AE253" s="24" t="n">
        <v>0.291858863402532</v>
      </c>
      <c r="AF253" s="24" t="n">
        <v>0.461826822418196</v>
      </c>
      <c r="AG253" s="25" t="n">
        <v>392.3</v>
      </c>
      <c r="AH253" s="26" t="n">
        <v>0.0183</v>
      </c>
      <c r="AI253" s="24" t="n">
        <v>1.16743545361013</v>
      </c>
    </row>
    <row r="254" customFormat="false" ht="14.25" hidden="false" customHeight="false" outlineLevel="0" collapsed="false">
      <c r="A254" s="0" t="s">
        <v>75</v>
      </c>
      <c r="B254" s="1" t="n">
        <v>15.9</v>
      </c>
      <c r="C254" s="1" t="n">
        <v>2</v>
      </c>
      <c r="D254" s="2" t="n">
        <v>46</v>
      </c>
      <c r="E254" s="4" t="n">
        <v>2.82587739786632</v>
      </c>
      <c r="F254" s="1" t="n">
        <v>30</v>
      </c>
      <c r="G254" s="1" t="n">
        <v>38</v>
      </c>
      <c r="H254" s="3" t="n">
        <v>70.0613812094831</v>
      </c>
      <c r="I254" s="1" t="n">
        <v>250</v>
      </c>
      <c r="J254" s="32" t="n">
        <v>212</v>
      </c>
      <c r="K254" s="25" t="n">
        <v>130</v>
      </c>
      <c r="L254" s="32" t="n">
        <v>117.5</v>
      </c>
      <c r="M254" s="4" t="n">
        <v>0.2</v>
      </c>
      <c r="N254" s="24" t="n">
        <v>0.250886743523152</v>
      </c>
      <c r="O254" s="25" t="n">
        <v>363.004148584707</v>
      </c>
      <c r="P254" s="25" t="n">
        <v>82.4614147066224</v>
      </c>
      <c r="Q254" s="26" t="n">
        <v>0.0441483882303684</v>
      </c>
      <c r="R254" s="24" t="n">
        <v>1.25443371761576</v>
      </c>
      <c r="S254" s="4" t="n">
        <v>0.268584746984175</v>
      </c>
      <c r="T254" s="25" t="n">
        <v>363.004148584707</v>
      </c>
      <c r="U254" s="25" t="n">
        <v>144</v>
      </c>
      <c r="V254" s="26" t="n">
        <v>0.022536170212766</v>
      </c>
      <c r="W254" s="24" t="n">
        <f aca="false">(I254-H254)/(J254-H254)</f>
        <v>1.26772135958349</v>
      </c>
      <c r="X254" s="24" t="n">
        <f aca="false">0.5*(1+(I254-K254-L254)/(I254-K254))</f>
        <v>0.510416666666667</v>
      </c>
      <c r="Y254" s="24" t="n">
        <v>1.34292373492088</v>
      </c>
      <c r="Z254" s="24" t="n">
        <v>0.255877997678073</v>
      </c>
      <c r="AA254" s="25" t="n">
        <v>363.004148584707</v>
      </c>
      <c r="AB254" s="25" t="n">
        <v>82.4614147066224</v>
      </c>
      <c r="AC254" s="26" t="n">
        <v>0.0441483882303684</v>
      </c>
      <c r="AD254" s="24" t="n">
        <v>1.27938998839036</v>
      </c>
      <c r="AE254" s="24" t="n">
        <v>0.283034185283162</v>
      </c>
      <c r="AF254" s="24" t="n">
        <v>0.434321337251676</v>
      </c>
      <c r="AG254" s="25" t="n">
        <v>380.438372136898</v>
      </c>
      <c r="AH254" s="26" t="n">
        <v>0.0183</v>
      </c>
      <c r="AI254" s="24" t="n">
        <v>1.41517092641581</v>
      </c>
    </row>
    <row r="255" customFormat="false" ht="14.25" hidden="false" customHeight="false" outlineLevel="0" collapsed="false">
      <c r="B255" s="1" t="n">
        <v>15.9</v>
      </c>
      <c r="C255" s="1" t="n">
        <v>2</v>
      </c>
      <c r="D255" s="2" t="n">
        <v>46</v>
      </c>
      <c r="E255" s="4" t="n">
        <v>2.82587739786632</v>
      </c>
      <c r="F255" s="1" t="n">
        <v>30</v>
      </c>
      <c r="G255" s="1" t="n">
        <v>38</v>
      </c>
      <c r="H255" s="3" t="n">
        <v>70.0613812094831</v>
      </c>
      <c r="I255" s="1" t="n">
        <v>250</v>
      </c>
      <c r="J255" s="32" t="n">
        <v>212</v>
      </c>
      <c r="K255" s="25" t="n">
        <v>130</v>
      </c>
      <c r="L255" s="32" t="n">
        <v>117.5</v>
      </c>
      <c r="M255" s="4" t="n">
        <v>0.25</v>
      </c>
      <c r="N255" s="24" t="n">
        <v>0.274329489229603</v>
      </c>
      <c r="O255" s="25" t="n">
        <v>392.3</v>
      </c>
      <c r="P255" s="25" t="n">
        <v>82.4614147066224</v>
      </c>
      <c r="Q255" s="26" t="n">
        <v>0.0441483882303684</v>
      </c>
      <c r="R255" s="24" t="n">
        <v>1.09731795691841</v>
      </c>
      <c r="S255" s="4" t="n">
        <v>0.297021729415675</v>
      </c>
      <c r="T255" s="25" t="n">
        <v>392.3</v>
      </c>
      <c r="U255" s="25" t="n">
        <v>144</v>
      </c>
      <c r="V255" s="26" t="n">
        <v>0.022536170212766</v>
      </c>
      <c r="W255" s="24" t="n">
        <f aca="false">(I255-H255)/(J255-H255)</f>
        <v>1.26772135958349</v>
      </c>
      <c r="X255" s="24" t="n">
        <f aca="false">0.5*(1+(I255-K255-L255)/(I255-K255))</f>
        <v>0.510416666666667</v>
      </c>
      <c r="Y255" s="24" t="n">
        <v>1.1880869176627</v>
      </c>
      <c r="Z255" s="24" t="n">
        <v>0.279787123952372</v>
      </c>
      <c r="AA255" s="25" t="n">
        <v>392.3</v>
      </c>
      <c r="AB255" s="25" t="n">
        <v>82.4614147066224</v>
      </c>
      <c r="AC255" s="26" t="n">
        <v>0.0441483882303684</v>
      </c>
      <c r="AD255" s="24" t="n">
        <v>1.11914849580949</v>
      </c>
      <c r="AE255" s="24" t="n">
        <v>0.291858863402532</v>
      </c>
      <c r="AF255" s="24" t="n">
        <v>0.461826822418196</v>
      </c>
      <c r="AG255" s="25" t="n">
        <v>392.3</v>
      </c>
      <c r="AH255" s="26" t="n">
        <v>0.0183</v>
      </c>
      <c r="AI255" s="24" t="n">
        <v>1.16743545361013</v>
      </c>
    </row>
    <row r="256" customFormat="false" ht="14.25" hidden="false" customHeight="false" outlineLevel="0" collapsed="false">
      <c r="A256" s="0" t="s">
        <v>76</v>
      </c>
      <c r="B256" s="1" t="n">
        <v>15.9</v>
      </c>
      <c r="C256" s="1" t="n">
        <v>2</v>
      </c>
      <c r="D256" s="2" t="n">
        <v>46</v>
      </c>
      <c r="E256" s="4" t="n">
        <v>2.82587739786632</v>
      </c>
      <c r="F256" s="1" t="n">
        <v>30</v>
      </c>
      <c r="G256" s="1" t="n">
        <v>38</v>
      </c>
      <c r="H256" s="3" t="n">
        <v>70.0613812094831</v>
      </c>
      <c r="I256" s="1" t="n">
        <v>250</v>
      </c>
      <c r="J256" s="32" t="n">
        <v>212</v>
      </c>
      <c r="K256" s="25" t="n">
        <v>130</v>
      </c>
      <c r="L256" s="32" t="n">
        <v>117.5</v>
      </c>
      <c r="M256" s="4" t="n">
        <v>0.2</v>
      </c>
      <c r="N256" s="24" t="n">
        <v>0.251954679055698</v>
      </c>
      <c r="O256" s="25" t="n">
        <v>364.338722660386</v>
      </c>
      <c r="P256" s="25" t="n">
        <v>82.4614147066224</v>
      </c>
      <c r="Q256" s="26" t="n">
        <v>0.0441483882303684</v>
      </c>
      <c r="R256" s="24" t="n">
        <v>1.25977339527849</v>
      </c>
      <c r="S256" s="4" t="n">
        <v>0.269880195237433</v>
      </c>
      <c r="T256" s="25" t="n">
        <v>364.338722660386</v>
      </c>
      <c r="U256" s="25" t="n">
        <v>144</v>
      </c>
      <c r="V256" s="26" t="n">
        <v>0.022536170212766</v>
      </c>
      <c r="W256" s="24" t="n">
        <f aca="false">(I256-H256)/(J256-H256)</f>
        <v>1.26772135958349</v>
      </c>
      <c r="X256" s="24" t="n">
        <f aca="false">0.5*(1+(I256-K256-L256)/(I256-K256))</f>
        <v>0.510416666666667</v>
      </c>
      <c r="Y256" s="24" t="n">
        <v>1.34940097618716</v>
      </c>
      <c r="Z256" s="24" t="n">
        <v>0.256967179202292</v>
      </c>
      <c r="AA256" s="25" t="n">
        <v>364.338722660386</v>
      </c>
      <c r="AB256" s="25" t="n">
        <v>82.4614147066224</v>
      </c>
      <c r="AC256" s="26" t="n">
        <v>0.0441483882303684</v>
      </c>
      <c r="AD256" s="24" t="n">
        <v>1.28483589601146</v>
      </c>
      <c r="AE256" s="24" t="n">
        <v>0.284074752140821</v>
      </c>
      <c r="AF256" s="24" t="n">
        <v>0.437520746972726</v>
      </c>
      <c r="AG256" s="25" t="n">
        <v>381.837042622695</v>
      </c>
      <c r="AH256" s="26" t="n">
        <v>0.0183</v>
      </c>
      <c r="AI256" s="24" t="n">
        <v>1.4203737607041</v>
      </c>
    </row>
    <row r="257" customFormat="false" ht="14.25" hidden="false" customHeight="false" outlineLevel="0" collapsed="false">
      <c r="B257" s="1" t="n">
        <v>15.9</v>
      </c>
      <c r="C257" s="1" t="n">
        <v>2</v>
      </c>
      <c r="D257" s="2" t="n">
        <v>46</v>
      </c>
      <c r="E257" s="4" t="n">
        <v>2.82587739786632</v>
      </c>
      <c r="F257" s="1" t="n">
        <v>30</v>
      </c>
      <c r="G257" s="1" t="n">
        <v>38</v>
      </c>
      <c r="H257" s="3" t="n">
        <v>70.0613812094831</v>
      </c>
      <c r="I257" s="1" t="n">
        <v>250</v>
      </c>
      <c r="J257" s="32" t="n">
        <v>212</v>
      </c>
      <c r="K257" s="25" t="n">
        <v>130</v>
      </c>
      <c r="L257" s="32" t="n">
        <v>117.5</v>
      </c>
      <c r="M257" s="4" t="n">
        <v>0.3</v>
      </c>
      <c r="N257" s="24" t="n">
        <v>0.274329489229603</v>
      </c>
      <c r="O257" s="25" t="n">
        <v>392.3</v>
      </c>
      <c r="P257" s="25" t="n">
        <v>82.4614147066224</v>
      </c>
      <c r="Q257" s="26" t="n">
        <v>0.0441483882303684</v>
      </c>
      <c r="R257" s="24" t="n">
        <v>0.914431630765343</v>
      </c>
      <c r="S257" s="4" t="n">
        <v>0.297021729415675</v>
      </c>
      <c r="T257" s="25" t="n">
        <v>392.3</v>
      </c>
      <c r="U257" s="25" t="n">
        <v>144</v>
      </c>
      <c r="V257" s="26" t="n">
        <v>0.022536170212766</v>
      </c>
      <c r="W257" s="24" t="n">
        <f aca="false">(I257-H257)/(J257-H257)</f>
        <v>1.26772135958349</v>
      </c>
      <c r="X257" s="24" t="n">
        <f aca="false">0.5*(1+(I257-K257-L257)/(I257-K257))</f>
        <v>0.510416666666667</v>
      </c>
      <c r="Y257" s="24" t="n">
        <v>0.990072431385585</v>
      </c>
      <c r="Z257" s="24" t="n">
        <v>0.279787123952372</v>
      </c>
      <c r="AA257" s="25" t="n">
        <v>392.3</v>
      </c>
      <c r="AB257" s="25" t="n">
        <v>82.4614147066224</v>
      </c>
      <c r="AC257" s="26" t="n">
        <v>0.0441483882303684</v>
      </c>
      <c r="AD257" s="24" t="n">
        <v>0.932623746507907</v>
      </c>
      <c r="AE257" s="24" t="n">
        <v>0.291858863402532</v>
      </c>
      <c r="AF257" s="24" t="n">
        <v>0.461826822418196</v>
      </c>
      <c r="AG257" s="25" t="n">
        <v>392.3</v>
      </c>
      <c r="AH257" s="26" t="n">
        <v>0.0183</v>
      </c>
      <c r="AI257" s="24" t="n">
        <v>0.97286287800844</v>
      </c>
    </row>
    <row r="258" customFormat="false" ht="14.25" hidden="false" customHeight="false" outlineLevel="0" collapsed="false">
      <c r="A258" s="0" t="s">
        <v>77</v>
      </c>
      <c r="B258" s="1" t="n">
        <v>12.7</v>
      </c>
      <c r="C258" s="1" t="n">
        <v>2</v>
      </c>
      <c r="D258" s="2" t="n">
        <v>52</v>
      </c>
      <c r="E258" s="4" t="n">
        <v>2.92087587098479</v>
      </c>
      <c r="F258" s="1" t="n">
        <v>30</v>
      </c>
      <c r="G258" s="1" t="n">
        <v>36.5</v>
      </c>
      <c r="H258" s="3" t="n">
        <v>58.0759426324872</v>
      </c>
      <c r="I258" s="1" t="n">
        <v>250</v>
      </c>
      <c r="J258" s="32" t="n">
        <v>213.5</v>
      </c>
      <c r="K258" s="25" t="n">
        <v>128</v>
      </c>
      <c r="L258" s="32" t="n">
        <v>100</v>
      </c>
      <c r="M258" s="4" t="n">
        <v>0.15</v>
      </c>
      <c r="N258" s="24" t="n">
        <v>0.231810802807599</v>
      </c>
      <c r="O258" s="25" t="n">
        <v>317.102697940788</v>
      </c>
      <c r="P258" s="25" t="n">
        <v>129.373331716991</v>
      </c>
      <c r="Q258" s="26" t="n">
        <v>0.0264062779284379</v>
      </c>
      <c r="R258" s="24" t="n">
        <v>1.54540535205066</v>
      </c>
      <c r="S258" s="4" t="n">
        <v>0.213020685260371</v>
      </c>
      <c r="T258" s="25" t="n">
        <v>317.102697940788</v>
      </c>
      <c r="U258" s="25" t="n">
        <v>192</v>
      </c>
      <c r="V258" s="26" t="n">
        <v>0.0168933333333333</v>
      </c>
      <c r="W258" s="24" t="n">
        <f aca="false">(I258-H258)/(J258-H258)</f>
        <v>1.23484137924474</v>
      </c>
      <c r="X258" s="24" t="n">
        <f aca="false">0.5*(1+(I258-K258-L258)/(I258-K258))</f>
        <v>0.59016393442623</v>
      </c>
      <c r="Y258" s="24" t="n">
        <v>1.42013790173581</v>
      </c>
      <c r="Z258" s="24" t="n">
        <v>0.220034058642669</v>
      </c>
      <c r="AA258" s="25" t="n">
        <v>317.102697940788</v>
      </c>
      <c r="AB258" s="25" t="n">
        <v>129.373331716991</v>
      </c>
      <c r="AC258" s="26" t="n">
        <v>0.0264062779284379</v>
      </c>
      <c r="AD258" s="24" t="n">
        <v>1.46689372428446</v>
      </c>
      <c r="AE258" s="24" t="n">
        <v>0.246618735082924</v>
      </c>
      <c r="AF258" s="24" t="n">
        <v>0.253331624193065</v>
      </c>
      <c r="AG258" s="25" t="n">
        <v>330.521739593531</v>
      </c>
      <c r="AH258" s="26" t="n">
        <v>0.014</v>
      </c>
      <c r="AI258" s="24" t="n">
        <v>1.64412490055282</v>
      </c>
    </row>
    <row r="259" customFormat="false" ht="14.25" hidden="false" customHeight="false" outlineLevel="0" collapsed="false">
      <c r="B259" s="1" t="n">
        <v>12.7</v>
      </c>
      <c r="C259" s="1" t="n">
        <v>2</v>
      </c>
      <c r="D259" s="2" t="n">
        <v>52</v>
      </c>
      <c r="E259" s="4" t="n">
        <v>2.92087587098479</v>
      </c>
      <c r="F259" s="1" t="n">
        <v>30</v>
      </c>
      <c r="G259" s="1" t="n">
        <v>36.5</v>
      </c>
      <c r="H259" s="3" t="n">
        <v>58.0759426324872</v>
      </c>
      <c r="I259" s="1" t="n">
        <v>250</v>
      </c>
      <c r="J259" s="32" t="n">
        <v>213.5</v>
      </c>
      <c r="K259" s="25" t="n">
        <v>128</v>
      </c>
      <c r="L259" s="32" t="n">
        <v>100</v>
      </c>
      <c r="M259" s="4" t="n">
        <v>0.2</v>
      </c>
      <c r="N259" s="24" t="n">
        <v>0.304600353772294</v>
      </c>
      <c r="O259" s="25" t="n">
        <v>392.3</v>
      </c>
      <c r="P259" s="25" t="n">
        <v>129.373331716991</v>
      </c>
      <c r="Q259" s="26" t="n">
        <v>0.0264062779284379</v>
      </c>
      <c r="R259" s="24" t="n">
        <v>1.52300176886147</v>
      </c>
      <c r="S259" s="4" t="n">
        <v>0.292279077421168</v>
      </c>
      <c r="T259" s="25" t="n">
        <v>392.3</v>
      </c>
      <c r="U259" s="25" t="n">
        <v>192</v>
      </c>
      <c r="V259" s="26" t="n">
        <v>0.0168933333333333</v>
      </c>
      <c r="W259" s="24" t="n">
        <f aca="false">(I259-H259)/(J259-H259)</f>
        <v>1.23484137924474</v>
      </c>
      <c r="X259" s="24" t="n">
        <f aca="false">0.5*(1+(I259-K259-L259)/(I259-K259))</f>
        <v>0.59016393442623</v>
      </c>
      <c r="Y259" s="24" t="n">
        <v>1.46139538710584</v>
      </c>
      <c r="Z259" s="24" t="n">
        <v>0.289125663225188</v>
      </c>
      <c r="AA259" s="25" t="n">
        <v>392.3</v>
      </c>
      <c r="AB259" s="25" t="n">
        <v>129.373331716991</v>
      </c>
      <c r="AC259" s="26" t="n">
        <v>0.0264062779284379</v>
      </c>
      <c r="AD259" s="24" t="n">
        <v>1.44562831612594</v>
      </c>
      <c r="AE259" s="24" t="n">
        <v>0.292714572699546</v>
      </c>
      <c r="AF259" s="24" t="n">
        <v>0.35688308472413</v>
      </c>
      <c r="AG259" s="25" t="n">
        <v>392.3</v>
      </c>
      <c r="AH259" s="26" t="n">
        <v>0.014</v>
      </c>
      <c r="AI259" s="24" t="n">
        <v>1.46357286349773</v>
      </c>
    </row>
    <row r="260" customFormat="false" ht="14.25" hidden="false" customHeight="false" outlineLevel="0" collapsed="false">
      <c r="A260" s="0" t="s">
        <v>78</v>
      </c>
      <c r="B260" s="1" t="n">
        <v>12.7</v>
      </c>
      <c r="C260" s="1" t="n">
        <v>2</v>
      </c>
      <c r="D260" s="2" t="n">
        <v>52</v>
      </c>
      <c r="E260" s="4" t="n">
        <v>2.92087587098479</v>
      </c>
      <c r="F260" s="1" t="n">
        <v>30</v>
      </c>
      <c r="G260" s="1" t="n">
        <v>36.5</v>
      </c>
      <c r="H260" s="3" t="n">
        <v>58.0759426324872</v>
      </c>
      <c r="I260" s="1" t="n">
        <v>250</v>
      </c>
      <c r="J260" s="32" t="n">
        <v>213.5</v>
      </c>
      <c r="K260" s="25" t="n">
        <v>128</v>
      </c>
      <c r="L260" s="32" t="n">
        <v>100</v>
      </c>
      <c r="M260" s="4" t="n">
        <v>0.15</v>
      </c>
      <c r="N260" s="24" t="n">
        <v>0.2337784268464</v>
      </c>
      <c r="O260" s="25" t="n">
        <v>319.135407542973</v>
      </c>
      <c r="P260" s="25" t="n">
        <v>129.373331716991</v>
      </c>
      <c r="Q260" s="26" t="n">
        <v>0.0264062779284379</v>
      </c>
      <c r="R260" s="24" t="n">
        <v>1.55852284564266</v>
      </c>
      <c r="S260" s="4" t="n">
        <v>0.215163172961221</v>
      </c>
      <c r="T260" s="25" t="n">
        <v>319.135407542973</v>
      </c>
      <c r="U260" s="25" t="n">
        <v>192</v>
      </c>
      <c r="V260" s="26" t="n">
        <v>0.0168933333333333</v>
      </c>
      <c r="W260" s="24" t="n">
        <f aca="false">(I260-H260)/(J260-H260)</f>
        <v>1.23484137924474</v>
      </c>
      <c r="X260" s="24" t="n">
        <f aca="false">0.5*(1+(I260-K260-L260)/(I260-K260))</f>
        <v>0.59016393442623</v>
      </c>
      <c r="Y260" s="24" t="n">
        <v>1.43442115307481</v>
      </c>
      <c r="Z260" s="24" t="n">
        <v>0.221901720968567</v>
      </c>
      <c r="AA260" s="25" t="n">
        <v>319.135407542973</v>
      </c>
      <c r="AB260" s="25" t="n">
        <v>129.373331716991</v>
      </c>
      <c r="AC260" s="26" t="n">
        <v>0.0264062779284379</v>
      </c>
      <c r="AD260" s="24" t="n">
        <v>1.47934480645712</v>
      </c>
      <c r="AE260" s="24" t="n">
        <v>0.248199624410378</v>
      </c>
      <c r="AF260" s="24" t="n">
        <v>0.256589875276745</v>
      </c>
      <c r="AG260" s="25" t="n">
        <v>332.640468693489</v>
      </c>
      <c r="AH260" s="26" t="n">
        <v>0.014</v>
      </c>
      <c r="AI260" s="24" t="n">
        <v>1.65466416273585</v>
      </c>
    </row>
    <row r="261" customFormat="false" ht="14.25" hidden="false" customHeight="false" outlineLevel="0" collapsed="false">
      <c r="B261" s="1" t="n">
        <v>12.7</v>
      </c>
      <c r="C261" s="1" t="n">
        <v>2</v>
      </c>
      <c r="D261" s="2" t="n">
        <v>52</v>
      </c>
      <c r="E261" s="4" t="n">
        <v>2.92087587098479</v>
      </c>
      <c r="F261" s="1" t="n">
        <v>30</v>
      </c>
      <c r="G261" s="1" t="n">
        <v>36.5</v>
      </c>
      <c r="H261" s="3" t="n">
        <v>58.0759426324872</v>
      </c>
      <c r="I261" s="1" t="n">
        <v>250</v>
      </c>
      <c r="J261" s="32" t="n">
        <v>213.5</v>
      </c>
      <c r="K261" s="25" t="n">
        <v>128</v>
      </c>
      <c r="L261" s="32" t="n">
        <v>100</v>
      </c>
      <c r="M261" s="4" t="n">
        <v>0.2</v>
      </c>
      <c r="N261" s="24" t="n">
        <v>0.304600353772294</v>
      </c>
      <c r="O261" s="25" t="n">
        <v>392.3</v>
      </c>
      <c r="P261" s="25" t="n">
        <v>129.373331716991</v>
      </c>
      <c r="Q261" s="26" t="n">
        <v>0.0264062779284379</v>
      </c>
      <c r="R261" s="24" t="n">
        <v>1.52300176886147</v>
      </c>
      <c r="S261" s="4" t="n">
        <v>0.292279077421168</v>
      </c>
      <c r="T261" s="25" t="n">
        <v>392.3</v>
      </c>
      <c r="U261" s="25" t="n">
        <v>192</v>
      </c>
      <c r="V261" s="26" t="n">
        <v>0.0168933333333333</v>
      </c>
      <c r="W261" s="24" t="n">
        <f aca="false">(I261-H261)/(J261-H261)</f>
        <v>1.23484137924474</v>
      </c>
      <c r="X261" s="24" t="n">
        <f aca="false">0.5*(1+(I261-K261-L261)/(I261-K261))</f>
        <v>0.59016393442623</v>
      </c>
      <c r="Y261" s="24" t="n">
        <v>1.46139538710584</v>
      </c>
      <c r="Z261" s="24" t="n">
        <v>0.289125663225188</v>
      </c>
      <c r="AA261" s="25" t="n">
        <v>392.3</v>
      </c>
      <c r="AB261" s="25" t="n">
        <v>129.373331716991</v>
      </c>
      <c r="AC261" s="26" t="n">
        <v>0.0264062779284379</v>
      </c>
      <c r="AD261" s="24" t="n">
        <v>1.44562831612594</v>
      </c>
      <c r="AE261" s="24" t="n">
        <v>0.292714572699546</v>
      </c>
      <c r="AF261" s="24" t="n">
        <v>0.35688308472413</v>
      </c>
      <c r="AG261" s="25" t="n">
        <v>392.3</v>
      </c>
      <c r="AH261" s="26" t="n">
        <v>0.014</v>
      </c>
      <c r="AI261" s="24" t="n">
        <v>1.46357286349773</v>
      </c>
    </row>
    <row r="262" customFormat="false" ht="14.25" hidden="false" customHeight="false" outlineLevel="0" collapsed="false">
      <c r="A262" s="0" t="s">
        <v>79</v>
      </c>
      <c r="B262" s="1" t="n">
        <v>15.9</v>
      </c>
      <c r="C262" s="1" t="n">
        <v>2</v>
      </c>
      <c r="D262" s="2" t="n">
        <v>46</v>
      </c>
      <c r="E262" s="4" t="n">
        <v>2.92087587098479</v>
      </c>
      <c r="F262" s="1" t="n">
        <v>30</v>
      </c>
      <c r="G262" s="1" t="n">
        <v>38</v>
      </c>
      <c r="H262" s="3" t="n">
        <v>69.5979672777495</v>
      </c>
      <c r="I262" s="1" t="n">
        <v>250</v>
      </c>
      <c r="J262" s="32" t="n">
        <v>212</v>
      </c>
      <c r="K262" s="25" t="n">
        <v>130</v>
      </c>
      <c r="L262" s="32" t="n">
        <v>117.5</v>
      </c>
      <c r="M262" s="4" t="n">
        <v>0.15</v>
      </c>
      <c r="N262" s="24" t="n">
        <v>0.16749190626511</v>
      </c>
      <c r="O262" s="25" t="n">
        <v>260.029022246808</v>
      </c>
      <c r="P262" s="25" t="n">
        <v>85.0912066885915</v>
      </c>
      <c r="Q262" s="26" t="n">
        <v>0.0440349805383329</v>
      </c>
      <c r="R262" s="24" t="n">
        <v>1.11661270843407</v>
      </c>
      <c r="S262" s="4" t="n">
        <v>0.165938420492606</v>
      </c>
      <c r="T262" s="25" t="n">
        <v>260.029022246808</v>
      </c>
      <c r="U262" s="25" t="n">
        <v>148</v>
      </c>
      <c r="V262" s="26" t="n">
        <v>0.022536170212766</v>
      </c>
      <c r="W262" s="24" t="n">
        <f aca="false">(I262-H262)/(J262-H262)</f>
        <v>1.2668501233695</v>
      </c>
      <c r="X262" s="24" t="n">
        <f aca="false">0.5*(1+(I262-K262-L262)/(I262-K262))</f>
        <v>0.510416666666667</v>
      </c>
      <c r="Y262" s="24" t="n">
        <v>1.10625613661737</v>
      </c>
      <c r="Z262" s="24" t="n">
        <v>0.170714257577712</v>
      </c>
      <c r="AA262" s="25" t="n">
        <v>260.029022246808</v>
      </c>
      <c r="AB262" s="25" t="n">
        <v>85.0912066885915</v>
      </c>
      <c r="AC262" s="26" t="n">
        <v>0.0440349805383329</v>
      </c>
      <c r="AD262" s="24" t="n">
        <v>1.13809505051808</v>
      </c>
      <c r="AE262" s="24" t="n">
        <v>0.202910537243443</v>
      </c>
      <c r="AF262" s="24" t="n">
        <v>0.215964712364801</v>
      </c>
      <c r="AG262" s="25" t="n">
        <v>272.740744730497</v>
      </c>
      <c r="AH262" s="26" t="n">
        <v>0.0183</v>
      </c>
      <c r="AI262" s="24" t="n">
        <v>1.35273691495629</v>
      </c>
    </row>
    <row r="263" customFormat="false" ht="14.25" hidden="false" customHeight="false" outlineLevel="0" collapsed="false">
      <c r="B263" s="1" t="n">
        <v>15.9</v>
      </c>
      <c r="C263" s="1" t="n">
        <v>2</v>
      </c>
      <c r="D263" s="2" t="n">
        <v>46</v>
      </c>
      <c r="E263" s="4" t="n">
        <v>2.92087587098479</v>
      </c>
      <c r="F263" s="1" t="n">
        <v>30</v>
      </c>
      <c r="G263" s="1" t="n">
        <v>38</v>
      </c>
      <c r="H263" s="3" t="n">
        <v>69.5979672777495</v>
      </c>
      <c r="I263" s="1" t="n">
        <v>250</v>
      </c>
      <c r="J263" s="32" t="n">
        <v>212</v>
      </c>
      <c r="K263" s="25" t="n">
        <v>130</v>
      </c>
      <c r="L263" s="32" t="n">
        <v>117.5</v>
      </c>
      <c r="M263" s="4" t="n">
        <v>0.25</v>
      </c>
      <c r="N263" s="24" t="n">
        <v>0.251925495788488</v>
      </c>
      <c r="O263" s="25" t="n">
        <v>365.3741133109</v>
      </c>
      <c r="P263" s="25" t="n">
        <v>85.0912066885915</v>
      </c>
      <c r="Q263" s="26" t="n">
        <v>0.0440349805383329</v>
      </c>
      <c r="R263" s="24" t="n">
        <v>1.00770198315395</v>
      </c>
      <c r="S263" s="4" t="n">
        <v>0.268160663126834</v>
      </c>
      <c r="T263" s="25" t="n">
        <v>365.3741133109</v>
      </c>
      <c r="U263" s="25" t="n">
        <v>148</v>
      </c>
      <c r="V263" s="26" t="n">
        <v>0.022536170212766</v>
      </c>
      <c r="W263" s="24" t="n">
        <f aca="false">(I263-H263)/(J263-H263)</f>
        <v>1.2668501233695</v>
      </c>
      <c r="X263" s="24" t="n">
        <f aca="false">0.5*(1+(I263-K263-L263)/(I263-K263))</f>
        <v>0.510416666666667</v>
      </c>
      <c r="Y263" s="24" t="n">
        <v>1.07264265250734</v>
      </c>
      <c r="Z263" s="24" t="n">
        <v>0.256772252089339</v>
      </c>
      <c r="AA263" s="25" t="n">
        <v>365.3741133109</v>
      </c>
      <c r="AB263" s="25" t="n">
        <v>85.0912066885915</v>
      </c>
      <c r="AC263" s="26" t="n">
        <v>0.0440349805383329</v>
      </c>
      <c r="AD263" s="24" t="n">
        <v>1.02708900835735</v>
      </c>
      <c r="AE263" s="24" t="n">
        <v>0.285115318998479</v>
      </c>
      <c r="AF263" s="24" t="n">
        <v>0.42639754754766</v>
      </c>
      <c r="AG263" s="25" t="n">
        <v>383.235713108493</v>
      </c>
      <c r="AH263" s="26" t="n">
        <v>0.0183</v>
      </c>
      <c r="AI263" s="24" t="n">
        <v>1.14046127599392</v>
      </c>
    </row>
    <row r="264" customFormat="false" ht="14.25" hidden="false" customHeight="false" outlineLevel="0" collapsed="false">
      <c r="B264" s="1" t="n">
        <v>15.9</v>
      </c>
      <c r="C264" s="1" t="n">
        <v>2</v>
      </c>
      <c r="D264" s="2" t="n">
        <v>46</v>
      </c>
      <c r="E264" s="4" t="n">
        <v>2.92087587098479</v>
      </c>
      <c r="F264" s="1" t="n">
        <v>30</v>
      </c>
      <c r="G264" s="1" t="n">
        <v>38</v>
      </c>
      <c r="H264" s="3" t="n">
        <v>69.5979672777495</v>
      </c>
      <c r="I264" s="1" t="n">
        <v>250</v>
      </c>
      <c r="J264" s="32" t="n">
        <v>212</v>
      </c>
      <c r="K264" s="25" t="n">
        <v>130</v>
      </c>
      <c r="L264" s="32" t="n">
        <v>117.5</v>
      </c>
      <c r="M264" s="4" t="n">
        <v>0.3</v>
      </c>
      <c r="N264" s="24" t="n">
        <v>0.273506465924793</v>
      </c>
      <c r="O264" s="25" t="n">
        <v>392.3</v>
      </c>
      <c r="P264" s="25" t="n">
        <v>85.0912066885915</v>
      </c>
      <c r="Q264" s="26" t="n">
        <v>0.0440349805383329</v>
      </c>
      <c r="R264" s="24" t="n">
        <v>0.911688219749309</v>
      </c>
      <c r="S264" s="4" t="n">
        <v>0.294288359201446</v>
      </c>
      <c r="T264" s="25" t="n">
        <v>392.3</v>
      </c>
      <c r="U264" s="25" t="n">
        <v>148</v>
      </c>
      <c r="V264" s="26" t="n">
        <v>0.022536170212766</v>
      </c>
      <c r="W264" s="24" t="n">
        <f aca="false">(I264-H264)/(J264-H264)</f>
        <v>1.2668501233695</v>
      </c>
      <c r="X264" s="24" t="n">
        <f aca="false">0.5*(1+(I264-K264-L264)/(I264-K264))</f>
        <v>0.510416666666667</v>
      </c>
      <c r="Y264" s="24" t="n">
        <v>0.980961197338153</v>
      </c>
      <c r="Z264" s="24" t="n">
        <v>0.278768415228079</v>
      </c>
      <c r="AA264" s="25" t="n">
        <v>392.3</v>
      </c>
      <c r="AB264" s="25" t="n">
        <v>85.0912066885915</v>
      </c>
      <c r="AC264" s="26" t="n">
        <v>0.0440349805383329</v>
      </c>
      <c r="AD264" s="24" t="n">
        <v>0.929228050760265</v>
      </c>
      <c r="AE264" s="24" t="n">
        <v>0.291858863402532</v>
      </c>
      <c r="AF264" s="24" t="n">
        <v>0.446806381662494</v>
      </c>
      <c r="AG264" s="25" t="n">
        <v>392.3</v>
      </c>
      <c r="AH264" s="26" t="n">
        <v>0.0183</v>
      </c>
      <c r="AI264" s="24" t="n">
        <v>0.97286287800844</v>
      </c>
    </row>
    <row r="265" customFormat="false" ht="14.25" hidden="false" customHeight="false" outlineLevel="0" collapsed="false">
      <c r="A265" s="0" t="s">
        <v>80</v>
      </c>
      <c r="B265" s="1" t="n">
        <v>15.9</v>
      </c>
      <c r="C265" s="1" t="n">
        <v>2</v>
      </c>
      <c r="D265" s="2" t="n">
        <v>46</v>
      </c>
      <c r="E265" s="4" t="n">
        <v>2.92087587098479</v>
      </c>
      <c r="F265" s="1" t="n">
        <v>30</v>
      </c>
      <c r="G265" s="1" t="n">
        <v>38</v>
      </c>
      <c r="H265" s="3" t="n">
        <v>69.5979672777495</v>
      </c>
      <c r="I265" s="1" t="n">
        <v>250</v>
      </c>
      <c r="J265" s="32" t="n">
        <v>212</v>
      </c>
      <c r="K265" s="25" t="n">
        <v>130</v>
      </c>
      <c r="L265" s="32" t="n">
        <v>117.5</v>
      </c>
      <c r="M265" s="4" t="n">
        <v>0.15</v>
      </c>
      <c r="N265" s="24" t="n">
        <v>0.16856068587933</v>
      </c>
      <c r="O265" s="25" t="n">
        <v>261.362504412177</v>
      </c>
      <c r="P265" s="25" t="n">
        <v>85.0912066885915</v>
      </c>
      <c r="Q265" s="26" t="n">
        <v>0.0440349805383329</v>
      </c>
      <c r="R265" s="24" t="n">
        <v>1.1237379058622</v>
      </c>
      <c r="S265" s="4" t="n">
        <v>0.167232372931014</v>
      </c>
      <c r="T265" s="25" t="n">
        <v>261.362504412177</v>
      </c>
      <c r="U265" s="25" t="n">
        <v>148</v>
      </c>
      <c r="V265" s="26" t="n">
        <v>0.022536170212766</v>
      </c>
      <c r="W265" s="24" t="n">
        <f aca="false">(I265-H265)/(J265-H265)</f>
        <v>1.2668501233695</v>
      </c>
      <c r="X265" s="24" t="n">
        <f aca="false">0.5*(1+(I265-K265-L265)/(I265-K265))</f>
        <v>0.510416666666667</v>
      </c>
      <c r="Y265" s="24" t="n">
        <v>1.11488248620676</v>
      </c>
      <c r="Z265" s="24" t="n">
        <v>0.171803599280391</v>
      </c>
      <c r="AA265" s="25" t="n">
        <v>261.362504412177</v>
      </c>
      <c r="AB265" s="25" t="n">
        <v>85.0912066885915</v>
      </c>
      <c r="AC265" s="26" t="n">
        <v>0.0440349805383329</v>
      </c>
      <c r="AD265" s="24" t="n">
        <v>1.14535732853594</v>
      </c>
      <c r="AE265" s="24" t="n">
        <v>0.203951104101102</v>
      </c>
      <c r="AF265" s="24" t="n">
        <v>0.218185414601083</v>
      </c>
      <c r="AG265" s="25" t="n">
        <v>274.139415216294</v>
      </c>
      <c r="AH265" s="26" t="n">
        <v>0.0183</v>
      </c>
      <c r="AI265" s="24" t="n">
        <v>1.35967402734068</v>
      </c>
    </row>
    <row r="266" customFormat="false" ht="14.25" hidden="false" customHeight="false" outlineLevel="0" collapsed="false">
      <c r="B266" s="1" t="n">
        <v>15.9</v>
      </c>
      <c r="C266" s="1" t="n">
        <v>2</v>
      </c>
      <c r="D266" s="2" t="n">
        <v>46</v>
      </c>
      <c r="E266" s="4" t="n">
        <v>2.92087587098479</v>
      </c>
      <c r="F266" s="1" t="n">
        <v>30</v>
      </c>
      <c r="G266" s="1" t="n">
        <v>38</v>
      </c>
      <c r="H266" s="3" t="n">
        <v>69.5979672777495</v>
      </c>
      <c r="I266" s="1" t="n">
        <v>250</v>
      </c>
      <c r="J266" s="32" t="n">
        <v>212</v>
      </c>
      <c r="K266" s="25" t="n">
        <v>130</v>
      </c>
      <c r="L266" s="32" t="n">
        <v>117.5</v>
      </c>
      <c r="M266" s="4" t="n">
        <v>0.25</v>
      </c>
      <c r="N266" s="24" t="n">
        <v>0.252994275402708</v>
      </c>
      <c r="O266" s="25" t="n">
        <v>366.707595476268</v>
      </c>
      <c r="P266" s="25" t="n">
        <v>85.0912066885915</v>
      </c>
      <c r="Q266" s="26" t="n">
        <v>0.0440349805383329</v>
      </c>
      <c r="R266" s="24" t="n">
        <v>1.01197710161083</v>
      </c>
      <c r="S266" s="4" t="n">
        <v>0.269454615565242</v>
      </c>
      <c r="T266" s="25" t="n">
        <v>366.707595476268</v>
      </c>
      <c r="U266" s="25" t="n">
        <v>148</v>
      </c>
      <c r="V266" s="26" t="n">
        <v>0.022536170212766</v>
      </c>
      <c r="W266" s="24" t="n">
        <f aca="false">(I266-H266)/(J266-H266)</f>
        <v>1.2668501233695</v>
      </c>
      <c r="X266" s="24" t="n">
        <f aca="false">0.5*(1+(I266-K266-L266)/(I266-K266))</f>
        <v>0.510416666666667</v>
      </c>
      <c r="Y266" s="24" t="n">
        <v>1.07781846226097</v>
      </c>
      <c r="Z266" s="24" t="n">
        <v>0.257861593792018</v>
      </c>
      <c r="AA266" s="25" t="n">
        <v>366.707595476268</v>
      </c>
      <c r="AB266" s="25" t="n">
        <v>85.0912066885915</v>
      </c>
      <c r="AC266" s="26" t="n">
        <v>0.0440349805383329</v>
      </c>
      <c r="AD266" s="24" t="n">
        <v>1.03144637516807</v>
      </c>
      <c r="AE266" s="24" t="n">
        <v>0.286155885856138</v>
      </c>
      <c r="AF266" s="24" t="n">
        <v>0.429515617951033</v>
      </c>
      <c r="AG266" s="25" t="n">
        <v>384.63438359429</v>
      </c>
      <c r="AH266" s="26" t="n">
        <v>0.0183</v>
      </c>
      <c r="AI266" s="24" t="n">
        <v>1.14462354342455</v>
      </c>
    </row>
    <row r="267" customFormat="false" ht="14.25" hidden="false" customHeight="false" outlineLevel="0" collapsed="false">
      <c r="A267" s="0" t="s">
        <v>81</v>
      </c>
      <c r="B267" s="1" t="n">
        <v>19.1</v>
      </c>
      <c r="C267" s="1" t="n">
        <v>2</v>
      </c>
      <c r="D267" s="2" t="n">
        <v>40</v>
      </c>
      <c r="E267" s="4" t="n">
        <v>2.92087587098479</v>
      </c>
      <c r="F267" s="1" t="n">
        <v>30</v>
      </c>
      <c r="G267" s="1" t="n">
        <v>39.5</v>
      </c>
      <c r="H267" s="3" t="n">
        <v>80.017825486464</v>
      </c>
      <c r="I267" s="1" t="n">
        <v>250</v>
      </c>
      <c r="J267" s="32" t="n">
        <v>210.5</v>
      </c>
      <c r="K267" s="25" t="n">
        <v>132</v>
      </c>
      <c r="L267" s="32" t="n">
        <v>135</v>
      </c>
      <c r="M267" s="4" t="n">
        <v>0.15</v>
      </c>
      <c r="N267" s="24" t="n">
        <v>0.10386548783744</v>
      </c>
      <c r="O267" s="25" t="n">
        <v>187.025739041386</v>
      </c>
      <c r="P267" s="25" t="n">
        <v>62.0847288637165</v>
      </c>
      <c r="Q267" s="26" t="n">
        <v>0.0674188339618365</v>
      </c>
      <c r="R267" s="24" t="n">
        <v>0.692436585582935</v>
      </c>
      <c r="S267" s="4" t="n">
        <v>0.102474345140568</v>
      </c>
      <c r="T267" s="25" t="n">
        <v>187.025739041386</v>
      </c>
      <c r="U267" s="25" t="n">
        <v>122</v>
      </c>
      <c r="V267" s="26" t="n">
        <v>0.0282962962962963</v>
      </c>
      <c r="W267" s="24" t="n">
        <f aca="false">(I267-H267)/(J267-H267)</f>
        <v>1.30272334245857</v>
      </c>
      <c r="X267" s="24" t="n">
        <f aca="false">0.5*(1+(I267-K267-L267)/(I267-K267))</f>
        <v>0.427966101694915</v>
      </c>
      <c r="Y267" s="24" t="n">
        <v>0.683162300937119</v>
      </c>
      <c r="Z267" s="24" t="n">
        <v>0.112452206478951</v>
      </c>
      <c r="AA267" s="25" t="n">
        <v>187.025739041386</v>
      </c>
      <c r="AB267" s="25" t="n">
        <v>62.0847288637165</v>
      </c>
      <c r="AC267" s="26" t="n">
        <v>0.0674188339618365</v>
      </c>
      <c r="AD267" s="24" t="n">
        <v>0.749681376526343</v>
      </c>
      <c r="AE267" s="24" t="n">
        <v>0.148149174230395</v>
      </c>
      <c r="AF267" s="24" t="n">
        <v>0.135508073973781</v>
      </c>
      <c r="AG267" s="25" t="n">
        <v>197.116549922381</v>
      </c>
      <c r="AH267" s="26" t="n">
        <v>0.0227</v>
      </c>
      <c r="AI267" s="24" t="n">
        <v>0.903387159825208</v>
      </c>
    </row>
    <row r="268" customFormat="false" ht="14.25" hidden="false" customHeight="false" outlineLevel="0" collapsed="false">
      <c r="B268" s="1" t="n">
        <v>19.1</v>
      </c>
      <c r="C268" s="1" t="n">
        <v>2</v>
      </c>
      <c r="D268" s="2" t="n">
        <v>40</v>
      </c>
      <c r="E268" s="4" t="n">
        <v>2.92087587098479</v>
      </c>
      <c r="F268" s="1" t="n">
        <v>30</v>
      </c>
      <c r="G268" s="1" t="n">
        <v>39.5</v>
      </c>
      <c r="H268" s="3" t="n">
        <v>80.017825486464</v>
      </c>
      <c r="I268" s="1" t="n">
        <v>250</v>
      </c>
      <c r="J268" s="32" t="n">
        <v>210.5</v>
      </c>
      <c r="K268" s="25" t="n">
        <v>132</v>
      </c>
      <c r="L268" s="32" t="n">
        <v>135</v>
      </c>
      <c r="M268" s="4" t="n">
        <v>0.2</v>
      </c>
      <c r="N268" s="24" t="n">
        <v>0.155218033571807</v>
      </c>
      <c r="O268" s="25" t="n">
        <v>261.07653927097</v>
      </c>
      <c r="P268" s="25" t="n">
        <v>62.0847288637165</v>
      </c>
      <c r="Q268" s="26" t="n">
        <v>0.0674188339618365</v>
      </c>
      <c r="R268" s="24" t="n">
        <v>0.776090167859033</v>
      </c>
      <c r="S268" s="4" t="n">
        <v>0.169135103328064</v>
      </c>
      <c r="T268" s="25" t="n">
        <v>261.07653927097</v>
      </c>
      <c r="U268" s="25" t="n">
        <v>122</v>
      </c>
      <c r="V268" s="26" t="n">
        <v>0.0282962962962963</v>
      </c>
      <c r="W268" s="24" t="n">
        <f aca="false">(I268-H268)/(J268-H268)</f>
        <v>1.30272334245857</v>
      </c>
      <c r="X268" s="24" t="n">
        <f aca="false">0.5*(1+(I268-K268-L268)/(I268-K268))</f>
        <v>0.427966101694915</v>
      </c>
      <c r="Y268" s="24" t="n">
        <v>0.845675516640319</v>
      </c>
      <c r="Z268" s="24" t="n">
        <v>0.16805014566332</v>
      </c>
      <c r="AA268" s="25" t="n">
        <v>261.07653927097</v>
      </c>
      <c r="AB268" s="25" t="n">
        <v>62.0847288637165</v>
      </c>
      <c r="AC268" s="26" t="n">
        <v>0.0674188339618365</v>
      </c>
      <c r="AD268" s="24" t="n">
        <v>0.8402507283166</v>
      </c>
      <c r="AE268" s="24" t="n">
        <v>0.20680722291045</v>
      </c>
      <c r="AF268" s="24" t="n">
        <v>0.264057257189497</v>
      </c>
      <c r="AG268" s="25" t="n">
        <v>275.162696592156</v>
      </c>
      <c r="AH268" s="26" t="n">
        <v>0.0227</v>
      </c>
      <c r="AI268" s="24" t="n">
        <v>1.03403611455225</v>
      </c>
    </row>
    <row r="269" customFormat="false" ht="14.25" hidden="false" customHeight="false" outlineLevel="0" collapsed="false">
      <c r="B269" s="1" t="n">
        <v>19.1</v>
      </c>
      <c r="C269" s="1" t="n">
        <v>2</v>
      </c>
      <c r="D269" s="2" t="n">
        <v>40</v>
      </c>
      <c r="E269" s="4" t="n">
        <v>2.92087587098479</v>
      </c>
      <c r="F269" s="1" t="n">
        <v>30</v>
      </c>
      <c r="G269" s="1" t="n">
        <v>39.5</v>
      </c>
      <c r="H269" s="3" t="n">
        <v>80.017825486464</v>
      </c>
      <c r="I269" s="1" t="n">
        <v>250</v>
      </c>
      <c r="J269" s="32" t="n">
        <v>210.5</v>
      </c>
      <c r="K269" s="25" t="n">
        <v>132</v>
      </c>
      <c r="L269" s="32" t="n">
        <v>135</v>
      </c>
      <c r="M269" s="4" t="n">
        <v>0.3</v>
      </c>
      <c r="N269" s="24" t="n">
        <v>0.207228945277126</v>
      </c>
      <c r="O269" s="25" t="n">
        <v>336.076708734267</v>
      </c>
      <c r="P269" s="25" t="n">
        <v>62.0847288637165</v>
      </c>
      <c r="Q269" s="26" t="n">
        <v>0.0674188339618365</v>
      </c>
      <c r="R269" s="24" t="n">
        <v>0.690763150923755</v>
      </c>
      <c r="S269" s="4" t="n">
        <v>0.236650486620528</v>
      </c>
      <c r="T269" s="25" t="n">
        <v>336.076708734267</v>
      </c>
      <c r="U269" s="25" t="n">
        <v>122</v>
      </c>
      <c r="V269" s="26" t="n">
        <v>0.0282962962962963</v>
      </c>
      <c r="W269" s="24" t="n">
        <f aca="false">(I269-H269)/(J269-H269)</f>
        <v>1.30272334245857</v>
      </c>
      <c r="X269" s="24" t="n">
        <f aca="false">0.5*(1+(I269-K269-L269)/(I269-K269))</f>
        <v>0.427966101694915</v>
      </c>
      <c r="Y269" s="24" t="n">
        <v>0.788834955401759</v>
      </c>
      <c r="Z269" s="24" t="n">
        <v>0.224360878939796</v>
      </c>
      <c r="AA269" s="25" t="n">
        <v>336.076708734267</v>
      </c>
      <c r="AB269" s="25" t="n">
        <v>62.0847288637165</v>
      </c>
      <c r="AC269" s="26" t="n">
        <v>0.0674188339618365</v>
      </c>
      <c r="AD269" s="24" t="n">
        <v>0.747869596465986</v>
      </c>
      <c r="AE269" s="24" t="n">
        <v>0.266217297855634</v>
      </c>
      <c r="AF269" s="24" t="n">
        <v>0.43756164286888</v>
      </c>
      <c r="AG269" s="25" t="n">
        <v>354.209434885902</v>
      </c>
      <c r="AH269" s="26" t="n">
        <v>0.0227</v>
      </c>
      <c r="AI269" s="24" t="n">
        <v>0.887390992852113</v>
      </c>
    </row>
    <row r="270" customFormat="false" ht="14.25" hidden="false" customHeight="false" outlineLevel="0" collapsed="false">
      <c r="B270" s="1" t="n">
        <v>19.1</v>
      </c>
      <c r="C270" s="1" t="n">
        <v>2</v>
      </c>
      <c r="D270" s="2" t="n">
        <v>40</v>
      </c>
      <c r="E270" s="4" t="n">
        <v>2.92087587098479</v>
      </c>
      <c r="F270" s="1" t="n">
        <v>30</v>
      </c>
      <c r="G270" s="1" t="n">
        <v>39.5</v>
      </c>
      <c r="H270" s="3" t="n">
        <v>80.017825486464</v>
      </c>
      <c r="I270" s="1" t="n">
        <v>250</v>
      </c>
      <c r="J270" s="32" t="n">
        <v>210.5</v>
      </c>
      <c r="K270" s="25" t="n">
        <v>132</v>
      </c>
      <c r="L270" s="32" t="n">
        <v>135</v>
      </c>
      <c r="M270" s="4" t="n">
        <v>0.33</v>
      </c>
      <c r="N270" s="24" t="n">
        <v>0.246218519017164</v>
      </c>
      <c r="O270" s="25" t="n">
        <v>392.3</v>
      </c>
      <c r="P270" s="25" t="n">
        <v>62.0847288637165</v>
      </c>
      <c r="Q270" s="26" t="n">
        <v>0.0674188339618365</v>
      </c>
      <c r="R270" s="24" t="n">
        <v>0.746116724294437</v>
      </c>
      <c r="S270" s="4" t="n">
        <v>0.287262866391582</v>
      </c>
      <c r="T270" s="25" t="n">
        <v>392.3</v>
      </c>
      <c r="U270" s="25" t="n">
        <v>122</v>
      </c>
      <c r="V270" s="26" t="n">
        <v>0.0282962962962963</v>
      </c>
      <c r="W270" s="24" t="n">
        <f aca="false">(I270-H270)/(J270-H270)</f>
        <v>1.30272334245857</v>
      </c>
      <c r="X270" s="24" t="n">
        <f aca="false">0.5*(1+(I270-K270-L270)/(I270-K270))</f>
        <v>0.427966101694915</v>
      </c>
      <c r="Y270" s="24" t="n">
        <v>0.870493534519946</v>
      </c>
      <c r="Z270" s="24" t="n">
        <v>0.266573780337834</v>
      </c>
      <c r="AA270" s="25" t="n">
        <v>392.3</v>
      </c>
      <c r="AB270" s="25" t="n">
        <v>62.0847288637165</v>
      </c>
      <c r="AC270" s="26" t="n">
        <v>0.0674188339618365</v>
      </c>
      <c r="AD270" s="24" t="n">
        <v>0.807799334357073</v>
      </c>
      <c r="AE270" s="24" t="n">
        <v>0.294845466164408</v>
      </c>
      <c r="AF270" s="24" t="n">
        <v>0.536729678600857</v>
      </c>
      <c r="AG270" s="25" t="n">
        <v>392.3</v>
      </c>
      <c r="AH270" s="26" t="n">
        <v>0.0227</v>
      </c>
      <c r="AI270" s="24" t="n">
        <v>0.893471109589114</v>
      </c>
    </row>
    <row r="271" customFormat="false" ht="14.25" hidden="false" customHeight="false" outlineLevel="0" collapsed="false">
      <c r="A271" s="0" t="s">
        <v>82</v>
      </c>
      <c r="B271" s="1" t="n">
        <v>19.1</v>
      </c>
      <c r="C271" s="1" t="n">
        <v>2</v>
      </c>
      <c r="D271" s="2" t="n">
        <v>40</v>
      </c>
      <c r="E271" s="4" t="n">
        <v>2.92087587098479</v>
      </c>
      <c r="F271" s="1" t="n">
        <v>30</v>
      </c>
      <c r="G271" s="1" t="n">
        <v>39.5</v>
      </c>
      <c r="H271" s="3" t="n">
        <v>80.017825486464</v>
      </c>
      <c r="I271" s="1" t="n">
        <v>250</v>
      </c>
      <c r="J271" s="32" t="n">
        <v>210.5</v>
      </c>
      <c r="K271" s="25" t="n">
        <v>132</v>
      </c>
      <c r="L271" s="32" t="n">
        <v>135</v>
      </c>
      <c r="M271" s="4" t="n">
        <v>0.15</v>
      </c>
      <c r="N271" s="24" t="n">
        <v>0.103207121866487</v>
      </c>
      <c r="O271" s="25" t="n">
        <v>186.076369807673</v>
      </c>
      <c r="P271" s="25" t="n">
        <v>62.0847288637165</v>
      </c>
      <c r="Q271" s="26" t="n">
        <v>0.0674188339618365</v>
      </c>
      <c r="R271" s="24" t="n">
        <v>0.688047479109912</v>
      </c>
      <c r="S271" s="4" t="n">
        <v>0.1016197200356</v>
      </c>
      <c r="T271" s="25" t="n">
        <v>186.076369807673</v>
      </c>
      <c r="U271" s="25" t="n">
        <v>122</v>
      </c>
      <c r="V271" s="26" t="n">
        <v>0.0282962962962963</v>
      </c>
      <c r="W271" s="24" t="n">
        <f aca="false">(I271-H271)/(J271-H271)</f>
        <v>1.30272334245857</v>
      </c>
      <c r="X271" s="24" t="n">
        <f aca="false">0.5*(1+(I271-K271-L271)/(I271-K271))</f>
        <v>0.427966101694915</v>
      </c>
      <c r="Y271" s="24" t="n">
        <v>0.677464800237333</v>
      </c>
      <c r="Z271" s="24" t="n">
        <v>0.111739412386844</v>
      </c>
      <c r="AA271" s="25" t="n">
        <v>186.076369807673</v>
      </c>
      <c r="AB271" s="25" t="n">
        <v>62.0847288637165</v>
      </c>
      <c r="AC271" s="26" t="n">
        <v>0.0674188339618365</v>
      </c>
      <c r="AD271" s="24" t="n">
        <v>0.744929415912294</v>
      </c>
      <c r="AE271" s="24" t="n">
        <v>0.147397147965266</v>
      </c>
      <c r="AF271" s="24" t="n">
        <v>0.134135849152949</v>
      </c>
      <c r="AG271" s="25" t="n">
        <v>196.115958298409</v>
      </c>
      <c r="AH271" s="26" t="n">
        <v>0.0227</v>
      </c>
      <c r="AI271" s="24" t="n">
        <v>0.89423899435299</v>
      </c>
    </row>
    <row r="272" customFormat="false" ht="14.25" hidden="false" customHeight="false" outlineLevel="0" collapsed="false">
      <c r="B272" s="1" t="n">
        <v>19.1</v>
      </c>
      <c r="C272" s="1" t="n">
        <v>2</v>
      </c>
      <c r="D272" s="2" t="n">
        <v>40</v>
      </c>
      <c r="E272" s="4" t="n">
        <v>2.92087587098479</v>
      </c>
      <c r="F272" s="1" t="n">
        <v>30</v>
      </c>
      <c r="G272" s="1" t="n">
        <v>39.5</v>
      </c>
      <c r="H272" s="3" t="n">
        <v>80.017825486464</v>
      </c>
      <c r="I272" s="1" t="n">
        <v>250</v>
      </c>
      <c r="J272" s="32" t="n">
        <v>210.5</v>
      </c>
      <c r="K272" s="25" t="n">
        <v>132</v>
      </c>
      <c r="L272" s="32" t="n">
        <v>135</v>
      </c>
      <c r="M272" s="4" t="n">
        <v>0.25</v>
      </c>
      <c r="N272" s="24" t="n">
        <v>0.1539013016299</v>
      </c>
      <c r="O272" s="25" t="n">
        <v>259.177800803545</v>
      </c>
      <c r="P272" s="25" t="n">
        <v>62.0847288637165</v>
      </c>
      <c r="Q272" s="26" t="n">
        <v>0.0674188339618365</v>
      </c>
      <c r="R272" s="24" t="n">
        <v>0.615605206519599</v>
      </c>
      <c r="S272" s="4" t="n">
        <v>0.167425853118128</v>
      </c>
      <c r="T272" s="25" t="n">
        <v>259.177800803545</v>
      </c>
      <c r="U272" s="25" t="n">
        <v>122</v>
      </c>
      <c r="V272" s="26" t="n">
        <v>0.0282962962962963</v>
      </c>
      <c r="W272" s="24" t="n">
        <f aca="false">(I272-H272)/(J272-H272)</f>
        <v>1.30272334245857</v>
      </c>
      <c r="X272" s="24" t="n">
        <f aca="false">0.5*(1+(I272-K272-L272)/(I272-K272))</f>
        <v>0.427966101694915</v>
      </c>
      <c r="Y272" s="24" t="n">
        <v>0.669703412472512</v>
      </c>
      <c r="Z272" s="24" t="n">
        <v>0.166624557479105</v>
      </c>
      <c r="AA272" s="25" t="n">
        <v>259.177800803545</v>
      </c>
      <c r="AB272" s="25" t="n">
        <v>62.0847288637165</v>
      </c>
      <c r="AC272" s="26" t="n">
        <v>0.0674188339618365</v>
      </c>
      <c r="AD272" s="24" t="n">
        <v>0.666498229916421</v>
      </c>
      <c r="AE272" s="24" t="n">
        <v>0.205303170380192</v>
      </c>
      <c r="AF272" s="24" t="n">
        <v>0.260230391022493</v>
      </c>
      <c r="AG272" s="25" t="n">
        <v>273.161513344213</v>
      </c>
      <c r="AH272" s="26" t="n">
        <v>0.0227</v>
      </c>
      <c r="AI272" s="24" t="n">
        <v>0.821212681520769</v>
      </c>
    </row>
    <row r="273" customFormat="false" ht="14.25" hidden="false" customHeight="false" outlineLevel="0" collapsed="false">
      <c r="B273" s="1" t="n">
        <v>19.1</v>
      </c>
      <c r="C273" s="1" t="n">
        <v>2</v>
      </c>
      <c r="D273" s="2" t="n">
        <v>40</v>
      </c>
      <c r="E273" s="4" t="n">
        <v>2.92087587098479</v>
      </c>
      <c r="F273" s="1" t="n">
        <v>30</v>
      </c>
      <c r="G273" s="1" t="n">
        <v>39.5</v>
      </c>
      <c r="H273" s="3" t="n">
        <v>80.017825486464</v>
      </c>
      <c r="I273" s="1" t="n">
        <v>250</v>
      </c>
      <c r="J273" s="32" t="n">
        <v>210.5</v>
      </c>
      <c r="K273" s="25" t="n">
        <v>132</v>
      </c>
      <c r="L273" s="32" t="n">
        <v>135</v>
      </c>
      <c r="M273" s="4" t="n">
        <v>0.28</v>
      </c>
      <c r="N273" s="24" t="n">
        <v>0.205253847364266</v>
      </c>
      <c r="O273" s="25" t="n">
        <v>333.228601033129</v>
      </c>
      <c r="P273" s="25" t="n">
        <v>62.0847288637165</v>
      </c>
      <c r="Q273" s="26" t="n">
        <v>0.0674188339618365</v>
      </c>
      <c r="R273" s="24" t="n">
        <v>0.733049454872379</v>
      </c>
      <c r="S273" s="4" t="n">
        <v>0.234086611305624</v>
      </c>
      <c r="T273" s="25" t="n">
        <v>333.228601033129</v>
      </c>
      <c r="U273" s="25" t="n">
        <v>122</v>
      </c>
      <c r="V273" s="26" t="n">
        <v>0.0282962962962963</v>
      </c>
      <c r="W273" s="24" t="n">
        <f aca="false">(I273-H273)/(J273-H273)</f>
        <v>1.30272334245857</v>
      </c>
      <c r="X273" s="24" t="n">
        <f aca="false">0.5*(1+(I273-K273-L273)/(I273-K273))</f>
        <v>0.427966101694915</v>
      </c>
      <c r="Y273" s="24" t="n">
        <v>0.8360236118058</v>
      </c>
      <c r="Z273" s="24" t="n">
        <v>0.222222496663474</v>
      </c>
      <c r="AA273" s="25" t="n">
        <v>333.228601033129</v>
      </c>
      <c r="AB273" s="25" t="n">
        <v>62.0847288637165</v>
      </c>
      <c r="AC273" s="26" t="n">
        <v>0.0674188339618365</v>
      </c>
      <c r="AD273" s="24" t="n">
        <v>0.793651773798121</v>
      </c>
      <c r="AE273" s="24" t="n">
        <v>0.263961219060247</v>
      </c>
      <c r="AF273" s="24" t="n">
        <v>0.430176768833101</v>
      </c>
      <c r="AG273" s="25" t="n">
        <v>351.207660013988</v>
      </c>
      <c r="AH273" s="26" t="n">
        <v>0.0227</v>
      </c>
      <c r="AI273" s="24" t="n">
        <v>0.942718639500882</v>
      </c>
    </row>
    <row r="274" customFormat="false" ht="14.25" hidden="false" customHeight="false" outlineLevel="0" collapsed="false">
      <c r="A274" s="0" t="s">
        <v>83</v>
      </c>
      <c r="B274" s="1" t="n">
        <v>15.9</v>
      </c>
      <c r="C274" s="1" t="n">
        <v>2</v>
      </c>
      <c r="D274" s="2" t="n">
        <v>46</v>
      </c>
      <c r="E274" s="4" t="n">
        <v>3.35387948274239</v>
      </c>
      <c r="F274" s="1" t="n">
        <v>30</v>
      </c>
      <c r="G274" s="1" t="n">
        <v>38</v>
      </c>
      <c r="H274" s="3" t="n">
        <v>67.6841386130991</v>
      </c>
      <c r="I274" s="1" t="n">
        <v>250</v>
      </c>
      <c r="J274" s="32" t="n">
        <v>212</v>
      </c>
      <c r="K274" s="25" t="n">
        <v>129</v>
      </c>
      <c r="L274" s="32" t="n">
        <v>117.5</v>
      </c>
      <c r="M274" s="4" t="n">
        <v>0.2</v>
      </c>
      <c r="N274" s="24" t="n">
        <v>0.247876093912795</v>
      </c>
      <c r="O274" s="25" t="n">
        <v>365.472691516251</v>
      </c>
      <c r="P274" s="25" t="n">
        <v>97.0749058670791</v>
      </c>
      <c r="Q274" s="26" t="n">
        <v>0.0435727310809325</v>
      </c>
      <c r="R274" s="24" t="n">
        <v>1.23938046956397</v>
      </c>
      <c r="S274" s="4" t="n">
        <v>0.255931853756882</v>
      </c>
      <c r="T274" s="25" t="n">
        <v>365.472691516251</v>
      </c>
      <c r="U274" s="25" t="n">
        <v>169</v>
      </c>
      <c r="V274" s="26" t="n">
        <v>0.022536170212766</v>
      </c>
      <c r="W274" s="24" t="n">
        <f aca="false">(I274-H274)/(J274-H274)</f>
        <v>1.26331132028603</v>
      </c>
      <c r="X274" s="24" t="n">
        <f aca="false">0.5*(1+(I274-K274-L274)/(I274-K274))</f>
        <v>0.514462809917355</v>
      </c>
      <c r="Y274" s="24" t="n">
        <v>1.27965926878441</v>
      </c>
      <c r="Z274" s="24" t="n">
        <v>0.251979306420526</v>
      </c>
      <c r="AA274" s="25" t="n">
        <v>365.472691516251</v>
      </c>
      <c r="AB274" s="25" t="n">
        <v>97.0749058670791</v>
      </c>
      <c r="AC274" s="26" t="n">
        <v>0.0435727310809325</v>
      </c>
      <c r="AD274" s="24" t="n">
        <v>1.25989653210263</v>
      </c>
      <c r="AE274" s="24" t="n">
        <v>0.286155885856138</v>
      </c>
      <c r="AF274" s="24" t="n">
        <v>0.374062875884398</v>
      </c>
      <c r="AG274" s="25" t="n">
        <v>384.63438359429</v>
      </c>
      <c r="AH274" s="26" t="n">
        <v>0.0183</v>
      </c>
      <c r="AI274" s="24" t="n">
        <v>1.43077942928069</v>
      </c>
    </row>
    <row r="275" customFormat="false" ht="14.25" hidden="false" customHeight="false" outlineLevel="0" collapsed="false">
      <c r="B275" s="1" t="n">
        <v>15.9</v>
      </c>
      <c r="C275" s="1" t="n">
        <v>2</v>
      </c>
      <c r="D275" s="2" t="n">
        <v>46</v>
      </c>
      <c r="E275" s="4" t="n">
        <v>3.35387948274239</v>
      </c>
      <c r="F275" s="1" t="n">
        <v>30</v>
      </c>
      <c r="G275" s="1" t="n">
        <v>38</v>
      </c>
      <c r="H275" s="3" t="n">
        <v>67.6841386130991</v>
      </c>
      <c r="I275" s="1" t="n">
        <v>250</v>
      </c>
      <c r="J275" s="32" t="n">
        <v>212</v>
      </c>
      <c r="K275" s="25" t="n">
        <v>129</v>
      </c>
      <c r="L275" s="32" t="n">
        <v>117.5</v>
      </c>
      <c r="M275" s="4" t="n">
        <v>0.22</v>
      </c>
      <c r="N275" s="24" t="n">
        <v>0.269520780893451</v>
      </c>
      <c r="O275" s="25" t="n">
        <v>392.3</v>
      </c>
      <c r="P275" s="25" t="n">
        <v>97.0749058670791</v>
      </c>
      <c r="Q275" s="26" t="n">
        <v>0.0435727310809325</v>
      </c>
      <c r="R275" s="24" t="n">
        <v>1.22509445860659</v>
      </c>
      <c r="S275" s="4" t="n">
        <v>0.281927699170355</v>
      </c>
      <c r="T275" s="25" t="n">
        <v>392.3</v>
      </c>
      <c r="U275" s="25" t="n">
        <v>169</v>
      </c>
      <c r="V275" s="26" t="n">
        <v>0.022536170212766</v>
      </c>
      <c r="W275" s="24" t="n">
        <f aca="false">(I275-H275)/(J275-H275)</f>
        <v>1.26331132028603</v>
      </c>
      <c r="X275" s="24" t="n">
        <f aca="false">0.5*(1+(I275-K275-L275)/(I275-K275))</f>
        <v>0.514462809917355</v>
      </c>
      <c r="Y275" s="24" t="n">
        <v>1.28148954168343</v>
      </c>
      <c r="Z275" s="24" t="n">
        <v>0.273982288341783</v>
      </c>
      <c r="AA275" s="25" t="n">
        <v>392.3</v>
      </c>
      <c r="AB275" s="25" t="n">
        <v>97.0749058670791</v>
      </c>
      <c r="AC275" s="26" t="n">
        <v>0.0435727310809325</v>
      </c>
      <c r="AD275" s="24" t="n">
        <v>1.2453740379172</v>
      </c>
      <c r="AE275" s="24" t="n">
        <v>0.291858863402532</v>
      </c>
      <c r="AF275" s="24" t="n">
        <v>0.389121310385571</v>
      </c>
      <c r="AG275" s="25" t="n">
        <v>392.3</v>
      </c>
      <c r="AH275" s="26" t="n">
        <v>0.0183</v>
      </c>
      <c r="AI275" s="24" t="n">
        <v>1.32663119728424</v>
      </c>
    </row>
    <row r="276" customFormat="false" ht="14.25" hidden="false" customHeight="false" outlineLevel="0" collapsed="false">
      <c r="A276" s="0" t="s">
        <v>84</v>
      </c>
      <c r="B276" s="1" t="n">
        <v>15.9</v>
      </c>
      <c r="C276" s="1" t="n">
        <v>2</v>
      </c>
      <c r="D276" s="2" t="n">
        <v>46</v>
      </c>
      <c r="E276" s="4" t="n">
        <v>3.35387948274239</v>
      </c>
      <c r="F276" s="1" t="n">
        <v>30</v>
      </c>
      <c r="G276" s="1" t="n">
        <v>38</v>
      </c>
      <c r="H276" s="3" t="n">
        <v>67.6841386130991</v>
      </c>
      <c r="I276" s="1" t="n">
        <v>250</v>
      </c>
      <c r="J276" s="32" t="n">
        <v>212</v>
      </c>
      <c r="K276" s="25" t="n">
        <v>129</v>
      </c>
      <c r="L276" s="32" t="n">
        <v>117.5</v>
      </c>
      <c r="M276" s="4" t="n">
        <v>0.17</v>
      </c>
      <c r="N276" s="24" t="n">
        <v>0.247876093912795</v>
      </c>
      <c r="O276" s="25" t="n">
        <v>365.472691516251</v>
      </c>
      <c r="P276" s="25" t="n">
        <v>97.0749058670791</v>
      </c>
      <c r="Q276" s="26" t="n">
        <v>0.0435727310809325</v>
      </c>
      <c r="R276" s="24" t="n">
        <v>1.45809467007526</v>
      </c>
      <c r="S276" s="4" t="n">
        <v>0.255931853756882</v>
      </c>
      <c r="T276" s="25" t="n">
        <v>365.472691516251</v>
      </c>
      <c r="U276" s="25" t="n">
        <v>169</v>
      </c>
      <c r="V276" s="26" t="n">
        <v>0.022536170212766</v>
      </c>
      <c r="W276" s="24" t="n">
        <f aca="false">(I276-H276)/(J276-H276)</f>
        <v>1.26331132028603</v>
      </c>
      <c r="X276" s="24" t="n">
        <f aca="false">0.5*(1+(I276-K276-L276)/(I276-K276))</f>
        <v>0.514462809917355</v>
      </c>
      <c r="Y276" s="24" t="n">
        <v>1.50548149268754</v>
      </c>
      <c r="Z276" s="24" t="n">
        <v>0.251979306420526</v>
      </c>
      <c r="AA276" s="25" t="n">
        <v>365.472691516251</v>
      </c>
      <c r="AB276" s="25" t="n">
        <v>97.0749058670791</v>
      </c>
      <c r="AC276" s="26" t="n">
        <v>0.0435727310809325</v>
      </c>
      <c r="AD276" s="24" t="n">
        <v>1.48223121423839</v>
      </c>
      <c r="AE276" s="24" t="n">
        <v>0.286155885856138</v>
      </c>
      <c r="AF276" s="24" t="n">
        <v>0.374062875884398</v>
      </c>
      <c r="AG276" s="25" t="n">
        <v>384.63438359429</v>
      </c>
      <c r="AH276" s="26" t="n">
        <v>0.0183</v>
      </c>
      <c r="AI276" s="24" t="n">
        <v>1.68326991680081</v>
      </c>
    </row>
    <row r="277" customFormat="false" ht="14.25" hidden="false" customHeight="false" outlineLevel="0" collapsed="false">
      <c r="B277" s="1" t="n">
        <v>15.9</v>
      </c>
      <c r="C277" s="1" t="n">
        <v>2</v>
      </c>
      <c r="D277" s="2" t="n">
        <v>46</v>
      </c>
      <c r="E277" s="4" t="n">
        <v>3.35387948274239</v>
      </c>
      <c r="F277" s="1" t="n">
        <v>30</v>
      </c>
      <c r="G277" s="1" t="n">
        <v>38</v>
      </c>
      <c r="H277" s="3" t="n">
        <v>67.6841386130991</v>
      </c>
      <c r="I277" s="1" t="n">
        <v>250</v>
      </c>
      <c r="J277" s="32" t="n">
        <v>212</v>
      </c>
      <c r="K277" s="25" t="n">
        <v>129</v>
      </c>
      <c r="L277" s="32" t="n">
        <v>117.5</v>
      </c>
      <c r="M277" s="4" t="n">
        <v>0.21</v>
      </c>
      <c r="N277" s="24" t="n">
        <v>0.269520780893451</v>
      </c>
      <c r="O277" s="25" t="n">
        <v>392.3</v>
      </c>
      <c r="P277" s="25" t="n">
        <v>97.0749058670791</v>
      </c>
      <c r="Q277" s="26" t="n">
        <v>0.0435727310809325</v>
      </c>
      <c r="R277" s="24" t="n">
        <v>1.28343228996881</v>
      </c>
      <c r="S277" s="4" t="n">
        <v>0.281927699170355</v>
      </c>
      <c r="T277" s="25" t="n">
        <v>392.3</v>
      </c>
      <c r="U277" s="25" t="n">
        <v>169</v>
      </c>
      <c r="V277" s="26" t="n">
        <v>0.022536170212766</v>
      </c>
      <c r="W277" s="24" t="n">
        <f aca="false">(I277-H277)/(J277-H277)</f>
        <v>1.26331132028603</v>
      </c>
      <c r="X277" s="24" t="n">
        <f aca="false">0.5*(1+(I277-K277-L277)/(I277-K277))</f>
        <v>0.514462809917355</v>
      </c>
      <c r="Y277" s="24" t="n">
        <v>1.34251285319217</v>
      </c>
      <c r="Z277" s="24" t="n">
        <v>0.273982288341783</v>
      </c>
      <c r="AA277" s="25" t="n">
        <v>392.3</v>
      </c>
      <c r="AB277" s="25" t="n">
        <v>97.0749058670791</v>
      </c>
      <c r="AC277" s="26" t="n">
        <v>0.0435727310809325</v>
      </c>
      <c r="AD277" s="24" t="n">
        <v>1.3046775635323</v>
      </c>
      <c r="AE277" s="24" t="n">
        <v>0.291858863402532</v>
      </c>
      <c r="AF277" s="24" t="n">
        <v>0.389121310385571</v>
      </c>
      <c r="AG277" s="25" t="n">
        <v>392.3</v>
      </c>
      <c r="AH277" s="26" t="n">
        <v>0.0183</v>
      </c>
      <c r="AI277" s="24" t="n">
        <v>1.38980411144063</v>
      </c>
    </row>
    <row r="278" customFormat="false" ht="14.25" hidden="false" customHeight="false" outlineLevel="0" collapsed="false">
      <c r="A278" s="0" t="s">
        <v>85</v>
      </c>
      <c r="B278" s="1" t="n">
        <v>19.1</v>
      </c>
      <c r="C278" s="1" t="n">
        <v>2</v>
      </c>
      <c r="D278" s="2" t="n">
        <v>40</v>
      </c>
      <c r="E278" s="4" t="n">
        <v>3.35387948274239</v>
      </c>
      <c r="F278" s="1" t="n">
        <v>30</v>
      </c>
      <c r="G278" s="1" t="n">
        <v>39.5</v>
      </c>
      <c r="H278" s="3" t="n">
        <v>77.9189777125861</v>
      </c>
      <c r="I278" s="1" t="n">
        <v>250</v>
      </c>
      <c r="J278" s="32" t="n">
        <v>210.5</v>
      </c>
      <c r="K278" s="25" t="n">
        <v>131</v>
      </c>
      <c r="L278" s="32" t="n">
        <v>135</v>
      </c>
      <c r="M278" s="4" t="n">
        <v>0.17</v>
      </c>
      <c r="N278" s="24" t="n">
        <v>0.125024210405154</v>
      </c>
      <c r="O278" s="25" t="n">
        <v>221.310131801498</v>
      </c>
      <c r="P278" s="25" t="n">
        <v>70.4640937896561</v>
      </c>
      <c r="Q278" s="26" t="n">
        <v>0.0665965360251012</v>
      </c>
      <c r="R278" s="24" t="n">
        <v>0.735436531795022</v>
      </c>
      <c r="S278" s="4" t="n">
        <v>0.124185684451845</v>
      </c>
      <c r="T278" s="25" t="n">
        <v>221.310131801498</v>
      </c>
      <c r="U278" s="25" t="n">
        <v>139</v>
      </c>
      <c r="V278" s="26" t="n">
        <v>0.0282962962962963</v>
      </c>
      <c r="W278" s="24" t="n">
        <f aca="false">(I278-H278)/(J278-H278)</f>
        <v>1.29793102601344</v>
      </c>
      <c r="X278" s="24" t="n">
        <f aca="false">0.5*(1+(I278-K278-L278)/(I278-K278))</f>
        <v>0.432773109243698</v>
      </c>
      <c r="Y278" s="24" t="n">
        <v>0.730504026187326</v>
      </c>
      <c r="Z278" s="24" t="n">
        <v>0.134950755660197</v>
      </c>
      <c r="AA278" s="25" t="n">
        <v>221.310131801498</v>
      </c>
      <c r="AB278" s="25" t="n">
        <v>70.4640937896561</v>
      </c>
      <c r="AC278" s="26" t="n">
        <v>0.0665965360251012</v>
      </c>
      <c r="AD278" s="24" t="n">
        <v>0.793827974471746</v>
      </c>
      <c r="AE278" s="24" t="n">
        <v>0.175974146040165</v>
      </c>
      <c r="AF278" s="24" t="n">
        <v>0.166506074970881</v>
      </c>
      <c r="AG278" s="25" t="n">
        <v>234.138440009325</v>
      </c>
      <c r="AH278" s="26" t="n">
        <v>0.0227</v>
      </c>
      <c r="AI278" s="24" t="n">
        <v>0.979447499828711</v>
      </c>
    </row>
    <row r="279" customFormat="false" ht="14.25" hidden="false" customHeight="false" outlineLevel="0" collapsed="false">
      <c r="B279" s="1" t="n">
        <v>19.1</v>
      </c>
      <c r="C279" s="1" t="n">
        <v>2</v>
      </c>
      <c r="D279" s="2" t="n">
        <v>40</v>
      </c>
      <c r="E279" s="4" t="n">
        <v>3.35387948274239</v>
      </c>
      <c r="F279" s="1" t="n">
        <v>30</v>
      </c>
      <c r="G279" s="1" t="n">
        <v>39.5</v>
      </c>
      <c r="H279" s="3" t="n">
        <v>77.9189777125861</v>
      </c>
      <c r="I279" s="1" t="n">
        <v>250</v>
      </c>
      <c r="J279" s="32" t="n">
        <v>210.5</v>
      </c>
      <c r="K279" s="25" t="n">
        <v>131</v>
      </c>
      <c r="L279" s="32" t="n">
        <v>135</v>
      </c>
      <c r="M279" s="4" t="n">
        <v>0.18</v>
      </c>
      <c r="N279" s="24" t="n">
        <v>0.151442802841225</v>
      </c>
      <c r="O279" s="25" t="n">
        <v>259.140923562438</v>
      </c>
      <c r="P279" s="25" t="n">
        <v>70.4640937896561</v>
      </c>
      <c r="Q279" s="26" t="n">
        <v>0.0665965360251012</v>
      </c>
      <c r="R279" s="24" t="n">
        <v>0.84134890467347</v>
      </c>
      <c r="S279" s="4" t="n">
        <v>0.158196919210972</v>
      </c>
      <c r="T279" s="25" t="n">
        <v>259.140923562438</v>
      </c>
      <c r="U279" s="25" t="n">
        <v>139</v>
      </c>
      <c r="V279" s="26" t="n">
        <v>0.0282962962962963</v>
      </c>
      <c r="W279" s="24" t="n">
        <f aca="false">(I279-H279)/(J279-H279)</f>
        <v>1.29793102601344</v>
      </c>
      <c r="X279" s="24" t="n">
        <f aca="false">0.5*(1+(I279-K279-L279)/(I279-K279))</f>
        <v>0.432773109243698</v>
      </c>
      <c r="Y279" s="24" t="n">
        <v>0.87887177339429</v>
      </c>
      <c r="Z279" s="24" t="n">
        <v>0.163466904661843</v>
      </c>
      <c r="AA279" s="25" t="n">
        <v>259.140923562438</v>
      </c>
      <c r="AB279" s="25" t="n">
        <v>70.4640937896561</v>
      </c>
      <c r="AC279" s="26" t="n">
        <v>0.0665965360251012</v>
      </c>
      <c r="AD279" s="24" t="n">
        <v>0.908149470343572</v>
      </c>
      <c r="AE279" s="24" t="n">
        <v>0.206055196645321</v>
      </c>
      <c r="AF279" s="24" t="n">
        <v>0.228296626570857</v>
      </c>
      <c r="AG279" s="25" t="n">
        <v>274.162104968184</v>
      </c>
      <c r="AH279" s="26" t="n">
        <v>0.0227</v>
      </c>
      <c r="AI279" s="24" t="n">
        <v>1.14475109247401</v>
      </c>
    </row>
    <row r="280" customFormat="false" ht="14.25" hidden="false" customHeight="false" outlineLevel="0" collapsed="false">
      <c r="B280" s="1" t="n">
        <v>19.1</v>
      </c>
      <c r="C280" s="1" t="n">
        <v>2</v>
      </c>
      <c r="D280" s="2" t="n">
        <v>40</v>
      </c>
      <c r="E280" s="4" t="n">
        <v>3.35387948274239</v>
      </c>
      <c r="F280" s="1" t="n">
        <v>30</v>
      </c>
      <c r="G280" s="1" t="n">
        <v>39.5</v>
      </c>
      <c r="H280" s="3" t="n">
        <v>77.9189777125861</v>
      </c>
      <c r="I280" s="1" t="n">
        <v>250</v>
      </c>
      <c r="J280" s="32" t="n">
        <v>210.5</v>
      </c>
      <c r="K280" s="25" t="n">
        <v>131</v>
      </c>
      <c r="L280" s="32" t="n">
        <v>135</v>
      </c>
      <c r="M280" s="4" t="n">
        <v>0.2</v>
      </c>
      <c r="N280" s="24" t="n">
        <v>0.177200930466394</v>
      </c>
      <c r="O280" s="25" t="n">
        <v>296.025945529354</v>
      </c>
      <c r="P280" s="25" t="n">
        <v>70.4640937896561</v>
      </c>
      <c r="Q280" s="26" t="n">
        <v>0.0665965360251012</v>
      </c>
      <c r="R280" s="24" t="n">
        <v>0.886004652331969</v>
      </c>
      <c r="S280" s="4" t="n">
        <v>0.191357873101121</v>
      </c>
      <c r="T280" s="25" t="n">
        <v>296.025945529354</v>
      </c>
      <c r="U280" s="25" t="n">
        <v>139</v>
      </c>
      <c r="V280" s="26" t="n">
        <v>0.0282962962962963</v>
      </c>
      <c r="W280" s="24" t="n">
        <f aca="false">(I280-H280)/(J280-H280)</f>
        <v>1.29793102601344</v>
      </c>
      <c r="X280" s="24" t="n">
        <f aca="false">0.5*(1+(I280-K280-L280)/(I280-K280))</f>
        <v>0.432773109243698</v>
      </c>
      <c r="Y280" s="24" t="n">
        <v>0.956789365505603</v>
      </c>
      <c r="Z280" s="24" t="n">
        <v>0.191270149938448</v>
      </c>
      <c r="AA280" s="25" t="n">
        <v>296.025945529354</v>
      </c>
      <c r="AB280" s="25" t="n">
        <v>70.4640937896561</v>
      </c>
      <c r="AC280" s="26" t="n">
        <v>0.0665965360251012</v>
      </c>
      <c r="AD280" s="24" t="n">
        <v>0.95635074969224</v>
      </c>
      <c r="AE280" s="24" t="n">
        <v>0.235384220985349</v>
      </c>
      <c r="AF280" s="24" t="n">
        <v>0.297911345949708</v>
      </c>
      <c r="AG280" s="25" t="n">
        <v>313.185178303072</v>
      </c>
      <c r="AH280" s="26" t="n">
        <v>0.0227</v>
      </c>
      <c r="AI280" s="24" t="n">
        <v>1.17692110492674</v>
      </c>
    </row>
    <row r="281" customFormat="false" ht="14.25" hidden="false" customHeight="false" outlineLevel="0" collapsed="false">
      <c r="B281" s="1" t="n">
        <v>19.1</v>
      </c>
      <c r="C281" s="1" t="n">
        <v>2</v>
      </c>
      <c r="D281" s="2" t="n">
        <v>40</v>
      </c>
      <c r="E281" s="4" t="n">
        <v>3.35387948274239</v>
      </c>
      <c r="F281" s="1" t="n">
        <v>30</v>
      </c>
      <c r="G281" s="1" t="n">
        <v>39.5</v>
      </c>
      <c r="H281" s="3" t="n">
        <v>77.9189777125861</v>
      </c>
      <c r="I281" s="1" t="n">
        <v>250</v>
      </c>
      <c r="J281" s="32" t="n">
        <v>210.5</v>
      </c>
      <c r="K281" s="25" t="n">
        <v>131</v>
      </c>
      <c r="L281" s="32" t="n">
        <v>135</v>
      </c>
      <c r="M281" s="4" t="n">
        <v>0.2</v>
      </c>
      <c r="N281" s="24" t="n">
        <v>0.203619522902465</v>
      </c>
      <c r="O281" s="25" t="n">
        <v>333.856737290294</v>
      </c>
      <c r="P281" s="25" t="n">
        <v>70.4640937896561</v>
      </c>
      <c r="Q281" s="26" t="n">
        <v>0.0665965360251012</v>
      </c>
      <c r="R281" s="24" t="n">
        <v>1.01809761451232</v>
      </c>
      <c r="S281" s="4" t="n">
        <v>0.225369107860247</v>
      </c>
      <c r="T281" s="25" t="n">
        <v>333.856737290294</v>
      </c>
      <c r="U281" s="25" t="n">
        <v>139</v>
      </c>
      <c r="V281" s="26" t="n">
        <v>0.0282962962962963</v>
      </c>
      <c r="W281" s="24" t="n">
        <f aca="false">(I281-H281)/(J281-H281)</f>
        <v>1.29793102601344</v>
      </c>
      <c r="X281" s="24" t="n">
        <f aca="false">0.5*(1+(I281-K281-L281)/(I281-K281))</f>
        <v>0.432773109243698</v>
      </c>
      <c r="Y281" s="24" t="n">
        <v>1.12684553930124</v>
      </c>
      <c r="Z281" s="24" t="n">
        <v>0.219786298940094</v>
      </c>
      <c r="AA281" s="25" t="n">
        <v>333.856737290294</v>
      </c>
      <c r="AB281" s="25" t="n">
        <v>70.4640937896561</v>
      </c>
      <c r="AC281" s="26" t="n">
        <v>0.0665965360251012</v>
      </c>
      <c r="AD281" s="24" t="n">
        <v>1.09893149470047</v>
      </c>
      <c r="AE281" s="24" t="n">
        <v>0.265465271590505</v>
      </c>
      <c r="AF281" s="24" t="n">
        <v>0.378920218716606</v>
      </c>
      <c r="AG281" s="25" t="n">
        <v>353.208843261931</v>
      </c>
      <c r="AH281" s="26" t="n">
        <v>0.0227</v>
      </c>
      <c r="AI281" s="24" t="n">
        <v>1.32732635795252</v>
      </c>
    </row>
    <row r="282" customFormat="false" ht="14.25" hidden="false" customHeight="false" outlineLevel="0" collapsed="false">
      <c r="B282" s="1" t="n">
        <v>19.1</v>
      </c>
      <c r="C282" s="1" t="n">
        <v>2</v>
      </c>
      <c r="D282" s="2" t="n">
        <v>40</v>
      </c>
      <c r="E282" s="4" t="n">
        <v>3.35387948274239</v>
      </c>
      <c r="F282" s="1" t="n">
        <v>30</v>
      </c>
      <c r="G282" s="1" t="n">
        <v>39.5</v>
      </c>
      <c r="H282" s="3" t="n">
        <v>77.9189777125861</v>
      </c>
      <c r="I282" s="1" t="n">
        <v>250</v>
      </c>
      <c r="J282" s="32" t="n">
        <v>210.5</v>
      </c>
      <c r="K282" s="25" t="n">
        <v>131</v>
      </c>
      <c r="L282" s="32" t="n">
        <v>135</v>
      </c>
      <c r="M282" s="4" t="n">
        <v>0.25</v>
      </c>
      <c r="N282" s="24" t="n">
        <v>0.228717185716732</v>
      </c>
      <c r="O282" s="25" t="n">
        <v>369.795989463187</v>
      </c>
      <c r="P282" s="25" t="n">
        <v>70.4640937896561</v>
      </c>
      <c r="Q282" s="26" t="n">
        <v>0.0665965360251012</v>
      </c>
      <c r="R282" s="24" t="n">
        <v>0.914868742866928</v>
      </c>
      <c r="S282" s="4" t="n">
        <v>0.257679780881418</v>
      </c>
      <c r="T282" s="25" t="n">
        <v>369.795989463187</v>
      </c>
      <c r="U282" s="25" t="n">
        <v>139</v>
      </c>
      <c r="V282" s="26" t="n">
        <v>0.0282962962962963</v>
      </c>
      <c r="W282" s="24" t="n">
        <f aca="false">(I282-H282)/(J282-H282)</f>
        <v>1.29793102601344</v>
      </c>
      <c r="X282" s="24" t="n">
        <f aca="false">0.5*(1+(I282-K282-L282)/(I282-K282))</f>
        <v>0.432773109243698</v>
      </c>
      <c r="Y282" s="24" t="n">
        <v>1.03071912352567</v>
      </c>
      <c r="Z282" s="24" t="n">
        <v>0.246876640491658</v>
      </c>
      <c r="AA282" s="25" t="n">
        <v>369.795989463187</v>
      </c>
      <c r="AB282" s="25" t="n">
        <v>70.4640937896561</v>
      </c>
      <c r="AC282" s="26" t="n">
        <v>0.0665965360251012</v>
      </c>
      <c r="AD282" s="24" t="n">
        <v>0.987506561966632</v>
      </c>
      <c r="AE282" s="24" t="n">
        <v>0.294042269665404</v>
      </c>
      <c r="AF282" s="24" t="n">
        <v>0.464891797202557</v>
      </c>
      <c r="AG282" s="25" t="n">
        <v>391.231324972847</v>
      </c>
      <c r="AH282" s="26" t="n">
        <v>0.0227</v>
      </c>
      <c r="AI282" s="24" t="n">
        <v>1.17616907866161</v>
      </c>
    </row>
    <row r="283" customFormat="false" ht="14.25" hidden="false" customHeight="false" outlineLevel="0" collapsed="false">
      <c r="B283" s="1" t="n">
        <v>19.1</v>
      </c>
      <c r="C283" s="1" t="n">
        <v>2</v>
      </c>
      <c r="D283" s="2" t="n">
        <v>40</v>
      </c>
      <c r="E283" s="4" t="n">
        <v>3.35387948274239</v>
      </c>
      <c r="F283" s="1" t="n">
        <v>30</v>
      </c>
      <c r="G283" s="1" t="n">
        <v>39.5</v>
      </c>
      <c r="H283" s="3" t="n">
        <v>77.9189777125861</v>
      </c>
      <c r="I283" s="1" t="n">
        <v>250</v>
      </c>
      <c r="J283" s="32" t="n">
        <v>210.5</v>
      </c>
      <c r="K283" s="25" t="n">
        <v>131</v>
      </c>
      <c r="L283" s="32" t="n">
        <v>135</v>
      </c>
      <c r="M283" s="4" t="n">
        <v>0.27</v>
      </c>
      <c r="N283" s="24" t="n">
        <v>0.2444325396619</v>
      </c>
      <c r="O283" s="25" t="n">
        <v>392.3</v>
      </c>
      <c r="P283" s="25" t="n">
        <v>70.4640937896561</v>
      </c>
      <c r="Q283" s="26" t="n">
        <v>0.0665965360251012</v>
      </c>
      <c r="R283" s="24" t="n">
        <v>0.90530570245148</v>
      </c>
      <c r="S283" s="4" t="n">
        <v>0.277911691178883</v>
      </c>
      <c r="T283" s="25" t="n">
        <v>392.3</v>
      </c>
      <c r="U283" s="25" t="n">
        <v>139</v>
      </c>
      <c r="V283" s="26" t="n">
        <v>0.0282962962962963</v>
      </c>
      <c r="W283" s="24" t="n">
        <f aca="false">(I283-H283)/(J283-H283)</f>
        <v>1.29793102601344</v>
      </c>
      <c r="X283" s="24" t="n">
        <f aca="false">0.5*(1+(I283-K283-L283)/(I283-K283))</f>
        <v>0.432773109243698</v>
      </c>
      <c r="Y283" s="24" t="n">
        <v>1.02930255992179</v>
      </c>
      <c r="Z283" s="24" t="n">
        <v>0.263839746145316</v>
      </c>
      <c r="AA283" s="25" t="n">
        <v>392.3</v>
      </c>
      <c r="AB283" s="25" t="n">
        <v>70.4640937896561</v>
      </c>
      <c r="AC283" s="26" t="n">
        <v>0.0665965360251012</v>
      </c>
      <c r="AD283" s="24" t="n">
        <v>0.977184244982653</v>
      </c>
      <c r="AE283" s="24" t="n">
        <v>0.294845466164408</v>
      </c>
      <c r="AF283" s="24" t="n">
        <v>0.467435033230466</v>
      </c>
      <c r="AG283" s="25" t="n">
        <v>392.3</v>
      </c>
      <c r="AH283" s="26" t="n">
        <v>0.0227</v>
      </c>
      <c r="AI283" s="24" t="n">
        <v>1.09202024505336</v>
      </c>
    </row>
    <row r="284" customFormat="false" ht="14.25" hidden="false" customHeight="false" outlineLevel="0" collapsed="false">
      <c r="A284" s="0" t="s">
        <v>86</v>
      </c>
      <c r="B284" s="1" t="n">
        <v>19.1</v>
      </c>
      <c r="C284" s="1" t="n">
        <v>2</v>
      </c>
      <c r="D284" s="2" t="n">
        <v>40</v>
      </c>
      <c r="E284" s="4" t="n">
        <v>3.35387948274239</v>
      </c>
      <c r="F284" s="1" t="n">
        <v>30</v>
      </c>
      <c r="G284" s="1" t="n">
        <v>39.5</v>
      </c>
      <c r="H284" s="3" t="n">
        <v>77.9189777125861</v>
      </c>
      <c r="I284" s="1" t="n">
        <v>250</v>
      </c>
      <c r="J284" s="32" t="n">
        <v>210.5</v>
      </c>
      <c r="K284" s="25" t="n">
        <v>131</v>
      </c>
      <c r="L284" s="32" t="n">
        <v>135</v>
      </c>
      <c r="M284" s="4" t="n">
        <v>0.18</v>
      </c>
      <c r="N284" s="24" t="n">
        <v>0.177200930466394</v>
      </c>
      <c r="O284" s="25" t="n">
        <v>296.025945529354</v>
      </c>
      <c r="P284" s="25" t="n">
        <v>70.4640937896561</v>
      </c>
      <c r="Q284" s="26" t="n">
        <v>0.0665965360251012</v>
      </c>
      <c r="R284" s="24" t="n">
        <v>0.984449613702187</v>
      </c>
      <c r="S284" s="4" t="n">
        <v>0.191357873101121</v>
      </c>
      <c r="T284" s="25" t="n">
        <v>296.025945529354</v>
      </c>
      <c r="U284" s="25" t="n">
        <v>139</v>
      </c>
      <c r="V284" s="26" t="n">
        <v>0.0282962962962963</v>
      </c>
      <c r="W284" s="24" t="n">
        <f aca="false">(I284-H284)/(J284-H284)</f>
        <v>1.29793102601344</v>
      </c>
      <c r="X284" s="24" t="n">
        <f aca="false">0.5*(1+(I284-K284-L284)/(I284-K284))</f>
        <v>0.432773109243698</v>
      </c>
      <c r="Y284" s="24" t="n">
        <v>1.06309929500623</v>
      </c>
      <c r="Z284" s="24" t="n">
        <v>0.191270149938448</v>
      </c>
      <c r="AA284" s="25" t="n">
        <v>296.025945529354</v>
      </c>
      <c r="AB284" s="25" t="n">
        <v>70.4640937896561</v>
      </c>
      <c r="AC284" s="26" t="n">
        <v>0.0665965360251012</v>
      </c>
      <c r="AD284" s="24" t="n">
        <v>1.06261194410249</v>
      </c>
      <c r="AE284" s="24" t="n">
        <v>0.235384220985349</v>
      </c>
      <c r="AF284" s="24" t="n">
        <v>0.297911345949708</v>
      </c>
      <c r="AG284" s="25" t="n">
        <v>313.185178303072</v>
      </c>
      <c r="AH284" s="26" t="n">
        <v>0.0227</v>
      </c>
      <c r="AI284" s="24" t="n">
        <v>1.30769011658527</v>
      </c>
    </row>
    <row r="285" customFormat="false" ht="14.25" hidden="false" customHeight="false" outlineLevel="0" collapsed="false">
      <c r="B285" s="1" t="n">
        <v>19.1</v>
      </c>
      <c r="C285" s="1" t="n">
        <v>2</v>
      </c>
      <c r="D285" s="2" t="n">
        <v>40</v>
      </c>
      <c r="E285" s="4" t="n">
        <v>3.35387948274239</v>
      </c>
      <c r="F285" s="1" t="n">
        <v>30</v>
      </c>
      <c r="G285" s="1" t="n">
        <v>39.5</v>
      </c>
      <c r="H285" s="3" t="n">
        <v>77.9189777125861</v>
      </c>
      <c r="I285" s="1" t="n">
        <v>250</v>
      </c>
      <c r="J285" s="32" t="n">
        <v>210.5</v>
      </c>
      <c r="K285" s="25" t="n">
        <v>131</v>
      </c>
      <c r="L285" s="32" t="n">
        <v>135</v>
      </c>
      <c r="M285" s="4" t="n">
        <v>0.19</v>
      </c>
      <c r="N285" s="24" t="n">
        <v>0.202298593280661</v>
      </c>
      <c r="O285" s="25" t="n">
        <v>331.965197702247</v>
      </c>
      <c r="P285" s="25" t="n">
        <v>70.4640937896561</v>
      </c>
      <c r="Q285" s="26" t="n">
        <v>0.0665965360251012</v>
      </c>
      <c r="R285" s="24" t="n">
        <v>1.06472943831927</v>
      </c>
      <c r="S285" s="4" t="n">
        <v>0.223668546122291</v>
      </c>
      <c r="T285" s="25" t="n">
        <v>331.965197702247</v>
      </c>
      <c r="U285" s="25" t="n">
        <v>139</v>
      </c>
      <c r="V285" s="26" t="n">
        <v>0.0282962962962963</v>
      </c>
      <c r="W285" s="24" t="n">
        <f aca="false">(I285-H285)/(J285-H285)</f>
        <v>1.29793102601344</v>
      </c>
      <c r="X285" s="24" t="n">
        <f aca="false">0.5*(1+(I285-K285-L285)/(I285-K285))</f>
        <v>0.432773109243698</v>
      </c>
      <c r="Y285" s="24" t="n">
        <v>1.17720287432785</v>
      </c>
      <c r="Z285" s="24" t="n">
        <v>0.218360491490012</v>
      </c>
      <c r="AA285" s="25" t="n">
        <v>331.965197702247</v>
      </c>
      <c r="AB285" s="25" t="n">
        <v>70.4640937896561</v>
      </c>
      <c r="AC285" s="26" t="n">
        <v>0.0665965360251012</v>
      </c>
      <c r="AD285" s="24" t="n">
        <v>1.14926574468427</v>
      </c>
      <c r="AE285" s="24" t="n">
        <v>0.263961219060247</v>
      </c>
      <c r="AF285" s="24" t="n">
        <v>0.374638668684482</v>
      </c>
      <c r="AG285" s="25" t="n">
        <v>351.207660013988</v>
      </c>
      <c r="AH285" s="26" t="n">
        <v>0.0227</v>
      </c>
      <c r="AI285" s="24" t="n">
        <v>1.3892695740013</v>
      </c>
    </row>
    <row r="286" customFormat="false" ht="14.25" hidden="false" customHeight="false" outlineLevel="0" collapsed="false">
      <c r="B286" s="1" t="n">
        <v>19.1</v>
      </c>
      <c r="C286" s="1" t="n">
        <v>2</v>
      </c>
      <c r="D286" s="2" t="n">
        <v>40</v>
      </c>
      <c r="E286" s="4" t="n">
        <v>3.35387948274239</v>
      </c>
      <c r="F286" s="1" t="n">
        <v>30</v>
      </c>
      <c r="G286" s="1" t="n">
        <v>39.5</v>
      </c>
      <c r="H286" s="3" t="n">
        <v>77.9189777125861</v>
      </c>
      <c r="I286" s="1" t="n">
        <v>250</v>
      </c>
      <c r="J286" s="32" t="n">
        <v>210.5</v>
      </c>
      <c r="K286" s="25" t="n">
        <v>131</v>
      </c>
      <c r="L286" s="32" t="n">
        <v>135</v>
      </c>
      <c r="M286" s="4" t="n">
        <v>0.21</v>
      </c>
      <c r="N286" s="24" t="n">
        <v>0.228717185716732</v>
      </c>
      <c r="O286" s="25" t="n">
        <v>369.795989463187</v>
      </c>
      <c r="P286" s="25" t="n">
        <v>70.4640937896561</v>
      </c>
      <c r="Q286" s="26" t="n">
        <v>0.0665965360251012</v>
      </c>
      <c r="R286" s="24" t="n">
        <v>1.08912945579396</v>
      </c>
      <c r="S286" s="4" t="n">
        <v>0.257679780881418</v>
      </c>
      <c r="T286" s="25" t="n">
        <v>369.795989463187</v>
      </c>
      <c r="U286" s="25" t="n">
        <v>139</v>
      </c>
      <c r="V286" s="26" t="n">
        <v>0.0282962962962963</v>
      </c>
      <c r="W286" s="24" t="n">
        <f aca="false">(I286-H286)/(J286-H286)</f>
        <v>1.29793102601344</v>
      </c>
      <c r="X286" s="24" t="n">
        <f aca="false">0.5*(1+(I286-K286-L286)/(I286-K286))</f>
        <v>0.432773109243698</v>
      </c>
      <c r="Y286" s="24" t="n">
        <v>1.2270465756258</v>
      </c>
      <c r="Z286" s="24" t="n">
        <v>0.246876640491658</v>
      </c>
      <c r="AA286" s="25" t="n">
        <v>369.795989463187</v>
      </c>
      <c r="AB286" s="25" t="n">
        <v>70.4640937896561</v>
      </c>
      <c r="AC286" s="26" t="n">
        <v>0.0665965360251012</v>
      </c>
      <c r="AD286" s="24" t="n">
        <v>1.17560304996028</v>
      </c>
      <c r="AE286" s="24" t="n">
        <v>0.294042269665404</v>
      </c>
      <c r="AF286" s="24" t="n">
        <v>0.464891797202557</v>
      </c>
      <c r="AG286" s="25" t="n">
        <v>391.231324972847</v>
      </c>
      <c r="AH286" s="26" t="n">
        <v>0.0227</v>
      </c>
      <c r="AI286" s="24" t="n">
        <v>1.40020128412097</v>
      </c>
    </row>
    <row r="287" customFormat="false" ht="14.25" hidden="false" customHeight="false" outlineLevel="0" collapsed="false">
      <c r="B287" s="1" t="n">
        <v>19.1</v>
      </c>
      <c r="C287" s="1" t="n">
        <v>2</v>
      </c>
      <c r="D287" s="2" t="n">
        <v>40</v>
      </c>
      <c r="E287" s="4" t="n">
        <v>3.35387948274239</v>
      </c>
      <c r="F287" s="1" t="n">
        <v>30</v>
      </c>
      <c r="G287" s="1" t="n">
        <v>39.5</v>
      </c>
      <c r="H287" s="3" t="n">
        <v>77.9189777125861</v>
      </c>
      <c r="I287" s="1" t="n">
        <v>250</v>
      </c>
      <c r="J287" s="32" t="n">
        <v>210.5</v>
      </c>
      <c r="K287" s="25" t="n">
        <v>131</v>
      </c>
      <c r="L287" s="32" t="n">
        <v>135</v>
      </c>
      <c r="M287" s="4" t="n">
        <v>0.26</v>
      </c>
      <c r="N287" s="24" t="n">
        <v>0.2444325396619</v>
      </c>
      <c r="O287" s="25" t="n">
        <v>392.3</v>
      </c>
      <c r="P287" s="25" t="n">
        <v>70.4640937896561</v>
      </c>
      <c r="Q287" s="26" t="n">
        <v>0.0665965360251012</v>
      </c>
      <c r="R287" s="24" t="n">
        <v>0.940125152545768</v>
      </c>
      <c r="S287" s="4" t="n">
        <v>0.277911691178883</v>
      </c>
      <c r="T287" s="25" t="n">
        <v>392.3</v>
      </c>
      <c r="U287" s="25" t="n">
        <v>139</v>
      </c>
      <c r="V287" s="26" t="n">
        <v>0.0282962962962963</v>
      </c>
      <c r="W287" s="24" t="n">
        <f aca="false">(I287-H287)/(J287-H287)</f>
        <v>1.29793102601344</v>
      </c>
      <c r="X287" s="24" t="n">
        <f aca="false">0.5*(1+(I287-K287-L287)/(I287-K287))</f>
        <v>0.432773109243698</v>
      </c>
      <c r="Y287" s="24" t="n">
        <v>1.06889111991878</v>
      </c>
      <c r="Z287" s="24" t="n">
        <v>0.263839746145316</v>
      </c>
      <c r="AA287" s="25" t="n">
        <v>392.3</v>
      </c>
      <c r="AB287" s="25" t="n">
        <v>70.4640937896561</v>
      </c>
      <c r="AC287" s="26" t="n">
        <v>0.0665965360251012</v>
      </c>
      <c r="AD287" s="24" t="n">
        <v>1.01476825440506</v>
      </c>
      <c r="AE287" s="24" t="n">
        <v>0.294845466164408</v>
      </c>
      <c r="AF287" s="24" t="n">
        <v>0.467435033230466</v>
      </c>
      <c r="AG287" s="25" t="n">
        <v>392.3</v>
      </c>
      <c r="AH287" s="26" t="n">
        <v>0.0227</v>
      </c>
      <c r="AI287" s="24" t="n">
        <v>1.13402102370926</v>
      </c>
    </row>
    <row r="288" customFormat="false" ht="14.25" hidden="false" customHeight="false" outlineLevel="0" collapsed="false">
      <c r="A288" s="0" t="s">
        <v>87</v>
      </c>
      <c r="B288" s="1" t="n">
        <v>19.1</v>
      </c>
      <c r="C288" s="1" t="n">
        <v>2</v>
      </c>
      <c r="D288" s="2" t="n">
        <v>69.8</v>
      </c>
      <c r="E288" s="4" t="n">
        <v>2.90032882517908</v>
      </c>
      <c r="F288" s="1" t="n">
        <v>31.8</v>
      </c>
      <c r="G288" s="1" t="n">
        <v>41.4</v>
      </c>
      <c r="H288" s="3" t="n">
        <v>105.951899677992</v>
      </c>
      <c r="I288" s="1" t="n">
        <v>381</v>
      </c>
      <c r="J288" s="32" t="n">
        <v>339.6</v>
      </c>
      <c r="K288" s="25" t="n">
        <v>198</v>
      </c>
      <c r="L288" s="32" t="n">
        <v>136.9</v>
      </c>
      <c r="M288" s="4" t="n">
        <v>0.17</v>
      </c>
      <c r="N288" s="24" t="n">
        <v>0.144612644411651</v>
      </c>
      <c r="O288" s="25" t="n">
        <v>203.022493137384</v>
      </c>
      <c r="P288" s="25" t="n">
        <v>90.040564758391</v>
      </c>
      <c r="Q288" s="26" t="n">
        <v>0.0406514436897205</v>
      </c>
      <c r="R288" s="24" t="n">
        <v>0.850662614186185</v>
      </c>
      <c r="S288" s="4" t="n">
        <v>0.13127422971881</v>
      </c>
      <c r="T288" s="25" t="n">
        <v>203.022493137384</v>
      </c>
      <c r="U288" s="25" t="n">
        <v>125</v>
      </c>
      <c r="V288" s="26" t="n">
        <v>0.0272245005166903</v>
      </c>
      <c r="W288" s="24" t="n">
        <f aca="false">(I288-H288)/(J288-H288)</f>
        <v>1.17718954249122</v>
      </c>
      <c r="X288" s="24" t="n">
        <f aca="false">0.5*(1+(I288-K288-L288)/(I288-K288))</f>
        <v>0.625956284153005</v>
      </c>
      <c r="Y288" s="24" t="n">
        <v>0.77220135128712</v>
      </c>
      <c r="Z288" s="24" t="n">
        <v>0.140053915791155</v>
      </c>
      <c r="AA288" s="25" t="n">
        <v>203.022493137384</v>
      </c>
      <c r="AB288" s="25" t="n">
        <v>90.040564758391</v>
      </c>
      <c r="AC288" s="26" t="n">
        <v>0.0406514436897205</v>
      </c>
      <c r="AD288" s="24" t="n">
        <v>0.823846563477382</v>
      </c>
      <c r="AE288" s="24" t="n">
        <v>0.17419711219546</v>
      </c>
      <c r="AF288" s="24" t="n">
        <v>0.158655176624231</v>
      </c>
      <c r="AG288" s="25" t="n">
        <v>212.537072996576</v>
      </c>
      <c r="AH288" s="26" t="n">
        <v>0.0204</v>
      </c>
      <c r="AI288" s="24" t="n">
        <v>0.933265744848419</v>
      </c>
    </row>
    <row r="289" customFormat="false" ht="14.25" hidden="false" customHeight="false" outlineLevel="0" collapsed="false">
      <c r="B289" s="1" t="n">
        <v>19.1</v>
      </c>
      <c r="C289" s="1" t="n">
        <v>2</v>
      </c>
      <c r="D289" s="2" t="n">
        <v>69.8</v>
      </c>
      <c r="E289" s="4" t="n">
        <v>2.90032882517908</v>
      </c>
      <c r="F289" s="1" t="n">
        <v>31.8</v>
      </c>
      <c r="G289" s="1" t="n">
        <v>41.4</v>
      </c>
      <c r="H289" s="3" t="n">
        <v>105.951899677992</v>
      </c>
      <c r="I289" s="1" t="n">
        <v>381</v>
      </c>
      <c r="J289" s="32" t="n">
        <v>339.6</v>
      </c>
      <c r="K289" s="25" t="n">
        <v>198</v>
      </c>
      <c r="L289" s="32" t="n">
        <v>136.9</v>
      </c>
      <c r="M289" s="4" t="n">
        <v>0.23</v>
      </c>
      <c r="N289" s="24" t="n">
        <v>0.184869531379248</v>
      </c>
      <c r="O289" s="25" t="n">
        <v>244.500206789107</v>
      </c>
      <c r="P289" s="25" t="n">
        <v>90.040564758391</v>
      </c>
      <c r="Q289" s="26" t="n">
        <v>0.0406514436897205</v>
      </c>
      <c r="R289" s="24" t="n">
        <v>0.80378057121412</v>
      </c>
      <c r="S289" s="4" t="n">
        <v>0.173850976212243</v>
      </c>
      <c r="T289" s="25" t="n">
        <v>244.500206789107</v>
      </c>
      <c r="U289" s="25" t="n">
        <v>125</v>
      </c>
      <c r="V289" s="26" t="n">
        <v>0.0272245005166903</v>
      </c>
      <c r="W289" s="24" t="n">
        <f aca="false">(I289-H289)/(J289-H289)</f>
        <v>1.17718954249122</v>
      </c>
      <c r="X289" s="24" t="n">
        <f aca="false">0.5*(1+(I289-K289-L289)/(I289-K289))</f>
        <v>0.625956284153005</v>
      </c>
      <c r="Y289" s="24" t="n">
        <v>0.755873809618448</v>
      </c>
      <c r="Z289" s="24" t="n">
        <v>0.179041755895402</v>
      </c>
      <c r="AA289" s="25" t="n">
        <v>244.500206789107</v>
      </c>
      <c r="AB289" s="25" t="n">
        <v>90.040564758391</v>
      </c>
      <c r="AC289" s="26" t="n">
        <v>0.0406514436897205</v>
      </c>
      <c r="AD289" s="24" t="n">
        <v>0.778442416936529</v>
      </c>
      <c r="AE289" s="24" t="n">
        <v>0.209785769525715</v>
      </c>
      <c r="AF289" s="24" t="n">
        <v>0.230104120195902</v>
      </c>
      <c r="AG289" s="25" t="n">
        <v>255.958625544264</v>
      </c>
      <c r="AH289" s="26" t="n">
        <v>0.0204</v>
      </c>
      <c r="AI289" s="24" t="n">
        <v>0.912112041416153</v>
      </c>
    </row>
    <row r="290" customFormat="false" ht="14.25" hidden="false" customHeight="false" outlineLevel="0" collapsed="false">
      <c r="B290" s="1" t="n">
        <v>19.1</v>
      </c>
      <c r="C290" s="1" t="n">
        <v>2</v>
      </c>
      <c r="D290" s="2" t="n">
        <v>69.8</v>
      </c>
      <c r="E290" s="4" t="n">
        <v>2.90032882517908</v>
      </c>
      <c r="F290" s="1" t="n">
        <v>31.8</v>
      </c>
      <c r="G290" s="1" t="n">
        <v>41.4</v>
      </c>
      <c r="H290" s="3" t="n">
        <v>105.951899677992</v>
      </c>
      <c r="I290" s="1" t="n">
        <v>381</v>
      </c>
      <c r="J290" s="32" t="n">
        <v>339.6</v>
      </c>
      <c r="K290" s="25" t="n">
        <v>198</v>
      </c>
      <c r="L290" s="32" t="n">
        <v>136.9</v>
      </c>
      <c r="M290" s="4" t="n">
        <v>0.27</v>
      </c>
      <c r="N290" s="24" t="n">
        <v>0.215248067862241</v>
      </c>
      <c r="O290" s="25" t="n">
        <v>275.8</v>
      </c>
      <c r="P290" s="25" t="n">
        <v>90.040564758391</v>
      </c>
      <c r="Q290" s="26" t="n">
        <v>0.0406514436897205</v>
      </c>
      <c r="R290" s="24" t="n">
        <v>0.79721506615645</v>
      </c>
      <c r="S290" s="4" t="n">
        <v>0.205980118431288</v>
      </c>
      <c r="T290" s="25" t="n">
        <v>275.8</v>
      </c>
      <c r="U290" s="25" t="n">
        <v>125</v>
      </c>
      <c r="V290" s="26" t="n">
        <v>0.0272245005166903</v>
      </c>
      <c r="W290" s="24" t="n">
        <f aca="false">(I290-H290)/(J290-H290)</f>
        <v>1.17718954249122</v>
      </c>
      <c r="X290" s="24" t="n">
        <f aca="false">0.5*(1+(I290-K290-L290)/(I290-K290))</f>
        <v>0.625956284153005</v>
      </c>
      <c r="Y290" s="24" t="n">
        <v>0.762889327523289</v>
      </c>
      <c r="Z290" s="24" t="n">
        <v>0.208462647877271</v>
      </c>
      <c r="AA290" s="25" t="n">
        <v>275.8</v>
      </c>
      <c r="AB290" s="25" t="n">
        <v>90.040564758391</v>
      </c>
      <c r="AC290" s="26" t="n">
        <v>0.0406514436897205</v>
      </c>
      <c r="AD290" s="24" t="n">
        <v>0.772083881026931</v>
      </c>
      <c r="AE290" s="24" t="n">
        <v>0.226047921269161</v>
      </c>
      <c r="AF290" s="24" t="n">
        <v>0.267161196599431</v>
      </c>
      <c r="AG290" s="25" t="n">
        <v>275.8</v>
      </c>
      <c r="AH290" s="26" t="n">
        <v>0.0204</v>
      </c>
      <c r="AI290" s="24" t="n">
        <v>0.837214523219113</v>
      </c>
    </row>
    <row r="291" customFormat="false" ht="14.25" hidden="false" customHeight="false" outlineLevel="0" collapsed="false">
      <c r="A291" s="0" t="s">
        <v>88</v>
      </c>
      <c r="B291" s="1" t="n">
        <v>19.1</v>
      </c>
      <c r="C291" s="1" t="n">
        <v>2</v>
      </c>
      <c r="D291" s="2" t="n">
        <v>69.8</v>
      </c>
      <c r="E291" s="4" t="n">
        <v>2.84669189571421</v>
      </c>
      <c r="F291" s="1" t="n">
        <v>31.8</v>
      </c>
      <c r="G291" s="1" t="n">
        <v>41.4</v>
      </c>
      <c r="H291" s="3" t="n">
        <v>106.355513236104</v>
      </c>
      <c r="I291" s="1" t="n">
        <v>381</v>
      </c>
      <c r="J291" s="32" t="n">
        <v>339.6</v>
      </c>
      <c r="K291" s="25" t="n">
        <v>198</v>
      </c>
      <c r="L291" s="32" t="n">
        <v>136.9</v>
      </c>
      <c r="M291" s="4" t="n">
        <v>0.16</v>
      </c>
      <c r="N291" s="24" t="n">
        <v>0.215964113559734</v>
      </c>
      <c r="O291" s="25" t="n">
        <v>275.8</v>
      </c>
      <c r="P291" s="25" t="n">
        <v>88.444703371294</v>
      </c>
      <c r="Q291" s="26" t="n">
        <v>0.040711184462322</v>
      </c>
      <c r="R291" s="24" t="n">
        <v>1.34977570974834</v>
      </c>
      <c r="S291" s="4" t="n">
        <v>0.207325699886579</v>
      </c>
      <c r="T291" s="25" t="n">
        <v>275.8</v>
      </c>
      <c r="U291" s="25" t="n">
        <v>123</v>
      </c>
      <c r="V291" s="26" t="n">
        <v>0.0272245005166903</v>
      </c>
      <c r="W291" s="24" t="n">
        <f aca="false">(I291-H291)/(J291-H291)</f>
        <v>1.17749615681981</v>
      </c>
      <c r="X291" s="24" t="n">
        <f aca="false">0.5*(1+(I291-K291-L291)/(I291-K291))</f>
        <v>0.625956284153005</v>
      </c>
      <c r="Y291" s="24" t="n">
        <v>1.29578562429112</v>
      </c>
      <c r="Z291" s="24" t="n">
        <v>0.209232153347829</v>
      </c>
      <c r="AA291" s="25" t="n">
        <v>275.8</v>
      </c>
      <c r="AB291" s="25" t="n">
        <v>88.444703371294</v>
      </c>
      <c r="AC291" s="26" t="n">
        <v>0.040711184462322</v>
      </c>
      <c r="AD291" s="24" t="n">
        <v>1.30770095842393</v>
      </c>
      <c r="AE291" s="24" t="n">
        <v>0.226047921269161</v>
      </c>
      <c r="AF291" s="24" t="n">
        <v>0.27219500664376</v>
      </c>
      <c r="AG291" s="25" t="n">
        <v>276</v>
      </c>
      <c r="AH291" s="26" t="n">
        <v>0.0204</v>
      </c>
      <c r="AI291" s="24" t="n">
        <v>1.41279950793225</v>
      </c>
    </row>
    <row r="292" customFormat="false" ht="14.25" hidden="false" customHeight="false" outlineLevel="0" collapsed="false">
      <c r="A292" s="0" t="s">
        <v>89</v>
      </c>
      <c r="B292" s="1" t="n">
        <v>19.1</v>
      </c>
      <c r="C292" s="1" t="n">
        <v>2</v>
      </c>
      <c r="D292" s="2" t="n">
        <v>69.8</v>
      </c>
      <c r="E292" s="4" t="n">
        <v>2.71132147348833</v>
      </c>
      <c r="F292" s="1" t="n">
        <v>38.2</v>
      </c>
      <c r="G292" s="1" t="n">
        <v>47.7</v>
      </c>
      <c r="H292" s="3" t="n">
        <v>106.225416011626</v>
      </c>
      <c r="I292" s="1" t="n">
        <v>381</v>
      </c>
      <c r="J292" s="32" t="n">
        <v>333.3</v>
      </c>
      <c r="K292" s="25" t="n">
        <v>198</v>
      </c>
      <c r="L292" s="32" t="n">
        <v>143.2</v>
      </c>
      <c r="M292" s="4" t="n">
        <v>0.16</v>
      </c>
      <c r="N292" s="24" t="n">
        <v>0.205669662142264</v>
      </c>
      <c r="O292" s="25" t="n">
        <v>249.745884346061</v>
      </c>
      <c r="P292" s="25" t="n">
        <v>84.7053852920964</v>
      </c>
      <c r="Q292" s="26" t="n">
        <v>0.0406919089819377</v>
      </c>
      <c r="R292" s="24" t="n">
        <v>1.28543538838915</v>
      </c>
      <c r="S292" s="4" t="n">
        <v>0.205276239077366</v>
      </c>
      <c r="T292" s="25" t="n">
        <v>249.745884346061</v>
      </c>
      <c r="U292" s="25" t="n">
        <v>122</v>
      </c>
      <c r="V292" s="26" t="n">
        <v>0.0260267745861376</v>
      </c>
      <c r="W292" s="24" t="n">
        <f aca="false">(I292-H292)/(J292-H292)</f>
        <v>1.21006313944163</v>
      </c>
      <c r="X292" s="24" t="n">
        <f aca="false">0.5*(1+(I292-K292-L292)/(I292-K292))</f>
        <v>0.608743169398907</v>
      </c>
      <c r="Y292" s="24" t="n">
        <v>1.28297649423354</v>
      </c>
      <c r="Z292" s="24" t="n">
        <v>0.208545270651302</v>
      </c>
      <c r="AA292" s="25" t="n">
        <v>249.745884346061</v>
      </c>
      <c r="AB292" s="25" t="n">
        <v>84.7053852920964</v>
      </c>
      <c r="AC292" s="26" t="n">
        <v>0.0406919089819377</v>
      </c>
      <c r="AD292" s="24" t="n">
        <v>1.30340794157064</v>
      </c>
      <c r="AE292" s="24" t="n">
        <v>0.220031843398396</v>
      </c>
      <c r="AF292" s="24" t="n">
        <v>0.256123424393809</v>
      </c>
      <c r="AG292" s="25" t="n">
        <v>261.095333062878</v>
      </c>
      <c r="AH292" s="26" t="n">
        <v>0.0197</v>
      </c>
      <c r="AI292" s="24" t="n">
        <v>1.37519902123997</v>
      </c>
    </row>
    <row r="293" customFormat="false" ht="14.25" hidden="false" customHeight="false" outlineLevel="0" collapsed="false">
      <c r="B293" s="1" t="n">
        <v>19.1</v>
      </c>
      <c r="C293" s="1" t="n">
        <v>2</v>
      </c>
      <c r="D293" s="2" t="n">
        <v>69.8</v>
      </c>
      <c r="E293" s="4" t="n">
        <v>2.71132147348833</v>
      </c>
      <c r="F293" s="1" t="n">
        <v>38.2</v>
      </c>
      <c r="G293" s="1" t="n">
        <v>47.7</v>
      </c>
      <c r="H293" s="3" t="n">
        <v>106.225416011626</v>
      </c>
      <c r="I293" s="1" t="n">
        <v>381</v>
      </c>
      <c r="J293" s="32" t="n">
        <v>333.3</v>
      </c>
      <c r="K293" s="25" t="n">
        <v>198</v>
      </c>
      <c r="L293" s="32" t="n">
        <v>143.2</v>
      </c>
      <c r="M293" s="4" t="n">
        <v>0.2</v>
      </c>
      <c r="N293" s="24" t="n">
        <v>0.232607474797317</v>
      </c>
      <c r="O293" s="25" t="n">
        <v>275.8</v>
      </c>
      <c r="P293" s="25" t="n">
        <v>84.7053852920964</v>
      </c>
      <c r="Q293" s="26" t="n">
        <v>0.0406919089819377</v>
      </c>
      <c r="R293" s="24" t="n">
        <v>1.16303737398658</v>
      </c>
      <c r="S293" s="4" t="n">
        <v>0.235595975449733</v>
      </c>
      <c r="T293" s="25" t="n">
        <v>275.8</v>
      </c>
      <c r="U293" s="25" t="n">
        <v>122</v>
      </c>
      <c r="V293" s="26" t="n">
        <v>0.0260267745861376</v>
      </c>
      <c r="W293" s="24" t="n">
        <f aca="false">(I293-H293)/(J293-H293)</f>
        <v>1.21006313944163</v>
      </c>
      <c r="X293" s="24" t="n">
        <f aca="false">0.5*(1+(I293-K293-L293)/(I293-K293))</f>
        <v>0.608743169398907</v>
      </c>
      <c r="Y293" s="24" t="n">
        <v>1.17797987724867</v>
      </c>
      <c r="Z293" s="24" t="n">
        <v>0.235859719327822</v>
      </c>
      <c r="AA293" s="25" t="n">
        <v>275.8</v>
      </c>
      <c r="AB293" s="25" t="n">
        <v>84.7053852920964</v>
      </c>
      <c r="AC293" s="26" t="n">
        <v>0.0406919089819377</v>
      </c>
      <c r="AD293" s="24" t="n">
        <v>1.17929859663911</v>
      </c>
      <c r="AE293" s="24" t="n">
        <v>0.232423849547181</v>
      </c>
      <c r="AF293" s="24" t="n">
        <v>0.285785115134191</v>
      </c>
      <c r="AG293" s="25" t="n">
        <v>275.8</v>
      </c>
      <c r="AH293" s="26" t="n">
        <v>0.0197</v>
      </c>
      <c r="AI293" s="24" t="n">
        <v>1.16211924773591</v>
      </c>
    </row>
    <row r="294" customFormat="false" ht="14.25" hidden="false" customHeight="false" outlineLevel="0" collapsed="false">
      <c r="A294" s="0" t="s">
        <v>90</v>
      </c>
      <c r="B294" s="1" t="n">
        <v>22.2</v>
      </c>
      <c r="C294" s="1" t="n">
        <v>2</v>
      </c>
      <c r="D294" s="2" t="n">
        <v>63.6</v>
      </c>
      <c r="E294" s="4" t="n">
        <v>2.68798662700617</v>
      </c>
      <c r="F294" s="1" t="n">
        <v>12.8</v>
      </c>
      <c r="G294" s="1" t="n">
        <v>23.9</v>
      </c>
      <c r="H294" s="3" t="n">
        <v>125.501027414761</v>
      </c>
      <c r="I294" s="1" t="n">
        <v>381</v>
      </c>
      <c r="J294" s="32" t="n">
        <v>357.1</v>
      </c>
      <c r="K294" s="25" t="n">
        <v>202</v>
      </c>
      <c r="L294" s="32" t="n">
        <v>83.65</v>
      </c>
      <c r="M294" s="4" t="n">
        <v>0.17</v>
      </c>
      <c r="N294" s="24" t="n">
        <v>0.118523553790798</v>
      </c>
      <c r="O294" s="25" t="n">
        <v>271.289437560374</v>
      </c>
      <c r="P294" s="25" t="n">
        <v>49.6203890960397</v>
      </c>
      <c r="Q294" s="26" t="n">
        <v>0.0849998352716371</v>
      </c>
      <c r="R294" s="24" t="n">
        <v>0.697197375239987</v>
      </c>
      <c r="S294" s="4" t="n">
        <v>0.118916171734965</v>
      </c>
      <c r="T294" s="25" t="n">
        <v>271.289437560374</v>
      </c>
      <c r="U294" s="25" t="n">
        <v>62</v>
      </c>
      <c r="V294" s="26" t="n">
        <v>0.0607141680511693</v>
      </c>
      <c r="W294" s="24" t="n">
        <f aca="false">(I294-H294)/(J294-H294)</f>
        <v>1.10319562186833</v>
      </c>
      <c r="X294" s="24" t="n">
        <f aca="false">0.5*(1+(I294-K294-L294)/(I294-K294))</f>
        <v>0.766340782122905</v>
      </c>
      <c r="Y294" s="24" t="n">
        <v>0.699506892558615</v>
      </c>
      <c r="Z294" s="24" t="n">
        <v>0.106171066832134</v>
      </c>
      <c r="AA294" s="25" t="n">
        <v>271.289437560374</v>
      </c>
      <c r="AB294" s="25" t="n">
        <v>49.6203890960397</v>
      </c>
      <c r="AC294" s="26" t="n">
        <v>0.0849998352716371</v>
      </c>
      <c r="AD294" s="24" t="n">
        <v>0.624535687247846</v>
      </c>
      <c r="AE294" s="24" t="n">
        <v>0.212178559539565</v>
      </c>
      <c r="AF294" s="24" t="n">
        <v>0.335052700244677</v>
      </c>
      <c r="AG294" s="25" t="n">
        <v>276</v>
      </c>
      <c r="AH294" s="26" t="n">
        <v>0.0267</v>
      </c>
      <c r="AI294" s="24" t="n">
        <v>1.24810917376215</v>
      </c>
    </row>
    <row r="295" customFormat="false" ht="14.25" hidden="false" customHeight="false" outlineLevel="0" collapsed="false">
      <c r="A295" s="0" t="s">
        <v>91</v>
      </c>
      <c r="B295" s="1" t="n">
        <v>22.2</v>
      </c>
      <c r="C295" s="1" t="n">
        <v>2</v>
      </c>
      <c r="D295" s="2" t="n">
        <v>63.6</v>
      </c>
      <c r="E295" s="4" t="n">
        <v>2.38460157103714</v>
      </c>
      <c r="F295" s="1" t="n">
        <v>38</v>
      </c>
      <c r="G295" s="1" t="n">
        <v>49.1</v>
      </c>
      <c r="H295" s="3" t="n">
        <v>122.856933294706</v>
      </c>
      <c r="I295" s="1" t="n">
        <v>381</v>
      </c>
      <c r="J295" s="32" t="n">
        <v>331.9</v>
      </c>
      <c r="K295" s="25" t="n">
        <v>201</v>
      </c>
      <c r="L295" s="32" t="n">
        <v>160.1</v>
      </c>
      <c r="M295" s="4" t="n">
        <v>0.15</v>
      </c>
      <c r="N295" s="24" t="n">
        <v>0.145017572256625</v>
      </c>
      <c r="O295" s="25" t="n">
        <v>195.113525980031</v>
      </c>
      <c r="P295" s="25" t="n">
        <v>57.3525697310324</v>
      </c>
      <c r="Q295" s="26" t="n">
        <v>0.0590223888904023</v>
      </c>
      <c r="R295" s="24" t="n">
        <v>0.966783815044169</v>
      </c>
      <c r="S295" s="4" t="n">
        <v>0.154918924089883</v>
      </c>
      <c r="T295" s="25" t="n">
        <v>195.113525980031</v>
      </c>
      <c r="U295" s="25" t="n">
        <v>92</v>
      </c>
      <c r="V295" s="26" t="n">
        <v>0.0317222995470351</v>
      </c>
      <c r="W295" s="24" t="n">
        <f aca="false">(I295-H295)/(J295-H295)</f>
        <v>1.23487983014151</v>
      </c>
      <c r="X295" s="24" t="n">
        <f aca="false">0.5*(1+(I295-K295-L295)/(I295-K295))</f>
        <v>0.555277777777778</v>
      </c>
      <c r="Y295" s="24" t="n">
        <v>1.03279282726588</v>
      </c>
      <c r="Z295" s="24" t="n">
        <v>0.15519138254448</v>
      </c>
      <c r="AA295" s="25" t="n">
        <v>195.113525980031</v>
      </c>
      <c r="AB295" s="25" t="n">
        <v>57.3525697310324</v>
      </c>
      <c r="AC295" s="26" t="n">
        <v>0.0590223888904023</v>
      </c>
      <c r="AD295" s="24" t="n">
        <v>1.0346092169632</v>
      </c>
      <c r="AE295" s="24" t="n">
        <v>0.172994275409456</v>
      </c>
      <c r="AF295" s="24" t="n">
        <v>0.206814145002935</v>
      </c>
      <c r="AG295" s="25" t="n">
        <v>204.090214031452</v>
      </c>
      <c r="AH295" s="26" t="n">
        <v>0.0236</v>
      </c>
      <c r="AI295" s="24" t="n">
        <v>1.15329516939637</v>
      </c>
    </row>
    <row r="296" customFormat="false" ht="14.25" hidden="false" customHeight="false" outlineLevel="0" collapsed="false">
      <c r="B296" s="1" t="n">
        <v>22.2</v>
      </c>
      <c r="C296" s="1" t="n">
        <v>2</v>
      </c>
      <c r="D296" s="2" t="n">
        <v>63.6</v>
      </c>
      <c r="E296" s="4" t="n">
        <v>2.38460157103714</v>
      </c>
      <c r="F296" s="1" t="n">
        <v>38</v>
      </c>
      <c r="G296" s="1" t="n">
        <v>49.1</v>
      </c>
      <c r="H296" s="3" t="n">
        <v>122.856933294706</v>
      </c>
      <c r="I296" s="1" t="n">
        <v>381</v>
      </c>
      <c r="J296" s="32" t="n">
        <v>331.9</v>
      </c>
      <c r="K296" s="25" t="n">
        <v>201</v>
      </c>
      <c r="L296" s="32" t="n">
        <v>160.1</v>
      </c>
      <c r="M296" s="4" t="n">
        <v>0.19</v>
      </c>
      <c r="N296" s="24" t="n">
        <v>0.173744152276404</v>
      </c>
      <c r="O296" s="25" t="n">
        <v>226.947036463892</v>
      </c>
      <c r="P296" s="25" t="n">
        <v>57.3525697310324</v>
      </c>
      <c r="Q296" s="26" t="n">
        <v>0.0590223888904023</v>
      </c>
      <c r="R296" s="24" t="n">
        <v>0.914442906717915</v>
      </c>
      <c r="S296" s="4" t="n">
        <v>0.190184965135221</v>
      </c>
      <c r="T296" s="25" t="n">
        <v>226.947036463892</v>
      </c>
      <c r="U296" s="25" t="n">
        <v>92</v>
      </c>
      <c r="V296" s="26" t="n">
        <v>0.0317222995470351</v>
      </c>
      <c r="W296" s="24" t="n">
        <f aca="false">(I296-H296)/(J296-H296)</f>
        <v>1.23487983014151</v>
      </c>
      <c r="X296" s="24" t="n">
        <f aca="false">0.5*(1+(I296-K296-L296)/(I296-K296))</f>
        <v>0.555277777777778</v>
      </c>
      <c r="Y296" s="24" t="n">
        <v>1.00097350071169</v>
      </c>
      <c r="Z296" s="24" t="n">
        <v>0.185933296091032</v>
      </c>
      <c r="AA296" s="25" t="n">
        <v>226.947036463892</v>
      </c>
      <c r="AB296" s="25" t="n">
        <v>57.3525697310324</v>
      </c>
      <c r="AC296" s="26" t="n">
        <v>0.0590223888904023</v>
      </c>
      <c r="AD296" s="24" t="n">
        <v>0.978596295215957</v>
      </c>
      <c r="AE296" s="24" t="n">
        <v>0.201218946416931</v>
      </c>
      <c r="AF296" s="24" t="n">
        <v>0.279804384943345</v>
      </c>
      <c r="AG296" s="25" t="n">
        <v>237.388305157583</v>
      </c>
      <c r="AH296" s="26" t="n">
        <v>0.0236</v>
      </c>
      <c r="AI296" s="24" t="n">
        <v>1.0590470864049</v>
      </c>
    </row>
    <row r="297" customFormat="false" ht="14.25" hidden="false" customHeight="false" outlineLevel="0" collapsed="false">
      <c r="B297" s="1" t="n">
        <v>22.2</v>
      </c>
      <c r="C297" s="1" t="n">
        <v>2</v>
      </c>
      <c r="D297" s="2" t="n">
        <v>63.6</v>
      </c>
      <c r="E297" s="4" t="n">
        <v>2.38460157103714</v>
      </c>
      <c r="F297" s="1" t="n">
        <v>38</v>
      </c>
      <c r="G297" s="1" t="n">
        <v>49.1</v>
      </c>
      <c r="H297" s="3" t="n">
        <v>122.856933294706</v>
      </c>
      <c r="I297" s="1" t="n">
        <v>381</v>
      </c>
      <c r="J297" s="32" t="n">
        <v>331.9</v>
      </c>
      <c r="K297" s="25" t="n">
        <v>201</v>
      </c>
      <c r="L297" s="32" t="n">
        <v>160.1</v>
      </c>
      <c r="M297" s="4" t="n">
        <v>0.22</v>
      </c>
      <c r="N297" s="24" t="n">
        <v>0.204395000814254</v>
      </c>
      <c r="O297" s="25" t="n">
        <v>260.91293520983</v>
      </c>
      <c r="P297" s="25" t="n">
        <v>57.3525697310324</v>
      </c>
      <c r="Q297" s="26" t="n">
        <v>0.0590223888904023</v>
      </c>
      <c r="R297" s="24" t="n">
        <v>0.929068185519334</v>
      </c>
      <c r="S297" s="4" t="n">
        <v>0.227813324719481</v>
      </c>
      <c r="T297" s="25" t="n">
        <v>260.91293520983</v>
      </c>
      <c r="U297" s="25" t="n">
        <v>92</v>
      </c>
      <c r="V297" s="26" t="n">
        <v>0.0317222995470351</v>
      </c>
      <c r="W297" s="24" t="n">
        <f aca="false">(I297-H297)/(J297-H297)</f>
        <v>1.23487983014151</v>
      </c>
      <c r="X297" s="24" t="n">
        <f aca="false">0.5*(1+(I297-K297-L297)/(I297-K297))</f>
        <v>0.555277777777778</v>
      </c>
      <c r="Y297" s="24" t="n">
        <v>1.03551511236128</v>
      </c>
      <c r="Z297" s="24" t="n">
        <v>0.218734476573717</v>
      </c>
      <c r="AA297" s="25" t="n">
        <v>260.91293520983</v>
      </c>
      <c r="AB297" s="25" t="n">
        <v>57.3525697310324</v>
      </c>
      <c r="AC297" s="26" t="n">
        <v>0.0590223888904023</v>
      </c>
      <c r="AD297" s="24" t="n">
        <v>0.994247620789621</v>
      </c>
      <c r="AE297" s="24" t="n">
        <v>0.23133426524309</v>
      </c>
      <c r="AF297" s="24" t="n">
        <v>0.369825374191171</v>
      </c>
      <c r="AG297" s="25" t="n">
        <v>272.916890426134</v>
      </c>
      <c r="AH297" s="26" t="n">
        <v>0.0236</v>
      </c>
      <c r="AI297" s="24" t="n">
        <v>1.05151938746859</v>
      </c>
    </row>
    <row r="298" customFormat="false" ht="14.25" hidden="false" customHeight="false" outlineLevel="0" collapsed="false">
      <c r="B298" s="1" t="n">
        <v>22.2</v>
      </c>
      <c r="C298" s="1" t="n">
        <v>2</v>
      </c>
      <c r="D298" s="2" t="n">
        <v>63.6</v>
      </c>
      <c r="E298" s="4" t="n">
        <v>2.38460157103714</v>
      </c>
      <c r="F298" s="1" t="n">
        <v>38</v>
      </c>
      <c r="G298" s="1" t="n">
        <v>49.1</v>
      </c>
      <c r="H298" s="3" t="n">
        <v>122.856933294706</v>
      </c>
      <c r="I298" s="1" t="n">
        <v>381</v>
      </c>
      <c r="J298" s="32" t="n">
        <v>331.9</v>
      </c>
      <c r="K298" s="25" t="n">
        <v>201</v>
      </c>
      <c r="L298" s="32" t="n">
        <v>160.1</v>
      </c>
      <c r="M298" s="4" t="n">
        <v>0.27</v>
      </c>
      <c r="N298" s="24" t="n">
        <v>0.217829097508404</v>
      </c>
      <c r="O298" s="25" t="n">
        <v>275.8</v>
      </c>
      <c r="P298" s="25" t="n">
        <v>57.3525697310324</v>
      </c>
      <c r="Q298" s="26" t="n">
        <v>0.0590223888904023</v>
      </c>
      <c r="R298" s="24" t="n">
        <v>0.80677443521631</v>
      </c>
      <c r="S298" s="4" t="n">
        <v>0.244305625755551</v>
      </c>
      <c r="T298" s="25" t="n">
        <v>275.8</v>
      </c>
      <c r="U298" s="25" t="n">
        <v>92</v>
      </c>
      <c r="V298" s="26" t="n">
        <v>0.0317222995470351</v>
      </c>
      <c r="W298" s="24" t="n">
        <f aca="false">(I298-H298)/(J298-H298)</f>
        <v>1.23487983014151</v>
      </c>
      <c r="X298" s="24" t="n">
        <f aca="false">0.5*(1+(I298-K298-L298)/(I298-K298))</f>
        <v>0.555277777777778</v>
      </c>
      <c r="Y298" s="24" t="n">
        <v>0.904835650946485</v>
      </c>
      <c r="Z298" s="24" t="n">
        <v>0.233111051817384</v>
      </c>
      <c r="AA298" s="25" t="n">
        <v>275.8</v>
      </c>
      <c r="AB298" s="25" t="n">
        <v>57.3525697310324</v>
      </c>
      <c r="AC298" s="26" t="n">
        <v>0.0590223888904023</v>
      </c>
      <c r="AD298" s="24" t="n">
        <v>0.863374265990312</v>
      </c>
      <c r="AE298" s="24" t="n">
        <v>0.233778093596272</v>
      </c>
      <c r="AF298" s="24" t="n">
        <v>0.377680359074951</v>
      </c>
      <c r="AG298" s="25" t="n">
        <v>275.8</v>
      </c>
      <c r="AH298" s="26" t="n">
        <v>0.0236</v>
      </c>
      <c r="AI298" s="24" t="n">
        <v>0.865844791097303</v>
      </c>
    </row>
    <row r="299" customFormat="false" ht="14.25" hidden="false" customHeight="false" outlineLevel="0" collapsed="false">
      <c r="A299" s="0" t="s">
        <v>92</v>
      </c>
      <c r="B299" s="1" t="n">
        <v>22.2</v>
      </c>
      <c r="C299" s="1" t="n">
        <v>2</v>
      </c>
      <c r="D299" s="2" t="n">
        <v>63.6</v>
      </c>
      <c r="E299" s="4" t="n">
        <v>2.86484234762008</v>
      </c>
      <c r="F299" s="1" t="n">
        <v>38</v>
      </c>
      <c r="G299" s="1" t="n">
        <v>49.1</v>
      </c>
      <c r="H299" s="3" t="n">
        <v>118.551137802315</v>
      </c>
      <c r="I299" s="1" t="n">
        <v>381</v>
      </c>
      <c r="J299" s="32" t="n">
        <v>331.9</v>
      </c>
      <c r="K299" s="25" t="n">
        <v>200</v>
      </c>
      <c r="L299" s="32" t="n">
        <v>160.1</v>
      </c>
      <c r="M299" s="4" t="n">
        <v>0.17</v>
      </c>
      <c r="N299" s="24" t="n">
        <v>0.199420760175498</v>
      </c>
      <c r="O299" s="25" t="n">
        <v>259.632151766165</v>
      </c>
      <c r="P299" s="25" t="n">
        <v>67.9274215453834</v>
      </c>
      <c r="Q299" s="26" t="n">
        <v>0.0580540542064325</v>
      </c>
      <c r="R299" s="24" t="n">
        <v>1.17306329514999</v>
      </c>
      <c r="S299" s="4" t="n">
        <v>0.214865447980312</v>
      </c>
      <c r="T299" s="25" t="n">
        <v>259.632151766165</v>
      </c>
      <c r="U299" s="25" t="n">
        <v>109</v>
      </c>
      <c r="V299" s="26" t="n">
        <v>0.0317222995470351</v>
      </c>
      <c r="W299" s="24" t="n">
        <f aca="false">(I299-H299)/(J299-H299)</f>
        <v>1.23013949778886</v>
      </c>
      <c r="X299" s="24" t="n">
        <f aca="false">0.5*(1+(I299-K299-L299)/(I299-K299))</f>
        <v>0.557734806629834</v>
      </c>
      <c r="Y299" s="24" t="n">
        <v>1.26391439988419</v>
      </c>
      <c r="Z299" s="24" t="n">
        <v>0.212537474155374</v>
      </c>
      <c r="AA299" s="25" t="n">
        <v>259.632151766165</v>
      </c>
      <c r="AB299" s="25" t="n">
        <v>67.9274215453834</v>
      </c>
      <c r="AC299" s="26" t="n">
        <v>0.0580540542064325</v>
      </c>
      <c r="AD299" s="24" t="n">
        <v>1.25022043620808</v>
      </c>
      <c r="AE299" s="24" t="n">
        <v>0.23133426524309</v>
      </c>
      <c r="AF299" s="24" t="n">
        <v>0.307830610308549</v>
      </c>
      <c r="AG299" s="25" t="n">
        <v>273</v>
      </c>
      <c r="AH299" s="26" t="n">
        <v>0.0236</v>
      </c>
      <c r="AI299" s="24" t="n">
        <v>1.36078979554759</v>
      </c>
    </row>
    <row r="300" customFormat="false" ht="14.25" hidden="false" customHeight="false" outlineLevel="0" collapsed="false">
      <c r="B300" s="1" t="n">
        <v>22.2</v>
      </c>
      <c r="C300" s="1" t="n">
        <v>2</v>
      </c>
      <c r="D300" s="2" t="n">
        <v>63.6</v>
      </c>
      <c r="E300" s="4" t="n">
        <v>2.86484234762008</v>
      </c>
      <c r="F300" s="1" t="n">
        <v>38</v>
      </c>
      <c r="G300" s="1" t="n">
        <v>49.1</v>
      </c>
      <c r="H300" s="3" t="n">
        <v>118.551137802315</v>
      </c>
      <c r="I300" s="1" t="n">
        <v>381</v>
      </c>
      <c r="J300" s="32" t="n">
        <v>331.9</v>
      </c>
      <c r="K300" s="25" t="n">
        <v>200</v>
      </c>
      <c r="L300" s="32" t="n">
        <v>160.1</v>
      </c>
      <c r="M300" s="4" t="n">
        <v>0.2</v>
      </c>
      <c r="N300" s="24" t="n">
        <v>0.214151516501106</v>
      </c>
      <c r="O300" s="25" t="n">
        <v>275.8</v>
      </c>
      <c r="P300" s="25" t="n">
        <v>67.9274215453834</v>
      </c>
      <c r="Q300" s="26" t="n">
        <v>0.0580540542064325</v>
      </c>
      <c r="R300" s="24" t="n">
        <v>1.07075758250553</v>
      </c>
      <c r="S300" s="4" t="n">
        <v>0.232744711888717</v>
      </c>
      <c r="T300" s="25" t="n">
        <v>275.8</v>
      </c>
      <c r="U300" s="25" t="n">
        <v>109</v>
      </c>
      <c r="V300" s="26" t="n">
        <v>0.0317222995470351</v>
      </c>
      <c r="W300" s="24" t="n">
        <f aca="false">(I300-H300)/(J300-H300)</f>
        <v>1.23013949778886</v>
      </c>
      <c r="X300" s="24" t="n">
        <f aca="false">0.5*(1+(I300-K300-L300)/(I300-K300))</f>
        <v>0.557734806629834</v>
      </c>
      <c r="Y300" s="24" t="n">
        <v>1.16372355944358</v>
      </c>
      <c r="Z300" s="24" t="n">
        <v>0.228237132200443</v>
      </c>
      <c r="AA300" s="25" t="n">
        <v>275.8</v>
      </c>
      <c r="AB300" s="25" t="n">
        <v>67.9274215453834</v>
      </c>
      <c r="AC300" s="26" t="n">
        <v>0.0580540542064325</v>
      </c>
      <c r="AD300" s="24" t="n">
        <v>1.14118566100221</v>
      </c>
      <c r="AE300" s="24" t="n">
        <v>0.233778093596272</v>
      </c>
      <c r="AF300" s="24" t="n">
        <v>0.314368844187246</v>
      </c>
      <c r="AG300" s="25" t="n">
        <v>276</v>
      </c>
      <c r="AH300" s="26" t="n">
        <v>0.0236</v>
      </c>
      <c r="AI300" s="24" t="n">
        <v>1.16889046798136</v>
      </c>
    </row>
    <row r="301" customFormat="false" ht="14.25" hidden="false" customHeight="false" outlineLevel="0" collapsed="false">
      <c r="A301" s="0" t="s">
        <v>93</v>
      </c>
      <c r="B301" s="1" t="n">
        <v>22.2</v>
      </c>
      <c r="C301" s="1" t="n">
        <v>2</v>
      </c>
      <c r="D301" s="2" t="n">
        <v>63.6</v>
      </c>
      <c r="E301" s="4" t="n">
        <v>2.83369179024989</v>
      </c>
      <c r="F301" s="1" t="n">
        <v>38</v>
      </c>
      <c r="G301" s="1" t="n">
        <v>49.1</v>
      </c>
      <c r="H301" s="3" t="n">
        <v>118.804893272016</v>
      </c>
      <c r="I301" s="1" t="n">
        <v>381</v>
      </c>
      <c r="J301" s="32" t="n">
        <v>331.9</v>
      </c>
      <c r="K301" s="25" t="n">
        <v>200</v>
      </c>
      <c r="L301" s="32" t="n">
        <v>160.1</v>
      </c>
      <c r="M301" s="4" t="n">
        <v>0.15</v>
      </c>
      <c r="N301" s="24" t="n">
        <v>0.140110950744427</v>
      </c>
      <c r="O301" s="25" t="n">
        <v>194.21192690601</v>
      </c>
      <c r="P301" s="25" t="n">
        <v>67.2423609915106</v>
      </c>
      <c r="Q301" s="26" t="n">
        <v>0.0581102395943944</v>
      </c>
      <c r="R301" s="24" t="n">
        <v>0.934073004962845</v>
      </c>
      <c r="S301" s="4" t="n">
        <v>0.143254092774708</v>
      </c>
      <c r="T301" s="25" t="n">
        <v>194.21192690601</v>
      </c>
      <c r="U301" s="25" t="n">
        <v>108</v>
      </c>
      <c r="V301" s="26" t="n">
        <v>0.0317222995470351</v>
      </c>
      <c r="W301" s="24" t="n">
        <f aca="false">(I301-H301)/(J301-H301)</f>
        <v>1.23041354986474</v>
      </c>
      <c r="X301" s="24" t="n">
        <f aca="false">0.5*(1+(I301-K301-L301)/(I301-K301))</f>
        <v>0.557734806629834</v>
      </c>
      <c r="Y301" s="24" t="n">
        <v>0.955027285164722</v>
      </c>
      <c r="Z301" s="24" t="n">
        <v>0.149362471878612</v>
      </c>
      <c r="AA301" s="25" t="n">
        <v>194.21192690601</v>
      </c>
      <c r="AB301" s="25" t="n">
        <v>67.2423609915106</v>
      </c>
      <c r="AC301" s="26" t="n">
        <v>0.0581102395943944</v>
      </c>
      <c r="AD301" s="24" t="n">
        <v>0.995749812524079</v>
      </c>
      <c r="AE301" s="24" t="n">
        <v>0.172994275409456</v>
      </c>
      <c r="AF301" s="24" t="n">
        <v>0.17403774707736</v>
      </c>
      <c r="AG301" s="25" t="n">
        <v>204.090214031452</v>
      </c>
      <c r="AH301" s="26" t="n">
        <v>0.0236</v>
      </c>
      <c r="AI301" s="24" t="n">
        <v>1.15329516939637</v>
      </c>
    </row>
    <row r="302" customFormat="false" ht="14.25" hidden="false" customHeight="false" outlineLevel="0" collapsed="false">
      <c r="B302" s="1" t="n">
        <v>22.2</v>
      </c>
      <c r="C302" s="1" t="n">
        <v>2</v>
      </c>
      <c r="D302" s="2" t="n">
        <v>63.6</v>
      </c>
      <c r="E302" s="4" t="n">
        <v>2.83369179024989</v>
      </c>
      <c r="F302" s="1" t="n">
        <v>38</v>
      </c>
      <c r="G302" s="1" t="n">
        <v>49.1</v>
      </c>
      <c r="H302" s="3" t="n">
        <v>118.804893272016</v>
      </c>
      <c r="I302" s="1" t="n">
        <v>381</v>
      </c>
      <c r="J302" s="32" t="n">
        <v>331.9</v>
      </c>
      <c r="K302" s="25" t="n">
        <v>200</v>
      </c>
      <c r="L302" s="32" t="n">
        <v>160.1</v>
      </c>
      <c r="M302" s="4" t="n">
        <v>0.18</v>
      </c>
      <c r="N302" s="24" t="n">
        <v>0.168964618688975</v>
      </c>
      <c r="O302" s="25" t="n">
        <v>225.898338087397</v>
      </c>
      <c r="P302" s="25" t="n">
        <v>67.2423609915106</v>
      </c>
      <c r="Q302" s="26" t="n">
        <v>0.0581102395943944</v>
      </c>
      <c r="R302" s="24" t="n">
        <v>0.938692326049859</v>
      </c>
      <c r="S302" s="4" t="n">
        <v>0.178298285681843</v>
      </c>
      <c r="T302" s="25" t="n">
        <v>225.898338087397</v>
      </c>
      <c r="U302" s="25" t="n">
        <v>108</v>
      </c>
      <c r="V302" s="26" t="n">
        <v>0.0317222995470351</v>
      </c>
      <c r="W302" s="24" t="n">
        <f aca="false">(I302-H302)/(J302-H302)</f>
        <v>1.23041354986474</v>
      </c>
      <c r="X302" s="24" t="n">
        <f aca="false">0.5*(1+(I302-K302-L302)/(I302-K302))</f>
        <v>0.557734806629834</v>
      </c>
      <c r="Y302" s="24" t="n">
        <v>0.990546031565795</v>
      </c>
      <c r="Z302" s="24" t="n">
        <v>0.180121346499508</v>
      </c>
      <c r="AA302" s="25" t="n">
        <v>225.898338087397</v>
      </c>
      <c r="AB302" s="25" t="n">
        <v>67.2423609915106</v>
      </c>
      <c r="AC302" s="26" t="n">
        <v>0.0581102395943944</v>
      </c>
      <c r="AD302" s="24" t="n">
        <v>1.00067414721949</v>
      </c>
      <c r="AE302" s="24" t="n">
        <v>0.201218946416931</v>
      </c>
      <c r="AF302" s="24" t="n">
        <v>0.235460320072474</v>
      </c>
      <c r="AG302" s="25" t="n">
        <v>237.388305157583</v>
      </c>
      <c r="AH302" s="26" t="n">
        <v>0.0236</v>
      </c>
      <c r="AI302" s="24" t="n">
        <v>1.11788303564962</v>
      </c>
    </row>
    <row r="303" customFormat="false" ht="14.25" hidden="false" customHeight="false" outlineLevel="0" collapsed="false">
      <c r="B303" s="1" t="n">
        <v>22.2</v>
      </c>
      <c r="C303" s="1" t="n">
        <v>2</v>
      </c>
      <c r="D303" s="2" t="n">
        <v>63.6</v>
      </c>
      <c r="E303" s="4" t="n">
        <v>2.83369179024989</v>
      </c>
      <c r="F303" s="1" t="n">
        <v>38</v>
      </c>
      <c r="G303" s="1" t="n">
        <v>49.1</v>
      </c>
      <c r="H303" s="3" t="n">
        <v>118.804893272016</v>
      </c>
      <c r="I303" s="1" t="n">
        <v>381</v>
      </c>
      <c r="J303" s="32" t="n">
        <v>331.9</v>
      </c>
      <c r="K303" s="25" t="n">
        <v>200</v>
      </c>
      <c r="L303" s="32" t="n">
        <v>160.1</v>
      </c>
      <c r="M303" s="4" t="n">
        <v>0.22</v>
      </c>
      <c r="N303" s="24" t="n">
        <v>0.199751068218324</v>
      </c>
      <c r="O303" s="25" t="n">
        <v>259.707283989067</v>
      </c>
      <c r="P303" s="25" t="n">
        <v>67.2423609915106</v>
      </c>
      <c r="Q303" s="26" t="n">
        <v>0.0581102395943944</v>
      </c>
      <c r="R303" s="24" t="n">
        <v>0.907959400992384</v>
      </c>
      <c r="S303" s="4" t="n">
        <v>0.215689936487064</v>
      </c>
      <c r="T303" s="25" t="n">
        <v>259.707283989067</v>
      </c>
      <c r="U303" s="25" t="n">
        <v>108</v>
      </c>
      <c r="V303" s="26" t="n">
        <v>0.0317222995470351</v>
      </c>
      <c r="W303" s="24" t="n">
        <f aca="false">(I303-H303)/(J303-H303)</f>
        <v>1.23041354986474</v>
      </c>
      <c r="X303" s="24" t="n">
        <f aca="false">0.5*(1+(I303-K303-L303)/(I303-K303))</f>
        <v>0.557734806629834</v>
      </c>
      <c r="Y303" s="24" t="n">
        <v>0.980408802213925</v>
      </c>
      <c r="Z303" s="24" t="n">
        <v>0.212940624205056</v>
      </c>
      <c r="AA303" s="25" t="n">
        <v>259.707283989067</v>
      </c>
      <c r="AB303" s="25" t="n">
        <v>67.2423609915106</v>
      </c>
      <c r="AC303" s="26" t="n">
        <v>0.0581102395943944</v>
      </c>
      <c r="AD303" s="24" t="n">
        <v>0.967911928204802</v>
      </c>
      <c r="AE303" s="24" t="n">
        <v>0.23133426524309</v>
      </c>
      <c r="AF303" s="24" t="n">
        <v>0.311214568690936</v>
      </c>
      <c r="AG303" s="25" t="n">
        <v>272.916890426134</v>
      </c>
      <c r="AH303" s="26" t="n">
        <v>0.0236</v>
      </c>
      <c r="AI303" s="24" t="n">
        <v>1.05151938746859</v>
      </c>
    </row>
    <row r="304" customFormat="false" ht="14.25" hidden="false" customHeight="false" outlineLevel="0" collapsed="false">
      <c r="B304" s="1" t="n">
        <v>22.2</v>
      </c>
      <c r="C304" s="1" t="n">
        <v>2</v>
      </c>
      <c r="D304" s="2" t="n">
        <v>63.6</v>
      </c>
      <c r="E304" s="4" t="n">
        <v>2.83369179024989</v>
      </c>
      <c r="F304" s="1" t="n">
        <v>38</v>
      </c>
      <c r="G304" s="1" t="n">
        <v>49.1</v>
      </c>
      <c r="H304" s="3" t="n">
        <v>118.804893272016</v>
      </c>
      <c r="I304" s="1" t="n">
        <v>381</v>
      </c>
      <c r="J304" s="32" t="n">
        <v>331.9</v>
      </c>
      <c r="K304" s="25" t="n">
        <v>200</v>
      </c>
      <c r="L304" s="32" t="n">
        <v>160.1</v>
      </c>
      <c r="M304" s="4" t="n">
        <v>0.25</v>
      </c>
      <c r="N304" s="24" t="n">
        <v>0.214405106551896</v>
      </c>
      <c r="O304" s="25" t="n">
        <v>275.8</v>
      </c>
      <c r="P304" s="25" t="n">
        <v>67.2423609915106</v>
      </c>
      <c r="Q304" s="26" t="n">
        <v>0.0581102395943944</v>
      </c>
      <c r="R304" s="24" t="n">
        <v>0.857620426207585</v>
      </c>
      <c r="S304" s="4" t="n">
        <v>0.233487983765392</v>
      </c>
      <c r="T304" s="25" t="n">
        <v>275.8</v>
      </c>
      <c r="U304" s="25" t="n">
        <v>108</v>
      </c>
      <c r="V304" s="26" t="n">
        <v>0.0317222995470351</v>
      </c>
      <c r="W304" s="24" t="n">
        <f aca="false">(I304-H304)/(J304-H304)</f>
        <v>1.23041354986474</v>
      </c>
      <c r="X304" s="24" t="n">
        <f aca="false">0.5*(1+(I304-K304-L304)/(I304-K304))</f>
        <v>0.557734806629834</v>
      </c>
      <c r="Y304" s="24" t="n">
        <v>0.933951935061567</v>
      </c>
      <c r="Z304" s="24" t="n">
        <v>0.228562268172762</v>
      </c>
      <c r="AA304" s="25" t="n">
        <v>275.8</v>
      </c>
      <c r="AB304" s="25" t="n">
        <v>67.2423609915106</v>
      </c>
      <c r="AC304" s="26" t="n">
        <v>0.0581102395943944</v>
      </c>
      <c r="AD304" s="24" t="n">
        <v>0.91424907269105</v>
      </c>
      <c r="AE304" s="24" t="n">
        <v>0.233778093596272</v>
      </c>
      <c r="AF304" s="24" t="n">
        <v>0.317824676875173</v>
      </c>
      <c r="AG304" s="25" t="n">
        <v>275.8</v>
      </c>
      <c r="AH304" s="26" t="n">
        <v>0.0236</v>
      </c>
      <c r="AI304" s="24" t="n">
        <v>0.935112374385087</v>
      </c>
    </row>
    <row r="305" customFormat="false" ht="14.25" hidden="false" customHeight="false" outlineLevel="0" collapsed="false">
      <c r="A305" s="0" t="s">
        <v>94</v>
      </c>
      <c r="B305" s="1" t="n">
        <v>22.2</v>
      </c>
      <c r="C305" s="1" t="n">
        <v>2</v>
      </c>
      <c r="D305" s="2" t="n">
        <v>63.6</v>
      </c>
      <c r="E305" s="4" t="n">
        <v>2.75637342683892</v>
      </c>
      <c r="F305" s="1" t="n">
        <v>38</v>
      </c>
      <c r="G305" s="1" t="n">
        <v>49.1</v>
      </c>
      <c r="H305" s="3" t="n">
        <v>119.448592270941</v>
      </c>
      <c r="I305" s="1" t="n">
        <v>381</v>
      </c>
      <c r="J305" s="32" t="n">
        <v>331.9</v>
      </c>
      <c r="K305" s="25" t="n">
        <v>200</v>
      </c>
      <c r="L305" s="32" t="n">
        <v>160.1</v>
      </c>
      <c r="M305" s="4" t="n">
        <v>0.2</v>
      </c>
      <c r="N305" s="24" t="n">
        <v>0.14096818536099</v>
      </c>
      <c r="O305" s="25" t="n">
        <v>194.354596032503</v>
      </c>
      <c r="P305" s="25" t="n">
        <v>65.5415264929693</v>
      </c>
      <c r="Q305" s="26" t="n">
        <v>0.0582532535562727</v>
      </c>
      <c r="R305" s="24" t="n">
        <v>0.704840926804952</v>
      </c>
      <c r="S305" s="4" t="n">
        <v>0.145236390439666</v>
      </c>
      <c r="T305" s="25" t="n">
        <v>194.354596032503</v>
      </c>
      <c r="U305" s="25" t="n">
        <v>105</v>
      </c>
      <c r="V305" s="26" t="n">
        <v>0.0317222995470351</v>
      </c>
      <c r="W305" s="24" t="n">
        <f aca="false">(I305-H305)/(J305-H305)</f>
        <v>1.23111167172221</v>
      </c>
      <c r="X305" s="24" t="n">
        <f aca="false">0.5*(1+(I305-K305-L305)/(I305-K305))</f>
        <v>0.557734806629834</v>
      </c>
      <c r="Y305" s="24" t="n">
        <v>0.726181952198331</v>
      </c>
      <c r="Z305" s="24" t="n">
        <v>0.150368000396652</v>
      </c>
      <c r="AA305" s="25" t="n">
        <v>194.354596032503</v>
      </c>
      <c r="AB305" s="25" t="n">
        <v>65.5415264929693</v>
      </c>
      <c r="AC305" s="26" t="n">
        <v>0.0582532535562727</v>
      </c>
      <c r="AD305" s="24" t="n">
        <v>0.751840001983261</v>
      </c>
      <c r="AE305" s="24" t="n">
        <v>0.172994275409456</v>
      </c>
      <c r="AF305" s="24" t="n">
        <v>0.178919637769212</v>
      </c>
      <c r="AG305" s="25" t="n">
        <v>204.090214031452</v>
      </c>
      <c r="AH305" s="26" t="n">
        <v>0.0236</v>
      </c>
      <c r="AI305" s="24" t="n">
        <v>0.864971377047279</v>
      </c>
    </row>
    <row r="306" customFormat="false" ht="14.25" hidden="false" customHeight="false" outlineLevel="0" collapsed="false">
      <c r="B306" s="1" t="n">
        <v>22.2</v>
      </c>
      <c r="C306" s="1" t="n">
        <v>2</v>
      </c>
      <c r="D306" s="2" t="n">
        <v>63.6</v>
      </c>
      <c r="E306" s="4" t="n">
        <v>2.75637342683892</v>
      </c>
      <c r="F306" s="1" t="n">
        <v>38</v>
      </c>
      <c r="G306" s="1" t="n">
        <v>49.1</v>
      </c>
      <c r="H306" s="3" t="n">
        <v>119.448592270941</v>
      </c>
      <c r="I306" s="1" t="n">
        <v>381</v>
      </c>
      <c r="J306" s="32" t="n">
        <v>331.9</v>
      </c>
      <c r="K306" s="25" t="n">
        <v>200</v>
      </c>
      <c r="L306" s="32" t="n">
        <v>160.1</v>
      </c>
      <c r="M306" s="4" t="n">
        <v>0.25</v>
      </c>
      <c r="N306" s="24" t="n">
        <v>0.169801742899775</v>
      </c>
      <c r="O306" s="25" t="n">
        <v>226.064284222037</v>
      </c>
      <c r="P306" s="25" t="n">
        <v>65.5415264929693</v>
      </c>
      <c r="Q306" s="26" t="n">
        <v>0.0582532535562727</v>
      </c>
      <c r="R306" s="24" t="n">
        <v>0.679206971599098</v>
      </c>
      <c r="S306" s="4" t="n">
        <v>0.180315671337883</v>
      </c>
      <c r="T306" s="25" t="n">
        <v>226.064284222037</v>
      </c>
      <c r="U306" s="25" t="n">
        <v>105</v>
      </c>
      <c r="V306" s="26" t="n">
        <v>0.0317222995470351</v>
      </c>
      <c r="W306" s="24" t="n">
        <f aca="false">(I306-H306)/(J306-H306)</f>
        <v>1.23111167172221</v>
      </c>
      <c r="X306" s="24" t="n">
        <f aca="false">0.5*(1+(I306-K306-L306)/(I306-K306))</f>
        <v>0.557734806629834</v>
      </c>
      <c r="Y306" s="24" t="n">
        <v>0.721262685351532</v>
      </c>
      <c r="Z306" s="24" t="n">
        <v>0.181124191095469</v>
      </c>
      <c r="AA306" s="25" t="n">
        <v>226.064284222037</v>
      </c>
      <c r="AB306" s="25" t="n">
        <v>65.5415264929693</v>
      </c>
      <c r="AC306" s="26" t="n">
        <v>0.0582532535562727</v>
      </c>
      <c r="AD306" s="24" t="n">
        <v>0.724496764381876</v>
      </c>
      <c r="AE306" s="24" t="n">
        <v>0.201218946416931</v>
      </c>
      <c r="AF306" s="24" t="n">
        <v>0.242065160483051</v>
      </c>
      <c r="AG306" s="25" t="n">
        <v>237.388305157583</v>
      </c>
      <c r="AH306" s="26" t="n">
        <v>0.0236</v>
      </c>
      <c r="AI306" s="24" t="n">
        <v>0.804875785667726</v>
      </c>
    </row>
    <row r="307" customFormat="false" ht="14.25" hidden="false" customHeight="false" outlineLevel="0" collapsed="false">
      <c r="B307" s="1" t="n">
        <v>22.2</v>
      </c>
      <c r="C307" s="1" t="n">
        <v>2</v>
      </c>
      <c r="D307" s="2" t="n">
        <v>63.6</v>
      </c>
      <c r="E307" s="4" t="n">
        <v>2.75637342683892</v>
      </c>
      <c r="F307" s="1" t="n">
        <v>38</v>
      </c>
      <c r="G307" s="1" t="n">
        <v>49.1</v>
      </c>
      <c r="H307" s="3" t="n">
        <v>119.448592270941</v>
      </c>
      <c r="I307" s="1" t="n">
        <v>381</v>
      </c>
      <c r="J307" s="32" t="n">
        <v>331.9</v>
      </c>
      <c r="K307" s="25" t="n">
        <v>200</v>
      </c>
      <c r="L307" s="32" t="n">
        <v>160.1</v>
      </c>
      <c r="M307" s="4" t="n">
        <v>0.3</v>
      </c>
      <c r="N307" s="24" t="n">
        <v>0.200566734914841</v>
      </c>
      <c r="O307" s="25" t="n">
        <v>259.898066357281</v>
      </c>
      <c r="P307" s="25" t="n">
        <v>65.5415264929693</v>
      </c>
      <c r="Q307" s="26" t="n">
        <v>0.0582532535562727</v>
      </c>
      <c r="R307" s="24" t="n">
        <v>0.668555783049469</v>
      </c>
      <c r="S307" s="4" t="n">
        <v>0.217744760525933</v>
      </c>
      <c r="T307" s="25" t="n">
        <v>259.898066357281</v>
      </c>
      <c r="U307" s="25" t="n">
        <v>105</v>
      </c>
      <c r="V307" s="26" t="n">
        <v>0.0317222995470351</v>
      </c>
      <c r="W307" s="24" t="n">
        <f aca="false">(I307-H307)/(J307-H307)</f>
        <v>1.23111167172221</v>
      </c>
      <c r="X307" s="24" t="n">
        <f aca="false">0.5*(1+(I307-K307-L307)/(I307-K307))</f>
        <v>0.557734806629834</v>
      </c>
      <c r="Y307" s="24" t="n">
        <v>0.725815868419775</v>
      </c>
      <c r="Z307" s="24" t="n">
        <v>0.213940605094685</v>
      </c>
      <c r="AA307" s="25" t="n">
        <v>259.898066357281</v>
      </c>
      <c r="AB307" s="25" t="n">
        <v>65.5415264929693</v>
      </c>
      <c r="AC307" s="26" t="n">
        <v>0.0582532535562727</v>
      </c>
      <c r="AD307" s="24" t="n">
        <v>0.713135350315617</v>
      </c>
      <c r="AE307" s="24" t="n">
        <v>0.23133426524309</v>
      </c>
      <c r="AF307" s="24" t="n">
        <v>0.31994437318206</v>
      </c>
      <c r="AG307" s="25" t="n">
        <v>272.916890426134</v>
      </c>
      <c r="AH307" s="26" t="n">
        <v>0.0236</v>
      </c>
      <c r="AI307" s="24" t="n">
        <v>0.771114217476965</v>
      </c>
    </row>
    <row r="308" customFormat="false" ht="14.25" hidden="false" customHeight="false" outlineLevel="0" collapsed="false">
      <c r="B308" s="1" t="n">
        <v>22.2</v>
      </c>
      <c r="C308" s="1" t="n">
        <v>2</v>
      </c>
      <c r="D308" s="2" t="n">
        <v>63.6</v>
      </c>
      <c r="E308" s="4" t="n">
        <v>2.75637342683892</v>
      </c>
      <c r="F308" s="1" t="n">
        <v>38</v>
      </c>
      <c r="G308" s="1" t="n">
        <v>49.1</v>
      </c>
      <c r="H308" s="3" t="n">
        <v>119.448592270941</v>
      </c>
      <c r="I308" s="1" t="n">
        <v>381</v>
      </c>
      <c r="J308" s="32" t="n">
        <v>331.9</v>
      </c>
      <c r="K308" s="25" t="n">
        <v>200</v>
      </c>
      <c r="L308" s="32" t="n">
        <v>160.1</v>
      </c>
      <c r="M308" s="4" t="n">
        <v>0.35</v>
      </c>
      <c r="N308" s="24" t="n">
        <v>0.215026332118215</v>
      </c>
      <c r="O308" s="25" t="n">
        <v>275.8</v>
      </c>
      <c r="P308" s="25" t="n">
        <v>65.5415264929693</v>
      </c>
      <c r="Q308" s="26" t="n">
        <v>0.0582532535562727</v>
      </c>
      <c r="R308" s="24" t="n">
        <v>0.614360948909187</v>
      </c>
      <c r="S308" s="4" t="n">
        <v>0.235336494438405</v>
      </c>
      <c r="T308" s="25" t="n">
        <v>275.8</v>
      </c>
      <c r="U308" s="25" t="n">
        <v>105</v>
      </c>
      <c r="V308" s="26" t="n">
        <v>0.0317222995470351</v>
      </c>
      <c r="W308" s="24" t="n">
        <f aca="false">(I308-H308)/(J308-H308)</f>
        <v>1.23111167172221</v>
      </c>
      <c r="X308" s="24" t="n">
        <f aca="false">0.5*(1+(I308-K308-L308)/(I308-K308))</f>
        <v>0.557734806629834</v>
      </c>
      <c r="Y308" s="24" t="n">
        <v>0.672389984109728</v>
      </c>
      <c r="Z308" s="24" t="n">
        <v>0.229364374028396</v>
      </c>
      <c r="AA308" s="25" t="n">
        <v>275.8</v>
      </c>
      <c r="AB308" s="25" t="n">
        <v>65.5415264929693</v>
      </c>
      <c r="AC308" s="26" t="n">
        <v>0.0582532535562727</v>
      </c>
      <c r="AD308" s="24" t="n">
        <v>0.655326782938274</v>
      </c>
      <c r="AE308" s="24" t="n">
        <v>0.233778093596272</v>
      </c>
      <c r="AF308" s="24" t="n">
        <v>0.326739899910025</v>
      </c>
      <c r="AG308" s="25" t="n">
        <v>275.8</v>
      </c>
      <c r="AH308" s="26" t="n">
        <v>0.0236</v>
      </c>
      <c r="AI308" s="24" t="n">
        <v>0.667937410275062</v>
      </c>
    </row>
    <row r="309" customFormat="false" ht="14.25" hidden="false" customHeight="false" outlineLevel="0" collapsed="false">
      <c r="A309" s="0" t="s">
        <v>95</v>
      </c>
      <c r="B309" s="1" t="n">
        <v>28.7</v>
      </c>
      <c r="C309" s="1" t="n">
        <v>2</v>
      </c>
      <c r="D309" s="2" t="n">
        <v>50.6</v>
      </c>
      <c r="E309" s="4" t="n">
        <v>2.77481740215607</v>
      </c>
      <c r="F309" s="1" t="n">
        <v>22.2</v>
      </c>
      <c r="G309" s="1" t="n">
        <v>36.6</v>
      </c>
      <c r="H309" s="3" t="n">
        <v>148.014985731185</v>
      </c>
      <c r="I309" s="1" t="n">
        <v>381</v>
      </c>
      <c r="J309" s="32" t="n">
        <v>344.4</v>
      </c>
      <c r="K309" s="25" t="n">
        <v>208</v>
      </c>
      <c r="L309" s="32" t="n">
        <v>128.1</v>
      </c>
      <c r="M309" s="4" t="n">
        <v>0.17</v>
      </c>
      <c r="N309" s="24" t="n">
        <v>0.122169470768246</v>
      </c>
      <c r="O309" s="25" t="n">
        <v>234.115818289886</v>
      </c>
      <c r="P309" s="25" t="n">
        <v>43.7440360412137</v>
      </c>
      <c r="Q309" s="26" t="n">
        <v>0.108992850321706</v>
      </c>
      <c r="R309" s="24" t="n">
        <v>0.718643945695562</v>
      </c>
      <c r="S309" s="4" t="n">
        <v>0.134837869496894</v>
      </c>
      <c r="T309" s="25" t="n">
        <v>234.115818289886</v>
      </c>
      <c r="U309" s="25" t="n">
        <v>60</v>
      </c>
      <c r="V309" s="26" t="n">
        <v>0.0660778058480395</v>
      </c>
      <c r="W309" s="24" t="n">
        <f aca="false">(I309-H309)/(J309-H309)</f>
        <v>1.18636859913303</v>
      </c>
      <c r="X309" s="24" t="n">
        <f aca="false">0.5*(1+(I309-K309-L309)/(I309-K309))</f>
        <v>0.629768786127168</v>
      </c>
      <c r="Y309" s="24" t="n">
        <v>0.793163938217022</v>
      </c>
      <c r="Z309" s="24" t="n">
        <v>0.124975658703082</v>
      </c>
      <c r="AA309" s="25" t="n">
        <v>234.115818289886</v>
      </c>
      <c r="AB309" s="25" t="n">
        <v>43.7440360412137</v>
      </c>
      <c r="AC309" s="26" t="n">
        <v>0.108992850321706</v>
      </c>
      <c r="AD309" s="24" t="n">
        <v>0.735150933547541</v>
      </c>
      <c r="AE309" s="24" t="n">
        <v>0.206388690697288</v>
      </c>
      <c r="AF309" s="24" t="n">
        <v>0.337086070171236</v>
      </c>
      <c r="AG309" s="25" t="n">
        <v>247.199333466279</v>
      </c>
      <c r="AH309" s="26" t="n">
        <v>0.0337</v>
      </c>
      <c r="AI309" s="24" t="n">
        <v>1.21405112174875</v>
      </c>
    </row>
    <row r="310" customFormat="false" ht="14.25" hidden="false" customHeight="false" outlineLevel="0" collapsed="false">
      <c r="B310" s="1" t="n">
        <v>28.7</v>
      </c>
      <c r="C310" s="1" t="n">
        <v>2</v>
      </c>
      <c r="D310" s="2" t="n">
        <v>50.6</v>
      </c>
      <c r="E310" s="4" t="n">
        <v>2.77481740215607</v>
      </c>
      <c r="F310" s="1" t="n">
        <v>22.2</v>
      </c>
      <c r="G310" s="1" t="n">
        <v>36.6</v>
      </c>
      <c r="H310" s="3" t="n">
        <v>148.014985731185</v>
      </c>
      <c r="I310" s="1" t="n">
        <v>381</v>
      </c>
      <c r="J310" s="32" t="n">
        <v>344.4</v>
      </c>
      <c r="K310" s="25" t="n">
        <v>208</v>
      </c>
      <c r="L310" s="32" t="n">
        <v>128.1</v>
      </c>
      <c r="M310" s="4" t="n">
        <v>0.2</v>
      </c>
      <c r="N310" s="24" t="n">
        <v>0.146108260128539</v>
      </c>
      <c r="O310" s="25" t="n">
        <v>274.847284751406</v>
      </c>
      <c r="P310" s="25" t="n">
        <v>43.7440360412137</v>
      </c>
      <c r="Q310" s="26" t="n">
        <v>0.108992850321706</v>
      </c>
      <c r="R310" s="24" t="n">
        <v>0.730541300642693</v>
      </c>
      <c r="S310" s="4" t="n">
        <v>0.162583158045426</v>
      </c>
      <c r="T310" s="25" t="n">
        <v>274.847284751406</v>
      </c>
      <c r="U310" s="25" t="n">
        <v>60</v>
      </c>
      <c r="V310" s="26" t="n">
        <v>0.0660778058480395</v>
      </c>
      <c r="W310" s="24" t="n">
        <f aca="false">(I310-H310)/(J310-H310)</f>
        <v>1.18636859913303</v>
      </c>
      <c r="X310" s="24" t="n">
        <f aca="false">0.5*(1+(I310-K310-L310)/(I310-K310))</f>
        <v>0.629768786127168</v>
      </c>
      <c r="Y310" s="24" t="n">
        <v>0.812915790227129</v>
      </c>
      <c r="Z310" s="24" t="n">
        <v>0.149464313274831</v>
      </c>
      <c r="AA310" s="25" t="n">
        <v>274.847284751406</v>
      </c>
      <c r="AB310" s="25" t="n">
        <v>43.7440360412137</v>
      </c>
      <c r="AC310" s="26" t="n">
        <v>0.108992850321706</v>
      </c>
      <c r="AD310" s="24" t="n">
        <v>0.747321566374155</v>
      </c>
      <c r="AE310" s="24" t="n">
        <v>0.230267614787388</v>
      </c>
      <c r="AF310" s="24" t="n">
        <v>0.419599284393266</v>
      </c>
      <c r="AG310" s="25" t="n">
        <v>275.8</v>
      </c>
      <c r="AH310" s="26" t="n">
        <v>0.0337</v>
      </c>
      <c r="AI310" s="24" t="n">
        <v>1.15133807393694</v>
      </c>
    </row>
    <row r="311" customFormat="false" ht="14.25" hidden="false" customHeight="false" outlineLevel="0" collapsed="false">
      <c r="A311" s="0" t="s">
        <v>96</v>
      </c>
      <c r="B311" s="1" t="n">
        <v>28.7</v>
      </c>
      <c r="C311" s="1" t="n">
        <v>2</v>
      </c>
      <c r="D311" s="2" t="n">
        <v>50.6</v>
      </c>
      <c r="E311" s="4" t="n">
        <v>2.80171464705939</v>
      </c>
      <c r="F311" s="1" t="n">
        <v>38.2</v>
      </c>
      <c r="G311" s="1" t="n">
        <v>52.5</v>
      </c>
      <c r="H311" s="3" t="n">
        <v>143.366253802848</v>
      </c>
      <c r="I311" s="1" t="n">
        <v>381</v>
      </c>
      <c r="J311" s="32" t="n">
        <v>328.5</v>
      </c>
      <c r="K311" s="25" t="n">
        <v>206</v>
      </c>
      <c r="L311" s="32" t="n">
        <v>183.75</v>
      </c>
      <c r="M311" s="4" t="n">
        <v>0.17</v>
      </c>
      <c r="N311" s="24" t="n">
        <v>0.115321921681566</v>
      </c>
      <c r="O311" s="25" t="n">
        <v>179.495600322604</v>
      </c>
      <c r="P311" s="25" t="n">
        <v>44.5921247958736</v>
      </c>
      <c r="Q311" s="26" t="n">
        <v>0.106860667703036</v>
      </c>
      <c r="R311" s="24" t="n">
        <v>0.678364245185682</v>
      </c>
      <c r="S311" s="4" t="n">
        <v>0.135887459700604</v>
      </c>
      <c r="T311" s="25" t="n">
        <v>179.495600322604</v>
      </c>
      <c r="U311" s="25" t="n">
        <v>79</v>
      </c>
      <c r="V311" s="26" t="n">
        <v>0.0460656703626332</v>
      </c>
      <c r="W311" s="24" t="n">
        <f aca="false">(I311-H311)/(J311-H311)</f>
        <v>1.28357876982672</v>
      </c>
      <c r="X311" s="24" t="n">
        <f aca="false">0.5*(1+(I311-K311-L311)/(I311-K311))</f>
        <v>0.475</v>
      </c>
      <c r="Y311" s="24" t="n">
        <v>0.79933799823885</v>
      </c>
      <c r="Z311" s="24" t="n">
        <v>0.134058339169301</v>
      </c>
      <c r="AA311" s="25" t="n">
        <v>179.495600322604</v>
      </c>
      <c r="AB311" s="25" t="n">
        <v>44.5921247958736</v>
      </c>
      <c r="AC311" s="26" t="n">
        <v>0.106860667703036</v>
      </c>
      <c r="AD311" s="24" t="n">
        <v>0.788578465701769</v>
      </c>
      <c r="AE311" s="24" t="n">
        <v>0.165650038965283</v>
      </c>
      <c r="AF311" s="24" t="n">
        <v>0.196536192300752</v>
      </c>
      <c r="AG311" s="25" t="n">
        <v>189.667494327817</v>
      </c>
      <c r="AH311" s="26" t="n">
        <v>0.0317</v>
      </c>
      <c r="AI311" s="24" t="n">
        <v>0.974411993913427</v>
      </c>
    </row>
    <row r="312" customFormat="false" ht="14.25" hidden="false" customHeight="false" outlineLevel="0" collapsed="false">
      <c r="B312" s="1" t="n">
        <v>28.7</v>
      </c>
      <c r="C312" s="1" t="n">
        <v>2</v>
      </c>
      <c r="D312" s="2" t="n">
        <v>50.6</v>
      </c>
      <c r="E312" s="4" t="n">
        <v>2.80171464705939</v>
      </c>
      <c r="F312" s="1" t="n">
        <v>38.2</v>
      </c>
      <c r="G312" s="1" t="n">
        <v>52.5</v>
      </c>
      <c r="H312" s="3" t="n">
        <v>143.366253802848</v>
      </c>
      <c r="I312" s="1" t="n">
        <v>381</v>
      </c>
      <c r="J312" s="32" t="n">
        <v>328.5</v>
      </c>
      <c r="K312" s="25" t="n">
        <v>206</v>
      </c>
      <c r="L312" s="32" t="n">
        <v>183.75</v>
      </c>
      <c r="M312" s="4" t="n">
        <v>0.2</v>
      </c>
      <c r="N312" s="24" t="n">
        <v>0.140424010918515</v>
      </c>
      <c r="O312" s="25" t="n">
        <v>212.742542651488</v>
      </c>
      <c r="P312" s="25" t="n">
        <v>44.5921247958736</v>
      </c>
      <c r="Q312" s="26" t="n">
        <v>0.106860667703036</v>
      </c>
      <c r="R312" s="24" t="n">
        <v>0.702120054592575</v>
      </c>
      <c r="S312" s="4" t="n">
        <v>0.170118894178651</v>
      </c>
      <c r="T312" s="25" t="n">
        <v>212.742542651488</v>
      </c>
      <c r="U312" s="25" t="n">
        <v>79</v>
      </c>
      <c r="V312" s="26" t="n">
        <v>0.0460656703626332</v>
      </c>
      <c r="W312" s="24" t="n">
        <f aca="false">(I312-H312)/(J312-H312)</f>
        <v>1.28357876982672</v>
      </c>
      <c r="X312" s="24" t="n">
        <f aca="false">0.5*(1+(I312-K312-L312)/(I312-K312))</f>
        <v>0.475</v>
      </c>
      <c r="Y312" s="24" t="n">
        <v>0.850594470893254</v>
      </c>
      <c r="Z312" s="24" t="n">
        <v>0.163238778965275</v>
      </c>
      <c r="AA312" s="25" t="n">
        <v>212.742542651488</v>
      </c>
      <c r="AB312" s="25" t="n">
        <v>44.5921247958736</v>
      </c>
      <c r="AC312" s="26" t="n">
        <v>0.106860667703036</v>
      </c>
      <c r="AD312" s="24" t="n">
        <v>0.816193894826374</v>
      </c>
      <c r="AE312" s="24" t="n">
        <v>0.196332447238008</v>
      </c>
      <c r="AF312" s="24" t="n">
        <v>0.276085509468807</v>
      </c>
      <c r="AG312" s="25" t="n">
        <v>224.798518343155</v>
      </c>
      <c r="AH312" s="26" t="n">
        <v>0.0317</v>
      </c>
      <c r="AI312" s="24" t="n">
        <v>0.981662236190039</v>
      </c>
    </row>
    <row r="313" customFormat="false" ht="14.25" hidden="false" customHeight="false" outlineLevel="0" collapsed="false">
      <c r="B313" s="1" t="n">
        <v>28.7</v>
      </c>
      <c r="C313" s="1" t="n">
        <v>2</v>
      </c>
      <c r="D313" s="2" t="n">
        <v>50.6</v>
      </c>
      <c r="E313" s="4" t="n">
        <v>2.80171464705939</v>
      </c>
      <c r="F313" s="1" t="n">
        <v>38.2</v>
      </c>
      <c r="G313" s="1" t="n">
        <v>52.5</v>
      </c>
      <c r="H313" s="3" t="n">
        <v>143.366253802848</v>
      </c>
      <c r="I313" s="1" t="n">
        <v>381</v>
      </c>
      <c r="J313" s="32" t="n">
        <v>328.5</v>
      </c>
      <c r="K313" s="25" t="n">
        <v>206</v>
      </c>
      <c r="L313" s="32" t="n">
        <v>183.75</v>
      </c>
      <c r="M313" s="4" t="n">
        <v>0.25</v>
      </c>
      <c r="N313" s="24" t="n">
        <v>0.164953972765448</v>
      </c>
      <c r="O313" s="25" t="n">
        <v>245.231719913046</v>
      </c>
      <c r="P313" s="25" t="n">
        <v>44.5921247958736</v>
      </c>
      <c r="Q313" s="26" t="n">
        <v>0.106860667703036</v>
      </c>
      <c r="R313" s="24" t="n">
        <v>0.659815891061792</v>
      </c>
      <c r="S313" s="4" t="n">
        <v>0.20357012502187</v>
      </c>
      <c r="T313" s="25" t="n">
        <v>245.231719913046</v>
      </c>
      <c r="U313" s="25" t="n">
        <v>79</v>
      </c>
      <c r="V313" s="26" t="n">
        <v>0.0460656703626332</v>
      </c>
      <c r="W313" s="24" t="n">
        <f aca="false">(I313-H313)/(J313-H313)</f>
        <v>1.28357876982672</v>
      </c>
      <c r="X313" s="24" t="n">
        <f aca="false">0.5*(1+(I313-K313-L313)/(I313-K313))</f>
        <v>0.475</v>
      </c>
      <c r="Y313" s="24" t="n">
        <v>0.81428050008748</v>
      </c>
      <c r="Z313" s="24" t="n">
        <v>0.191754137512338</v>
      </c>
      <c r="AA313" s="25" t="n">
        <v>245.231719913046</v>
      </c>
      <c r="AB313" s="25" t="n">
        <v>44.5921247958736</v>
      </c>
      <c r="AC313" s="26" t="n">
        <v>0.106860667703036</v>
      </c>
      <c r="AD313" s="24" t="n">
        <v>0.76701655004935</v>
      </c>
      <c r="AE313" s="24" t="n">
        <v>0.226315541362067</v>
      </c>
      <c r="AF313" s="24" t="n">
        <v>0.366849735279691</v>
      </c>
      <c r="AG313" s="25" t="n">
        <v>259.128835258427</v>
      </c>
      <c r="AH313" s="26" t="n">
        <v>0.0317</v>
      </c>
      <c r="AI313" s="24" t="n">
        <v>0.905262165448267</v>
      </c>
    </row>
    <row r="314" customFormat="false" ht="14.25" hidden="false" customHeight="false" outlineLevel="0" collapsed="false">
      <c r="B314" s="1" t="n">
        <v>28.7</v>
      </c>
      <c r="C314" s="1" t="n">
        <v>2</v>
      </c>
      <c r="D314" s="2" t="n">
        <v>50.6</v>
      </c>
      <c r="E314" s="4" t="n">
        <v>2.80171464705939</v>
      </c>
      <c r="F314" s="1" t="n">
        <v>38.2</v>
      </c>
      <c r="G314" s="1" t="n">
        <v>52.5</v>
      </c>
      <c r="H314" s="3" t="n">
        <v>143.366253802848</v>
      </c>
      <c r="I314" s="1" t="n">
        <v>381</v>
      </c>
      <c r="J314" s="32" t="n">
        <v>328.5</v>
      </c>
      <c r="K314" s="25" t="n">
        <v>206</v>
      </c>
      <c r="L314" s="32" t="n">
        <v>183.75</v>
      </c>
      <c r="M314" s="4" t="n">
        <v>0.29</v>
      </c>
      <c r="N314" s="24" t="n">
        <v>0.188033619819071</v>
      </c>
      <c r="O314" s="25" t="n">
        <v>275.8</v>
      </c>
      <c r="P314" s="25" t="n">
        <v>44.5921247958736</v>
      </c>
      <c r="Q314" s="26" t="n">
        <v>0.106860667703036</v>
      </c>
      <c r="R314" s="24" t="n">
        <v>0.648391792479554</v>
      </c>
      <c r="S314" s="4" t="n">
        <v>0.235043578025519</v>
      </c>
      <c r="T314" s="25" t="n">
        <v>275.8</v>
      </c>
      <c r="U314" s="25" t="n">
        <v>79</v>
      </c>
      <c r="V314" s="26" t="n">
        <v>0.0460656703626332</v>
      </c>
      <c r="W314" s="24" t="n">
        <f aca="false">(I314-H314)/(J314-H314)</f>
        <v>1.28357876982672</v>
      </c>
      <c r="X314" s="24" t="n">
        <f aca="false">0.5*(1+(I314-K314-L314)/(I314-K314))</f>
        <v>0.475</v>
      </c>
      <c r="Y314" s="24" t="n">
        <v>0.81049509663972</v>
      </c>
      <c r="Z314" s="24" t="n">
        <v>0.218583547805774</v>
      </c>
      <c r="AA314" s="25" t="n">
        <v>275.8</v>
      </c>
      <c r="AB314" s="25" t="n">
        <v>44.5921247958736</v>
      </c>
      <c r="AC314" s="26" t="n">
        <v>0.106860667703036</v>
      </c>
      <c r="AD314" s="24" t="n">
        <v>0.753736371744049</v>
      </c>
      <c r="AE314" s="24" t="n">
        <v>0.240875648769112</v>
      </c>
      <c r="AF314" s="24" t="n">
        <v>0.415571013803529</v>
      </c>
      <c r="AG314" s="25" t="n">
        <v>275.8</v>
      </c>
      <c r="AH314" s="26" t="n">
        <v>0.0317</v>
      </c>
      <c r="AI314" s="24" t="n">
        <v>0.830605685410732</v>
      </c>
    </row>
    <row r="315" customFormat="false" ht="14.25" hidden="false" customHeight="false" outlineLevel="0" collapsed="false">
      <c r="A315" s="0" t="s">
        <v>97</v>
      </c>
      <c r="B315" s="1" t="n">
        <v>28.7</v>
      </c>
      <c r="C315" s="1" t="n">
        <v>2</v>
      </c>
      <c r="D315" s="2" t="n">
        <v>50.6</v>
      </c>
      <c r="E315" s="4" t="n">
        <v>2.71531164579845</v>
      </c>
      <c r="F315" s="1" t="n">
        <v>38.2</v>
      </c>
      <c r="G315" s="1" t="n">
        <v>52.5</v>
      </c>
      <c r="H315" s="3" t="n">
        <v>144.176756028631</v>
      </c>
      <c r="I315" s="1" t="n">
        <v>381</v>
      </c>
      <c r="J315" s="32" t="n">
        <v>328.5</v>
      </c>
      <c r="K315" s="25" t="n">
        <v>206</v>
      </c>
      <c r="L315" s="32" t="n">
        <v>183.75</v>
      </c>
      <c r="M315" s="4" t="n">
        <v>0.17</v>
      </c>
      <c r="N315" s="24" t="n">
        <v>0.14087586174075</v>
      </c>
      <c r="O315" s="25" t="n">
        <v>212.947491588265</v>
      </c>
      <c r="P315" s="25" t="n">
        <v>43.4113658983236</v>
      </c>
      <c r="Q315" s="26" t="n">
        <v>0.107226386910195</v>
      </c>
      <c r="R315" s="24" t="n">
        <v>0.828681539651468</v>
      </c>
      <c r="S315" s="4" t="n">
        <v>0.171725283638607</v>
      </c>
      <c r="T315" s="25" t="n">
        <v>212.947491588265</v>
      </c>
      <c r="U315" s="25" t="n">
        <v>77</v>
      </c>
      <c r="V315" s="26" t="n">
        <v>0.0460656703626332</v>
      </c>
      <c r="W315" s="24" t="n">
        <f aca="false">(I315-H315)/(J315-H315)</f>
        <v>1.28482571632775</v>
      </c>
      <c r="X315" s="24" t="n">
        <f aca="false">0.5*(1+(I315-K315-L315)/(I315-K315))</f>
        <v>0.475</v>
      </c>
      <c r="Y315" s="24" t="n">
        <v>1.01014872728592</v>
      </c>
      <c r="Z315" s="24" t="n">
        <v>0.163894937099768</v>
      </c>
      <c r="AA315" s="25" t="n">
        <v>212.947491588265</v>
      </c>
      <c r="AB315" s="25" t="n">
        <v>43.4113658983236</v>
      </c>
      <c r="AC315" s="26" t="n">
        <v>0.107226386910195</v>
      </c>
      <c r="AD315" s="24" t="n">
        <v>0.964087865292755</v>
      </c>
      <c r="AE315" s="24" t="n">
        <v>0.196332447238008</v>
      </c>
      <c r="AF315" s="24" t="n">
        <v>0.2848707318427</v>
      </c>
      <c r="AG315" s="25" t="n">
        <v>225</v>
      </c>
      <c r="AH315" s="26" t="n">
        <v>0.0317</v>
      </c>
      <c r="AI315" s="24" t="n">
        <v>1.15489674845887</v>
      </c>
    </row>
    <row r="316" customFormat="false" ht="14.25" hidden="false" customHeight="false" outlineLevel="0" collapsed="false">
      <c r="A316" s="0" t="s">
        <v>98</v>
      </c>
      <c r="B316" s="1" t="n">
        <v>28.7</v>
      </c>
      <c r="C316" s="1" t="n">
        <v>2</v>
      </c>
      <c r="D316" s="2" t="n">
        <v>50.6</v>
      </c>
      <c r="E316" s="4" t="n">
        <v>2.80171464705939</v>
      </c>
      <c r="F316" s="1" t="n">
        <v>38.2</v>
      </c>
      <c r="G316" s="1" t="n">
        <v>52.5</v>
      </c>
      <c r="H316" s="3" t="n">
        <v>143.366253802848</v>
      </c>
      <c r="I316" s="1" t="n">
        <v>381</v>
      </c>
      <c r="J316" s="32" t="n">
        <v>328.5</v>
      </c>
      <c r="K316" s="25" t="n">
        <v>206</v>
      </c>
      <c r="L316" s="32" t="n">
        <v>183.75</v>
      </c>
      <c r="M316" s="4" t="n">
        <v>0.15</v>
      </c>
      <c r="N316" s="24" t="n">
        <v>0.115321921681566</v>
      </c>
      <c r="O316" s="25" t="n">
        <v>179.495600322604</v>
      </c>
      <c r="P316" s="25" t="n">
        <v>44.5921247958736</v>
      </c>
      <c r="Q316" s="26" t="n">
        <v>0.106860667703036</v>
      </c>
      <c r="R316" s="24" t="n">
        <v>0.76881281121044</v>
      </c>
      <c r="S316" s="4" t="n">
        <v>0.135887459700604</v>
      </c>
      <c r="T316" s="25" t="n">
        <v>179.495600322604</v>
      </c>
      <c r="U316" s="25" t="n">
        <v>79</v>
      </c>
      <c r="V316" s="26" t="n">
        <v>0.0460656703626332</v>
      </c>
      <c r="W316" s="24" t="n">
        <f aca="false">(I316-H316)/(J316-H316)</f>
        <v>1.28357876982672</v>
      </c>
      <c r="X316" s="24" t="n">
        <f aca="false">0.5*(1+(I316-K316-L316)/(I316-K316))</f>
        <v>0.475</v>
      </c>
      <c r="Y316" s="24" t="n">
        <v>0.90591639800403</v>
      </c>
      <c r="Z316" s="24" t="n">
        <v>0.134058339169301</v>
      </c>
      <c r="AA316" s="25" t="n">
        <v>179.495600322604</v>
      </c>
      <c r="AB316" s="25" t="n">
        <v>44.5921247958736</v>
      </c>
      <c r="AC316" s="26" t="n">
        <v>0.106860667703036</v>
      </c>
      <c r="AD316" s="24" t="n">
        <v>0.893722261128672</v>
      </c>
      <c r="AE316" s="24" t="n">
        <v>0.165650038965283</v>
      </c>
      <c r="AF316" s="24" t="n">
        <v>0.196536192300752</v>
      </c>
      <c r="AG316" s="25" t="n">
        <v>189.667494327817</v>
      </c>
      <c r="AH316" s="26" t="n">
        <v>0.0317</v>
      </c>
      <c r="AI316" s="24" t="n">
        <v>1.10433359310188</v>
      </c>
    </row>
    <row r="317" customFormat="false" ht="14.25" hidden="false" customHeight="false" outlineLevel="0" collapsed="false">
      <c r="B317" s="1" t="n">
        <v>28.7</v>
      </c>
      <c r="C317" s="1" t="n">
        <v>2</v>
      </c>
      <c r="D317" s="2" t="n">
        <v>50.6</v>
      </c>
      <c r="E317" s="4" t="n">
        <v>2.80171464705939</v>
      </c>
      <c r="F317" s="1" t="n">
        <v>38.2</v>
      </c>
      <c r="G317" s="1" t="n">
        <v>52.5</v>
      </c>
      <c r="H317" s="3" t="n">
        <v>143.366253802848</v>
      </c>
      <c r="I317" s="1" t="n">
        <v>381</v>
      </c>
      <c r="J317" s="32" t="n">
        <v>328.5</v>
      </c>
      <c r="K317" s="25" t="n">
        <v>206</v>
      </c>
      <c r="L317" s="32" t="n">
        <v>183.75</v>
      </c>
      <c r="M317" s="4" t="n">
        <v>0.16</v>
      </c>
      <c r="N317" s="24" t="n">
        <v>0.140424010918515</v>
      </c>
      <c r="O317" s="25" t="n">
        <v>212.742542651488</v>
      </c>
      <c r="P317" s="25" t="n">
        <v>44.5921247958736</v>
      </c>
      <c r="Q317" s="26" t="n">
        <v>0.106860667703036</v>
      </c>
      <c r="R317" s="24" t="n">
        <v>0.877650068240719</v>
      </c>
      <c r="S317" s="4" t="n">
        <v>0.170118894178651</v>
      </c>
      <c r="T317" s="25" t="n">
        <v>212.742542651488</v>
      </c>
      <c r="U317" s="25" t="n">
        <v>79</v>
      </c>
      <c r="V317" s="26" t="n">
        <v>0.0460656703626332</v>
      </c>
      <c r="W317" s="24" t="n">
        <f aca="false">(I317-H317)/(J317-H317)</f>
        <v>1.28357876982672</v>
      </c>
      <c r="X317" s="24" t="n">
        <f aca="false">0.5*(1+(I317-K317-L317)/(I317-K317))</f>
        <v>0.475</v>
      </c>
      <c r="Y317" s="24" t="n">
        <v>1.06324308861657</v>
      </c>
      <c r="Z317" s="24" t="n">
        <v>0.163238778965275</v>
      </c>
      <c r="AA317" s="25" t="n">
        <v>212.742542651488</v>
      </c>
      <c r="AB317" s="25" t="n">
        <v>44.5921247958736</v>
      </c>
      <c r="AC317" s="26" t="n">
        <v>0.106860667703036</v>
      </c>
      <c r="AD317" s="24" t="n">
        <v>1.02024236853297</v>
      </c>
      <c r="AE317" s="24" t="n">
        <v>0.196332447238008</v>
      </c>
      <c r="AF317" s="24" t="n">
        <v>0.276085509468807</v>
      </c>
      <c r="AG317" s="25" t="n">
        <v>224.798518343155</v>
      </c>
      <c r="AH317" s="26" t="n">
        <v>0.0317</v>
      </c>
      <c r="AI317" s="24" t="n">
        <v>1.22707779523755</v>
      </c>
    </row>
    <row r="318" customFormat="false" ht="14.25" hidden="false" customHeight="false" outlineLevel="0" collapsed="false">
      <c r="B318" s="1" t="n">
        <v>28.7</v>
      </c>
      <c r="C318" s="1" t="n">
        <v>2</v>
      </c>
      <c r="D318" s="2" t="n">
        <v>50.6</v>
      </c>
      <c r="E318" s="4" t="n">
        <v>2.80171464705939</v>
      </c>
      <c r="F318" s="1" t="n">
        <v>38.2</v>
      </c>
      <c r="G318" s="1" t="n">
        <v>52.5</v>
      </c>
      <c r="H318" s="3" t="n">
        <v>143.366253802848</v>
      </c>
      <c r="I318" s="1" t="n">
        <v>381</v>
      </c>
      <c r="J318" s="32" t="n">
        <v>328.5</v>
      </c>
      <c r="K318" s="25" t="n">
        <v>206</v>
      </c>
      <c r="L318" s="32" t="n">
        <v>183.75</v>
      </c>
      <c r="M318" s="4" t="n">
        <v>0.22</v>
      </c>
      <c r="N318" s="24" t="n">
        <v>0.164953972765448</v>
      </c>
      <c r="O318" s="25" t="n">
        <v>245.231719913046</v>
      </c>
      <c r="P318" s="25" t="n">
        <v>44.5921247958736</v>
      </c>
      <c r="Q318" s="26" t="n">
        <v>0.106860667703036</v>
      </c>
      <c r="R318" s="24" t="n">
        <v>0.749790785297491</v>
      </c>
      <c r="S318" s="4" t="n">
        <v>0.20357012502187</v>
      </c>
      <c r="T318" s="25" t="n">
        <v>245.231719913046</v>
      </c>
      <c r="U318" s="25" t="n">
        <v>79</v>
      </c>
      <c r="V318" s="26" t="n">
        <v>0.0460656703626332</v>
      </c>
      <c r="W318" s="24" t="n">
        <f aca="false">(I318-H318)/(J318-H318)</f>
        <v>1.28357876982672</v>
      </c>
      <c r="X318" s="24" t="n">
        <f aca="false">0.5*(1+(I318-K318-L318)/(I318-K318))</f>
        <v>0.475</v>
      </c>
      <c r="Y318" s="24" t="n">
        <v>0.925318750099409</v>
      </c>
      <c r="Z318" s="24" t="n">
        <v>0.191754137512338</v>
      </c>
      <c r="AA318" s="25" t="n">
        <v>245.231719913046</v>
      </c>
      <c r="AB318" s="25" t="n">
        <v>44.5921247958736</v>
      </c>
      <c r="AC318" s="26" t="n">
        <v>0.106860667703036</v>
      </c>
      <c r="AD318" s="24" t="n">
        <v>0.871609715965171</v>
      </c>
      <c r="AE318" s="24" t="n">
        <v>0.226315541362067</v>
      </c>
      <c r="AF318" s="24" t="n">
        <v>0.366849735279691</v>
      </c>
      <c r="AG318" s="25" t="n">
        <v>259.128835258427</v>
      </c>
      <c r="AH318" s="26" t="n">
        <v>0.0317</v>
      </c>
      <c r="AI318" s="24" t="n">
        <v>1.02870700619121</v>
      </c>
    </row>
    <row r="319" customFormat="false" ht="14.25" hidden="false" customHeight="false" outlineLevel="0" collapsed="false">
      <c r="B319" s="1" t="n">
        <v>28.7</v>
      </c>
      <c r="C319" s="1" t="n">
        <v>2</v>
      </c>
      <c r="D319" s="2" t="n">
        <v>50.6</v>
      </c>
      <c r="E319" s="4" t="n">
        <v>2.80171464705939</v>
      </c>
      <c r="F319" s="1" t="n">
        <v>38.2</v>
      </c>
      <c r="G319" s="1" t="n">
        <v>52.5</v>
      </c>
      <c r="H319" s="3" t="n">
        <v>143.366253802848</v>
      </c>
      <c r="I319" s="1" t="n">
        <v>381</v>
      </c>
      <c r="J319" s="32" t="n">
        <v>328.5</v>
      </c>
      <c r="K319" s="25" t="n">
        <v>206</v>
      </c>
      <c r="L319" s="32" t="n">
        <v>183.75</v>
      </c>
      <c r="M319" s="4" t="n">
        <v>0.26</v>
      </c>
      <c r="N319" s="24" t="n">
        <v>0.188033619819071</v>
      </c>
      <c r="O319" s="25" t="n">
        <v>275.8</v>
      </c>
      <c r="P319" s="25" t="n">
        <v>44.5921247958736</v>
      </c>
      <c r="Q319" s="26" t="n">
        <v>0.106860667703036</v>
      </c>
      <c r="R319" s="24" t="n">
        <v>0.723206230073348</v>
      </c>
      <c r="S319" s="4" t="n">
        <v>0.235043578025519</v>
      </c>
      <c r="T319" s="25" t="n">
        <v>275.8</v>
      </c>
      <c r="U319" s="25" t="n">
        <v>79</v>
      </c>
      <c r="V319" s="26" t="n">
        <v>0.0460656703626332</v>
      </c>
      <c r="W319" s="24" t="n">
        <f aca="false">(I319-H319)/(J319-H319)</f>
        <v>1.28357876982672</v>
      </c>
      <c r="X319" s="24" t="n">
        <f aca="false">0.5*(1+(I319-K319-L319)/(I319-K319))</f>
        <v>0.475</v>
      </c>
      <c r="Y319" s="24" t="n">
        <v>0.904013761636611</v>
      </c>
      <c r="Z319" s="24" t="n">
        <v>0.218583547805774</v>
      </c>
      <c r="AA319" s="25" t="n">
        <v>275.8</v>
      </c>
      <c r="AB319" s="25" t="n">
        <v>44.5921247958736</v>
      </c>
      <c r="AC319" s="26" t="n">
        <v>0.106860667703036</v>
      </c>
      <c r="AD319" s="24" t="n">
        <v>0.840705953099131</v>
      </c>
      <c r="AE319" s="24" t="n">
        <v>0.240875648769112</v>
      </c>
      <c r="AF319" s="24" t="n">
        <v>0.415571013803529</v>
      </c>
      <c r="AG319" s="25" t="n">
        <v>275.8</v>
      </c>
      <c r="AH319" s="26" t="n">
        <v>0.0317</v>
      </c>
      <c r="AI319" s="24" t="n">
        <v>0.926444802958124</v>
      </c>
    </row>
    <row r="320" customFormat="false" ht="14.25" hidden="false" customHeight="false" outlineLevel="0" collapsed="false">
      <c r="A320" s="0" t="s">
        <v>99</v>
      </c>
      <c r="B320" s="1" t="n">
        <v>28.7</v>
      </c>
      <c r="C320" s="1" t="n">
        <v>2</v>
      </c>
      <c r="D320" s="2" t="n">
        <v>50.6</v>
      </c>
      <c r="E320" s="4" t="n">
        <v>2.52444806810338</v>
      </c>
      <c r="F320" s="1" t="n">
        <v>38.2</v>
      </c>
      <c r="G320" s="1" t="n">
        <v>52.5</v>
      </c>
      <c r="H320" s="3" t="n">
        <v>146.0713467674</v>
      </c>
      <c r="I320" s="1" t="n">
        <v>381</v>
      </c>
      <c r="J320" s="32" t="n">
        <v>328.5</v>
      </c>
      <c r="K320" s="25" t="n">
        <v>207</v>
      </c>
      <c r="L320" s="32" t="n">
        <v>183.75</v>
      </c>
      <c r="M320" s="4" t="n">
        <v>0.17</v>
      </c>
      <c r="N320" s="24" t="n">
        <v>0.141859120010489</v>
      </c>
      <c r="O320" s="25" t="n">
        <v>213.428114144873</v>
      </c>
      <c r="P320" s="25" t="n">
        <v>40.795707998733</v>
      </c>
      <c r="Q320" s="26" t="n">
        <v>0.108091118039397</v>
      </c>
      <c r="R320" s="24" t="n">
        <v>0.834465411826405</v>
      </c>
      <c r="S320" s="4" t="n">
        <v>0.175324609891476</v>
      </c>
      <c r="T320" s="25" t="n">
        <v>213.428114144873</v>
      </c>
      <c r="U320" s="25" t="n">
        <v>72</v>
      </c>
      <c r="V320" s="26" t="n">
        <v>0.0460656703626332</v>
      </c>
      <c r="W320" s="24" t="n">
        <f aca="false">(I320-H320)/(J320-H320)</f>
        <v>1.28778373939461</v>
      </c>
      <c r="X320" s="24" t="n">
        <f aca="false">0.5*(1+(I320-K320-L320)/(I320-K320))</f>
        <v>0.47198275862069</v>
      </c>
      <c r="Y320" s="24" t="n">
        <v>1.03132123465574</v>
      </c>
      <c r="Z320" s="24" t="n">
        <v>0.165348711149494</v>
      </c>
      <c r="AA320" s="25" t="n">
        <v>213.428114144873</v>
      </c>
      <c r="AB320" s="25" t="n">
        <v>40.795707998733</v>
      </c>
      <c r="AC320" s="26" t="n">
        <v>0.108091118039397</v>
      </c>
      <c r="AD320" s="24" t="n">
        <v>0.972639477349965</v>
      </c>
      <c r="AE320" s="24" t="n">
        <v>0.196332447238008</v>
      </c>
      <c r="AF320" s="24" t="n">
        <v>0.306408686117576</v>
      </c>
      <c r="AG320" s="25" t="n">
        <v>224.798518343155</v>
      </c>
      <c r="AH320" s="26" t="n">
        <v>0.0317</v>
      </c>
      <c r="AI320" s="24" t="n">
        <v>1.15489674845887</v>
      </c>
    </row>
    <row r="321" customFormat="false" ht="14.25" hidden="false" customHeight="false" outlineLevel="0" collapsed="false">
      <c r="B321" s="1" t="n">
        <v>28.7</v>
      </c>
      <c r="C321" s="1" t="n">
        <v>2</v>
      </c>
      <c r="D321" s="2" t="n">
        <v>50.6</v>
      </c>
      <c r="E321" s="4" t="n">
        <v>2.52444806810338</v>
      </c>
      <c r="F321" s="1" t="n">
        <v>38.2</v>
      </c>
      <c r="G321" s="1" t="n">
        <v>52.5</v>
      </c>
      <c r="H321" s="3" t="n">
        <v>146.0713467674</v>
      </c>
      <c r="I321" s="1" t="n">
        <v>381</v>
      </c>
      <c r="J321" s="32" t="n">
        <v>328.5</v>
      </c>
      <c r="K321" s="25" t="n">
        <v>207</v>
      </c>
      <c r="L321" s="32" t="n">
        <v>183.75</v>
      </c>
      <c r="M321" s="4" t="n">
        <v>0.2</v>
      </c>
      <c r="N321" s="24" t="n">
        <v>0.166329728903398</v>
      </c>
      <c r="O321" s="25" t="n">
        <v>246.021989101103</v>
      </c>
      <c r="P321" s="25" t="n">
        <v>40.795707998733</v>
      </c>
      <c r="Q321" s="26" t="n">
        <v>0.108091118039397</v>
      </c>
      <c r="R321" s="24" t="n">
        <v>0.831648644516991</v>
      </c>
      <c r="S321" s="4" t="n">
        <v>0.208922974031405</v>
      </c>
      <c r="T321" s="25" t="n">
        <v>246.021989101103</v>
      </c>
      <c r="U321" s="25" t="n">
        <v>72</v>
      </c>
      <c r="V321" s="26" t="n">
        <v>0.0460656703626332</v>
      </c>
      <c r="W321" s="24" t="n">
        <f aca="false">(I321-H321)/(J321-H321)</f>
        <v>1.28778373939461</v>
      </c>
      <c r="X321" s="24" t="n">
        <f aca="false">0.5*(1+(I321-K321-L321)/(I321-K321))</f>
        <v>0.47198275862069</v>
      </c>
      <c r="Y321" s="24" t="n">
        <v>1.04461487015703</v>
      </c>
      <c r="Z321" s="24" t="n">
        <v>0.193871259725763</v>
      </c>
      <c r="AA321" s="25" t="n">
        <v>246.021989101103</v>
      </c>
      <c r="AB321" s="25" t="n">
        <v>40.795707998733</v>
      </c>
      <c r="AC321" s="26" t="n">
        <v>0.108091118039397</v>
      </c>
      <c r="AD321" s="24" t="n">
        <v>0.969356298628814</v>
      </c>
      <c r="AE321" s="24" t="n">
        <v>0.226315541362067</v>
      </c>
      <c r="AF321" s="24" t="n">
        <v>0.407141778668144</v>
      </c>
      <c r="AG321" s="25" t="n">
        <v>259.128835258427</v>
      </c>
      <c r="AH321" s="26" t="n">
        <v>0.0317</v>
      </c>
      <c r="AI321" s="24" t="n">
        <v>1.13157770681033</v>
      </c>
    </row>
    <row r="322" customFormat="false" ht="14.25" hidden="false" customHeight="false" outlineLevel="0" collapsed="false">
      <c r="B322" s="1" t="n">
        <v>28.7</v>
      </c>
      <c r="C322" s="1" t="n">
        <v>2</v>
      </c>
      <c r="D322" s="2" t="n">
        <v>50.6</v>
      </c>
      <c r="E322" s="4" t="n">
        <v>2.52444806810338</v>
      </c>
      <c r="F322" s="1" t="n">
        <v>38.2</v>
      </c>
      <c r="G322" s="1" t="n">
        <v>52.5</v>
      </c>
      <c r="H322" s="3" t="n">
        <v>146.0713467674</v>
      </c>
      <c r="I322" s="1" t="n">
        <v>381</v>
      </c>
      <c r="J322" s="32" t="n">
        <v>328.5</v>
      </c>
      <c r="K322" s="25" t="n">
        <v>207</v>
      </c>
      <c r="L322" s="32" t="n">
        <v>183.75</v>
      </c>
      <c r="M322" s="4" t="n">
        <v>0.24</v>
      </c>
      <c r="N322" s="24" t="n">
        <v>0.188686262432912</v>
      </c>
      <c r="O322" s="25" t="n">
        <v>275.8</v>
      </c>
      <c r="P322" s="25" t="n">
        <v>40.795707998733</v>
      </c>
      <c r="Q322" s="26" t="n">
        <v>0.108091118039397</v>
      </c>
      <c r="R322" s="24" t="n">
        <v>0.786192760137131</v>
      </c>
      <c r="S322" s="4" t="n">
        <v>0.239618693852614</v>
      </c>
      <c r="T322" s="25" t="n">
        <v>275.8</v>
      </c>
      <c r="U322" s="25" t="n">
        <v>72</v>
      </c>
      <c r="V322" s="26" t="n">
        <v>0.0460656703626332</v>
      </c>
      <c r="W322" s="24" t="n">
        <f aca="false">(I322-H322)/(J322-H322)</f>
        <v>1.28778373939461</v>
      </c>
      <c r="X322" s="24" t="n">
        <f aca="false">0.5*(1+(I322-K322-L322)/(I322-K322))</f>
        <v>0.47198275862069</v>
      </c>
      <c r="Y322" s="24" t="n">
        <v>0.998411224385891</v>
      </c>
      <c r="Z322" s="24" t="n">
        <v>0.219929676023581</v>
      </c>
      <c r="AA322" s="25" t="n">
        <v>275.8</v>
      </c>
      <c r="AB322" s="25" t="n">
        <v>40.795707998733</v>
      </c>
      <c r="AC322" s="26" t="n">
        <v>0.108091118039397</v>
      </c>
      <c r="AD322" s="24" t="n">
        <v>0.916373650098254</v>
      </c>
      <c r="AE322" s="24" t="n">
        <v>0.240875648769112</v>
      </c>
      <c r="AF322" s="24" t="n">
        <v>0.46121423965018</v>
      </c>
      <c r="AG322" s="25" t="n">
        <v>275.8</v>
      </c>
      <c r="AH322" s="26" t="n">
        <v>0.0317</v>
      </c>
      <c r="AI322" s="24" t="n">
        <v>1.00364853653797</v>
      </c>
    </row>
    <row r="323" customFormat="false" ht="14.25" hidden="false" customHeight="false" outlineLevel="0" collapsed="false">
      <c r="A323" s="0" t="s">
        <v>100</v>
      </c>
      <c r="B323" s="1" t="n">
        <v>32.3</v>
      </c>
      <c r="C323" s="1" t="n">
        <v>1</v>
      </c>
      <c r="D323" s="2" t="n">
        <v>60</v>
      </c>
      <c r="E323" s="4" t="n">
        <v>2.53821845332793</v>
      </c>
      <c r="F323" s="1" t="n">
        <v>38.3</v>
      </c>
      <c r="G323" s="1" t="n">
        <v>54.4</v>
      </c>
      <c r="H323" s="3" t="n">
        <v>122.838831239211</v>
      </c>
      <c r="I323" s="1" t="n">
        <v>381</v>
      </c>
      <c r="J323" s="32" t="n">
        <v>326.6</v>
      </c>
      <c r="K323" s="25" t="n">
        <v>201</v>
      </c>
      <c r="L323" s="32" t="n">
        <v>190.4</v>
      </c>
      <c r="M323" s="4" t="n">
        <v>0.17</v>
      </c>
      <c r="N323" s="24" t="n">
        <v>0.149700588867436</v>
      </c>
      <c r="O323" s="25" t="n">
        <v>170.803299154682</v>
      </c>
      <c r="P323" s="25" t="n">
        <v>58.1327039569626</v>
      </c>
      <c r="Q323" s="26" t="n">
        <v>0.0624495439088793</v>
      </c>
      <c r="R323" s="24" t="n">
        <v>0.880591699220209</v>
      </c>
      <c r="S323" s="4" t="n">
        <v>0.143016253459017</v>
      </c>
      <c r="T323" s="25" t="n">
        <v>170.803299154682</v>
      </c>
      <c r="U323" s="25" t="n">
        <v>107</v>
      </c>
      <c r="V323" s="26" t="n">
        <v>0.0282248726262158</v>
      </c>
      <c r="W323" s="24" t="n">
        <f aca="false">(I323-H323)/(J323-H323)</f>
        <v>1.26697923029615</v>
      </c>
      <c r="X323" s="24" t="n">
        <f aca="false">0.5*(1+(I323-K323-L323)/(I323-K323))</f>
        <v>0.471111111111111</v>
      </c>
      <c r="Y323" s="24" t="n">
        <v>0.84127207917069</v>
      </c>
      <c r="Z323" s="24" t="n">
        <v>0.148256700196014</v>
      </c>
      <c r="AA323" s="25" t="n">
        <v>170.803299154682</v>
      </c>
      <c r="AB323" s="25" t="n">
        <v>58.1327039569626</v>
      </c>
      <c r="AC323" s="26" t="n">
        <v>0.0624495439088793</v>
      </c>
      <c r="AD323" s="24" t="n">
        <v>0.87209823644714</v>
      </c>
      <c r="AE323" s="24" t="n">
        <v>0.228471110416944</v>
      </c>
      <c r="AF323" s="24" t="n">
        <v>0.217737577891376</v>
      </c>
      <c r="AG323" s="25" t="n">
        <v>179.114426654924</v>
      </c>
      <c r="AH323" s="26" t="n">
        <v>0.0226</v>
      </c>
      <c r="AI323" s="24" t="n">
        <v>1.28080928171397</v>
      </c>
    </row>
    <row r="324" customFormat="false" ht="14.25" hidden="false" customHeight="false" outlineLevel="0" collapsed="false">
      <c r="B324" s="1" t="n">
        <v>32.3</v>
      </c>
      <c r="C324" s="1" t="n">
        <v>1</v>
      </c>
      <c r="D324" s="2" t="n">
        <v>60</v>
      </c>
      <c r="E324" s="4" t="n">
        <v>2.53821845332793</v>
      </c>
      <c r="F324" s="1" t="n">
        <v>38.3</v>
      </c>
      <c r="G324" s="1" t="n">
        <v>54.4</v>
      </c>
      <c r="H324" s="3" t="n">
        <v>122.838831239211</v>
      </c>
      <c r="I324" s="1" t="n">
        <v>381</v>
      </c>
      <c r="J324" s="32" t="n">
        <v>326.6</v>
      </c>
      <c r="K324" s="25" t="n">
        <v>201</v>
      </c>
      <c r="L324" s="32" t="n">
        <v>190.4</v>
      </c>
      <c r="M324" s="4" t="n">
        <v>0.23</v>
      </c>
      <c r="N324" s="24" t="n">
        <v>0.193136706896947</v>
      </c>
      <c r="O324" s="25" t="n">
        <v>210.242000847909</v>
      </c>
      <c r="P324" s="25" t="n">
        <v>58.1327039569626</v>
      </c>
      <c r="Q324" s="26" t="n">
        <v>0.0624495439088793</v>
      </c>
      <c r="R324" s="24" t="n">
        <v>0.839724812595423</v>
      </c>
      <c r="S324" s="4" t="n">
        <v>0.196050625318856</v>
      </c>
      <c r="T324" s="25" t="n">
        <v>210.242000847909</v>
      </c>
      <c r="U324" s="25" t="n">
        <v>107</v>
      </c>
      <c r="V324" s="26" t="n">
        <v>0.0282248726262158</v>
      </c>
      <c r="W324" s="24" t="n">
        <f aca="false">(I324-H324)/(J324-H324)</f>
        <v>1.26697923029615</v>
      </c>
      <c r="X324" s="24" t="n">
        <f aca="false">0.5*(1+(I324-K324-L324)/(I324-K324))</f>
        <v>0.471111111111111</v>
      </c>
      <c r="Y324" s="24" t="n">
        <v>0.852394023125462</v>
      </c>
      <c r="Z324" s="24" t="n">
        <v>0.19127386918045</v>
      </c>
      <c r="AA324" s="25" t="n">
        <v>210.242000847909</v>
      </c>
      <c r="AB324" s="25" t="n">
        <v>58.1327039569626</v>
      </c>
      <c r="AC324" s="26" t="n">
        <v>0.0624495439088793</v>
      </c>
      <c r="AD324" s="24" t="n">
        <v>0.831625518175868</v>
      </c>
      <c r="AE324" s="24" t="n">
        <v>0.281225383981028</v>
      </c>
      <c r="AF324" s="24" t="n">
        <v>0.32989811911982</v>
      </c>
      <c r="AG324" s="25" t="n">
        <v>220.472178388979</v>
      </c>
      <c r="AH324" s="26" t="n">
        <v>0.0226</v>
      </c>
      <c r="AI324" s="24" t="n">
        <v>1.22271906078708</v>
      </c>
    </row>
    <row r="325" customFormat="false" ht="14.25" hidden="false" customHeight="false" outlineLevel="0" collapsed="false">
      <c r="B325" s="1" t="n">
        <v>32.3</v>
      </c>
      <c r="C325" s="1" t="n">
        <v>1</v>
      </c>
      <c r="D325" s="2" t="n">
        <v>60</v>
      </c>
      <c r="E325" s="4" t="n">
        <v>2.53821845332793</v>
      </c>
      <c r="F325" s="1" t="n">
        <v>38.3</v>
      </c>
      <c r="G325" s="1" t="n">
        <v>54.4</v>
      </c>
      <c r="H325" s="3" t="n">
        <v>122.838831239211</v>
      </c>
      <c r="I325" s="1" t="n">
        <v>381</v>
      </c>
      <c r="J325" s="32" t="n">
        <v>326.6</v>
      </c>
      <c r="K325" s="25" t="n">
        <v>201</v>
      </c>
      <c r="L325" s="32" t="n">
        <v>190.4</v>
      </c>
      <c r="M325" s="4" t="n">
        <v>0.27</v>
      </c>
      <c r="N325" s="24" t="n">
        <v>0.231567175636813</v>
      </c>
      <c r="O325" s="25" t="n">
        <v>245.135722048608</v>
      </c>
      <c r="P325" s="25" t="n">
        <v>58.1327039569626</v>
      </c>
      <c r="Q325" s="26" t="n">
        <v>0.0624495439088793</v>
      </c>
      <c r="R325" s="24" t="n">
        <v>0.85765620606227</v>
      </c>
      <c r="S325" s="4" t="n">
        <v>0.242973229417896</v>
      </c>
      <c r="T325" s="25" t="n">
        <v>245.135722048608</v>
      </c>
      <c r="U325" s="25" t="n">
        <v>107</v>
      </c>
      <c r="V325" s="26" t="n">
        <v>0.0282248726262158</v>
      </c>
      <c r="W325" s="24" t="n">
        <f aca="false">(I325-H325)/(J325-H325)</f>
        <v>1.26697923029615</v>
      </c>
      <c r="X325" s="24" t="n">
        <f aca="false">0.5*(1+(I325-K325-L325)/(I325-K325))</f>
        <v>0.471111111111111</v>
      </c>
      <c r="Y325" s="24" t="n">
        <v>0.899900849695911</v>
      </c>
      <c r="Z325" s="24" t="n">
        <v>0.229333669248463</v>
      </c>
      <c r="AA325" s="25" t="n">
        <v>245.135722048608</v>
      </c>
      <c r="AB325" s="25" t="n">
        <v>58.1327039569626</v>
      </c>
      <c r="AC325" s="26" t="n">
        <v>0.0624495439088793</v>
      </c>
      <c r="AD325" s="24" t="n">
        <v>0.849383960179494</v>
      </c>
      <c r="AE325" s="24" t="n">
        <v>0.327900168770069</v>
      </c>
      <c r="AF325" s="24" t="n">
        <v>0.448491362118943</v>
      </c>
      <c r="AG325" s="25" t="n">
        <v>257.063795164834</v>
      </c>
      <c r="AH325" s="26" t="n">
        <v>0.0226</v>
      </c>
      <c r="AI325" s="24" t="n">
        <v>1.21444506951877</v>
      </c>
    </row>
    <row r="326" customFormat="false" ht="14.25" hidden="false" customHeight="false" outlineLevel="0" collapsed="false">
      <c r="B326" s="1" t="n">
        <v>32.3</v>
      </c>
      <c r="C326" s="1" t="n">
        <v>1</v>
      </c>
      <c r="D326" s="2" t="n">
        <v>60</v>
      </c>
      <c r="E326" s="4" t="n">
        <v>2.53821845332793</v>
      </c>
      <c r="F326" s="1" t="n">
        <v>38.3</v>
      </c>
      <c r="G326" s="1" t="n">
        <v>54.4</v>
      </c>
      <c r="H326" s="3" t="n">
        <v>122.838831239211</v>
      </c>
      <c r="I326" s="1" t="n">
        <v>381</v>
      </c>
      <c r="J326" s="32" t="n">
        <v>326.6</v>
      </c>
      <c r="K326" s="25" t="n">
        <v>201</v>
      </c>
      <c r="L326" s="32" t="n">
        <v>190.4</v>
      </c>
      <c r="M326" s="4" t="n">
        <v>0.31</v>
      </c>
      <c r="N326" s="24" t="n">
        <v>0.259017510451002</v>
      </c>
      <c r="O326" s="25" t="n">
        <v>270.059808620536</v>
      </c>
      <c r="P326" s="25" t="n">
        <v>58.1327039569626</v>
      </c>
      <c r="Q326" s="26" t="n">
        <v>0.0624495439088793</v>
      </c>
      <c r="R326" s="24" t="n">
        <v>0.835540356293556</v>
      </c>
      <c r="S326" s="4" t="n">
        <v>0.276489375202924</v>
      </c>
      <c r="T326" s="25" t="n">
        <v>270.059808620536</v>
      </c>
      <c r="U326" s="25" t="n">
        <v>107</v>
      </c>
      <c r="V326" s="26" t="n">
        <v>0.0282248726262158</v>
      </c>
      <c r="W326" s="24" t="n">
        <f aca="false">(I326-H326)/(J326-H326)</f>
        <v>1.26697923029615</v>
      </c>
      <c r="X326" s="24" t="n">
        <f aca="false">0.5*(1+(I326-K326-L326)/(I326-K326))</f>
        <v>0.471111111111111</v>
      </c>
      <c r="Y326" s="24" t="n">
        <v>0.891901210332014</v>
      </c>
      <c r="Z326" s="24" t="n">
        <v>0.256519240725616</v>
      </c>
      <c r="AA326" s="25" t="n">
        <v>270.059808620536</v>
      </c>
      <c r="AB326" s="25" t="n">
        <v>58.1327039569626</v>
      </c>
      <c r="AC326" s="26" t="n">
        <v>0.0624495439088793</v>
      </c>
      <c r="AD326" s="24" t="n">
        <v>0.827481421695535</v>
      </c>
      <c r="AE326" s="24" t="n">
        <v>0.351799313041326</v>
      </c>
      <c r="AF326" s="24" t="n">
        <v>0.516250846474078</v>
      </c>
      <c r="AG326" s="25" t="n">
        <v>275.8</v>
      </c>
      <c r="AH326" s="26" t="n">
        <v>0.0226</v>
      </c>
      <c r="AI326" s="24" t="n">
        <v>1.1348364936817</v>
      </c>
    </row>
    <row r="327" customFormat="false" ht="14.25" hidden="false" customHeight="false" outlineLevel="0" collapsed="false">
      <c r="B327" s="1" t="n">
        <v>32.3</v>
      </c>
      <c r="C327" s="1" t="n">
        <v>1</v>
      </c>
      <c r="D327" s="2" t="n">
        <v>60</v>
      </c>
      <c r="E327" s="4" t="n">
        <v>2.53821845332793</v>
      </c>
      <c r="F327" s="1" t="n">
        <v>38.3</v>
      </c>
      <c r="G327" s="1" t="n">
        <v>54.4</v>
      </c>
      <c r="H327" s="3" t="n">
        <v>122.838831239211</v>
      </c>
      <c r="I327" s="1" t="n">
        <v>381</v>
      </c>
      <c r="J327" s="32" t="n">
        <v>326.6</v>
      </c>
      <c r="K327" s="25" t="n">
        <v>201</v>
      </c>
      <c r="L327" s="32" t="n">
        <v>190.4</v>
      </c>
      <c r="M327" s="4" t="n">
        <v>0.35</v>
      </c>
      <c r="N327" s="24" t="n">
        <v>0.265339514461424</v>
      </c>
      <c r="O327" s="25" t="n">
        <v>275.8</v>
      </c>
      <c r="P327" s="25" t="n">
        <v>58.1327039569626</v>
      </c>
      <c r="Q327" s="26" t="n">
        <v>0.0624495439088793</v>
      </c>
      <c r="R327" s="24" t="n">
        <v>0.758112898461211</v>
      </c>
      <c r="S327" s="4" t="n">
        <v>0.284208377885445</v>
      </c>
      <c r="T327" s="25" t="n">
        <v>275.8</v>
      </c>
      <c r="U327" s="25" t="n">
        <v>107</v>
      </c>
      <c r="V327" s="26" t="n">
        <v>0.0282248726262158</v>
      </c>
      <c r="W327" s="24" t="n">
        <f aca="false">(I327-H327)/(J327-H327)</f>
        <v>1.26697923029615</v>
      </c>
      <c r="X327" s="24" t="n">
        <f aca="false">0.5*(1+(I327-K327-L327)/(I327-K327))</f>
        <v>0.471111111111111</v>
      </c>
      <c r="Y327" s="24" t="n">
        <v>0.812023936815557</v>
      </c>
      <c r="Z327" s="24" t="n">
        <v>0.262780267888582</v>
      </c>
      <c r="AA327" s="25" t="n">
        <v>275.8</v>
      </c>
      <c r="AB327" s="25" t="n">
        <v>58.1327039569626</v>
      </c>
      <c r="AC327" s="26" t="n">
        <v>0.0624495439088793</v>
      </c>
      <c r="AD327" s="24" t="n">
        <v>0.750800765395949</v>
      </c>
      <c r="AE327" s="24" t="n">
        <v>0.351799313041326</v>
      </c>
      <c r="AF327" s="24" t="n">
        <v>0.516250846474078</v>
      </c>
      <c r="AG327" s="25" t="n">
        <v>275.8</v>
      </c>
      <c r="AH327" s="26" t="n">
        <v>0.0226</v>
      </c>
      <c r="AI327" s="24" t="n">
        <v>1.00514089440379</v>
      </c>
    </row>
    <row r="328" customFormat="false" ht="14.25" hidden="false" customHeight="false" outlineLevel="0" collapsed="false">
      <c r="A328" s="0" t="s">
        <v>101</v>
      </c>
      <c r="B328" s="1" t="n">
        <v>32.3</v>
      </c>
      <c r="C328" s="1" t="n">
        <v>1</v>
      </c>
      <c r="D328" s="2" t="n">
        <v>60</v>
      </c>
      <c r="E328" s="4" t="n">
        <v>2.81086951894943</v>
      </c>
      <c r="F328" s="1" t="n">
        <v>38.3</v>
      </c>
      <c r="G328" s="1" t="n">
        <v>54.4</v>
      </c>
      <c r="H328" s="3" t="n">
        <v>120.446116576203</v>
      </c>
      <c r="I328" s="1" t="n">
        <v>381</v>
      </c>
      <c r="J328" s="32" t="n">
        <v>326.6</v>
      </c>
      <c r="K328" s="25" t="n">
        <v>200</v>
      </c>
      <c r="L328" s="32" t="n">
        <v>190.4</v>
      </c>
      <c r="M328" s="4" t="n">
        <v>0.19</v>
      </c>
      <c r="N328" s="24" t="n">
        <v>0.146290244209178</v>
      </c>
      <c r="O328" s="25" t="n">
        <v>170.327728419202</v>
      </c>
      <c r="P328" s="25" t="n">
        <v>63.8311467874253</v>
      </c>
      <c r="Q328" s="26" t="n">
        <v>0.061876058158272</v>
      </c>
      <c r="R328" s="24" t="n">
        <v>0.769948653732517</v>
      </c>
      <c r="S328" s="4" t="n">
        <v>0.133769063769031</v>
      </c>
      <c r="T328" s="25" t="n">
        <v>170.327728419202</v>
      </c>
      <c r="U328" s="25" t="n">
        <v>118</v>
      </c>
      <c r="V328" s="26" t="n">
        <v>0.0282248726262158</v>
      </c>
      <c r="W328" s="24" t="n">
        <f aca="false">(I328-H328)/(J328-H328)</f>
        <v>1.26388054930873</v>
      </c>
      <c r="X328" s="24" t="n">
        <f aca="false">0.5*(1+(I328-K328-L328)/(I328-K328))</f>
        <v>0.474033149171271</v>
      </c>
      <c r="Y328" s="24" t="n">
        <v>0.704047704047533</v>
      </c>
      <c r="Z328" s="24" t="n">
        <v>0.144546658684668</v>
      </c>
      <c r="AA328" s="25" t="n">
        <v>170.327728419202</v>
      </c>
      <c r="AB328" s="25" t="n">
        <v>63.8311467874253</v>
      </c>
      <c r="AC328" s="26" t="n">
        <v>0.061876058158272</v>
      </c>
      <c r="AD328" s="24" t="n">
        <v>0.760771887814041</v>
      </c>
      <c r="AE328" s="24" t="n">
        <v>0.228471110416944</v>
      </c>
      <c r="AF328" s="24" t="n">
        <v>0.196617286736731</v>
      </c>
      <c r="AG328" s="25" t="n">
        <v>179.114426654924</v>
      </c>
      <c r="AH328" s="26" t="n">
        <v>0.0226</v>
      </c>
      <c r="AI328" s="24" t="n">
        <v>1.03482782493016</v>
      </c>
    </row>
    <row r="329" customFormat="false" ht="14.25" hidden="false" customHeight="false" outlineLevel="0" collapsed="false">
      <c r="B329" s="1" t="n">
        <v>32.3</v>
      </c>
      <c r="C329" s="1" t="n">
        <v>1</v>
      </c>
      <c r="D329" s="2" t="n">
        <v>60</v>
      </c>
      <c r="E329" s="4" t="n">
        <v>2.81086951894943</v>
      </c>
      <c r="F329" s="1" t="n">
        <v>38.3</v>
      </c>
      <c r="G329" s="1" t="n">
        <v>54.4</v>
      </c>
      <c r="H329" s="3" t="n">
        <v>120.446116576203</v>
      </c>
      <c r="I329" s="1" t="n">
        <v>381</v>
      </c>
      <c r="J329" s="32" t="n">
        <v>326.6</v>
      </c>
      <c r="K329" s="25" t="n">
        <v>200</v>
      </c>
      <c r="L329" s="32" t="n">
        <v>190.4</v>
      </c>
      <c r="M329" s="4" t="n">
        <v>0.24</v>
      </c>
      <c r="N329" s="24" t="n">
        <v>0.18986727219111</v>
      </c>
      <c r="O329" s="25" t="n">
        <v>209.656620217284</v>
      </c>
      <c r="P329" s="25" t="n">
        <v>63.8311467874253</v>
      </c>
      <c r="Q329" s="26" t="n">
        <v>0.061876058158272</v>
      </c>
      <c r="R329" s="24" t="n">
        <v>0.791113634129624</v>
      </c>
      <c r="S329" s="4" t="n">
        <v>0.186626082364968</v>
      </c>
      <c r="T329" s="25" t="n">
        <v>209.656620217284</v>
      </c>
      <c r="U329" s="25" t="n">
        <v>118</v>
      </c>
      <c r="V329" s="26" t="n">
        <v>0.0282248726262158</v>
      </c>
      <c r="W329" s="24" t="n">
        <f aca="false">(I329-H329)/(J329-H329)</f>
        <v>1.26388054930873</v>
      </c>
      <c r="X329" s="24" t="n">
        <f aca="false">0.5*(1+(I329-K329-L329)/(I329-K329))</f>
        <v>0.474033149171271</v>
      </c>
      <c r="Y329" s="24" t="n">
        <v>0.7776086765207</v>
      </c>
      <c r="Z329" s="24" t="n">
        <v>0.187604306337438</v>
      </c>
      <c r="AA329" s="25" t="n">
        <v>209.656620217284</v>
      </c>
      <c r="AB329" s="25" t="n">
        <v>63.8311467874253</v>
      </c>
      <c r="AC329" s="26" t="n">
        <v>0.061876058158272</v>
      </c>
      <c r="AD329" s="24" t="n">
        <v>0.781684609739324</v>
      </c>
      <c r="AE329" s="24" t="n">
        <v>0.281225383981028</v>
      </c>
      <c r="AF329" s="24" t="n">
        <v>0.297898386254893</v>
      </c>
      <c r="AG329" s="25" t="n">
        <v>220.472178388979</v>
      </c>
      <c r="AH329" s="26" t="n">
        <v>0.0226</v>
      </c>
      <c r="AI329" s="24" t="n">
        <v>1.17177243325428</v>
      </c>
    </row>
    <row r="330" customFormat="false" ht="14.25" hidden="false" customHeight="false" outlineLevel="0" collapsed="false">
      <c r="B330" s="1" t="n">
        <v>32.3</v>
      </c>
      <c r="C330" s="1" t="n">
        <v>1</v>
      </c>
      <c r="D330" s="2" t="n">
        <v>60</v>
      </c>
      <c r="E330" s="4" t="n">
        <v>2.81086951894943</v>
      </c>
      <c r="F330" s="1" t="n">
        <v>38.3</v>
      </c>
      <c r="G330" s="1" t="n">
        <v>54.4</v>
      </c>
      <c r="H330" s="3" t="n">
        <v>120.446116576203</v>
      </c>
      <c r="I330" s="1" t="n">
        <v>381</v>
      </c>
      <c r="J330" s="32" t="n">
        <v>326.6</v>
      </c>
      <c r="K330" s="25" t="n">
        <v>200</v>
      </c>
      <c r="L330" s="32" t="n">
        <v>190.4</v>
      </c>
      <c r="M330" s="4" t="n">
        <v>0.29</v>
      </c>
      <c r="N330" s="24" t="n">
        <v>0.228422412189993</v>
      </c>
      <c r="O330" s="25" t="n">
        <v>244.453186194769</v>
      </c>
      <c r="P330" s="25" t="n">
        <v>63.8311467874253</v>
      </c>
      <c r="Q330" s="26" t="n">
        <v>0.061876058158272</v>
      </c>
      <c r="R330" s="24" t="n">
        <v>0.787663490310322</v>
      </c>
      <c r="S330" s="4" t="n">
        <v>0.233391771680332</v>
      </c>
      <c r="T330" s="25" t="n">
        <v>244.453186194769</v>
      </c>
      <c r="U330" s="25" t="n">
        <v>118</v>
      </c>
      <c r="V330" s="26" t="n">
        <v>0.0282248726262158</v>
      </c>
      <c r="W330" s="24" t="n">
        <f aca="false">(I330-H330)/(J330-H330)</f>
        <v>1.26388054930873</v>
      </c>
      <c r="X330" s="24" t="n">
        <f aca="false">0.5*(1+(I330-K330-L330)/(I330-K330))</f>
        <v>0.474033149171271</v>
      </c>
      <c r="Y330" s="24" t="n">
        <v>0.8047992126908</v>
      </c>
      <c r="Z330" s="24" t="n">
        <v>0.225699920245836</v>
      </c>
      <c r="AA330" s="25" t="n">
        <v>244.453186194769</v>
      </c>
      <c r="AB330" s="25" t="n">
        <v>63.8311467874253</v>
      </c>
      <c r="AC330" s="26" t="n">
        <v>0.061876058158272</v>
      </c>
      <c r="AD330" s="24" t="n">
        <v>0.778275587054608</v>
      </c>
      <c r="AE330" s="24" t="n">
        <v>0.327900168770069</v>
      </c>
      <c r="AF330" s="24" t="n">
        <v>0.404988222973064</v>
      </c>
      <c r="AG330" s="25" t="n">
        <v>257.063795164834</v>
      </c>
      <c r="AH330" s="26" t="n">
        <v>0.0226</v>
      </c>
      <c r="AI330" s="24" t="n">
        <v>1.13069023713817</v>
      </c>
    </row>
    <row r="331" customFormat="false" ht="14.25" hidden="false" customHeight="false" outlineLevel="0" collapsed="false">
      <c r="B331" s="1" t="n">
        <v>32.3</v>
      </c>
      <c r="C331" s="1" t="n">
        <v>1</v>
      </c>
      <c r="D331" s="2" t="n">
        <v>60</v>
      </c>
      <c r="E331" s="4" t="n">
        <v>2.81086951894943</v>
      </c>
      <c r="F331" s="1" t="n">
        <v>38.3</v>
      </c>
      <c r="G331" s="1" t="n">
        <v>54.4</v>
      </c>
      <c r="H331" s="3" t="n">
        <v>120.446116576203</v>
      </c>
      <c r="I331" s="1" t="n">
        <v>381</v>
      </c>
      <c r="J331" s="32" t="n">
        <v>326.6</v>
      </c>
      <c r="K331" s="25" t="n">
        <v>200</v>
      </c>
      <c r="L331" s="32" t="n">
        <v>190.4</v>
      </c>
      <c r="M331" s="4" t="n">
        <v>0.36</v>
      </c>
      <c r="N331" s="24" t="n">
        <v>0.255961797903482</v>
      </c>
      <c r="O331" s="25" t="n">
        <v>269.307876178686</v>
      </c>
      <c r="P331" s="25" t="n">
        <v>63.8311467874253</v>
      </c>
      <c r="Q331" s="26" t="n">
        <v>0.061876058158272</v>
      </c>
      <c r="R331" s="24" t="n">
        <v>0.711004994176338</v>
      </c>
      <c r="S331" s="4" t="n">
        <v>0.266795835477021</v>
      </c>
      <c r="T331" s="25" t="n">
        <v>269.307876178686</v>
      </c>
      <c r="U331" s="25" t="n">
        <v>118</v>
      </c>
      <c r="V331" s="26" t="n">
        <v>0.0282248726262158</v>
      </c>
      <c r="W331" s="24" t="n">
        <f aca="false">(I331-H331)/(J331-H331)</f>
        <v>1.26388054930873</v>
      </c>
      <c r="X331" s="24" t="n">
        <f aca="false">0.5*(1+(I331-K331-L331)/(I331-K331))</f>
        <v>0.474033149171271</v>
      </c>
      <c r="Y331" s="24" t="n">
        <v>0.741099542991724</v>
      </c>
      <c r="Z331" s="24" t="n">
        <v>0.25291107303755</v>
      </c>
      <c r="AA331" s="25" t="n">
        <v>269.307876178686</v>
      </c>
      <c r="AB331" s="25" t="n">
        <v>63.8311467874253</v>
      </c>
      <c r="AC331" s="26" t="n">
        <v>0.061876058158272</v>
      </c>
      <c r="AD331" s="24" t="n">
        <v>0.702530758437638</v>
      </c>
      <c r="AE331" s="24" t="n">
        <v>0.351799313041326</v>
      </c>
      <c r="AF331" s="24" t="n">
        <v>0.46617511635916</v>
      </c>
      <c r="AG331" s="25" t="n">
        <v>275.8</v>
      </c>
      <c r="AH331" s="26" t="n">
        <v>0.0226</v>
      </c>
      <c r="AI331" s="24" t="n">
        <v>0.977220314003684</v>
      </c>
    </row>
    <row r="332" customFormat="false" ht="14.25" hidden="false" customHeight="false" outlineLevel="0" collapsed="false">
      <c r="B332" s="1" t="n">
        <v>32.3</v>
      </c>
      <c r="C332" s="1" t="n">
        <v>1</v>
      </c>
      <c r="D332" s="2" t="n">
        <v>60</v>
      </c>
      <c r="E332" s="4" t="n">
        <v>2.81086951894943</v>
      </c>
      <c r="F332" s="1" t="n">
        <v>38.3</v>
      </c>
      <c r="G332" s="1" t="n">
        <v>54.4</v>
      </c>
      <c r="H332" s="3" t="n">
        <v>120.446116576203</v>
      </c>
      <c r="I332" s="1" t="n">
        <v>381</v>
      </c>
      <c r="J332" s="32" t="n">
        <v>326.6</v>
      </c>
      <c r="K332" s="25" t="n">
        <v>200</v>
      </c>
      <c r="L332" s="32" t="n">
        <v>190.4</v>
      </c>
      <c r="M332" s="4" t="n">
        <v>0.42</v>
      </c>
      <c r="N332" s="24" t="n">
        <v>0.263155172760724</v>
      </c>
      <c r="O332" s="25" t="n">
        <v>275.8</v>
      </c>
      <c r="P332" s="25" t="n">
        <v>63.8311467874253</v>
      </c>
      <c r="Q332" s="26" t="n">
        <v>0.061876058158272</v>
      </c>
      <c r="R332" s="24" t="n">
        <v>0.626559935144582</v>
      </c>
      <c r="S332" s="4" t="n">
        <v>0.275521082842547</v>
      </c>
      <c r="T332" s="25" t="n">
        <v>275.8</v>
      </c>
      <c r="U332" s="25" t="n">
        <v>118</v>
      </c>
      <c r="V332" s="26" t="n">
        <v>0.0282248726262158</v>
      </c>
      <c r="W332" s="24" t="n">
        <f aca="false">(I332-H332)/(J332-H332)</f>
        <v>1.26388054930873</v>
      </c>
      <c r="X332" s="24" t="n">
        <f aca="false">0.5*(1+(I332-K332-L332)/(I332-K332))</f>
        <v>0.474033149171271</v>
      </c>
      <c r="Y332" s="24" t="n">
        <v>0.656002578196541</v>
      </c>
      <c r="Z332" s="24" t="n">
        <v>0.260018712415019</v>
      </c>
      <c r="AA332" s="25" t="n">
        <v>275.8</v>
      </c>
      <c r="AB332" s="25" t="n">
        <v>63.8311467874253</v>
      </c>
      <c r="AC332" s="26" t="n">
        <v>0.061876058158272</v>
      </c>
      <c r="AD332" s="24" t="n">
        <v>0.619092172416712</v>
      </c>
      <c r="AE332" s="24" t="n">
        <v>0.351799313041326</v>
      </c>
      <c r="AF332" s="24" t="n">
        <v>0.46617511635916</v>
      </c>
      <c r="AG332" s="25" t="n">
        <v>275.8</v>
      </c>
      <c r="AH332" s="26" t="n">
        <v>0.0226</v>
      </c>
      <c r="AI332" s="24" t="n">
        <v>0.837617412003157</v>
      </c>
    </row>
    <row r="333" customFormat="false" ht="14.25" hidden="false" customHeight="false" outlineLevel="0" collapsed="false">
      <c r="A333" s="0" t="s">
        <v>102</v>
      </c>
      <c r="B333" s="1" t="n">
        <v>28.7</v>
      </c>
      <c r="C333" s="1" t="n">
        <v>2</v>
      </c>
      <c r="D333" s="2" t="n">
        <v>50.6</v>
      </c>
      <c r="E333" s="4" t="n">
        <v>2.57657861790804</v>
      </c>
      <c r="F333" s="1" t="n">
        <v>38</v>
      </c>
      <c r="G333" s="1" t="n">
        <v>52.3</v>
      </c>
      <c r="H333" s="3" t="n">
        <v>196.926616139336</v>
      </c>
      <c r="I333" s="1" t="n">
        <v>584.2</v>
      </c>
      <c r="J333" s="32" t="n">
        <v>531.9</v>
      </c>
      <c r="K333" s="25" t="n">
        <v>311</v>
      </c>
      <c r="L333" s="32" t="n">
        <v>183.05</v>
      </c>
      <c r="M333" s="4" t="n">
        <v>0.18</v>
      </c>
      <c r="N333" s="24" t="n">
        <v>0.147279370026866</v>
      </c>
      <c r="O333" s="25" t="n">
        <v>183.230305477513</v>
      </c>
      <c r="P333" s="25" t="n">
        <v>56.9148495044671</v>
      </c>
      <c r="Q333" s="26" t="n">
        <v>0.0655704777184944</v>
      </c>
      <c r="R333" s="24" t="n">
        <v>0.81821872237148</v>
      </c>
      <c r="S333" s="4" t="n">
        <v>0.148598812442692</v>
      </c>
      <c r="T333" s="25" t="n">
        <v>183.230305477513</v>
      </c>
      <c r="U333" s="25" t="n">
        <v>73</v>
      </c>
      <c r="V333" s="26" t="n">
        <v>0.0462418297139244</v>
      </c>
      <c r="W333" s="24" t="n">
        <f aca="false">(I333-H333)/(J333-H333)</f>
        <v>1.15613180783866</v>
      </c>
      <c r="X333" s="24" t="n">
        <f aca="false">0.5*(1+(I333-K333-L333)/(I333-K333))</f>
        <v>0.664989019033675</v>
      </c>
      <c r="Y333" s="24" t="n">
        <v>0.825548958014955</v>
      </c>
      <c r="Z333" s="24" t="n">
        <v>0.151771186725589</v>
      </c>
      <c r="AA333" s="25" t="n">
        <v>183.230305477513</v>
      </c>
      <c r="AB333" s="25" t="n">
        <v>56.9148495044671</v>
      </c>
      <c r="AC333" s="26" t="n">
        <v>0.0655704777184944</v>
      </c>
      <c r="AD333" s="24" t="n">
        <v>0.843173259586607</v>
      </c>
      <c r="AE333" s="24" t="n">
        <v>0.167726414997217</v>
      </c>
      <c r="AF333" s="24" t="n">
        <v>0.219341681269148</v>
      </c>
      <c r="AG333" s="25" t="n">
        <v>192.150699986432</v>
      </c>
      <c r="AH333" s="26" t="n">
        <v>0.0317</v>
      </c>
      <c r="AI333" s="24" t="n">
        <v>0.931813416651206</v>
      </c>
    </row>
    <row r="334" customFormat="false" ht="14.25" hidden="false" customHeight="false" outlineLevel="0" collapsed="false">
      <c r="B334" s="1" t="n">
        <v>28.7</v>
      </c>
      <c r="C334" s="1" t="n">
        <v>2</v>
      </c>
      <c r="D334" s="2" t="n">
        <v>50.6</v>
      </c>
      <c r="E334" s="4" t="n">
        <v>2.57657861790804</v>
      </c>
      <c r="F334" s="1" t="n">
        <v>38</v>
      </c>
      <c r="G334" s="1" t="n">
        <v>52.3</v>
      </c>
      <c r="H334" s="3" t="n">
        <v>196.926616139336</v>
      </c>
      <c r="I334" s="1" t="n">
        <v>584.2</v>
      </c>
      <c r="J334" s="32" t="n">
        <v>531.9</v>
      </c>
      <c r="K334" s="25" t="n">
        <v>311</v>
      </c>
      <c r="L334" s="32" t="n">
        <v>183.05</v>
      </c>
      <c r="M334" s="4" t="n">
        <v>0.22</v>
      </c>
      <c r="N334" s="24" t="n">
        <v>0.183496267696468</v>
      </c>
      <c r="O334" s="25" t="n">
        <v>219.890332297519</v>
      </c>
      <c r="P334" s="25" t="n">
        <v>56.9148495044671</v>
      </c>
      <c r="Q334" s="26" t="n">
        <v>0.0655704777184944</v>
      </c>
      <c r="R334" s="24" t="n">
        <v>0.834073944074853</v>
      </c>
      <c r="S334" s="4" t="n">
        <v>0.187726687524044</v>
      </c>
      <c r="T334" s="25" t="n">
        <v>219.890332297519</v>
      </c>
      <c r="U334" s="25" t="n">
        <v>73</v>
      </c>
      <c r="V334" s="26" t="n">
        <v>0.0462418297139244</v>
      </c>
      <c r="W334" s="24" t="n">
        <f aca="false">(I334-H334)/(J334-H334)</f>
        <v>1.15613180783866</v>
      </c>
      <c r="X334" s="24" t="n">
        <f aca="false">0.5*(1+(I334-K334-L334)/(I334-K334))</f>
        <v>0.664989019033675</v>
      </c>
      <c r="Y334" s="24" t="n">
        <v>0.853303125109291</v>
      </c>
      <c r="Z334" s="24" t="n">
        <v>0.189092649587848</v>
      </c>
      <c r="AA334" s="25" t="n">
        <v>219.890332297519</v>
      </c>
      <c r="AB334" s="25" t="n">
        <v>56.9148495044671</v>
      </c>
      <c r="AC334" s="26" t="n">
        <v>0.0655704777184944</v>
      </c>
      <c r="AD334" s="24" t="n">
        <v>0.859512043581129</v>
      </c>
      <c r="AE334" s="24" t="n">
        <v>0.201284482022194</v>
      </c>
      <c r="AF334" s="24" t="n">
        <v>0.315892145780101</v>
      </c>
      <c r="AG334" s="25" t="n">
        <v>230.595485616339</v>
      </c>
      <c r="AH334" s="26" t="n">
        <v>0.0317</v>
      </c>
      <c r="AI334" s="24" t="n">
        <v>0.914929463737245</v>
      </c>
    </row>
    <row r="335" customFormat="false" ht="14.25" hidden="false" customHeight="false" outlineLevel="0" collapsed="false">
      <c r="B335" s="1" t="n">
        <v>28.7</v>
      </c>
      <c r="C335" s="1" t="n">
        <v>2</v>
      </c>
      <c r="D335" s="2" t="n">
        <v>50.6</v>
      </c>
      <c r="E335" s="4" t="n">
        <v>2.57657861790804</v>
      </c>
      <c r="F335" s="1" t="n">
        <v>38</v>
      </c>
      <c r="G335" s="1" t="n">
        <v>52.3</v>
      </c>
      <c r="H335" s="3" t="n">
        <v>196.926616139336</v>
      </c>
      <c r="I335" s="1" t="n">
        <v>584.2</v>
      </c>
      <c r="J335" s="32" t="n">
        <v>531.9</v>
      </c>
      <c r="K335" s="25" t="n">
        <v>311</v>
      </c>
      <c r="L335" s="32" t="n">
        <v>183.05</v>
      </c>
      <c r="M335" s="4" t="n">
        <v>0.27</v>
      </c>
      <c r="N335" s="24" t="n">
        <v>0.211435017327303</v>
      </c>
      <c r="O335" s="25" t="n">
        <v>248.170924415809</v>
      </c>
      <c r="P335" s="25" t="n">
        <v>56.9148495044671</v>
      </c>
      <c r="Q335" s="26" t="n">
        <v>0.0655704777184944</v>
      </c>
      <c r="R335" s="24" t="n">
        <v>0.783092656767788</v>
      </c>
      <c r="S335" s="4" t="n">
        <v>0.217911048301087</v>
      </c>
      <c r="T335" s="25" t="n">
        <v>248.170924415809</v>
      </c>
      <c r="U335" s="25" t="n">
        <v>73</v>
      </c>
      <c r="V335" s="26" t="n">
        <v>0.0462418297139244</v>
      </c>
      <c r="W335" s="24" t="n">
        <f aca="false">(I335-H335)/(J335-H335)</f>
        <v>1.15613180783866</v>
      </c>
      <c r="X335" s="24" t="n">
        <f aca="false">0.5*(1+(I335-K335-L335)/(I335-K335))</f>
        <v>0.664989019033675</v>
      </c>
      <c r="Y335" s="24" t="n">
        <v>0.807077956670693</v>
      </c>
      <c r="Z335" s="24" t="n">
        <v>0.217883492367305</v>
      </c>
      <c r="AA335" s="25" t="n">
        <v>248.170924415809</v>
      </c>
      <c r="AB335" s="25" t="n">
        <v>56.9148495044671</v>
      </c>
      <c r="AC335" s="26" t="n">
        <v>0.0655704777184944</v>
      </c>
      <c r="AD335" s="24" t="n">
        <v>0.806975897656686</v>
      </c>
      <c r="AE335" s="24" t="n">
        <v>0.227172133727176</v>
      </c>
      <c r="AF335" s="24" t="n">
        <v>0.40237255763656</v>
      </c>
      <c r="AG335" s="25" t="n">
        <v>260.252891673696</v>
      </c>
      <c r="AH335" s="26" t="n">
        <v>0.0317</v>
      </c>
      <c r="AI335" s="24" t="n">
        <v>0.841378273063615</v>
      </c>
    </row>
    <row r="336" customFormat="false" ht="14.25" hidden="false" customHeight="false" outlineLevel="0" collapsed="false">
      <c r="B336" s="1" t="n">
        <v>28.7</v>
      </c>
      <c r="C336" s="1" t="n">
        <v>2</v>
      </c>
      <c r="D336" s="2" t="n">
        <v>50.6</v>
      </c>
      <c r="E336" s="4" t="n">
        <v>2.57657861790804</v>
      </c>
      <c r="F336" s="1" t="n">
        <v>38</v>
      </c>
      <c r="G336" s="1" t="n">
        <v>52.3</v>
      </c>
      <c r="H336" s="3" t="n">
        <v>196.926616139336</v>
      </c>
      <c r="I336" s="1" t="n">
        <v>584.2</v>
      </c>
      <c r="J336" s="32" t="n">
        <v>531.9</v>
      </c>
      <c r="K336" s="25" t="n">
        <v>311</v>
      </c>
      <c r="L336" s="32" t="n">
        <v>183.05</v>
      </c>
      <c r="M336" s="4" t="n">
        <v>0.32</v>
      </c>
      <c r="N336" s="24" t="n">
        <v>0.238730125649271</v>
      </c>
      <c r="O336" s="25" t="n">
        <v>275.8</v>
      </c>
      <c r="P336" s="25" t="n">
        <v>56.9148495044671</v>
      </c>
      <c r="Q336" s="26" t="n">
        <v>0.0655704777184944</v>
      </c>
      <c r="R336" s="24" t="n">
        <v>0.746031642653973</v>
      </c>
      <c r="S336" s="4" t="n">
        <v>0.247400034312454</v>
      </c>
      <c r="T336" s="25" t="n">
        <v>275.8</v>
      </c>
      <c r="U336" s="25" t="n">
        <v>73</v>
      </c>
      <c r="V336" s="26" t="n">
        <v>0.0462418297139244</v>
      </c>
      <c r="W336" s="24" t="n">
        <f aca="false">(I336-H336)/(J336-H336)</f>
        <v>1.15613180783866</v>
      </c>
      <c r="X336" s="24" t="n">
        <f aca="false">0.5*(1+(I336-K336-L336)/(I336-K336))</f>
        <v>0.664989019033675</v>
      </c>
      <c r="Y336" s="24" t="n">
        <v>0.773125107226418</v>
      </c>
      <c r="Z336" s="24" t="n">
        <v>0.246011063669878</v>
      </c>
      <c r="AA336" s="25" t="n">
        <v>275.8</v>
      </c>
      <c r="AB336" s="25" t="n">
        <v>56.9148495044671</v>
      </c>
      <c r="AC336" s="26" t="n">
        <v>0.0655704777184944</v>
      </c>
      <c r="AD336" s="24" t="n">
        <v>0.768784573968368</v>
      </c>
      <c r="AE336" s="24" t="n">
        <v>0.240743048344341</v>
      </c>
      <c r="AF336" s="24" t="n">
        <v>0.451882736344365</v>
      </c>
      <c r="AG336" s="25" t="n">
        <v>275.8</v>
      </c>
      <c r="AH336" s="26" t="n">
        <v>0.0317</v>
      </c>
      <c r="AI336" s="24" t="n">
        <v>0.752322026076065</v>
      </c>
    </row>
    <row r="337" customFormat="false" ht="14.25" hidden="false" customHeight="false" outlineLevel="0" collapsed="false">
      <c r="A337" s="0" t="s">
        <v>103</v>
      </c>
      <c r="B337" s="1" t="n">
        <v>28.7</v>
      </c>
      <c r="C337" s="1" t="n">
        <v>2</v>
      </c>
      <c r="D337" s="2" t="n">
        <v>50.6</v>
      </c>
      <c r="E337" s="4" t="n">
        <v>2.57657861790804</v>
      </c>
      <c r="F337" s="1" t="n">
        <v>38</v>
      </c>
      <c r="G337" s="1" t="n">
        <v>52.3</v>
      </c>
      <c r="H337" s="3" t="n">
        <v>196.926616139336</v>
      </c>
      <c r="I337" s="1" t="n">
        <v>584.2</v>
      </c>
      <c r="J337" s="32" t="n">
        <v>531.9</v>
      </c>
      <c r="K337" s="25" t="n">
        <v>311</v>
      </c>
      <c r="L337" s="32" t="n">
        <v>183.05</v>
      </c>
      <c r="M337" s="4" t="n">
        <v>0.16</v>
      </c>
      <c r="N337" s="24" t="n">
        <v>0.183496267696468</v>
      </c>
      <c r="O337" s="25" t="n">
        <v>219.890332297519</v>
      </c>
      <c r="P337" s="25" t="n">
        <v>56.9148495044671</v>
      </c>
      <c r="Q337" s="26" t="n">
        <v>0.0655704777184944</v>
      </c>
      <c r="R337" s="24" t="n">
        <v>1.14685167310292</v>
      </c>
      <c r="S337" s="4" t="n">
        <v>0.187726687524044</v>
      </c>
      <c r="T337" s="25" t="n">
        <v>219.890332297519</v>
      </c>
      <c r="U337" s="25" t="n">
        <v>73</v>
      </c>
      <c r="V337" s="26" t="n">
        <v>0.0462418297139244</v>
      </c>
      <c r="W337" s="24" t="n">
        <f aca="false">(I337-H337)/(J337-H337)</f>
        <v>1.15613180783866</v>
      </c>
      <c r="X337" s="24" t="n">
        <f aca="false">0.5*(1+(I337-K337-L337)/(I337-K337))</f>
        <v>0.664989019033675</v>
      </c>
      <c r="Y337" s="24" t="n">
        <v>1.17329179702528</v>
      </c>
      <c r="Z337" s="24" t="n">
        <v>0.189092649587848</v>
      </c>
      <c r="AA337" s="25" t="n">
        <v>219.890332297519</v>
      </c>
      <c r="AB337" s="25" t="n">
        <v>56.9148495044671</v>
      </c>
      <c r="AC337" s="26" t="n">
        <v>0.0655704777184944</v>
      </c>
      <c r="AD337" s="24" t="n">
        <v>1.18182905992405</v>
      </c>
      <c r="AE337" s="24" t="n">
        <v>0.201284482022194</v>
      </c>
      <c r="AF337" s="24" t="n">
        <v>0.315892145780101</v>
      </c>
      <c r="AG337" s="25" t="n">
        <v>230.595485616339</v>
      </c>
      <c r="AH337" s="26" t="n">
        <v>0.0317</v>
      </c>
      <c r="AI337" s="24" t="n">
        <v>1.25802801263871</v>
      </c>
    </row>
    <row r="338" customFormat="false" ht="14.25" hidden="false" customHeight="false" outlineLevel="0" collapsed="false">
      <c r="B338" s="1" t="n">
        <v>28.7</v>
      </c>
      <c r="C338" s="1" t="n">
        <v>2</v>
      </c>
      <c r="D338" s="2" t="n">
        <v>50.6</v>
      </c>
      <c r="E338" s="4" t="n">
        <v>2.57657861790804</v>
      </c>
      <c r="F338" s="1" t="n">
        <v>38</v>
      </c>
      <c r="G338" s="1" t="n">
        <v>52.3</v>
      </c>
      <c r="H338" s="3" t="n">
        <v>196.926616139336</v>
      </c>
      <c r="I338" s="1" t="n">
        <v>584.2</v>
      </c>
      <c r="J338" s="32" t="n">
        <v>531.9</v>
      </c>
      <c r="K338" s="25" t="n">
        <v>311</v>
      </c>
      <c r="L338" s="32" t="n">
        <v>183.05</v>
      </c>
      <c r="M338" s="4" t="n">
        <v>0.19</v>
      </c>
      <c r="N338" s="24" t="n">
        <v>0.211435017327303</v>
      </c>
      <c r="O338" s="25" t="n">
        <v>248.170924415809</v>
      </c>
      <c r="P338" s="25" t="n">
        <v>56.9148495044671</v>
      </c>
      <c r="Q338" s="26" t="n">
        <v>0.0655704777184944</v>
      </c>
      <c r="R338" s="24" t="n">
        <v>1.11281588067001</v>
      </c>
      <c r="S338" s="4" t="n">
        <v>0.217911048301087</v>
      </c>
      <c r="T338" s="25" t="n">
        <v>248.170924415809</v>
      </c>
      <c r="U338" s="25" t="n">
        <v>73</v>
      </c>
      <c r="V338" s="26" t="n">
        <v>0.0462418297139244</v>
      </c>
      <c r="W338" s="24" t="n">
        <f aca="false">(I338-H338)/(J338-H338)</f>
        <v>1.15613180783866</v>
      </c>
      <c r="X338" s="24" t="n">
        <f aca="false">0.5*(1+(I338-K338-L338)/(I338-K338))</f>
        <v>0.664989019033675</v>
      </c>
      <c r="Y338" s="24" t="n">
        <v>1.14690025421625</v>
      </c>
      <c r="Z338" s="24" t="n">
        <v>0.217883492367305</v>
      </c>
      <c r="AA338" s="25" t="n">
        <v>248.170924415809</v>
      </c>
      <c r="AB338" s="25" t="n">
        <v>56.9148495044671</v>
      </c>
      <c r="AC338" s="26" t="n">
        <v>0.0655704777184944</v>
      </c>
      <c r="AD338" s="24" t="n">
        <v>1.14675522298582</v>
      </c>
      <c r="AE338" s="24" t="n">
        <v>0.227172133727176</v>
      </c>
      <c r="AF338" s="24" t="n">
        <v>0.40237255763656</v>
      </c>
      <c r="AG338" s="25" t="n">
        <v>260.252891673696</v>
      </c>
      <c r="AH338" s="26" t="n">
        <v>0.0317</v>
      </c>
      <c r="AI338" s="24" t="n">
        <v>1.1956428090904</v>
      </c>
    </row>
    <row r="339" customFormat="false" ht="14.25" hidden="false" customHeight="false" outlineLevel="0" collapsed="false">
      <c r="B339" s="1" t="n">
        <v>28.7</v>
      </c>
      <c r="C339" s="1" t="n">
        <v>2</v>
      </c>
      <c r="D339" s="2" t="n">
        <v>50.6</v>
      </c>
      <c r="E339" s="4" t="n">
        <v>2.57657861790804</v>
      </c>
      <c r="F339" s="1" t="n">
        <v>38</v>
      </c>
      <c r="G339" s="1" t="n">
        <v>52.3</v>
      </c>
      <c r="H339" s="3" t="n">
        <v>196.926616139336</v>
      </c>
      <c r="I339" s="1" t="n">
        <v>584.2</v>
      </c>
      <c r="J339" s="32" t="n">
        <v>531.9</v>
      </c>
      <c r="K339" s="25" t="n">
        <v>311</v>
      </c>
      <c r="L339" s="32" t="n">
        <v>183.05</v>
      </c>
      <c r="M339" s="4" t="n">
        <v>0.22</v>
      </c>
      <c r="N339" s="24" t="n">
        <v>0.238730125649271</v>
      </c>
      <c r="O339" s="25" t="n">
        <v>275.8</v>
      </c>
      <c r="P339" s="25" t="n">
        <v>56.9148495044671</v>
      </c>
      <c r="Q339" s="26" t="n">
        <v>0.0655704777184944</v>
      </c>
      <c r="R339" s="24" t="n">
        <v>1.08513693476942</v>
      </c>
      <c r="S339" s="4" t="n">
        <v>0.247400034312454</v>
      </c>
      <c r="T339" s="25" t="n">
        <v>275.8</v>
      </c>
      <c r="U339" s="25" t="n">
        <v>73</v>
      </c>
      <c r="V339" s="26" t="n">
        <v>0.0462418297139244</v>
      </c>
      <c r="W339" s="24" t="n">
        <f aca="false">(I339-H339)/(J339-H339)</f>
        <v>1.15613180783866</v>
      </c>
      <c r="X339" s="24" t="n">
        <f aca="false">0.5*(1+(I339-K339-L339)/(I339-K339))</f>
        <v>0.664989019033675</v>
      </c>
      <c r="Y339" s="24" t="n">
        <v>1.12454561051115</v>
      </c>
      <c r="Z339" s="24" t="n">
        <v>0.246011063669878</v>
      </c>
      <c r="AA339" s="25" t="n">
        <v>275.8</v>
      </c>
      <c r="AB339" s="25" t="n">
        <v>56.9148495044671</v>
      </c>
      <c r="AC339" s="26" t="n">
        <v>0.0655704777184944</v>
      </c>
      <c r="AD339" s="24" t="n">
        <v>1.11823210759035</v>
      </c>
      <c r="AE339" s="24" t="n">
        <v>0.240743048344341</v>
      </c>
      <c r="AF339" s="24" t="n">
        <v>0.451882736344365</v>
      </c>
      <c r="AG339" s="25" t="n">
        <v>275.8</v>
      </c>
      <c r="AH339" s="26" t="n">
        <v>0.0317</v>
      </c>
      <c r="AI339" s="24" t="n">
        <v>1.09428658338337</v>
      </c>
    </row>
    <row r="340" customFormat="false" ht="14.25" hidden="false" customHeight="false" outlineLevel="0" collapsed="false">
      <c r="A340" s="0" t="s">
        <v>104</v>
      </c>
      <c r="B340" s="1" t="n">
        <v>35.8</v>
      </c>
      <c r="C340" s="1" t="n">
        <v>2</v>
      </c>
      <c r="D340" s="2" t="n">
        <v>36.4</v>
      </c>
      <c r="E340" s="4" t="n">
        <v>2.54783553354044</v>
      </c>
      <c r="F340" s="1" t="n">
        <v>38</v>
      </c>
      <c r="G340" s="1" t="n">
        <v>55.9</v>
      </c>
      <c r="H340" s="3" t="n">
        <v>231.967079154845</v>
      </c>
      <c r="I340" s="1" t="n">
        <v>584.2</v>
      </c>
      <c r="J340" s="32" t="n">
        <v>528.3</v>
      </c>
      <c r="K340" s="25" t="n">
        <v>320</v>
      </c>
      <c r="L340" s="32" t="n">
        <v>195.65</v>
      </c>
      <c r="M340" s="4" t="n">
        <v>0.17</v>
      </c>
      <c r="N340" s="24" t="n">
        <v>0.131533744653219</v>
      </c>
      <c r="O340" s="25" t="n">
        <v>184.086480713456</v>
      </c>
      <c r="P340" s="25" t="n">
        <v>40.1803048759477</v>
      </c>
      <c r="Q340" s="26" t="n">
        <v>0.112443490851356</v>
      </c>
      <c r="R340" s="24" t="n">
        <v>0.773727909724816</v>
      </c>
      <c r="S340" s="4" t="n">
        <v>0.150622088413142</v>
      </c>
      <c r="T340" s="25" t="n">
        <v>184.086480713456</v>
      </c>
      <c r="U340" s="25" t="n">
        <v>55</v>
      </c>
      <c r="V340" s="26" t="n">
        <v>0.0674781484157056</v>
      </c>
      <c r="W340" s="24" t="n">
        <f aca="false">(I340-H340)/(J340-H340)</f>
        <v>1.18863918271575</v>
      </c>
      <c r="X340" s="24" t="n">
        <f aca="false">0.5*(1+(I340-K340-L340)/(I340-K340))</f>
        <v>0.629731264193793</v>
      </c>
      <c r="Y340" s="24" t="n">
        <v>0.886012284783186</v>
      </c>
      <c r="Z340" s="24" t="n">
        <v>0.146640079165194</v>
      </c>
      <c r="AA340" s="25" t="n">
        <v>184.086480713456</v>
      </c>
      <c r="AB340" s="25" t="n">
        <v>40.1803048759477</v>
      </c>
      <c r="AC340" s="26" t="n">
        <v>0.112443490851356</v>
      </c>
      <c r="AD340" s="24" t="n">
        <v>0.86258870097173</v>
      </c>
      <c r="AE340" s="24" t="n">
        <v>0.176751569062933</v>
      </c>
      <c r="AF340" s="24" t="n">
        <v>0.281743427726281</v>
      </c>
      <c r="AG340" s="25" t="n">
        <v>194</v>
      </c>
      <c r="AH340" s="26" t="n">
        <v>0.0407</v>
      </c>
      <c r="AI340" s="24" t="n">
        <v>1.0397151121349</v>
      </c>
    </row>
    <row r="341" customFormat="false" ht="14.25" hidden="false" customHeight="false" outlineLevel="0" collapsed="false">
      <c r="A341" s="0" t="s">
        <v>105</v>
      </c>
      <c r="B341" s="1" t="n">
        <v>35.8</v>
      </c>
      <c r="C341" s="1" t="n">
        <v>2</v>
      </c>
      <c r="D341" s="2" t="n">
        <v>36.4</v>
      </c>
      <c r="E341" s="4" t="n">
        <v>2.75637342683892</v>
      </c>
      <c r="F341" s="1" t="n">
        <v>38</v>
      </c>
      <c r="G341" s="1" t="n">
        <v>55.9</v>
      </c>
      <c r="H341" s="3" t="n">
        <v>228.699800687537</v>
      </c>
      <c r="I341" s="1" t="n">
        <v>584.2</v>
      </c>
      <c r="J341" s="32" t="n">
        <v>528.3</v>
      </c>
      <c r="K341" s="25" t="n">
        <v>319</v>
      </c>
      <c r="L341" s="32" t="n">
        <v>195.65</v>
      </c>
      <c r="M341" s="4" t="n">
        <v>0.19</v>
      </c>
      <c r="N341" s="24" t="n">
        <v>0.0975146498415218</v>
      </c>
      <c r="O341" s="25" t="n">
        <v>143.792876986957</v>
      </c>
      <c r="P341" s="25" t="n">
        <v>42.9652482285393</v>
      </c>
      <c r="Q341" s="26" t="n">
        <v>0.111410061904879</v>
      </c>
      <c r="R341" s="24" t="n">
        <v>0.513234999165904</v>
      </c>
      <c r="S341" s="4" t="n">
        <v>0.108061002295251</v>
      </c>
      <c r="T341" s="25" t="n">
        <v>143.792876986957</v>
      </c>
      <c r="U341" s="25" t="n">
        <v>59</v>
      </c>
      <c r="V341" s="26" t="n">
        <v>0.0674781484157056</v>
      </c>
      <c r="W341" s="24" t="n">
        <f aca="false">(I341-H341)/(J341-H341)</f>
        <v>1.18658198535342</v>
      </c>
      <c r="X341" s="24" t="n">
        <f aca="false">0.5*(1+(I341-K341-L341)/(I341-K341))</f>
        <v>0.631127450980392</v>
      </c>
      <c r="Y341" s="24" t="n">
        <v>0.568742117343427</v>
      </c>
      <c r="Z341" s="24" t="n">
        <v>0.108470561427934</v>
      </c>
      <c r="AA341" s="25" t="n">
        <v>143.792876986957</v>
      </c>
      <c r="AB341" s="25" t="n">
        <v>42.9652482285393</v>
      </c>
      <c r="AC341" s="26" t="n">
        <v>0.111410061904879</v>
      </c>
      <c r="AD341" s="24" t="n">
        <v>0.570897691725971</v>
      </c>
      <c r="AE341" s="24" t="n">
        <v>0.138396878567255</v>
      </c>
      <c r="AF341" s="24" t="n">
        <v>0.159666264321595</v>
      </c>
      <c r="AG341" s="25" t="n">
        <v>151.822008332018</v>
      </c>
      <c r="AH341" s="26" t="n">
        <v>0.0407</v>
      </c>
      <c r="AI341" s="24" t="n">
        <v>0.728404624038183</v>
      </c>
    </row>
    <row r="342" customFormat="false" ht="14.25" hidden="false" customHeight="false" outlineLevel="0" collapsed="false">
      <c r="B342" s="1" t="n">
        <v>35.8</v>
      </c>
      <c r="C342" s="1" t="n">
        <v>2</v>
      </c>
      <c r="D342" s="2" t="n">
        <v>36.4</v>
      </c>
      <c r="E342" s="4" t="n">
        <v>2.75637342683892</v>
      </c>
      <c r="F342" s="1" t="n">
        <v>38</v>
      </c>
      <c r="G342" s="1" t="n">
        <v>55.9</v>
      </c>
      <c r="H342" s="3" t="n">
        <v>228.699800687537</v>
      </c>
      <c r="I342" s="1" t="n">
        <v>584.2</v>
      </c>
      <c r="J342" s="32" t="n">
        <v>528.3</v>
      </c>
      <c r="K342" s="3" t="n">
        <v>319</v>
      </c>
      <c r="L342" s="2" t="n">
        <v>195.65</v>
      </c>
      <c r="M342" s="4" t="n">
        <v>0.25</v>
      </c>
      <c r="N342" s="24" t="n">
        <v>0.130442766845764</v>
      </c>
      <c r="O342" s="25" t="n">
        <v>183.642990294518</v>
      </c>
      <c r="P342" s="25" t="n">
        <v>42.9652482285393</v>
      </c>
      <c r="Q342" s="26" t="n">
        <v>0.111410061904879</v>
      </c>
      <c r="R342" s="24" t="n">
        <v>0.521771067383056</v>
      </c>
      <c r="S342" s="4" t="n">
        <v>0.147805128211685</v>
      </c>
      <c r="T342" s="25" t="n">
        <v>183.642990294518</v>
      </c>
      <c r="U342" s="25" t="n">
        <v>59</v>
      </c>
      <c r="V342" s="12" t="n">
        <v>0.0674781484157056</v>
      </c>
      <c r="W342" s="24" t="n">
        <f aca="false">(I342-H342)/(J342-H342)</f>
        <v>1.18658198535342</v>
      </c>
      <c r="X342" s="24" t="n">
        <f aca="false">0.5*(1+(I342-K342-L342)/(I342-K342))</f>
        <v>0.631127450980392</v>
      </c>
      <c r="Y342" s="24" t="n">
        <v>0.591220512846738</v>
      </c>
      <c r="Z342" s="24" t="n">
        <v>0.145098199880409</v>
      </c>
      <c r="AA342" s="25" t="n">
        <v>183.642990294518</v>
      </c>
      <c r="AB342" s="25" t="n">
        <v>42.9652482285393</v>
      </c>
      <c r="AC342" s="26" t="n">
        <v>0.111410061904879</v>
      </c>
      <c r="AD342" s="24" t="n">
        <v>0.580392799521635</v>
      </c>
      <c r="AE342" s="24" t="n">
        <v>0.176751569062933</v>
      </c>
      <c r="AF342" s="24" t="n">
        <v>0.260427672648744</v>
      </c>
      <c r="AG342" s="25" t="n">
        <v>193.897279106113</v>
      </c>
      <c r="AH342" s="26" t="n">
        <v>0.0407</v>
      </c>
      <c r="AI342" s="24" t="n">
        <v>0.707006276251731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2"/>
  <sheetViews>
    <sheetView showFormulas="false" showGridLines="true" showRowColHeaders="true" showZeros="true" rightToLeft="false" tabSelected="false" showOutlineSymbols="true" defaultGridColor="true" view="normal" topLeftCell="K1" colorId="64" zoomScale="120" zoomScaleNormal="120" zoomScalePageLayoutView="100" workbookViewId="0">
      <selection pane="topLeft" activeCell="N1" activeCellId="0" sqref="N1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32.89"/>
    <col collapsed="false" customWidth="true" hidden="false" outlineLevel="0" max="2" min="2" style="2" width="24.78"/>
    <col collapsed="false" customWidth="true" hidden="false" outlineLevel="0" max="3" min="3" style="3" width="24.78"/>
    <col collapsed="false" customWidth="true" hidden="false" outlineLevel="0" max="4" min="4" style="3" width="29.66"/>
    <col collapsed="false" customWidth="true" hidden="false" outlineLevel="0" max="5" min="5" style="2" width="29.33"/>
    <col collapsed="false" customWidth="true" hidden="false" outlineLevel="0" max="6" min="6" style="4" width="36.78"/>
    <col collapsed="false" customWidth="true" hidden="false" outlineLevel="0" max="7" min="7" style="2" width="16.45"/>
    <col collapsed="false" customWidth="true" hidden="false" outlineLevel="0" max="8" min="8" style="2" width="44.55"/>
    <col collapsed="false" customWidth="true" hidden="false" outlineLevel="0" max="9" min="9" style="2" width="20.45"/>
    <col collapsed="false" customWidth="true" hidden="false" outlineLevel="0" max="10" min="10" style="2" width="19.78"/>
    <col collapsed="false" customWidth="true" hidden="false" outlineLevel="0" max="11" min="11" style="3" width="29.78"/>
    <col collapsed="false" customWidth="true" hidden="false" outlineLevel="0" max="12" min="12" style="12" width="33.89"/>
    <col collapsed="false" customWidth="true" hidden="false" outlineLevel="0" max="13" min="13" style="12" width="22.67"/>
    <col collapsed="false" customWidth="true" hidden="false" outlineLevel="0" max="14" min="14" style="0" width="17.22"/>
  </cols>
  <sheetData>
    <row r="1" customFormat="false" ht="16.15" hidden="false" customHeight="false" outlineLevel="0" collapsed="false">
      <c r="A1" s="1" t="s">
        <v>8</v>
      </c>
      <c r="B1" s="2" t="s">
        <v>11</v>
      </c>
      <c r="C1" s="3" t="s">
        <v>12</v>
      </c>
      <c r="D1" s="3" t="s">
        <v>13</v>
      </c>
      <c r="E1" s="2" t="s">
        <v>14</v>
      </c>
      <c r="F1" s="4" t="s">
        <v>15</v>
      </c>
      <c r="G1" s="2" t="s">
        <v>16</v>
      </c>
      <c r="H1" s="2" t="s">
        <v>17</v>
      </c>
      <c r="I1" s="1" t="s">
        <v>119</v>
      </c>
      <c r="J1" s="18" t="s">
        <v>120</v>
      </c>
      <c r="K1" s="19" t="s">
        <v>121</v>
      </c>
      <c r="L1" s="12" t="s">
        <v>145</v>
      </c>
      <c r="M1" s="12" t="s">
        <v>124</v>
      </c>
    </row>
    <row r="2" customFormat="false" ht="14.25" hidden="false" customHeight="false" outlineLevel="0" collapsed="false">
      <c r="A2" s="1" t="s">
        <v>22</v>
      </c>
      <c r="B2" s="2" t="n">
        <v>20</v>
      </c>
      <c r="C2" s="3" t="n">
        <v>500</v>
      </c>
      <c r="D2" s="3" t="n">
        <v>2</v>
      </c>
      <c r="E2" s="2" t="n">
        <v>126</v>
      </c>
      <c r="F2" s="4" t="n">
        <v>4.12034052390144</v>
      </c>
      <c r="G2" s="2" t="n">
        <v>25</v>
      </c>
      <c r="H2" s="2" t="n">
        <v>39</v>
      </c>
      <c r="I2" s="1" t="n">
        <v>216</v>
      </c>
      <c r="J2" s="2" t="n">
        <v>201</v>
      </c>
      <c r="K2" s="3" t="n">
        <v>628</v>
      </c>
      <c r="L2" s="12" t="n">
        <v>0.0212996879663546</v>
      </c>
      <c r="M2" s="4" t="n">
        <v>20.8</v>
      </c>
    </row>
    <row r="3" customFormat="false" ht="14.25" hidden="false" customHeight="false" outlineLevel="0" collapsed="false">
      <c r="B3" s="2" t="n">
        <v>20</v>
      </c>
      <c r="C3" s="3" t="n">
        <v>500</v>
      </c>
      <c r="D3" s="3" t="n">
        <v>2</v>
      </c>
      <c r="E3" s="2" t="n">
        <v>126</v>
      </c>
      <c r="F3" s="4" t="n">
        <v>4.12034052390144</v>
      </c>
      <c r="G3" s="2" t="n">
        <v>25</v>
      </c>
      <c r="H3" s="2" t="n">
        <v>39</v>
      </c>
      <c r="I3" s="1" t="n">
        <v>216</v>
      </c>
      <c r="J3" s="2" t="n">
        <v>201</v>
      </c>
      <c r="K3" s="3" t="n">
        <v>628</v>
      </c>
      <c r="L3" s="12" t="n">
        <v>0.0212996879663546</v>
      </c>
      <c r="M3" s="4" t="n">
        <v>27.3</v>
      </c>
    </row>
    <row r="4" customFormat="false" ht="14.25" hidden="false" customHeight="false" outlineLevel="0" collapsed="false">
      <c r="B4" s="2" t="n">
        <v>20</v>
      </c>
      <c r="C4" s="3" t="n">
        <v>500</v>
      </c>
      <c r="D4" s="3" t="n">
        <v>2</v>
      </c>
      <c r="E4" s="2" t="n">
        <v>126</v>
      </c>
      <c r="F4" s="4" t="n">
        <v>4.12034052390144</v>
      </c>
      <c r="G4" s="2" t="n">
        <v>25</v>
      </c>
      <c r="H4" s="2" t="n">
        <v>39</v>
      </c>
      <c r="I4" s="1" t="n">
        <v>216</v>
      </c>
      <c r="J4" s="2" t="n">
        <v>201</v>
      </c>
      <c r="K4" s="3" t="n">
        <v>628</v>
      </c>
      <c r="L4" s="12" t="n">
        <v>0.0212996879663546</v>
      </c>
      <c r="M4" s="4" t="n">
        <v>28.2</v>
      </c>
    </row>
    <row r="5" customFormat="false" ht="14.25" hidden="false" customHeight="false" outlineLevel="0" collapsed="false">
      <c r="B5" s="2" t="n">
        <v>20</v>
      </c>
      <c r="C5" s="3" t="n">
        <v>500</v>
      </c>
      <c r="D5" s="3" t="n">
        <v>2</v>
      </c>
      <c r="E5" s="2" t="n">
        <v>126</v>
      </c>
      <c r="F5" s="4" t="n">
        <v>4.12034052390144</v>
      </c>
      <c r="G5" s="2" t="n">
        <v>25</v>
      </c>
      <c r="H5" s="2" t="n">
        <v>39</v>
      </c>
      <c r="I5" s="1" t="n">
        <v>216</v>
      </c>
      <c r="J5" s="2" t="n">
        <v>201</v>
      </c>
      <c r="K5" s="3" t="n">
        <v>628</v>
      </c>
      <c r="L5" s="12" t="n">
        <v>0.0212996879663546</v>
      </c>
      <c r="M5" s="4" t="n">
        <v>32.6</v>
      </c>
    </row>
    <row r="6" customFormat="false" ht="14.25" hidden="false" customHeight="false" outlineLevel="0" collapsed="false">
      <c r="B6" s="2" t="n">
        <v>20</v>
      </c>
      <c r="C6" s="3" t="n">
        <v>500</v>
      </c>
      <c r="D6" s="3" t="n">
        <v>2</v>
      </c>
      <c r="E6" s="2" t="n">
        <v>126</v>
      </c>
      <c r="F6" s="4" t="n">
        <v>4.12034052390144</v>
      </c>
      <c r="G6" s="2" t="n">
        <v>25</v>
      </c>
      <c r="H6" s="2" t="n">
        <v>39</v>
      </c>
      <c r="I6" s="1" t="n">
        <v>216</v>
      </c>
      <c r="J6" s="2" t="n">
        <v>201</v>
      </c>
      <c r="K6" s="3" t="n">
        <v>628</v>
      </c>
      <c r="L6" s="12" t="n">
        <v>0.0212996879663546</v>
      </c>
      <c r="M6" s="4" t="n">
        <v>41.2</v>
      </c>
    </row>
    <row r="7" customFormat="false" ht="14.25" hidden="false" customHeight="false" outlineLevel="0" collapsed="false">
      <c r="B7" s="2" t="n">
        <v>20</v>
      </c>
      <c r="C7" s="3" t="n">
        <v>500</v>
      </c>
      <c r="D7" s="3" t="n">
        <v>2</v>
      </c>
      <c r="E7" s="2" t="n">
        <v>126</v>
      </c>
      <c r="F7" s="4" t="n">
        <v>4.12034052390144</v>
      </c>
      <c r="G7" s="2" t="n">
        <v>25</v>
      </c>
      <c r="H7" s="2" t="n">
        <v>39</v>
      </c>
      <c r="I7" s="1" t="n">
        <v>216</v>
      </c>
      <c r="J7" s="2" t="n">
        <v>201</v>
      </c>
      <c r="K7" s="3" t="n">
        <v>628</v>
      </c>
      <c r="L7" s="12" t="n">
        <v>0.0212996879663546</v>
      </c>
      <c r="M7" s="4" t="n">
        <v>44.9</v>
      </c>
    </row>
    <row r="8" customFormat="false" ht="14.25" hidden="false" customHeight="false" outlineLevel="0" collapsed="false">
      <c r="A8" s="1" t="s">
        <v>23</v>
      </c>
      <c r="B8" s="2" t="n">
        <v>10</v>
      </c>
      <c r="C8" s="3" t="n">
        <v>500</v>
      </c>
      <c r="D8" s="3" t="n">
        <v>8</v>
      </c>
      <c r="E8" s="2" t="n">
        <v>87.7</v>
      </c>
      <c r="F8" s="4" t="n">
        <v>4.13112676332901</v>
      </c>
      <c r="G8" s="2" t="n">
        <v>25</v>
      </c>
      <c r="H8" s="2" t="n">
        <v>53</v>
      </c>
      <c r="I8" s="1" t="n">
        <v>308</v>
      </c>
      <c r="J8" s="2" t="n">
        <v>604</v>
      </c>
      <c r="K8" s="3" t="n">
        <v>628</v>
      </c>
      <c r="L8" s="12" t="n">
        <v>0.0144607165883762</v>
      </c>
      <c r="M8" s="4" t="n">
        <v>105</v>
      </c>
    </row>
    <row r="9" customFormat="false" ht="14.25" hidden="false" customHeight="false" outlineLevel="0" collapsed="false">
      <c r="B9" s="2" t="n">
        <v>10</v>
      </c>
      <c r="C9" s="3" t="n">
        <v>500</v>
      </c>
      <c r="D9" s="3" t="n">
        <v>8</v>
      </c>
      <c r="E9" s="2" t="n">
        <v>87.7</v>
      </c>
      <c r="F9" s="4" t="n">
        <v>4.13112676332901</v>
      </c>
      <c r="G9" s="2" t="n">
        <v>25</v>
      </c>
      <c r="H9" s="2" t="n">
        <v>53</v>
      </c>
      <c r="I9" s="1" t="n">
        <v>308</v>
      </c>
      <c r="J9" s="2" t="n">
        <v>604</v>
      </c>
      <c r="K9" s="3" t="n">
        <v>628</v>
      </c>
      <c r="L9" s="12" t="n">
        <v>0.0144607165883762</v>
      </c>
      <c r="M9" s="4" t="n">
        <v>119.6</v>
      </c>
    </row>
    <row r="10" customFormat="false" ht="14.25" hidden="false" customHeight="false" outlineLevel="0" collapsed="false">
      <c r="B10" s="2" t="n">
        <v>10</v>
      </c>
      <c r="C10" s="3" t="n">
        <v>500</v>
      </c>
      <c r="D10" s="3" t="n">
        <v>8</v>
      </c>
      <c r="E10" s="2" t="n">
        <v>87.7</v>
      </c>
      <c r="F10" s="4" t="n">
        <v>4.13112676332901</v>
      </c>
      <c r="G10" s="2" t="n">
        <v>25</v>
      </c>
      <c r="H10" s="2" t="n">
        <v>53</v>
      </c>
      <c r="I10" s="1" t="n">
        <v>308</v>
      </c>
      <c r="J10" s="2" t="n">
        <v>604</v>
      </c>
      <c r="K10" s="3" t="n">
        <v>628</v>
      </c>
      <c r="L10" s="12" t="n">
        <v>0.0144607165883762</v>
      </c>
      <c r="M10" s="4" t="n">
        <v>174.3</v>
      </c>
    </row>
    <row r="11" customFormat="false" ht="14.25" hidden="false" customHeight="false" outlineLevel="0" collapsed="false">
      <c r="A11" s="1" t="s">
        <v>24</v>
      </c>
      <c r="B11" s="2" t="n">
        <v>10</v>
      </c>
      <c r="C11" s="3" t="n">
        <v>628</v>
      </c>
      <c r="D11" s="3" t="n">
        <v>4</v>
      </c>
      <c r="E11" s="2" t="n">
        <v>32.4666666666667</v>
      </c>
      <c r="F11" s="4" t="n">
        <v>3.262</v>
      </c>
      <c r="G11" s="2" t="n">
        <v>25</v>
      </c>
      <c r="H11" s="2" t="n">
        <v>36</v>
      </c>
      <c r="I11" s="1" t="n">
        <v>200</v>
      </c>
      <c r="J11" s="2" t="n">
        <v>600</v>
      </c>
      <c r="K11" s="3" t="n">
        <v>314</v>
      </c>
      <c r="L11" s="12" t="n">
        <v>0.0182558139534884</v>
      </c>
      <c r="M11" s="4" t="n">
        <v>47.625</v>
      </c>
    </row>
    <row r="12" customFormat="false" ht="14.25" hidden="false" customHeight="false" outlineLevel="0" collapsed="false">
      <c r="B12" s="2" t="n">
        <v>10</v>
      </c>
      <c r="C12" s="3" t="n">
        <v>628</v>
      </c>
      <c r="D12" s="3" t="n">
        <v>4</v>
      </c>
      <c r="E12" s="2" t="n">
        <v>32.4666666666667</v>
      </c>
      <c r="F12" s="4" t="n">
        <v>3.262</v>
      </c>
      <c r="G12" s="2" t="n">
        <v>25</v>
      </c>
      <c r="H12" s="2" t="n">
        <v>36</v>
      </c>
      <c r="I12" s="1" t="n">
        <v>200</v>
      </c>
      <c r="J12" s="2" t="n">
        <v>600</v>
      </c>
      <c r="K12" s="3" t="n">
        <v>314</v>
      </c>
      <c r="L12" s="12" t="n">
        <v>0.0182558139534884</v>
      </c>
      <c r="M12" s="4" t="n">
        <v>54.3</v>
      </c>
    </row>
    <row r="13" customFormat="false" ht="14.25" hidden="false" customHeight="false" outlineLevel="0" collapsed="false">
      <c r="B13" s="2" t="n">
        <v>10</v>
      </c>
      <c r="C13" s="3" t="n">
        <v>628</v>
      </c>
      <c r="D13" s="3" t="n">
        <v>4</v>
      </c>
      <c r="E13" s="2" t="n">
        <v>32.4666666666667</v>
      </c>
      <c r="F13" s="4" t="n">
        <v>3.262</v>
      </c>
      <c r="G13" s="2" t="n">
        <v>25</v>
      </c>
      <c r="H13" s="2" t="n">
        <v>36</v>
      </c>
      <c r="I13" s="1" t="n">
        <v>200</v>
      </c>
      <c r="J13" s="2" t="n">
        <v>600</v>
      </c>
      <c r="K13" s="3" t="n">
        <v>314</v>
      </c>
      <c r="L13" s="12" t="n">
        <v>0.0182558139534884</v>
      </c>
      <c r="M13" s="4" t="n">
        <v>61.425</v>
      </c>
    </row>
    <row r="14" customFormat="false" ht="14.25" hidden="false" customHeight="false" outlineLevel="0" collapsed="false">
      <c r="B14" s="2" t="n">
        <v>10</v>
      </c>
      <c r="C14" s="3" t="n">
        <v>628</v>
      </c>
      <c r="D14" s="3" t="n">
        <v>4</v>
      </c>
      <c r="E14" s="2" t="n">
        <v>32.4666666666667</v>
      </c>
      <c r="F14" s="4" t="n">
        <v>3.262</v>
      </c>
      <c r="G14" s="2" t="n">
        <v>25</v>
      </c>
      <c r="H14" s="2" t="n">
        <v>36</v>
      </c>
      <c r="I14" s="1" t="n">
        <v>200</v>
      </c>
      <c r="J14" s="2" t="n">
        <v>600</v>
      </c>
      <c r="K14" s="3" t="n">
        <v>314</v>
      </c>
      <c r="L14" s="12" t="n">
        <v>0.0182558139534884</v>
      </c>
      <c r="M14" s="4" t="n">
        <v>68.625</v>
      </c>
    </row>
    <row r="15" customFormat="false" ht="14.25" hidden="false" customHeight="false" outlineLevel="0" collapsed="false">
      <c r="B15" s="2" t="n">
        <v>10</v>
      </c>
      <c r="C15" s="3" t="n">
        <v>628</v>
      </c>
      <c r="D15" s="3" t="n">
        <v>4</v>
      </c>
      <c r="E15" s="2" t="n">
        <v>32.4666666666667</v>
      </c>
      <c r="F15" s="4" t="n">
        <v>3.262</v>
      </c>
      <c r="G15" s="2" t="n">
        <v>25</v>
      </c>
      <c r="H15" s="2" t="n">
        <v>36</v>
      </c>
      <c r="I15" s="1" t="n">
        <v>200</v>
      </c>
      <c r="J15" s="2" t="n">
        <v>600</v>
      </c>
      <c r="K15" s="3" t="n">
        <v>314</v>
      </c>
      <c r="L15" s="12" t="n">
        <v>0.0182558139534884</v>
      </c>
      <c r="M15" s="4" t="n">
        <v>73.275</v>
      </c>
    </row>
    <row r="16" customFormat="false" ht="14.25" hidden="false" customHeight="false" outlineLevel="0" collapsed="false">
      <c r="B16" s="2" t="n">
        <v>10</v>
      </c>
      <c r="C16" s="3" t="n">
        <v>628</v>
      </c>
      <c r="D16" s="3" t="n">
        <v>4</v>
      </c>
      <c r="E16" s="2" t="n">
        <v>32.4666666666667</v>
      </c>
      <c r="F16" s="4" t="n">
        <v>3.262</v>
      </c>
      <c r="G16" s="2" t="n">
        <v>25</v>
      </c>
      <c r="H16" s="2" t="n">
        <v>36</v>
      </c>
      <c r="I16" s="1" t="n">
        <v>200</v>
      </c>
      <c r="J16" s="2" t="n">
        <v>600</v>
      </c>
      <c r="K16" s="3" t="n">
        <v>314</v>
      </c>
      <c r="L16" s="12" t="n">
        <v>0.0182558139534884</v>
      </c>
      <c r="M16" s="4" t="n">
        <v>83.25</v>
      </c>
    </row>
    <row r="17" customFormat="false" ht="14.25" hidden="false" customHeight="false" outlineLevel="0" collapsed="false">
      <c r="B17" s="2" t="n">
        <v>10</v>
      </c>
      <c r="C17" s="3" t="n">
        <v>628</v>
      </c>
      <c r="D17" s="3" t="n">
        <v>4</v>
      </c>
      <c r="E17" s="2" t="n">
        <v>32.4666666666667</v>
      </c>
      <c r="F17" s="4" t="n">
        <v>3.262</v>
      </c>
      <c r="G17" s="2" t="n">
        <v>25</v>
      </c>
      <c r="H17" s="2" t="n">
        <v>36</v>
      </c>
      <c r="I17" s="1" t="n">
        <v>200</v>
      </c>
      <c r="J17" s="2" t="n">
        <v>600</v>
      </c>
      <c r="K17" s="3" t="n">
        <v>314</v>
      </c>
      <c r="L17" s="12" t="n">
        <v>0.0182558139534884</v>
      </c>
      <c r="M17" s="4" t="n">
        <v>84</v>
      </c>
    </row>
    <row r="18" customFormat="false" ht="14.25" hidden="false" customHeight="false" outlineLevel="0" collapsed="false">
      <c r="B18" s="2" t="n">
        <v>10</v>
      </c>
      <c r="C18" s="3" t="n">
        <v>628</v>
      </c>
      <c r="D18" s="3" t="n">
        <v>4</v>
      </c>
      <c r="E18" s="2" t="n">
        <v>32.4666666666667</v>
      </c>
      <c r="F18" s="4" t="n">
        <v>3.262</v>
      </c>
      <c r="G18" s="2" t="n">
        <v>25</v>
      </c>
      <c r="H18" s="2" t="n">
        <v>36</v>
      </c>
      <c r="I18" s="1" t="n">
        <v>200</v>
      </c>
      <c r="J18" s="2" t="n">
        <v>600</v>
      </c>
      <c r="K18" s="3" t="n">
        <v>314</v>
      </c>
      <c r="L18" s="12" t="n">
        <v>0.0182558139534884</v>
      </c>
      <c r="M18" s="4" t="n">
        <v>90</v>
      </c>
    </row>
    <row r="19" customFormat="false" ht="14.25" hidden="false" customHeight="false" outlineLevel="0" collapsed="false">
      <c r="B19" s="2" t="n">
        <v>10</v>
      </c>
      <c r="C19" s="3" t="n">
        <v>628</v>
      </c>
      <c r="D19" s="3" t="n">
        <v>4</v>
      </c>
      <c r="E19" s="2" t="n">
        <v>32.4666666666667</v>
      </c>
      <c r="F19" s="4" t="n">
        <v>3.262</v>
      </c>
      <c r="G19" s="2" t="n">
        <v>25</v>
      </c>
      <c r="H19" s="2" t="n">
        <v>36</v>
      </c>
      <c r="I19" s="1" t="n">
        <v>200</v>
      </c>
      <c r="J19" s="2" t="n">
        <v>600</v>
      </c>
      <c r="K19" s="3" t="n">
        <v>314</v>
      </c>
      <c r="L19" s="12" t="n">
        <v>0.0182558139534884</v>
      </c>
      <c r="M19" s="4" t="n">
        <v>108</v>
      </c>
    </row>
    <row r="20" customFormat="false" ht="14.25" hidden="false" customHeight="false" outlineLevel="0" collapsed="false">
      <c r="B20" s="2" t="n">
        <v>10</v>
      </c>
      <c r="C20" s="3" t="n">
        <v>628</v>
      </c>
      <c r="D20" s="3" t="n">
        <v>4</v>
      </c>
      <c r="E20" s="2" t="n">
        <v>32.4666666666667</v>
      </c>
      <c r="F20" s="4" t="n">
        <v>3.262</v>
      </c>
      <c r="G20" s="2" t="n">
        <v>25</v>
      </c>
      <c r="H20" s="2" t="n">
        <v>36</v>
      </c>
      <c r="I20" s="1" t="n">
        <v>200</v>
      </c>
      <c r="J20" s="2" t="n">
        <v>600</v>
      </c>
      <c r="K20" s="3" t="n">
        <v>314</v>
      </c>
      <c r="L20" s="12" t="n">
        <v>0.0182558139534884</v>
      </c>
      <c r="M20" s="4" t="n">
        <v>120</v>
      </c>
    </row>
    <row r="21" customFormat="false" ht="14.25" hidden="false" customHeight="false" outlineLevel="0" collapsed="false">
      <c r="A21" s="1" t="s">
        <v>25</v>
      </c>
      <c r="B21" s="2" t="n">
        <v>10</v>
      </c>
      <c r="C21" s="3" t="n">
        <v>628</v>
      </c>
      <c r="D21" s="3" t="n">
        <v>4</v>
      </c>
      <c r="E21" s="2" t="n">
        <v>32.4666666666667</v>
      </c>
      <c r="F21" s="4" t="n">
        <v>3.514</v>
      </c>
      <c r="G21" s="2" t="n">
        <v>25</v>
      </c>
      <c r="H21" s="2" t="n">
        <v>36</v>
      </c>
      <c r="I21" s="1" t="n">
        <v>200</v>
      </c>
      <c r="J21" s="2" t="n">
        <v>600</v>
      </c>
      <c r="K21" s="3" t="n">
        <v>314</v>
      </c>
      <c r="L21" s="12" t="n">
        <v>0.0182558139534884</v>
      </c>
      <c r="M21" s="4" t="n">
        <v>54</v>
      </c>
    </row>
    <row r="22" customFormat="false" ht="14.25" hidden="false" customHeight="false" outlineLevel="0" collapsed="false">
      <c r="B22" s="2" t="n">
        <v>10</v>
      </c>
      <c r="C22" s="3" t="n">
        <v>628</v>
      </c>
      <c r="D22" s="3" t="n">
        <v>4</v>
      </c>
      <c r="E22" s="2" t="n">
        <v>32.4666666666667</v>
      </c>
      <c r="F22" s="4" t="n">
        <v>3.514</v>
      </c>
      <c r="G22" s="2" t="n">
        <v>25</v>
      </c>
      <c r="H22" s="2" t="n">
        <v>36</v>
      </c>
      <c r="I22" s="1" t="n">
        <v>200</v>
      </c>
      <c r="J22" s="2" t="n">
        <v>600</v>
      </c>
      <c r="K22" s="3" t="n">
        <v>314</v>
      </c>
      <c r="L22" s="12" t="n">
        <v>0.0182558139534884</v>
      </c>
      <c r="M22" s="4" t="n">
        <v>60</v>
      </c>
    </row>
    <row r="23" customFormat="false" ht="14.25" hidden="false" customHeight="false" outlineLevel="0" collapsed="false">
      <c r="B23" s="2" t="n">
        <v>10</v>
      </c>
      <c r="C23" s="3" t="n">
        <v>628</v>
      </c>
      <c r="D23" s="3" t="n">
        <v>4</v>
      </c>
      <c r="E23" s="2" t="n">
        <v>32.4666666666667</v>
      </c>
      <c r="F23" s="4" t="n">
        <v>3.514</v>
      </c>
      <c r="G23" s="2" t="n">
        <v>25</v>
      </c>
      <c r="H23" s="2" t="n">
        <v>36</v>
      </c>
      <c r="I23" s="1" t="n">
        <v>200</v>
      </c>
      <c r="J23" s="2" t="n">
        <v>600</v>
      </c>
      <c r="K23" s="3" t="n">
        <v>314</v>
      </c>
      <c r="L23" s="12" t="n">
        <v>0.0182558139534884</v>
      </c>
      <c r="M23" s="4" t="n">
        <v>62.25</v>
      </c>
    </row>
    <row r="24" customFormat="false" ht="14.25" hidden="false" customHeight="false" outlineLevel="0" collapsed="false">
      <c r="B24" s="2" t="n">
        <v>10</v>
      </c>
      <c r="C24" s="3" t="n">
        <v>628</v>
      </c>
      <c r="D24" s="3" t="n">
        <v>4</v>
      </c>
      <c r="E24" s="2" t="n">
        <v>32.4666666666667</v>
      </c>
      <c r="F24" s="4" t="n">
        <v>3.514</v>
      </c>
      <c r="G24" s="2" t="n">
        <v>25</v>
      </c>
      <c r="H24" s="2" t="n">
        <v>36</v>
      </c>
      <c r="I24" s="1" t="n">
        <v>200</v>
      </c>
      <c r="J24" s="2" t="n">
        <v>600</v>
      </c>
      <c r="K24" s="3" t="n">
        <v>314</v>
      </c>
      <c r="L24" s="12" t="n">
        <v>0.0182558139534884</v>
      </c>
      <c r="M24" s="4" t="n">
        <v>66</v>
      </c>
    </row>
    <row r="25" customFormat="false" ht="14.25" hidden="false" customHeight="false" outlineLevel="0" collapsed="false">
      <c r="B25" s="2" t="n">
        <v>10</v>
      </c>
      <c r="C25" s="3" t="n">
        <v>628</v>
      </c>
      <c r="D25" s="3" t="n">
        <v>4</v>
      </c>
      <c r="E25" s="2" t="n">
        <v>32.4666666666667</v>
      </c>
      <c r="F25" s="4" t="n">
        <v>3.514</v>
      </c>
      <c r="G25" s="2" t="n">
        <v>25</v>
      </c>
      <c r="H25" s="2" t="n">
        <v>36</v>
      </c>
      <c r="I25" s="1" t="n">
        <v>200</v>
      </c>
      <c r="J25" s="2" t="n">
        <v>600</v>
      </c>
      <c r="K25" s="3" t="n">
        <v>314</v>
      </c>
      <c r="L25" s="12" t="n">
        <v>0.0182558139534884</v>
      </c>
      <c r="M25" s="4" t="n">
        <v>71.25</v>
      </c>
    </row>
    <row r="26" customFormat="false" ht="14.25" hidden="false" customHeight="false" outlineLevel="0" collapsed="false">
      <c r="B26" s="2" t="n">
        <v>10</v>
      </c>
      <c r="C26" s="3" t="n">
        <v>628</v>
      </c>
      <c r="D26" s="3" t="n">
        <v>4</v>
      </c>
      <c r="E26" s="2" t="n">
        <v>32.4666666666667</v>
      </c>
      <c r="F26" s="4" t="n">
        <v>3.514</v>
      </c>
      <c r="G26" s="2" t="n">
        <v>25</v>
      </c>
      <c r="H26" s="2" t="n">
        <v>36</v>
      </c>
      <c r="I26" s="1" t="n">
        <v>200</v>
      </c>
      <c r="J26" s="2" t="n">
        <v>600</v>
      </c>
      <c r="K26" s="3" t="n">
        <v>314</v>
      </c>
      <c r="L26" s="12" t="n">
        <v>0.0182558139534884</v>
      </c>
      <c r="M26" s="4" t="n">
        <v>82.5</v>
      </c>
    </row>
    <row r="27" customFormat="false" ht="14.25" hidden="false" customHeight="false" outlineLevel="0" collapsed="false">
      <c r="A27" s="1" t="s">
        <v>26</v>
      </c>
      <c r="B27" s="2" t="n">
        <v>16</v>
      </c>
      <c r="C27" s="3" t="n">
        <v>571</v>
      </c>
      <c r="D27" s="3" t="n">
        <v>4</v>
      </c>
      <c r="E27" s="2" t="n">
        <v>37</v>
      </c>
      <c r="F27" s="4" t="n">
        <v>4.2588</v>
      </c>
      <c r="G27" s="2" t="n">
        <v>33</v>
      </c>
      <c r="H27" s="2" t="n">
        <v>59</v>
      </c>
      <c r="I27" s="1" t="n">
        <v>125</v>
      </c>
      <c r="J27" s="2" t="n">
        <v>250</v>
      </c>
      <c r="K27" s="3" t="n">
        <v>800</v>
      </c>
      <c r="L27" s="12" t="n">
        <v>0.0408</v>
      </c>
      <c r="M27" s="4" t="n">
        <v>18.2</v>
      </c>
    </row>
    <row r="28" customFormat="false" ht="14.25" hidden="false" customHeight="false" outlineLevel="0" collapsed="false">
      <c r="B28" s="2" t="n">
        <v>16</v>
      </c>
      <c r="C28" s="3" t="n">
        <v>571</v>
      </c>
      <c r="D28" s="3" t="n">
        <v>4</v>
      </c>
      <c r="E28" s="2" t="n">
        <v>37</v>
      </c>
      <c r="F28" s="4" t="n">
        <v>4.2588</v>
      </c>
      <c r="G28" s="2" t="n">
        <v>33</v>
      </c>
      <c r="H28" s="2" t="n">
        <v>59</v>
      </c>
      <c r="I28" s="1" t="n">
        <v>125</v>
      </c>
      <c r="J28" s="2" t="n">
        <v>250</v>
      </c>
      <c r="K28" s="3" t="n">
        <v>800</v>
      </c>
      <c r="L28" s="12" t="n">
        <v>0.0408</v>
      </c>
      <c r="M28" s="4" t="n">
        <v>26.2</v>
      </c>
    </row>
    <row r="29" customFormat="false" ht="14.25" hidden="false" customHeight="false" outlineLevel="0" collapsed="false">
      <c r="B29" s="2" t="n">
        <v>16</v>
      </c>
      <c r="C29" s="3" t="n">
        <v>571</v>
      </c>
      <c r="D29" s="3" t="n">
        <v>4</v>
      </c>
      <c r="E29" s="2" t="n">
        <v>37</v>
      </c>
      <c r="F29" s="4" t="n">
        <v>4.2588</v>
      </c>
      <c r="G29" s="2" t="n">
        <v>33</v>
      </c>
      <c r="H29" s="2" t="n">
        <v>59</v>
      </c>
      <c r="I29" s="1" t="n">
        <v>125</v>
      </c>
      <c r="J29" s="2" t="n">
        <v>250</v>
      </c>
      <c r="K29" s="3" t="n">
        <v>800</v>
      </c>
      <c r="L29" s="12" t="n">
        <v>0.0408</v>
      </c>
      <c r="M29" s="4" t="n">
        <v>31.7</v>
      </c>
    </row>
    <row r="30" customFormat="false" ht="14.25" hidden="false" customHeight="false" outlineLevel="0" collapsed="false">
      <c r="B30" s="2" t="n">
        <v>16</v>
      </c>
      <c r="C30" s="3" t="n">
        <v>571</v>
      </c>
      <c r="D30" s="3" t="n">
        <v>4</v>
      </c>
      <c r="E30" s="2" t="n">
        <v>37</v>
      </c>
      <c r="F30" s="4" t="n">
        <v>4.2588</v>
      </c>
      <c r="G30" s="2" t="n">
        <v>33</v>
      </c>
      <c r="H30" s="2" t="n">
        <v>59</v>
      </c>
      <c r="I30" s="1" t="n">
        <v>125</v>
      </c>
      <c r="J30" s="2" t="n">
        <v>250</v>
      </c>
      <c r="K30" s="3" t="n">
        <v>800</v>
      </c>
      <c r="L30" s="12" t="n">
        <v>0.0408</v>
      </c>
      <c r="M30" s="4" t="n">
        <v>40.8</v>
      </c>
    </row>
    <row r="31" customFormat="false" ht="14.25" hidden="false" customHeight="false" outlineLevel="0" collapsed="false">
      <c r="B31" s="2" t="n">
        <v>16</v>
      </c>
      <c r="C31" s="3" t="n">
        <v>571</v>
      </c>
      <c r="D31" s="3" t="n">
        <v>4</v>
      </c>
      <c r="E31" s="2" t="n">
        <v>37</v>
      </c>
      <c r="F31" s="4" t="n">
        <v>4.2588</v>
      </c>
      <c r="G31" s="2" t="n">
        <v>33</v>
      </c>
      <c r="H31" s="2" t="n">
        <v>59</v>
      </c>
      <c r="I31" s="1" t="n">
        <v>125</v>
      </c>
      <c r="J31" s="2" t="n">
        <v>250</v>
      </c>
      <c r="K31" s="3" t="n">
        <v>800</v>
      </c>
      <c r="L31" s="12" t="n">
        <v>0.0408</v>
      </c>
      <c r="M31" s="4" t="n">
        <v>54.1</v>
      </c>
    </row>
    <row r="32" customFormat="false" ht="14.25" hidden="false" customHeight="false" outlineLevel="0" collapsed="false">
      <c r="A32" s="1" t="s">
        <v>27</v>
      </c>
      <c r="B32" s="2" t="n">
        <v>12</v>
      </c>
      <c r="C32" s="3" t="n">
        <v>500</v>
      </c>
      <c r="D32" s="3" t="n">
        <v>4</v>
      </c>
      <c r="E32" s="2" t="n">
        <v>79.3</v>
      </c>
      <c r="F32" s="4" t="n">
        <v>2.69332921131829</v>
      </c>
      <c r="G32" s="2" t="n">
        <v>20</v>
      </c>
      <c r="H32" s="2" t="n">
        <v>38</v>
      </c>
      <c r="I32" s="1" t="n">
        <v>350</v>
      </c>
      <c r="J32" s="2" t="n">
        <v>450</v>
      </c>
      <c r="K32" s="3" t="n">
        <v>452</v>
      </c>
      <c r="L32" s="12" t="n">
        <v>0.0131778425655977</v>
      </c>
      <c r="M32" s="4" t="n">
        <v>52.5</v>
      </c>
    </row>
    <row r="33" customFormat="false" ht="14.25" hidden="false" customHeight="false" outlineLevel="0" collapsed="false">
      <c r="B33" s="2" t="n">
        <v>12</v>
      </c>
      <c r="C33" s="3" t="n">
        <v>500</v>
      </c>
      <c r="D33" s="3" t="n">
        <v>4</v>
      </c>
      <c r="E33" s="2" t="n">
        <v>79.3</v>
      </c>
      <c r="F33" s="4" t="n">
        <v>2.69332921131829</v>
      </c>
      <c r="G33" s="2" t="n">
        <v>20</v>
      </c>
      <c r="H33" s="2" t="n">
        <v>38</v>
      </c>
      <c r="I33" s="1" t="n">
        <v>350</v>
      </c>
      <c r="J33" s="2" t="n">
        <v>450</v>
      </c>
      <c r="K33" s="3" t="n">
        <v>452</v>
      </c>
      <c r="L33" s="12" t="n">
        <v>0.0131778425655977</v>
      </c>
      <c r="M33" s="4" t="n">
        <v>67.5</v>
      </c>
    </row>
    <row r="34" customFormat="false" ht="14.25" hidden="false" customHeight="false" outlineLevel="0" collapsed="false">
      <c r="B34" s="2" t="n">
        <v>12</v>
      </c>
      <c r="C34" s="3" t="n">
        <v>500</v>
      </c>
      <c r="D34" s="3" t="n">
        <v>4</v>
      </c>
      <c r="E34" s="2" t="n">
        <v>79.3</v>
      </c>
      <c r="F34" s="4" t="n">
        <v>2.69332921131829</v>
      </c>
      <c r="G34" s="2" t="n">
        <v>20</v>
      </c>
      <c r="H34" s="2" t="n">
        <v>38</v>
      </c>
      <c r="I34" s="1" t="n">
        <v>350</v>
      </c>
      <c r="J34" s="2" t="n">
        <v>450</v>
      </c>
      <c r="K34" s="3" t="n">
        <v>452</v>
      </c>
      <c r="L34" s="12" t="n">
        <v>0.0131778425655977</v>
      </c>
      <c r="M34" s="4" t="n">
        <v>90</v>
      </c>
    </row>
    <row r="35" customFormat="false" ht="14.25" hidden="false" customHeight="false" outlineLevel="0" collapsed="false">
      <c r="B35" s="2" t="n">
        <v>12</v>
      </c>
      <c r="C35" s="3" t="n">
        <v>500</v>
      </c>
      <c r="D35" s="3" t="n">
        <v>4</v>
      </c>
      <c r="E35" s="2" t="n">
        <v>79.3</v>
      </c>
      <c r="F35" s="4" t="n">
        <v>2.69332921131829</v>
      </c>
      <c r="G35" s="2" t="n">
        <v>20</v>
      </c>
      <c r="H35" s="2" t="n">
        <v>38</v>
      </c>
      <c r="I35" s="1" t="n">
        <v>350</v>
      </c>
      <c r="J35" s="2" t="n">
        <v>450</v>
      </c>
      <c r="K35" s="3" t="n">
        <v>452</v>
      </c>
      <c r="L35" s="12" t="n">
        <v>0.0131778425655977</v>
      </c>
      <c r="M35" s="4" t="n">
        <v>112.5</v>
      </c>
    </row>
    <row r="36" customFormat="false" ht="14.25" hidden="false" customHeight="false" outlineLevel="0" collapsed="false">
      <c r="B36" s="2" t="n">
        <v>12</v>
      </c>
      <c r="C36" s="3" t="n">
        <v>500</v>
      </c>
      <c r="D36" s="3" t="n">
        <v>4</v>
      </c>
      <c r="E36" s="2" t="n">
        <v>79.3</v>
      </c>
      <c r="F36" s="4" t="n">
        <v>2.69332921131829</v>
      </c>
      <c r="G36" s="2" t="n">
        <v>20</v>
      </c>
      <c r="H36" s="2" t="n">
        <v>38</v>
      </c>
      <c r="I36" s="1" t="n">
        <v>350</v>
      </c>
      <c r="J36" s="2" t="n">
        <v>450</v>
      </c>
      <c r="K36" s="3" t="n">
        <v>452</v>
      </c>
      <c r="L36" s="12" t="n">
        <v>0.0131778425655977</v>
      </c>
      <c r="M36" s="4" t="n">
        <v>120</v>
      </c>
    </row>
    <row r="37" customFormat="false" ht="14.25" hidden="false" customHeight="false" outlineLevel="0" collapsed="false">
      <c r="A37" s="1" t="s">
        <v>28</v>
      </c>
      <c r="B37" s="2" t="n">
        <v>25</v>
      </c>
      <c r="C37" s="3" t="n">
        <v>500</v>
      </c>
      <c r="D37" s="3" t="n">
        <v>4</v>
      </c>
      <c r="E37" s="2" t="n">
        <v>62</v>
      </c>
      <c r="F37" s="4" t="n">
        <v>2.69332921131829</v>
      </c>
      <c r="G37" s="2" t="n">
        <v>20</v>
      </c>
      <c r="H37" s="2" t="n">
        <v>44.5</v>
      </c>
      <c r="I37" s="1" t="n">
        <v>350</v>
      </c>
      <c r="J37" s="2" t="n">
        <v>450</v>
      </c>
      <c r="K37" s="3" t="n">
        <v>1964</v>
      </c>
      <c r="L37" s="12" t="n">
        <v>0.0360284338454483</v>
      </c>
      <c r="M37" s="4" t="n">
        <v>75</v>
      </c>
    </row>
    <row r="38" customFormat="false" ht="14.25" hidden="false" customHeight="false" outlineLevel="0" collapsed="false">
      <c r="B38" s="2" t="n">
        <v>25</v>
      </c>
      <c r="C38" s="3" t="n">
        <v>500</v>
      </c>
      <c r="D38" s="3" t="n">
        <v>4</v>
      </c>
      <c r="E38" s="2" t="n">
        <v>62</v>
      </c>
      <c r="F38" s="4" t="n">
        <v>2.69332921131829</v>
      </c>
      <c r="G38" s="2" t="n">
        <v>20</v>
      </c>
      <c r="H38" s="2" t="n">
        <v>44.5</v>
      </c>
      <c r="I38" s="1" t="n">
        <v>350</v>
      </c>
      <c r="J38" s="2" t="n">
        <v>450</v>
      </c>
      <c r="K38" s="3" t="n">
        <v>1964</v>
      </c>
      <c r="L38" s="12" t="n">
        <v>0.0360284338454483</v>
      </c>
      <c r="M38" s="4" t="n">
        <v>135</v>
      </c>
    </row>
    <row r="39" customFormat="false" ht="14.25" hidden="false" customHeight="false" outlineLevel="0" collapsed="false">
      <c r="B39" s="2" t="n">
        <v>25</v>
      </c>
      <c r="C39" s="3" t="n">
        <v>500</v>
      </c>
      <c r="D39" s="3" t="n">
        <v>4</v>
      </c>
      <c r="E39" s="2" t="n">
        <v>62</v>
      </c>
      <c r="F39" s="4" t="n">
        <v>2.69332921131829</v>
      </c>
      <c r="G39" s="2" t="n">
        <v>20</v>
      </c>
      <c r="H39" s="2" t="n">
        <v>44.5</v>
      </c>
      <c r="I39" s="1" t="n">
        <v>350</v>
      </c>
      <c r="J39" s="2" t="n">
        <v>450</v>
      </c>
      <c r="K39" s="3" t="n">
        <v>1964</v>
      </c>
      <c r="L39" s="12" t="n">
        <v>0.0360284338454483</v>
      </c>
      <c r="M39" s="4" t="n">
        <v>195</v>
      </c>
    </row>
    <row r="40" customFormat="false" ht="14.25" hidden="false" customHeight="false" outlineLevel="0" collapsed="false">
      <c r="B40" s="2" t="n">
        <v>25</v>
      </c>
      <c r="C40" s="3" t="n">
        <v>500</v>
      </c>
      <c r="D40" s="3" t="n">
        <v>4</v>
      </c>
      <c r="E40" s="2" t="n">
        <v>62</v>
      </c>
      <c r="F40" s="4" t="n">
        <v>2.69332921131829</v>
      </c>
      <c r="G40" s="2" t="n">
        <v>20</v>
      </c>
      <c r="H40" s="2" t="n">
        <v>44.5</v>
      </c>
      <c r="I40" s="1" t="n">
        <v>350</v>
      </c>
      <c r="J40" s="2" t="n">
        <v>450</v>
      </c>
      <c r="K40" s="3" t="n">
        <v>1964</v>
      </c>
      <c r="L40" s="12" t="n">
        <v>0.0360284338454483</v>
      </c>
      <c r="M40" s="4" t="n">
        <v>255</v>
      </c>
    </row>
    <row r="41" customFormat="false" ht="14.25" hidden="false" customHeight="false" outlineLevel="0" collapsed="false">
      <c r="B41" s="2" t="n">
        <v>25</v>
      </c>
      <c r="C41" s="3" t="n">
        <v>500</v>
      </c>
      <c r="D41" s="3" t="n">
        <v>4</v>
      </c>
      <c r="E41" s="2" t="n">
        <v>62</v>
      </c>
      <c r="F41" s="4" t="n">
        <v>2.69332921131829</v>
      </c>
      <c r="G41" s="2" t="n">
        <v>20</v>
      </c>
      <c r="H41" s="2" t="n">
        <v>44.5</v>
      </c>
      <c r="I41" s="1" t="n">
        <v>350</v>
      </c>
      <c r="J41" s="2" t="n">
        <v>450</v>
      </c>
      <c r="K41" s="3" t="n">
        <v>1964</v>
      </c>
      <c r="L41" s="12" t="n">
        <v>0.0360284338454483</v>
      </c>
      <c r="M41" s="4" t="n">
        <v>300</v>
      </c>
    </row>
    <row r="42" customFormat="false" ht="14.25" hidden="false" customHeight="false" outlineLevel="0" collapsed="false">
      <c r="B42" s="2" t="n">
        <v>25</v>
      </c>
      <c r="C42" s="3" t="n">
        <v>500</v>
      </c>
      <c r="D42" s="3" t="n">
        <v>4</v>
      </c>
      <c r="E42" s="2" t="n">
        <v>62</v>
      </c>
      <c r="F42" s="4" t="n">
        <v>2.69332921131829</v>
      </c>
      <c r="G42" s="2" t="n">
        <v>20</v>
      </c>
      <c r="H42" s="2" t="n">
        <v>44.5</v>
      </c>
      <c r="I42" s="1" t="n">
        <v>350</v>
      </c>
      <c r="J42" s="2" t="n">
        <v>450</v>
      </c>
      <c r="K42" s="3" t="n">
        <v>1964</v>
      </c>
      <c r="L42" s="12" t="n">
        <v>0.0360284338454483</v>
      </c>
      <c r="M42" s="4" t="n">
        <v>360</v>
      </c>
    </row>
    <row r="43" customFormat="false" ht="14.25" hidden="false" customHeight="false" outlineLevel="0" collapsed="false">
      <c r="A43" s="1" t="s">
        <v>29</v>
      </c>
      <c r="B43" s="2" t="n">
        <v>12</v>
      </c>
      <c r="C43" s="3" t="n">
        <v>500</v>
      </c>
      <c r="D43" s="3" t="n">
        <v>4</v>
      </c>
      <c r="E43" s="2" t="n">
        <v>79.3</v>
      </c>
      <c r="F43" s="4" t="n">
        <v>2.69332921131829</v>
      </c>
      <c r="G43" s="2" t="n">
        <v>20</v>
      </c>
      <c r="H43" s="2" t="n">
        <v>34</v>
      </c>
      <c r="I43" s="1" t="n">
        <v>350</v>
      </c>
      <c r="J43" s="2" t="n">
        <v>450</v>
      </c>
      <c r="K43" s="3" t="n">
        <v>452</v>
      </c>
      <c r="L43" s="12" t="n">
        <v>0.0137386018237082</v>
      </c>
      <c r="M43" s="4" t="n">
        <v>37.5</v>
      </c>
    </row>
    <row r="44" customFormat="false" ht="14.25" hidden="false" customHeight="false" outlineLevel="0" collapsed="false">
      <c r="B44" s="2" t="n">
        <v>12</v>
      </c>
      <c r="C44" s="3" t="n">
        <v>500</v>
      </c>
      <c r="D44" s="3" t="n">
        <v>4</v>
      </c>
      <c r="E44" s="2" t="n">
        <v>79.3</v>
      </c>
      <c r="F44" s="4" t="n">
        <v>2.69332921131829</v>
      </c>
      <c r="G44" s="2" t="n">
        <v>20</v>
      </c>
      <c r="H44" s="2" t="n">
        <v>34</v>
      </c>
      <c r="I44" s="1" t="n">
        <v>350</v>
      </c>
      <c r="J44" s="2" t="n">
        <v>450</v>
      </c>
      <c r="K44" s="3" t="n">
        <v>452</v>
      </c>
      <c r="L44" s="12" t="n">
        <v>0.0137386018237082</v>
      </c>
      <c r="M44" s="4" t="n">
        <v>45</v>
      </c>
    </row>
    <row r="45" customFormat="false" ht="14.25" hidden="false" customHeight="false" outlineLevel="0" collapsed="false">
      <c r="B45" s="2" t="n">
        <v>12</v>
      </c>
      <c r="C45" s="3" t="n">
        <v>500</v>
      </c>
      <c r="D45" s="3" t="n">
        <v>4</v>
      </c>
      <c r="E45" s="2" t="n">
        <v>79.3</v>
      </c>
      <c r="F45" s="4" t="n">
        <v>2.69332921131829</v>
      </c>
      <c r="G45" s="2" t="n">
        <v>20</v>
      </c>
      <c r="H45" s="2" t="n">
        <v>34</v>
      </c>
      <c r="I45" s="1" t="n">
        <v>350</v>
      </c>
      <c r="J45" s="2" t="n">
        <v>450</v>
      </c>
      <c r="K45" s="3" t="n">
        <v>452</v>
      </c>
      <c r="L45" s="12" t="n">
        <v>0.0137386018237082</v>
      </c>
      <c r="M45" s="4" t="n">
        <v>52.5</v>
      </c>
    </row>
    <row r="46" customFormat="false" ht="14.25" hidden="false" customHeight="false" outlineLevel="0" collapsed="false">
      <c r="B46" s="2" t="n">
        <v>12</v>
      </c>
      <c r="C46" s="3" t="n">
        <v>500</v>
      </c>
      <c r="D46" s="3" t="n">
        <v>4</v>
      </c>
      <c r="E46" s="2" t="n">
        <v>79.3</v>
      </c>
      <c r="F46" s="4" t="n">
        <v>2.69332921131829</v>
      </c>
      <c r="G46" s="2" t="n">
        <v>20</v>
      </c>
      <c r="H46" s="2" t="n">
        <v>34</v>
      </c>
      <c r="I46" s="1" t="n">
        <v>350</v>
      </c>
      <c r="J46" s="2" t="n">
        <v>450</v>
      </c>
      <c r="K46" s="3" t="n">
        <v>452</v>
      </c>
      <c r="L46" s="12" t="n">
        <v>0.0137386018237082</v>
      </c>
      <c r="M46" s="4" t="n">
        <v>67.5</v>
      </c>
    </row>
    <row r="47" customFormat="false" ht="14.25" hidden="false" customHeight="false" outlineLevel="0" collapsed="false">
      <c r="B47" s="2" t="n">
        <v>12</v>
      </c>
      <c r="C47" s="3" t="n">
        <v>500</v>
      </c>
      <c r="D47" s="3" t="n">
        <v>4</v>
      </c>
      <c r="E47" s="2" t="n">
        <v>79.3</v>
      </c>
      <c r="F47" s="4" t="n">
        <v>2.69332921131829</v>
      </c>
      <c r="G47" s="2" t="n">
        <v>20</v>
      </c>
      <c r="H47" s="2" t="n">
        <v>34</v>
      </c>
      <c r="I47" s="1" t="n">
        <v>350</v>
      </c>
      <c r="J47" s="2" t="n">
        <v>450</v>
      </c>
      <c r="K47" s="3" t="n">
        <v>452</v>
      </c>
      <c r="L47" s="12" t="n">
        <v>0.0137386018237082</v>
      </c>
      <c r="M47" s="4" t="n">
        <v>90</v>
      </c>
    </row>
    <row r="48" customFormat="false" ht="14.25" hidden="false" customHeight="false" outlineLevel="0" collapsed="false">
      <c r="A48" s="1" t="s">
        <v>30</v>
      </c>
      <c r="B48" s="2" t="n">
        <v>12</v>
      </c>
      <c r="C48" s="3" t="n">
        <v>500</v>
      </c>
      <c r="D48" s="3" t="n">
        <v>4</v>
      </c>
      <c r="E48" s="2" t="n">
        <v>79.3</v>
      </c>
      <c r="F48" s="4" t="n">
        <v>2.69332921131829</v>
      </c>
      <c r="G48" s="2" t="n">
        <v>20</v>
      </c>
      <c r="H48" s="2" t="n">
        <v>34</v>
      </c>
      <c r="I48" s="1" t="n">
        <v>350</v>
      </c>
      <c r="J48" s="2" t="n">
        <v>450</v>
      </c>
      <c r="K48" s="3" t="n">
        <v>452</v>
      </c>
      <c r="L48" s="12" t="n">
        <v>0.0137386018237082</v>
      </c>
      <c r="M48" s="4" t="n">
        <v>37.5</v>
      </c>
    </row>
    <row r="49" customFormat="false" ht="14.25" hidden="false" customHeight="false" outlineLevel="0" collapsed="false">
      <c r="B49" s="2" t="n">
        <v>12</v>
      </c>
      <c r="C49" s="3" t="n">
        <v>500</v>
      </c>
      <c r="D49" s="3" t="n">
        <v>4</v>
      </c>
      <c r="E49" s="2" t="n">
        <v>79.3</v>
      </c>
      <c r="F49" s="4" t="n">
        <v>2.69332921131829</v>
      </c>
      <c r="G49" s="2" t="n">
        <v>20</v>
      </c>
      <c r="H49" s="2" t="n">
        <v>34</v>
      </c>
      <c r="I49" s="1" t="n">
        <v>350</v>
      </c>
      <c r="J49" s="2" t="n">
        <v>450</v>
      </c>
      <c r="K49" s="3" t="n">
        <v>452</v>
      </c>
      <c r="L49" s="12" t="n">
        <v>0.0137386018237082</v>
      </c>
      <c r="M49" s="4" t="n">
        <v>52.5</v>
      </c>
    </row>
    <row r="50" customFormat="false" ht="14.25" hidden="false" customHeight="false" outlineLevel="0" collapsed="false">
      <c r="B50" s="2" t="n">
        <v>12</v>
      </c>
      <c r="C50" s="3" t="n">
        <v>500</v>
      </c>
      <c r="D50" s="3" t="n">
        <v>4</v>
      </c>
      <c r="E50" s="2" t="n">
        <v>79.3</v>
      </c>
      <c r="F50" s="4" t="n">
        <v>2.69332921131829</v>
      </c>
      <c r="G50" s="2" t="n">
        <v>20</v>
      </c>
      <c r="H50" s="2" t="n">
        <v>34</v>
      </c>
      <c r="I50" s="1" t="n">
        <v>350</v>
      </c>
      <c r="J50" s="2" t="n">
        <v>450</v>
      </c>
      <c r="K50" s="3" t="n">
        <v>452</v>
      </c>
      <c r="L50" s="12" t="n">
        <v>0.0137386018237082</v>
      </c>
      <c r="M50" s="4" t="n">
        <v>67.5</v>
      </c>
    </row>
    <row r="51" customFormat="false" ht="14.25" hidden="false" customHeight="false" outlineLevel="0" collapsed="false">
      <c r="B51" s="2" t="n">
        <v>12</v>
      </c>
      <c r="C51" s="3" t="n">
        <v>500</v>
      </c>
      <c r="D51" s="3" t="n">
        <v>4</v>
      </c>
      <c r="E51" s="2" t="n">
        <v>79.3</v>
      </c>
      <c r="F51" s="4" t="n">
        <v>2.69332921131829</v>
      </c>
      <c r="G51" s="2" t="n">
        <v>20</v>
      </c>
      <c r="H51" s="2" t="n">
        <v>34</v>
      </c>
      <c r="I51" s="1" t="n">
        <v>350</v>
      </c>
      <c r="J51" s="2" t="n">
        <v>450</v>
      </c>
      <c r="K51" s="3" t="n">
        <v>452</v>
      </c>
      <c r="L51" s="12" t="n">
        <v>0.0137386018237082</v>
      </c>
      <c r="M51" s="4" t="n">
        <v>90</v>
      </c>
    </row>
    <row r="52" customFormat="false" ht="14.25" hidden="false" customHeight="false" outlineLevel="0" collapsed="false">
      <c r="A52" s="1" t="s">
        <v>31</v>
      </c>
      <c r="B52" s="2" t="n">
        <v>12</v>
      </c>
      <c r="C52" s="3" t="n">
        <v>500</v>
      </c>
      <c r="D52" s="3" t="n">
        <v>4</v>
      </c>
      <c r="E52" s="2" t="n">
        <v>46</v>
      </c>
      <c r="F52" s="4" t="n">
        <v>2.69332921131829</v>
      </c>
      <c r="G52" s="2" t="n">
        <v>70</v>
      </c>
      <c r="H52" s="2" t="n">
        <v>88</v>
      </c>
      <c r="I52" s="1" t="n">
        <v>350</v>
      </c>
      <c r="J52" s="2" t="n">
        <v>450</v>
      </c>
      <c r="K52" s="3" t="n">
        <v>452</v>
      </c>
      <c r="L52" s="12" t="n">
        <v>0.0107619047619048</v>
      </c>
      <c r="M52" s="4" t="n">
        <v>37.5</v>
      </c>
    </row>
    <row r="53" customFormat="false" ht="14.25" hidden="false" customHeight="false" outlineLevel="0" collapsed="false">
      <c r="B53" s="2" t="n">
        <v>12</v>
      </c>
      <c r="C53" s="3" t="n">
        <v>500</v>
      </c>
      <c r="D53" s="3" t="n">
        <v>4</v>
      </c>
      <c r="E53" s="2" t="n">
        <v>46</v>
      </c>
      <c r="F53" s="4" t="n">
        <v>2.69332921131829</v>
      </c>
      <c r="G53" s="2" t="n">
        <v>70</v>
      </c>
      <c r="H53" s="2" t="n">
        <v>88</v>
      </c>
      <c r="I53" s="1" t="n">
        <v>350</v>
      </c>
      <c r="J53" s="2" t="n">
        <v>450</v>
      </c>
      <c r="K53" s="3" t="n">
        <v>452</v>
      </c>
      <c r="L53" s="12" t="n">
        <v>0.0107619047619048</v>
      </c>
      <c r="M53" s="4" t="n">
        <v>45</v>
      </c>
    </row>
    <row r="54" customFormat="false" ht="14.25" hidden="false" customHeight="false" outlineLevel="0" collapsed="false">
      <c r="A54" s="1" t="s">
        <v>32</v>
      </c>
      <c r="B54" s="2" t="n">
        <v>12</v>
      </c>
      <c r="C54" s="3" t="n">
        <v>500</v>
      </c>
      <c r="D54" s="3" t="n">
        <v>4</v>
      </c>
      <c r="E54" s="2" t="n">
        <v>46</v>
      </c>
      <c r="F54" s="4" t="n">
        <v>2.69332921131829</v>
      </c>
      <c r="G54" s="2" t="n">
        <v>70</v>
      </c>
      <c r="H54" s="2" t="n">
        <v>84</v>
      </c>
      <c r="I54" s="1" t="n">
        <v>350</v>
      </c>
      <c r="J54" s="2" t="n">
        <v>450</v>
      </c>
      <c r="K54" s="3" t="n">
        <v>452</v>
      </c>
      <c r="L54" s="12" t="n">
        <v>0.0107619047619048</v>
      </c>
      <c r="M54" s="4" t="n">
        <v>30</v>
      </c>
    </row>
    <row r="55" customFormat="false" ht="14.25" hidden="false" customHeight="false" outlineLevel="0" collapsed="false">
      <c r="B55" s="2" t="n">
        <v>12</v>
      </c>
      <c r="C55" s="3" t="n">
        <v>500</v>
      </c>
      <c r="D55" s="3" t="n">
        <v>4</v>
      </c>
      <c r="E55" s="2" t="n">
        <v>46</v>
      </c>
      <c r="F55" s="4" t="n">
        <v>2.69332921131829</v>
      </c>
      <c r="G55" s="2" t="n">
        <v>70</v>
      </c>
      <c r="H55" s="2" t="n">
        <v>84</v>
      </c>
      <c r="I55" s="1" t="n">
        <v>350</v>
      </c>
      <c r="J55" s="2" t="n">
        <v>450</v>
      </c>
      <c r="K55" s="3" t="n">
        <v>452</v>
      </c>
      <c r="L55" s="12" t="n">
        <v>0.0107619047619048</v>
      </c>
      <c r="M55" s="4" t="n">
        <v>37.5</v>
      </c>
    </row>
    <row r="56" customFormat="false" ht="14.25" hidden="false" customHeight="false" outlineLevel="0" collapsed="false">
      <c r="B56" s="2" t="n">
        <v>12</v>
      </c>
      <c r="C56" s="3" t="n">
        <v>500</v>
      </c>
      <c r="D56" s="3" t="n">
        <v>4</v>
      </c>
      <c r="E56" s="2" t="n">
        <v>46</v>
      </c>
      <c r="F56" s="4" t="n">
        <v>2.69332921131829</v>
      </c>
      <c r="G56" s="2" t="n">
        <v>70</v>
      </c>
      <c r="H56" s="2" t="n">
        <v>84</v>
      </c>
      <c r="I56" s="1" t="n">
        <v>350</v>
      </c>
      <c r="J56" s="2" t="n">
        <v>450</v>
      </c>
      <c r="K56" s="3" t="n">
        <v>452</v>
      </c>
      <c r="L56" s="12" t="n">
        <v>0.0107619047619048</v>
      </c>
      <c r="M56" s="4" t="n">
        <v>45</v>
      </c>
    </row>
    <row r="57" customFormat="false" ht="14.25" hidden="false" customHeight="false" outlineLevel="0" collapsed="false">
      <c r="A57" s="1" t="s">
        <v>33</v>
      </c>
      <c r="B57" s="2" t="n">
        <v>12</v>
      </c>
      <c r="C57" s="3" t="n">
        <v>500</v>
      </c>
      <c r="D57" s="3" t="n">
        <v>4</v>
      </c>
      <c r="E57" s="2" t="n">
        <v>46</v>
      </c>
      <c r="F57" s="4" t="n">
        <v>2.69332921131829</v>
      </c>
      <c r="G57" s="2" t="n">
        <v>70</v>
      </c>
      <c r="H57" s="2" t="n">
        <v>84</v>
      </c>
      <c r="I57" s="1" t="n">
        <v>350</v>
      </c>
      <c r="J57" s="2" t="n">
        <v>450</v>
      </c>
      <c r="K57" s="3" t="n">
        <v>452</v>
      </c>
      <c r="L57" s="12" t="n">
        <v>0.0107619047619048</v>
      </c>
      <c r="M57" s="4" t="n">
        <v>30</v>
      </c>
    </row>
    <row r="58" customFormat="false" ht="14.25" hidden="false" customHeight="false" outlineLevel="0" collapsed="false">
      <c r="B58" s="2" t="n">
        <v>12</v>
      </c>
      <c r="C58" s="3" t="n">
        <v>500</v>
      </c>
      <c r="D58" s="3" t="n">
        <v>4</v>
      </c>
      <c r="E58" s="2" t="n">
        <v>46</v>
      </c>
      <c r="F58" s="4" t="n">
        <v>2.69332921131829</v>
      </c>
      <c r="G58" s="2" t="n">
        <v>70</v>
      </c>
      <c r="H58" s="2" t="n">
        <v>84</v>
      </c>
      <c r="I58" s="1" t="n">
        <v>350</v>
      </c>
      <c r="J58" s="2" t="n">
        <v>450</v>
      </c>
      <c r="K58" s="3" t="n">
        <v>452</v>
      </c>
      <c r="L58" s="12" t="n">
        <v>0.0107619047619048</v>
      </c>
      <c r="M58" s="4" t="n">
        <v>37.5</v>
      </c>
    </row>
    <row r="59" customFormat="false" ht="14.25" hidden="false" customHeight="false" outlineLevel="0" collapsed="false">
      <c r="B59" s="2" t="n">
        <v>12</v>
      </c>
      <c r="C59" s="3" t="n">
        <v>500</v>
      </c>
      <c r="D59" s="3" t="n">
        <v>4</v>
      </c>
      <c r="E59" s="2" t="n">
        <v>46</v>
      </c>
      <c r="F59" s="4" t="n">
        <v>2.69332921131829</v>
      </c>
      <c r="G59" s="2" t="n">
        <v>70</v>
      </c>
      <c r="H59" s="2" t="n">
        <v>84</v>
      </c>
      <c r="I59" s="1" t="n">
        <v>350</v>
      </c>
      <c r="J59" s="2" t="n">
        <v>450</v>
      </c>
      <c r="K59" s="3" t="n">
        <v>452</v>
      </c>
      <c r="L59" s="12" t="n">
        <v>0.0107619047619048</v>
      </c>
      <c r="M59" s="4" t="n">
        <v>45</v>
      </c>
    </row>
    <row r="60" customFormat="false" ht="14.25" hidden="false" customHeight="false" outlineLevel="0" collapsed="false">
      <c r="A60" s="1" t="s">
        <v>34</v>
      </c>
      <c r="B60" s="2" t="n">
        <v>25</v>
      </c>
      <c r="C60" s="3" t="n">
        <v>500</v>
      </c>
      <c r="D60" s="3" t="n">
        <v>4</v>
      </c>
      <c r="E60" s="2" t="n">
        <v>62</v>
      </c>
      <c r="F60" s="4" t="n">
        <v>2.69332921131829</v>
      </c>
      <c r="G60" s="2" t="n">
        <v>20</v>
      </c>
      <c r="H60" s="2" t="n">
        <v>40.5</v>
      </c>
      <c r="I60" s="1" t="n">
        <v>350</v>
      </c>
      <c r="J60" s="2" t="n">
        <v>450</v>
      </c>
      <c r="K60" s="3" t="n">
        <v>1964</v>
      </c>
      <c r="L60" s="12" t="n">
        <v>0.0395867976820358</v>
      </c>
      <c r="M60" s="4" t="n">
        <v>150</v>
      </c>
    </row>
    <row r="61" customFormat="false" ht="14.25" hidden="false" customHeight="false" outlineLevel="0" collapsed="false">
      <c r="B61" s="2" t="n">
        <v>25</v>
      </c>
      <c r="C61" s="3" t="n">
        <v>500</v>
      </c>
      <c r="D61" s="3" t="n">
        <v>4</v>
      </c>
      <c r="E61" s="2" t="n">
        <v>62</v>
      </c>
      <c r="F61" s="4" t="n">
        <v>2.69332921131829</v>
      </c>
      <c r="G61" s="2" t="n">
        <v>20</v>
      </c>
      <c r="H61" s="2" t="n">
        <v>40.5</v>
      </c>
      <c r="I61" s="1" t="n">
        <v>350</v>
      </c>
      <c r="J61" s="2" t="n">
        <v>450</v>
      </c>
      <c r="K61" s="3" t="n">
        <v>1964</v>
      </c>
      <c r="L61" s="12" t="n">
        <v>0.0395867976820358</v>
      </c>
      <c r="M61" s="4" t="n">
        <v>225</v>
      </c>
    </row>
    <row r="62" customFormat="false" ht="14.25" hidden="false" customHeight="false" outlineLevel="0" collapsed="false">
      <c r="B62" s="2" t="n">
        <v>25</v>
      </c>
      <c r="C62" s="3" t="n">
        <v>500</v>
      </c>
      <c r="D62" s="3" t="n">
        <v>4</v>
      </c>
      <c r="E62" s="2" t="n">
        <v>62</v>
      </c>
      <c r="F62" s="4" t="n">
        <v>2.69332921131829</v>
      </c>
      <c r="G62" s="2" t="n">
        <v>20</v>
      </c>
      <c r="H62" s="2" t="n">
        <v>40.5</v>
      </c>
      <c r="I62" s="1" t="n">
        <v>350</v>
      </c>
      <c r="J62" s="2" t="n">
        <v>450</v>
      </c>
      <c r="K62" s="3" t="n">
        <v>1964</v>
      </c>
      <c r="L62" s="12" t="n">
        <v>0.0395867976820358</v>
      </c>
      <c r="M62" s="4" t="n">
        <v>300</v>
      </c>
    </row>
    <row r="63" customFormat="false" ht="14.25" hidden="false" customHeight="false" outlineLevel="0" collapsed="false">
      <c r="B63" s="2" t="n">
        <v>25</v>
      </c>
      <c r="C63" s="3" t="n">
        <v>500</v>
      </c>
      <c r="D63" s="3" t="n">
        <v>4</v>
      </c>
      <c r="E63" s="2" t="n">
        <v>62</v>
      </c>
      <c r="F63" s="4" t="n">
        <v>2.69332921131829</v>
      </c>
      <c r="G63" s="2" t="n">
        <v>20</v>
      </c>
      <c r="H63" s="2" t="n">
        <v>40.5</v>
      </c>
      <c r="I63" s="1" t="n">
        <v>350</v>
      </c>
      <c r="J63" s="2" t="n">
        <v>450</v>
      </c>
      <c r="K63" s="3" t="n">
        <v>1964</v>
      </c>
      <c r="L63" s="12" t="n">
        <v>0.0395867976820358</v>
      </c>
      <c r="M63" s="4" t="n">
        <v>375</v>
      </c>
    </row>
    <row r="64" customFormat="false" ht="14.25" hidden="false" customHeight="false" outlineLevel="0" collapsed="false">
      <c r="A64" s="1" t="s">
        <v>35</v>
      </c>
      <c r="B64" s="2" t="n">
        <v>25</v>
      </c>
      <c r="C64" s="3" t="n">
        <v>500</v>
      </c>
      <c r="D64" s="3" t="n">
        <v>4</v>
      </c>
      <c r="E64" s="2" t="n">
        <v>62</v>
      </c>
      <c r="F64" s="4" t="n">
        <v>2.69332921131829</v>
      </c>
      <c r="G64" s="2" t="n">
        <v>20</v>
      </c>
      <c r="H64" s="2" t="n">
        <v>40.5</v>
      </c>
      <c r="I64" s="1" t="n">
        <v>350</v>
      </c>
      <c r="J64" s="2" t="n">
        <v>450</v>
      </c>
      <c r="K64" s="3" t="n">
        <v>1964</v>
      </c>
      <c r="L64" s="12" t="n">
        <v>0.0395867976820358</v>
      </c>
      <c r="M64" s="4" t="n">
        <v>150</v>
      </c>
    </row>
    <row r="65" customFormat="false" ht="14.25" hidden="false" customHeight="false" outlineLevel="0" collapsed="false">
      <c r="B65" s="2" t="n">
        <v>25</v>
      </c>
      <c r="C65" s="3" t="n">
        <v>500</v>
      </c>
      <c r="D65" s="3" t="n">
        <v>4</v>
      </c>
      <c r="E65" s="2" t="n">
        <v>62</v>
      </c>
      <c r="F65" s="4" t="n">
        <v>2.69332921131829</v>
      </c>
      <c r="G65" s="2" t="n">
        <v>20</v>
      </c>
      <c r="H65" s="2" t="n">
        <v>40.5</v>
      </c>
      <c r="I65" s="1" t="n">
        <v>350</v>
      </c>
      <c r="J65" s="2" t="n">
        <v>450</v>
      </c>
      <c r="K65" s="3" t="n">
        <v>1964</v>
      </c>
      <c r="L65" s="12" t="n">
        <v>0.0395867976820358</v>
      </c>
      <c r="M65" s="4" t="n">
        <v>225</v>
      </c>
    </row>
    <row r="66" customFormat="false" ht="14.25" hidden="false" customHeight="false" outlineLevel="0" collapsed="false">
      <c r="B66" s="2" t="n">
        <v>25</v>
      </c>
      <c r="C66" s="3" t="n">
        <v>500</v>
      </c>
      <c r="D66" s="3" t="n">
        <v>4</v>
      </c>
      <c r="E66" s="2" t="n">
        <v>62</v>
      </c>
      <c r="F66" s="4" t="n">
        <v>2.69332921131829</v>
      </c>
      <c r="G66" s="2" t="n">
        <v>20</v>
      </c>
      <c r="H66" s="2" t="n">
        <v>40.5</v>
      </c>
      <c r="I66" s="1" t="n">
        <v>350</v>
      </c>
      <c r="J66" s="2" t="n">
        <v>450</v>
      </c>
      <c r="K66" s="3" t="n">
        <v>1964</v>
      </c>
      <c r="L66" s="12" t="n">
        <v>0.0395867976820358</v>
      </c>
      <c r="M66" s="4" t="n">
        <v>300</v>
      </c>
    </row>
    <row r="67" customFormat="false" ht="14.25" hidden="false" customHeight="false" outlineLevel="0" collapsed="false">
      <c r="B67" s="2" t="n">
        <v>25</v>
      </c>
      <c r="C67" s="3" t="n">
        <v>500</v>
      </c>
      <c r="D67" s="3" t="n">
        <v>4</v>
      </c>
      <c r="E67" s="2" t="n">
        <v>62</v>
      </c>
      <c r="F67" s="4" t="n">
        <v>2.69332921131829</v>
      </c>
      <c r="G67" s="2" t="n">
        <v>20</v>
      </c>
      <c r="H67" s="2" t="n">
        <v>40.5</v>
      </c>
      <c r="I67" s="1" t="n">
        <v>350</v>
      </c>
      <c r="J67" s="2" t="n">
        <v>450</v>
      </c>
      <c r="K67" s="3" t="n">
        <v>1964</v>
      </c>
      <c r="L67" s="12" t="n">
        <v>0.0395867976820358</v>
      </c>
      <c r="M67" s="4" t="n">
        <v>375</v>
      </c>
    </row>
    <row r="68" customFormat="false" ht="14.25" hidden="false" customHeight="false" outlineLevel="0" collapsed="false">
      <c r="A68" s="1" t="s">
        <v>36</v>
      </c>
      <c r="B68" s="2" t="n">
        <v>25</v>
      </c>
      <c r="C68" s="3" t="n">
        <v>500</v>
      </c>
      <c r="D68" s="3" t="n">
        <v>4</v>
      </c>
      <c r="E68" s="2" t="n">
        <v>28.7</v>
      </c>
      <c r="F68" s="4" t="n">
        <v>2.69332921131829</v>
      </c>
      <c r="G68" s="2" t="n">
        <v>70</v>
      </c>
      <c r="H68" s="2" t="n">
        <v>94.5</v>
      </c>
      <c r="I68" s="1" t="n">
        <v>350</v>
      </c>
      <c r="J68" s="2" t="n">
        <v>450</v>
      </c>
      <c r="K68" s="3" t="n">
        <v>1964</v>
      </c>
      <c r="L68" s="12" t="n">
        <v>0.0255645948584445</v>
      </c>
      <c r="M68" s="4" t="n">
        <v>75</v>
      </c>
    </row>
    <row r="69" customFormat="false" ht="14.25" hidden="false" customHeight="false" outlineLevel="0" collapsed="false">
      <c r="B69" s="2" t="n">
        <v>25</v>
      </c>
      <c r="C69" s="3" t="n">
        <v>500</v>
      </c>
      <c r="D69" s="3" t="n">
        <v>4</v>
      </c>
      <c r="E69" s="2" t="n">
        <v>28.7</v>
      </c>
      <c r="F69" s="4" t="n">
        <v>2.69332921131829</v>
      </c>
      <c r="G69" s="2" t="n">
        <v>70</v>
      </c>
      <c r="H69" s="2" t="n">
        <v>94.5</v>
      </c>
      <c r="I69" s="1" t="n">
        <v>350</v>
      </c>
      <c r="J69" s="2" t="n">
        <v>450</v>
      </c>
      <c r="K69" s="3" t="n">
        <v>1964</v>
      </c>
      <c r="L69" s="12" t="n">
        <v>0.0255645948584445</v>
      </c>
      <c r="M69" s="4" t="n">
        <v>150</v>
      </c>
    </row>
    <row r="70" customFormat="false" ht="14.25" hidden="false" customHeight="false" outlineLevel="0" collapsed="false">
      <c r="A70" s="1" t="s">
        <v>37</v>
      </c>
      <c r="B70" s="2" t="n">
        <v>25</v>
      </c>
      <c r="C70" s="3" t="n">
        <v>500</v>
      </c>
      <c r="D70" s="3" t="n">
        <v>4</v>
      </c>
      <c r="E70" s="2" t="n">
        <v>28.7</v>
      </c>
      <c r="F70" s="4" t="n">
        <v>2.69332921131829</v>
      </c>
      <c r="G70" s="2" t="n">
        <v>70</v>
      </c>
      <c r="H70" s="2" t="n">
        <v>90.5</v>
      </c>
      <c r="I70" s="1" t="n">
        <v>350</v>
      </c>
      <c r="J70" s="2" t="n">
        <v>450</v>
      </c>
      <c r="K70" s="3" t="n">
        <v>1964</v>
      </c>
      <c r="L70" s="12" t="n">
        <v>0.0260391117003646</v>
      </c>
      <c r="M70" s="4" t="n">
        <v>75</v>
      </c>
    </row>
    <row r="71" customFormat="false" ht="14.25" hidden="false" customHeight="false" outlineLevel="0" collapsed="false">
      <c r="B71" s="2" t="n">
        <v>25</v>
      </c>
      <c r="C71" s="3" t="n">
        <v>500</v>
      </c>
      <c r="D71" s="3" t="n">
        <v>4</v>
      </c>
      <c r="E71" s="2" t="n">
        <v>28.7</v>
      </c>
      <c r="F71" s="4" t="n">
        <v>2.69332921131829</v>
      </c>
      <c r="G71" s="2" t="n">
        <v>70</v>
      </c>
      <c r="H71" s="2" t="n">
        <v>90.5</v>
      </c>
      <c r="I71" s="1" t="n">
        <v>350</v>
      </c>
      <c r="J71" s="2" t="n">
        <v>450</v>
      </c>
      <c r="K71" s="3" t="n">
        <v>1964</v>
      </c>
      <c r="L71" s="12" t="n">
        <v>0.0260391117003646</v>
      </c>
      <c r="M71" s="4" t="n">
        <v>150</v>
      </c>
    </row>
    <row r="72" customFormat="false" ht="14.25" hidden="false" customHeight="false" outlineLevel="0" collapsed="false">
      <c r="A72" s="1" t="s">
        <v>38</v>
      </c>
      <c r="B72" s="2" t="n">
        <v>25</v>
      </c>
      <c r="C72" s="3" t="n">
        <v>500</v>
      </c>
      <c r="D72" s="3" t="n">
        <v>4</v>
      </c>
      <c r="E72" s="2" t="n">
        <v>28.7</v>
      </c>
      <c r="F72" s="4" t="n">
        <v>2.69332921131829</v>
      </c>
      <c r="G72" s="2" t="n">
        <v>70</v>
      </c>
      <c r="H72" s="2" t="n">
        <v>90.5</v>
      </c>
      <c r="I72" s="1" t="n">
        <v>350</v>
      </c>
      <c r="J72" s="2" t="n">
        <v>450</v>
      </c>
      <c r="K72" s="3" t="n">
        <v>1964</v>
      </c>
      <c r="L72" s="12" t="n">
        <v>0.0260391117003646</v>
      </c>
      <c r="M72" s="4" t="n">
        <v>75</v>
      </c>
    </row>
    <row r="73" customFormat="false" ht="14.25" hidden="false" customHeight="false" outlineLevel="0" collapsed="false">
      <c r="B73" s="2" t="n">
        <v>25</v>
      </c>
      <c r="C73" s="3" t="n">
        <v>500</v>
      </c>
      <c r="D73" s="3" t="n">
        <v>4</v>
      </c>
      <c r="E73" s="2" t="n">
        <v>28.7</v>
      </c>
      <c r="F73" s="4" t="n">
        <v>2.69332921131829</v>
      </c>
      <c r="G73" s="2" t="n">
        <v>70</v>
      </c>
      <c r="H73" s="2" t="n">
        <v>90.5</v>
      </c>
      <c r="I73" s="1" t="n">
        <v>350</v>
      </c>
      <c r="J73" s="2" t="n">
        <v>450</v>
      </c>
      <c r="K73" s="3" t="n">
        <v>1964</v>
      </c>
      <c r="L73" s="12" t="n">
        <v>0.0260391117003646</v>
      </c>
      <c r="M73" s="4" t="n">
        <v>150</v>
      </c>
    </row>
    <row r="74" customFormat="false" ht="14.25" hidden="false" customHeight="false" outlineLevel="0" collapsed="false">
      <c r="A74" s="1" t="s">
        <v>39</v>
      </c>
      <c r="B74" s="2" t="n">
        <v>9.52</v>
      </c>
      <c r="C74" s="3" t="n">
        <v>434</v>
      </c>
      <c r="D74" s="3" t="n">
        <v>3</v>
      </c>
      <c r="E74" s="2" t="n">
        <v>22.2</v>
      </c>
      <c r="F74" s="4" t="n">
        <v>3.56416000199951</v>
      </c>
      <c r="G74" s="2" t="n">
        <v>20.64</v>
      </c>
      <c r="H74" s="2" t="n">
        <v>25.4</v>
      </c>
      <c r="I74" s="1" t="n">
        <v>114.3</v>
      </c>
      <c r="J74" s="2" t="n">
        <v>228.6</v>
      </c>
      <c r="K74" s="3" t="n">
        <v>212.9</v>
      </c>
      <c r="L74" s="12" t="n">
        <v>0.0255156461606683</v>
      </c>
      <c r="M74" s="4" t="n">
        <v>11.6</v>
      </c>
    </row>
    <row r="75" customFormat="false" ht="14.25" hidden="false" customHeight="false" outlineLevel="0" collapsed="false">
      <c r="B75" s="2" t="n">
        <v>9.52</v>
      </c>
      <c r="C75" s="3" t="n">
        <v>434</v>
      </c>
      <c r="D75" s="3" t="n">
        <v>3</v>
      </c>
      <c r="E75" s="2" t="n">
        <v>22.2</v>
      </c>
      <c r="F75" s="4" t="n">
        <v>3.56416000199951</v>
      </c>
      <c r="G75" s="2" t="n">
        <v>20.64</v>
      </c>
      <c r="H75" s="2" t="n">
        <v>25.4</v>
      </c>
      <c r="I75" s="1" t="n">
        <v>114.3</v>
      </c>
      <c r="J75" s="2" t="n">
        <v>228.6</v>
      </c>
      <c r="K75" s="3" t="n">
        <v>212.9</v>
      </c>
      <c r="L75" s="12" t="n">
        <v>0.0255156461606683</v>
      </c>
      <c r="M75" s="4" t="n">
        <v>13.5</v>
      </c>
    </row>
    <row r="76" customFormat="false" ht="14.25" hidden="false" customHeight="false" outlineLevel="0" collapsed="false">
      <c r="A76" s="1" t="s">
        <v>40</v>
      </c>
      <c r="B76" s="2" t="n">
        <v>12.7</v>
      </c>
      <c r="C76" s="3" t="n">
        <v>434</v>
      </c>
      <c r="D76" s="3" t="n">
        <v>3</v>
      </c>
      <c r="E76" s="2" t="n">
        <v>19.05</v>
      </c>
      <c r="F76" s="4" t="n">
        <v>3.97660816382294</v>
      </c>
      <c r="G76" s="2" t="n">
        <v>19.05</v>
      </c>
      <c r="H76" s="2" t="n">
        <v>25.4</v>
      </c>
      <c r="I76" s="1" t="n">
        <v>114.3</v>
      </c>
      <c r="J76" s="2" t="n">
        <v>228.6</v>
      </c>
      <c r="K76" s="3" t="n">
        <v>387.1</v>
      </c>
      <c r="L76" s="12" t="n">
        <v>0.0380956317468191</v>
      </c>
      <c r="M76" s="4" t="n">
        <v>21.1</v>
      </c>
    </row>
    <row r="77" customFormat="false" ht="14.25" hidden="false" customHeight="false" outlineLevel="0" collapsed="false">
      <c r="B77" s="2" t="n">
        <v>12.7</v>
      </c>
      <c r="C77" s="3" t="n">
        <v>434</v>
      </c>
      <c r="D77" s="3" t="n">
        <v>3</v>
      </c>
      <c r="E77" s="2" t="n">
        <v>19.05</v>
      </c>
      <c r="F77" s="4" t="n">
        <v>3.97660816382294</v>
      </c>
      <c r="G77" s="2" t="n">
        <v>19.05</v>
      </c>
      <c r="H77" s="2" t="n">
        <v>25.4</v>
      </c>
      <c r="I77" s="1" t="n">
        <v>114.3</v>
      </c>
      <c r="J77" s="2" t="n">
        <v>228.6</v>
      </c>
      <c r="K77" s="3" t="n">
        <v>387.1</v>
      </c>
      <c r="L77" s="12" t="n">
        <v>0.0380956317468191</v>
      </c>
      <c r="M77" s="4" t="n">
        <v>24.2</v>
      </c>
    </row>
    <row r="78" customFormat="false" ht="14.25" hidden="false" customHeight="false" outlineLevel="0" collapsed="false">
      <c r="B78" s="2" t="n">
        <v>12.7</v>
      </c>
      <c r="C78" s="3" t="n">
        <v>434</v>
      </c>
      <c r="D78" s="3" t="n">
        <v>3</v>
      </c>
      <c r="E78" s="2" t="n">
        <v>19.05</v>
      </c>
      <c r="F78" s="4" t="n">
        <v>3.97660816382294</v>
      </c>
      <c r="G78" s="2" t="n">
        <v>19.05</v>
      </c>
      <c r="H78" s="2" t="n">
        <v>25.4</v>
      </c>
      <c r="I78" s="1" t="n">
        <v>114.3</v>
      </c>
      <c r="J78" s="2" t="n">
        <v>228.6</v>
      </c>
      <c r="K78" s="3" t="n">
        <v>387.1</v>
      </c>
      <c r="L78" s="12" t="n">
        <v>0.0380956317468191</v>
      </c>
      <c r="M78" s="4" t="n">
        <v>28.6</v>
      </c>
    </row>
    <row r="79" customFormat="false" ht="14.25" hidden="false" customHeight="false" outlineLevel="0" collapsed="false">
      <c r="A79" s="1" t="s">
        <v>41</v>
      </c>
      <c r="B79" s="2" t="n">
        <v>15.9</v>
      </c>
      <c r="C79" s="3" t="n">
        <v>540</v>
      </c>
      <c r="D79" s="3" t="n">
        <v>3</v>
      </c>
      <c r="E79" s="2" t="n">
        <v>15.9</v>
      </c>
      <c r="F79" s="4" t="n">
        <v>3.97660816382294</v>
      </c>
      <c r="G79" s="2" t="n">
        <v>17.46</v>
      </c>
      <c r="H79" s="2" t="n">
        <v>25.4</v>
      </c>
      <c r="I79" s="1" t="n">
        <v>114.3</v>
      </c>
      <c r="J79" s="2" t="n">
        <v>228.6</v>
      </c>
      <c r="K79" s="3" t="n">
        <v>600</v>
      </c>
      <c r="L79" s="12" t="n">
        <v>0.0590477371430933</v>
      </c>
      <c r="M79" s="4" t="n">
        <v>30.5</v>
      </c>
    </row>
    <row r="80" customFormat="false" ht="14.25" hidden="false" customHeight="false" outlineLevel="0" collapsed="false">
      <c r="B80" s="2" t="n">
        <v>15.9</v>
      </c>
      <c r="C80" s="3" t="n">
        <v>540</v>
      </c>
      <c r="D80" s="3" t="n">
        <v>3</v>
      </c>
      <c r="E80" s="2" t="n">
        <v>15.9</v>
      </c>
      <c r="F80" s="4" t="n">
        <v>3.97660816382294</v>
      </c>
      <c r="G80" s="2" t="n">
        <v>17.46</v>
      </c>
      <c r="H80" s="2" t="n">
        <v>25.4</v>
      </c>
      <c r="I80" s="1" t="n">
        <v>114.3</v>
      </c>
      <c r="J80" s="2" t="n">
        <v>228.6</v>
      </c>
      <c r="K80" s="3" t="n">
        <v>600</v>
      </c>
      <c r="L80" s="12" t="n">
        <v>0.0590477371430933</v>
      </c>
      <c r="M80" s="4" t="n">
        <v>40</v>
      </c>
    </row>
    <row r="81" customFormat="false" ht="14.25" hidden="false" customHeight="false" outlineLevel="0" collapsed="false">
      <c r="A81" s="1" t="s">
        <v>42</v>
      </c>
      <c r="B81" s="2" t="n">
        <v>16</v>
      </c>
      <c r="C81" s="3" t="n">
        <v>500</v>
      </c>
      <c r="D81" s="3" t="n">
        <v>2</v>
      </c>
      <c r="E81" s="2" t="n">
        <v>138</v>
      </c>
      <c r="F81" s="4" t="n">
        <v>3.269</v>
      </c>
      <c r="G81" s="2" t="n">
        <v>40</v>
      </c>
      <c r="H81" s="2" t="n">
        <v>48</v>
      </c>
      <c r="I81" s="1" t="n">
        <v>250</v>
      </c>
      <c r="J81" s="2" t="n">
        <v>348</v>
      </c>
      <c r="K81" s="3" t="n">
        <v>400</v>
      </c>
      <c r="L81" s="12" t="n">
        <v>0.0125</v>
      </c>
      <c r="M81" s="4" t="n">
        <v>20.42</v>
      </c>
    </row>
    <row r="82" customFormat="false" ht="14.25" hidden="false" customHeight="false" outlineLevel="0" collapsed="false">
      <c r="B82" s="2" t="n">
        <v>16</v>
      </c>
      <c r="C82" s="3" t="n">
        <v>500</v>
      </c>
      <c r="D82" s="3" t="n">
        <v>2</v>
      </c>
      <c r="E82" s="2" t="n">
        <v>138</v>
      </c>
      <c r="F82" s="4" t="n">
        <v>3.269</v>
      </c>
      <c r="G82" s="2" t="n">
        <v>40</v>
      </c>
      <c r="H82" s="2" t="n">
        <v>48</v>
      </c>
      <c r="I82" s="1" t="n">
        <v>250</v>
      </c>
      <c r="J82" s="2" t="n">
        <v>348</v>
      </c>
      <c r="K82" s="3" t="n">
        <v>400</v>
      </c>
      <c r="L82" s="12" t="n">
        <v>0.0125</v>
      </c>
      <c r="M82" s="4" t="n">
        <v>23.34</v>
      </c>
    </row>
    <row r="83" customFormat="false" ht="14.25" hidden="false" customHeight="false" outlineLevel="0" collapsed="false">
      <c r="B83" s="2" t="n">
        <v>16</v>
      </c>
      <c r="C83" s="3" t="n">
        <v>500</v>
      </c>
      <c r="D83" s="3" t="n">
        <v>2</v>
      </c>
      <c r="E83" s="2" t="n">
        <v>138</v>
      </c>
      <c r="F83" s="4" t="n">
        <v>3.269</v>
      </c>
      <c r="G83" s="2" t="n">
        <v>40</v>
      </c>
      <c r="H83" s="2" t="n">
        <v>48</v>
      </c>
      <c r="I83" s="1" t="n">
        <v>250</v>
      </c>
      <c r="J83" s="2" t="n">
        <v>348</v>
      </c>
      <c r="K83" s="3" t="n">
        <v>400</v>
      </c>
      <c r="L83" s="12" t="n">
        <v>0.0125</v>
      </c>
      <c r="M83" s="4" t="n">
        <v>26.26</v>
      </c>
    </row>
    <row r="84" customFormat="false" ht="14.25" hidden="false" customHeight="false" outlineLevel="0" collapsed="false">
      <c r="B84" s="2" t="n">
        <v>16</v>
      </c>
      <c r="C84" s="3" t="n">
        <v>500</v>
      </c>
      <c r="D84" s="3" t="n">
        <v>2</v>
      </c>
      <c r="E84" s="2" t="n">
        <v>138</v>
      </c>
      <c r="F84" s="4" t="n">
        <v>3.269</v>
      </c>
      <c r="G84" s="2" t="n">
        <v>40</v>
      </c>
      <c r="H84" s="2" t="n">
        <v>48</v>
      </c>
      <c r="I84" s="1" t="n">
        <v>250</v>
      </c>
      <c r="J84" s="2" t="n">
        <v>348</v>
      </c>
      <c r="K84" s="3" t="n">
        <v>400</v>
      </c>
      <c r="L84" s="12" t="n">
        <v>0.0125</v>
      </c>
      <c r="M84" s="4" t="n">
        <v>29.175</v>
      </c>
    </row>
    <row r="85" customFormat="false" ht="14.25" hidden="false" customHeight="false" outlineLevel="0" collapsed="false">
      <c r="B85" s="2" t="n">
        <v>16</v>
      </c>
      <c r="C85" s="3" t="n">
        <v>500</v>
      </c>
      <c r="D85" s="3" t="n">
        <v>2</v>
      </c>
      <c r="E85" s="2" t="n">
        <v>138</v>
      </c>
      <c r="F85" s="4" t="n">
        <v>3.269</v>
      </c>
      <c r="G85" s="2" t="n">
        <v>40</v>
      </c>
      <c r="H85" s="2" t="n">
        <v>48</v>
      </c>
      <c r="I85" s="1" t="n">
        <v>250</v>
      </c>
      <c r="J85" s="2" t="n">
        <v>348</v>
      </c>
      <c r="K85" s="3" t="n">
        <v>400</v>
      </c>
      <c r="L85" s="12" t="n">
        <v>0.0125</v>
      </c>
      <c r="M85" s="4" t="n">
        <v>32.09</v>
      </c>
    </row>
    <row r="86" customFormat="false" ht="14.25" hidden="false" customHeight="false" outlineLevel="0" collapsed="false">
      <c r="B86" s="2" t="n">
        <v>16</v>
      </c>
      <c r="C86" s="3" t="n">
        <v>500</v>
      </c>
      <c r="D86" s="3" t="n">
        <v>2</v>
      </c>
      <c r="E86" s="2" t="n">
        <v>138</v>
      </c>
      <c r="F86" s="4" t="n">
        <v>3.269</v>
      </c>
      <c r="G86" s="2" t="n">
        <v>40</v>
      </c>
      <c r="H86" s="2" t="n">
        <v>48</v>
      </c>
      <c r="I86" s="1" t="n">
        <v>250</v>
      </c>
      <c r="J86" s="2" t="n">
        <v>348</v>
      </c>
      <c r="K86" s="3" t="n">
        <v>400</v>
      </c>
      <c r="L86" s="12" t="n">
        <v>0.0125</v>
      </c>
      <c r="M86" s="4" t="n">
        <v>35.01</v>
      </c>
    </row>
    <row r="87" customFormat="false" ht="14.25" hidden="false" customHeight="false" outlineLevel="0" collapsed="false">
      <c r="B87" s="2" t="n">
        <v>16</v>
      </c>
      <c r="C87" s="3" t="n">
        <v>500</v>
      </c>
      <c r="D87" s="3" t="n">
        <v>2</v>
      </c>
      <c r="E87" s="2" t="n">
        <v>138</v>
      </c>
      <c r="F87" s="4" t="n">
        <v>3.269</v>
      </c>
      <c r="G87" s="2" t="n">
        <v>40</v>
      </c>
      <c r="H87" s="2" t="n">
        <v>48</v>
      </c>
      <c r="I87" s="1" t="n">
        <v>250</v>
      </c>
      <c r="J87" s="2" t="n">
        <v>348</v>
      </c>
      <c r="K87" s="3" t="n">
        <v>400</v>
      </c>
      <c r="L87" s="12" t="n">
        <v>0.0125</v>
      </c>
      <c r="M87" s="4" t="n">
        <v>37.93</v>
      </c>
    </row>
    <row r="88" customFormat="false" ht="14.25" hidden="false" customHeight="false" outlineLevel="0" collapsed="false">
      <c r="B88" s="2" t="n">
        <v>16</v>
      </c>
      <c r="C88" s="3" t="n">
        <v>500</v>
      </c>
      <c r="D88" s="3" t="n">
        <v>2</v>
      </c>
      <c r="E88" s="2" t="n">
        <v>138</v>
      </c>
      <c r="F88" s="4" t="n">
        <v>3.269</v>
      </c>
      <c r="G88" s="2" t="n">
        <v>40</v>
      </c>
      <c r="H88" s="2" t="n">
        <v>48</v>
      </c>
      <c r="I88" s="1" t="n">
        <v>250</v>
      </c>
      <c r="J88" s="2" t="n">
        <v>348</v>
      </c>
      <c r="K88" s="3" t="n">
        <v>400</v>
      </c>
      <c r="L88" s="12" t="n">
        <v>0.0125</v>
      </c>
      <c r="M88" s="4" t="n">
        <v>40.84</v>
      </c>
    </row>
    <row r="89" customFormat="false" ht="14.25" hidden="false" customHeight="false" outlineLevel="0" collapsed="false">
      <c r="A89" s="1" t="s">
        <v>43</v>
      </c>
      <c r="B89" s="2" t="n">
        <v>16</v>
      </c>
      <c r="C89" s="3" t="n">
        <v>500</v>
      </c>
      <c r="D89" s="3" t="n">
        <v>2</v>
      </c>
      <c r="E89" s="2" t="n">
        <v>138</v>
      </c>
      <c r="F89" s="4" t="n">
        <v>3.269</v>
      </c>
      <c r="G89" s="2" t="n">
        <v>40</v>
      </c>
      <c r="H89" s="2" t="n">
        <v>48</v>
      </c>
      <c r="I89" s="1" t="n">
        <v>250</v>
      </c>
      <c r="J89" s="2" t="n">
        <v>348</v>
      </c>
      <c r="K89" s="3" t="n">
        <v>400</v>
      </c>
      <c r="L89" s="12" t="n">
        <v>0.0125</v>
      </c>
      <c r="M89" s="4" t="n">
        <v>23.34</v>
      </c>
    </row>
    <row r="90" customFormat="false" ht="14.25" hidden="false" customHeight="false" outlineLevel="0" collapsed="false">
      <c r="B90" s="2" t="n">
        <v>16</v>
      </c>
      <c r="C90" s="3" t="n">
        <v>500</v>
      </c>
      <c r="D90" s="3" t="n">
        <v>2</v>
      </c>
      <c r="E90" s="2" t="n">
        <v>138</v>
      </c>
      <c r="F90" s="4" t="n">
        <v>3.269</v>
      </c>
      <c r="G90" s="2" t="n">
        <v>40</v>
      </c>
      <c r="H90" s="2" t="n">
        <v>48</v>
      </c>
      <c r="I90" s="1" t="n">
        <v>250</v>
      </c>
      <c r="J90" s="2" t="n">
        <v>348</v>
      </c>
      <c r="K90" s="3" t="n">
        <v>400</v>
      </c>
      <c r="L90" s="12" t="n">
        <v>0.0125</v>
      </c>
      <c r="M90" s="4" t="n">
        <v>26.26</v>
      </c>
    </row>
    <row r="91" customFormat="false" ht="14.25" hidden="false" customHeight="false" outlineLevel="0" collapsed="false">
      <c r="B91" s="2" t="n">
        <v>16</v>
      </c>
      <c r="C91" s="3" t="n">
        <v>500</v>
      </c>
      <c r="D91" s="3" t="n">
        <v>2</v>
      </c>
      <c r="E91" s="2" t="n">
        <v>138</v>
      </c>
      <c r="F91" s="4" t="n">
        <v>3.269</v>
      </c>
      <c r="G91" s="2" t="n">
        <v>40</v>
      </c>
      <c r="H91" s="2" t="n">
        <v>48</v>
      </c>
      <c r="I91" s="1" t="n">
        <v>250</v>
      </c>
      <c r="J91" s="2" t="n">
        <v>348</v>
      </c>
      <c r="K91" s="3" t="n">
        <v>400</v>
      </c>
      <c r="L91" s="12" t="n">
        <v>0.0125</v>
      </c>
      <c r="M91" s="4" t="n">
        <v>29.175</v>
      </c>
    </row>
    <row r="92" customFormat="false" ht="14.25" hidden="false" customHeight="false" outlineLevel="0" collapsed="false">
      <c r="B92" s="2" t="n">
        <v>16</v>
      </c>
      <c r="C92" s="3" t="n">
        <v>500</v>
      </c>
      <c r="D92" s="3" t="n">
        <v>2</v>
      </c>
      <c r="E92" s="2" t="n">
        <v>138</v>
      </c>
      <c r="F92" s="4" t="n">
        <v>3.269</v>
      </c>
      <c r="G92" s="2" t="n">
        <v>40</v>
      </c>
      <c r="H92" s="2" t="n">
        <v>48</v>
      </c>
      <c r="I92" s="1" t="n">
        <v>250</v>
      </c>
      <c r="J92" s="2" t="n">
        <v>348</v>
      </c>
      <c r="K92" s="3" t="n">
        <v>400</v>
      </c>
      <c r="L92" s="12" t="n">
        <v>0.0125</v>
      </c>
      <c r="M92" s="4" t="n">
        <v>32.09</v>
      </c>
    </row>
    <row r="93" customFormat="false" ht="14.25" hidden="false" customHeight="false" outlineLevel="0" collapsed="false">
      <c r="B93" s="2" t="n">
        <v>16</v>
      </c>
      <c r="C93" s="3" t="n">
        <v>500</v>
      </c>
      <c r="D93" s="3" t="n">
        <v>2</v>
      </c>
      <c r="E93" s="2" t="n">
        <v>138</v>
      </c>
      <c r="F93" s="4" t="n">
        <v>3.269</v>
      </c>
      <c r="G93" s="2" t="n">
        <v>40</v>
      </c>
      <c r="H93" s="2" t="n">
        <v>48</v>
      </c>
      <c r="I93" s="1" t="n">
        <v>250</v>
      </c>
      <c r="J93" s="2" t="n">
        <v>348</v>
      </c>
      <c r="K93" s="3" t="n">
        <v>400</v>
      </c>
      <c r="L93" s="12" t="n">
        <v>0.0125</v>
      </c>
      <c r="M93" s="4" t="n">
        <v>35.01</v>
      </c>
    </row>
    <row r="94" customFormat="false" ht="14.25" hidden="false" customHeight="false" outlineLevel="0" collapsed="false">
      <c r="B94" s="2" t="n">
        <v>16</v>
      </c>
      <c r="C94" s="3" t="n">
        <v>500</v>
      </c>
      <c r="D94" s="3" t="n">
        <v>2</v>
      </c>
      <c r="E94" s="2" t="n">
        <v>138</v>
      </c>
      <c r="F94" s="4" t="n">
        <v>3.269</v>
      </c>
      <c r="G94" s="2" t="n">
        <v>40</v>
      </c>
      <c r="H94" s="2" t="n">
        <v>48</v>
      </c>
      <c r="I94" s="1" t="n">
        <v>250</v>
      </c>
      <c r="J94" s="2" t="n">
        <v>348</v>
      </c>
      <c r="K94" s="3" t="n">
        <v>400</v>
      </c>
      <c r="L94" s="12" t="n">
        <v>0.0125</v>
      </c>
      <c r="M94" s="4" t="n">
        <v>37.93</v>
      </c>
    </row>
    <row r="95" customFormat="false" ht="14.25" hidden="false" customHeight="false" outlineLevel="0" collapsed="false">
      <c r="B95" s="2" t="n">
        <v>16</v>
      </c>
      <c r="C95" s="3" t="n">
        <v>500</v>
      </c>
      <c r="D95" s="3" t="n">
        <v>2</v>
      </c>
      <c r="E95" s="2" t="n">
        <v>138</v>
      </c>
      <c r="F95" s="4" t="n">
        <v>3.269</v>
      </c>
      <c r="G95" s="2" t="n">
        <v>40</v>
      </c>
      <c r="H95" s="2" t="n">
        <v>48</v>
      </c>
      <c r="I95" s="1" t="n">
        <v>250</v>
      </c>
      <c r="J95" s="2" t="n">
        <v>348</v>
      </c>
      <c r="K95" s="3" t="n">
        <v>400</v>
      </c>
      <c r="L95" s="12" t="n">
        <v>0.0125</v>
      </c>
      <c r="M95" s="4" t="n">
        <v>40.84</v>
      </c>
    </row>
    <row r="96" customFormat="false" ht="14.25" hidden="false" customHeight="false" outlineLevel="0" collapsed="false">
      <c r="A96" s="1" t="s">
        <v>44</v>
      </c>
      <c r="B96" s="2" t="n">
        <v>16</v>
      </c>
      <c r="C96" s="3" t="n">
        <v>500</v>
      </c>
      <c r="D96" s="3" t="n">
        <v>2</v>
      </c>
      <c r="E96" s="2" t="n">
        <v>168</v>
      </c>
      <c r="F96" s="4" t="n">
        <v>3.269</v>
      </c>
      <c r="G96" s="2" t="n">
        <v>25</v>
      </c>
      <c r="H96" s="2" t="n">
        <v>33</v>
      </c>
      <c r="I96" s="1" t="n">
        <v>250</v>
      </c>
      <c r="J96" s="2" t="n">
        <v>333</v>
      </c>
      <c r="K96" s="3" t="n">
        <v>400</v>
      </c>
      <c r="L96" s="12" t="n">
        <v>0.0157460983498901</v>
      </c>
      <c r="M96" s="4" t="n">
        <v>23.34</v>
      </c>
    </row>
    <row r="97" customFormat="false" ht="14.25" hidden="false" customHeight="false" outlineLevel="0" collapsed="false">
      <c r="B97" s="2" t="n">
        <v>16</v>
      </c>
      <c r="C97" s="3" t="n">
        <v>500</v>
      </c>
      <c r="D97" s="3" t="n">
        <v>2</v>
      </c>
      <c r="E97" s="2" t="n">
        <v>168</v>
      </c>
      <c r="F97" s="4" t="n">
        <v>3.269</v>
      </c>
      <c r="G97" s="2" t="n">
        <v>25</v>
      </c>
      <c r="H97" s="2" t="n">
        <v>33</v>
      </c>
      <c r="I97" s="1" t="n">
        <v>250</v>
      </c>
      <c r="J97" s="2" t="n">
        <v>333</v>
      </c>
      <c r="K97" s="3" t="n">
        <v>400</v>
      </c>
      <c r="L97" s="12" t="n">
        <v>0.0157460983498901</v>
      </c>
      <c r="M97" s="4" t="n">
        <v>26.26</v>
      </c>
    </row>
    <row r="98" customFormat="false" ht="14.25" hidden="false" customHeight="false" outlineLevel="0" collapsed="false">
      <c r="B98" s="2" t="n">
        <v>16</v>
      </c>
      <c r="C98" s="3" t="n">
        <v>500</v>
      </c>
      <c r="D98" s="3" t="n">
        <v>2</v>
      </c>
      <c r="E98" s="2" t="n">
        <v>168</v>
      </c>
      <c r="F98" s="4" t="n">
        <v>3.269</v>
      </c>
      <c r="G98" s="2" t="n">
        <v>25</v>
      </c>
      <c r="H98" s="2" t="n">
        <v>33</v>
      </c>
      <c r="I98" s="1" t="n">
        <v>250</v>
      </c>
      <c r="J98" s="2" t="n">
        <v>333</v>
      </c>
      <c r="K98" s="3" t="n">
        <v>400</v>
      </c>
      <c r="L98" s="12" t="n">
        <v>0.0157460983498901</v>
      </c>
      <c r="M98" s="4" t="n">
        <v>29.175</v>
      </c>
    </row>
    <row r="99" customFormat="false" ht="14.25" hidden="false" customHeight="false" outlineLevel="0" collapsed="false">
      <c r="B99" s="2" t="n">
        <v>16</v>
      </c>
      <c r="C99" s="3" t="n">
        <v>500</v>
      </c>
      <c r="D99" s="3" t="n">
        <v>2</v>
      </c>
      <c r="E99" s="2" t="n">
        <v>168</v>
      </c>
      <c r="F99" s="4" t="n">
        <v>3.269</v>
      </c>
      <c r="G99" s="2" t="n">
        <v>25</v>
      </c>
      <c r="H99" s="2" t="n">
        <v>33</v>
      </c>
      <c r="I99" s="1" t="n">
        <v>250</v>
      </c>
      <c r="J99" s="2" t="n">
        <v>333</v>
      </c>
      <c r="K99" s="3" t="n">
        <v>400</v>
      </c>
      <c r="L99" s="12" t="n">
        <v>0.0157460983498901</v>
      </c>
      <c r="M99" s="4" t="n">
        <v>32.09</v>
      </c>
    </row>
    <row r="100" customFormat="false" ht="14.25" hidden="false" customHeight="false" outlineLevel="0" collapsed="false">
      <c r="B100" s="2" t="n">
        <v>16</v>
      </c>
      <c r="C100" s="3" t="n">
        <v>500</v>
      </c>
      <c r="D100" s="3" t="n">
        <v>2</v>
      </c>
      <c r="E100" s="2" t="n">
        <v>168</v>
      </c>
      <c r="F100" s="4" t="n">
        <v>3.269</v>
      </c>
      <c r="G100" s="2" t="n">
        <v>25</v>
      </c>
      <c r="H100" s="2" t="n">
        <v>33</v>
      </c>
      <c r="I100" s="1" t="n">
        <v>250</v>
      </c>
      <c r="J100" s="2" t="n">
        <v>333</v>
      </c>
      <c r="K100" s="3" t="n">
        <v>400</v>
      </c>
      <c r="L100" s="12" t="n">
        <v>0.0157460983498901</v>
      </c>
      <c r="M100" s="4" t="n">
        <v>35.01</v>
      </c>
    </row>
    <row r="101" customFormat="false" ht="14.25" hidden="false" customHeight="false" outlineLevel="0" collapsed="false">
      <c r="B101" s="2" t="n">
        <v>16</v>
      </c>
      <c r="C101" s="3" t="n">
        <v>500</v>
      </c>
      <c r="D101" s="3" t="n">
        <v>2</v>
      </c>
      <c r="E101" s="2" t="n">
        <v>168</v>
      </c>
      <c r="F101" s="4" t="n">
        <v>3.269</v>
      </c>
      <c r="G101" s="2" t="n">
        <v>25</v>
      </c>
      <c r="H101" s="2" t="n">
        <v>33</v>
      </c>
      <c r="I101" s="1" t="n">
        <v>250</v>
      </c>
      <c r="J101" s="2" t="n">
        <v>333</v>
      </c>
      <c r="K101" s="3" t="n">
        <v>400</v>
      </c>
      <c r="L101" s="12" t="n">
        <v>0.0157460983498901</v>
      </c>
      <c r="M101" s="4" t="n">
        <v>37.93</v>
      </c>
    </row>
    <row r="102" customFormat="false" ht="14.25" hidden="false" customHeight="false" outlineLevel="0" collapsed="false">
      <c r="B102" s="2" t="n">
        <v>16</v>
      </c>
      <c r="C102" s="3" t="n">
        <v>500</v>
      </c>
      <c r="D102" s="3" t="n">
        <v>2</v>
      </c>
      <c r="E102" s="2" t="n">
        <v>168</v>
      </c>
      <c r="F102" s="4" t="n">
        <v>3.269</v>
      </c>
      <c r="G102" s="2" t="n">
        <v>25</v>
      </c>
      <c r="H102" s="2" t="n">
        <v>33</v>
      </c>
      <c r="I102" s="1" t="n">
        <v>250</v>
      </c>
      <c r="J102" s="2" t="n">
        <v>333</v>
      </c>
      <c r="K102" s="3" t="n">
        <v>400</v>
      </c>
      <c r="L102" s="12" t="n">
        <v>0.0157460983498901</v>
      </c>
      <c r="M102" s="4" t="n">
        <v>40.84</v>
      </c>
    </row>
    <row r="103" customFormat="false" ht="14.25" hidden="false" customHeight="false" outlineLevel="0" collapsed="false">
      <c r="A103" s="1" t="s">
        <v>45</v>
      </c>
      <c r="B103" s="2" t="n">
        <v>16</v>
      </c>
      <c r="C103" s="3" t="n">
        <v>500</v>
      </c>
      <c r="D103" s="3" t="n">
        <v>2</v>
      </c>
      <c r="E103" s="2" t="n">
        <v>168</v>
      </c>
      <c r="F103" s="4" t="n">
        <v>3.269</v>
      </c>
      <c r="G103" s="2" t="n">
        <v>25</v>
      </c>
      <c r="H103" s="2" t="n">
        <v>33</v>
      </c>
      <c r="I103" s="1" t="n">
        <v>250</v>
      </c>
      <c r="J103" s="2" t="n">
        <v>333</v>
      </c>
      <c r="K103" s="3" t="n">
        <v>400</v>
      </c>
      <c r="L103" s="12" t="n">
        <v>0.0157460983498901</v>
      </c>
      <c r="M103" s="4" t="n">
        <v>20.42</v>
      </c>
    </row>
    <row r="104" customFormat="false" ht="14.25" hidden="false" customHeight="false" outlineLevel="0" collapsed="false">
      <c r="B104" s="2" t="n">
        <v>16</v>
      </c>
      <c r="C104" s="3" t="n">
        <v>500</v>
      </c>
      <c r="D104" s="3" t="n">
        <v>2</v>
      </c>
      <c r="E104" s="2" t="n">
        <v>168</v>
      </c>
      <c r="F104" s="4" t="n">
        <v>3.269</v>
      </c>
      <c r="G104" s="2" t="n">
        <v>25</v>
      </c>
      <c r="H104" s="2" t="n">
        <v>33</v>
      </c>
      <c r="I104" s="1" t="n">
        <v>250</v>
      </c>
      <c r="J104" s="2" t="n">
        <v>333</v>
      </c>
      <c r="K104" s="3" t="n">
        <v>400</v>
      </c>
      <c r="L104" s="12" t="n">
        <v>0.0157460983498901</v>
      </c>
      <c r="M104" s="4" t="n">
        <v>23.34</v>
      </c>
    </row>
    <row r="105" customFormat="false" ht="14.25" hidden="false" customHeight="false" outlineLevel="0" collapsed="false">
      <c r="B105" s="2" t="n">
        <v>16</v>
      </c>
      <c r="C105" s="3" t="n">
        <v>500</v>
      </c>
      <c r="D105" s="3" t="n">
        <v>2</v>
      </c>
      <c r="E105" s="2" t="n">
        <v>168</v>
      </c>
      <c r="F105" s="4" t="n">
        <v>3.269</v>
      </c>
      <c r="G105" s="2" t="n">
        <v>25</v>
      </c>
      <c r="H105" s="2" t="n">
        <v>33</v>
      </c>
      <c r="I105" s="1" t="n">
        <v>250</v>
      </c>
      <c r="J105" s="2" t="n">
        <v>333</v>
      </c>
      <c r="K105" s="3" t="n">
        <v>400</v>
      </c>
      <c r="L105" s="12" t="n">
        <v>0.0157460983498901</v>
      </c>
      <c r="M105" s="4" t="n">
        <v>26.26</v>
      </c>
    </row>
    <row r="106" customFormat="false" ht="14.25" hidden="false" customHeight="false" outlineLevel="0" collapsed="false">
      <c r="B106" s="2" t="n">
        <v>16</v>
      </c>
      <c r="C106" s="3" t="n">
        <v>500</v>
      </c>
      <c r="D106" s="3" t="n">
        <v>2</v>
      </c>
      <c r="E106" s="2" t="n">
        <v>168</v>
      </c>
      <c r="F106" s="4" t="n">
        <v>3.269</v>
      </c>
      <c r="G106" s="2" t="n">
        <v>25</v>
      </c>
      <c r="H106" s="2" t="n">
        <v>33</v>
      </c>
      <c r="I106" s="1" t="n">
        <v>250</v>
      </c>
      <c r="J106" s="2" t="n">
        <v>333</v>
      </c>
      <c r="K106" s="3" t="n">
        <v>400</v>
      </c>
      <c r="L106" s="12" t="n">
        <v>0.0157460983498901</v>
      </c>
      <c r="M106" s="4" t="n">
        <v>29.175</v>
      </c>
    </row>
    <row r="107" customFormat="false" ht="14.25" hidden="false" customHeight="false" outlineLevel="0" collapsed="false">
      <c r="B107" s="2" t="n">
        <v>16</v>
      </c>
      <c r="C107" s="3" t="n">
        <v>500</v>
      </c>
      <c r="D107" s="3" t="n">
        <v>2</v>
      </c>
      <c r="E107" s="2" t="n">
        <v>168</v>
      </c>
      <c r="F107" s="4" t="n">
        <v>3.269</v>
      </c>
      <c r="G107" s="2" t="n">
        <v>25</v>
      </c>
      <c r="H107" s="2" t="n">
        <v>33</v>
      </c>
      <c r="I107" s="1" t="n">
        <v>250</v>
      </c>
      <c r="J107" s="2" t="n">
        <v>333</v>
      </c>
      <c r="K107" s="3" t="n">
        <v>400</v>
      </c>
      <c r="L107" s="12" t="n">
        <v>0.0157460983498901</v>
      </c>
      <c r="M107" s="4" t="n">
        <v>32.09</v>
      </c>
    </row>
    <row r="108" customFormat="false" ht="14.25" hidden="false" customHeight="false" outlineLevel="0" collapsed="false">
      <c r="B108" s="2" t="n">
        <v>16</v>
      </c>
      <c r="C108" s="3" t="n">
        <v>500</v>
      </c>
      <c r="D108" s="3" t="n">
        <v>2</v>
      </c>
      <c r="E108" s="2" t="n">
        <v>168</v>
      </c>
      <c r="F108" s="4" t="n">
        <v>3.269</v>
      </c>
      <c r="G108" s="2" t="n">
        <v>25</v>
      </c>
      <c r="H108" s="2" t="n">
        <v>33</v>
      </c>
      <c r="I108" s="1" t="n">
        <v>250</v>
      </c>
      <c r="J108" s="2" t="n">
        <v>333</v>
      </c>
      <c r="K108" s="3" t="n">
        <v>400</v>
      </c>
      <c r="L108" s="12" t="n">
        <v>0.0157460983498901</v>
      </c>
      <c r="M108" s="4" t="n">
        <v>35.01</v>
      </c>
    </row>
    <row r="109" customFormat="false" ht="14.25" hidden="false" customHeight="false" outlineLevel="0" collapsed="false">
      <c r="B109" s="2" t="n">
        <v>16</v>
      </c>
      <c r="C109" s="3" t="n">
        <v>500</v>
      </c>
      <c r="D109" s="3" t="n">
        <v>2</v>
      </c>
      <c r="E109" s="2" t="n">
        <v>168</v>
      </c>
      <c r="F109" s="4" t="n">
        <v>3.269</v>
      </c>
      <c r="G109" s="2" t="n">
        <v>25</v>
      </c>
      <c r="H109" s="2" t="n">
        <v>33</v>
      </c>
      <c r="I109" s="1" t="n">
        <v>250</v>
      </c>
      <c r="J109" s="2" t="n">
        <v>333</v>
      </c>
      <c r="K109" s="3" t="n">
        <v>400</v>
      </c>
      <c r="L109" s="12" t="n">
        <v>0.0157460983498901</v>
      </c>
      <c r="M109" s="4" t="n">
        <v>37.93</v>
      </c>
    </row>
    <row r="110" customFormat="false" ht="14.25" hidden="false" customHeight="false" outlineLevel="0" collapsed="false">
      <c r="B110" s="2" t="n">
        <v>16</v>
      </c>
      <c r="C110" s="3" t="n">
        <v>500</v>
      </c>
      <c r="D110" s="3" t="n">
        <v>2</v>
      </c>
      <c r="E110" s="2" t="n">
        <v>168</v>
      </c>
      <c r="F110" s="4" t="n">
        <v>3.269</v>
      </c>
      <c r="G110" s="2" t="n">
        <v>25</v>
      </c>
      <c r="H110" s="2" t="n">
        <v>33</v>
      </c>
      <c r="I110" s="1" t="n">
        <v>250</v>
      </c>
      <c r="J110" s="2" t="n">
        <v>333</v>
      </c>
      <c r="K110" s="3" t="n">
        <v>400</v>
      </c>
      <c r="L110" s="12" t="n">
        <v>0.0157460983498901</v>
      </c>
      <c r="M110" s="4" t="n">
        <v>40.84</v>
      </c>
    </row>
    <row r="111" customFormat="false" ht="14.25" hidden="false" customHeight="false" outlineLevel="0" collapsed="false">
      <c r="A111" s="1" t="s">
        <v>46</v>
      </c>
      <c r="B111" s="2" t="n">
        <v>16</v>
      </c>
      <c r="C111" s="3" t="n">
        <v>500</v>
      </c>
      <c r="D111" s="3" t="n">
        <v>3</v>
      </c>
      <c r="E111" s="2" t="n">
        <v>76</v>
      </c>
      <c r="F111" s="4" t="n">
        <v>3.269</v>
      </c>
      <c r="G111" s="2" t="n">
        <v>25</v>
      </c>
      <c r="H111" s="2" t="n">
        <v>33</v>
      </c>
      <c r="I111" s="1" t="n">
        <v>250</v>
      </c>
      <c r="J111" s="2" t="n">
        <v>333</v>
      </c>
      <c r="K111" s="3" t="n">
        <v>600</v>
      </c>
      <c r="L111" s="12" t="n">
        <v>0.0212389380530973</v>
      </c>
      <c r="M111" s="4" t="n">
        <v>37.93</v>
      </c>
    </row>
    <row r="112" customFormat="false" ht="14.25" hidden="false" customHeight="false" outlineLevel="0" collapsed="false">
      <c r="B112" s="2" t="n">
        <v>16</v>
      </c>
      <c r="C112" s="3" t="n">
        <v>500</v>
      </c>
      <c r="D112" s="3" t="n">
        <v>3</v>
      </c>
      <c r="E112" s="2" t="n">
        <v>76</v>
      </c>
      <c r="F112" s="4" t="n">
        <v>3.269</v>
      </c>
      <c r="G112" s="2" t="n">
        <v>25</v>
      </c>
      <c r="H112" s="2" t="n">
        <v>33</v>
      </c>
      <c r="I112" s="1" t="n">
        <v>250</v>
      </c>
      <c r="J112" s="2" t="n">
        <v>333</v>
      </c>
      <c r="K112" s="3" t="n">
        <v>600</v>
      </c>
      <c r="L112" s="12" t="n">
        <v>0.0212389380530973</v>
      </c>
      <c r="M112" s="4" t="n">
        <v>40.84</v>
      </c>
    </row>
    <row r="113" customFormat="false" ht="14.25" hidden="false" customHeight="false" outlineLevel="0" collapsed="false">
      <c r="B113" s="2" t="n">
        <v>16</v>
      </c>
      <c r="C113" s="3" t="n">
        <v>500</v>
      </c>
      <c r="D113" s="3" t="n">
        <v>3</v>
      </c>
      <c r="E113" s="2" t="n">
        <v>76</v>
      </c>
      <c r="F113" s="4" t="n">
        <v>3.269</v>
      </c>
      <c r="G113" s="2" t="n">
        <v>25</v>
      </c>
      <c r="H113" s="2" t="n">
        <v>33</v>
      </c>
      <c r="I113" s="1" t="n">
        <v>250</v>
      </c>
      <c r="J113" s="2" t="n">
        <v>333</v>
      </c>
      <c r="K113" s="3" t="n">
        <v>600</v>
      </c>
      <c r="L113" s="12" t="n">
        <v>0.0212389380530973</v>
      </c>
      <c r="M113" s="4" t="n">
        <v>43.76</v>
      </c>
    </row>
    <row r="114" customFormat="false" ht="14.25" hidden="false" customHeight="false" outlineLevel="0" collapsed="false">
      <c r="B114" s="2" t="n">
        <v>16</v>
      </c>
      <c r="C114" s="3" t="n">
        <v>500</v>
      </c>
      <c r="D114" s="3" t="n">
        <v>3</v>
      </c>
      <c r="E114" s="2" t="n">
        <v>76</v>
      </c>
      <c r="F114" s="4" t="n">
        <v>3.269</v>
      </c>
      <c r="G114" s="2" t="n">
        <v>25</v>
      </c>
      <c r="H114" s="2" t="n">
        <v>33</v>
      </c>
      <c r="I114" s="1" t="n">
        <v>250</v>
      </c>
      <c r="J114" s="2" t="n">
        <v>333</v>
      </c>
      <c r="K114" s="3" t="n">
        <v>600</v>
      </c>
      <c r="L114" s="12" t="n">
        <v>0.0212389380530973</v>
      </c>
      <c r="M114" s="4" t="n">
        <v>46.68</v>
      </c>
    </row>
    <row r="115" customFormat="false" ht="14.25" hidden="false" customHeight="false" outlineLevel="0" collapsed="false">
      <c r="B115" s="2" t="n">
        <v>16</v>
      </c>
      <c r="C115" s="3" t="n">
        <v>500</v>
      </c>
      <c r="D115" s="3" t="n">
        <v>3</v>
      </c>
      <c r="E115" s="2" t="n">
        <v>76</v>
      </c>
      <c r="F115" s="4" t="n">
        <v>3.269</v>
      </c>
      <c r="G115" s="2" t="n">
        <v>25</v>
      </c>
      <c r="H115" s="2" t="n">
        <v>33</v>
      </c>
      <c r="I115" s="1" t="n">
        <v>250</v>
      </c>
      <c r="J115" s="2" t="n">
        <v>333</v>
      </c>
      <c r="K115" s="3" t="n">
        <v>600</v>
      </c>
      <c r="L115" s="12" t="n">
        <v>0.0212389380530973</v>
      </c>
      <c r="M115" s="4" t="n">
        <v>49.6</v>
      </c>
    </row>
    <row r="116" customFormat="false" ht="14.25" hidden="false" customHeight="false" outlineLevel="0" collapsed="false">
      <c r="A116" s="1" t="s">
        <v>47</v>
      </c>
      <c r="B116" s="2" t="n">
        <v>16</v>
      </c>
      <c r="C116" s="3" t="n">
        <v>500</v>
      </c>
      <c r="D116" s="3" t="n">
        <v>3</v>
      </c>
      <c r="E116" s="2" t="n">
        <v>76</v>
      </c>
      <c r="F116" s="4" t="n">
        <v>3.269</v>
      </c>
      <c r="G116" s="2" t="n">
        <v>25</v>
      </c>
      <c r="H116" s="2" t="n">
        <v>33</v>
      </c>
      <c r="I116" s="1" t="n">
        <v>250</v>
      </c>
      <c r="J116" s="2" t="n">
        <v>333</v>
      </c>
      <c r="K116" s="3" t="n">
        <v>600</v>
      </c>
      <c r="L116" s="12" t="n">
        <v>0.0212389380530973</v>
      </c>
      <c r="M116" s="4" t="n">
        <v>40.84</v>
      </c>
    </row>
    <row r="117" customFormat="false" ht="14.25" hidden="false" customHeight="false" outlineLevel="0" collapsed="false">
      <c r="B117" s="2" t="n">
        <v>16</v>
      </c>
      <c r="C117" s="3" t="n">
        <v>500</v>
      </c>
      <c r="D117" s="3" t="n">
        <v>3</v>
      </c>
      <c r="E117" s="2" t="n">
        <v>76</v>
      </c>
      <c r="F117" s="4" t="n">
        <v>3.269</v>
      </c>
      <c r="G117" s="2" t="n">
        <v>25</v>
      </c>
      <c r="H117" s="2" t="n">
        <v>33</v>
      </c>
      <c r="I117" s="1" t="n">
        <v>250</v>
      </c>
      <c r="J117" s="2" t="n">
        <v>333</v>
      </c>
      <c r="K117" s="3" t="n">
        <v>600</v>
      </c>
      <c r="L117" s="12" t="n">
        <v>0.0212389380530973</v>
      </c>
      <c r="M117" s="4" t="n">
        <v>43.76</v>
      </c>
    </row>
    <row r="118" customFormat="false" ht="14.25" hidden="false" customHeight="false" outlineLevel="0" collapsed="false">
      <c r="B118" s="2" t="n">
        <v>16</v>
      </c>
      <c r="C118" s="3" t="n">
        <v>500</v>
      </c>
      <c r="D118" s="3" t="n">
        <v>3</v>
      </c>
      <c r="E118" s="2" t="n">
        <v>76</v>
      </c>
      <c r="F118" s="4" t="n">
        <v>3.269</v>
      </c>
      <c r="G118" s="2" t="n">
        <v>25</v>
      </c>
      <c r="H118" s="2" t="n">
        <v>33</v>
      </c>
      <c r="I118" s="1" t="n">
        <v>250</v>
      </c>
      <c r="J118" s="2" t="n">
        <v>333</v>
      </c>
      <c r="K118" s="3" t="n">
        <v>600</v>
      </c>
      <c r="L118" s="12" t="n">
        <v>0.0212389380530973</v>
      </c>
      <c r="M118" s="4" t="n">
        <v>46.68</v>
      </c>
    </row>
    <row r="119" customFormat="false" ht="14.25" hidden="false" customHeight="false" outlineLevel="0" collapsed="false">
      <c r="B119" s="2" t="n">
        <v>16</v>
      </c>
      <c r="C119" s="3" t="n">
        <v>500</v>
      </c>
      <c r="D119" s="3" t="n">
        <v>3</v>
      </c>
      <c r="E119" s="2" t="n">
        <v>76</v>
      </c>
      <c r="F119" s="4" t="n">
        <v>3.269</v>
      </c>
      <c r="G119" s="2" t="n">
        <v>25</v>
      </c>
      <c r="H119" s="2" t="n">
        <v>33</v>
      </c>
      <c r="I119" s="1" t="n">
        <v>250</v>
      </c>
      <c r="J119" s="2" t="n">
        <v>333</v>
      </c>
      <c r="K119" s="3" t="n">
        <v>600</v>
      </c>
      <c r="L119" s="12" t="n">
        <v>0.0212389380530973</v>
      </c>
      <c r="M119" s="4" t="n">
        <v>49.6</v>
      </c>
    </row>
    <row r="120" customFormat="false" ht="14.25" hidden="false" customHeight="false" outlineLevel="0" collapsed="false">
      <c r="A120" s="1" t="s">
        <v>48</v>
      </c>
      <c r="B120" s="2" t="n">
        <v>12</v>
      </c>
      <c r="C120" s="3" t="n">
        <v>500</v>
      </c>
      <c r="D120" s="3" t="n">
        <v>2</v>
      </c>
      <c r="E120" s="2" t="n">
        <v>296</v>
      </c>
      <c r="F120" s="4" t="n">
        <v>3.269</v>
      </c>
      <c r="G120" s="2" t="n">
        <v>25</v>
      </c>
      <c r="H120" s="2" t="n">
        <v>31</v>
      </c>
      <c r="I120" s="1" t="n">
        <v>400</v>
      </c>
      <c r="J120" s="2" t="n">
        <v>161</v>
      </c>
      <c r="K120" s="3" t="n">
        <v>220</v>
      </c>
      <c r="L120" s="12" t="n">
        <v>0.0117247911599868</v>
      </c>
      <c r="M120" s="4" t="n">
        <v>4.67</v>
      </c>
    </row>
    <row r="121" customFormat="false" ht="14.25" hidden="false" customHeight="false" outlineLevel="0" collapsed="false">
      <c r="B121" s="2" t="n">
        <v>12</v>
      </c>
      <c r="C121" s="3" t="n">
        <v>500</v>
      </c>
      <c r="D121" s="3" t="n">
        <v>2</v>
      </c>
      <c r="E121" s="2" t="n">
        <v>296</v>
      </c>
      <c r="F121" s="4" t="n">
        <v>3.269</v>
      </c>
      <c r="G121" s="2" t="n">
        <v>25</v>
      </c>
      <c r="H121" s="2" t="n">
        <v>31</v>
      </c>
      <c r="I121" s="1" t="n">
        <v>400</v>
      </c>
      <c r="J121" s="2" t="n">
        <v>161</v>
      </c>
      <c r="K121" s="3" t="n">
        <v>220</v>
      </c>
      <c r="L121" s="12" t="n">
        <v>0.0117247911599868</v>
      </c>
      <c r="M121" s="4" t="n">
        <v>6.42</v>
      </c>
    </row>
    <row r="122" customFormat="false" ht="14.25" hidden="false" customHeight="false" outlineLevel="0" collapsed="false">
      <c r="B122" s="2" t="n">
        <v>12</v>
      </c>
      <c r="C122" s="3" t="n">
        <v>500</v>
      </c>
      <c r="D122" s="3" t="n">
        <v>2</v>
      </c>
      <c r="E122" s="2" t="n">
        <v>296</v>
      </c>
      <c r="F122" s="4" t="n">
        <v>3.269</v>
      </c>
      <c r="G122" s="2" t="n">
        <v>25</v>
      </c>
      <c r="H122" s="2" t="n">
        <v>31</v>
      </c>
      <c r="I122" s="1" t="n">
        <v>400</v>
      </c>
      <c r="J122" s="2" t="n">
        <v>161</v>
      </c>
      <c r="K122" s="3" t="n">
        <v>220</v>
      </c>
      <c r="L122" s="12" t="n">
        <v>0.0117247911599868</v>
      </c>
      <c r="M122" s="4" t="n">
        <v>8.17</v>
      </c>
    </row>
    <row r="123" customFormat="false" ht="14.25" hidden="false" customHeight="false" outlineLevel="0" collapsed="false">
      <c r="A123" s="1" t="s">
        <v>49</v>
      </c>
      <c r="B123" s="2" t="n">
        <v>12</v>
      </c>
      <c r="C123" s="3" t="n">
        <v>500</v>
      </c>
      <c r="D123" s="3" t="n">
        <v>2</v>
      </c>
      <c r="E123" s="2" t="n">
        <v>296</v>
      </c>
      <c r="F123" s="4" t="n">
        <v>3.269</v>
      </c>
      <c r="G123" s="2" t="n">
        <v>25</v>
      </c>
      <c r="H123" s="2" t="n">
        <v>31</v>
      </c>
      <c r="I123" s="1" t="n">
        <v>400</v>
      </c>
      <c r="J123" s="2" t="n">
        <v>161</v>
      </c>
      <c r="K123" s="3" t="n">
        <v>220</v>
      </c>
      <c r="L123" s="12" t="n">
        <v>0.0117247911599868</v>
      </c>
      <c r="M123" s="4" t="n">
        <v>6.42</v>
      </c>
    </row>
    <row r="124" customFormat="false" ht="14.25" hidden="false" customHeight="false" outlineLevel="0" collapsed="false">
      <c r="B124" s="2" t="n">
        <v>12</v>
      </c>
      <c r="C124" s="3" t="n">
        <v>500</v>
      </c>
      <c r="D124" s="3" t="n">
        <v>2</v>
      </c>
      <c r="E124" s="2" t="n">
        <v>296</v>
      </c>
      <c r="F124" s="4" t="n">
        <v>3.269</v>
      </c>
      <c r="G124" s="2" t="n">
        <v>25</v>
      </c>
      <c r="H124" s="2" t="n">
        <v>31</v>
      </c>
      <c r="I124" s="1" t="n">
        <v>400</v>
      </c>
      <c r="J124" s="2" t="n">
        <v>161</v>
      </c>
      <c r="K124" s="3" t="n">
        <v>220</v>
      </c>
      <c r="L124" s="12" t="n">
        <v>0.0117247911599868</v>
      </c>
      <c r="M124" s="4" t="n">
        <v>8.17</v>
      </c>
    </row>
    <row r="125" customFormat="false" ht="14.25" hidden="false" customHeight="false" outlineLevel="0" collapsed="false">
      <c r="A125" s="1" t="s">
        <v>50</v>
      </c>
      <c r="B125" s="2" t="n">
        <v>12</v>
      </c>
      <c r="C125" s="3" t="n">
        <v>500</v>
      </c>
      <c r="D125" s="3" t="n">
        <v>3</v>
      </c>
      <c r="E125" s="2" t="n">
        <v>142</v>
      </c>
      <c r="F125" s="4" t="n">
        <v>3.269</v>
      </c>
      <c r="G125" s="2" t="n">
        <v>25</v>
      </c>
      <c r="H125" s="2" t="n">
        <v>31</v>
      </c>
      <c r="I125" s="1" t="n">
        <v>400</v>
      </c>
      <c r="J125" s="2" t="n">
        <v>161</v>
      </c>
      <c r="K125" s="3" t="n">
        <v>330</v>
      </c>
      <c r="L125" s="12" t="n">
        <v>0.0117247911599868</v>
      </c>
      <c r="M125" s="4" t="n">
        <v>8.17</v>
      </c>
    </row>
    <row r="126" customFormat="false" ht="14.25" hidden="false" customHeight="false" outlineLevel="0" collapsed="false">
      <c r="B126" s="2" t="n">
        <v>12</v>
      </c>
      <c r="C126" s="3" t="n">
        <v>500</v>
      </c>
      <c r="D126" s="3" t="n">
        <v>3</v>
      </c>
      <c r="E126" s="2" t="n">
        <v>142</v>
      </c>
      <c r="F126" s="4" t="n">
        <v>3.269</v>
      </c>
      <c r="G126" s="2" t="n">
        <v>25</v>
      </c>
      <c r="H126" s="2" t="n">
        <v>31</v>
      </c>
      <c r="I126" s="1" t="n">
        <v>400</v>
      </c>
      <c r="J126" s="2" t="n">
        <v>161</v>
      </c>
      <c r="K126" s="3" t="n">
        <v>330</v>
      </c>
      <c r="L126" s="12" t="n">
        <v>0.0117247911599868</v>
      </c>
      <c r="M126" s="4" t="n">
        <v>9.92</v>
      </c>
    </row>
    <row r="127" customFormat="false" ht="14.25" hidden="false" customHeight="false" outlineLevel="0" collapsed="false">
      <c r="B127" s="2" t="n">
        <v>12</v>
      </c>
      <c r="C127" s="3" t="n">
        <v>500</v>
      </c>
      <c r="D127" s="3" t="n">
        <v>3</v>
      </c>
      <c r="E127" s="2" t="n">
        <v>142</v>
      </c>
      <c r="F127" s="4" t="n">
        <v>3.269</v>
      </c>
      <c r="G127" s="2" t="n">
        <v>25</v>
      </c>
      <c r="H127" s="2" t="n">
        <v>31</v>
      </c>
      <c r="I127" s="1" t="n">
        <v>400</v>
      </c>
      <c r="J127" s="2" t="n">
        <v>161</v>
      </c>
      <c r="K127" s="3" t="n">
        <v>330</v>
      </c>
      <c r="L127" s="12" t="n">
        <v>0.0117247911599868</v>
      </c>
      <c r="M127" s="4" t="n">
        <v>11.67</v>
      </c>
    </row>
    <row r="128" customFormat="false" ht="14.25" hidden="false" customHeight="false" outlineLevel="0" collapsed="false">
      <c r="A128" s="1" t="s">
        <v>51</v>
      </c>
      <c r="B128" s="2" t="n">
        <v>12</v>
      </c>
      <c r="C128" s="3" t="n">
        <v>500</v>
      </c>
      <c r="D128" s="3" t="n">
        <v>3</v>
      </c>
      <c r="E128" s="2" t="n">
        <v>142</v>
      </c>
      <c r="F128" s="4" t="n">
        <v>3.269</v>
      </c>
      <c r="G128" s="2" t="n">
        <v>25</v>
      </c>
      <c r="H128" s="2" t="n">
        <v>31</v>
      </c>
      <c r="I128" s="1" t="n">
        <v>400</v>
      </c>
      <c r="J128" s="2" t="n">
        <v>161</v>
      </c>
      <c r="K128" s="3" t="n">
        <v>330</v>
      </c>
      <c r="L128" s="12" t="n">
        <v>0.0117247911599868</v>
      </c>
      <c r="M128" s="4" t="n">
        <v>8.17</v>
      </c>
    </row>
    <row r="129" customFormat="false" ht="14.25" hidden="false" customHeight="false" outlineLevel="0" collapsed="false">
      <c r="B129" s="2" t="n">
        <v>12</v>
      </c>
      <c r="C129" s="3" t="n">
        <v>500</v>
      </c>
      <c r="D129" s="3" t="n">
        <v>3</v>
      </c>
      <c r="E129" s="2" t="n">
        <v>142</v>
      </c>
      <c r="F129" s="4" t="n">
        <v>3.269</v>
      </c>
      <c r="G129" s="2" t="n">
        <v>25</v>
      </c>
      <c r="H129" s="2" t="n">
        <v>31</v>
      </c>
      <c r="I129" s="1" t="n">
        <v>400</v>
      </c>
      <c r="J129" s="2" t="n">
        <v>161</v>
      </c>
      <c r="K129" s="3" t="n">
        <v>330</v>
      </c>
      <c r="L129" s="12" t="n">
        <v>0.0117247911599868</v>
      </c>
      <c r="M129" s="4" t="n">
        <v>9.92</v>
      </c>
    </row>
    <row r="130" customFormat="false" ht="14.25" hidden="false" customHeight="false" outlineLevel="0" collapsed="false">
      <c r="B130" s="2" t="n">
        <v>12</v>
      </c>
      <c r="C130" s="3" t="n">
        <v>500</v>
      </c>
      <c r="D130" s="3" t="n">
        <v>3</v>
      </c>
      <c r="E130" s="2" t="n">
        <v>142</v>
      </c>
      <c r="F130" s="4" t="n">
        <v>3.269</v>
      </c>
      <c r="G130" s="2" t="n">
        <v>25</v>
      </c>
      <c r="H130" s="2" t="n">
        <v>31</v>
      </c>
      <c r="I130" s="1" t="n">
        <v>400</v>
      </c>
      <c r="J130" s="2" t="n">
        <v>161</v>
      </c>
      <c r="K130" s="3" t="n">
        <v>330</v>
      </c>
      <c r="L130" s="12" t="n">
        <v>0.0117247911599868</v>
      </c>
      <c r="M130" s="4" t="n">
        <v>11.67</v>
      </c>
    </row>
    <row r="131" customFormat="false" ht="14.25" hidden="false" customHeight="false" outlineLevel="0" collapsed="false">
      <c r="A131" s="1" t="s">
        <v>52</v>
      </c>
      <c r="B131" s="2" t="n">
        <v>12</v>
      </c>
      <c r="C131" s="3" t="n">
        <v>500</v>
      </c>
      <c r="D131" s="3" t="n">
        <v>4</v>
      </c>
      <c r="E131" s="2" t="n">
        <v>90.67</v>
      </c>
      <c r="F131" s="4" t="n">
        <v>3.269</v>
      </c>
      <c r="G131" s="2" t="n">
        <v>25</v>
      </c>
      <c r="H131" s="2" t="n">
        <v>31</v>
      </c>
      <c r="I131" s="1" t="n">
        <v>400</v>
      </c>
      <c r="J131" s="2" t="n">
        <v>161</v>
      </c>
      <c r="K131" s="3" t="n">
        <v>440</v>
      </c>
      <c r="L131" s="12" t="n">
        <v>0.0120879120879121</v>
      </c>
      <c r="M131" s="4" t="n">
        <v>11.67</v>
      </c>
    </row>
    <row r="132" customFormat="false" ht="14.25" hidden="false" customHeight="false" outlineLevel="0" collapsed="false">
      <c r="B132" s="2" t="n">
        <v>12</v>
      </c>
      <c r="C132" s="3" t="n">
        <v>500</v>
      </c>
      <c r="D132" s="3" t="n">
        <v>4</v>
      </c>
      <c r="E132" s="2" t="n">
        <v>90.67</v>
      </c>
      <c r="F132" s="4" t="n">
        <v>3.269</v>
      </c>
      <c r="G132" s="2" t="n">
        <v>25</v>
      </c>
      <c r="H132" s="2" t="n">
        <v>31</v>
      </c>
      <c r="I132" s="1" t="n">
        <v>400</v>
      </c>
      <c r="J132" s="2" t="n">
        <v>161</v>
      </c>
      <c r="K132" s="3" t="n">
        <v>440</v>
      </c>
      <c r="L132" s="12" t="n">
        <v>0.0120879120879121</v>
      </c>
      <c r="M132" s="4" t="n">
        <v>13.42</v>
      </c>
    </row>
    <row r="133" customFormat="false" ht="14.25" hidden="false" customHeight="false" outlineLevel="0" collapsed="false">
      <c r="B133" s="2" t="n">
        <v>12</v>
      </c>
      <c r="C133" s="3" t="n">
        <v>500</v>
      </c>
      <c r="D133" s="3" t="n">
        <v>4</v>
      </c>
      <c r="E133" s="2" t="n">
        <v>90.67</v>
      </c>
      <c r="F133" s="4" t="n">
        <v>3.269</v>
      </c>
      <c r="G133" s="2" t="n">
        <v>25</v>
      </c>
      <c r="H133" s="2" t="n">
        <v>31</v>
      </c>
      <c r="I133" s="1" t="n">
        <v>400</v>
      </c>
      <c r="J133" s="2" t="n">
        <v>161</v>
      </c>
      <c r="K133" s="3" t="n">
        <v>440</v>
      </c>
      <c r="L133" s="12" t="n">
        <v>0.0120879120879121</v>
      </c>
      <c r="M133" s="4" t="n">
        <v>15.17</v>
      </c>
    </row>
    <row r="134" customFormat="false" ht="14.25" hidden="false" customHeight="false" outlineLevel="0" collapsed="false">
      <c r="A134" s="1" t="s">
        <v>53</v>
      </c>
      <c r="B134" s="2" t="n">
        <v>12</v>
      </c>
      <c r="C134" s="3" t="n">
        <v>500</v>
      </c>
      <c r="D134" s="3" t="n">
        <v>4</v>
      </c>
      <c r="E134" s="2" t="n">
        <v>90.67</v>
      </c>
      <c r="F134" s="4" t="n">
        <v>3.269</v>
      </c>
      <c r="G134" s="2" t="n">
        <v>25</v>
      </c>
      <c r="H134" s="2" t="n">
        <v>31</v>
      </c>
      <c r="I134" s="1" t="n">
        <v>400</v>
      </c>
      <c r="J134" s="2" t="n">
        <v>161</v>
      </c>
      <c r="K134" s="3" t="n">
        <v>440</v>
      </c>
      <c r="L134" s="12" t="n">
        <v>0.0120879120879121</v>
      </c>
      <c r="M134" s="4" t="n">
        <v>11.67</v>
      </c>
    </row>
    <row r="135" customFormat="false" ht="14.25" hidden="false" customHeight="false" outlineLevel="0" collapsed="false">
      <c r="B135" s="2" t="n">
        <v>12</v>
      </c>
      <c r="C135" s="3" t="n">
        <v>500</v>
      </c>
      <c r="D135" s="3" t="n">
        <v>4</v>
      </c>
      <c r="E135" s="2" t="n">
        <v>90.67</v>
      </c>
      <c r="F135" s="4" t="n">
        <v>3.269</v>
      </c>
      <c r="G135" s="2" t="n">
        <v>25</v>
      </c>
      <c r="H135" s="2" t="n">
        <v>31</v>
      </c>
      <c r="I135" s="1" t="n">
        <v>400</v>
      </c>
      <c r="J135" s="2" t="n">
        <v>161</v>
      </c>
      <c r="K135" s="3" t="n">
        <v>440</v>
      </c>
      <c r="L135" s="12" t="n">
        <v>0.0120879120879121</v>
      </c>
      <c r="M135" s="4" t="n">
        <v>13.42</v>
      </c>
    </row>
    <row r="136" customFormat="false" ht="14.25" hidden="false" customHeight="false" outlineLevel="0" collapsed="false">
      <c r="B136" s="2" t="n">
        <v>12</v>
      </c>
      <c r="C136" s="3" t="n">
        <v>500</v>
      </c>
      <c r="D136" s="3" t="n">
        <v>4</v>
      </c>
      <c r="E136" s="2" t="n">
        <v>90.67</v>
      </c>
      <c r="F136" s="4" t="n">
        <v>3.269</v>
      </c>
      <c r="G136" s="2" t="n">
        <v>25</v>
      </c>
      <c r="H136" s="2" t="n">
        <v>31</v>
      </c>
      <c r="I136" s="1" t="n">
        <v>400</v>
      </c>
      <c r="J136" s="2" t="n">
        <v>161</v>
      </c>
      <c r="K136" s="3" t="n">
        <v>440</v>
      </c>
      <c r="L136" s="12" t="n">
        <v>0.0120879120879121</v>
      </c>
      <c r="M136" s="4" t="n">
        <v>15.17</v>
      </c>
    </row>
    <row r="137" customFormat="false" ht="14.25" hidden="false" customHeight="false" outlineLevel="0" collapsed="false">
      <c r="A137" s="1" t="s">
        <v>54</v>
      </c>
      <c r="B137" s="2" t="n">
        <v>10</v>
      </c>
      <c r="C137" s="3" t="n">
        <v>528</v>
      </c>
      <c r="D137" s="3" t="n">
        <v>1</v>
      </c>
      <c r="E137" s="2" t="n">
        <v>45</v>
      </c>
      <c r="F137" s="4" t="n">
        <v>2.8</v>
      </c>
      <c r="G137" s="2" t="n">
        <v>40</v>
      </c>
      <c r="H137" s="2" t="n">
        <v>45</v>
      </c>
      <c r="I137" s="1" t="n">
        <v>100</v>
      </c>
      <c r="J137" s="2" t="n">
        <v>250</v>
      </c>
      <c r="K137" s="3" t="n">
        <v>78.5</v>
      </c>
      <c r="L137" s="12" t="n">
        <v>0.00826315789473684</v>
      </c>
      <c r="M137" s="4" t="n">
        <v>4.1</v>
      </c>
    </row>
    <row r="138" customFormat="false" ht="14.25" hidden="false" customHeight="false" outlineLevel="0" collapsed="false">
      <c r="B138" s="2" t="n">
        <v>10</v>
      </c>
      <c r="C138" s="3" t="n">
        <v>528</v>
      </c>
      <c r="D138" s="3" t="n">
        <v>1</v>
      </c>
      <c r="E138" s="2" t="n">
        <v>45</v>
      </c>
      <c r="F138" s="4" t="n">
        <v>2.8</v>
      </c>
      <c r="G138" s="2" t="n">
        <v>40</v>
      </c>
      <c r="H138" s="2" t="n">
        <v>45</v>
      </c>
      <c r="I138" s="1" t="n">
        <v>100</v>
      </c>
      <c r="J138" s="2" t="n">
        <v>250</v>
      </c>
      <c r="K138" s="3" t="n">
        <v>78.5</v>
      </c>
      <c r="L138" s="12" t="n">
        <v>0.00826315789473684</v>
      </c>
      <c r="M138" s="4" t="n">
        <v>4.4</v>
      </c>
    </row>
    <row r="139" customFormat="false" ht="14.25" hidden="false" customHeight="false" outlineLevel="0" collapsed="false">
      <c r="B139" s="2" t="n">
        <v>10</v>
      </c>
      <c r="C139" s="3" t="n">
        <v>528</v>
      </c>
      <c r="D139" s="3" t="n">
        <v>1</v>
      </c>
      <c r="E139" s="2" t="n">
        <v>45</v>
      </c>
      <c r="F139" s="4" t="n">
        <v>2.8</v>
      </c>
      <c r="G139" s="2" t="n">
        <v>40</v>
      </c>
      <c r="H139" s="2" t="n">
        <v>45</v>
      </c>
      <c r="I139" s="1" t="n">
        <v>100</v>
      </c>
      <c r="J139" s="2" t="n">
        <v>250</v>
      </c>
      <c r="K139" s="3" t="n">
        <v>78.5</v>
      </c>
      <c r="L139" s="12" t="n">
        <v>0.00826315789473684</v>
      </c>
      <c r="M139" s="4" t="n">
        <v>4.74</v>
      </c>
    </row>
    <row r="140" customFormat="false" ht="14.25" hidden="false" customHeight="false" outlineLevel="0" collapsed="false">
      <c r="B140" s="2" t="n">
        <v>10</v>
      </c>
      <c r="C140" s="3" t="n">
        <v>528</v>
      </c>
      <c r="D140" s="3" t="n">
        <v>1</v>
      </c>
      <c r="E140" s="2" t="n">
        <v>45</v>
      </c>
      <c r="F140" s="4" t="n">
        <v>2.8</v>
      </c>
      <c r="G140" s="2" t="n">
        <v>40</v>
      </c>
      <c r="H140" s="2" t="n">
        <v>45</v>
      </c>
      <c r="I140" s="1" t="n">
        <v>100</v>
      </c>
      <c r="J140" s="2" t="n">
        <v>250</v>
      </c>
      <c r="K140" s="3" t="n">
        <v>78.5</v>
      </c>
      <c r="L140" s="12" t="n">
        <v>0.00826315789473684</v>
      </c>
      <c r="M140" s="4" t="n">
        <v>5.04</v>
      </c>
    </row>
    <row r="141" customFormat="false" ht="14.25" hidden="false" customHeight="false" outlineLevel="0" collapsed="false">
      <c r="B141" s="2" t="n">
        <v>10</v>
      </c>
      <c r="C141" s="3" t="n">
        <v>528</v>
      </c>
      <c r="D141" s="3" t="n">
        <v>1</v>
      </c>
      <c r="E141" s="2" t="n">
        <v>45</v>
      </c>
      <c r="F141" s="4" t="n">
        <v>2.8</v>
      </c>
      <c r="G141" s="2" t="n">
        <v>40</v>
      </c>
      <c r="H141" s="2" t="n">
        <v>45</v>
      </c>
      <c r="I141" s="1" t="n">
        <v>100</v>
      </c>
      <c r="J141" s="2" t="n">
        <v>250</v>
      </c>
      <c r="K141" s="3" t="n">
        <v>78.5</v>
      </c>
      <c r="L141" s="12" t="n">
        <v>0.00826315789473684</v>
      </c>
      <c r="M141" s="4" t="n">
        <v>5.38</v>
      </c>
    </row>
    <row r="142" customFormat="false" ht="14.25" hidden="false" customHeight="false" outlineLevel="0" collapsed="false">
      <c r="B142" s="2" t="n">
        <v>10</v>
      </c>
      <c r="C142" s="3" t="n">
        <v>528</v>
      </c>
      <c r="D142" s="3" t="n">
        <v>1</v>
      </c>
      <c r="E142" s="2" t="n">
        <v>45</v>
      </c>
      <c r="F142" s="4" t="n">
        <v>2.8</v>
      </c>
      <c r="G142" s="2" t="n">
        <v>40</v>
      </c>
      <c r="H142" s="2" t="n">
        <v>45</v>
      </c>
      <c r="I142" s="1" t="n">
        <v>100</v>
      </c>
      <c r="J142" s="2" t="n">
        <v>250</v>
      </c>
      <c r="K142" s="3" t="n">
        <v>78.5</v>
      </c>
      <c r="L142" s="12" t="n">
        <v>0.00826315789473684</v>
      </c>
      <c r="M142" s="4" t="n">
        <v>5.68</v>
      </c>
    </row>
    <row r="143" customFormat="false" ht="14.25" hidden="false" customHeight="false" outlineLevel="0" collapsed="false">
      <c r="B143" s="2" t="n">
        <v>10</v>
      </c>
      <c r="C143" s="3" t="n">
        <v>528</v>
      </c>
      <c r="D143" s="3" t="n">
        <v>1</v>
      </c>
      <c r="E143" s="2" t="n">
        <v>45</v>
      </c>
      <c r="F143" s="4" t="n">
        <v>2.8</v>
      </c>
      <c r="G143" s="2" t="n">
        <v>40</v>
      </c>
      <c r="H143" s="2" t="n">
        <v>45</v>
      </c>
      <c r="I143" s="1" t="n">
        <v>100</v>
      </c>
      <c r="J143" s="2" t="n">
        <v>250</v>
      </c>
      <c r="K143" s="3" t="n">
        <v>78.5</v>
      </c>
      <c r="L143" s="12" t="n">
        <v>0.00826315789473684</v>
      </c>
      <c r="M143" s="4" t="n">
        <v>6.04</v>
      </c>
    </row>
    <row r="144" customFormat="false" ht="14.25" hidden="false" customHeight="false" outlineLevel="0" collapsed="false">
      <c r="A144" s="1" t="s">
        <v>55</v>
      </c>
      <c r="B144" s="2" t="n">
        <v>10</v>
      </c>
      <c r="C144" s="3" t="n">
        <v>528</v>
      </c>
      <c r="D144" s="3" t="n">
        <v>1</v>
      </c>
      <c r="E144" s="2" t="n">
        <v>45</v>
      </c>
      <c r="F144" s="4" t="n">
        <v>2.8</v>
      </c>
      <c r="G144" s="2" t="n">
        <v>40</v>
      </c>
      <c r="H144" s="2" t="n">
        <v>45</v>
      </c>
      <c r="I144" s="1" t="n">
        <v>100</v>
      </c>
      <c r="J144" s="2" t="n">
        <v>250</v>
      </c>
      <c r="K144" s="3" t="n">
        <v>78.5</v>
      </c>
      <c r="L144" s="12" t="n">
        <v>0.00826315789473684</v>
      </c>
      <c r="M144" s="4" t="n">
        <v>3.76</v>
      </c>
    </row>
    <row r="145" customFormat="false" ht="14.25" hidden="false" customHeight="false" outlineLevel="0" collapsed="false">
      <c r="B145" s="2" t="n">
        <v>10</v>
      </c>
      <c r="C145" s="3" t="n">
        <v>528</v>
      </c>
      <c r="D145" s="3" t="n">
        <v>1</v>
      </c>
      <c r="E145" s="2" t="n">
        <v>45</v>
      </c>
      <c r="F145" s="4" t="n">
        <v>2.8</v>
      </c>
      <c r="G145" s="2" t="n">
        <v>40</v>
      </c>
      <c r="H145" s="2" t="n">
        <v>45</v>
      </c>
      <c r="I145" s="1" t="n">
        <v>100</v>
      </c>
      <c r="J145" s="2" t="n">
        <v>250</v>
      </c>
      <c r="K145" s="3" t="n">
        <v>78.5</v>
      </c>
      <c r="L145" s="12" t="n">
        <v>0.00826315789473684</v>
      </c>
      <c r="M145" s="4" t="n">
        <v>4.1</v>
      </c>
    </row>
    <row r="146" customFormat="false" ht="14.25" hidden="false" customHeight="false" outlineLevel="0" collapsed="false">
      <c r="B146" s="2" t="n">
        <v>10</v>
      </c>
      <c r="C146" s="3" t="n">
        <v>528</v>
      </c>
      <c r="D146" s="3" t="n">
        <v>1</v>
      </c>
      <c r="E146" s="2" t="n">
        <v>45</v>
      </c>
      <c r="F146" s="4" t="n">
        <v>2.8</v>
      </c>
      <c r="G146" s="2" t="n">
        <v>40</v>
      </c>
      <c r="H146" s="2" t="n">
        <v>45</v>
      </c>
      <c r="I146" s="1" t="n">
        <v>100</v>
      </c>
      <c r="J146" s="2" t="n">
        <v>250</v>
      </c>
      <c r="K146" s="3" t="n">
        <v>78.5</v>
      </c>
      <c r="L146" s="12" t="n">
        <v>0.00826315789473684</v>
      </c>
      <c r="M146" s="4" t="n">
        <v>4.42</v>
      </c>
    </row>
    <row r="147" customFormat="false" ht="14.25" hidden="false" customHeight="false" outlineLevel="0" collapsed="false">
      <c r="B147" s="2" t="n">
        <v>10</v>
      </c>
      <c r="C147" s="3" t="n">
        <v>528</v>
      </c>
      <c r="D147" s="3" t="n">
        <v>1</v>
      </c>
      <c r="E147" s="2" t="n">
        <v>45</v>
      </c>
      <c r="F147" s="4" t="n">
        <v>2.8</v>
      </c>
      <c r="G147" s="2" t="n">
        <v>40</v>
      </c>
      <c r="H147" s="2" t="n">
        <v>45</v>
      </c>
      <c r="I147" s="1" t="n">
        <v>100</v>
      </c>
      <c r="J147" s="2" t="n">
        <v>250</v>
      </c>
      <c r="K147" s="3" t="n">
        <v>78.5</v>
      </c>
      <c r="L147" s="12" t="n">
        <v>0.00826315789473684</v>
      </c>
      <c r="M147" s="4" t="n">
        <v>4.71</v>
      </c>
    </row>
    <row r="148" customFormat="false" ht="14.25" hidden="false" customHeight="false" outlineLevel="0" collapsed="false">
      <c r="B148" s="2" t="n">
        <v>10</v>
      </c>
      <c r="C148" s="3" t="n">
        <v>528</v>
      </c>
      <c r="D148" s="3" t="n">
        <v>1</v>
      </c>
      <c r="E148" s="2" t="n">
        <v>45</v>
      </c>
      <c r="F148" s="4" t="n">
        <v>2.8</v>
      </c>
      <c r="G148" s="2" t="n">
        <v>40</v>
      </c>
      <c r="H148" s="2" t="n">
        <v>45</v>
      </c>
      <c r="I148" s="1" t="n">
        <v>100</v>
      </c>
      <c r="J148" s="2" t="n">
        <v>250</v>
      </c>
      <c r="K148" s="3" t="n">
        <v>78.5</v>
      </c>
      <c r="L148" s="12" t="n">
        <v>0.00826315789473684</v>
      </c>
      <c r="M148" s="4" t="n">
        <v>5.04</v>
      </c>
    </row>
    <row r="149" customFormat="false" ht="14.25" hidden="false" customHeight="false" outlineLevel="0" collapsed="false">
      <c r="B149" s="2" t="n">
        <v>10</v>
      </c>
      <c r="C149" s="3" t="n">
        <v>528</v>
      </c>
      <c r="D149" s="3" t="n">
        <v>1</v>
      </c>
      <c r="E149" s="2" t="n">
        <v>45</v>
      </c>
      <c r="F149" s="4" t="n">
        <v>2.8</v>
      </c>
      <c r="G149" s="2" t="n">
        <v>40</v>
      </c>
      <c r="H149" s="2" t="n">
        <v>45</v>
      </c>
      <c r="I149" s="1" t="n">
        <v>100</v>
      </c>
      <c r="J149" s="2" t="n">
        <v>250</v>
      </c>
      <c r="K149" s="3" t="n">
        <v>78.5</v>
      </c>
      <c r="L149" s="12" t="n">
        <v>0.00826315789473684</v>
      </c>
      <c r="M149" s="4" t="n">
        <v>5.37</v>
      </c>
    </row>
    <row r="150" customFormat="false" ht="14.25" hidden="false" customHeight="false" outlineLevel="0" collapsed="false">
      <c r="B150" s="2" t="n">
        <v>10</v>
      </c>
      <c r="C150" s="3" t="n">
        <v>528</v>
      </c>
      <c r="D150" s="3" t="n">
        <v>1</v>
      </c>
      <c r="E150" s="2" t="n">
        <v>45</v>
      </c>
      <c r="F150" s="4" t="n">
        <v>2.8</v>
      </c>
      <c r="G150" s="2" t="n">
        <v>40</v>
      </c>
      <c r="H150" s="2" t="n">
        <v>45</v>
      </c>
      <c r="I150" s="1" t="n">
        <v>100</v>
      </c>
      <c r="J150" s="2" t="n">
        <v>250</v>
      </c>
      <c r="K150" s="3" t="n">
        <v>78.5</v>
      </c>
      <c r="L150" s="12" t="n">
        <v>0.00826315789473684</v>
      </c>
      <c r="M150" s="4" t="n">
        <v>5.65</v>
      </c>
    </row>
    <row r="151" customFormat="false" ht="14.25" hidden="false" customHeight="false" outlineLevel="0" collapsed="false">
      <c r="B151" s="2" t="n">
        <v>10</v>
      </c>
      <c r="C151" s="3" t="n">
        <v>528</v>
      </c>
      <c r="D151" s="3" t="n">
        <v>1</v>
      </c>
      <c r="E151" s="2" t="n">
        <v>45</v>
      </c>
      <c r="F151" s="4" t="n">
        <v>2.8</v>
      </c>
      <c r="G151" s="2" t="n">
        <v>40</v>
      </c>
      <c r="H151" s="2" t="n">
        <v>45</v>
      </c>
      <c r="I151" s="1" t="n">
        <v>100</v>
      </c>
      <c r="J151" s="2" t="n">
        <v>250</v>
      </c>
      <c r="K151" s="3" t="n">
        <v>78.5</v>
      </c>
      <c r="L151" s="12" t="n">
        <v>0.00826315789473684</v>
      </c>
      <c r="M151" s="4" t="n">
        <v>5.92</v>
      </c>
    </row>
    <row r="152" customFormat="false" ht="14.25" hidden="false" customHeight="false" outlineLevel="0" collapsed="false">
      <c r="A152" s="1" t="s">
        <v>56</v>
      </c>
      <c r="B152" s="2" t="n">
        <v>20</v>
      </c>
      <c r="C152" s="3" t="n">
        <v>598</v>
      </c>
      <c r="D152" s="3" t="n">
        <v>1</v>
      </c>
      <c r="E152" s="2" t="n">
        <v>40</v>
      </c>
      <c r="F152" s="4" t="n">
        <v>2.8</v>
      </c>
      <c r="G152" s="2" t="n">
        <v>40</v>
      </c>
      <c r="H152" s="2" t="n">
        <v>50</v>
      </c>
      <c r="I152" s="1" t="n">
        <v>100</v>
      </c>
      <c r="J152" s="2" t="n">
        <v>250</v>
      </c>
      <c r="K152" s="3" t="n">
        <v>315</v>
      </c>
      <c r="L152" s="12" t="n">
        <v>0.021</v>
      </c>
      <c r="M152" s="4" t="n">
        <v>11.09</v>
      </c>
    </row>
    <row r="153" customFormat="false" ht="14.25" hidden="false" customHeight="false" outlineLevel="0" collapsed="false">
      <c r="B153" s="2" t="n">
        <v>20</v>
      </c>
      <c r="C153" s="3" t="n">
        <v>598</v>
      </c>
      <c r="D153" s="3" t="n">
        <v>1</v>
      </c>
      <c r="E153" s="2" t="n">
        <v>40</v>
      </c>
      <c r="F153" s="4" t="n">
        <v>2.8</v>
      </c>
      <c r="G153" s="2" t="n">
        <v>40</v>
      </c>
      <c r="H153" s="2" t="n">
        <v>50</v>
      </c>
      <c r="I153" s="1" t="n">
        <v>100</v>
      </c>
      <c r="J153" s="2" t="n">
        <v>250</v>
      </c>
      <c r="K153" s="3" t="n">
        <v>315</v>
      </c>
      <c r="L153" s="12" t="n">
        <v>0.021</v>
      </c>
      <c r="M153" s="4" t="n">
        <v>12.96</v>
      </c>
    </row>
    <row r="154" customFormat="false" ht="14.25" hidden="false" customHeight="false" outlineLevel="0" collapsed="false">
      <c r="B154" s="2" t="n">
        <v>20</v>
      </c>
      <c r="C154" s="3" t="n">
        <v>598</v>
      </c>
      <c r="D154" s="3" t="n">
        <v>1</v>
      </c>
      <c r="E154" s="2" t="n">
        <v>40</v>
      </c>
      <c r="F154" s="4" t="n">
        <v>2.8</v>
      </c>
      <c r="G154" s="2" t="n">
        <v>40</v>
      </c>
      <c r="H154" s="2" t="n">
        <v>50</v>
      </c>
      <c r="I154" s="1" t="n">
        <v>100</v>
      </c>
      <c r="J154" s="2" t="n">
        <v>250</v>
      </c>
      <c r="K154" s="3" t="n">
        <v>315</v>
      </c>
      <c r="L154" s="12" t="n">
        <v>0.021</v>
      </c>
      <c r="M154" s="4" t="n">
        <v>14.77</v>
      </c>
    </row>
    <row r="155" customFormat="false" ht="14.25" hidden="false" customHeight="false" outlineLevel="0" collapsed="false">
      <c r="B155" s="2" t="n">
        <v>20</v>
      </c>
      <c r="C155" s="3" t="n">
        <v>598</v>
      </c>
      <c r="D155" s="3" t="n">
        <v>1</v>
      </c>
      <c r="E155" s="2" t="n">
        <v>40</v>
      </c>
      <c r="F155" s="4" t="n">
        <v>2.8</v>
      </c>
      <c r="G155" s="2" t="n">
        <v>40</v>
      </c>
      <c r="H155" s="2" t="n">
        <v>50</v>
      </c>
      <c r="I155" s="1" t="n">
        <v>100</v>
      </c>
      <c r="J155" s="2" t="n">
        <v>250</v>
      </c>
      <c r="K155" s="3" t="n">
        <v>315</v>
      </c>
      <c r="L155" s="12" t="n">
        <v>0.021</v>
      </c>
      <c r="M155" s="4" t="n">
        <v>16.57</v>
      </c>
    </row>
    <row r="156" customFormat="false" ht="14.25" hidden="false" customHeight="false" outlineLevel="0" collapsed="false">
      <c r="B156" s="2" t="n">
        <v>20</v>
      </c>
      <c r="C156" s="3" t="n">
        <v>598</v>
      </c>
      <c r="D156" s="3" t="n">
        <v>1</v>
      </c>
      <c r="E156" s="2" t="n">
        <v>40</v>
      </c>
      <c r="F156" s="4" t="n">
        <v>2.8</v>
      </c>
      <c r="G156" s="2" t="n">
        <v>40</v>
      </c>
      <c r="H156" s="2" t="n">
        <v>50</v>
      </c>
      <c r="I156" s="1" t="n">
        <v>100</v>
      </c>
      <c r="J156" s="2" t="n">
        <v>250</v>
      </c>
      <c r="K156" s="3" t="n">
        <v>315</v>
      </c>
      <c r="L156" s="12" t="n">
        <v>0.021</v>
      </c>
      <c r="M156" s="4" t="n">
        <v>18.35</v>
      </c>
    </row>
    <row r="157" customFormat="false" ht="14.25" hidden="false" customHeight="false" outlineLevel="0" collapsed="false">
      <c r="B157" s="2" t="n">
        <v>20</v>
      </c>
      <c r="C157" s="3" t="n">
        <v>598</v>
      </c>
      <c r="D157" s="3" t="n">
        <v>1</v>
      </c>
      <c r="E157" s="2" t="n">
        <v>40</v>
      </c>
      <c r="F157" s="4" t="n">
        <v>2.8</v>
      </c>
      <c r="G157" s="2" t="n">
        <v>40</v>
      </c>
      <c r="H157" s="2" t="n">
        <v>50</v>
      </c>
      <c r="I157" s="1" t="n">
        <v>100</v>
      </c>
      <c r="J157" s="2" t="n">
        <v>250</v>
      </c>
      <c r="K157" s="3" t="n">
        <v>315</v>
      </c>
      <c r="L157" s="12" t="n">
        <v>0.021</v>
      </c>
      <c r="M157" s="4" t="n">
        <v>20.18</v>
      </c>
    </row>
    <row r="158" customFormat="false" ht="14.25" hidden="false" customHeight="false" outlineLevel="0" collapsed="false">
      <c r="A158" s="1" t="s">
        <v>57</v>
      </c>
      <c r="B158" s="2" t="n">
        <v>20</v>
      </c>
      <c r="C158" s="3" t="n">
        <v>598</v>
      </c>
      <c r="D158" s="3" t="n">
        <v>1</v>
      </c>
      <c r="E158" s="2" t="n">
        <v>40</v>
      </c>
      <c r="F158" s="4" t="n">
        <v>2.8</v>
      </c>
      <c r="G158" s="2" t="n">
        <v>40</v>
      </c>
      <c r="H158" s="2" t="n">
        <v>50</v>
      </c>
      <c r="I158" s="1" t="n">
        <v>100</v>
      </c>
      <c r="J158" s="2" t="n">
        <v>250</v>
      </c>
      <c r="K158" s="3" t="n">
        <v>315</v>
      </c>
      <c r="L158" s="12" t="n">
        <v>0.021</v>
      </c>
      <c r="M158" s="4" t="n">
        <v>9.35</v>
      </c>
    </row>
    <row r="159" customFormat="false" ht="14.25" hidden="false" customHeight="false" outlineLevel="0" collapsed="false">
      <c r="B159" s="2" t="n">
        <v>20</v>
      </c>
      <c r="C159" s="3" t="n">
        <v>598</v>
      </c>
      <c r="D159" s="3" t="n">
        <v>1</v>
      </c>
      <c r="E159" s="2" t="n">
        <v>40</v>
      </c>
      <c r="F159" s="4" t="n">
        <v>2.8</v>
      </c>
      <c r="G159" s="2" t="n">
        <v>40</v>
      </c>
      <c r="H159" s="2" t="n">
        <v>50</v>
      </c>
      <c r="I159" s="1" t="n">
        <v>100</v>
      </c>
      <c r="J159" s="2" t="n">
        <v>250</v>
      </c>
      <c r="K159" s="3" t="n">
        <v>315</v>
      </c>
      <c r="L159" s="12" t="n">
        <v>0.021</v>
      </c>
      <c r="M159" s="4" t="n">
        <v>11.12</v>
      </c>
    </row>
    <row r="160" customFormat="false" ht="14.25" hidden="false" customHeight="false" outlineLevel="0" collapsed="false">
      <c r="B160" s="2" t="n">
        <v>20</v>
      </c>
      <c r="C160" s="3" t="n">
        <v>598</v>
      </c>
      <c r="D160" s="3" t="n">
        <v>1</v>
      </c>
      <c r="E160" s="2" t="n">
        <v>40</v>
      </c>
      <c r="F160" s="4" t="n">
        <v>2.8</v>
      </c>
      <c r="G160" s="2" t="n">
        <v>40</v>
      </c>
      <c r="H160" s="2" t="n">
        <v>50</v>
      </c>
      <c r="I160" s="1" t="n">
        <v>100</v>
      </c>
      <c r="J160" s="2" t="n">
        <v>250</v>
      </c>
      <c r="K160" s="3" t="n">
        <v>315</v>
      </c>
      <c r="L160" s="12" t="n">
        <v>0.021</v>
      </c>
      <c r="M160" s="4" t="n">
        <v>12.93</v>
      </c>
    </row>
    <row r="161" customFormat="false" ht="14.25" hidden="false" customHeight="false" outlineLevel="0" collapsed="false">
      <c r="B161" s="2" t="n">
        <v>20</v>
      </c>
      <c r="C161" s="3" t="n">
        <v>598</v>
      </c>
      <c r="D161" s="3" t="n">
        <v>1</v>
      </c>
      <c r="E161" s="2" t="n">
        <v>40</v>
      </c>
      <c r="F161" s="4" t="n">
        <v>2.8</v>
      </c>
      <c r="G161" s="2" t="n">
        <v>40</v>
      </c>
      <c r="H161" s="2" t="n">
        <v>50</v>
      </c>
      <c r="I161" s="1" t="n">
        <v>100</v>
      </c>
      <c r="J161" s="2" t="n">
        <v>250</v>
      </c>
      <c r="K161" s="3" t="n">
        <v>315</v>
      </c>
      <c r="L161" s="12" t="n">
        <v>0.021</v>
      </c>
      <c r="M161" s="4" t="n">
        <v>14.72</v>
      </c>
    </row>
    <row r="162" customFormat="false" ht="14.25" hidden="false" customHeight="false" outlineLevel="0" collapsed="false">
      <c r="B162" s="2" t="n">
        <v>20</v>
      </c>
      <c r="C162" s="3" t="n">
        <v>598</v>
      </c>
      <c r="D162" s="3" t="n">
        <v>1</v>
      </c>
      <c r="E162" s="2" t="n">
        <v>40</v>
      </c>
      <c r="F162" s="4" t="n">
        <v>2.8</v>
      </c>
      <c r="G162" s="2" t="n">
        <v>40</v>
      </c>
      <c r="H162" s="2" t="n">
        <v>50</v>
      </c>
      <c r="I162" s="1" t="n">
        <v>100</v>
      </c>
      <c r="J162" s="2" t="n">
        <v>250</v>
      </c>
      <c r="K162" s="3" t="n">
        <v>315</v>
      </c>
      <c r="L162" s="12" t="n">
        <v>0.021</v>
      </c>
      <c r="M162" s="4" t="n">
        <v>16.58</v>
      </c>
    </row>
    <row r="163" customFormat="false" ht="14.25" hidden="false" customHeight="false" outlineLevel="0" collapsed="false">
      <c r="B163" s="2" t="n">
        <v>20</v>
      </c>
      <c r="C163" s="3" t="n">
        <v>598</v>
      </c>
      <c r="D163" s="3" t="n">
        <v>1</v>
      </c>
      <c r="E163" s="2" t="n">
        <v>40</v>
      </c>
      <c r="F163" s="4" t="n">
        <v>2.8</v>
      </c>
      <c r="G163" s="2" t="n">
        <v>40</v>
      </c>
      <c r="H163" s="2" t="n">
        <v>50</v>
      </c>
      <c r="I163" s="1" t="n">
        <v>100</v>
      </c>
      <c r="J163" s="2" t="n">
        <v>250</v>
      </c>
      <c r="K163" s="3" t="n">
        <v>315</v>
      </c>
      <c r="L163" s="12" t="n">
        <v>0.021</v>
      </c>
      <c r="M163" s="4" t="n">
        <v>18.35</v>
      </c>
    </row>
    <row r="164" customFormat="false" ht="14.25" hidden="false" customHeight="false" outlineLevel="0" collapsed="false">
      <c r="B164" s="2" t="n">
        <v>20</v>
      </c>
      <c r="C164" s="3" t="n">
        <v>598</v>
      </c>
      <c r="D164" s="3" t="n">
        <v>1</v>
      </c>
      <c r="E164" s="2" t="n">
        <v>40</v>
      </c>
      <c r="F164" s="4" t="n">
        <v>2.8</v>
      </c>
      <c r="G164" s="2" t="n">
        <v>40</v>
      </c>
      <c r="H164" s="2" t="n">
        <v>50</v>
      </c>
      <c r="I164" s="1" t="n">
        <v>100</v>
      </c>
      <c r="J164" s="2" t="n">
        <v>250</v>
      </c>
      <c r="K164" s="3" t="n">
        <v>315</v>
      </c>
      <c r="L164" s="12" t="n">
        <v>0.021</v>
      </c>
      <c r="M164" s="4" t="n">
        <v>19.21</v>
      </c>
    </row>
    <row r="165" customFormat="false" ht="14.25" hidden="false" customHeight="false" outlineLevel="0" collapsed="false">
      <c r="A165" s="1" t="s">
        <v>58</v>
      </c>
      <c r="B165" s="2" t="n">
        <v>10</v>
      </c>
      <c r="C165" s="3" t="n">
        <v>528</v>
      </c>
      <c r="D165" s="3" t="n">
        <v>1</v>
      </c>
      <c r="E165" s="2" t="n">
        <v>45</v>
      </c>
      <c r="F165" s="4" t="n">
        <v>2.8</v>
      </c>
      <c r="G165" s="2" t="n">
        <v>40</v>
      </c>
      <c r="H165" s="2" t="n">
        <v>45</v>
      </c>
      <c r="I165" s="1" t="n">
        <v>100</v>
      </c>
      <c r="J165" s="2" t="n">
        <v>350</v>
      </c>
      <c r="K165" s="3" t="n">
        <v>78.5</v>
      </c>
      <c r="L165" s="12" t="n">
        <v>0.00826315789473684</v>
      </c>
      <c r="M165" s="4" t="n">
        <v>6.99</v>
      </c>
    </row>
    <row r="166" customFormat="false" ht="14.25" hidden="false" customHeight="false" outlineLevel="0" collapsed="false">
      <c r="B166" s="2" t="n">
        <v>10</v>
      </c>
      <c r="C166" s="3" t="n">
        <v>528</v>
      </c>
      <c r="D166" s="3" t="n">
        <v>1</v>
      </c>
      <c r="E166" s="2" t="n">
        <v>45</v>
      </c>
      <c r="F166" s="4" t="n">
        <v>2.8</v>
      </c>
      <c r="G166" s="2" t="n">
        <v>40</v>
      </c>
      <c r="H166" s="2" t="n">
        <v>45</v>
      </c>
      <c r="I166" s="1" t="n">
        <v>100</v>
      </c>
      <c r="J166" s="2" t="n">
        <v>350</v>
      </c>
      <c r="K166" s="3" t="n">
        <v>78.5</v>
      </c>
      <c r="L166" s="12" t="n">
        <v>0.00826315789473684</v>
      </c>
      <c r="M166" s="4" t="n">
        <v>7.44</v>
      </c>
    </row>
    <row r="167" customFormat="false" ht="14.25" hidden="false" customHeight="false" outlineLevel="0" collapsed="false">
      <c r="B167" s="2" t="n">
        <v>10</v>
      </c>
      <c r="C167" s="3" t="n">
        <v>528</v>
      </c>
      <c r="D167" s="3" t="n">
        <v>1</v>
      </c>
      <c r="E167" s="2" t="n">
        <v>45</v>
      </c>
      <c r="F167" s="4" t="n">
        <v>2.8</v>
      </c>
      <c r="G167" s="2" t="n">
        <v>40</v>
      </c>
      <c r="H167" s="2" t="n">
        <v>45</v>
      </c>
      <c r="I167" s="1" t="n">
        <v>100</v>
      </c>
      <c r="J167" s="2" t="n">
        <v>350</v>
      </c>
      <c r="K167" s="3" t="n">
        <v>78.5</v>
      </c>
      <c r="L167" s="12" t="n">
        <v>0.00826315789473684</v>
      </c>
      <c r="M167" s="4" t="n">
        <v>7.53</v>
      </c>
    </row>
    <row r="168" customFormat="false" ht="14.25" hidden="false" customHeight="false" outlineLevel="0" collapsed="false">
      <c r="B168" s="2" t="n">
        <v>10</v>
      </c>
      <c r="C168" s="3" t="n">
        <v>528</v>
      </c>
      <c r="D168" s="3" t="n">
        <v>1</v>
      </c>
      <c r="E168" s="2" t="n">
        <v>45</v>
      </c>
      <c r="F168" s="4" t="n">
        <v>2.8</v>
      </c>
      <c r="G168" s="2" t="n">
        <v>40</v>
      </c>
      <c r="H168" s="2" t="n">
        <v>45</v>
      </c>
      <c r="I168" s="1" t="n">
        <v>100</v>
      </c>
      <c r="J168" s="2" t="n">
        <v>350</v>
      </c>
      <c r="K168" s="3" t="n">
        <v>78.5</v>
      </c>
      <c r="L168" s="12" t="n">
        <v>0.00826315789473684</v>
      </c>
      <c r="M168" s="4" t="n">
        <v>7.91</v>
      </c>
    </row>
    <row r="169" customFormat="false" ht="14.25" hidden="false" customHeight="false" outlineLevel="0" collapsed="false">
      <c r="B169" s="2" t="n">
        <v>10</v>
      </c>
      <c r="C169" s="3" t="n">
        <v>528</v>
      </c>
      <c r="D169" s="3" t="n">
        <v>1</v>
      </c>
      <c r="E169" s="2" t="n">
        <v>45</v>
      </c>
      <c r="F169" s="4" t="n">
        <v>2.8</v>
      </c>
      <c r="G169" s="2" t="n">
        <v>40</v>
      </c>
      <c r="H169" s="2" t="n">
        <v>45</v>
      </c>
      <c r="I169" s="1" t="n">
        <v>100</v>
      </c>
      <c r="J169" s="2" t="n">
        <v>350</v>
      </c>
      <c r="K169" s="3" t="n">
        <v>78.5</v>
      </c>
      <c r="L169" s="12" t="n">
        <v>0.00826315789473684</v>
      </c>
      <c r="M169" s="4" t="n">
        <v>8.17</v>
      </c>
    </row>
    <row r="170" customFormat="false" ht="14.25" hidden="false" customHeight="false" outlineLevel="0" collapsed="false">
      <c r="B170" s="2" t="n">
        <v>10</v>
      </c>
      <c r="C170" s="3" t="n">
        <v>528</v>
      </c>
      <c r="D170" s="3" t="n">
        <v>1</v>
      </c>
      <c r="E170" s="2" t="n">
        <v>45</v>
      </c>
      <c r="F170" s="4" t="n">
        <v>2.8</v>
      </c>
      <c r="G170" s="2" t="n">
        <v>40</v>
      </c>
      <c r="H170" s="2" t="n">
        <v>45</v>
      </c>
      <c r="I170" s="1" t="n">
        <v>100</v>
      </c>
      <c r="J170" s="2" t="n">
        <v>350</v>
      </c>
      <c r="K170" s="3" t="n">
        <v>78.5</v>
      </c>
      <c r="L170" s="12" t="n">
        <v>0.00826315789473684</v>
      </c>
      <c r="M170" s="4" t="n">
        <v>8.46</v>
      </c>
    </row>
    <row r="171" customFormat="false" ht="14.25" hidden="false" customHeight="false" outlineLevel="0" collapsed="false">
      <c r="B171" s="2" t="n">
        <v>10</v>
      </c>
      <c r="C171" s="3" t="n">
        <v>528</v>
      </c>
      <c r="D171" s="3" t="n">
        <v>1</v>
      </c>
      <c r="E171" s="2" t="n">
        <v>45</v>
      </c>
      <c r="F171" s="4" t="n">
        <v>2.8</v>
      </c>
      <c r="G171" s="2" t="n">
        <v>40</v>
      </c>
      <c r="H171" s="2" t="n">
        <v>45</v>
      </c>
      <c r="I171" s="1" t="n">
        <v>100</v>
      </c>
      <c r="J171" s="2" t="n">
        <v>350</v>
      </c>
      <c r="K171" s="3" t="n">
        <v>78.5</v>
      </c>
      <c r="L171" s="12" t="n">
        <v>0.00826315789473684</v>
      </c>
      <c r="M171" s="4" t="n">
        <v>8.72</v>
      </c>
    </row>
    <row r="172" customFormat="false" ht="14.25" hidden="false" customHeight="false" outlineLevel="0" collapsed="false">
      <c r="B172" s="2" t="n">
        <v>10</v>
      </c>
      <c r="C172" s="3" t="n">
        <v>528</v>
      </c>
      <c r="D172" s="3" t="n">
        <v>1</v>
      </c>
      <c r="E172" s="2" t="n">
        <v>45</v>
      </c>
      <c r="F172" s="4" t="n">
        <v>2.8</v>
      </c>
      <c r="G172" s="2" t="n">
        <v>40</v>
      </c>
      <c r="H172" s="2" t="n">
        <v>45</v>
      </c>
      <c r="I172" s="1" t="n">
        <v>100</v>
      </c>
      <c r="J172" s="2" t="n">
        <v>350</v>
      </c>
      <c r="K172" s="3" t="n">
        <v>78.5</v>
      </c>
      <c r="L172" s="12" t="n">
        <v>0.00826315789473684</v>
      </c>
      <c r="M172" s="4" t="n">
        <v>9.03</v>
      </c>
    </row>
    <row r="173" customFormat="false" ht="14.25" hidden="false" customHeight="false" outlineLevel="0" collapsed="false">
      <c r="A173" s="1" t="s">
        <v>59</v>
      </c>
      <c r="B173" s="2" t="n">
        <v>10</v>
      </c>
      <c r="C173" s="3" t="n">
        <v>528</v>
      </c>
      <c r="D173" s="3" t="n">
        <v>1</v>
      </c>
      <c r="E173" s="2" t="n">
        <v>45</v>
      </c>
      <c r="F173" s="4" t="n">
        <v>2.8</v>
      </c>
      <c r="G173" s="2" t="n">
        <v>40</v>
      </c>
      <c r="H173" s="2" t="n">
        <v>45</v>
      </c>
      <c r="I173" s="1" t="n">
        <v>100</v>
      </c>
      <c r="J173" s="2" t="n">
        <v>350</v>
      </c>
      <c r="K173" s="3" t="n">
        <v>78.5</v>
      </c>
      <c r="L173" s="12" t="n">
        <v>0.00826315789473684</v>
      </c>
      <c r="M173" s="4" t="n">
        <v>6.96</v>
      </c>
    </row>
    <row r="174" customFormat="false" ht="14.25" hidden="false" customHeight="false" outlineLevel="0" collapsed="false">
      <c r="B174" s="2" t="n">
        <v>10</v>
      </c>
      <c r="C174" s="3" t="n">
        <v>528</v>
      </c>
      <c r="D174" s="3" t="n">
        <v>1</v>
      </c>
      <c r="E174" s="2" t="n">
        <v>45</v>
      </c>
      <c r="F174" s="4" t="n">
        <v>2.8</v>
      </c>
      <c r="G174" s="2" t="n">
        <v>40</v>
      </c>
      <c r="H174" s="2" t="n">
        <v>45</v>
      </c>
      <c r="I174" s="1" t="n">
        <v>100</v>
      </c>
      <c r="J174" s="2" t="n">
        <v>350</v>
      </c>
      <c r="K174" s="3" t="n">
        <v>78.5</v>
      </c>
      <c r="L174" s="12" t="n">
        <v>0.00826315789473684</v>
      </c>
      <c r="M174" s="4" t="n">
        <v>7.26</v>
      </c>
    </row>
    <row r="175" customFormat="false" ht="14.25" hidden="false" customHeight="false" outlineLevel="0" collapsed="false">
      <c r="B175" s="2" t="n">
        <v>10</v>
      </c>
      <c r="C175" s="3" t="n">
        <v>528</v>
      </c>
      <c r="D175" s="3" t="n">
        <v>1</v>
      </c>
      <c r="E175" s="2" t="n">
        <v>45</v>
      </c>
      <c r="F175" s="4" t="n">
        <v>2.8</v>
      </c>
      <c r="G175" s="2" t="n">
        <v>40</v>
      </c>
      <c r="H175" s="2" t="n">
        <v>45</v>
      </c>
      <c r="I175" s="1" t="n">
        <v>100</v>
      </c>
      <c r="J175" s="2" t="n">
        <v>350</v>
      </c>
      <c r="K175" s="3" t="n">
        <v>78.5</v>
      </c>
      <c r="L175" s="12" t="n">
        <v>0.00826315789473684</v>
      </c>
      <c r="M175" s="4" t="n">
        <v>7.54</v>
      </c>
    </row>
    <row r="176" customFormat="false" ht="14.25" hidden="false" customHeight="false" outlineLevel="0" collapsed="false">
      <c r="B176" s="2" t="n">
        <v>10</v>
      </c>
      <c r="C176" s="3" t="n">
        <v>528</v>
      </c>
      <c r="D176" s="3" t="n">
        <v>1</v>
      </c>
      <c r="E176" s="2" t="n">
        <v>45</v>
      </c>
      <c r="F176" s="4" t="n">
        <v>2.8</v>
      </c>
      <c r="G176" s="2" t="n">
        <v>40</v>
      </c>
      <c r="H176" s="2" t="n">
        <v>45</v>
      </c>
      <c r="I176" s="1" t="n">
        <v>100</v>
      </c>
      <c r="J176" s="2" t="n">
        <v>350</v>
      </c>
      <c r="K176" s="3" t="n">
        <v>78.5</v>
      </c>
      <c r="L176" s="12" t="n">
        <v>0.00826315789473684</v>
      </c>
      <c r="M176" s="4" t="n">
        <v>7.83</v>
      </c>
    </row>
    <row r="177" customFormat="false" ht="14.25" hidden="false" customHeight="false" outlineLevel="0" collapsed="false">
      <c r="B177" s="2" t="n">
        <v>10</v>
      </c>
      <c r="C177" s="3" t="n">
        <v>528</v>
      </c>
      <c r="D177" s="3" t="n">
        <v>1</v>
      </c>
      <c r="E177" s="2" t="n">
        <v>45</v>
      </c>
      <c r="F177" s="4" t="n">
        <v>2.8</v>
      </c>
      <c r="G177" s="2" t="n">
        <v>40</v>
      </c>
      <c r="H177" s="2" t="n">
        <v>45</v>
      </c>
      <c r="I177" s="1" t="n">
        <v>100</v>
      </c>
      <c r="J177" s="2" t="n">
        <v>350</v>
      </c>
      <c r="K177" s="3" t="n">
        <v>78.5</v>
      </c>
      <c r="L177" s="12" t="n">
        <v>0.00826315789473684</v>
      </c>
      <c r="M177" s="4" t="n">
        <v>8.14</v>
      </c>
    </row>
    <row r="178" customFormat="false" ht="14.25" hidden="false" customHeight="false" outlineLevel="0" collapsed="false">
      <c r="B178" s="2" t="n">
        <v>10</v>
      </c>
      <c r="C178" s="3" t="n">
        <v>528</v>
      </c>
      <c r="D178" s="3" t="n">
        <v>1</v>
      </c>
      <c r="E178" s="2" t="n">
        <v>45</v>
      </c>
      <c r="F178" s="4" t="n">
        <v>2.8</v>
      </c>
      <c r="G178" s="2" t="n">
        <v>40</v>
      </c>
      <c r="H178" s="2" t="n">
        <v>45</v>
      </c>
      <c r="I178" s="1" t="n">
        <v>100</v>
      </c>
      <c r="J178" s="2" t="n">
        <v>350</v>
      </c>
      <c r="K178" s="3" t="n">
        <v>78.5</v>
      </c>
      <c r="L178" s="12" t="n">
        <v>0.00826315789473684</v>
      </c>
      <c r="M178" s="4" t="n">
        <v>8.46</v>
      </c>
    </row>
    <row r="179" customFormat="false" ht="14.25" hidden="false" customHeight="false" outlineLevel="0" collapsed="false">
      <c r="B179" s="2" t="n">
        <v>10</v>
      </c>
      <c r="C179" s="3" t="n">
        <v>528</v>
      </c>
      <c r="D179" s="3" t="n">
        <v>1</v>
      </c>
      <c r="E179" s="2" t="n">
        <v>45</v>
      </c>
      <c r="F179" s="4" t="n">
        <v>2.8</v>
      </c>
      <c r="G179" s="2" t="n">
        <v>40</v>
      </c>
      <c r="H179" s="2" t="n">
        <v>45</v>
      </c>
      <c r="I179" s="1" t="n">
        <v>100</v>
      </c>
      <c r="J179" s="2" t="n">
        <v>350</v>
      </c>
      <c r="K179" s="3" t="n">
        <v>78.5</v>
      </c>
      <c r="L179" s="12" t="n">
        <v>0.00826315789473684</v>
      </c>
      <c r="M179" s="4" t="n">
        <v>8.75</v>
      </c>
    </row>
    <row r="180" customFormat="false" ht="14.25" hidden="false" customHeight="false" outlineLevel="0" collapsed="false">
      <c r="B180" s="2" t="n">
        <v>10</v>
      </c>
      <c r="C180" s="3" t="n">
        <v>528</v>
      </c>
      <c r="D180" s="3" t="n">
        <v>1</v>
      </c>
      <c r="E180" s="2" t="n">
        <v>45</v>
      </c>
      <c r="F180" s="4" t="n">
        <v>2.8</v>
      </c>
      <c r="G180" s="2" t="n">
        <v>40</v>
      </c>
      <c r="H180" s="2" t="n">
        <v>45</v>
      </c>
      <c r="I180" s="1" t="n">
        <v>100</v>
      </c>
      <c r="J180" s="2" t="n">
        <v>350</v>
      </c>
      <c r="K180" s="3" t="n">
        <v>78.5</v>
      </c>
      <c r="L180" s="12" t="n">
        <v>0.00826315789473684</v>
      </c>
      <c r="M180" s="4" t="n">
        <v>9.01</v>
      </c>
    </row>
    <row r="181" customFormat="false" ht="14.25" hidden="false" customHeight="false" outlineLevel="0" collapsed="false">
      <c r="A181" s="1" t="s">
        <v>60</v>
      </c>
      <c r="B181" s="2" t="n">
        <v>10</v>
      </c>
      <c r="C181" s="3" t="n">
        <v>528</v>
      </c>
      <c r="D181" s="3" t="n">
        <v>1</v>
      </c>
      <c r="E181" s="2" t="n">
        <v>45</v>
      </c>
      <c r="F181" s="4" t="n">
        <v>2.8</v>
      </c>
      <c r="G181" s="2" t="n">
        <v>40</v>
      </c>
      <c r="H181" s="2" t="n">
        <v>45</v>
      </c>
      <c r="I181" s="1" t="n">
        <v>100</v>
      </c>
      <c r="J181" s="2" t="n">
        <v>350</v>
      </c>
      <c r="K181" s="3" t="n">
        <v>78.5</v>
      </c>
      <c r="L181" s="12" t="n">
        <v>0.00826315789473684</v>
      </c>
      <c r="M181" s="4" t="n">
        <v>7.29</v>
      </c>
    </row>
    <row r="182" customFormat="false" ht="14.25" hidden="false" customHeight="false" outlineLevel="0" collapsed="false">
      <c r="B182" s="2" t="n">
        <v>10</v>
      </c>
      <c r="C182" s="3" t="n">
        <v>528</v>
      </c>
      <c r="D182" s="3" t="n">
        <v>1</v>
      </c>
      <c r="E182" s="2" t="n">
        <v>45</v>
      </c>
      <c r="F182" s="4" t="n">
        <v>2.8</v>
      </c>
      <c r="G182" s="2" t="n">
        <v>40</v>
      </c>
      <c r="H182" s="2" t="n">
        <v>45</v>
      </c>
      <c r="I182" s="1" t="n">
        <v>100</v>
      </c>
      <c r="J182" s="2" t="n">
        <v>350</v>
      </c>
      <c r="K182" s="3" t="n">
        <v>78.5</v>
      </c>
      <c r="L182" s="12" t="n">
        <v>0.00826315789473684</v>
      </c>
      <c r="M182" s="4" t="n">
        <v>7.58</v>
      </c>
    </row>
    <row r="183" customFormat="false" ht="14.25" hidden="false" customHeight="false" outlineLevel="0" collapsed="false">
      <c r="B183" s="2" t="n">
        <v>10</v>
      </c>
      <c r="C183" s="3" t="n">
        <v>528</v>
      </c>
      <c r="D183" s="3" t="n">
        <v>1</v>
      </c>
      <c r="E183" s="2" t="n">
        <v>45</v>
      </c>
      <c r="F183" s="4" t="n">
        <v>2.8</v>
      </c>
      <c r="G183" s="2" t="n">
        <v>40</v>
      </c>
      <c r="H183" s="2" t="n">
        <v>45</v>
      </c>
      <c r="I183" s="1" t="n">
        <v>100</v>
      </c>
      <c r="J183" s="2" t="n">
        <v>350</v>
      </c>
      <c r="K183" s="3" t="n">
        <v>78.5</v>
      </c>
      <c r="L183" s="12" t="n">
        <v>0.00826315789473684</v>
      </c>
      <c r="M183" s="4" t="n">
        <v>7.99</v>
      </c>
    </row>
    <row r="184" customFormat="false" ht="14.25" hidden="false" customHeight="false" outlineLevel="0" collapsed="false">
      <c r="B184" s="2" t="n">
        <v>10</v>
      </c>
      <c r="C184" s="3" t="n">
        <v>528</v>
      </c>
      <c r="D184" s="3" t="n">
        <v>1</v>
      </c>
      <c r="E184" s="2" t="n">
        <v>45</v>
      </c>
      <c r="F184" s="4" t="n">
        <v>2.8</v>
      </c>
      <c r="G184" s="2" t="n">
        <v>40</v>
      </c>
      <c r="H184" s="2" t="n">
        <v>45</v>
      </c>
      <c r="I184" s="1" t="n">
        <v>100</v>
      </c>
      <c r="J184" s="2" t="n">
        <v>350</v>
      </c>
      <c r="K184" s="3" t="n">
        <v>78.5</v>
      </c>
      <c r="L184" s="12" t="n">
        <v>0.00826315789473684</v>
      </c>
      <c r="M184" s="4" t="n">
        <v>8.23</v>
      </c>
    </row>
    <row r="185" customFormat="false" ht="14.25" hidden="false" customHeight="false" outlineLevel="0" collapsed="false">
      <c r="B185" s="2" t="n">
        <v>10</v>
      </c>
      <c r="C185" s="3" t="n">
        <v>528</v>
      </c>
      <c r="D185" s="3" t="n">
        <v>1</v>
      </c>
      <c r="E185" s="2" t="n">
        <v>45</v>
      </c>
      <c r="F185" s="4" t="n">
        <v>2.8</v>
      </c>
      <c r="G185" s="2" t="n">
        <v>40</v>
      </c>
      <c r="H185" s="2" t="n">
        <v>45</v>
      </c>
      <c r="I185" s="1" t="n">
        <v>100</v>
      </c>
      <c r="J185" s="2" t="n">
        <v>350</v>
      </c>
      <c r="K185" s="3" t="n">
        <v>78.5</v>
      </c>
      <c r="L185" s="12" t="n">
        <v>0.00826315789473684</v>
      </c>
      <c r="M185" s="4" t="n">
        <v>8.46</v>
      </c>
    </row>
    <row r="186" customFormat="false" ht="14.25" hidden="false" customHeight="false" outlineLevel="0" collapsed="false">
      <c r="B186" s="2" t="n">
        <v>10</v>
      </c>
      <c r="C186" s="3" t="n">
        <v>528</v>
      </c>
      <c r="D186" s="3" t="n">
        <v>1</v>
      </c>
      <c r="E186" s="2" t="n">
        <v>45</v>
      </c>
      <c r="F186" s="4" t="n">
        <v>2.8</v>
      </c>
      <c r="G186" s="2" t="n">
        <v>40</v>
      </c>
      <c r="H186" s="2" t="n">
        <v>45</v>
      </c>
      <c r="I186" s="1" t="n">
        <v>100</v>
      </c>
      <c r="J186" s="2" t="n">
        <v>350</v>
      </c>
      <c r="K186" s="3" t="n">
        <v>78.5</v>
      </c>
      <c r="L186" s="12" t="n">
        <v>0.00826315789473684</v>
      </c>
      <c r="M186" s="4" t="n">
        <v>8.71</v>
      </c>
    </row>
    <row r="187" customFormat="false" ht="14.25" hidden="false" customHeight="false" outlineLevel="0" collapsed="false">
      <c r="B187" s="2" t="n">
        <v>10</v>
      </c>
      <c r="C187" s="3" t="n">
        <v>528</v>
      </c>
      <c r="D187" s="3" t="n">
        <v>1</v>
      </c>
      <c r="E187" s="2" t="n">
        <v>45</v>
      </c>
      <c r="F187" s="4" t="n">
        <v>2.8</v>
      </c>
      <c r="G187" s="2" t="n">
        <v>40</v>
      </c>
      <c r="H187" s="2" t="n">
        <v>45</v>
      </c>
      <c r="I187" s="1" t="n">
        <v>100</v>
      </c>
      <c r="J187" s="2" t="n">
        <v>350</v>
      </c>
      <c r="K187" s="3" t="n">
        <v>78.5</v>
      </c>
      <c r="L187" s="12" t="n">
        <v>0.00826315789473684</v>
      </c>
      <c r="M187" s="4" t="n">
        <v>9.04</v>
      </c>
    </row>
    <row r="188" customFormat="false" ht="14.25" hidden="false" customHeight="false" outlineLevel="0" collapsed="false">
      <c r="A188" s="1" t="s">
        <v>61</v>
      </c>
      <c r="B188" s="2" t="n">
        <v>20</v>
      </c>
      <c r="C188" s="3" t="n">
        <v>598</v>
      </c>
      <c r="D188" s="3" t="n">
        <v>1</v>
      </c>
      <c r="E188" s="2" t="n">
        <v>40</v>
      </c>
      <c r="F188" s="4" t="n">
        <v>2.8</v>
      </c>
      <c r="G188" s="2" t="n">
        <v>40</v>
      </c>
      <c r="H188" s="2" t="n">
        <v>50</v>
      </c>
      <c r="I188" s="1" t="n">
        <v>100</v>
      </c>
      <c r="J188" s="2" t="n">
        <v>350</v>
      </c>
      <c r="K188" s="3" t="n">
        <v>315</v>
      </c>
      <c r="L188" s="12" t="n">
        <v>0.021</v>
      </c>
      <c r="M188" s="4" t="n">
        <v>18.98</v>
      </c>
    </row>
    <row r="189" customFormat="false" ht="14.25" hidden="false" customHeight="false" outlineLevel="0" collapsed="false">
      <c r="B189" s="2" t="n">
        <v>20</v>
      </c>
      <c r="C189" s="3" t="n">
        <v>598</v>
      </c>
      <c r="D189" s="3" t="n">
        <v>1</v>
      </c>
      <c r="E189" s="2" t="n">
        <v>40</v>
      </c>
      <c r="F189" s="4" t="n">
        <v>2.8</v>
      </c>
      <c r="G189" s="2" t="n">
        <v>40</v>
      </c>
      <c r="H189" s="2" t="n">
        <v>50</v>
      </c>
      <c r="I189" s="1" t="n">
        <v>100</v>
      </c>
      <c r="J189" s="2" t="n">
        <v>350</v>
      </c>
      <c r="K189" s="3" t="n">
        <v>315</v>
      </c>
      <c r="L189" s="12" t="n">
        <v>0.021</v>
      </c>
      <c r="M189" s="4" t="n">
        <v>21.93</v>
      </c>
    </row>
    <row r="190" customFormat="false" ht="14.25" hidden="false" customHeight="false" outlineLevel="0" collapsed="false">
      <c r="B190" s="2" t="n">
        <v>20</v>
      </c>
      <c r="C190" s="3" t="n">
        <v>598</v>
      </c>
      <c r="D190" s="3" t="n">
        <v>1</v>
      </c>
      <c r="E190" s="2" t="n">
        <v>40</v>
      </c>
      <c r="F190" s="4" t="n">
        <v>2.8</v>
      </c>
      <c r="G190" s="2" t="n">
        <v>40</v>
      </c>
      <c r="H190" s="2" t="n">
        <v>50</v>
      </c>
      <c r="I190" s="1" t="n">
        <v>100</v>
      </c>
      <c r="J190" s="2" t="n">
        <v>350</v>
      </c>
      <c r="K190" s="3" t="n">
        <v>315</v>
      </c>
      <c r="L190" s="12" t="n">
        <v>0.021</v>
      </c>
      <c r="M190" s="4" t="n">
        <v>24.87</v>
      </c>
    </row>
    <row r="191" customFormat="false" ht="14.25" hidden="false" customHeight="false" outlineLevel="0" collapsed="false">
      <c r="A191" s="1" t="s">
        <v>62</v>
      </c>
      <c r="B191" s="2" t="n">
        <v>20</v>
      </c>
      <c r="C191" s="3" t="n">
        <v>598</v>
      </c>
      <c r="D191" s="3" t="n">
        <v>1</v>
      </c>
      <c r="E191" s="2" t="n">
        <v>40</v>
      </c>
      <c r="F191" s="4" t="n">
        <v>2.8</v>
      </c>
      <c r="G191" s="2" t="n">
        <v>40</v>
      </c>
      <c r="H191" s="2" t="n">
        <v>50</v>
      </c>
      <c r="I191" s="1" t="n">
        <v>100</v>
      </c>
      <c r="J191" s="2" t="n">
        <v>350</v>
      </c>
      <c r="K191" s="3" t="n">
        <v>315</v>
      </c>
      <c r="L191" s="12" t="n">
        <v>0.021</v>
      </c>
      <c r="M191" s="4" t="n">
        <v>18.98</v>
      </c>
    </row>
    <row r="192" customFormat="false" ht="14.25" hidden="false" customHeight="false" outlineLevel="0" collapsed="false">
      <c r="B192" s="2" t="n">
        <v>20</v>
      </c>
      <c r="C192" s="3" t="n">
        <v>598</v>
      </c>
      <c r="D192" s="3" t="n">
        <v>1</v>
      </c>
      <c r="E192" s="2" t="n">
        <v>40</v>
      </c>
      <c r="F192" s="4" t="n">
        <v>2.8</v>
      </c>
      <c r="G192" s="2" t="n">
        <v>40</v>
      </c>
      <c r="H192" s="2" t="n">
        <v>50</v>
      </c>
      <c r="I192" s="1" t="n">
        <v>100</v>
      </c>
      <c r="J192" s="2" t="n">
        <v>350</v>
      </c>
      <c r="K192" s="3" t="n">
        <v>315</v>
      </c>
      <c r="L192" s="12" t="n">
        <v>0.021</v>
      </c>
      <c r="M192" s="4" t="n">
        <v>21.89</v>
      </c>
    </row>
    <row r="193" customFormat="false" ht="14.25" hidden="false" customHeight="false" outlineLevel="0" collapsed="false">
      <c r="B193" s="2" t="n">
        <v>20</v>
      </c>
      <c r="C193" s="3" t="n">
        <v>598</v>
      </c>
      <c r="D193" s="3" t="n">
        <v>1</v>
      </c>
      <c r="E193" s="2" t="n">
        <v>40</v>
      </c>
      <c r="F193" s="4" t="n">
        <v>2.8</v>
      </c>
      <c r="G193" s="2" t="n">
        <v>40</v>
      </c>
      <c r="H193" s="2" t="n">
        <v>50</v>
      </c>
      <c r="I193" s="1" t="n">
        <v>100</v>
      </c>
      <c r="J193" s="2" t="n">
        <v>350</v>
      </c>
      <c r="K193" s="3" t="n">
        <v>315</v>
      </c>
      <c r="L193" s="12" t="n">
        <v>0.021</v>
      </c>
      <c r="M193" s="4" t="n">
        <v>24.82</v>
      </c>
    </row>
    <row r="194" customFormat="false" ht="14.25" hidden="false" customHeight="false" outlineLevel="0" collapsed="false">
      <c r="A194" s="1" t="s">
        <v>63</v>
      </c>
      <c r="B194" s="2" t="n">
        <v>20</v>
      </c>
      <c r="C194" s="3" t="n">
        <v>598</v>
      </c>
      <c r="D194" s="3" t="n">
        <v>1</v>
      </c>
      <c r="E194" s="2" t="n">
        <v>40</v>
      </c>
      <c r="F194" s="4" t="n">
        <v>2.8</v>
      </c>
      <c r="G194" s="2" t="n">
        <v>40</v>
      </c>
      <c r="H194" s="2" t="n">
        <v>50</v>
      </c>
      <c r="I194" s="1" t="n">
        <v>100</v>
      </c>
      <c r="J194" s="2" t="n">
        <v>350</v>
      </c>
      <c r="K194" s="3" t="n">
        <v>315</v>
      </c>
      <c r="L194" s="12" t="n">
        <v>0.021</v>
      </c>
      <c r="M194" s="4" t="n">
        <v>13.02</v>
      </c>
    </row>
    <row r="195" customFormat="false" ht="14.25" hidden="false" customHeight="false" outlineLevel="0" collapsed="false">
      <c r="B195" s="2" t="n">
        <v>20</v>
      </c>
      <c r="C195" s="3" t="n">
        <v>598</v>
      </c>
      <c r="D195" s="3" t="n">
        <v>1</v>
      </c>
      <c r="E195" s="2" t="n">
        <v>40</v>
      </c>
      <c r="F195" s="4" t="n">
        <v>2.8</v>
      </c>
      <c r="G195" s="2" t="n">
        <v>40</v>
      </c>
      <c r="H195" s="2" t="n">
        <v>50</v>
      </c>
      <c r="I195" s="1" t="n">
        <v>100</v>
      </c>
      <c r="J195" s="2" t="n">
        <v>350</v>
      </c>
      <c r="K195" s="3" t="n">
        <v>315</v>
      </c>
      <c r="L195" s="12" t="n">
        <v>0.021</v>
      </c>
      <c r="M195" s="4" t="n">
        <v>16.06</v>
      </c>
    </row>
    <row r="196" customFormat="false" ht="14.25" hidden="false" customHeight="false" outlineLevel="0" collapsed="false">
      <c r="B196" s="2" t="n">
        <v>20</v>
      </c>
      <c r="C196" s="3" t="n">
        <v>598</v>
      </c>
      <c r="D196" s="3" t="n">
        <v>1</v>
      </c>
      <c r="E196" s="2" t="n">
        <v>40</v>
      </c>
      <c r="F196" s="4" t="n">
        <v>2.8</v>
      </c>
      <c r="G196" s="2" t="n">
        <v>40</v>
      </c>
      <c r="H196" s="2" t="n">
        <v>50</v>
      </c>
      <c r="I196" s="1" t="n">
        <v>100</v>
      </c>
      <c r="J196" s="2" t="n">
        <v>350</v>
      </c>
      <c r="K196" s="3" t="n">
        <v>315</v>
      </c>
      <c r="L196" s="12" t="n">
        <v>0.021</v>
      </c>
      <c r="M196" s="4" t="n">
        <v>18.93</v>
      </c>
    </row>
    <row r="197" customFormat="false" ht="14.25" hidden="false" customHeight="false" outlineLevel="0" collapsed="false">
      <c r="B197" s="2" t="n">
        <v>20</v>
      </c>
      <c r="C197" s="3" t="n">
        <v>598</v>
      </c>
      <c r="D197" s="3" t="n">
        <v>1</v>
      </c>
      <c r="E197" s="2" t="n">
        <v>40</v>
      </c>
      <c r="F197" s="4" t="n">
        <v>2.8</v>
      </c>
      <c r="G197" s="2" t="n">
        <v>40</v>
      </c>
      <c r="H197" s="2" t="n">
        <v>50</v>
      </c>
      <c r="I197" s="1" t="n">
        <v>100</v>
      </c>
      <c r="J197" s="2" t="n">
        <v>350</v>
      </c>
      <c r="K197" s="3" t="n">
        <v>315</v>
      </c>
      <c r="L197" s="12" t="n">
        <v>0.021</v>
      </c>
      <c r="M197" s="4" t="n">
        <v>21.81</v>
      </c>
    </row>
    <row r="198" customFormat="false" ht="14.25" hidden="false" customHeight="false" outlineLevel="0" collapsed="false">
      <c r="B198" s="2" t="n">
        <v>20</v>
      </c>
      <c r="C198" s="3" t="n">
        <v>598</v>
      </c>
      <c r="D198" s="3" t="n">
        <v>1</v>
      </c>
      <c r="E198" s="2" t="n">
        <v>40</v>
      </c>
      <c r="F198" s="4" t="n">
        <v>2.8</v>
      </c>
      <c r="G198" s="2" t="n">
        <v>40</v>
      </c>
      <c r="H198" s="2" t="n">
        <v>50</v>
      </c>
      <c r="I198" s="1" t="n">
        <v>100</v>
      </c>
      <c r="J198" s="2" t="n">
        <v>350</v>
      </c>
      <c r="K198" s="3" t="n">
        <v>315</v>
      </c>
      <c r="L198" s="12" t="n">
        <v>0.021</v>
      </c>
      <c r="M198" s="4" t="n">
        <v>25.88</v>
      </c>
    </row>
    <row r="199" customFormat="false" ht="14.25" hidden="false" customHeight="false" outlineLevel="0" collapsed="false">
      <c r="A199" s="1" t="s">
        <v>64</v>
      </c>
      <c r="B199" s="2" t="n">
        <v>20</v>
      </c>
      <c r="C199" s="3" t="n">
        <v>430</v>
      </c>
      <c r="D199" s="3" t="n">
        <v>6</v>
      </c>
      <c r="E199" s="2" t="n">
        <v>84</v>
      </c>
      <c r="F199" s="4" t="n">
        <v>3.50882128585544</v>
      </c>
      <c r="G199" s="2" t="n">
        <v>50</v>
      </c>
      <c r="H199" s="2" t="n">
        <v>64</v>
      </c>
      <c r="I199" s="1" t="n">
        <v>600</v>
      </c>
      <c r="J199" s="2" t="n">
        <v>400</v>
      </c>
      <c r="K199" s="3" t="n">
        <v>1884</v>
      </c>
      <c r="L199" s="12" t="n">
        <v>0.0191463414634146</v>
      </c>
      <c r="M199" s="4" t="n">
        <v>103</v>
      </c>
    </row>
    <row r="200" customFormat="false" ht="14.25" hidden="false" customHeight="false" outlineLevel="0" collapsed="false">
      <c r="B200" s="2" t="n">
        <v>20</v>
      </c>
      <c r="C200" s="3" t="n">
        <v>430</v>
      </c>
      <c r="D200" s="3" t="n">
        <v>6</v>
      </c>
      <c r="E200" s="2" t="n">
        <v>84</v>
      </c>
      <c r="F200" s="4" t="n">
        <v>3.50882128585544</v>
      </c>
      <c r="G200" s="2" t="n">
        <v>50</v>
      </c>
      <c r="H200" s="2" t="n">
        <v>64</v>
      </c>
      <c r="I200" s="1" t="n">
        <v>600</v>
      </c>
      <c r="J200" s="2" t="n">
        <v>400</v>
      </c>
      <c r="K200" s="3" t="n">
        <v>1884</v>
      </c>
      <c r="L200" s="12" t="n">
        <v>0.0191463414634146</v>
      </c>
      <c r="M200" s="4" t="n">
        <v>129</v>
      </c>
    </row>
    <row r="201" customFormat="false" ht="14.25" hidden="false" customHeight="false" outlineLevel="0" collapsed="false">
      <c r="B201" s="2" t="n">
        <v>20</v>
      </c>
      <c r="C201" s="3" t="n">
        <v>430</v>
      </c>
      <c r="D201" s="3" t="n">
        <v>6</v>
      </c>
      <c r="E201" s="2" t="n">
        <v>84</v>
      </c>
      <c r="F201" s="4" t="n">
        <v>3.50882128585544</v>
      </c>
      <c r="G201" s="2" t="n">
        <v>50</v>
      </c>
      <c r="H201" s="2" t="n">
        <v>64</v>
      </c>
      <c r="I201" s="1" t="n">
        <v>600</v>
      </c>
      <c r="J201" s="2" t="n">
        <v>400</v>
      </c>
      <c r="K201" s="3" t="n">
        <v>1884</v>
      </c>
      <c r="L201" s="12" t="n">
        <v>0.0191463414634146</v>
      </c>
      <c r="M201" s="4" t="n">
        <v>155</v>
      </c>
    </row>
    <row r="202" customFormat="false" ht="14.25" hidden="false" customHeight="false" outlineLevel="0" collapsed="false">
      <c r="A202" s="1" t="s">
        <v>65</v>
      </c>
      <c r="B202" s="2" t="n">
        <v>20</v>
      </c>
      <c r="C202" s="3" t="n">
        <v>430</v>
      </c>
      <c r="D202" s="3" t="n">
        <v>9</v>
      </c>
      <c r="E202" s="2" t="n">
        <v>45</v>
      </c>
      <c r="F202" s="4" t="n">
        <v>3.50882128585544</v>
      </c>
      <c r="G202" s="2" t="n">
        <v>50</v>
      </c>
      <c r="H202" s="2" t="n">
        <v>64</v>
      </c>
      <c r="I202" s="1" t="n">
        <v>600</v>
      </c>
      <c r="J202" s="2" t="n">
        <v>400</v>
      </c>
      <c r="K202" s="3" t="n">
        <v>2826</v>
      </c>
      <c r="L202" s="12" t="n">
        <v>0.028719512195122</v>
      </c>
      <c r="M202" s="4" t="n">
        <v>149</v>
      </c>
    </row>
    <row r="203" customFormat="false" ht="14.25" hidden="false" customHeight="false" outlineLevel="0" collapsed="false">
      <c r="B203" s="2" t="n">
        <v>20</v>
      </c>
      <c r="C203" s="3" t="n">
        <v>430</v>
      </c>
      <c r="D203" s="3" t="n">
        <v>9</v>
      </c>
      <c r="E203" s="2" t="n">
        <v>45</v>
      </c>
      <c r="F203" s="4" t="n">
        <v>3.50882128585544</v>
      </c>
      <c r="G203" s="2" t="n">
        <v>50</v>
      </c>
      <c r="H203" s="2" t="n">
        <v>64</v>
      </c>
      <c r="I203" s="1" t="n">
        <v>600</v>
      </c>
      <c r="J203" s="2" t="n">
        <v>400</v>
      </c>
      <c r="K203" s="3" t="n">
        <v>2826</v>
      </c>
      <c r="L203" s="12" t="n">
        <v>0.028719512195122</v>
      </c>
      <c r="M203" s="4" t="n">
        <v>186</v>
      </c>
    </row>
    <row r="204" customFormat="false" ht="14.25" hidden="false" customHeight="false" outlineLevel="0" collapsed="false">
      <c r="B204" s="2" t="n">
        <v>20</v>
      </c>
      <c r="C204" s="3" t="n">
        <v>430</v>
      </c>
      <c r="D204" s="3" t="n">
        <v>9</v>
      </c>
      <c r="E204" s="2" t="n">
        <v>45</v>
      </c>
      <c r="F204" s="4" t="n">
        <v>3.50882128585544</v>
      </c>
      <c r="G204" s="2" t="n">
        <v>50</v>
      </c>
      <c r="H204" s="2" t="n">
        <v>64</v>
      </c>
      <c r="I204" s="1" t="n">
        <v>600</v>
      </c>
      <c r="J204" s="2" t="n">
        <v>400</v>
      </c>
      <c r="K204" s="3" t="n">
        <v>2826</v>
      </c>
      <c r="L204" s="12" t="n">
        <v>0.028719512195122</v>
      </c>
      <c r="M204" s="4" t="n">
        <v>223</v>
      </c>
    </row>
    <row r="205" customFormat="false" ht="14.25" hidden="false" customHeight="false" outlineLevel="0" collapsed="false">
      <c r="A205" s="1" t="s">
        <v>66</v>
      </c>
      <c r="B205" s="2" t="n">
        <v>16</v>
      </c>
      <c r="C205" s="3" t="n">
        <v>528</v>
      </c>
      <c r="D205" s="3" t="n">
        <v>2</v>
      </c>
      <c r="E205" s="2" t="n">
        <v>52</v>
      </c>
      <c r="F205" s="4" t="n">
        <v>3.42</v>
      </c>
      <c r="G205" s="2" t="n">
        <v>27</v>
      </c>
      <c r="H205" s="2" t="n">
        <v>35</v>
      </c>
      <c r="I205" s="1" t="n">
        <v>150</v>
      </c>
      <c r="J205" s="2" t="n">
        <v>235</v>
      </c>
      <c r="K205" s="3" t="n">
        <v>402</v>
      </c>
      <c r="L205" s="12" t="n">
        <v>0.023304347826087</v>
      </c>
      <c r="M205" s="4" t="n">
        <v>16.675</v>
      </c>
    </row>
    <row r="206" customFormat="false" ht="14.25" hidden="false" customHeight="false" outlineLevel="0" collapsed="false">
      <c r="B206" s="2" t="n">
        <v>16</v>
      </c>
      <c r="C206" s="3" t="n">
        <v>528</v>
      </c>
      <c r="D206" s="3" t="n">
        <v>2</v>
      </c>
      <c r="E206" s="2" t="n">
        <v>52</v>
      </c>
      <c r="F206" s="4" t="n">
        <v>3.42</v>
      </c>
      <c r="G206" s="2" t="n">
        <v>27</v>
      </c>
      <c r="H206" s="2" t="n">
        <v>35</v>
      </c>
      <c r="I206" s="1" t="n">
        <v>150</v>
      </c>
      <c r="J206" s="2" t="n">
        <v>235</v>
      </c>
      <c r="K206" s="3" t="n">
        <v>402</v>
      </c>
      <c r="L206" s="12" t="n">
        <v>0.023304347826087</v>
      </c>
      <c r="M206" s="4" t="n">
        <v>22.425</v>
      </c>
    </row>
    <row r="207" customFormat="false" ht="14.25" hidden="false" customHeight="false" outlineLevel="0" collapsed="false">
      <c r="B207" s="2" t="n">
        <v>16</v>
      </c>
      <c r="C207" s="3" t="n">
        <v>528</v>
      </c>
      <c r="D207" s="3" t="n">
        <v>2</v>
      </c>
      <c r="E207" s="2" t="n">
        <v>52</v>
      </c>
      <c r="F207" s="4" t="n">
        <v>3.42</v>
      </c>
      <c r="G207" s="2" t="n">
        <v>27</v>
      </c>
      <c r="H207" s="2" t="n">
        <v>35</v>
      </c>
      <c r="I207" s="1" t="n">
        <v>150</v>
      </c>
      <c r="J207" s="2" t="n">
        <v>235</v>
      </c>
      <c r="K207" s="3" t="n">
        <v>402</v>
      </c>
      <c r="L207" s="12" t="n">
        <v>0.023304347826087</v>
      </c>
      <c r="M207" s="4" t="n">
        <v>25.875</v>
      </c>
    </row>
    <row r="208" customFormat="false" ht="14.25" hidden="false" customHeight="false" outlineLevel="0" collapsed="false">
      <c r="B208" s="2" t="n">
        <v>16</v>
      </c>
      <c r="C208" s="3" t="n">
        <v>528</v>
      </c>
      <c r="D208" s="3" t="n">
        <v>2</v>
      </c>
      <c r="E208" s="2" t="n">
        <v>52</v>
      </c>
      <c r="F208" s="4" t="n">
        <v>3.42</v>
      </c>
      <c r="G208" s="2" t="n">
        <v>27</v>
      </c>
      <c r="H208" s="2" t="n">
        <v>35</v>
      </c>
      <c r="I208" s="1" t="n">
        <v>150</v>
      </c>
      <c r="J208" s="2" t="n">
        <v>235</v>
      </c>
      <c r="K208" s="3" t="n">
        <v>402</v>
      </c>
      <c r="L208" s="12" t="n">
        <v>0.023304347826087</v>
      </c>
      <c r="M208" s="4" t="n">
        <v>28.75</v>
      </c>
    </row>
    <row r="209" customFormat="false" ht="14.25" hidden="false" customHeight="false" outlineLevel="0" collapsed="false">
      <c r="B209" s="2" t="n">
        <v>16</v>
      </c>
      <c r="C209" s="3" t="n">
        <v>528</v>
      </c>
      <c r="D209" s="3" t="n">
        <v>2</v>
      </c>
      <c r="E209" s="2" t="n">
        <v>52</v>
      </c>
      <c r="F209" s="4" t="n">
        <v>3.42</v>
      </c>
      <c r="G209" s="2" t="n">
        <v>27</v>
      </c>
      <c r="H209" s="2" t="n">
        <v>35</v>
      </c>
      <c r="I209" s="1" t="n">
        <v>150</v>
      </c>
      <c r="J209" s="2" t="n">
        <v>235</v>
      </c>
      <c r="K209" s="3" t="n">
        <v>402</v>
      </c>
      <c r="L209" s="12" t="n">
        <v>0.023304347826087</v>
      </c>
      <c r="M209" s="4" t="n">
        <v>33.35</v>
      </c>
    </row>
    <row r="210" customFormat="false" ht="14.25" hidden="false" customHeight="false" outlineLevel="0" collapsed="false">
      <c r="B210" s="2" t="n">
        <v>16</v>
      </c>
      <c r="C210" s="3" t="n">
        <v>528</v>
      </c>
      <c r="D210" s="3" t="n">
        <v>2</v>
      </c>
      <c r="E210" s="2" t="n">
        <v>52</v>
      </c>
      <c r="F210" s="4" t="n">
        <v>3.42</v>
      </c>
      <c r="G210" s="2" t="n">
        <v>27</v>
      </c>
      <c r="H210" s="2" t="n">
        <v>35</v>
      </c>
      <c r="I210" s="1" t="n">
        <v>150</v>
      </c>
      <c r="J210" s="2" t="n">
        <v>235</v>
      </c>
      <c r="K210" s="3" t="n">
        <v>402</v>
      </c>
      <c r="L210" s="12" t="n">
        <v>0.023304347826087</v>
      </c>
      <c r="M210" s="4" t="n">
        <v>37.375</v>
      </c>
    </row>
    <row r="211" customFormat="false" ht="14.25" hidden="false" customHeight="false" outlineLevel="0" collapsed="false">
      <c r="A211" s="1" t="s">
        <v>67</v>
      </c>
      <c r="B211" s="2" t="n">
        <v>20</v>
      </c>
      <c r="C211" s="3" t="n">
        <v>528</v>
      </c>
      <c r="D211" s="3" t="n">
        <v>2</v>
      </c>
      <c r="E211" s="2" t="n">
        <v>44</v>
      </c>
      <c r="F211" s="4" t="n">
        <v>3.42</v>
      </c>
      <c r="G211" s="2" t="n">
        <v>25</v>
      </c>
      <c r="H211" s="2" t="n">
        <v>35</v>
      </c>
      <c r="I211" s="1" t="n">
        <v>150</v>
      </c>
      <c r="J211" s="2" t="n">
        <v>235</v>
      </c>
      <c r="K211" s="3" t="n">
        <v>628</v>
      </c>
      <c r="L211" s="12" t="n">
        <v>0.0341768707482993</v>
      </c>
      <c r="M211" s="4" t="n">
        <v>29.325</v>
      </c>
    </row>
    <row r="212" customFormat="false" ht="14.25" hidden="false" customHeight="false" outlineLevel="0" collapsed="false">
      <c r="B212" s="2" t="n">
        <v>20</v>
      </c>
      <c r="C212" s="3" t="n">
        <v>528</v>
      </c>
      <c r="D212" s="3" t="n">
        <v>2</v>
      </c>
      <c r="E212" s="2" t="n">
        <v>44</v>
      </c>
      <c r="F212" s="4" t="n">
        <v>3.42</v>
      </c>
      <c r="G212" s="2" t="n">
        <v>25</v>
      </c>
      <c r="H212" s="2" t="n">
        <v>35</v>
      </c>
      <c r="I212" s="1" t="n">
        <v>150</v>
      </c>
      <c r="J212" s="2" t="n">
        <v>235</v>
      </c>
      <c r="K212" s="3" t="n">
        <v>628</v>
      </c>
      <c r="L212" s="12" t="n">
        <v>0.0341768707482993</v>
      </c>
      <c r="M212" s="4" t="n">
        <v>33.35</v>
      </c>
    </row>
    <row r="213" customFormat="false" ht="14.25" hidden="false" customHeight="false" outlineLevel="0" collapsed="false">
      <c r="B213" s="2" t="n">
        <v>20</v>
      </c>
      <c r="C213" s="3" t="n">
        <v>528</v>
      </c>
      <c r="D213" s="3" t="n">
        <v>2</v>
      </c>
      <c r="E213" s="2" t="n">
        <v>44</v>
      </c>
      <c r="F213" s="4" t="n">
        <v>3.42</v>
      </c>
      <c r="G213" s="2" t="n">
        <v>25</v>
      </c>
      <c r="H213" s="2" t="n">
        <v>35</v>
      </c>
      <c r="I213" s="1" t="n">
        <v>150</v>
      </c>
      <c r="J213" s="2" t="n">
        <v>235</v>
      </c>
      <c r="K213" s="3" t="n">
        <v>628</v>
      </c>
      <c r="L213" s="12" t="n">
        <v>0.0341768707482993</v>
      </c>
      <c r="M213" s="4" t="n">
        <v>38.525</v>
      </c>
    </row>
    <row r="214" customFormat="false" ht="14.25" hidden="false" customHeight="false" outlineLevel="0" collapsed="false">
      <c r="B214" s="2" t="n">
        <v>20</v>
      </c>
      <c r="C214" s="3" t="n">
        <v>528</v>
      </c>
      <c r="D214" s="3" t="n">
        <v>2</v>
      </c>
      <c r="E214" s="2" t="n">
        <v>44</v>
      </c>
      <c r="F214" s="4" t="n">
        <v>3.42</v>
      </c>
      <c r="G214" s="2" t="n">
        <v>25</v>
      </c>
      <c r="H214" s="2" t="n">
        <v>35</v>
      </c>
      <c r="I214" s="1" t="n">
        <v>150</v>
      </c>
      <c r="J214" s="2" t="n">
        <v>235</v>
      </c>
      <c r="K214" s="3" t="n">
        <v>628</v>
      </c>
      <c r="L214" s="12" t="n">
        <v>0.0341768707482993</v>
      </c>
      <c r="M214" s="4" t="n">
        <v>40.825</v>
      </c>
    </row>
    <row r="215" customFormat="false" ht="14.25" hidden="false" customHeight="false" outlineLevel="0" collapsed="false">
      <c r="B215" s="2" t="n">
        <v>20</v>
      </c>
      <c r="C215" s="3" t="n">
        <v>528</v>
      </c>
      <c r="D215" s="3" t="n">
        <v>2</v>
      </c>
      <c r="E215" s="2" t="n">
        <v>44</v>
      </c>
      <c r="F215" s="4" t="n">
        <v>3.42</v>
      </c>
      <c r="G215" s="2" t="n">
        <v>25</v>
      </c>
      <c r="H215" s="2" t="n">
        <v>35</v>
      </c>
      <c r="I215" s="1" t="n">
        <v>150</v>
      </c>
      <c r="J215" s="2" t="n">
        <v>235</v>
      </c>
      <c r="K215" s="3" t="n">
        <v>628</v>
      </c>
      <c r="L215" s="12" t="n">
        <v>0.0341768707482993</v>
      </c>
      <c r="M215" s="4" t="n">
        <v>46</v>
      </c>
    </row>
    <row r="216" customFormat="false" ht="14.25" hidden="false" customHeight="false" outlineLevel="0" collapsed="false">
      <c r="B216" s="2" t="n">
        <v>20</v>
      </c>
      <c r="C216" s="3" t="n">
        <v>528</v>
      </c>
      <c r="D216" s="3" t="n">
        <v>2</v>
      </c>
      <c r="E216" s="2" t="n">
        <v>44</v>
      </c>
      <c r="F216" s="4" t="n">
        <v>3.42</v>
      </c>
      <c r="G216" s="2" t="n">
        <v>25</v>
      </c>
      <c r="H216" s="2" t="n">
        <v>35</v>
      </c>
      <c r="I216" s="1" t="n">
        <v>150</v>
      </c>
      <c r="J216" s="2" t="n">
        <v>235</v>
      </c>
      <c r="K216" s="3" t="n">
        <v>628</v>
      </c>
      <c r="L216" s="12" t="n">
        <v>0.0341768707482993</v>
      </c>
      <c r="M216" s="4" t="n">
        <v>56.925</v>
      </c>
    </row>
    <row r="217" customFormat="false" ht="14.25" hidden="false" customHeight="false" outlineLevel="0" collapsed="false">
      <c r="A217" s="1" t="s">
        <v>68</v>
      </c>
      <c r="B217" s="2" t="n">
        <v>20</v>
      </c>
      <c r="C217" s="3" t="n">
        <v>528</v>
      </c>
      <c r="D217" s="3" t="n">
        <v>3</v>
      </c>
      <c r="E217" s="2" t="n">
        <v>12</v>
      </c>
      <c r="F217" s="4" t="n">
        <v>3.42</v>
      </c>
      <c r="G217" s="2" t="n">
        <v>25</v>
      </c>
      <c r="H217" s="2" t="n">
        <v>35</v>
      </c>
      <c r="I217" s="1" t="n">
        <v>150</v>
      </c>
      <c r="J217" s="2" t="n">
        <v>235</v>
      </c>
      <c r="K217" s="3" t="n">
        <v>942</v>
      </c>
      <c r="L217" s="12" t="n">
        <v>0.051265306122449</v>
      </c>
      <c r="M217" s="4" t="n">
        <v>39.1</v>
      </c>
    </row>
    <row r="218" customFormat="false" ht="14.25" hidden="false" customHeight="false" outlineLevel="0" collapsed="false">
      <c r="B218" s="2" t="n">
        <v>20</v>
      </c>
      <c r="C218" s="3" t="n">
        <v>528</v>
      </c>
      <c r="D218" s="3" t="n">
        <v>3</v>
      </c>
      <c r="E218" s="2" t="n">
        <v>12</v>
      </c>
      <c r="F218" s="4" t="n">
        <v>3.42</v>
      </c>
      <c r="G218" s="2" t="n">
        <v>25</v>
      </c>
      <c r="H218" s="2" t="n">
        <v>35</v>
      </c>
      <c r="I218" s="1" t="n">
        <v>150</v>
      </c>
      <c r="J218" s="2" t="n">
        <v>235</v>
      </c>
      <c r="K218" s="3" t="n">
        <v>942</v>
      </c>
      <c r="L218" s="12" t="n">
        <v>0.051265306122449</v>
      </c>
      <c r="M218" s="4" t="n">
        <v>44.85</v>
      </c>
    </row>
    <row r="219" customFormat="false" ht="14.25" hidden="false" customHeight="false" outlineLevel="0" collapsed="false">
      <c r="B219" s="2" t="n">
        <v>20</v>
      </c>
      <c r="C219" s="3" t="n">
        <v>528</v>
      </c>
      <c r="D219" s="3" t="n">
        <v>3</v>
      </c>
      <c r="E219" s="2" t="n">
        <v>12</v>
      </c>
      <c r="F219" s="4" t="n">
        <v>3.42</v>
      </c>
      <c r="G219" s="2" t="n">
        <v>25</v>
      </c>
      <c r="H219" s="2" t="n">
        <v>35</v>
      </c>
      <c r="I219" s="1" t="n">
        <v>150</v>
      </c>
      <c r="J219" s="2" t="n">
        <v>235</v>
      </c>
      <c r="K219" s="3" t="n">
        <v>942</v>
      </c>
      <c r="L219" s="12" t="n">
        <v>0.051265306122449</v>
      </c>
      <c r="M219" s="4" t="n">
        <v>50.025</v>
      </c>
    </row>
    <row r="220" customFormat="false" ht="14.25" hidden="false" customHeight="false" outlineLevel="0" collapsed="false">
      <c r="B220" s="2" t="n">
        <v>20</v>
      </c>
      <c r="C220" s="3" t="n">
        <v>528</v>
      </c>
      <c r="D220" s="3" t="n">
        <v>3</v>
      </c>
      <c r="E220" s="2" t="n">
        <v>12</v>
      </c>
      <c r="F220" s="4" t="n">
        <v>3.42</v>
      </c>
      <c r="G220" s="2" t="n">
        <v>25</v>
      </c>
      <c r="H220" s="2" t="n">
        <v>35</v>
      </c>
      <c r="I220" s="1" t="n">
        <v>150</v>
      </c>
      <c r="J220" s="2" t="n">
        <v>235</v>
      </c>
      <c r="K220" s="3" t="n">
        <v>942</v>
      </c>
      <c r="L220" s="12" t="n">
        <v>0.051265306122449</v>
      </c>
      <c r="M220" s="4" t="n">
        <v>56.35</v>
      </c>
    </row>
    <row r="221" customFormat="false" ht="14.25" hidden="false" customHeight="false" outlineLevel="0" collapsed="false">
      <c r="B221" s="2" t="n">
        <v>20</v>
      </c>
      <c r="C221" s="3" t="n">
        <v>528</v>
      </c>
      <c r="D221" s="3" t="n">
        <v>3</v>
      </c>
      <c r="E221" s="2" t="n">
        <v>12</v>
      </c>
      <c r="F221" s="4" t="n">
        <v>3.42</v>
      </c>
      <c r="G221" s="2" t="n">
        <v>25</v>
      </c>
      <c r="H221" s="2" t="n">
        <v>35</v>
      </c>
      <c r="I221" s="1" t="n">
        <v>150</v>
      </c>
      <c r="J221" s="2" t="n">
        <v>235</v>
      </c>
      <c r="K221" s="3" t="n">
        <v>942</v>
      </c>
      <c r="L221" s="12" t="n">
        <v>0.051265306122449</v>
      </c>
      <c r="M221" s="4" t="n">
        <v>62.675</v>
      </c>
    </row>
    <row r="222" customFormat="false" ht="14.25" hidden="false" customHeight="false" outlineLevel="0" collapsed="false">
      <c r="B222" s="2" t="n">
        <v>20</v>
      </c>
      <c r="C222" s="3" t="n">
        <v>528</v>
      </c>
      <c r="D222" s="3" t="n">
        <v>3</v>
      </c>
      <c r="E222" s="2" t="n">
        <v>12</v>
      </c>
      <c r="F222" s="4" t="n">
        <v>3.42</v>
      </c>
      <c r="G222" s="2" t="n">
        <v>25</v>
      </c>
      <c r="H222" s="2" t="n">
        <v>35</v>
      </c>
      <c r="I222" s="1" t="n">
        <v>150</v>
      </c>
      <c r="J222" s="2" t="n">
        <v>235</v>
      </c>
      <c r="K222" s="3" t="n">
        <v>942</v>
      </c>
      <c r="L222" s="12" t="n">
        <v>0.051265306122449</v>
      </c>
      <c r="M222" s="4" t="n">
        <v>68.425</v>
      </c>
    </row>
    <row r="223" customFormat="false" ht="14.25" hidden="false" customHeight="false" outlineLevel="0" collapsed="false">
      <c r="B223" s="2" t="n">
        <v>20</v>
      </c>
      <c r="C223" s="3" t="n">
        <v>528</v>
      </c>
      <c r="D223" s="3" t="n">
        <v>3</v>
      </c>
      <c r="E223" s="2" t="n">
        <v>12</v>
      </c>
      <c r="F223" s="4" t="n">
        <v>3.42</v>
      </c>
      <c r="G223" s="2" t="n">
        <v>25</v>
      </c>
      <c r="H223" s="2" t="n">
        <v>35</v>
      </c>
      <c r="I223" s="1" t="n">
        <v>150</v>
      </c>
      <c r="J223" s="2" t="n">
        <v>235</v>
      </c>
      <c r="K223" s="3" t="n">
        <v>942</v>
      </c>
      <c r="L223" s="12" t="n">
        <v>0.051265306122449</v>
      </c>
      <c r="M223" s="4" t="n">
        <v>74.175</v>
      </c>
    </row>
    <row r="224" customFormat="false" ht="14.25" hidden="false" customHeight="false" outlineLevel="0" collapsed="false">
      <c r="B224" s="2" t="n">
        <v>20</v>
      </c>
      <c r="C224" s="3" t="n">
        <v>528</v>
      </c>
      <c r="D224" s="3" t="n">
        <v>3</v>
      </c>
      <c r="E224" s="2" t="n">
        <v>12</v>
      </c>
      <c r="F224" s="4" t="n">
        <v>3.42</v>
      </c>
      <c r="G224" s="2" t="n">
        <v>25</v>
      </c>
      <c r="H224" s="2" t="n">
        <v>35</v>
      </c>
      <c r="I224" s="1" t="n">
        <v>150</v>
      </c>
      <c r="J224" s="2" t="n">
        <v>235</v>
      </c>
      <c r="K224" s="3" t="n">
        <v>942</v>
      </c>
      <c r="L224" s="12" t="n">
        <v>0.051265306122449</v>
      </c>
      <c r="M224" s="4" t="n">
        <v>79.35</v>
      </c>
    </row>
    <row r="225" customFormat="false" ht="14.25" hidden="false" customHeight="false" outlineLevel="0" collapsed="false">
      <c r="A225" s="1" t="s">
        <v>69</v>
      </c>
      <c r="B225" s="2" t="n">
        <v>16</v>
      </c>
      <c r="C225" s="3" t="n">
        <v>528</v>
      </c>
      <c r="D225" s="3" t="n">
        <v>2</v>
      </c>
      <c r="E225" s="2" t="n">
        <v>52</v>
      </c>
      <c r="F225" s="4" t="n">
        <v>2.98</v>
      </c>
      <c r="G225" s="2" t="n">
        <v>27</v>
      </c>
      <c r="H225" s="2" t="n">
        <v>35</v>
      </c>
      <c r="I225" s="1" t="n">
        <v>150</v>
      </c>
      <c r="J225" s="2" t="n">
        <v>235</v>
      </c>
      <c r="K225" s="3" t="n">
        <v>402</v>
      </c>
      <c r="L225" s="12" t="n">
        <v>0.023304347826087</v>
      </c>
      <c r="M225" s="4" t="n">
        <v>26.45</v>
      </c>
    </row>
    <row r="226" customFormat="false" ht="14.25" hidden="false" customHeight="false" outlineLevel="0" collapsed="false">
      <c r="B226" s="2" t="n">
        <v>16</v>
      </c>
      <c r="C226" s="3" t="n">
        <v>528</v>
      </c>
      <c r="D226" s="3" t="n">
        <v>2</v>
      </c>
      <c r="E226" s="2" t="n">
        <v>52</v>
      </c>
      <c r="F226" s="4" t="n">
        <v>2.98</v>
      </c>
      <c r="G226" s="2" t="n">
        <v>27</v>
      </c>
      <c r="H226" s="2" t="n">
        <v>35</v>
      </c>
      <c r="I226" s="1" t="n">
        <v>150</v>
      </c>
      <c r="J226" s="2" t="n">
        <v>235</v>
      </c>
      <c r="K226" s="3" t="n">
        <v>402</v>
      </c>
      <c r="L226" s="12" t="n">
        <v>0.023304347826087</v>
      </c>
      <c r="M226" s="4" t="n">
        <v>31.625</v>
      </c>
    </row>
    <row r="227" customFormat="false" ht="14.25" hidden="false" customHeight="false" outlineLevel="0" collapsed="false">
      <c r="B227" s="2" t="n">
        <v>16</v>
      </c>
      <c r="C227" s="3" t="n">
        <v>528</v>
      </c>
      <c r="D227" s="3" t="n">
        <v>2</v>
      </c>
      <c r="E227" s="2" t="n">
        <v>52</v>
      </c>
      <c r="F227" s="4" t="n">
        <v>2.98</v>
      </c>
      <c r="G227" s="2" t="n">
        <v>27</v>
      </c>
      <c r="H227" s="2" t="n">
        <v>35</v>
      </c>
      <c r="I227" s="1" t="n">
        <v>150</v>
      </c>
      <c r="J227" s="2" t="n">
        <v>235</v>
      </c>
      <c r="K227" s="3" t="n">
        <v>402</v>
      </c>
      <c r="L227" s="12" t="n">
        <v>0.023304347826087</v>
      </c>
      <c r="M227" s="4" t="n">
        <v>37.375</v>
      </c>
    </row>
    <row r="228" customFormat="false" ht="14.25" hidden="false" customHeight="false" outlineLevel="0" collapsed="false">
      <c r="A228" s="1" t="s">
        <v>70</v>
      </c>
      <c r="B228" s="2" t="n">
        <v>20</v>
      </c>
      <c r="C228" s="3" t="n">
        <v>528</v>
      </c>
      <c r="D228" s="3" t="n">
        <v>2</v>
      </c>
      <c r="E228" s="2" t="n">
        <v>44</v>
      </c>
      <c r="F228" s="4" t="n">
        <v>2.98</v>
      </c>
      <c r="G228" s="2" t="n">
        <v>25</v>
      </c>
      <c r="H228" s="2" t="n">
        <v>35</v>
      </c>
      <c r="I228" s="1" t="n">
        <v>150</v>
      </c>
      <c r="J228" s="2" t="n">
        <v>235</v>
      </c>
      <c r="K228" s="3" t="n">
        <v>628</v>
      </c>
      <c r="L228" s="12" t="n">
        <v>0.0341768707482993</v>
      </c>
      <c r="M228" s="4" t="n">
        <v>28.75</v>
      </c>
    </row>
    <row r="229" customFormat="false" ht="14.25" hidden="false" customHeight="false" outlineLevel="0" collapsed="false">
      <c r="B229" s="2" t="n">
        <v>20</v>
      </c>
      <c r="C229" s="3" t="n">
        <v>528</v>
      </c>
      <c r="D229" s="3" t="n">
        <v>2</v>
      </c>
      <c r="E229" s="2" t="n">
        <v>44</v>
      </c>
      <c r="F229" s="4" t="n">
        <v>2.98</v>
      </c>
      <c r="G229" s="2" t="n">
        <v>25</v>
      </c>
      <c r="H229" s="2" t="n">
        <v>35</v>
      </c>
      <c r="I229" s="1" t="n">
        <v>150</v>
      </c>
      <c r="J229" s="2" t="n">
        <v>235</v>
      </c>
      <c r="K229" s="3" t="n">
        <v>628</v>
      </c>
      <c r="L229" s="12" t="n">
        <v>0.0341768707482993</v>
      </c>
      <c r="M229" s="4" t="n">
        <v>32.775</v>
      </c>
    </row>
    <row r="230" customFormat="false" ht="14.25" hidden="false" customHeight="false" outlineLevel="0" collapsed="false">
      <c r="B230" s="2" t="n">
        <v>20</v>
      </c>
      <c r="C230" s="3" t="n">
        <v>528</v>
      </c>
      <c r="D230" s="3" t="n">
        <v>2</v>
      </c>
      <c r="E230" s="2" t="n">
        <v>44</v>
      </c>
      <c r="F230" s="4" t="n">
        <v>2.98</v>
      </c>
      <c r="G230" s="2" t="n">
        <v>25</v>
      </c>
      <c r="H230" s="2" t="n">
        <v>35</v>
      </c>
      <c r="I230" s="1" t="n">
        <v>150</v>
      </c>
      <c r="J230" s="2" t="n">
        <v>235</v>
      </c>
      <c r="K230" s="3" t="n">
        <v>628</v>
      </c>
      <c r="L230" s="12" t="n">
        <v>0.0341768707482993</v>
      </c>
      <c r="M230" s="4" t="n">
        <v>37.95</v>
      </c>
    </row>
    <row r="231" customFormat="false" ht="14.25" hidden="false" customHeight="false" outlineLevel="0" collapsed="false">
      <c r="B231" s="2" t="n">
        <v>20</v>
      </c>
      <c r="C231" s="3" t="n">
        <v>528</v>
      </c>
      <c r="D231" s="3" t="n">
        <v>2</v>
      </c>
      <c r="E231" s="2" t="n">
        <v>44</v>
      </c>
      <c r="F231" s="4" t="n">
        <v>2.98</v>
      </c>
      <c r="G231" s="2" t="n">
        <v>25</v>
      </c>
      <c r="H231" s="2" t="n">
        <v>35</v>
      </c>
      <c r="I231" s="1" t="n">
        <v>150</v>
      </c>
      <c r="J231" s="2" t="n">
        <v>235</v>
      </c>
      <c r="K231" s="3" t="n">
        <v>628</v>
      </c>
      <c r="L231" s="12" t="n">
        <v>0.0341768707482993</v>
      </c>
      <c r="M231" s="4" t="n">
        <v>40.25</v>
      </c>
    </row>
    <row r="232" customFormat="false" ht="14.25" hidden="false" customHeight="false" outlineLevel="0" collapsed="false">
      <c r="B232" s="2" t="n">
        <v>20</v>
      </c>
      <c r="C232" s="3" t="n">
        <v>528</v>
      </c>
      <c r="D232" s="3" t="n">
        <v>2</v>
      </c>
      <c r="E232" s="2" t="n">
        <v>44</v>
      </c>
      <c r="F232" s="4" t="n">
        <v>2.98</v>
      </c>
      <c r="G232" s="2" t="n">
        <v>25</v>
      </c>
      <c r="H232" s="2" t="n">
        <v>35</v>
      </c>
      <c r="I232" s="1" t="n">
        <v>150</v>
      </c>
      <c r="J232" s="2" t="n">
        <v>235</v>
      </c>
      <c r="K232" s="3" t="n">
        <v>628</v>
      </c>
      <c r="L232" s="12" t="n">
        <v>0.0341768707482993</v>
      </c>
      <c r="M232" s="4" t="n">
        <v>43.7</v>
      </c>
    </row>
    <row r="233" customFormat="false" ht="14.25" hidden="false" customHeight="false" outlineLevel="0" collapsed="false">
      <c r="B233" s="2" t="n">
        <v>20</v>
      </c>
      <c r="C233" s="3" t="n">
        <v>528</v>
      </c>
      <c r="D233" s="3" t="n">
        <v>2</v>
      </c>
      <c r="E233" s="2" t="n">
        <v>44</v>
      </c>
      <c r="F233" s="4" t="n">
        <v>2.98</v>
      </c>
      <c r="G233" s="2" t="n">
        <v>25</v>
      </c>
      <c r="H233" s="2" t="n">
        <v>35</v>
      </c>
      <c r="I233" s="1" t="n">
        <v>150</v>
      </c>
      <c r="J233" s="2" t="n">
        <v>235</v>
      </c>
      <c r="K233" s="3" t="n">
        <v>628</v>
      </c>
      <c r="L233" s="12" t="n">
        <v>0.0341768707482993</v>
      </c>
      <c r="M233" s="4" t="n">
        <v>46</v>
      </c>
    </row>
    <row r="234" customFormat="false" ht="14.25" hidden="false" customHeight="false" outlineLevel="0" collapsed="false">
      <c r="B234" s="2" t="n">
        <v>20</v>
      </c>
      <c r="C234" s="3" t="n">
        <v>528</v>
      </c>
      <c r="D234" s="3" t="n">
        <v>2</v>
      </c>
      <c r="E234" s="2" t="n">
        <v>44</v>
      </c>
      <c r="F234" s="4" t="n">
        <v>2.98</v>
      </c>
      <c r="G234" s="2" t="n">
        <v>25</v>
      </c>
      <c r="H234" s="2" t="n">
        <v>35</v>
      </c>
      <c r="I234" s="1" t="n">
        <v>150</v>
      </c>
      <c r="J234" s="2" t="n">
        <v>235</v>
      </c>
      <c r="K234" s="3" t="n">
        <v>628</v>
      </c>
      <c r="L234" s="12" t="n">
        <v>0.0341768707482993</v>
      </c>
      <c r="M234" s="4" t="n">
        <v>51.635</v>
      </c>
    </row>
    <row r="235" customFormat="false" ht="14.25" hidden="false" customHeight="false" outlineLevel="0" collapsed="false">
      <c r="B235" s="2" t="n">
        <v>20</v>
      </c>
      <c r="C235" s="3" t="n">
        <v>528</v>
      </c>
      <c r="D235" s="3" t="n">
        <v>2</v>
      </c>
      <c r="E235" s="2" t="n">
        <v>44</v>
      </c>
      <c r="F235" s="4" t="n">
        <v>2.98</v>
      </c>
      <c r="G235" s="2" t="n">
        <v>25</v>
      </c>
      <c r="H235" s="2" t="n">
        <v>35</v>
      </c>
      <c r="I235" s="1" t="n">
        <v>150</v>
      </c>
      <c r="J235" s="2" t="n">
        <v>235</v>
      </c>
      <c r="K235" s="3" t="n">
        <v>628</v>
      </c>
      <c r="L235" s="12" t="n">
        <v>0.0341768707482993</v>
      </c>
      <c r="M235" s="4" t="n">
        <v>57.27</v>
      </c>
    </row>
    <row r="236" customFormat="false" ht="14.25" hidden="false" customHeight="false" outlineLevel="0" collapsed="false">
      <c r="A236" s="1" t="s">
        <v>71</v>
      </c>
      <c r="B236" s="2" t="n">
        <v>20</v>
      </c>
      <c r="C236" s="3" t="n">
        <v>528</v>
      </c>
      <c r="D236" s="3" t="n">
        <v>3</v>
      </c>
      <c r="E236" s="2" t="n">
        <v>12</v>
      </c>
      <c r="F236" s="4" t="n">
        <v>2.98</v>
      </c>
      <c r="G236" s="2" t="n">
        <v>25</v>
      </c>
      <c r="H236" s="2" t="n">
        <v>35</v>
      </c>
      <c r="I236" s="1" t="n">
        <v>150</v>
      </c>
      <c r="J236" s="2" t="n">
        <v>235</v>
      </c>
      <c r="K236" s="3" t="n">
        <v>942</v>
      </c>
      <c r="L236" s="12" t="n">
        <v>0.051265306122449</v>
      </c>
      <c r="M236" s="4" t="n">
        <v>48.3</v>
      </c>
    </row>
    <row r="237" customFormat="false" ht="14.25" hidden="false" customHeight="false" outlineLevel="0" collapsed="false">
      <c r="B237" s="2" t="n">
        <v>20</v>
      </c>
      <c r="C237" s="3" t="n">
        <v>528</v>
      </c>
      <c r="D237" s="3" t="n">
        <v>3</v>
      </c>
      <c r="E237" s="2" t="n">
        <v>12</v>
      </c>
      <c r="F237" s="4" t="n">
        <v>2.98</v>
      </c>
      <c r="G237" s="2" t="n">
        <v>25</v>
      </c>
      <c r="H237" s="2" t="n">
        <v>35</v>
      </c>
      <c r="I237" s="1" t="n">
        <v>150</v>
      </c>
      <c r="J237" s="2" t="n">
        <v>235</v>
      </c>
      <c r="K237" s="3" t="n">
        <v>942</v>
      </c>
      <c r="L237" s="12" t="n">
        <v>0.051265306122449</v>
      </c>
      <c r="M237" s="4" t="n">
        <v>50.6</v>
      </c>
    </row>
    <row r="238" customFormat="false" ht="14.25" hidden="false" customHeight="false" outlineLevel="0" collapsed="false">
      <c r="B238" s="2" t="n">
        <v>20</v>
      </c>
      <c r="C238" s="3" t="n">
        <v>528</v>
      </c>
      <c r="D238" s="3" t="n">
        <v>3</v>
      </c>
      <c r="E238" s="2" t="n">
        <v>12</v>
      </c>
      <c r="F238" s="4" t="n">
        <v>2.98</v>
      </c>
      <c r="G238" s="2" t="n">
        <v>25</v>
      </c>
      <c r="H238" s="2" t="n">
        <v>35</v>
      </c>
      <c r="I238" s="1" t="n">
        <v>150</v>
      </c>
      <c r="J238" s="2" t="n">
        <v>235</v>
      </c>
      <c r="K238" s="3" t="n">
        <v>942</v>
      </c>
      <c r="L238" s="12" t="n">
        <v>0.051265306122449</v>
      </c>
      <c r="M238" s="4" t="n">
        <v>56.35</v>
      </c>
    </row>
    <row r="239" customFormat="false" ht="14.25" hidden="false" customHeight="false" outlineLevel="0" collapsed="false">
      <c r="B239" s="2" t="n">
        <v>20</v>
      </c>
      <c r="C239" s="3" t="n">
        <v>528</v>
      </c>
      <c r="D239" s="3" t="n">
        <v>3</v>
      </c>
      <c r="E239" s="2" t="n">
        <v>12</v>
      </c>
      <c r="F239" s="4" t="n">
        <v>2.98</v>
      </c>
      <c r="G239" s="2" t="n">
        <v>25</v>
      </c>
      <c r="H239" s="2" t="n">
        <v>35</v>
      </c>
      <c r="I239" s="1" t="n">
        <v>150</v>
      </c>
      <c r="J239" s="2" t="n">
        <v>235</v>
      </c>
      <c r="K239" s="3" t="n">
        <v>942</v>
      </c>
      <c r="L239" s="12" t="n">
        <v>0.051265306122449</v>
      </c>
      <c r="M239" s="4" t="n">
        <v>62.675</v>
      </c>
    </row>
    <row r="240" customFormat="false" ht="14.25" hidden="false" customHeight="false" outlineLevel="0" collapsed="false">
      <c r="B240" s="2" t="n">
        <v>20</v>
      </c>
      <c r="C240" s="3" t="n">
        <v>528</v>
      </c>
      <c r="D240" s="3" t="n">
        <v>3</v>
      </c>
      <c r="E240" s="2" t="n">
        <v>12</v>
      </c>
      <c r="F240" s="4" t="n">
        <v>2.98</v>
      </c>
      <c r="G240" s="2" t="n">
        <v>25</v>
      </c>
      <c r="H240" s="2" t="n">
        <v>35</v>
      </c>
      <c r="I240" s="1" t="n">
        <v>150</v>
      </c>
      <c r="J240" s="2" t="n">
        <v>235</v>
      </c>
      <c r="K240" s="3" t="n">
        <v>942</v>
      </c>
      <c r="L240" s="12" t="n">
        <v>0.051265306122449</v>
      </c>
      <c r="M240" s="4" t="n">
        <v>68.425</v>
      </c>
    </row>
    <row r="241" customFormat="false" ht="14.25" hidden="false" customHeight="false" outlineLevel="0" collapsed="false">
      <c r="B241" s="2" t="n">
        <v>20</v>
      </c>
      <c r="C241" s="3" t="n">
        <v>528</v>
      </c>
      <c r="D241" s="3" t="n">
        <v>3</v>
      </c>
      <c r="E241" s="2" t="n">
        <v>12</v>
      </c>
      <c r="F241" s="4" t="n">
        <v>2.98</v>
      </c>
      <c r="G241" s="2" t="n">
        <v>25</v>
      </c>
      <c r="H241" s="2" t="n">
        <v>35</v>
      </c>
      <c r="I241" s="1" t="n">
        <v>150</v>
      </c>
      <c r="J241" s="2" t="n">
        <v>235</v>
      </c>
      <c r="K241" s="3" t="n">
        <v>942</v>
      </c>
      <c r="L241" s="12" t="n">
        <v>0.051265306122449</v>
      </c>
      <c r="M241" s="4" t="n">
        <v>73.6</v>
      </c>
    </row>
    <row r="242" customFormat="false" ht="14.25" hidden="false" customHeight="false" outlineLevel="0" collapsed="false">
      <c r="B242" s="2" t="n">
        <v>20</v>
      </c>
      <c r="C242" s="3" t="n">
        <v>528</v>
      </c>
      <c r="D242" s="3" t="n">
        <v>3</v>
      </c>
      <c r="E242" s="2" t="n">
        <v>12</v>
      </c>
      <c r="F242" s="4" t="n">
        <v>2.98</v>
      </c>
      <c r="G242" s="2" t="n">
        <v>25</v>
      </c>
      <c r="H242" s="2" t="n">
        <v>35</v>
      </c>
      <c r="I242" s="1" t="n">
        <v>150</v>
      </c>
      <c r="J242" s="2" t="n">
        <v>235</v>
      </c>
      <c r="K242" s="3" t="n">
        <v>942</v>
      </c>
      <c r="L242" s="12" t="n">
        <v>0.051265306122449</v>
      </c>
      <c r="M242" s="4" t="n">
        <v>79.925</v>
      </c>
    </row>
    <row r="243" customFormat="false" ht="14.25" hidden="false" customHeight="false" outlineLevel="0" collapsed="false">
      <c r="A243" s="1" t="s">
        <v>72</v>
      </c>
      <c r="B243" s="2" t="n">
        <v>28</v>
      </c>
      <c r="C243" s="3" t="n">
        <v>400</v>
      </c>
      <c r="D243" s="3" t="n">
        <v>4</v>
      </c>
      <c r="E243" s="2" t="n">
        <v>16</v>
      </c>
      <c r="F243" s="4" t="n">
        <v>5.30847435710111</v>
      </c>
      <c r="G243" s="2" t="n">
        <v>30</v>
      </c>
      <c r="H243" s="2" t="n">
        <v>44</v>
      </c>
      <c r="I243" s="1" t="n">
        <v>200</v>
      </c>
      <c r="J243" s="2" t="n">
        <v>300</v>
      </c>
      <c r="K243" s="3" t="n">
        <v>2463</v>
      </c>
      <c r="L243" s="12" t="n">
        <v>0.0799675324675325</v>
      </c>
      <c r="M243" s="4" t="n">
        <v>78.75</v>
      </c>
    </row>
    <row r="244" customFormat="false" ht="14.25" hidden="false" customHeight="false" outlineLevel="0" collapsed="false">
      <c r="B244" s="2" t="n">
        <v>28</v>
      </c>
      <c r="C244" s="3" t="n">
        <v>400</v>
      </c>
      <c r="D244" s="3" t="n">
        <v>4</v>
      </c>
      <c r="E244" s="2" t="n">
        <v>16</v>
      </c>
      <c r="F244" s="4" t="n">
        <v>5.30847435710111</v>
      </c>
      <c r="G244" s="2" t="n">
        <v>30</v>
      </c>
      <c r="H244" s="2" t="n">
        <v>44</v>
      </c>
      <c r="I244" s="1" t="n">
        <v>200</v>
      </c>
      <c r="J244" s="2" t="n">
        <v>300</v>
      </c>
      <c r="K244" s="3" t="n">
        <v>2463</v>
      </c>
      <c r="L244" s="12" t="n">
        <v>0.0799675324675325</v>
      </c>
      <c r="M244" s="4" t="n">
        <v>105.075</v>
      </c>
    </row>
    <row r="245" customFormat="false" ht="14.25" hidden="false" customHeight="false" outlineLevel="0" collapsed="false">
      <c r="B245" s="2" t="n">
        <v>28</v>
      </c>
      <c r="C245" s="3" t="n">
        <v>400</v>
      </c>
      <c r="D245" s="3" t="n">
        <v>4</v>
      </c>
      <c r="E245" s="2" t="n">
        <v>16</v>
      </c>
      <c r="F245" s="4" t="n">
        <v>5.30847435710111</v>
      </c>
      <c r="G245" s="2" t="n">
        <v>30</v>
      </c>
      <c r="H245" s="2" t="n">
        <v>44</v>
      </c>
      <c r="I245" s="1" t="n">
        <v>200</v>
      </c>
      <c r="J245" s="2" t="n">
        <v>300</v>
      </c>
      <c r="K245" s="3" t="n">
        <v>2463</v>
      </c>
      <c r="L245" s="12" t="n">
        <v>0.0799675324675325</v>
      </c>
      <c r="M245" s="4" t="n">
        <v>120.15</v>
      </c>
    </row>
    <row r="246" customFormat="false" ht="14.25" hidden="false" customHeight="false" outlineLevel="0" collapsed="false">
      <c r="B246" s="2" t="n">
        <v>28</v>
      </c>
      <c r="C246" s="3" t="n">
        <v>400</v>
      </c>
      <c r="D246" s="3" t="n">
        <v>4</v>
      </c>
      <c r="E246" s="2" t="n">
        <v>16</v>
      </c>
      <c r="F246" s="4" t="n">
        <v>5.30847435710111</v>
      </c>
      <c r="G246" s="2" t="n">
        <v>30</v>
      </c>
      <c r="H246" s="2" t="n">
        <v>44</v>
      </c>
      <c r="I246" s="1" t="n">
        <v>200</v>
      </c>
      <c r="J246" s="2" t="n">
        <v>300</v>
      </c>
      <c r="K246" s="3" t="n">
        <v>2463</v>
      </c>
      <c r="L246" s="12" t="n">
        <v>0.0799675324675325</v>
      </c>
      <c r="M246" s="4" t="n">
        <v>137.475</v>
      </c>
    </row>
    <row r="247" customFormat="false" ht="14.25" hidden="false" customHeight="false" outlineLevel="0" collapsed="false">
      <c r="B247" s="2" t="n">
        <v>28</v>
      </c>
      <c r="C247" s="3" t="n">
        <v>400</v>
      </c>
      <c r="D247" s="3" t="n">
        <v>4</v>
      </c>
      <c r="E247" s="2" t="n">
        <v>16</v>
      </c>
      <c r="F247" s="4" t="n">
        <v>5.30847435710111</v>
      </c>
      <c r="G247" s="2" t="n">
        <v>30</v>
      </c>
      <c r="H247" s="2" t="n">
        <v>44</v>
      </c>
      <c r="I247" s="1" t="n">
        <v>200</v>
      </c>
      <c r="J247" s="2" t="n">
        <v>300</v>
      </c>
      <c r="K247" s="3" t="n">
        <v>2463</v>
      </c>
      <c r="L247" s="12" t="n">
        <v>0.0799675324675325</v>
      </c>
      <c r="M247" s="4" t="n">
        <v>164.475</v>
      </c>
    </row>
    <row r="248" customFormat="false" ht="14.25" hidden="false" customHeight="false" outlineLevel="0" collapsed="false">
      <c r="B248" s="2" t="n">
        <v>28</v>
      </c>
      <c r="C248" s="3" t="n">
        <v>400</v>
      </c>
      <c r="D248" s="3" t="n">
        <v>4</v>
      </c>
      <c r="E248" s="2" t="n">
        <v>16</v>
      </c>
      <c r="F248" s="4" t="n">
        <v>5.30847435710111</v>
      </c>
      <c r="G248" s="2" t="n">
        <v>30</v>
      </c>
      <c r="H248" s="2" t="n">
        <v>44</v>
      </c>
      <c r="I248" s="1" t="n">
        <v>200</v>
      </c>
      <c r="J248" s="2" t="n">
        <v>300</v>
      </c>
      <c r="K248" s="3" t="n">
        <v>2463</v>
      </c>
      <c r="L248" s="12" t="n">
        <v>0.0799675324675325</v>
      </c>
      <c r="M248" s="4" t="n">
        <v>178.2</v>
      </c>
    </row>
    <row r="249" customFormat="false" ht="14.25" hidden="false" customHeight="false" outlineLevel="0" collapsed="false">
      <c r="B249" s="2" t="n">
        <v>28</v>
      </c>
      <c r="C249" s="3" t="n">
        <v>400</v>
      </c>
      <c r="D249" s="3" t="n">
        <v>4</v>
      </c>
      <c r="E249" s="2" t="n">
        <v>16</v>
      </c>
      <c r="F249" s="4" t="n">
        <v>5.30847435710111</v>
      </c>
      <c r="G249" s="2" t="n">
        <v>30</v>
      </c>
      <c r="H249" s="2" t="n">
        <v>44</v>
      </c>
      <c r="I249" s="1" t="n">
        <v>200</v>
      </c>
      <c r="J249" s="2" t="n">
        <v>300</v>
      </c>
      <c r="K249" s="3" t="n">
        <v>2463</v>
      </c>
      <c r="L249" s="12" t="n">
        <v>0.0799675324675325</v>
      </c>
      <c r="M249" s="4" t="n">
        <v>198.225</v>
      </c>
    </row>
    <row r="250" customFormat="false" ht="14.25" hidden="false" customHeight="false" outlineLevel="0" collapsed="false">
      <c r="A250" s="1" t="s">
        <v>73</v>
      </c>
      <c r="B250" s="2" t="n">
        <v>15.9</v>
      </c>
      <c r="C250" s="3" t="n">
        <v>392</v>
      </c>
      <c r="D250" s="3" t="n">
        <v>2</v>
      </c>
      <c r="E250" s="2" t="n">
        <v>46</v>
      </c>
      <c r="F250" s="4" t="n">
        <v>2.82587739786632</v>
      </c>
      <c r="G250" s="2" t="n">
        <v>30</v>
      </c>
      <c r="H250" s="2" t="n">
        <v>38</v>
      </c>
      <c r="I250" s="1" t="n">
        <v>150</v>
      </c>
      <c r="J250" s="2" t="n">
        <v>250</v>
      </c>
      <c r="K250" s="3" t="n">
        <v>397.2</v>
      </c>
      <c r="L250" s="12" t="n">
        <v>0.022536170212766</v>
      </c>
      <c r="M250" s="4" t="n">
        <v>27.1</v>
      </c>
    </row>
    <row r="251" customFormat="false" ht="14.25" hidden="false" customHeight="false" outlineLevel="0" collapsed="false">
      <c r="B251" s="2" t="n">
        <v>15.9</v>
      </c>
      <c r="C251" s="3" t="n">
        <v>392</v>
      </c>
      <c r="D251" s="3" t="n">
        <v>2</v>
      </c>
      <c r="E251" s="2" t="n">
        <v>46</v>
      </c>
      <c r="F251" s="4" t="n">
        <v>2.82587739786632</v>
      </c>
      <c r="G251" s="2" t="n">
        <v>30</v>
      </c>
      <c r="H251" s="2" t="n">
        <v>38</v>
      </c>
      <c r="I251" s="1" t="n">
        <v>150</v>
      </c>
      <c r="J251" s="2" t="n">
        <v>250</v>
      </c>
      <c r="K251" s="3" t="n">
        <v>397.2</v>
      </c>
      <c r="L251" s="12" t="n">
        <v>0.022536170212766</v>
      </c>
      <c r="M251" s="4" t="n">
        <v>35.6</v>
      </c>
    </row>
    <row r="252" customFormat="false" ht="14.25" hidden="false" customHeight="false" outlineLevel="0" collapsed="false">
      <c r="A252" s="1" t="s">
        <v>74</v>
      </c>
      <c r="B252" s="2" t="n">
        <v>15.9</v>
      </c>
      <c r="C252" s="3" t="n">
        <v>392</v>
      </c>
      <c r="D252" s="3" t="n">
        <v>2</v>
      </c>
      <c r="E252" s="2" t="n">
        <v>46</v>
      </c>
      <c r="F252" s="4" t="n">
        <v>2.82587739786632</v>
      </c>
      <c r="G252" s="2" t="n">
        <v>30</v>
      </c>
      <c r="H252" s="2" t="n">
        <v>38</v>
      </c>
      <c r="I252" s="1" t="n">
        <v>150</v>
      </c>
      <c r="J252" s="2" t="n">
        <v>250</v>
      </c>
      <c r="K252" s="3" t="n">
        <v>397.2</v>
      </c>
      <c r="L252" s="12" t="n">
        <v>0.022536170212766</v>
      </c>
      <c r="M252" s="4" t="n">
        <v>27.2</v>
      </c>
    </row>
    <row r="253" customFormat="false" ht="14.25" hidden="false" customHeight="false" outlineLevel="0" collapsed="false">
      <c r="B253" s="2" t="n">
        <v>15.9</v>
      </c>
      <c r="C253" s="3" t="n">
        <v>392</v>
      </c>
      <c r="D253" s="3" t="n">
        <v>2</v>
      </c>
      <c r="E253" s="2" t="n">
        <v>46</v>
      </c>
      <c r="F253" s="4" t="n">
        <v>2.82587739786632</v>
      </c>
      <c r="G253" s="2" t="n">
        <v>30</v>
      </c>
      <c r="H253" s="2" t="n">
        <v>38</v>
      </c>
      <c r="I253" s="1" t="n">
        <v>150</v>
      </c>
      <c r="J253" s="2" t="n">
        <v>250</v>
      </c>
      <c r="K253" s="3" t="n">
        <v>397.2</v>
      </c>
      <c r="L253" s="12" t="n">
        <v>0.022536170212766</v>
      </c>
      <c r="M253" s="4" t="n">
        <v>35.6</v>
      </c>
    </row>
    <row r="254" customFormat="false" ht="14.25" hidden="false" customHeight="false" outlineLevel="0" collapsed="false">
      <c r="A254" s="1" t="s">
        <v>75</v>
      </c>
      <c r="B254" s="2" t="n">
        <v>15.9</v>
      </c>
      <c r="C254" s="3" t="n">
        <v>392</v>
      </c>
      <c r="D254" s="3" t="n">
        <v>2</v>
      </c>
      <c r="E254" s="2" t="n">
        <v>46</v>
      </c>
      <c r="F254" s="4" t="n">
        <v>2.82587739786632</v>
      </c>
      <c r="G254" s="2" t="n">
        <v>30</v>
      </c>
      <c r="H254" s="2" t="n">
        <v>38</v>
      </c>
      <c r="I254" s="1" t="n">
        <v>150</v>
      </c>
      <c r="J254" s="2" t="n">
        <v>250</v>
      </c>
      <c r="K254" s="3" t="n">
        <v>397.2</v>
      </c>
      <c r="L254" s="12" t="n">
        <v>0.022536170212766</v>
      </c>
      <c r="M254" s="4" t="n">
        <v>27.2</v>
      </c>
    </row>
    <row r="255" customFormat="false" ht="14.25" hidden="false" customHeight="false" outlineLevel="0" collapsed="false">
      <c r="B255" s="2" t="n">
        <v>15.9</v>
      </c>
      <c r="C255" s="3" t="n">
        <v>392</v>
      </c>
      <c r="D255" s="3" t="n">
        <v>2</v>
      </c>
      <c r="E255" s="2" t="n">
        <v>46</v>
      </c>
      <c r="F255" s="4" t="n">
        <v>2.82587739786632</v>
      </c>
      <c r="G255" s="2" t="n">
        <v>30</v>
      </c>
      <c r="H255" s="2" t="n">
        <v>38</v>
      </c>
      <c r="I255" s="1" t="n">
        <v>150</v>
      </c>
      <c r="J255" s="2" t="n">
        <v>250</v>
      </c>
      <c r="K255" s="3" t="n">
        <v>397.2</v>
      </c>
      <c r="L255" s="12" t="n">
        <v>0.022536170212766</v>
      </c>
      <c r="M255" s="4" t="n">
        <v>35.6</v>
      </c>
    </row>
    <row r="256" customFormat="false" ht="14.25" hidden="false" customHeight="false" outlineLevel="0" collapsed="false">
      <c r="A256" s="1" t="s">
        <v>76</v>
      </c>
      <c r="B256" s="2" t="n">
        <v>15.9</v>
      </c>
      <c r="C256" s="3" t="n">
        <v>392</v>
      </c>
      <c r="D256" s="3" t="n">
        <v>2</v>
      </c>
      <c r="E256" s="2" t="n">
        <v>46</v>
      </c>
      <c r="F256" s="4" t="n">
        <v>2.82587739786632</v>
      </c>
      <c r="G256" s="2" t="n">
        <v>30</v>
      </c>
      <c r="H256" s="2" t="n">
        <v>38</v>
      </c>
      <c r="I256" s="1" t="n">
        <v>150</v>
      </c>
      <c r="J256" s="2" t="n">
        <v>250</v>
      </c>
      <c r="K256" s="3" t="n">
        <v>397.2</v>
      </c>
      <c r="L256" s="12" t="n">
        <v>0.022536170212766</v>
      </c>
      <c r="M256" s="4" t="n">
        <v>27.3</v>
      </c>
    </row>
    <row r="257" customFormat="false" ht="14.25" hidden="false" customHeight="false" outlineLevel="0" collapsed="false">
      <c r="B257" s="2" t="n">
        <v>15.9</v>
      </c>
      <c r="C257" s="3" t="n">
        <v>392</v>
      </c>
      <c r="D257" s="3" t="n">
        <v>2</v>
      </c>
      <c r="E257" s="2" t="n">
        <v>46</v>
      </c>
      <c r="F257" s="4" t="n">
        <v>2.82587739786632</v>
      </c>
      <c r="G257" s="2" t="n">
        <v>30</v>
      </c>
      <c r="H257" s="2" t="n">
        <v>38</v>
      </c>
      <c r="I257" s="1" t="n">
        <v>150</v>
      </c>
      <c r="J257" s="2" t="n">
        <v>250</v>
      </c>
      <c r="K257" s="3" t="n">
        <v>397.2</v>
      </c>
      <c r="L257" s="12" t="n">
        <v>0.022536170212766</v>
      </c>
      <c r="M257" s="4" t="n">
        <v>35.7</v>
      </c>
    </row>
    <row r="258" customFormat="false" ht="14.25" hidden="false" customHeight="false" outlineLevel="0" collapsed="false">
      <c r="A258" s="1" t="s">
        <v>77</v>
      </c>
      <c r="B258" s="2" t="n">
        <v>12.7</v>
      </c>
      <c r="C258" s="3" t="n">
        <v>392</v>
      </c>
      <c r="D258" s="3" t="n">
        <v>2</v>
      </c>
      <c r="E258" s="2" t="n">
        <v>52</v>
      </c>
      <c r="F258" s="4" t="n">
        <v>2.92087587098479</v>
      </c>
      <c r="G258" s="2" t="n">
        <v>30</v>
      </c>
      <c r="H258" s="2" t="n">
        <v>36.5</v>
      </c>
      <c r="I258" s="1" t="n">
        <v>150</v>
      </c>
      <c r="J258" s="2" t="n">
        <v>250</v>
      </c>
      <c r="K258" s="3" t="n">
        <v>253.4</v>
      </c>
      <c r="L258" s="12" t="n">
        <v>0.0168933333333333</v>
      </c>
      <c r="M258" s="4" t="n">
        <v>15.6</v>
      </c>
    </row>
    <row r="259" customFormat="false" ht="14.25" hidden="false" customHeight="false" outlineLevel="0" collapsed="false">
      <c r="B259" s="2" t="n">
        <v>12.7</v>
      </c>
      <c r="C259" s="3" t="n">
        <v>392</v>
      </c>
      <c r="D259" s="3" t="n">
        <v>2</v>
      </c>
      <c r="E259" s="2" t="n">
        <v>52</v>
      </c>
      <c r="F259" s="4" t="n">
        <v>2.92087587098479</v>
      </c>
      <c r="G259" s="2" t="n">
        <v>30</v>
      </c>
      <c r="H259" s="2" t="n">
        <v>36.5</v>
      </c>
      <c r="I259" s="1" t="n">
        <v>150</v>
      </c>
      <c r="J259" s="2" t="n">
        <v>250</v>
      </c>
      <c r="K259" s="3" t="n">
        <v>253.4</v>
      </c>
      <c r="L259" s="12" t="n">
        <v>0.0168933333333333</v>
      </c>
      <c r="M259" s="4" t="n">
        <v>19.6</v>
      </c>
    </row>
    <row r="260" customFormat="false" ht="14.25" hidden="false" customHeight="false" outlineLevel="0" collapsed="false">
      <c r="A260" s="1" t="s">
        <v>78</v>
      </c>
      <c r="B260" s="2" t="n">
        <v>12.7</v>
      </c>
      <c r="C260" s="3" t="n">
        <v>392</v>
      </c>
      <c r="D260" s="3" t="n">
        <v>2</v>
      </c>
      <c r="E260" s="2" t="n">
        <v>52</v>
      </c>
      <c r="F260" s="4" t="n">
        <v>2.92087587098479</v>
      </c>
      <c r="G260" s="2" t="n">
        <v>30</v>
      </c>
      <c r="H260" s="2" t="n">
        <v>36.5</v>
      </c>
      <c r="I260" s="1" t="n">
        <v>150</v>
      </c>
      <c r="J260" s="2" t="n">
        <v>250</v>
      </c>
      <c r="K260" s="3" t="n">
        <v>253.4</v>
      </c>
      <c r="L260" s="12" t="n">
        <v>0.0168933333333333</v>
      </c>
      <c r="M260" s="4" t="n">
        <v>15.7</v>
      </c>
    </row>
    <row r="261" customFormat="false" ht="14.25" hidden="false" customHeight="false" outlineLevel="0" collapsed="false">
      <c r="B261" s="2" t="n">
        <v>12.7</v>
      </c>
      <c r="C261" s="3" t="n">
        <v>392</v>
      </c>
      <c r="D261" s="3" t="n">
        <v>2</v>
      </c>
      <c r="E261" s="2" t="n">
        <v>52</v>
      </c>
      <c r="F261" s="4" t="n">
        <v>2.92087587098479</v>
      </c>
      <c r="G261" s="2" t="n">
        <v>30</v>
      </c>
      <c r="H261" s="2" t="n">
        <v>36.5</v>
      </c>
      <c r="I261" s="1" t="n">
        <v>150</v>
      </c>
      <c r="J261" s="2" t="n">
        <v>250</v>
      </c>
      <c r="K261" s="3" t="n">
        <v>253.4</v>
      </c>
      <c r="L261" s="12" t="n">
        <v>0.0168933333333333</v>
      </c>
      <c r="M261" s="4" t="n">
        <v>19.6</v>
      </c>
    </row>
    <row r="262" customFormat="false" ht="14.25" hidden="false" customHeight="false" outlineLevel="0" collapsed="false">
      <c r="A262" s="1" t="s">
        <v>79</v>
      </c>
      <c r="B262" s="2" t="n">
        <v>15.9</v>
      </c>
      <c r="C262" s="3" t="n">
        <v>392</v>
      </c>
      <c r="D262" s="3" t="n">
        <v>2</v>
      </c>
      <c r="E262" s="2" t="n">
        <v>46</v>
      </c>
      <c r="F262" s="4" t="n">
        <v>2.92087587098479</v>
      </c>
      <c r="G262" s="2" t="n">
        <v>30</v>
      </c>
      <c r="H262" s="2" t="n">
        <v>38</v>
      </c>
      <c r="I262" s="1" t="n">
        <v>150</v>
      </c>
      <c r="J262" s="2" t="n">
        <v>250</v>
      </c>
      <c r="K262" s="3" t="n">
        <v>397.2</v>
      </c>
      <c r="L262" s="12" t="n">
        <v>0.022536170212766</v>
      </c>
      <c r="M262" s="4" t="n">
        <v>19.5</v>
      </c>
    </row>
    <row r="263" customFormat="false" ht="14.25" hidden="false" customHeight="false" outlineLevel="0" collapsed="false">
      <c r="B263" s="2" t="n">
        <v>15.9</v>
      </c>
      <c r="C263" s="3" t="n">
        <v>392</v>
      </c>
      <c r="D263" s="3" t="n">
        <v>2</v>
      </c>
      <c r="E263" s="2" t="n">
        <v>46</v>
      </c>
      <c r="F263" s="4" t="n">
        <v>2.92087587098479</v>
      </c>
      <c r="G263" s="2" t="n">
        <v>30</v>
      </c>
      <c r="H263" s="2" t="n">
        <v>38</v>
      </c>
      <c r="I263" s="1" t="n">
        <v>150</v>
      </c>
      <c r="J263" s="2" t="n">
        <v>250</v>
      </c>
      <c r="K263" s="3" t="n">
        <v>397.2</v>
      </c>
      <c r="L263" s="12" t="n">
        <v>0.022536170212766</v>
      </c>
      <c r="M263" s="4" t="n">
        <v>27.4</v>
      </c>
    </row>
    <row r="264" customFormat="false" ht="14.25" hidden="false" customHeight="false" outlineLevel="0" collapsed="false">
      <c r="B264" s="2" t="n">
        <v>15.9</v>
      </c>
      <c r="C264" s="3" t="n">
        <v>392</v>
      </c>
      <c r="D264" s="3" t="n">
        <v>2</v>
      </c>
      <c r="E264" s="2" t="n">
        <v>46</v>
      </c>
      <c r="F264" s="4" t="n">
        <v>2.92087587098479</v>
      </c>
      <c r="G264" s="2" t="n">
        <v>30</v>
      </c>
      <c r="H264" s="2" t="n">
        <v>38</v>
      </c>
      <c r="I264" s="1" t="n">
        <v>150</v>
      </c>
      <c r="J264" s="2" t="n">
        <v>250</v>
      </c>
      <c r="K264" s="3" t="n">
        <v>397.2</v>
      </c>
      <c r="L264" s="12" t="n">
        <v>0.022536170212766</v>
      </c>
      <c r="M264" s="4" t="n">
        <v>31.3</v>
      </c>
    </row>
    <row r="265" customFormat="false" ht="14.25" hidden="false" customHeight="false" outlineLevel="0" collapsed="false">
      <c r="A265" s="1" t="s">
        <v>80</v>
      </c>
      <c r="B265" s="2" t="n">
        <v>15.9</v>
      </c>
      <c r="C265" s="3" t="n">
        <v>392</v>
      </c>
      <c r="D265" s="3" t="n">
        <v>2</v>
      </c>
      <c r="E265" s="2" t="n">
        <v>46</v>
      </c>
      <c r="F265" s="4" t="n">
        <v>2.92087587098479</v>
      </c>
      <c r="G265" s="2" t="n">
        <v>30</v>
      </c>
      <c r="H265" s="2" t="n">
        <v>38</v>
      </c>
      <c r="I265" s="1" t="n">
        <v>150</v>
      </c>
      <c r="J265" s="2" t="n">
        <v>250</v>
      </c>
      <c r="K265" s="3" t="n">
        <v>397.2</v>
      </c>
      <c r="L265" s="12" t="n">
        <v>0.022536170212766</v>
      </c>
      <c r="M265" s="4" t="n">
        <v>19.6</v>
      </c>
    </row>
    <row r="266" customFormat="false" ht="14.25" hidden="false" customHeight="false" outlineLevel="0" collapsed="false">
      <c r="B266" s="2" t="n">
        <v>15.9</v>
      </c>
      <c r="C266" s="3" t="n">
        <v>392</v>
      </c>
      <c r="D266" s="3" t="n">
        <v>2</v>
      </c>
      <c r="E266" s="2" t="n">
        <v>46</v>
      </c>
      <c r="F266" s="4" t="n">
        <v>2.92087587098479</v>
      </c>
      <c r="G266" s="2" t="n">
        <v>30</v>
      </c>
      <c r="H266" s="2" t="n">
        <v>38</v>
      </c>
      <c r="I266" s="1" t="n">
        <v>150</v>
      </c>
      <c r="J266" s="2" t="n">
        <v>250</v>
      </c>
      <c r="K266" s="3" t="n">
        <v>397.2</v>
      </c>
      <c r="L266" s="12" t="n">
        <v>0.022536170212766</v>
      </c>
      <c r="M266" s="4" t="n">
        <v>27.5</v>
      </c>
    </row>
    <row r="267" customFormat="false" ht="14.25" hidden="false" customHeight="false" outlineLevel="0" collapsed="false">
      <c r="A267" s="1" t="s">
        <v>81</v>
      </c>
      <c r="B267" s="2" t="n">
        <v>19.1</v>
      </c>
      <c r="C267" s="3" t="n">
        <v>392</v>
      </c>
      <c r="D267" s="3" t="n">
        <v>2</v>
      </c>
      <c r="E267" s="2" t="n">
        <v>40</v>
      </c>
      <c r="F267" s="4" t="n">
        <v>2.92087587098479</v>
      </c>
      <c r="G267" s="2" t="n">
        <v>30</v>
      </c>
      <c r="H267" s="2" t="n">
        <v>39.5</v>
      </c>
      <c r="I267" s="1" t="n">
        <v>150</v>
      </c>
      <c r="J267" s="2" t="n">
        <v>250</v>
      </c>
      <c r="K267" s="3" t="n">
        <v>573</v>
      </c>
      <c r="L267" s="12" t="n">
        <v>0.0282962962962963</v>
      </c>
      <c r="M267" s="4" t="n">
        <v>19.7</v>
      </c>
    </row>
    <row r="268" customFormat="false" ht="14.25" hidden="false" customHeight="false" outlineLevel="0" collapsed="false">
      <c r="B268" s="2" t="n">
        <v>19.1</v>
      </c>
      <c r="C268" s="3" t="n">
        <v>392</v>
      </c>
      <c r="D268" s="3" t="n">
        <v>2</v>
      </c>
      <c r="E268" s="2" t="n">
        <v>40</v>
      </c>
      <c r="F268" s="4" t="n">
        <v>2.92087587098479</v>
      </c>
      <c r="G268" s="2" t="n">
        <v>30</v>
      </c>
      <c r="H268" s="2" t="n">
        <v>39.5</v>
      </c>
      <c r="I268" s="1" t="n">
        <v>150</v>
      </c>
      <c r="J268" s="2" t="n">
        <v>250</v>
      </c>
      <c r="K268" s="3" t="n">
        <v>573</v>
      </c>
      <c r="L268" s="12" t="n">
        <v>0.0282962962962963</v>
      </c>
      <c r="M268" s="4" t="n">
        <v>27.5</v>
      </c>
    </row>
    <row r="269" customFormat="false" ht="14.25" hidden="false" customHeight="false" outlineLevel="0" collapsed="false">
      <c r="B269" s="2" t="n">
        <v>19.1</v>
      </c>
      <c r="C269" s="3" t="n">
        <v>392</v>
      </c>
      <c r="D269" s="3" t="n">
        <v>2</v>
      </c>
      <c r="E269" s="2" t="n">
        <v>40</v>
      </c>
      <c r="F269" s="4" t="n">
        <v>2.92087587098479</v>
      </c>
      <c r="G269" s="2" t="n">
        <v>30</v>
      </c>
      <c r="H269" s="2" t="n">
        <v>39.5</v>
      </c>
      <c r="I269" s="1" t="n">
        <v>150</v>
      </c>
      <c r="J269" s="2" t="n">
        <v>250</v>
      </c>
      <c r="K269" s="3" t="n">
        <v>573</v>
      </c>
      <c r="L269" s="12" t="n">
        <v>0.0282962962962963</v>
      </c>
      <c r="M269" s="4" t="n">
        <v>35.4</v>
      </c>
    </row>
    <row r="270" customFormat="false" ht="14.25" hidden="false" customHeight="false" outlineLevel="0" collapsed="false">
      <c r="B270" s="2" t="n">
        <v>19.1</v>
      </c>
      <c r="C270" s="3" t="n">
        <v>392</v>
      </c>
      <c r="D270" s="3" t="n">
        <v>2</v>
      </c>
      <c r="E270" s="2" t="n">
        <v>40</v>
      </c>
      <c r="F270" s="4" t="n">
        <v>2.92087587098479</v>
      </c>
      <c r="G270" s="2" t="n">
        <v>30</v>
      </c>
      <c r="H270" s="2" t="n">
        <v>39.5</v>
      </c>
      <c r="I270" s="1" t="n">
        <v>150</v>
      </c>
      <c r="J270" s="2" t="n">
        <v>250</v>
      </c>
      <c r="K270" s="3" t="n">
        <v>573</v>
      </c>
      <c r="L270" s="12" t="n">
        <v>0.0282962962962963</v>
      </c>
      <c r="M270" s="4" t="n">
        <v>43.3</v>
      </c>
    </row>
    <row r="271" customFormat="false" ht="14.25" hidden="false" customHeight="false" outlineLevel="0" collapsed="false">
      <c r="A271" s="1" t="s">
        <v>82</v>
      </c>
      <c r="B271" s="2" t="n">
        <v>19.1</v>
      </c>
      <c r="C271" s="3" t="n">
        <v>392</v>
      </c>
      <c r="D271" s="3" t="n">
        <v>2</v>
      </c>
      <c r="E271" s="2" t="n">
        <v>40</v>
      </c>
      <c r="F271" s="4" t="n">
        <v>2.92087587098479</v>
      </c>
      <c r="G271" s="2" t="n">
        <v>30</v>
      </c>
      <c r="H271" s="2" t="n">
        <v>39.5</v>
      </c>
      <c r="I271" s="1" t="n">
        <v>150</v>
      </c>
      <c r="J271" s="2" t="n">
        <v>250</v>
      </c>
      <c r="K271" s="3" t="n">
        <v>573</v>
      </c>
      <c r="L271" s="12" t="n">
        <v>0.0282962962962963</v>
      </c>
      <c r="M271" s="4" t="n">
        <v>19.6</v>
      </c>
    </row>
    <row r="272" customFormat="false" ht="14.25" hidden="false" customHeight="false" outlineLevel="0" collapsed="false">
      <c r="B272" s="2" t="n">
        <v>19.1</v>
      </c>
      <c r="C272" s="3" t="n">
        <v>392</v>
      </c>
      <c r="D272" s="3" t="n">
        <v>2</v>
      </c>
      <c r="E272" s="2" t="n">
        <v>40</v>
      </c>
      <c r="F272" s="4" t="n">
        <v>2.92087587098479</v>
      </c>
      <c r="G272" s="2" t="n">
        <v>30</v>
      </c>
      <c r="H272" s="2" t="n">
        <v>39.5</v>
      </c>
      <c r="I272" s="1" t="n">
        <v>150</v>
      </c>
      <c r="J272" s="2" t="n">
        <v>250</v>
      </c>
      <c r="K272" s="3" t="n">
        <v>573</v>
      </c>
      <c r="L272" s="12" t="n">
        <v>0.0282962962962963</v>
      </c>
      <c r="M272" s="4" t="n">
        <v>27.3</v>
      </c>
    </row>
    <row r="273" customFormat="false" ht="14.25" hidden="false" customHeight="false" outlineLevel="0" collapsed="false">
      <c r="B273" s="2" t="n">
        <v>19.1</v>
      </c>
      <c r="C273" s="3" t="n">
        <v>392</v>
      </c>
      <c r="D273" s="3" t="n">
        <v>2</v>
      </c>
      <c r="E273" s="2" t="n">
        <v>40</v>
      </c>
      <c r="F273" s="4" t="n">
        <v>2.92087587098479</v>
      </c>
      <c r="G273" s="2" t="n">
        <v>30</v>
      </c>
      <c r="H273" s="2" t="n">
        <v>39.5</v>
      </c>
      <c r="I273" s="1" t="n">
        <v>150</v>
      </c>
      <c r="J273" s="2" t="n">
        <v>250</v>
      </c>
      <c r="K273" s="3" t="n">
        <v>573</v>
      </c>
      <c r="L273" s="12" t="n">
        <v>0.0282962962962963</v>
      </c>
      <c r="M273" s="4" t="n">
        <v>35.1</v>
      </c>
    </row>
    <row r="274" customFormat="false" ht="14.25" hidden="false" customHeight="false" outlineLevel="0" collapsed="false">
      <c r="A274" s="1" t="s">
        <v>83</v>
      </c>
      <c r="B274" s="2" t="n">
        <v>15.9</v>
      </c>
      <c r="C274" s="3" t="n">
        <v>392</v>
      </c>
      <c r="D274" s="3" t="n">
        <v>2</v>
      </c>
      <c r="E274" s="2" t="n">
        <v>46</v>
      </c>
      <c r="F274" s="4" t="n">
        <v>3.35387948274239</v>
      </c>
      <c r="G274" s="2" t="n">
        <v>30</v>
      </c>
      <c r="H274" s="2" t="n">
        <v>38</v>
      </c>
      <c r="I274" s="1" t="n">
        <v>150</v>
      </c>
      <c r="J274" s="2" t="n">
        <v>250</v>
      </c>
      <c r="K274" s="3" t="n">
        <v>397.2</v>
      </c>
      <c r="L274" s="12" t="n">
        <v>0.022536170212766</v>
      </c>
      <c r="M274" s="4" t="n">
        <v>27.5</v>
      </c>
    </row>
    <row r="275" customFormat="false" ht="14.25" hidden="false" customHeight="false" outlineLevel="0" collapsed="false">
      <c r="B275" s="2" t="n">
        <v>15.9</v>
      </c>
      <c r="C275" s="3" t="n">
        <v>392</v>
      </c>
      <c r="D275" s="3" t="n">
        <v>2</v>
      </c>
      <c r="E275" s="2" t="n">
        <v>46</v>
      </c>
      <c r="F275" s="4" t="n">
        <v>3.35387948274239</v>
      </c>
      <c r="G275" s="2" t="n">
        <v>30</v>
      </c>
      <c r="H275" s="2" t="n">
        <v>38</v>
      </c>
      <c r="I275" s="1" t="n">
        <v>150</v>
      </c>
      <c r="J275" s="2" t="n">
        <v>250</v>
      </c>
      <c r="K275" s="3" t="n">
        <v>397.2</v>
      </c>
      <c r="L275" s="12" t="n">
        <v>0.022536170212766</v>
      </c>
      <c r="M275" s="4" t="n">
        <v>31.4</v>
      </c>
    </row>
    <row r="276" customFormat="false" ht="14.25" hidden="false" customHeight="false" outlineLevel="0" collapsed="false">
      <c r="A276" s="1" t="s">
        <v>84</v>
      </c>
      <c r="B276" s="2" t="n">
        <v>15.9</v>
      </c>
      <c r="C276" s="3" t="n">
        <v>392</v>
      </c>
      <c r="D276" s="3" t="n">
        <v>2</v>
      </c>
      <c r="E276" s="2" t="n">
        <v>46</v>
      </c>
      <c r="F276" s="4" t="n">
        <v>3.35387948274239</v>
      </c>
      <c r="G276" s="2" t="n">
        <v>30</v>
      </c>
      <c r="H276" s="2" t="n">
        <v>38</v>
      </c>
      <c r="I276" s="1" t="n">
        <v>150</v>
      </c>
      <c r="J276" s="2" t="n">
        <v>250</v>
      </c>
      <c r="K276" s="3" t="n">
        <v>397.2</v>
      </c>
      <c r="L276" s="12" t="n">
        <v>0.022536170212766</v>
      </c>
      <c r="M276" s="4" t="n">
        <v>27.5</v>
      </c>
    </row>
    <row r="277" customFormat="false" ht="14.25" hidden="false" customHeight="false" outlineLevel="0" collapsed="false">
      <c r="B277" s="2" t="n">
        <v>15.9</v>
      </c>
      <c r="C277" s="3" t="n">
        <v>392</v>
      </c>
      <c r="D277" s="3" t="n">
        <v>2</v>
      </c>
      <c r="E277" s="2" t="n">
        <v>46</v>
      </c>
      <c r="F277" s="4" t="n">
        <v>3.35387948274239</v>
      </c>
      <c r="G277" s="2" t="n">
        <v>30</v>
      </c>
      <c r="H277" s="2" t="n">
        <v>38</v>
      </c>
      <c r="I277" s="1" t="n">
        <v>150</v>
      </c>
      <c r="J277" s="2" t="n">
        <v>250</v>
      </c>
      <c r="K277" s="3" t="n">
        <v>397.2</v>
      </c>
      <c r="L277" s="12" t="n">
        <v>0.022536170212766</v>
      </c>
      <c r="M277" s="4" t="n">
        <v>31.4</v>
      </c>
    </row>
    <row r="278" customFormat="false" ht="14.25" hidden="false" customHeight="false" outlineLevel="0" collapsed="false">
      <c r="A278" s="1" t="s">
        <v>85</v>
      </c>
      <c r="B278" s="2" t="n">
        <v>19.1</v>
      </c>
      <c r="C278" s="3" t="n">
        <v>392</v>
      </c>
      <c r="D278" s="3" t="n">
        <v>2</v>
      </c>
      <c r="E278" s="2" t="n">
        <v>40</v>
      </c>
      <c r="F278" s="4" t="n">
        <v>3.35387948274239</v>
      </c>
      <c r="G278" s="2" t="n">
        <v>30</v>
      </c>
      <c r="H278" s="2" t="n">
        <v>39.5</v>
      </c>
      <c r="I278" s="1" t="n">
        <v>150</v>
      </c>
      <c r="J278" s="2" t="n">
        <v>250</v>
      </c>
      <c r="K278" s="3" t="n">
        <v>573</v>
      </c>
      <c r="L278" s="12" t="n">
        <v>0.0282962962962963</v>
      </c>
      <c r="M278" s="4" t="n">
        <v>23.4</v>
      </c>
    </row>
    <row r="279" customFormat="false" ht="14.25" hidden="false" customHeight="false" outlineLevel="0" collapsed="false">
      <c r="B279" s="2" t="n">
        <v>19.1</v>
      </c>
      <c r="C279" s="3" t="n">
        <v>392</v>
      </c>
      <c r="D279" s="3" t="n">
        <v>2</v>
      </c>
      <c r="E279" s="2" t="n">
        <v>40</v>
      </c>
      <c r="F279" s="4" t="n">
        <v>3.35387948274239</v>
      </c>
      <c r="G279" s="2" t="n">
        <v>30</v>
      </c>
      <c r="H279" s="2" t="n">
        <v>39.5</v>
      </c>
      <c r="I279" s="1" t="n">
        <v>150</v>
      </c>
      <c r="J279" s="2" t="n">
        <v>250</v>
      </c>
      <c r="K279" s="3" t="n">
        <v>573</v>
      </c>
      <c r="L279" s="12" t="n">
        <v>0.0282962962962963</v>
      </c>
      <c r="M279" s="4" t="n">
        <v>27.4</v>
      </c>
    </row>
    <row r="280" customFormat="false" ht="14.25" hidden="false" customHeight="false" outlineLevel="0" collapsed="false">
      <c r="B280" s="2" t="n">
        <v>19.1</v>
      </c>
      <c r="C280" s="3" t="n">
        <v>392</v>
      </c>
      <c r="D280" s="3" t="n">
        <v>2</v>
      </c>
      <c r="E280" s="2" t="n">
        <v>40</v>
      </c>
      <c r="F280" s="4" t="n">
        <v>3.35387948274239</v>
      </c>
      <c r="G280" s="2" t="n">
        <v>30</v>
      </c>
      <c r="H280" s="2" t="n">
        <v>39.5</v>
      </c>
      <c r="I280" s="1" t="n">
        <v>150</v>
      </c>
      <c r="J280" s="2" t="n">
        <v>250</v>
      </c>
      <c r="K280" s="3" t="n">
        <v>573</v>
      </c>
      <c r="L280" s="12" t="n">
        <v>0.0282962962962963</v>
      </c>
      <c r="M280" s="4" t="n">
        <v>31.3</v>
      </c>
    </row>
    <row r="281" customFormat="false" ht="14.25" hidden="false" customHeight="false" outlineLevel="0" collapsed="false">
      <c r="B281" s="2" t="n">
        <v>19.1</v>
      </c>
      <c r="C281" s="3" t="n">
        <v>392</v>
      </c>
      <c r="D281" s="3" t="n">
        <v>2</v>
      </c>
      <c r="E281" s="2" t="n">
        <v>40</v>
      </c>
      <c r="F281" s="4" t="n">
        <v>3.35387948274239</v>
      </c>
      <c r="G281" s="2" t="n">
        <v>30</v>
      </c>
      <c r="H281" s="2" t="n">
        <v>39.5</v>
      </c>
      <c r="I281" s="1" t="n">
        <v>150</v>
      </c>
      <c r="J281" s="2" t="n">
        <v>250</v>
      </c>
      <c r="K281" s="3" t="n">
        <v>573</v>
      </c>
      <c r="L281" s="12" t="n">
        <v>0.0282962962962963</v>
      </c>
      <c r="M281" s="4" t="n">
        <v>35.3</v>
      </c>
    </row>
    <row r="282" customFormat="false" ht="14.25" hidden="false" customHeight="false" outlineLevel="0" collapsed="false">
      <c r="B282" s="2" t="n">
        <v>19.1</v>
      </c>
      <c r="C282" s="3" t="n">
        <v>392</v>
      </c>
      <c r="D282" s="3" t="n">
        <v>2</v>
      </c>
      <c r="E282" s="2" t="n">
        <v>40</v>
      </c>
      <c r="F282" s="4" t="n">
        <v>3.35387948274239</v>
      </c>
      <c r="G282" s="2" t="n">
        <v>30</v>
      </c>
      <c r="H282" s="2" t="n">
        <v>39.5</v>
      </c>
      <c r="I282" s="1" t="n">
        <v>150</v>
      </c>
      <c r="J282" s="2" t="n">
        <v>250</v>
      </c>
      <c r="K282" s="3" t="n">
        <v>573</v>
      </c>
      <c r="L282" s="12" t="n">
        <v>0.0282962962962963</v>
      </c>
      <c r="M282" s="4" t="n">
        <v>39.1</v>
      </c>
    </row>
    <row r="283" customFormat="false" ht="14.25" hidden="false" customHeight="false" outlineLevel="0" collapsed="false">
      <c r="B283" s="2" t="n">
        <v>19.1</v>
      </c>
      <c r="C283" s="3" t="n">
        <v>392</v>
      </c>
      <c r="D283" s="3" t="n">
        <v>2</v>
      </c>
      <c r="E283" s="2" t="n">
        <v>40</v>
      </c>
      <c r="F283" s="4" t="n">
        <v>3.35387948274239</v>
      </c>
      <c r="G283" s="2" t="n">
        <v>30</v>
      </c>
      <c r="H283" s="2" t="n">
        <v>39.5</v>
      </c>
      <c r="I283" s="1" t="n">
        <v>150</v>
      </c>
      <c r="J283" s="2" t="n">
        <v>250</v>
      </c>
      <c r="K283" s="3" t="n">
        <v>573</v>
      </c>
      <c r="L283" s="12" t="n">
        <v>0.0282962962962963</v>
      </c>
      <c r="M283" s="4" t="n">
        <v>43.1</v>
      </c>
    </row>
    <row r="284" customFormat="false" ht="14.25" hidden="false" customHeight="false" outlineLevel="0" collapsed="false">
      <c r="A284" s="1" t="s">
        <v>86</v>
      </c>
      <c r="B284" s="2" t="n">
        <v>19.1</v>
      </c>
      <c r="C284" s="3" t="n">
        <v>392</v>
      </c>
      <c r="D284" s="3" t="n">
        <v>2</v>
      </c>
      <c r="E284" s="2" t="n">
        <v>40</v>
      </c>
      <c r="F284" s="4" t="n">
        <v>3.35387948274239</v>
      </c>
      <c r="G284" s="2" t="n">
        <v>30</v>
      </c>
      <c r="H284" s="2" t="n">
        <v>39.5</v>
      </c>
      <c r="I284" s="1" t="n">
        <v>150</v>
      </c>
      <c r="J284" s="2" t="n">
        <v>250</v>
      </c>
      <c r="K284" s="3" t="n">
        <v>573</v>
      </c>
      <c r="L284" s="12" t="n">
        <v>0.0282962962962963</v>
      </c>
      <c r="M284" s="4" t="n">
        <v>31.3</v>
      </c>
    </row>
    <row r="285" customFormat="false" ht="14.25" hidden="false" customHeight="false" outlineLevel="0" collapsed="false">
      <c r="B285" s="2" t="n">
        <v>19.1</v>
      </c>
      <c r="C285" s="3" t="n">
        <v>392</v>
      </c>
      <c r="D285" s="3" t="n">
        <v>2</v>
      </c>
      <c r="E285" s="2" t="n">
        <v>40</v>
      </c>
      <c r="F285" s="4" t="n">
        <v>3.35387948274239</v>
      </c>
      <c r="G285" s="2" t="n">
        <v>30</v>
      </c>
      <c r="H285" s="2" t="n">
        <v>39.5</v>
      </c>
      <c r="I285" s="1" t="n">
        <v>150</v>
      </c>
      <c r="J285" s="2" t="n">
        <v>250</v>
      </c>
      <c r="K285" s="3" t="n">
        <v>573</v>
      </c>
      <c r="L285" s="12" t="n">
        <v>0.0282962962962963</v>
      </c>
      <c r="M285" s="4" t="n">
        <v>35.1</v>
      </c>
    </row>
    <row r="286" customFormat="false" ht="14.25" hidden="false" customHeight="false" outlineLevel="0" collapsed="false">
      <c r="B286" s="2" t="n">
        <v>19.1</v>
      </c>
      <c r="C286" s="3" t="n">
        <v>392</v>
      </c>
      <c r="D286" s="3" t="n">
        <v>2</v>
      </c>
      <c r="E286" s="2" t="n">
        <v>40</v>
      </c>
      <c r="F286" s="4" t="n">
        <v>3.35387948274239</v>
      </c>
      <c r="G286" s="2" t="n">
        <v>30</v>
      </c>
      <c r="H286" s="2" t="n">
        <v>39.5</v>
      </c>
      <c r="I286" s="1" t="n">
        <v>150</v>
      </c>
      <c r="J286" s="2" t="n">
        <v>250</v>
      </c>
      <c r="K286" s="3" t="n">
        <v>573</v>
      </c>
      <c r="L286" s="12" t="n">
        <v>0.0282962962962963</v>
      </c>
      <c r="M286" s="4" t="n">
        <v>39.1</v>
      </c>
    </row>
    <row r="287" customFormat="false" ht="14.25" hidden="false" customHeight="false" outlineLevel="0" collapsed="false">
      <c r="B287" s="2" t="n">
        <v>19.1</v>
      </c>
      <c r="C287" s="3" t="n">
        <v>392</v>
      </c>
      <c r="D287" s="3" t="n">
        <v>2</v>
      </c>
      <c r="E287" s="2" t="n">
        <v>40</v>
      </c>
      <c r="F287" s="4" t="n">
        <v>3.35387948274239</v>
      </c>
      <c r="G287" s="2" t="n">
        <v>30</v>
      </c>
      <c r="H287" s="2" t="n">
        <v>39.5</v>
      </c>
      <c r="I287" s="1" t="n">
        <v>150</v>
      </c>
      <c r="J287" s="2" t="n">
        <v>250</v>
      </c>
      <c r="K287" s="3" t="n">
        <v>573</v>
      </c>
      <c r="L287" s="12" t="n">
        <v>0.0282962962962963</v>
      </c>
      <c r="M287" s="4" t="n">
        <v>43.1</v>
      </c>
    </row>
    <row r="288" customFormat="false" ht="14.25" hidden="false" customHeight="false" outlineLevel="0" collapsed="false">
      <c r="A288" s="1" t="s">
        <v>87</v>
      </c>
      <c r="B288" s="2" t="n">
        <v>19.1</v>
      </c>
      <c r="C288" s="3" t="n">
        <v>276</v>
      </c>
      <c r="D288" s="3" t="n">
        <v>2</v>
      </c>
      <c r="E288" s="2" t="n">
        <v>69.8</v>
      </c>
      <c r="F288" s="4" t="n">
        <v>2.90032882517908</v>
      </c>
      <c r="G288" s="2" t="n">
        <v>31.8</v>
      </c>
      <c r="H288" s="2" t="n">
        <v>41.4</v>
      </c>
      <c r="I288" s="1" t="n">
        <v>152.4</v>
      </c>
      <c r="J288" s="2" t="n">
        <v>381</v>
      </c>
      <c r="K288" s="3" t="n">
        <v>568</v>
      </c>
      <c r="L288" s="12" t="n">
        <v>0.0272245005166903</v>
      </c>
      <c r="M288" s="4" t="n">
        <v>35.0889</v>
      </c>
    </row>
    <row r="289" customFormat="false" ht="14.25" hidden="false" customHeight="false" outlineLevel="0" collapsed="false">
      <c r="B289" s="2" t="n">
        <v>19.1</v>
      </c>
      <c r="C289" s="3" t="n">
        <v>276</v>
      </c>
      <c r="D289" s="3" t="n">
        <v>2</v>
      </c>
      <c r="E289" s="2" t="n">
        <v>69.8</v>
      </c>
      <c r="F289" s="4" t="n">
        <v>2.90032882517908</v>
      </c>
      <c r="G289" s="2" t="n">
        <v>31.8</v>
      </c>
      <c r="H289" s="2" t="n">
        <v>41.4</v>
      </c>
      <c r="I289" s="1" t="n">
        <v>152.4</v>
      </c>
      <c r="J289" s="2" t="n">
        <v>381</v>
      </c>
      <c r="K289" s="3" t="n">
        <v>568</v>
      </c>
      <c r="L289" s="12" t="n">
        <v>0.0272245005166903</v>
      </c>
      <c r="M289" s="4" t="n">
        <v>42.2576</v>
      </c>
    </row>
    <row r="290" customFormat="false" ht="14.25" hidden="false" customHeight="false" outlineLevel="0" collapsed="false">
      <c r="B290" s="2" t="n">
        <v>19.1</v>
      </c>
      <c r="C290" s="3" t="n">
        <v>276</v>
      </c>
      <c r="D290" s="3" t="n">
        <v>2</v>
      </c>
      <c r="E290" s="2" t="n">
        <v>69.8</v>
      </c>
      <c r="F290" s="4" t="n">
        <v>2.90032882517908</v>
      </c>
      <c r="G290" s="2" t="n">
        <v>31.8</v>
      </c>
      <c r="H290" s="2" t="n">
        <v>41.4</v>
      </c>
      <c r="I290" s="1" t="n">
        <v>152.4</v>
      </c>
      <c r="J290" s="2" t="n">
        <v>381</v>
      </c>
      <c r="K290" s="3" t="n">
        <v>568</v>
      </c>
      <c r="L290" s="12" t="n">
        <v>0.0272245005166903</v>
      </c>
      <c r="M290" s="4" t="n">
        <v>48.8089</v>
      </c>
    </row>
    <row r="291" customFormat="false" ht="14.25" hidden="false" customHeight="false" outlineLevel="0" collapsed="false">
      <c r="A291" s="1" t="s">
        <v>88</v>
      </c>
      <c r="B291" s="2" t="n">
        <v>19.1</v>
      </c>
      <c r="C291" s="3" t="n">
        <v>276</v>
      </c>
      <c r="D291" s="3" t="n">
        <v>2</v>
      </c>
      <c r="E291" s="2" t="n">
        <v>69.8</v>
      </c>
      <c r="F291" s="4" t="n">
        <v>2.84669189571421</v>
      </c>
      <c r="G291" s="2" t="n">
        <v>31.8</v>
      </c>
      <c r="H291" s="2" t="n">
        <v>41.4</v>
      </c>
      <c r="I291" s="1" t="n">
        <v>152.4</v>
      </c>
      <c r="J291" s="2" t="n">
        <v>381</v>
      </c>
      <c r="K291" s="3" t="n">
        <v>568</v>
      </c>
      <c r="L291" s="12" t="n">
        <v>0.0272245005166903</v>
      </c>
      <c r="M291" s="4" t="n">
        <v>48.8089</v>
      </c>
    </row>
    <row r="292" customFormat="false" ht="14.25" hidden="false" customHeight="false" outlineLevel="0" collapsed="false">
      <c r="A292" s="1" t="s">
        <v>89</v>
      </c>
      <c r="B292" s="2" t="n">
        <v>19.1</v>
      </c>
      <c r="C292" s="3" t="n">
        <v>276</v>
      </c>
      <c r="D292" s="3" t="n">
        <v>2</v>
      </c>
      <c r="E292" s="2" t="n">
        <v>69.8</v>
      </c>
      <c r="F292" s="4" t="n">
        <v>2.71132147348833</v>
      </c>
      <c r="G292" s="2" t="n">
        <v>38.2</v>
      </c>
      <c r="H292" s="2" t="n">
        <v>47.7</v>
      </c>
      <c r="I292" s="1" t="n">
        <v>152.4</v>
      </c>
      <c r="J292" s="2" t="n">
        <v>381</v>
      </c>
      <c r="K292" s="3" t="n">
        <v>568</v>
      </c>
      <c r="L292" s="12" t="n">
        <v>0.0260267745861376</v>
      </c>
      <c r="M292" s="4" t="n">
        <v>42.2576</v>
      </c>
    </row>
    <row r="293" customFormat="false" ht="14.25" hidden="false" customHeight="false" outlineLevel="0" collapsed="false">
      <c r="B293" s="2" t="n">
        <v>19.1</v>
      </c>
      <c r="C293" s="3" t="n">
        <v>276</v>
      </c>
      <c r="D293" s="3" t="n">
        <v>2</v>
      </c>
      <c r="E293" s="2" t="n">
        <v>69.8</v>
      </c>
      <c r="F293" s="4" t="n">
        <v>2.71132147348833</v>
      </c>
      <c r="G293" s="2" t="n">
        <v>38.2</v>
      </c>
      <c r="H293" s="2" t="n">
        <v>47.7</v>
      </c>
      <c r="I293" s="1" t="n">
        <v>152.4</v>
      </c>
      <c r="J293" s="2" t="n">
        <v>381</v>
      </c>
      <c r="K293" s="3" t="n">
        <v>568</v>
      </c>
      <c r="L293" s="12" t="n">
        <v>0.0260267745861376</v>
      </c>
      <c r="M293" s="4" t="n">
        <v>48.8089</v>
      </c>
    </row>
    <row r="294" customFormat="false" ht="14.25" hidden="false" customHeight="false" outlineLevel="0" collapsed="false">
      <c r="A294" s="1" t="s">
        <v>90</v>
      </c>
      <c r="B294" s="2" t="n">
        <v>22.2</v>
      </c>
      <c r="C294" s="3" t="n">
        <v>276</v>
      </c>
      <c r="D294" s="3" t="n">
        <v>2</v>
      </c>
      <c r="E294" s="2" t="n">
        <v>63.6</v>
      </c>
      <c r="F294" s="4" t="n">
        <v>2.68798662700617</v>
      </c>
      <c r="G294" s="2" t="n">
        <v>12.8</v>
      </c>
      <c r="H294" s="2" t="n">
        <v>23.9</v>
      </c>
      <c r="I294" s="1" t="n">
        <v>152.4</v>
      </c>
      <c r="J294" s="2" t="n">
        <v>381</v>
      </c>
      <c r="K294" s="3" t="n">
        <v>774</v>
      </c>
      <c r="L294" s="12" t="n">
        <v>0.0607141680511693</v>
      </c>
      <c r="M294" s="4" t="n">
        <v>66.199</v>
      </c>
    </row>
    <row r="295" customFormat="false" ht="14.25" hidden="false" customHeight="false" outlineLevel="0" collapsed="false">
      <c r="A295" s="1" t="s">
        <v>91</v>
      </c>
      <c r="B295" s="2" t="n">
        <v>22.2</v>
      </c>
      <c r="C295" s="3" t="n">
        <v>276</v>
      </c>
      <c r="D295" s="3" t="n">
        <v>2</v>
      </c>
      <c r="E295" s="2" t="n">
        <v>63.6</v>
      </c>
      <c r="F295" s="4" t="n">
        <v>2.38460157103714</v>
      </c>
      <c r="G295" s="2" t="n">
        <v>38</v>
      </c>
      <c r="H295" s="2" t="n">
        <v>49.1</v>
      </c>
      <c r="I295" s="1" t="n">
        <v>152.4</v>
      </c>
      <c r="J295" s="2" t="n">
        <v>381</v>
      </c>
      <c r="K295" s="3" t="n">
        <v>774</v>
      </c>
      <c r="L295" s="12" t="n">
        <v>0.0317222995470351</v>
      </c>
      <c r="M295" s="4" t="n">
        <v>43.9383</v>
      </c>
    </row>
    <row r="296" customFormat="false" ht="14.25" hidden="false" customHeight="false" outlineLevel="0" collapsed="false">
      <c r="B296" s="2" t="n">
        <v>22.2</v>
      </c>
      <c r="C296" s="3" t="n">
        <v>276</v>
      </c>
      <c r="D296" s="3" t="n">
        <v>2</v>
      </c>
      <c r="E296" s="2" t="n">
        <v>63.6</v>
      </c>
      <c r="F296" s="4" t="n">
        <v>2.38460157103714</v>
      </c>
      <c r="G296" s="2" t="n">
        <v>38</v>
      </c>
      <c r="H296" s="2" t="n">
        <v>49.1</v>
      </c>
      <c r="I296" s="1" t="n">
        <v>152.4</v>
      </c>
      <c r="J296" s="2" t="n">
        <v>381</v>
      </c>
      <c r="K296" s="3" t="n">
        <v>774</v>
      </c>
      <c r="L296" s="12" t="n">
        <v>0.0317222995470351</v>
      </c>
      <c r="M296" s="4" t="n">
        <v>51.107</v>
      </c>
    </row>
    <row r="297" customFormat="false" ht="14.25" hidden="false" customHeight="false" outlineLevel="0" collapsed="false">
      <c r="B297" s="2" t="n">
        <v>22.2</v>
      </c>
      <c r="C297" s="3" t="n">
        <v>276</v>
      </c>
      <c r="D297" s="3" t="n">
        <v>2</v>
      </c>
      <c r="E297" s="2" t="n">
        <v>63.6</v>
      </c>
      <c r="F297" s="4" t="n">
        <v>2.38460157103714</v>
      </c>
      <c r="G297" s="2" t="n">
        <v>38</v>
      </c>
      <c r="H297" s="2" t="n">
        <v>49.1</v>
      </c>
      <c r="I297" s="1" t="n">
        <v>152.4</v>
      </c>
      <c r="J297" s="2" t="n">
        <v>381</v>
      </c>
      <c r="K297" s="3" t="n">
        <v>774</v>
      </c>
      <c r="L297" s="12" t="n">
        <v>0.0317222995470351</v>
      </c>
      <c r="M297" s="4" t="n">
        <v>58.7559</v>
      </c>
    </row>
    <row r="298" customFormat="false" ht="14.25" hidden="false" customHeight="false" outlineLevel="0" collapsed="false">
      <c r="B298" s="2" t="n">
        <v>22.2</v>
      </c>
      <c r="C298" s="3" t="n">
        <v>276</v>
      </c>
      <c r="D298" s="3" t="n">
        <v>2</v>
      </c>
      <c r="E298" s="2" t="n">
        <v>63.6</v>
      </c>
      <c r="F298" s="4" t="n">
        <v>2.38460157103714</v>
      </c>
      <c r="G298" s="2" t="n">
        <v>38</v>
      </c>
      <c r="H298" s="2" t="n">
        <v>49.1</v>
      </c>
      <c r="I298" s="1" t="n">
        <v>152.4</v>
      </c>
      <c r="J298" s="2" t="n">
        <v>381</v>
      </c>
      <c r="K298" s="3" t="n">
        <v>774</v>
      </c>
      <c r="L298" s="12" t="n">
        <v>0.0317222995470351</v>
      </c>
      <c r="M298" s="4" t="n">
        <v>66.199</v>
      </c>
    </row>
    <row r="299" customFormat="false" ht="14.25" hidden="false" customHeight="false" outlineLevel="0" collapsed="false">
      <c r="A299" s="1" t="s">
        <v>92</v>
      </c>
      <c r="B299" s="2" t="n">
        <v>22.2</v>
      </c>
      <c r="C299" s="3" t="n">
        <v>276</v>
      </c>
      <c r="D299" s="3" t="n">
        <v>2</v>
      </c>
      <c r="E299" s="2" t="n">
        <v>63.6</v>
      </c>
      <c r="F299" s="4" t="n">
        <v>2.86484234762008</v>
      </c>
      <c r="G299" s="2" t="n">
        <v>38</v>
      </c>
      <c r="H299" s="2" t="n">
        <v>49.1</v>
      </c>
      <c r="I299" s="1" t="n">
        <v>152.4</v>
      </c>
      <c r="J299" s="2" t="n">
        <v>381</v>
      </c>
      <c r="K299" s="3" t="n">
        <v>774</v>
      </c>
      <c r="L299" s="12" t="n">
        <v>0.0317222995470351</v>
      </c>
      <c r="M299" s="4" t="n">
        <v>58.7559</v>
      </c>
    </row>
    <row r="300" customFormat="false" ht="14.25" hidden="false" customHeight="false" outlineLevel="0" collapsed="false">
      <c r="B300" s="2" t="n">
        <v>22.2</v>
      </c>
      <c r="C300" s="3" t="n">
        <v>276</v>
      </c>
      <c r="D300" s="3" t="n">
        <v>2</v>
      </c>
      <c r="E300" s="2" t="n">
        <v>63.6</v>
      </c>
      <c r="F300" s="4" t="n">
        <v>2.86484234762008</v>
      </c>
      <c r="G300" s="2" t="n">
        <v>38</v>
      </c>
      <c r="H300" s="2" t="n">
        <v>49.1</v>
      </c>
      <c r="I300" s="1" t="n">
        <v>152.4</v>
      </c>
      <c r="J300" s="2" t="n">
        <v>381</v>
      </c>
      <c r="K300" s="3" t="n">
        <v>774</v>
      </c>
      <c r="L300" s="12" t="n">
        <v>0.0317222995470351</v>
      </c>
      <c r="M300" s="4" t="n">
        <v>66.199</v>
      </c>
    </row>
    <row r="301" customFormat="false" ht="14.25" hidden="false" customHeight="false" outlineLevel="0" collapsed="false">
      <c r="A301" s="1" t="s">
        <v>93</v>
      </c>
      <c r="B301" s="2" t="n">
        <v>22.2</v>
      </c>
      <c r="C301" s="3" t="n">
        <v>276</v>
      </c>
      <c r="D301" s="3" t="n">
        <v>2</v>
      </c>
      <c r="E301" s="2" t="n">
        <v>63.6</v>
      </c>
      <c r="F301" s="4" t="n">
        <v>2.83369179024989</v>
      </c>
      <c r="G301" s="2" t="n">
        <v>38</v>
      </c>
      <c r="H301" s="2" t="n">
        <v>49.1</v>
      </c>
      <c r="I301" s="1" t="n">
        <v>152.4</v>
      </c>
      <c r="J301" s="2" t="n">
        <v>381</v>
      </c>
      <c r="K301" s="3" t="n">
        <v>774</v>
      </c>
      <c r="L301" s="12" t="n">
        <v>0.0317222995470351</v>
      </c>
      <c r="M301" s="4" t="n">
        <v>43.9383</v>
      </c>
    </row>
    <row r="302" customFormat="false" ht="14.25" hidden="false" customHeight="false" outlineLevel="0" collapsed="false">
      <c r="B302" s="2" t="n">
        <v>22.2</v>
      </c>
      <c r="C302" s="3" t="n">
        <v>276</v>
      </c>
      <c r="D302" s="3" t="n">
        <v>2</v>
      </c>
      <c r="E302" s="2" t="n">
        <v>63.6</v>
      </c>
      <c r="F302" s="4" t="n">
        <v>2.83369179024989</v>
      </c>
      <c r="G302" s="2" t="n">
        <v>38</v>
      </c>
      <c r="H302" s="2" t="n">
        <v>49.1</v>
      </c>
      <c r="I302" s="1" t="n">
        <v>152.4</v>
      </c>
      <c r="J302" s="2" t="n">
        <v>381</v>
      </c>
      <c r="K302" s="3" t="n">
        <v>774</v>
      </c>
      <c r="L302" s="12" t="n">
        <v>0.0317222995470351</v>
      </c>
      <c r="M302" s="4" t="n">
        <v>51.107</v>
      </c>
    </row>
    <row r="303" customFormat="false" ht="14.25" hidden="false" customHeight="false" outlineLevel="0" collapsed="false">
      <c r="B303" s="2" t="n">
        <v>22.2</v>
      </c>
      <c r="C303" s="3" t="n">
        <v>276</v>
      </c>
      <c r="D303" s="3" t="n">
        <v>2</v>
      </c>
      <c r="E303" s="2" t="n">
        <v>63.6</v>
      </c>
      <c r="F303" s="4" t="n">
        <v>2.83369179024989</v>
      </c>
      <c r="G303" s="2" t="n">
        <v>38</v>
      </c>
      <c r="H303" s="2" t="n">
        <v>49.1</v>
      </c>
      <c r="I303" s="1" t="n">
        <v>152.4</v>
      </c>
      <c r="J303" s="2" t="n">
        <v>381</v>
      </c>
      <c r="K303" s="3" t="n">
        <v>774</v>
      </c>
      <c r="L303" s="12" t="n">
        <v>0.0317222995470351</v>
      </c>
      <c r="M303" s="4" t="n">
        <v>58.7559</v>
      </c>
    </row>
    <row r="304" customFormat="false" ht="14.25" hidden="false" customHeight="false" outlineLevel="0" collapsed="false">
      <c r="B304" s="2" t="n">
        <v>22.2</v>
      </c>
      <c r="C304" s="3" t="n">
        <v>276</v>
      </c>
      <c r="D304" s="3" t="n">
        <v>2</v>
      </c>
      <c r="E304" s="2" t="n">
        <v>63.6</v>
      </c>
      <c r="F304" s="4" t="n">
        <v>2.83369179024989</v>
      </c>
      <c r="G304" s="2" t="n">
        <v>38</v>
      </c>
      <c r="H304" s="2" t="n">
        <v>49.1</v>
      </c>
      <c r="I304" s="1" t="n">
        <v>152.4</v>
      </c>
      <c r="J304" s="2" t="n">
        <v>381</v>
      </c>
      <c r="K304" s="3" t="n">
        <v>774</v>
      </c>
      <c r="L304" s="12" t="n">
        <v>0.0317222995470351</v>
      </c>
      <c r="M304" s="4" t="n">
        <v>66.199</v>
      </c>
    </row>
    <row r="305" customFormat="false" ht="14.25" hidden="false" customHeight="false" outlineLevel="0" collapsed="false">
      <c r="A305" s="1" t="s">
        <v>94</v>
      </c>
      <c r="B305" s="2" t="n">
        <v>22.2</v>
      </c>
      <c r="C305" s="3" t="n">
        <v>276</v>
      </c>
      <c r="D305" s="3" t="n">
        <v>2</v>
      </c>
      <c r="E305" s="2" t="n">
        <v>63.6</v>
      </c>
      <c r="F305" s="4" t="n">
        <v>2.75637342683892</v>
      </c>
      <c r="G305" s="2" t="n">
        <v>38</v>
      </c>
      <c r="H305" s="2" t="n">
        <v>49.1</v>
      </c>
      <c r="I305" s="1" t="n">
        <v>152.4</v>
      </c>
      <c r="J305" s="2" t="n">
        <v>381</v>
      </c>
      <c r="K305" s="3" t="n">
        <v>774</v>
      </c>
      <c r="L305" s="12" t="n">
        <v>0.0317222995470351</v>
      </c>
      <c r="M305" s="4" t="n">
        <v>43.9383</v>
      </c>
    </row>
    <row r="306" customFormat="false" ht="14.25" hidden="false" customHeight="false" outlineLevel="0" collapsed="false">
      <c r="B306" s="2" t="n">
        <v>22.2</v>
      </c>
      <c r="C306" s="3" t="n">
        <v>276</v>
      </c>
      <c r="D306" s="3" t="n">
        <v>2</v>
      </c>
      <c r="E306" s="2" t="n">
        <v>63.6</v>
      </c>
      <c r="F306" s="4" t="n">
        <v>2.75637342683892</v>
      </c>
      <c r="G306" s="2" t="n">
        <v>38</v>
      </c>
      <c r="H306" s="2" t="n">
        <v>49.1</v>
      </c>
      <c r="I306" s="1" t="n">
        <v>152.4</v>
      </c>
      <c r="J306" s="2" t="n">
        <v>381</v>
      </c>
      <c r="K306" s="3" t="n">
        <v>774</v>
      </c>
      <c r="L306" s="12" t="n">
        <v>0.0317222995470351</v>
      </c>
      <c r="M306" s="4" t="n">
        <v>51.107</v>
      </c>
    </row>
    <row r="307" customFormat="false" ht="14.25" hidden="false" customHeight="false" outlineLevel="0" collapsed="false">
      <c r="B307" s="2" t="n">
        <v>22.2</v>
      </c>
      <c r="C307" s="3" t="n">
        <v>276</v>
      </c>
      <c r="D307" s="3" t="n">
        <v>2</v>
      </c>
      <c r="E307" s="2" t="n">
        <v>63.6</v>
      </c>
      <c r="F307" s="4" t="n">
        <v>2.75637342683892</v>
      </c>
      <c r="G307" s="2" t="n">
        <v>38</v>
      </c>
      <c r="H307" s="2" t="n">
        <v>49.1</v>
      </c>
      <c r="I307" s="1" t="n">
        <v>152.4</v>
      </c>
      <c r="J307" s="2" t="n">
        <v>381</v>
      </c>
      <c r="K307" s="3" t="n">
        <v>774</v>
      </c>
      <c r="L307" s="12" t="n">
        <v>0.0317222995470351</v>
      </c>
      <c r="M307" s="4" t="n">
        <v>58.7559</v>
      </c>
    </row>
    <row r="308" customFormat="false" ht="14.25" hidden="false" customHeight="false" outlineLevel="0" collapsed="false">
      <c r="B308" s="2" t="n">
        <v>22.2</v>
      </c>
      <c r="C308" s="3" t="n">
        <v>276</v>
      </c>
      <c r="D308" s="3" t="n">
        <v>2</v>
      </c>
      <c r="E308" s="2" t="n">
        <v>63.6</v>
      </c>
      <c r="F308" s="4" t="n">
        <v>2.75637342683892</v>
      </c>
      <c r="G308" s="2" t="n">
        <v>38</v>
      </c>
      <c r="H308" s="2" t="n">
        <v>49.1</v>
      </c>
      <c r="I308" s="1" t="n">
        <v>152.4</v>
      </c>
      <c r="J308" s="2" t="n">
        <v>381</v>
      </c>
      <c r="K308" s="3" t="n">
        <v>774</v>
      </c>
      <c r="L308" s="12" t="n">
        <v>0.0317222995470351</v>
      </c>
      <c r="M308" s="4" t="n">
        <v>66.199</v>
      </c>
    </row>
    <row r="309" customFormat="false" ht="14.25" hidden="false" customHeight="false" outlineLevel="0" collapsed="false">
      <c r="A309" s="1" t="s">
        <v>95</v>
      </c>
      <c r="B309" s="2" t="n">
        <v>28.7</v>
      </c>
      <c r="C309" s="3" t="n">
        <v>276</v>
      </c>
      <c r="D309" s="3" t="n">
        <v>2</v>
      </c>
      <c r="E309" s="2" t="n">
        <v>50.6</v>
      </c>
      <c r="F309" s="4" t="n">
        <v>2.77481740215607</v>
      </c>
      <c r="G309" s="2" t="n">
        <v>22.2</v>
      </c>
      <c r="H309" s="2" t="n">
        <v>36.6</v>
      </c>
      <c r="I309" s="1" t="n">
        <v>152.4</v>
      </c>
      <c r="J309" s="2" t="n">
        <v>381</v>
      </c>
      <c r="K309" s="3" t="n">
        <v>1290</v>
      </c>
      <c r="L309" s="12" t="n">
        <v>0.0660778058480395</v>
      </c>
      <c r="M309" s="4" t="n">
        <v>89.1114</v>
      </c>
    </row>
    <row r="310" customFormat="false" ht="14.25" hidden="false" customHeight="false" outlineLevel="0" collapsed="false">
      <c r="B310" s="2" t="n">
        <v>28.7</v>
      </c>
      <c r="C310" s="3" t="n">
        <v>276</v>
      </c>
      <c r="D310" s="3" t="n">
        <v>2</v>
      </c>
      <c r="E310" s="2" t="n">
        <v>50.6</v>
      </c>
      <c r="F310" s="4" t="n">
        <v>2.77481740215607</v>
      </c>
      <c r="G310" s="2" t="n">
        <v>22.2</v>
      </c>
      <c r="H310" s="2" t="n">
        <v>36.6</v>
      </c>
      <c r="I310" s="1" t="n">
        <v>152.4</v>
      </c>
      <c r="J310" s="2" t="n">
        <v>381</v>
      </c>
      <c r="K310" s="3" t="n">
        <v>1290</v>
      </c>
      <c r="L310" s="12" t="n">
        <v>0.0660778058480395</v>
      </c>
      <c r="M310" s="4" t="n">
        <v>104.615</v>
      </c>
    </row>
    <row r="311" customFormat="false" ht="14.25" hidden="false" customHeight="false" outlineLevel="0" collapsed="false">
      <c r="A311" s="1" t="s">
        <v>96</v>
      </c>
      <c r="B311" s="2" t="n">
        <v>28.7</v>
      </c>
      <c r="C311" s="3" t="n">
        <v>276</v>
      </c>
      <c r="D311" s="3" t="n">
        <v>2</v>
      </c>
      <c r="E311" s="2" t="n">
        <v>50.6</v>
      </c>
      <c r="F311" s="4" t="n">
        <v>2.80171464705939</v>
      </c>
      <c r="G311" s="2" t="n">
        <v>38.2</v>
      </c>
      <c r="H311" s="2" t="n">
        <v>52.5</v>
      </c>
      <c r="I311" s="1" t="n">
        <v>152.4</v>
      </c>
      <c r="J311" s="2" t="n">
        <v>381</v>
      </c>
      <c r="K311" s="3" t="n">
        <v>1290</v>
      </c>
      <c r="L311" s="12" t="n">
        <v>0.0460656703626332</v>
      </c>
      <c r="M311" s="4" t="n">
        <v>64.9985</v>
      </c>
    </row>
    <row r="312" customFormat="false" ht="14.25" hidden="false" customHeight="false" outlineLevel="0" collapsed="false">
      <c r="B312" s="2" t="n">
        <v>28.7</v>
      </c>
      <c r="C312" s="3" t="n">
        <v>276</v>
      </c>
      <c r="D312" s="3" t="n">
        <v>2</v>
      </c>
      <c r="E312" s="2" t="n">
        <v>50.6</v>
      </c>
      <c r="F312" s="4" t="n">
        <v>2.80171464705939</v>
      </c>
      <c r="G312" s="2" t="n">
        <v>38.2</v>
      </c>
      <c r="H312" s="2" t="n">
        <v>52.5</v>
      </c>
      <c r="I312" s="1" t="n">
        <v>152.4</v>
      </c>
      <c r="J312" s="2" t="n">
        <v>381</v>
      </c>
      <c r="K312" s="3" t="n">
        <v>1290</v>
      </c>
      <c r="L312" s="12" t="n">
        <v>0.0460656703626332</v>
      </c>
      <c r="M312" s="4" t="n">
        <v>77.0378</v>
      </c>
    </row>
    <row r="313" customFormat="false" ht="14.25" hidden="false" customHeight="false" outlineLevel="0" collapsed="false">
      <c r="B313" s="2" t="n">
        <v>28.7</v>
      </c>
      <c r="C313" s="3" t="n">
        <v>276</v>
      </c>
      <c r="D313" s="3" t="n">
        <v>2</v>
      </c>
      <c r="E313" s="2" t="n">
        <v>50.6</v>
      </c>
      <c r="F313" s="4" t="n">
        <v>2.80171464705939</v>
      </c>
      <c r="G313" s="2" t="n">
        <v>38.2</v>
      </c>
      <c r="H313" s="2" t="n">
        <v>52.5</v>
      </c>
      <c r="I313" s="1" t="n">
        <v>152.4</v>
      </c>
      <c r="J313" s="2" t="n">
        <v>381</v>
      </c>
      <c r="K313" s="3" t="n">
        <v>1290</v>
      </c>
      <c r="L313" s="12" t="n">
        <v>0.0460656703626332</v>
      </c>
      <c r="M313" s="4" t="n">
        <v>88.8027</v>
      </c>
    </row>
    <row r="314" customFormat="false" ht="14.25" hidden="false" customHeight="false" outlineLevel="0" collapsed="false">
      <c r="B314" s="2" t="n">
        <v>28.7</v>
      </c>
      <c r="C314" s="3" t="n">
        <v>276</v>
      </c>
      <c r="D314" s="3" t="n">
        <v>2</v>
      </c>
      <c r="E314" s="2" t="n">
        <v>50.6</v>
      </c>
      <c r="F314" s="4" t="n">
        <v>2.80171464705939</v>
      </c>
      <c r="G314" s="2" t="n">
        <v>38.2</v>
      </c>
      <c r="H314" s="2" t="n">
        <v>52.5</v>
      </c>
      <c r="I314" s="1" t="n">
        <v>152.4</v>
      </c>
      <c r="J314" s="2" t="n">
        <v>381</v>
      </c>
      <c r="K314" s="3" t="n">
        <v>1290</v>
      </c>
      <c r="L314" s="12" t="n">
        <v>0.0460656703626332</v>
      </c>
      <c r="M314" s="4" t="n">
        <v>104.615</v>
      </c>
    </row>
    <row r="315" customFormat="false" ht="14.25" hidden="false" customHeight="false" outlineLevel="0" collapsed="false">
      <c r="A315" s="1" t="s">
        <v>97</v>
      </c>
      <c r="B315" s="2" t="n">
        <v>28.7</v>
      </c>
      <c r="C315" s="3" t="n">
        <v>276</v>
      </c>
      <c r="D315" s="3" t="n">
        <v>2</v>
      </c>
      <c r="E315" s="2" t="n">
        <v>50.6</v>
      </c>
      <c r="F315" s="4" t="n">
        <v>2.71531164579845</v>
      </c>
      <c r="G315" s="2" t="n">
        <v>38.2</v>
      </c>
      <c r="H315" s="2" t="n">
        <v>52.5</v>
      </c>
      <c r="I315" s="1" t="n">
        <v>152.4</v>
      </c>
      <c r="J315" s="2" t="n">
        <v>381</v>
      </c>
      <c r="K315" s="3" t="n">
        <v>1290</v>
      </c>
      <c r="L315" s="12" t="n">
        <v>0.0460656703626332</v>
      </c>
      <c r="M315" s="4" t="n">
        <v>77.0378</v>
      </c>
    </row>
    <row r="316" customFormat="false" ht="14.25" hidden="false" customHeight="false" outlineLevel="0" collapsed="false">
      <c r="A316" s="1" t="s">
        <v>98</v>
      </c>
      <c r="B316" s="2" t="n">
        <v>28.7</v>
      </c>
      <c r="C316" s="3" t="n">
        <v>276</v>
      </c>
      <c r="D316" s="3" t="n">
        <v>2</v>
      </c>
      <c r="E316" s="2" t="n">
        <v>50.6</v>
      </c>
      <c r="F316" s="4" t="n">
        <v>2.80171464705939</v>
      </c>
      <c r="G316" s="2" t="n">
        <v>38.2</v>
      </c>
      <c r="H316" s="2" t="n">
        <v>52.5</v>
      </c>
      <c r="I316" s="1" t="n">
        <v>152.4</v>
      </c>
      <c r="J316" s="2" t="n">
        <v>381</v>
      </c>
      <c r="K316" s="3" t="n">
        <v>1290</v>
      </c>
      <c r="L316" s="12" t="n">
        <v>0.0460656703626332</v>
      </c>
      <c r="M316" s="4" t="n">
        <v>64.9985</v>
      </c>
    </row>
    <row r="317" customFormat="false" ht="14.25" hidden="false" customHeight="false" outlineLevel="0" collapsed="false">
      <c r="B317" s="2" t="n">
        <v>28.7</v>
      </c>
      <c r="C317" s="3" t="n">
        <v>276</v>
      </c>
      <c r="D317" s="3" t="n">
        <v>2</v>
      </c>
      <c r="E317" s="2" t="n">
        <v>50.6</v>
      </c>
      <c r="F317" s="4" t="n">
        <v>2.80171464705939</v>
      </c>
      <c r="G317" s="2" t="n">
        <v>38.2</v>
      </c>
      <c r="H317" s="2" t="n">
        <v>52.5</v>
      </c>
      <c r="I317" s="1" t="n">
        <v>152.4</v>
      </c>
      <c r="J317" s="2" t="n">
        <v>381</v>
      </c>
      <c r="K317" s="3" t="n">
        <v>1290</v>
      </c>
      <c r="L317" s="12" t="n">
        <v>0.0460656703626332</v>
      </c>
      <c r="M317" s="4" t="n">
        <v>77.0378</v>
      </c>
    </row>
    <row r="318" customFormat="false" ht="14.25" hidden="false" customHeight="false" outlineLevel="0" collapsed="false">
      <c r="B318" s="2" t="n">
        <v>28.7</v>
      </c>
      <c r="C318" s="3" t="n">
        <v>276</v>
      </c>
      <c r="D318" s="3" t="n">
        <v>2</v>
      </c>
      <c r="E318" s="2" t="n">
        <v>50.6</v>
      </c>
      <c r="F318" s="4" t="n">
        <v>2.80171464705939</v>
      </c>
      <c r="G318" s="2" t="n">
        <v>38.2</v>
      </c>
      <c r="H318" s="2" t="n">
        <v>52.5</v>
      </c>
      <c r="I318" s="1" t="n">
        <v>152.4</v>
      </c>
      <c r="J318" s="2" t="n">
        <v>381</v>
      </c>
      <c r="K318" s="3" t="n">
        <v>1290</v>
      </c>
      <c r="L318" s="12" t="n">
        <v>0.0460656703626332</v>
      </c>
      <c r="M318" s="4" t="n">
        <v>88.8027</v>
      </c>
    </row>
    <row r="319" customFormat="false" ht="14.25" hidden="false" customHeight="false" outlineLevel="0" collapsed="false">
      <c r="B319" s="2" t="n">
        <v>28.7</v>
      </c>
      <c r="C319" s="3" t="n">
        <v>276</v>
      </c>
      <c r="D319" s="3" t="n">
        <v>2</v>
      </c>
      <c r="E319" s="2" t="n">
        <v>50.6</v>
      </c>
      <c r="F319" s="4" t="n">
        <v>2.80171464705939</v>
      </c>
      <c r="G319" s="2" t="n">
        <v>38.2</v>
      </c>
      <c r="H319" s="2" t="n">
        <v>52.5</v>
      </c>
      <c r="I319" s="1" t="n">
        <v>152.4</v>
      </c>
      <c r="J319" s="2" t="n">
        <v>381</v>
      </c>
      <c r="K319" s="3" t="n">
        <v>1290</v>
      </c>
      <c r="L319" s="12" t="n">
        <v>0.0460656703626332</v>
      </c>
      <c r="M319" s="4" t="n">
        <v>104.615</v>
      </c>
    </row>
    <row r="320" customFormat="false" ht="14.25" hidden="false" customHeight="false" outlineLevel="0" collapsed="false">
      <c r="A320" s="1" t="s">
        <v>99</v>
      </c>
      <c r="B320" s="2" t="n">
        <v>28.7</v>
      </c>
      <c r="C320" s="3" t="n">
        <v>276</v>
      </c>
      <c r="D320" s="3" t="n">
        <v>2</v>
      </c>
      <c r="E320" s="2" t="n">
        <v>50.6</v>
      </c>
      <c r="F320" s="4" t="n">
        <v>2.52444806810338</v>
      </c>
      <c r="G320" s="2" t="n">
        <v>38.2</v>
      </c>
      <c r="H320" s="2" t="n">
        <v>52.5</v>
      </c>
      <c r="I320" s="1" t="n">
        <v>152.4</v>
      </c>
      <c r="J320" s="2" t="n">
        <v>381</v>
      </c>
      <c r="K320" s="3" t="n">
        <v>1290</v>
      </c>
      <c r="L320" s="12" t="n">
        <v>0.0460656703626332</v>
      </c>
      <c r="M320" s="4" t="n">
        <v>77.0378</v>
      </c>
    </row>
    <row r="321" customFormat="false" ht="14.25" hidden="false" customHeight="false" outlineLevel="0" collapsed="false">
      <c r="B321" s="2" t="n">
        <v>28.7</v>
      </c>
      <c r="C321" s="3" t="n">
        <v>276</v>
      </c>
      <c r="D321" s="3" t="n">
        <v>2</v>
      </c>
      <c r="E321" s="2" t="n">
        <v>50.6</v>
      </c>
      <c r="F321" s="4" t="n">
        <v>2.52444806810338</v>
      </c>
      <c r="G321" s="2" t="n">
        <v>38.2</v>
      </c>
      <c r="H321" s="2" t="n">
        <v>52.5</v>
      </c>
      <c r="I321" s="1" t="n">
        <v>152.4</v>
      </c>
      <c r="J321" s="2" t="n">
        <v>381</v>
      </c>
      <c r="K321" s="3" t="n">
        <v>1290</v>
      </c>
      <c r="L321" s="12" t="n">
        <v>0.0460656703626332</v>
      </c>
      <c r="M321" s="4" t="n">
        <v>88.8027</v>
      </c>
    </row>
    <row r="322" customFormat="false" ht="14.25" hidden="false" customHeight="false" outlineLevel="0" collapsed="false">
      <c r="B322" s="2" t="n">
        <v>28.7</v>
      </c>
      <c r="C322" s="3" t="n">
        <v>276</v>
      </c>
      <c r="D322" s="3" t="n">
        <v>2</v>
      </c>
      <c r="E322" s="2" t="n">
        <v>50.6</v>
      </c>
      <c r="F322" s="4" t="n">
        <v>2.52444806810338</v>
      </c>
      <c r="G322" s="2" t="n">
        <v>38.2</v>
      </c>
      <c r="H322" s="2" t="n">
        <v>52.5</v>
      </c>
      <c r="I322" s="1" t="n">
        <v>152.4</v>
      </c>
      <c r="J322" s="2" t="n">
        <v>381</v>
      </c>
      <c r="K322" s="3" t="n">
        <v>1290</v>
      </c>
      <c r="L322" s="12" t="n">
        <v>0.0460656703626332</v>
      </c>
      <c r="M322" s="4" t="n">
        <v>104.615</v>
      </c>
    </row>
    <row r="323" customFormat="false" ht="14.25" hidden="false" customHeight="false" outlineLevel="0" collapsed="false">
      <c r="A323" s="1" t="s">
        <v>100</v>
      </c>
      <c r="B323" s="2" t="n">
        <v>32.3</v>
      </c>
      <c r="C323" s="3" t="n">
        <v>276</v>
      </c>
      <c r="D323" s="3" t="n">
        <v>1</v>
      </c>
      <c r="E323" s="2" t="n">
        <v>60</v>
      </c>
      <c r="F323" s="4" t="n">
        <v>2.53821845332793</v>
      </c>
      <c r="G323" s="2" t="n">
        <v>38.3</v>
      </c>
      <c r="H323" s="2" t="n">
        <v>54.4</v>
      </c>
      <c r="I323" s="1" t="n">
        <v>152.4</v>
      </c>
      <c r="J323" s="2" t="n">
        <v>381</v>
      </c>
      <c r="K323" s="3" t="n">
        <v>819</v>
      </c>
      <c r="L323" s="12" t="n">
        <v>0.0282248726262158</v>
      </c>
      <c r="M323" s="4" t="n">
        <v>39.9595</v>
      </c>
    </row>
    <row r="324" customFormat="false" ht="14.25" hidden="false" customHeight="false" outlineLevel="0" collapsed="false">
      <c r="B324" s="2" t="n">
        <v>32.3</v>
      </c>
      <c r="C324" s="3" t="n">
        <v>276</v>
      </c>
      <c r="D324" s="3" t="n">
        <v>1</v>
      </c>
      <c r="E324" s="2" t="n">
        <v>60</v>
      </c>
      <c r="F324" s="4" t="n">
        <v>2.53821845332793</v>
      </c>
      <c r="G324" s="2" t="n">
        <v>38.3</v>
      </c>
      <c r="H324" s="2" t="n">
        <v>54.4</v>
      </c>
      <c r="I324" s="1" t="n">
        <v>152.4</v>
      </c>
      <c r="J324" s="2" t="n">
        <v>381</v>
      </c>
      <c r="K324" s="3" t="n">
        <v>819</v>
      </c>
      <c r="L324" s="12" t="n">
        <v>0.0282248726262158</v>
      </c>
      <c r="M324" s="4" t="n">
        <v>49.1862</v>
      </c>
    </row>
    <row r="325" customFormat="false" ht="14.25" hidden="false" customHeight="false" outlineLevel="0" collapsed="false">
      <c r="B325" s="2" t="n">
        <v>32.3</v>
      </c>
      <c r="C325" s="3" t="n">
        <v>276</v>
      </c>
      <c r="D325" s="3" t="n">
        <v>1</v>
      </c>
      <c r="E325" s="2" t="n">
        <v>60</v>
      </c>
      <c r="F325" s="4" t="n">
        <v>2.53821845332793</v>
      </c>
      <c r="G325" s="2" t="n">
        <v>38.3</v>
      </c>
      <c r="H325" s="2" t="n">
        <v>54.4</v>
      </c>
      <c r="I325" s="1" t="n">
        <v>152.4</v>
      </c>
      <c r="J325" s="2" t="n">
        <v>381</v>
      </c>
      <c r="K325" s="3" t="n">
        <v>819</v>
      </c>
      <c r="L325" s="12" t="n">
        <v>0.0282248726262158</v>
      </c>
      <c r="M325" s="4" t="n">
        <v>57.3496</v>
      </c>
    </row>
    <row r="326" customFormat="false" ht="14.25" hidden="false" customHeight="false" outlineLevel="0" collapsed="false">
      <c r="B326" s="2" t="n">
        <v>32.3</v>
      </c>
      <c r="C326" s="3" t="n">
        <v>276</v>
      </c>
      <c r="D326" s="3" t="n">
        <v>1</v>
      </c>
      <c r="E326" s="2" t="n">
        <v>60</v>
      </c>
      <c r="F326" s="4" t="n">
        <v>2.53821845332793</v>
      </c>
      <c r="G326" s="2" t="n">
        <v>38.3</v>
      </c>
      <c r="H326" s="2" t="n">
        <v>54.4</v>
      </c>
      <c r="I326" s="1" t="n">
        <v>152.4</v>
      </c>
      <c r="J326" s="2" t="n">
        <v>381</v>
      </c>
      <c r="K326" s="3" t="n">
        <v>819</v>
      </c>
      <c r="L326" s="12" t="n">
        <v>0.0282248726262158</v>
      </c>
      <c r="M326" s="4" t="n">
        <v>63.1806</v>
      </c>
    </row>
    <row r="327" customFormat="false" ht="14.25" hidden="false" customHeight="false" outlineLevel="0" collapsed="false">
      <c r="B327" s="2" t="n">
        <v>32.3</v>
      </c>
      <c r="C327" s="3" t="n">
        <v>276</v>
      </c>
      <c r="D327" s="3" t="n">
        <v>1</v>
      </c>
      <c r="E327" s="2" t="n">
        <v>60</v>
      </c>
      <c r="F327" s="4" t="n">
        <v>2.53821845332793</v>
      </c>
      <c r="G327" s="2" t="n">
        <v>38.3</v>
      </c>
      <c r="H327" s="2" t="n">
        <v>54.4</v>
      </c>
      <c r="I327" s="1" t="n">
        <v>152.4</v>
      </c>
      <c r="J327" s="2" t="n">
        <v>381</v>
      </c>
      <c r="K327" s="3" t="n">
        <v>819</v>
      </c>
      <c r="L327" s="12" t="n">
        <v>0.0282248726262158</v>
      </c>
      <c r="M327" s="4" t="n">
        <v>67.1251</v>
      </c>
    </row>
    <row r="328" customFormat="false" ht="14.25" hidden="false" customHeight="false" outlineLevel="0" collapsed="false">
      <c r="A328" s="1" t="s">
        <v>101</v>
      </c>
      <c r="B328" s="2" t="n">
        <v>32.3</v>
      </c>
      <c r="C328" s="3" t="n">
        <v>276</v>
      </c>
      <c r="D328" s="3" t="n">
        <v>1</v>
      </c>
      <c r="E328" s="2" t="n">
        <v>60</v>
      </c>
      <c r="F328" s="4" t="n">
        <v>2.81086951894943</v>
      </c>
      <c r="G328" s="2" t="n">
        <v>38.3</v>
      </c>
      <c r="H328" s="2" t="n">
        <v>54.4</v>
      </c>
      <c r="I328" s="1" t="n">
        <v>152.4</v>
      </c>
      <c r="J328" s="2" t="n">
        <v>381</v>
      </c>
      <c r="K328" s="3" t="n">
        <v>819</v>
      </c>
      <c r="L328" s="12" t="n">
        <v>0.0282248726262158</v>
      </c>
      <c r="M328" s="4" t="n">
        <v>39.9595</v>
      </c>
    </row>
    <row r="329" customFormat="false" ht="14.25" hidden="false" customHeight="false" outlineLevel="0" collapsed="false">
      <c r="B329" s="2" t="n">
        <v>32.3</v>
      </c>
      <c r="C329" s="3" t="n">
        <v>276</v>
      </c>
      <c r="D329" s="3" t="n">
        <v>1</v>
      </c>
      <c r="E329" s="2" t="n">
        <v>60</v>
      </c>
      <c r="F329" s="4" t="n">
        <v>2.81086951894943</v>
      </c>
      <c r="G329" s="2" t="n">
        <v>38.3</v>
      </c>
      <c r="H329" s="2" t="n">
        <v>54.4</v>
      </c>
      <c r="I329" s="1" t="n">
        <v>152.4</v>
      </c>
      <c r="J329" s="2" t="n">
        <v>381</v>
      </c>
      <c r="K329" s="3" t="n">
        <v>819</v>
      </c>
      <c r="L329" s="12" t="n">
        <v>0.0282248726262158</v>
      </c>
      <c r="M329" s="4" t="n">
        <v>49.1862</v>
      </c>
    </row>
    <row r="330" customFormat="false" ht="14.25" hidden="false" customHeight="false" outlineLevel="0" collapsed="false">
      <c r="B330" s="2" t="n">
        <v>32.3</v>
      </c>
      <c r="C330" s="3" t="n">
        <v>276</v>
      </c>
      <c r="D330" s="3" t="n">
        <v>1</v>
      </c>
      <c r="E330" s="2" t="n">
        <v>60</v>
      </c>
      <c r="F330" s="4" t="n">
        <v>2.81086951894943</v>
      </c>
      <c r="G330" s="2" t="n">
        <v>38.3</v>
      </c>
      <c r="H330" s="2" t="n">
        <v>54.4</v>
      </c>
      <c r="I330" s="1" t="n">
        <v>152.4</v>
      </c>
      <c r="J330" s="2" t="n">
        <v>381</v>
      </c>
      <c r="K330" s="3" t="n">
        <v>819</v>
      </c>
      <c r="L330" s="12" t="n">
        <v>0.0282248726262158</v>
      </c>
      <c r="M330" s="4" t="n">
        <v>57.3496</v>
      </c>
    </row>
    <row r="331" customFormat="false" ht="14.25" hidden="false" customHeight="false" outlineLevel="0" collapsed="false">
      <c r="B331" s="2" t="n">
        <v>32.3</v>
      </c>
      <c r="C331" s="3" t="n">
        <v>276</v>
      </c>
      <c r="D331" s="3" t="n">
        <v>1</v>
      </c>
      <c r="E331" s="2" t="n">
        <v>60</v>
      </c>
      <c r="F331" s="4" t="n">
        <v>2.81086951894943</v>
      </c>
      <c r="G331" s="2" t="n">
        <v>38.3</v>
      </c>
      <c r="H331" s="2" t="n">
        <v>54.4</v>
      </c>
      <c r="I331" s="1" t="n">
        <v>152.4</v>
      </c>
      <c r="J331" s="2" t="n">
        <v>381</v>
      </c>
      <c r="K331" s="3" t="n">
        <v>819</v>
      </c>
      <c r="L331" s="12" t="n">
        <v>0.0282248726262158</v>
      </c>
      <c r="M331" s="4" t="n">
        <v>63.1806</v>
      </c>
    </row>
    <row r="332" customFormat="false" ht="14.25" hidden="false" customHeight="false" outlineLevel="0" collapsed="false">
      <c r="B332" s="2" t="n">
        <v>32.3</v>
      </c>
      <c r="C332" s="3" t="n">
        <v>276</v>
      </c>
      <c r="D332" s="3" t="n">
        <v>1</v>
      </c>
      <c r="E332" s="2" t="n">
        <v>60</v>
      </c>
      <c r="F332" s="4" t="n">
        <v>2.81086951894943</v>
      </c>
      <c r="G332" s="2" t="n">
        <v>38.3</v>
      </c>
      <c r="H332" s="2" t="n">
        <v>54.4</v>
      </c>
      <c r="I332" s="1" t="n">
        <v>152.4</v>
      </c>
      <c r="J332" s="2" t="n">
        <v>381</v>
      </c>
      <c r="K332" s="3" t="n">
        <v>819</v>
      </c>
      <c r="L332" s="12" t="n">
        <v>0.0282248726262158</v>
      </c>
      <c r="M332" s="4" t="n">
        <v>67.1251</v>
      </c>
    </row>
    <row r="333" customFormat="false" ht="14.25" hidden="false" customHeight="false" outlineLevel="0" collapsed="false">
      <c r="A333" s="1" t="s">
        <v>102</v>
      </c>
      <c r="B333" s="2" t="n">
        <v>28.7</v>
      </c>
      <c r="C333" s="3" t="n">
        <v>276</v>
      </c>
      <c r="D333" s="3" t="n">
        <v>2</v>
      </c>
      <c r="E333" s="2" t="n">
        <v>50.6</v>
      </c>
      <c r="F333" s="4" t="n">
        <v>2.57657861790804</v>
      </c>
      <c r="G333" s="2" t="n">
        <v>38</v>
      </c>
      <c r="H333" s="2" t="n">
        <v>52.3</v>
      </c>
      <c r="I333" s="1" t="n">
        <v>152.4</v>
      </c>
      <c r="J333" s="2" t="n">
        <v>584.2</v>
      </c>
      <c r="K333" s="3" t="n">
        <v>1290</v>
      </c>
      <c r="L333" s="12" t="n">
        <v>0.0462418297139244</v>
      </c>
      <c r="M333" s="4" t="n">
        <v>110.208</v>
      </c>
    </row>
    <row r="334" customFormat="false" ht="14.25" hidden="false" customHeight="false" outlineLevel="0" collapsed="false">
      <c r="B334" s="2" t="n">
        <v>28.7</v>
      </c>
      <c r="C334" s="3" t="n">
        <v>276</v>
      </c>
      <c r="D334" s="3" t="n">
        <v>2</v>
      </c>
      <c r="E334" s="2" t="n">
        <v>50.6</v>
      </c>
      <c r="F334" s="4" t="n">
        <v>2.57657861790804</v>
      </c>
      <c r="G334" s="2" t="n">
        <v>38</v>
      </c>
      <c r="H334" s="2" t="n">
        <v>52.3</v>
      </c>
      <c r="I334" s="1" t="n">
        <v>152.4</v>
      </c>
      <c r="J334" s="2" t="n">
        <v>584.2</v>
      </c>
      <c r="K334" s="3" t="n">
        <v>1290</v>
      </c>
      <c r="L334" s="12" t="n">
        <v>0.0462418297139244</v>
      </c>
      <c r="M334" s="4" t="n">
        <v>132.258</v>
      </c>
    </row>
    <row r="335" customFormat="false" ht="14.25" hidden="false" customHeight="false" outlineLevel="0" collapsed="false">
      <c r="B335" s="2" t="n">
        <v>28.7</v>
      </c>
      <c r="C335" s="3" t="n">
        <v>276</v>
      </c>
      <c r="D335" s="3" t="n">
        <v>2</v>
      </c>
      <c r="E335" s="2" t="n">
        <v>50.6</v>
      </c>
      <c r="F335" s="4" t="n">
        <v>2.57657861790804</v>
      </c>
      <c r="G335" s="2" t="n">
        <v>38</v>
      </c>
      <c r="H335" s="2" t="n">
        <v>52.3</v>
      </c>
      <c r="I335" s="1" t="n">
        <v>152.4</v>
      </c>
      <c r="J335" s="2" t="n">
        <v>584.2</v>
      </c>
      <c r="K335" s="3" t="n">
        <v>1290</v>
      </c>
      <c r="L335" s="12" t="n">
        <v>0.0462418297139244</v>
      </c>
      <c r="M335" s="4" t="n">
        <v>149.268</v>
      </c>
    </row>
    <row r="336" customFormat="false" ht="14.25" hidden="false" customHeight="false" outlineLevel="0" collapsed="false">
      <c r="B336" s="2" t="n">
        <v>28.7</v>
      </c>
      <c r="C336" s="3" t="n">
        <v>276</v>
      </c>
      <c r="D336" s="3" t="n">
        <v>2</v>
      </c>
      <c r="E336" s="2" t="n">
        <v>50.6</v>
      </c>
      <c r="F336" s="4" t="n">
        <v>2.57657861790804</v>
      </c>
      <c r="G336" s="2" t="n">
        <v>38</v>
      </c>
      <c r="H336" s="2" t="n">
        <v>52.3</v>
      </c>
      <c r="I336" s="1" t="n">
        <v>152.4</v>
      </c>
      <c r="J336" s="2" t="n">
        <v>584.2</v>
      </c>
      <c r="K336" s="3" t="n">
        <v>1290</v>
      </c>
      <c r="L336" s="12" t="n">
        <v>0.0462418297139244</v>
      </c>
      <c r="M336" s="4" t="n">
        <v>168.882</v>
      </c>
    </row>
    <row r="337" customFormat="false" ht="14.25" hidden="false" customHeight="false" outlineLevel="0" collapsed="false">
      <c r="A337" s="1" t="s">
        <v>103</v>
      </c>
      <c r="B337" s="2" t="n">
        <v>28.7</v>
      </c>
      <c r="C337" s="3" t="n">
        <v>276</v>
      </c>
      <c r="D337" s="3" t="n">
        <v>2</v>
      </c>
      <c r="E337" s="2" t="n">
        <v>50.6</v>
      </c>
      <c r="F337" s="4" t="n">
        <v>2.57657861790804</v>
      </c>
      <c r="G337" s="2" t="n">
        <v>38</v>
      </c>
      <c r="H337" s="2" t="n">
        <v>52.3</v>
      </c>
      <c r="I337" s="1" t="n">
        <v>152.4</v>
      </c>
      <c r="J337" s="2" t="n">
        <v>584.2</v>
      </c>
      <c r="K337" s="3" t="n">
        <v>1290</v>
      </c>
      <c r="L337" s="12" t="n">
        <v>0.0462418297139244</v>
      </c>
      <c r="M337" s="4" t="n">
        <v>132.258</v>
      </c>
    </row>
    <row r="338" customFormat="false" ht="14.25" hidden="false" customHeight="false" outlineLevel="0" collapsed="false">
      <c r="B338" s="2" t="n">
        <v>28.7</v>
      </c>
      <c r="C338" s="3" t="n">
        <v>276</v>
      </c>
      <c r="D338" s="3" t="n">
        <v>2</v>
      </c>
      <c r="E338" s="2" t="n">
        <v>50.6</v>
      </c>
      <c r="F338" s="4" t="n">
        <v>2.57657861790804</v>
      </c>
      <c r="G338" s="2" t="n">
        <v>38</v>
      </c>
      <c r="H338" s="2" t="n">
        <v>52.3</v>
      </c>
      <c r="I338" s="1" t="n">
        <v>152.4</v>
      </c>
      <c r="J338" s="2" t="n">
        <v>584.2</v>
      </c>
      <c r="K338" s="3" t="n">
        <v>1290</v>
      </c>
      <c r="L338" s="12" t="n">
        <v>0.0462418297139244</v>
      </c>
      <c r="M338" s="4" t="n">
        <v>149.268</v>
      </c>
    </row>
    <row r="339" customFormat="false" ht="14.25" hidden="false" customHeight="false" outlineLevel="0" collapsed="false">
      <c r="B339" s="2" t="n">
        <v>28.7</v>
      </c>
      <c r="C339" s="3" t="n">
        <v>276</v>
      </c>
      <c r="D339" s="3" t="n">
        <v>2</v>
      </c>
      <c r="E339" s="2" t="n">
        <v>50.6</v>
      </c>
      <c r="F339" s="4" t="n">
        <v>2.57657861790804</v>
      </c>
      <c r="G339" s="2" t="n">
        <v>38</v>
      </c>
      <c r="H339" s="2" t="n">
        <v>52.3</v>
      </c>
      <c r="I339" s="1" t="n">
        <v>152.4</v>
      </c>
      <c r="J339" s="2" t="n">
        <v>584.2</v>
      </c>
      <c r="K339" s="3" t="n">
        <v>1290</v>
      </c>
      <c r="L339" s="12" t="n">
        <v>0.0462418297139244</v>
      </c>
      <c r="M339" s="4" t="n">
        <v>168.882</v>
      </c>
    </row>
    <row r="340" customFormat="false" ht="14.25" hidden="false" customHeight="false" outlineLevel="0" collapsed="false">
      <c r="A340" s="1" t="s">
        <v>104</v>
      </c>
      <c r="B340" s="2" t="n">
        <v>35.8</v>
      </c>
      <c r="C340" s="3" t="n">
        <v>276</v>
      </c>
      <c r="D340" s="3" t="n">
        <v>2</v>
      </c>
      <c r="E340" s="2" t="n">
        <v>36.4</v>
      </c>
      <c r="F340" s="4" t="n">
        <v>2.54783553354044</v>
      </c>
      <c r="G340" s="2" t="n">
        <v>38</v>
      </c>
      <c r="H340" s="2" t="n">
        <v>55.9</v>
      </c>
      <c r="I340" s="1" t="n">
        <v>152.4</v>
      </c>
      <c r="J340" s="2" t="n">
        <v>584.2</v>
      </c>
      <c r="K340" s="3" t="n">
        <v>2012</v>
      </c>
      <c r="L340" s="12" t="n">
        <v>0.0674781484157056</v>
      </c>
      <c r="M340" s="4" t="n">
        <v>167.034</v>
      </c>
    </row>
    <row r="341" customFormat="false" ht="14.25" hidden="false" customHeight="false" outlineLevel="0" collapsed="false">
      <c r="A341" s="1" t="s">
        <v>105</v>
      </c>
      <c r="B341" s="2" t="n">
        <v>35.8</v>
      </c>
      <c r="C341" s="3" t="n">
        <v>276</v>
      </c>
      <c r="D341" s="3" t="n">
        <v>2</v>
      </c>
      <c r="E341" s="2" t="n">
        <v>36.4</v>
      </c>
      <c r="F341" s="4" t="n">
        <v>2.75637342683892</v>
      </c>
      <c r="G341" s="2" t="n">
        <v>38</v>
      </c>
      <c r="H341" s="2" t="n">
        <v>55.9</v>
      </c>
      <c r="I341" s="1" t="n">
        <v>152.4</v>
      </c>
      <c r="J341" s="2" t="n">
        <v>584.2</v>
      </c>
      <c r="K341" s="3" t="n">
        <v>2012</v>
      </c>
      <c r="L341" s="12" t="n">
        <v>0.0674781484157056</v>
      </c>
      <c r="M341" s="4" t="n">
        <v>130.788</v>
      </c>
    </row>
    <row r="342" customFormat="false" ht="14.25" hidden="false" customHeight="false" outlineLevel="0" collapsed="false">
      <c r="B342" s="2" t="n">
        <v>35.8</v>
      </c>
      <c r="C342" s="3" t="n">
        <v>276</v>
      </c>
      <c r="D342" s="3" t="n">
        <v>2</v>
      </c>
      <c r="E342" s="2" t="n">
        <v>36.4</v>
      </c>
      <c r="F342" s="4" t="n">
        <v>2.75637342683892</v>
      </c>
      <c r="G342" s="2" t="n">
        <v>38</v>
      </c>
      <c r="H342" s="2" t="n">
        <v>55.9</v>
      </c>
      <c r="I342" s="1" t="n">
        <v>152.4</v>
      </c>
      <c r="J342" s="2" t="n">
        <v>584.2</v>
      </c>
      <c r="K342" s="3" t="n">
        <v>2012</v>
      </c>
      <c r="L342" s="12" t="n">
        <v>0.0674781484157056</v>
      </c>
      <c r="M342" s="4" t="n">
        <v>167.034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2"/>
  <sheetViews>
    <sheetView showFormulas="false" showGridLines="true" showRowColHeaders="true" showZeros="true" rightToLeft="false" tabSelected="false" showOutlineSymbols="true" defaultGridColor="true" view="normal" topLeftCell="A330" colorId="64" zoomScale="120" zoomScaleNormal="120" zoomScalePageLayoutView="100" workbookViewId="0">
      <selection pane="topLeft" activeCell="F9" activeCellId="0" sqref="F9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32.89"/>
    <col collapsed="false" customWidth="true" hidden="false" outlineLevel="0" max="2" min="2" style="2" width="24.78"/>
    <col collapsed="false" customWidth="true" hidden="false" outlineLevel="0" max="3" min="3" style="3" width="24.78"/>
    <col collapsed="false" customWidth="true" hidden="false" outlineLevel="0" max="4" min="4" style="4" width="36.78"/>
    <col collapsed="false" customWidth="true" hidden="false" outlineLevel="0" max="5" min="5" style="2" width="16.45"/>
    <col collapsed="false" customWidth="true" hidden="false" outlineLevel="0" max="6" min="6" style="2" width="44.55"/>
    <col collapsed="false" customWidth="true" hidden="false" outlineLevel="0" max="7" min="7" style="3" width="29.78"/>
    <col collapsed="false" customWidth="true" hidden="false" outlineLevel="0" max="8" min="8" style="12" width="32.67"/>
    <col collapsed="false" customWidth="true" hidden="false" outlineLevel="0" max="9" min="9" style="3" width="50.78"/>
    <col collapsed="false" customWidth="true" hidden="false" outlineLevel="0" max="10" min="10" style="4" width="16.78"/>
  </cols>
  <sheetData>
    <row r="1" customFormat="false" ht="16.4" hidden="false" customHeight="false" outlineLevel="0" collapsed="false">
      <c r="A1" s="1" t="s">
        <v>8</v>
      </c>
      <c r="B1" s="2" t="s">
        <v>11</v>
      </c>
      <c r="C1" s="3" t="s">
        <v>12</v>
      </c>
      <c r="D1" s="4" t="s">
        <v>15</v>
      </c>
      <c r="E1" s="2" t="s">
        <v>16</v>
      </c>
      <c r="F1" s="2" t="s">
        <v>17</v>
      </c>
      <c r="G1" s="19" t="s">
        <v>121</v>
      </c>
      <c r="H1" s="12" t="s">
        <v>145</v>
      </c>
      <c r="I1" s="3" t="s">
        <v>146</v>
      </c>
      <c r="J1" s="4" t="s">
        <v>147</v>
      </c>
    </row>
    <row r="2" customFormat="false" ht="14.25" hidden="false" customHeight="false" outlineLevel="0" collapsed="false">
      <c r="A2" s="1" t="s">
        <v>22</v>
      </c>
      <c r="B2" s="2" t="n">
        <v>20</v>
      </c>
      <c r="C2" s="3" t="n">
        <v>500</v>
      </c>
      <c r="D2" s="4" t="n">
        <v>4.12034052390144</v>
      </c>
      <c r="E2" s="2" t="n">
        <v>25</v>
      </c>
      <c r="F2" s="2" t="n">
        <v>39</v>
      </c>
      <c r="G2" s="3" t="n">
        <v>628</v>
      </c>
      <c r="H2" s="12" t="n">
        <v>0.0212996879663546</v>
      </c>
      <c r="I2" s="3" t="n">
        <v>120.527745920491</v>
      </c>
      <c r="J2" s="4" t="n">
        <v>0.16</v>
      </c>
    </row>
    <row r="3" customFormat="false" ht="14.25" hidden="false" customHeight="false" outlineLevel="0" collapsed="false">
      <c r="B3" s="2" t="n">
        <v>20</v>
      </c>
      <c r="C3" s="3" t="n">
        <v>500</v>
      </c>
      <c r="D3" s="4" t="n">
        <v>4.12034052390144</v>
      </c>
      <c r="E3" s="2" t="n">
        <v>25</v>
      </c>
      <c r="F3" s="2" t="n">
        <v>39</v>
      </c>
      <c r="G3" s="3" t="n">
        <v>628</v>
      </c>
      <c r="H3" s="12" t="n">
        <v>0.0212996879663546</v>
      </c>
      <c r="I3" s="3" t="n">
        <v>223.847982619891</v>
      </c>
      <c r="J3" s="4" t="n">
        <v>0.23</v>
      </c>
    </row>
    <row r="4" customFormat="false" ht="14.25" hidden="false" customHeight="false" outlineLevel="0" collapsed="false">
      <c r="B4" s="2" t="n">
        <v>20</v>
      </c>
      <c r="C4" s="3" t="n">
        <v>500</v>
      </c>
      <c r="D4" s="4" t="n">
        <v>4.12034052390144</v>
      </c>
      <c r="E4" s="2" t="n">
        <v>25</v>
      </c>
      <c r="F4" s="2" t="n">
        <v>39</v>
      </c>
      <c r="G4" s="3" t="n">
        <v>628</v>
      </c>
      <c r="H4" s="12" t="n">
        <v>0.0212996879663546</v>
      </c>
      <c r="I4" s="3" t="n">
        <v>242.052198219915</v>
      </c>
      <c r="J4" s="4" t="n">
        <v>0.24</v>
      </c>
    </row>
    <row r="5" customFormat="false" ht="14.25" hidden="false" customHeight="false" outlineLevel="0" collapsed="false">
      <c r="B5" s="2" t="n">
        <v>20</v>
      </c>
      <c r="C5" s="3" t="n">
        <v>500</v>
      </c>
      <c r="D5" s="4" t="n">
        <v>4.12034052390144</v>
      </c>
      <c r="E5" s="2" t="n">
        <v>25</v>
      </c>
      <c r="F5" s="2" t="n">
        <v>39</v>
      </c>
      <c r="G5" s="3" t="n">
        <v>628</v>
      </c>
      <c r="H5" s="12" t="n">
        <v>0.0212996879663546</v>
      </c>
      <c r="I5" s="3" t="n">
        <v>325.147190457684</v>
      </c>
      <c r="J5" s="4" t="n">
        <v>0.27</v>
      </c>
    </row>
    <row r="6" customFormat="false" ht="14.25" hidden="false" customHeight="false" outlineLevel="0" collapsed="false">
      <c r="B6" s="2" t="n">
        <v>20</v>
      </c>
      <c r="C6" s="3" t="n">
        <v>500</v>
      </c>
      <c r="D6" s="4" t="n">
        <v>4.12034052390144</v>
      </c>
      <c r="E6" s="2" t="n">
        <v>25</v>
      </c>
      <c r="F6" s="2" t="n">
        <v>39</v>
      </c>
      <c r="G6" s="3" t="n">
        <v>628</v>
      </c>
      <c r="H6" s="12" t="n">
        <v>0.0212996879663546</v>
      </c>
      <c r="I6" s="3" t="n">
        <v>447.784456981773</v>
      </c>
      <c r="J6" s="4" t="n">
        <v>0.35</v>
      </c>
    </row>
    <row r="7" customFormat="false" ht="14.25" hidden="false" customHeight="false" outlineLevel="0" collapsed="false">
      <c r="B7" s="2" t="n">
        <v>20</v>
      </c>
      <c r="C7" s="3" t="n">
        <v>500</v>
      </c>
      <c r="D7" s="4" t="n">
        <v>4.12034052390144</v>
      </c>
      <c r="E7" s="2" t="n">
        <v>25</v>
      </c>
      <c r="F7" s="2" t="n">
        <v>39</v>
      </c>
      <c r="G7" s="3" t="n">
        <v>628</v>
      </c>
      <c r="H7" s="12" t="n">
        <v>0.0212996879663546</v>
      </c>
      <c r="I7" s="3" t="n">
        <v>500</v>
      </c>
      <c r="J7" s="4" t="n">
        <v>0.4</v>
      </c>
    </row>
    <row r="8" customFormat="false" ht="14.25" hidden="false" customHeight="false" outlineLevel="0" collapsed="false">
      <c r="A8" s="1" t="s">
        <v>23</v>
      </c>
      <c r="B8" s="2" t="n">
        <v>10</v>
      </c>
      <c r="C8" s="3" t="n">
        <v>500</v>
      </c>
      <c r="D8" s="4" t="n">
        <v>4.13112676332901</v>
      </c>
      <c r="E8" s="2" t="n">
        <v>25</v>
      </c>
      <c r="F8" s="2" t="n">
        <v>53</v>
      </c>
      <c r="G8" s="3" t="n">
        <v>628</v>
      </c>
      <c r="H8" s="12" t="n">
        <v>0.0144607165883762</v>
      </c>
      <c r="I8" s="3" t="n">
        <v>224.984962100529</v>
      </c>
      <c r="J8" s="4" t="n">
        <v>0.16</v>
      </c>
    </row>
    <row r="9" customFormat="false" ht="14.25" hidden="false" customHeight="false" outlineLevel="0" collapsed="false">
      <c r="B9" s="2" t="n">
        <v>10</v>
      </c>
      <c r="C9" s="3" t="n">
        <v>500</v>
      </c>
      <c r="D9" s="4" t="n">
        <v>4.13112676332901</v>
      </c>
      <c r="E9" s="2" t="n">
        <v>25</v>
      </c>
      <c r="F9" s="2" t="n">
        <v>53</v>
      </c>
      <c r="G9" s="3" t="n">
        <v>628</v>
      </c>
      <c r="H9" s="12" t="n">
        <v>0.0144607165883762</v>
      </c>
      <c r="I9" s="3" t="n">
        <v>301.653838529852</v>
      </c>
      <c r="J9" s="4" t="n">
        <v>0.18</v>
      </c>
    </row>
    <row r="10" customFormat="false" ht="14.25" hidden="false" customHeight="false" outlineLevel="0" collapsed="false">
      <c r="B10" s="2" t="n">
        <v>10</v>
      </c>
      <c r="C10" s="3" t="n">
        <v>500</v>
      </c>
      <c r="D10" s="4" t="n">
        <v>4.13112676332901</v>
      </c>
      <c r="E10" s="2" t="n">
        <v>25</v>
      </c>
      <c r="F10" s="2" t="n">
        <v>53</v>
      </c>
      <c r="G10" s="3" t="n">
        <v>628</v>
      </c>
      <c r="H10" s="12" t="n">
        <v>0.0144607165883762</v>
      </c>
      <c r="I10" s="3" t="n">
        <v>497.36822294177</v>
      </c>
      <c r="J10" s="4" t="n">
        <v>0.26</v>
      </c>
    </row>
    <row r="11" customFormat="false" ht="14.25" hidden="false" customHeight="false" outlineLevel="0" collapsed="false">
      <c r="A11" s="1" t="s">
        <v>24</v>
      </c>
      <c r="B11" s="2" t="n">
        <v>10</v>
      </c>
      <c r="C11" s="3" t="n">
        <v>628</v>
      </c>
      <c r="D11" s="4" t="n">
        <v>3.262</v>
      </c>
      <c r="E11" s="2" t="n">
        <v>25</v>
      </c>
      <c r="F11" s="2" t="n">
        <v>36</v>
      </c>
      <c r="G11" s="3" t="n">
        <v>314</v>
      </c>
      <c r="H11" s="12" t="n">
        <v>0.0182558139534884</v>
      </c>
      <c r="I11" s="3" t="n">
        <v>178.115884475521</v>
      </c>
      <c r="J11" s="4" t="n">
        <v>0.16</v>
      </c>
    </row>
    <row r="12" customFormat="false" ht="14.25" hidden="false" customHeight="false" outlineLevel="0" collapsed="false">
      <c r="B12" s="2" t="n">
        <v>10</v>
      </c>
      <c r="C12" s="3" t="n">
        <v>628</v>
      </c>
      <c r="D12" s="4" t="n">
        <v>3.262</v>
      </c>
      <c r="E12" s="2" t="n">
        <v>25</v>
      </c>
      <c r="F12" s="2" t="n">
        <v>36</v>
      </c>
      <c r="G12" s="3" t="n">
        <v>314</v>
      </c>
      <c r="H12" s="12" t="n">
        <v>0.0182558139534884</v>
      </c>
      <c r="I12" s="3" t="n">
        <v>242.197039334368</v>
      </c>
      <c r="J12" s="4" t="n">
        <v>0.2</v>
      </c>
    </row>
    <row r="13" customFormat="false" ht="14.25" hidden="false" customHeight="false" outlineLevel="0" collapsed="false">
      <c r="B13" s="2" t="n">
        <v>10</v>
      </c>
      <c r="C13" s="3" t="n">
        <v>628</v>
      </c>
      <c r="D13" s="4" t="n">
        <v>3.262</v>
      </c>
      <c r="E13" s="2" t="n">
        <v>25</v>
      </c>
      <c r="F13" s="2" t="n">
        <v>36</v>
      </c>
      <c r="G13" s="3" t="n">
        <v>314</v>
      </c>
      <c r="H13" s="12" t="n">
        <v>0.0182558139534884</v>
      </c>
      <c r="I13" s="3" t="n">
        <v>308.133730145237</v>
      </c>
      <c r="J13" s="4" t="n">
        <v>0.2</v>
      </c>
    </row>
    <row r="14" customFormat="false" ht="14.25" hidden="false" customHeight="false" outlineLevel="0" collapsed="false">
      <c r="B14" s="2" t="n">
        <v>10</v>
      </c>
      <c r="C14" s="3" t="n">
        <v>628</v>
      </c>
      <c r="D14" s="4" t="n">
        <v>3.262</v>
      </c>
      <c r="E14" s="2" t="n">
        <v>25</v>
      </c>
      <c r="F14" s="2" t="n">
        <v>36</v>
      </c>
      <c r="G14" s="3" t="n">
        <v>314</v>
      </c>
      <c r="H14" s="12" t="n">
        <v>0.0182558139534884</v>
      </c>
      <c r="I14" s="3" t="n">
        <v>368.31936401396</v>
      </c>
      <c r="J14" s="4" t="n">
        <v>0.24</v>
      </c>
    </row>
    <row r="15" customFormat="false" ht="14.25" hidden="false" customHeight="false" outlineLevel="0" collapsed="false">
      <c r="B15" s="2" t="n">
        <v>10</v>
      </c>
      <c r="C15" s="3" t="n">
        <v>628</v>
      </c>
      <c r="D15" s="4" t="n">
        <v>3.262</v>
      </c>
      <c r="E15" s="2" t="n">
        <v>25</v>
      </c>
      <c r="F15" s="2" t="n">
        <v>36</v>
      </c>
      <c r="G15" s="3" t="n">
        <v>314</v>
      </c>
      <c r="H15" s="12" t="n">
        <v>0.0182558139534884</v>
      </c>
      <c r="I15" s="3" t="n">
        <v>401.01024685519</v>
      </c>
      <c r="J15" s="4" t="n">
        <v>0.3</v>
      </c>
    </row>
    <row r="16" customFormat="false" ht="14.25" hidden="false" customHeight="false" outlineLevel="0" collapsed="false">
      <c r="B16" s="2" t="n">
        <v>10</v>
      </c>
      <c r="C16" s="3" t="n">
        <v>628</v>
      </c>
      <c r="D16" s="4" t="n">
        <v>3.262</v>
      </c>
      <c r="E16" s="2" t="n">
        <v>25</v>
      </c>
      <c r="F16" s="2" t="n">
        <v>36</v>
      </c>
      <c r="G16" s="3" t="n">
        <v>314</v>
      </c>
      <c r="H16" s="12" t="n">
        <v>0.0182558139534884</v>
      </c>
      <c r="I16" s="3" t="n">
        <v>498.057729856692</v>
      </c>
      <c r="J16" s="4" t="n">
        <v>0.32</v>
      </c>
    </row>
    <row r="17" customFormat="false" ht="14.25" hidden="false" customHeight="false" outlineLevel="0" collapsed="false">
      <c r="B17" s="2" t="n">
        <v>10</v>
      </c>
      <c r="C17" s="3" t="n">
        <v>628</v>
      </c>
      <c r="D17" s="4" t="n">
        <v>3.262</v>
      </c>
      <c r="E17" s="2" t="n">
        <v>25</v>
      </c>
      <c r="F17" s="2" t="n">
        <v>36</v>
      </c>
      <c r="G17" s="3" t="n">
        <v>314</v>
      </c>
      <c r="H17" s="12" t="n">
        <v>0.0182558139534884</v>
      </c>
      <c r="I17" s="3" t="n">
        <v>502.761883538398</v>
      </c>
      <c r="J17" s="4" t="n">
        <v>0.38</v>
      </c>
    </row>
    <row r="18" customFormat="false" ht="14.25" hidden="false" customHeight="false" outlineLevel="0" collapsed="false">
      <c r="B18" s="2" t="n">
        <v>10</v>
      </c>
      <c r="C18" s="3" t="n">
        <v>628</v>
      </c>
      <c r="D18" s="4" t="n">
        <v>3.262</v>
      </c>
      <c r="E18" s="2" t="n">
        <v>25</v>
      </c>
      <c r="F18" s="2" t="n">
        <v>36</v>
      </c>
      <c r="G18" s="3" t="n">
        <v>314</v>
      </c>
      <c r="H18" s="12" t="n">
        <v>0.0182558139534884</v>
      </c>
      <c r="I18" s="3" t="n">
        <v>538.673446648283</v>
      </c>
      <c r="J18" s="4" t="n">
        <v>0.42</v>
      </c>
    </row>
    <row r="19" customFormat="false" ht="14.25" hidden="false" customHeight="false" outlineLevel="0" collapsed="false">
      <c r="B19" s="2" t="n">
        <v>10</v>
      </c>
      <c r="C19" s="3" t="n">
        <v>628</v>
      </c>
      <c r="D19" s="4" t="n">
        <v>3.262</v>
      </c>
      <c r="E19" s="2" t="n">
        <v>25</v>
      </c>
      <c r="F19" s="2" t="n">
        <v>36</v>
      </c>
      <c r="G19" s="3" t="n">
        <v>314</v>
      </c>
      <c r="H19" s="12" t="n">
        <v>0.0182558139534884</v>
      </c>
      <c r="I19" s="3" t="n">
        <v>628</v>
      </c>
      <c r="J19" s="4" t="n">
        <v>0.44</v>
      </c>
    </row>
    <row r="20" customFormat="false" ht="14.25" hidden="false" customHeight="false" outlineLevel="0" collapsed="false">
      <c r="B20" s="2" t="n">
        <v>10</v>
      </c>
      <c r="C20" s="3" t="n">
        <v>628</v>
      </c>
      <c r="D20" s="4" t="n">
        <v>3.262</v>
      </c>
      <c r="E20" s="2" t="n">
        <v>25</v>
      </c>
      <c r="F20" s="2" t="n">
        <v>36</v>
      </c>
      <c r="G20" s="3" t="n">
        <v>314</v>
      </c>
      <c r="H20" s="12" t="n">
        <v>0.0182558139534884</v>
      </c>
      <c r="I20" s="3" t="n">
        <v>628</v>
      </c>
      <c r="J20" s="4" t="n">
        <v>0.5</v>
      </c>
    </row>
    <row r="21" customFormat="false" ht="14.25" hidden="false" customHeight="false" outlineLevel="0" collapsed="false">
      <c r="A21" s="1" t="s">
        <v>25</v>
      </c>
      <c r="B21" s="2" t="n">
        <v>10</v>
      </c>
      <c r="C21" s="3" t="n">
        <v>628</v>
      </c>
      <c r="D21" s="4" t="n">
        <v>3.514</v>
      </c>
      <c r="E21" s="2" t="n">
        <v>25</v>
      </c>
      <c r="F21" s="2" t="n">
        <v>36</v>
      </c>
      <c r="G21" s="3" t="n">
        <v>314</v>
      </c>
      <c r="H21" s="12" t="n">
        <v>0.0182558139534884</v>
      </c>
      <c r="I21" s="3" t="n">
        <v>249.685784085099</v>
      </c>
      <c r="J21" s="4" t="n">
        <v>0.24</v>
      </c>
    </row>
    <row r="22" customFormat="false" ht="14.25" hidden="false" customHeight="false" outlineLevel="0" collapsed="false">
      <c r="B22" s="2" t="n">
        <v>10</v>
      </c>
      <c r="C22" s="3" t="n">
        <v>628</v>
      </c>
      <c r="D22" s="4" t="n">
        <v>3.514</v>
      </c>
      <c r="E22" s="2" t="n">
        <v>25</v>
      </c>
      <c r="F22" s="2" t="n">
        <v>36</v>
      </c>
      <c r="G22" s="3" t="n">
        <v>314</v>
      </c>
      <c r="H22" s="12" t="n">
        <v>0.0182558139534884</v>
      </c>
      <c r="I22" s="3" t="n">
        <v>336.5737959867</v>
      </c>
      <c r="J22" s="4" t="n">
        <v>0.3</v>
      </c>
    </row>
    <row r="23" customFormat="false" ht="14.25" hidden="false" customHeight="false" outlineLevel="0" collapsed="false">
      <c r="B23" s="2" t="n">
        <v>10</v>
      </c>
      <c r="C23" s="3" t="n">
        <v>628</v>
      </c>
      <c r="D23" s="4" t="n">
        <v>3.514</v>
      </c>
      <c r="E23" s="2" t="n">
        <v>25</v>
      </c>
      <c r="F23" s="2" t="n">
        <v>36</v>
      </c>
      <c r="G23" s="3" t="n">
        <v>314</v>
      </c>
      <c r="H23" s="12" t="n">
        <v>0.0182558139534884</v>
      </c>
      <c r="I23" s="3" t="n">
        <v>361.879363377413</v>
      </c>
      <c r="J23" s="4" t="n">
        <v>0.3</v>
      </c>
    </row>
    <row r="24" customFormat="false" ht="14.25" hidden="false" customHeight="false" outlineLevel="0" collapsed="false">
      <c r="B24" s="2" t="n">
        <v>10</v>
      </c>
      <c r="C24" s="3" t="n">
        <v>628</v>
      </c>
      <c r="D24" s="4" t="n">
        <v>3.514</v>
      </c>
      <c r="E24" s="2" t="n">
        <v>25</v>
      </c>
      <c r="F24" s="2" t="n">
        <v>36</v>
      </c>
      <c r="G24" s="3" t="n">
        <v>314</v>
      </c>
      <c r="H24" s="12" t="n">
        <v>0.0182558139534884</v>
      </c>
      <c r="I24" s="3" t="n">
        <v>392.910071207614</v>
      </c>
      <c r="J24" s="4" t="n">
        <v>0.3</v>
      </c>
    </row>
    <row r="25" customFormat="false" ht="14.25" hidden="false" customHeight="false" outlineLevel="0" collapsed="false">
      <c r="B25" s="2" t="n">
        <v>10</v>
      </c>
      <c r="C25" s="3" t="n">
        <v>628</v>
      </c>
      <c r="D25" s="4" t="n">
        <v>3.514</v>
      </c>
      <c r="E25" s="2" t="n">
        <v>25</v>
      </c>
      <c r="F25" s="2" t="n">
        <v>36</v>
      </c>
      <c r="G25" s="3" t="n">
        <v>314</v>
      </c>
      <c r="H25" s="12" t="n">
        <v>0.0182558139534884</v>
      </c>
      <c r="I25" s="3" t="n">
        <v>424.164281417311</v>
      </c>
      <c r="J25" s="4" t="n">
        <v>0.38</v>
      </c>
    </row>
    <row r="26" customFormat="false" ht="14.25" hidden="false" customHeight="false" outlineLevel="0" collapsed="false">
      <c r="B26" s="2" t="n">
        <v>10</v>
      </c>
      <c r="C26" s="3" t="n">
        <v>628</v>
      </c>
      <c r="D26" s="4" t="n">
        <v>3.514</v>
      </c>
      <c r="E26" s="2" t="n">
        <v>25</v>
      </c>
      <c r="F26" s="2" t="n">
        <v>36</v>
      </c>
      <c r="G26" s="3" t="n">
        <v>314</v>
      </c>
      <c r="H26" s="12" t="n">
        <v>0.0182558139534884</v>
      </c>
      <c r="I26" s="3" t="n">
        <v>491.137589009518</v>
      </c>
      <c r="J26" s="4" t="n">
        <v>0.44</v>
      </c>
    </row>
    <row r="27" customFormat="false" ht="14.25" hidden="false" customHeight="false" outlineLevel="0" collapsed="false">
      <c r="A27" s="1" t="s">
        <v>26</v>
      </c>
      <c r="B27" s="2" t="n">
        <v>16</v>
      </c>
      <c r="C27" s="3" t="n">
        <v>571</v>
      </c>
      <c r="D27" s="4" t="n">
        <v>4.2588</v>
      </c>
      <c r="E27" s="2" t="n">
        <v>33</v>
      </c>
      <c r="F27" s="2" t="n">
        <v>59</v>
      </c>
      <c r="G27" s="3" t="n">
        <v>800</v>
      </c>
      <c r="H27" s="12" t="n">
        <v>0.0408</v>
      </c>
      <c r="I27" s="3" t="n">
        <v>63.4584540622213</v>
      </c>
      <c r="J27" s="4" t="n">
        <v>0.18</v>
      </c>
    </row>
    <row r="28" customFormat="false" ht="14.25" hidden="false" customHeight="false" outlineLevel="0" collapsed="false">
      <c r="B28" s="2" t="n">
        <v>16</v>
      </c>
      <c r="C28" s="3" t="n">
        <v>571</v>
      </c>
      <c r="D28" s="4" t="n">
        <v>4.2588</v>
      </c>
      <c r="E28" s="2" t="n">
        <v>33</v>
      </c>
      <c r="F28" s="2" t="n">
        <v>59</v>
      </c>
      <c r="G28" s="3" t="n">
        <v>800</v>
      </c>
      <c r="H28" s="12" t="n">
        <v>0.0408</v>
      </c>
      <c r="I28" s="3" t="n">
        <v>132.585769771664</v>
      </c>
      <c r="J28" s="4" t="n">
        <v>0.2</v>
      </c>
    </row>
    <row r="29" customFormat="false" ht="14.25" hidden="false" customHeight="false" outlineLevel="0" collapsed="false">
      <c r="B29" s="2" t="n">
        <v>16</v>
      </c>
      <c r="C29" s="3" t="n">
        <v>571</v>
      </c>
      <c r="D29" s="4" t="n">
        <v>4.2588</v>
      </c>
      <c r="E29" s="2" t="n">
        <v>33</v>
      </c>
      <c r="F29" s="2" t="n">
        <v>59</v>
      </c>
      <c r="G29" s="3" t="n">
        <v>800</v>
      </c>
      <c r="H29" s="12" t="n">
        <v>0.0408</v>
      </c>
      <c r="I29" s="3" t="n">
        <v>182.106781023643</v>
      </c>
      <c r="J29" s="4" t="n">
        <v>0.26</v>
      </c>
    </row>
    <row r="30" customFormat="false" ht="14.25" hidden="false" customHeight="false" outlineLevel="0" collapsed="false">
      <c r="B30" s="2" t="n">
        <v>16</v>
      </c>
      <c r="C30" s="3" t="n">
        <v>571</v>
      </c>
      <c r="D30" s="4" t="n">
        <v>4.2588</v>
      </c>
      <c r="E30" s="2" t="n">
        <v>33</v>
      </c>
      <c r="F30" s="2" t="n">
        <v>59</v>
      </c>
      <c r="G30" s="3" t="n">
        <v>800</v>
      </c>
      <c r="H30" s="12" t="n">
        <v>0.0408</v>
      </c>
      <c r="I30" s="3" t="n">
        <v>276.470215881514</v>
      </c>
      <c r="J30" s="4" t="n">
        <v>0.44</v>
      </c>
    </row>
    <row r="31" customFormat="false" ht="14.25" hidden="false" customHeight="false" outlineLevel="0" collapsed="false">
      <c r="B31" s="2" t="n">
        <v>16</v>
      </c>
      <c r="C31" s="3" t="n">
        <v>571</v>
      </c>
      <c r="D31" s="4" t="n">
        <v>4.2588</v>
      </c>
      <c r="E31" s="2" t="n">
        <v>33</v>
      </c>
      <c r="F31" s="2" t="n">
        <v>59</v>
      </c>
      <c r="G31" s="3" t="n">
        <v>800</v>
      </c>
      <c r="H31" s="12" t="n">
        <v>0.0408</v>
      </c>
      <c r="I31" s="3" t="n">
        <v>412.877261019929</v>
      </c>
      <c r="J31" s="4" t="n">
        <v>0.6</v>
      </c>
    </row>
    <row r="32" customFormat="false" ht="14.25" hidden="false" customHeight="false" outlineLevel="0" collapsed="false">
      <c r="A32" s="1" t="s">
        <v>27</v>
      </c>
      <c r="B32" s="2" t="n">
        <v>12</v>
      </c>
      <c r="C32" s="3" t="n">
        <v>500</v>
      </c>
      <c r="D32" s="4" t="n">
        <v>2.69332921131829</v>
      </c>
      <c r="E32" s="2" t="n">
        <v>20</v>
      </c>
      <c r="F32" s="2" t="n">
        <v>38</v>
      </c>
      <c r="G32" s="3" t="n">
        <v>452</v>
      </c>
      <c r="H32" s="12" t="n">
        <v>0.0131778425655977</v>
      </c>
      <c r="I32" s="3" t="n">
        <v>218.681980739333</v>
      </c>
      <c r="J32" s="4" t="n">
        <v>0.36</v>
      </c>
    </row>
    <row r="33" customFormat="false" ht="14.25" hidden="false" customHeight="false" outlineLevel="0" collapsed="false">
      <c r="B33" s="2" t="n">
        <v>12</v>
      </c>
      <c r="C33" s="3" t="n">
        <v>500</v>
      </c>
      <c r="D33" s="4" t="n">
        <v>2.69332921131829</v>
      </c>
      <c r="E33" s="2" t="n">
        <v>20</v>
      </c>
      <c r="F33" s="2" t="n">
        <v>38</v>
      </c>
      <c r="G33" s="3" t="n">
        <v>452</v>
      </c>
      <c r="H33" s="12" t="n">
        <v>0.0131778425655977</v>
      </c>
      <c r="I33" s="3" t="n">
        <v>344.704832395587</v>
      </c>
      <c r="J33" s="4" t="n">
        <v>0.43</v>
      </c>
    </row>
    <row r="34" customFormat="false" ht="14.25" hidden="false" customHeight="false" outlineLevel="0" collapsed="false">
      <c r="B34" s="2" t="n">
        <v>12</v>
      </c>
      <c r="C34" s="3" t="n">
        <v>500</v>
      </c>
      <c r="D34" s="4" t="n">
        <v>2.69332921131829</v>
      </c>
      <c r="E34" s="2" t="n">
        <v>20</v>
      </c>
      <c r="F34" s="2" t="n">
        <v>38</v>
      </c>
      <c r="G34" s="3" t="n">
        <v>452</v>
      </c>
      <c r="H34" s="12" t="n">
        <v>0.0131778425655977</v>
      </c>
      <c r="I34" s="3" t="n">
        <v>500</v>
      </c>
      <c r="J34" s="4" t="n">
        <v>0.56</v>
      </c>
    </row>
    <row r="35" customFormat="false" ht="14.25" hidden="false" customHeight="false" outlineLevel="0" collapsed="false">
      <c r="B35" s="2" t="n">
        <v>12</v>
      </c>
      <c r="C35" s="3" t="n">
        <v>500</v>
      </c>
      <c r="D35" s="4" t="n">
        <v>2.69332921131829</v>
      </c>
      <c r="E35" s="2" t="n">
        <v>20</v>
      </c>
      <c r="F35" s="2" t="n">
        <v>38</v>
      </c>
      <c r="G35" s="3" t="n">
        <v>452</v>
      </c>
      <c r="H35" s="12" t="n">
        <v>0.0131778425655977</v>
      </c>
      <c r="I35" s="3" t="n">
        <v>500</v>
      </c>
      <c r="J35" s="4" t="n">
        <v>0.71</v>
      </c>
    </row>
    <row r="36" customFormat="false" ht="14.25" hidden="false" customHeight="false" outlineLevel="0" collapsed="false">
      <c r="B36" s="2" t="n">
        <v>12</v>
      </c>
      <c r="C36" s="3" t="n">
        <v>500</v>
      </c>
      <c r="D36" s="4" t="n">
        <v>2.69332921131829</v>
      </c>
      <c r="E36" s="2" t="n">
        <v>20</v>
      </c>
      <c r="F36" s="2" t="n">
        <v>38</v>
      </c>
      <c r="G36" s="3" t="n">
        <v>452</v>
      </c>
      <c r="H36" s="12" t="n">
        <v>0.0131778425655977</v>
      </c>
      <c r="I36" s="3" t="n">
        <v>500</v>
      </c>
      <c r="J36" s="4" t="n">
        <v>0.79</v>
      </c>
    </row>
    <row r="37" customFormat="false" ht="14.25" hidden="false" customHeight="false" outlineLevel="0" collapsed="false">
      <c r="A37" s="1" t="s">
        <v>28</v>
      </c>
      <c r="B37" s="2" t="n">
        <v>25</v>
      </c>
      <c r="C37" s="3" t="n">
        <v>500</v>
      </c>
      <c r="D37" s="4" t="n">
        <v>2.69332921131829</v>
      </c>
      <c r="E37" s="2" t="n">
        <v>20</v>
      </c>
      <c r="F37" s="2" t="n">
        <v>44.5</v>
      </c>
      <c r="G37" s="3" t="n">
        <v>1964</v>
      </c>
      <c r="H37" s="12" t="n">
        <v>0.0360284338454483</v>
      </c>
      <c r="I37" s="3" t="n">
        <v>50.8503623319182</v>
      </c>
      <c r="J37" s="4" t="n">
        <v>0.2</v>
      </c>
    </row>
    <row r="38" customFormat="false" ht="14.25" hidden="false" customHeight="false" outlineLevel="0" collapsed="false">
      <c r="B38" s="2" t="n">
        <v>25</v>
      </c>
      <c r="C38" s="3" t="n">
        <v>500</v>
      </c>
      <c r="D38" s="4" t="n">
        <v>2.69332921131829</v>
      </c>
      <c r="E38" s="2" t="n">
        <v>20</v>
      </c>
      <c r="F38" s="2" t="n">
        <v>44.5</v>
      </c>
      <c r="G38" s="3" t="n">
        <v>1964</v>
      </c>
      <c r="H38" s="12" t="n">
        <v>0.0360284338454483</v>
      </c>
      <c r="I38" s="3" t="n">
        <v>136.392275585503</v>
      </c>
      <c r="J38" s="4" t="n">
        <v>0.25</v>
      </c>
    </row>
    <row r="39" customFormat="false" ht="14.25" hidden="false" customHeight="false" outlineLevel="0" collapsed="false">
      <c r="B39" s="2" t="n">
        <v>25</v>
      </c>
      <c r="C39" s="3" t="n">
        <v>500</v>
      </c>
      <c r="D39" s="4" t="n">
        <v>2.69332921131829</v>
      </c>
      <c r="E39" s="2" t="n">
        <v>20</v>
      </c>
      <c r="F39" s="2" t="n">
        <v>44.5</v>
      </c>
      <c r="G39" s="3" t="n">
        <v>1964</v>
      </c>
      <c r="H39" s="12" t="n">
        <v>0.0360284338454483</v>
      </c>
      <c r="I39" s="3" t="n">
        <v>238.242392804302</v>
      </c>
      <c r="J39" s="4" t="n">
        <v>0.36</v>
      </c>
    </row>
    <row r="40" customFormat="false" ht="14.25" hidden="false" customHeight="false" outlineLevel="0" collapsed="false">
      <c r="B40" s="2" t="n">
        <v>25</v>
      </c>
      <c r="C40" s="3" t="n">
        <v>500</v>
      </c>
      <c r="D40" s="4" t="n">
        <v>2.69332921131829</v>
      </c>
      <c r="E40" s="2" t="n">
        <v>20</v>
      </c>
      <c r="F40" s="2" t="n">
        <v>44.5</v>
      </c>
      <c r="G40" s="3" t="n">
        <v>1964</v>
      </c>
      <c r="H40" s="12" t="n">
        <v>0.0360284338454483</v>
      </c>
      <c r="I40" s="3" t="n">
        <v>340.0925100231</v>
      </c>
      <c r="J40" s="4" t="n">
        <v>0.47</v>
      </c>
    </row>
    <row r="41" customFormat="false" ht="14.25" hidden="false" customHeight="false" outlineLevel="0" collapsed="false">
      <c r="B41" s="2" t="n">
        <v>25</v>
      </c>
      <c r="C41" s="3" t="n">
        <v>500</v>
      </c>
      <c r="D41" s="4" t="n">
        <v>2.69332921131829</v>
      </c>
      <c r="E41" s="2" t="n">
        <v>20</v>
      </c>
      <c r="F41" s="2" t="n">
        <v>44.5</v>
      </c>
      <c r="G41" s="3" t="n">
        <v>1964</v>
      </c>
      <c r="H41" s="12" t="n">
        <v>0.0360284338454483</v>
      </c>
      <c r="I41" s="3" t="n">
        <v>416.4800979372</v>
      </c>
      <c r="J41" s="4" t="n">
        <v>0.57</v>
      </c>
    </row>
    <row r="42" customFormat="false" ht="14.25" hidden="false" customHeight="false" outlineLevel="0" collapsed="false">
      <c r="B42" s="2" t="n">
        <v>25</v>
      </c>
      <c r="C42" s="3" t="n">
        <v>500</v>
      </c>
      <c r="D42" s="4" t="n">
        <v>2.69332921131829</v>
      </c>
      <c r="E42" s="2" t="n">
        <v>20</v>
      </c>
      <c r="F42" s="2" t="n">
        <v>44.5</v>
      </c>
      <c r="G42" s="3" t="n">
        <v>1964</v>
      </c>
      <c r="H42" s="12" t="n">
        <v>0.0360284338454483</v>
      </c>
      <c r="I42" s="3" t="n">
        <v>500</v>
      </c>
      <c r="J42" s="4" t="n">
        <v>0.78</v>
      </c>
    </row>
    <row r="43" customFormat="false" ht="14.25" hidden="false" customHeight="false" outlineLevel="0" collapsed="false">
      <c r="A43" s="1" t="s">
        <v>29</v>
      </c>
      <c r="B43" s="2" t="n">
        <v>12</v>
      </c>
      <c r="C43" s="3" t="n">
        <v>500</v>
      </c>
      <c r="D43" s="4" t="n">
        <v>2.69332921131829</v>
      </c>
      <c r="E43" s="2" t="n">
        <v>20</v>
      </c>
      <c r="F43" s="2" t="n">
        <v>34</v>
      </c>
      <c r="G43" s="3" t="n">
        <v>452</v>
      </c>
      <c r="H43" s="12" t="n">
        <v>0.0137386018237082</v>
      </c>
      <c r="I43" s="3" t="n">
        <v>94.1521358627311</v>
      </c>
      <c r="J43" s="4" t="n">
        <v>0.21</v>
      </c>
    </row>
    <row r="44" customFormat="false" ht="14.25" hidden="false" customHeight="false" outlineLevel="0" collapsed="false">
      <c r="B44" s="2" t="n">
        <v>12</v>
      </c>
      <c r="C44" s="3" t="n">
        <v>500</v>
      </c>
      <c r="D44" s="4" t="n">
        <v>2.69332921131829</v>
      </c>
      <c r="E44" s="2" t="n">
        <v>20</v>
      </c>
      <c r="F44" s="2" t="n">
        <v>34</v>
      </c>
      <c r="G44" s="3" t="n">
        <v>452</v>
      </c>
      <c r="H44" s="12" t="n">
        <v>0.0137386018237082</v>
      </c>
      <c r="I44" s="3" t="n">
        <v>155.793729022078</v>
      </c>
      <c r="J44" s="4" t="n">
        <v>0.31</v>
      </c>
    </row>
    <row r="45" customFormat="false" ht="14.25" hidden="false" customHeight="false" outlineLevel="0" collapsed="false">
      <c r="B45" s="2" t="n">
        <v>12</v>
      </c>
      <c r="C45" s="3" t="n">
        <v>500</v>
      </c>
      <c r="D45" s="4" t="n">
        <v>2.69332921131829</v>
      </c>
      <c r="E45" s="2" t="n">
        <v>20</v>
      </c>
      <c r="F45" s="2" t="n">
        <v>34</v>
      </c>
      <c r="G45" s="3" t="n">
        <v>452</v>
      </c>
      <c r="H45" s="12" t="n">
        <v>0.0137386018237082</v>
      </c>
      <c r="I45" s="3" t="n">
        <v>217.435322181425</v>
      </c>
      <c r="J45" s="4" t="n">
        <v>0.38</v>
      </c>
    </row>
    <row r="46" customFormat="false" ht="14.25" hidden="false" customHeight="false" outlineLevel="0" collapsed="false">
      <c r="B46" s="2" t="n">
        <v>12</v>
      </c>
      <c r="C46" s="3" t="n">
        <v>500</v>
      </c>
      <c r="D46" s="4" t="n">
        <v>2.69332921131829</v>
      </c>
      <c r="E46" s="2" t="n">
        <v>20</v>
      </c>
      <c r="F46" s="2" t="n">
        <v>34</v>
      </c>
      <c r="G46" s="3" t="n">
        <v>452</v>
      </c>
      <c r="H46" s="12" t="n">
        <v>0.0137386018237082</v>
      </c>
      <c r="I46" s="3" t="n">
        <v>340.718508500119</v>
      </c>
      <c r="J46" s="4" t="n">
        <v>0.52</v>
      </c>
    </row>
    <row r="47" customFormat="false" ht="14.25" hidden="false" customHeight="false" outlineLevel="0" collapsed="false">
      <c r="B47" s="2" t="n">
        <v>12</v>
      </c>
      <c r="C47" s="3" t="n">
        <v>500</v>
      </c>
      <c r="D47" s="4" t="n">
        <v>2.69332921131829</v>
      </c>
      <c r="E47" s="2" t="n">
        <v>20</v>
      </c>
      <c r="F47" s="2" t="n">
        <v>34</v>
      </c>
      <c r="G47" s="3" t="n">
        <v>452</v>
      </c>
      <c r="H47" s="12" t="n">
        <v>0.0137386018237082</v>
      </c>
      <c r="I47" s="3" t="n">
        <v>500</v>
      </c>
      <c r="J47" s="4" t="n">
        <v>0.74</v>
      </c>
    </row>
    <row r="48" customFormat="false" ht="14.25" hidden="false" customHeight="false" outlineLevel="0" collapsed="false">
      <c r="A48" s="1" t="s">
        <v>30</v>
      </c>
      <c r="B48" s="2" t="n">
        <v>12</v>
      </c>
      <c r="C48" s="3" t="n">
        <v>500</v>
      </c>
      <c r="D48" s="4" t="n">
        <v>2.69332921131829</v>
      </c>
      <c r="E48" s="2" t="n">
        <v>20</v>
      </c>
      <c r="F48" s="2" t="n">
        <v>34</v>
      </c>
      <c r="G48" s="3" t="n">
        <v>452</v>
      </c>
      <c r="H48" s="12" t="n">
        <v>0.0137386018237082</v>
      </c>
      <c r="I48" s="3" t="n">
        <v>94.1521358627311</v>
      </c>
      <c r="J48" s="4" t="n">
        <v>0.17</v>
      </c>
    </row>
    <row r="49" customFormat="false" ht="14.25" hidden="false" customHeight="false" outlineLevel="0" collapsed="false">
      <c r="B49" s="2" t="n">
        <v>12</v>
      </c>
      <c r="C49" s="3" t="n">
        <v>500</v>
      </c>
      <c r="D49" s="4" t="n">
        <v>2.69332921131829</v>
      </c>
      <c r="E49" s="2" t="n">
        <v>20</v>
      </c>
      <c r="F49" s="2" t="n">
        <v>34</v>
      </c>
      <c r="G49" s="3" t="n">
        <v>452</v>
      </c>
      <c r="H49" s="12" t="n">
        <v>0.0137386018237082</v>
      </c>
      <c r="I49" s="3" t="n">
        <v>217.435322181425</v>
      </c>
      <c r="J49" s="4" t="n">
        <v>0.36</v>
      </c>
    </row>
    <row r="50" customFormat="false" ht="14.25" hidden="false" customHeight="false" outlineLevel="0" collapsed="false">
      <c r="B50" s="2" t="n">
        <v>12</v>
      </c>
      <c r="C50" s="3" t="n">
        <v>500</v>
      </c>
      <c r="D50" s="4" t="n">
        <v>2.69332921131829</v>
      </c>
      <c r="E50" s="2" t="n">
        <v>20</v>
      </c>
      <c r="F50" s="2" t="n">
        <v>34</v>
      </c>
      <c r="G50" s="3" t="n">
        <v>452</v>
      </c>
      <c r="H50" s="12" t="n">
        <v>0.0137386018237082</v>
      </c>
      <c r="I50" s="3" t="n">
        <v>340.718508500119</v>
      </c>
      <c r="J50" s="4" t="n">
        <v>0.56</v>
      </c>
    </row>
    <row r="51" customFormat="false" ht="14.25" hidden="false" customHeight="false" outlineLevel="0" collapsed="false">
      <c r="B51" s="2" t="n">
        <v>12</v>
      </c>
      <c r="C51" s="3" t="n">
        <v>500</v>
      </c>
      <c r="D51" s="4" t="n">
        <v>2.69332921131829</v>
      </c>
      <c r="E51" s="2" t="n">
        <v>20</v>
      </c>
      <c r="F51" s="2" t="n">
        <v>34</v>
      </c>
      <c r="G51" s="3" t="n">
        <v>452</v>
      </c>
      <c r="H51" s="12" t="n">
        <v>0.0137386018237082</v>
      </c>
      <c r="I51" s="3" t="n">
        <v>500</v>
      </c>
      <c r="J51" s="4" t="n">
        <v>0.78</v>
      </c>
    </row>
    <row r="52" customFormat="false" ht="14.25" hidden="false" customHeight="false" outlineLevel="0" collapsed="false">
      <c r="A52" s="1" t="s">
        <v>31</v>
      </c>
      <c r="B52" s="2" t="n">
        <v>12</v>
      </c>
      <c r="C52" s="3" t="n">
        <v>500</v>
      </c>
      <c r="D52" s="4" t="n">
        <v>2.69332921131829</v>
      </c>
      <c r="E52" s="2" t="n">
        <v>70</v>
      </c>
      <c r="F52" s="2" t="n">
        <v>88</v>
      </c>
      <c r="G52" s="3" t="n">
        <v>452</v>
      </c>
      <c r="H52" s="12" t="n">
        <v>0.0107619047619048</v>
      </c>
      <c r="I52" s="3" t="n">
        <v>115.383497199433</v>
      </c>
      <c r="J52" s="4" t="n">
        <v>0.31</v>
      </c>
    </row>
    <row r="53" customFormat="false" ht="14.25" hidden="false" customHeight="false" outlineLevel="0" collapsed="false">
      <c r="B53" s="2" t="n">
        <v>12</v>
      </c>
      <c r="C53" s="3" t="n">
        <v>500</v>
      </c>
      <c r="D53" s="4" t="n">
        <v>2.69332921131829</v>
      </c>
      <c r="E53" s="2" t="n">
        <v>70</v>
      </c>
      <c r="F53" s="2" t="n">
        <v>88</v>
      </c>
      <c r="G53" s="3" t="n">
        <v>452</v>
      </c>
      <c r="H53" s="12" t="n">
        <v>0.0107619047619048</v>
      </c>
      <c r="I53" s="3" t="n">
        <v>192.116183786739</v>
      </c>
      <c r="J53" s="4" t="n">
        <v>0.44</v>
      </c>
    </row>
    <row r="54" customFormat="false" ht="14.25" hidden="false" customHeight="false" outlineLevel="0" collapsed="false">
      <c r="A54" s="1" t="s">
        <v>32</v>
      </c>
      <c r="B54" s="2" t="n">
        <v>12</v>
      </c>
      <c r="C54" s="3" t="n">
        <v>500</v>
      </c>
      <c r="D54" s="4" t="n">
        <v>2.69332921131829</v>
      </c>
      <c r="E54" s="2" t="n">
        <v>70</v>
      </c>
      <c r="F54" s="2" t="n">
        <v>84</v>
      </c>
      <c r="G54" s="3" t="n">
        <v>452</v>
      </c>
      <c r="H54" s="12" t="n">
        <v>0.0107619047619048</v>
      </c>
      <c r="I54" s="3" t="n">
        <v>35.1927566244768</v>
      </c>
      <c r="J54" s="4" t="n">
        <v>0.14</v>
      </c>
    </row>
    <row r="55" customFormat="false" ht="14.25" hidden="false" customHeight="false" outlineLevel="0" collapsed="false">
      <c r="B55" s="2" t="n">
        <v>12</v>
      </c>
      <c r="C55" s="3" t="n">
        <v>500</v>
      </c>
      <c r="D55" s="4" t="n">
        <v>2.69332921131829</v>
      </c>
      <c r="E55" s="2" t="n">
        <v>70</v>
      </c>
      <c r="F55" s="2" t="n">
        <v>84</v>
      </c>
      <c r="G55" s="3" t="n">
        <v>452</v>
      </c>
      <c r="H55" s="12" t="n">
        <v>0.0107619047619048</v>
      </c>
      <c r="I55" s="3" t="n">
        <v>111.060929714869</v>
      </c>
      <c r="J55" s="4" t="n">
        <v>0.31</v>
      </c>
    </row>
    <row r="56" customFormat="false" ht="14.25" hidden="false" customHeight="false" outlineLevel="0" collapsed="false">
      <c r="B56" s="2" t="n">
        <v>12</v>
      </c>
      <c r="C56" s="3" t="n">
        <v>500</v>
      </c>
      <c r="D56" s="4" t="n">
        <v>2.69332921131829</v>
      </c>
      <c r="E56" s="2" t="n">
        <v>70</v>
      </c>
      <c r="F56" s="2" t="n">
        <v>84</v>
      </c>
      <c r="G56" s="3" t="n">
        <v>452</v>
      </c>
      <c r="H56" s="12" t="n">
        <v>0.0107619047619048</v>
      </c>
      <c r="I56" s="3" t="n">
        <v>186.929102805262</v>
      </c>
      <c r="J56" s="4" t="n">
        <v>0.4</v>
      </c>
    </row>
    <row r="57" customFormat="false" ht="14.25" hidden="false" customHeight="false" outlineLevel="0" collapsed="false">
      <c r="A57" s="1" t="s">
        <v>33</v>
      </c>
      <c r="B57" s="2" t="n">
        <v>12</v>
      </c>
      <c r="C57" s="3" t="n">
        <v>500</v>
      </c>
      <c r="D57" s="4" t="n">
        <v>2.69332921131829</v>
      </c>
      <c r="E57" s="2" t="n">
        <v>70</v>
      </c>
      <c r="F57" s="2" t="n">
        <v>84</v>
      </c>
      <c r="G57" s="3" t="n">
        <v>452</v>
      </c>
      <c r="H57" s="12" t="n">
        <v>0.0107619047619048</v>
      </c>
      <c r="I57" s="3" t="n">
        <v>35.1927566244768</v>
      </c>
      <c r="J57" s="4" t="n">
        <v>0.25</v>
      </c>
    </row>
    <row r="58" customFormat="false" ht="14.25" hidden="false" customHeight="false" outlineLevel="0" collapsed="false">
      <c r="B58" s="2" t="n">
        <v>12</v>
      </c>
      <c r="C58" s="3" t="n">
        <v>500</v>
      </c>
      <c r="D58" s="4" t="n">
        <v>2.69332921131829</v>
      </c>
      <c r="E58" s="2" t="n">
        <v>70</v>
      </c>
      <c r="F58" s="2" t="n">
        <v>84</v>
      </c>
      <c r="G58" s="3" t="n">
        <v>452</v>
      </c>
      <c r="H58" s="12" t="n">
        <v>0.0107619047619048</v>
      </c>
      <c r="I58" s="3" t="n">
        <v>111.060929714869</v>
      </c>
      <c r="J58" s="4" t="n">
        <v>0.44</v>
      </c>
    </row>
    <row r="59" customFormat="false" ht="14.25" hidden="false" customHeight="false" outlineLevel="0" collapsed="false">
      <c r="B59" s="2" t="n">
        <v>12</v>
      </c>
      <c r="C59" s="3" t="n">
        <v>500</v>
      </c>
      <c r="D59" s="4" t="n">
        <v>2.69332921131829</v>
      </c>
      <c r="E59" s="2" t="n">
        <v>70</v>
      </c>
      <c r="F59" s="2" t="n">
        <v>84</v>
      </c>
      <c r="G59" s="3" t="n">
        <v>452</v>
      </c>
      <c r="H59" s="12" t="n">
        <v>0.0107619047619048</v>
      </c>
      <c r="I59" s="3" t="n">
        <v>186.929102805262</v>
      </c>
      <c r="J59" s="4" t="n">
        <v>0.56</v>
      </c>
    </row>
    <row r="60" customFormat="false" ht="14.25" hidden="false" customHeight="false" outlineLevel="0" collapsed="false">
      <c r="A60" s="1" t="s">
        <v>34</v>
      </c>
      <c r="B60" s="2" t="n">
        <v>25</v>
      </c>
      <c r="C60" s="3" t="n">
        <v>500</v>
      </c>
      <c r="D60" s="4" t="n">
        <v>2.69332921131829</v>
      </c>
      <c r="E60" s="2" t="n">
        <v>20</v>
      </c>
      <c r="F60" s="2" t="n">
        <v>40.5</v>
      </c>
      <c r="G60" s="3" t="n">
        <v>1964</v>
      </c>
      <c r="H60" s="12" t="n">
        <v>0.0395867976820358</v>
      </c>
      <c r="I60" s="3" t="n">
        <v>162.977172789228</v>
      </c>
      <c r="J60" s="4" t="n">
        <v>0.23</v>
      </c>
    </row>
    <row r="61" customFormat="false" ht="14.25" hidden="false" customHeight="false" outlineLevel="0" collapsed="false">
      <c r="B61" s="2" t="n">
        <v>25</v>
      </c>
      <c r="C61" s="3" t="n">
        <v>500</v>
      </c>
      <c r="D61" s="4" t="n">
        <v>2.69332921131829</v>
      </c>
      <c r="E61" s="2" t="n">
        <v>20</v>
      </c>
      <c r="F61" s="2" t="n">
        <v>40.5</v>
      </c>
      <c r="G61" s="3" t="n">
        <v>1964</v>
      </c>
      <c r="H61" s="12" t="n">
        <v>0.0395867976820358</v>
      </c>
      <c r="I61" s="3" t="n">
        <v>287.49119849252</v>
      </c>
      <c r="J61" s="4" t="n">
        <v>0.35</v>
      </c>
    </row>
    <row r="62" customFormat="false" ht="14.25" hidden="false" customHeight="false" outlineLevel="0" collapsed="false">
      <c r="B62" s="2" t="n">
        <v>25</v>
      </c>
      <c r="C62" s="3" t="n">
        <v>500</v>
      </c>
      <c r="D62" s="4" t="n">
        <v>2.69332921131829</v>
      </c>
      <c r="E62" s="2" t="n">
        <v>20</v>
      </c>
      <c r="F62" s="2" t="n">
        <v>40.5</v>
      </c>
      <c r="G62" s="3" t="n">
        <v>1964</v>
      </c>
      <c r="H62" s="12" t="n">
        <v>0.0395867976820358</v>
      </c>
      <c r="I62" s="3" t="n">
        <v>412.005224195811</v>
      </c>
      <c r="J62" s="4" t="n">
        <v>0.49</v>
      </c>
    </row>
    <row r="63" customFormat="false" ht="14.25" hidden="false" customHeight="false" outlineLevel="0" collapsed="false">
      <c r="B63" s="2" t="n">
        <v>25</v>
      </c>
      <c r="C63" s="3" t="n">
        <v>500</v>
      </c>
      <c r="D63" s="4" t="n">
        <v>2.69332921131829</v>
      </c>
      <c r="E63" s="2" t="n">
        <v>20</v>
      </c>
      <c r="F63" s="2" t="n">
        <v>40.5</v>
      </c>
      <c r="G63" s="3" t="n">
        <v>1964</v>
      </c>
      <c r="H63" s="12" t="n">
        <v>0.0395867976820358</v>
      </c>
      <c r="I63" s="3" t="n">
        <v>500</v>
      </c>
      <c r="J63" s="4" t="n">
        <v>0.67</v>
      </c>
    </row>
    <row r="64" customFormat="false" ht="14.25" hidden="false" customHeight="false" outlineLevel="0" collapsed="false">
      <c r="A64" s="1" t="s">
        <v>35</v>
      </c>
      <c r="B64" s="2" t="n">
        <v>25</v>
      </c>
      <c r="C64" s="3" t="n">
        <v>500</v>
      </c>
      <c r="D64" s="4" t="n">
        <v>2.69332921131829</v>
      </c>
      <c r="E64" s="2" t="n">
        <v>20</v>
      </c>
      <c r="F64" s="2" t="n">
        <v>40.5</v>
      </c>
      <c r="G64" s="3" t="n">
        <v>1964</v>
      </c>
      <c r="H64" s="12" t="n">
        <v>0.0395867976820358</v>
      </c>
      <c r="I64" s="3" t="n">
        <v>162.977172789228</v>
      </c>
      <c r="J64" s="4" t="n">
        <v>0.27</v>
      </c>
    </row>
    <row r="65" customFormat="false" ht="14.25" hidden="false" customHeight="false" outlineLevel="0" collapsed="false">
      <c r="B65" s="2" t="n">
        <v>25</v>
      </c>
      <c r="C65" s="3" t="n">
        <v>500</v>
      </c>
      <c r="D65" s="4" t="n">
        <v>2.69332921131829</v>
      </c>
      <c r="E65" s="2" t="n">
        <v>20</v>
      </c>
      <c r="F65" s="2" t="n">
        <v>40.5</v>
      </c>
      <c r="G65" s="3" t="n">
        <v>1964</v>
      </c>
      <c r="H65" s="12" t="n">
        <v>0.0395867976820358</v>
      </c>
      <c r="I65" s="3" t="n">
        <v>287.49119849252</v>
      </c>
      <c r="J65" s="4" t="n">
        <v>0.4</v>
      </c>
    </row>
    <row r="66" customFormat="false" ht="14.25" hidden="false" customHeight="false" outlineLevel="0" collapsed="false">
      <c r="B66" s="2" t="n">
        <v>25</v>
      </c>
      <c r="C66" s="3" t="n">
        <v>500</v>
      </c>
      <c r="D66" s="4" t="n">
        <v>2.69332921131829</v>
      </c>
      <c r="E66" s="2" t="n">
        <v>20</v>
      </c>
      <c r="F66" s="2" t="n">
        <v>40.5</v>
      </c>
      <c r="G66" s="3" t="n">
        <v>1964</v>
      </c>
      <c r="H66" s="12" t="n">
        <v>0.0395867976820358</v>
      </c>
      <c r="I66" s="3" t="n">
        <v>412.005224195811</v>
      </c>
      <c r="J66" s="4" t="n">
        <v>0.53</v>
      </c>
    </row>
    <row r="67" customFormat="false" ht="14.25" hidden="false" customHeight="false" outlineLevel="0" collapsed="false">
      <c r="B67" s="2" t="n">
        <v>25</v>
      </c>
      <c r="C67" s="3" t="n">
        <v>500</v>
      </c>
      <c r="D67" s="4" t="n">
        <v>2.69332921131829</v>
      </c>
      <c r="E67" s="2" t="n">
        <v>20</v>
      </c>
      <c r="F67" s="2" t="n">
        <v>40.5</v>
      </c>
      <c r="G67" s="3" t="n">
        <v>1964</v>
      </c>
      <c r="H67" s="12" t="n">
        <v>0.0395867976820358</v>
      </c>
      <c r="I67" s="3" t="n">
        <v>500</v>
      </c>
      <c r="J67" s="4" t="n">
        <v>0.72</v>
      </c>
    </row>
    <row r="68" customFormat="false" ht="14.25" hidden="false" customHeight="false" outlineLevel="0" collapsed="false">
      <c r="A68" s="1" t="s">
        <v>36</v>
      </c>
      <c r="B68" s="2" t="n">
        <v>25</v>
      </c>
      <c r="C68" s="3" t="n">
        <v>500</v>
      </c>
      <c r="D68" s="4" t="n">
        <v>2.69332921131829</v>
      </c>
      <c r="E68" s="2" t="n">
        <v>70</v>
      </c>
      <c r="F68" s="2" t="n">
        <v>94.5</v>
      </c>
      <c r="G68" s="3" t="n">
        <v>1964</v>
      </c>
      <c r="H68" s="12" t="n">
        <v>0.0255645948584445</v>
      </c>
      <c r="I68" s="3" t="n">
        <v>48.3195397296772</v>
      </c>
      <c r="J68" s="4" t="n">
        <v>0.3</v>
      </c>
    </row>
    <row r="69" customFormat="false" ht="14.25" hidden="false" customHeight="false" outlineLevel="0" collapsed="false">
      <c r="B69" s="2" t="n">
        <v>25</v>
      </c>
      <c r="C69" s="3" t="n">
        <v>500</v>
      </c>
      <c r="D69" s="4" t="n">
        <v>2.69332921131829</v>
      </c>
      <c r="E69" s="2" t="n">
        <v>70</v>
      </c>
      <c r="F69" s="2" t="n">
        <v>94.5</v>
      </c>
      <c r="G69" s="3" t="n">
        <v>1964</v>
      </c>
      <c r="H69" s="12" t="n">
        <v>0.0255645948584445</v>
      </c>
      <c r="I69" s="3" t="n">
        <v>184.854446138658</v>
      </c>
      <c r="J69" s="4" t="n">
        <v>0.57</v>
      </c>
    </row>
    <row r="70" customFormat="false" ht="14.25" hidden="false" customHeight="false" outlineLevel="0" collapsed="false">
      <c r="A70" s="1" t="s">
        <v>37</v>
      </c>
      <c r="B70" s="2" t="n">
        <v>25</v>
      </c>
      <c r="C70" s="3" t="n">
        <v>500</v>
      </c>
      <c r="D70" s="4" t="n">
        <v>2.69332921131829</v>
      </c>
      <c r="E70" s="2" t="n">
        <v>70</v>
      </c>
      <c r="F70" s="2" t="n">
        <v>90.5</v>
      </c>
      <c r="G70" s="3" t="n">
        <v>1964</v>
      </c>
      <c r="H70" s="12" t="n">
        <v>0.0260391117003646</v>
      </c>
      <c r="I70" s="3" t="n">
        <v>48.0374206768183</v>
      </c>
      <c r="J70" s="4" t="n">
        <v>0.26</v>
      </c>
    </row>
    <row r="71" customFormat="false" ht="14.25" hidden="false" customHeight="false" outlineLevel="0" collapsed="false">
      <c r="B71" s="2" t="n">
        <v>25</v>
      </c>
      <c r="C71" s="3" t="n">
        <v>500</v>
      </c>
      <c r="D71" s="4" t="n">
        <v>2.69332921131829</v>
      </c>
      <c r="E71" s="2" t="n">
        <v>70</v>
      </c>
      <c r="F71" s="2" t="n">
        <v>90.5</v>
      </c>
      <c r="G71" s="3" t="n">
        <v>1964</v>
      </c>
      <c r="H71" s="12" t="n">
        <v>0.0260391117003646</v>
      </c>
      <c r="I71" s="3" t="n">
        <v>182.184152739316</v>
      </c>
      <c r="J71" s="4" t="n">
        <v>0.6</v>
      </c>
    </row>
    <row r="72" customFormat="false" ht="14.25" hidden="false" customHeight="false" outlineLevel="0" collapsed="false">
      <c r="A72" s="1" t="s">
        <v>38</v>
      </c>
      <c r="B72" s="2" t="n">
        <v>25</v>
      </c>
      <c r="C72" s="3" t="n">
        <v>500</v>
      </c>
      <c r="D72" s="4" t="n">
        <v>2.69332921131829</v>
      </c>
      <c r="E72" s="2" t="n">
        <v>70</v>
      </c>
      <c r="F72" s="2" t="n">
        <v>90.5</v>
      </c>
      <c r="G72" s="3" t="n">
        <v>1964</v>
      </c>
      <c r="H72" s="12" t="n">
        <v>0.0260391117003646</v>
      </c>
      <c r="I72" s="3" t="n">
        <v>48.0374206768183</v>
      </c>
      <c r="J72" s="4" t="n">
        <v>0.27</v>
      </c>
    </row>
    <row r="73" customFormat="false" ht="14.25" hidden="false" customHeight="false" outlineLevel="0" collapsed="false">
      <c r="B73" s="2" t="n">
        <v>25</v>
      </c>
      <c r="C73" s="3" t="n">
        <v>500</v>
      </c>
      <c r="D73" s="4" t="n">
        <v>2.69332921131829</v>
      </c>
      <c r="E73" s="2" t="n">
        <v>70</v>
      </c>
      <c r="F73" s="2" t="n">
        <v>90.5</v>
      </c>
      <c r="G73" s="3" t="n">
        <v>1964</v>
      </c>
      <c r="H73" s="12" t="n">
        <v>0.0260391117003646</v>
      </c>
      <c r="I73" s="3" t="n">
        <v>182.184152739316</v>
      </c>
      <c r="J73" s="4" t="n">
        <v>0.59</v>
      </c>
    </row>
    <row r="74" customFormat="false" ht="14.25" hidden="false" customHeight="false" outlineLevel="0" collapsed="false">
      <c r="A74" s="1" t="s">
        <v>39</v>
      </c>
      <c r="B74" s="2" t="n">
        <v>9.52</v>
      </c>
      <c r="C74" s="3" t="n">
        <v>434</v>
      </c>
      <c r="D74" s="4" t="n">
        <v>3.56416000199951</v>
      </c>
      <c r="E74" s="2" t="n">
        <v>20.64</v>
      </c>
      <c r="F74" s="2" t="n">
        <v>25.4</v>
      </c>
      <c r="G74" s="3" t="n">
        <v>212.9</v>
      </c>
      <c r="H74" s="12" t="n">
        <v>0.0255156461606683</v>
      </c>
      <c r="I74" s="3" t="n">
        <v>234.83059233149</v>
      </c>
      <c r="J74" s="4" t="n">
        <v>0.15</v>
      </c>
    </row>
    <row r="75" customFormat="false" ht="14.25" hidden="false" customHeight="false" outlineLevel="0" collapsed="false">
      <c r="B75" s="2" t="n">
        <v>9.52</v>
      </c>
      <c r="C75" s="3" t="n">
        <v>434</v>
      </c>
      <c r="D75" s="4" t="n">
        <v>3.56416000199951</v>
      </c>
      <c r="E75" s="2" t="n">
        <v>20.64</v>
      </c>
      <c r="F75" s="2" t="n">
        <v>25.4</v>
      </c>
      <c r="G75" s="3" t="n">
        <v>212.9</v>
      </c>
      <c r="H75" s="12" t="n">
        <v>0.0255156461606683</v>
      </c>
      <c r="I75" s="3" t="n">
        <v>299.568082313418</v>
      </c>
      <c r="J75" s="4" t="n">
        <v>0.17</v>
      </c>
    </row>
    <row r="76" customFormat="false" ht="14.25" hidden="false" customHeight="false" outlineLevel="0" collapsed="false">
      <c r="A76" s="1" t="s">
        <v>40</v>
      </c>
      <c r="B76" s="2" t="n">
        <v>12.7</v>
      </c>
      <c r="C76" s="3" t="n">
        <v>434</v>
      </c>
      <c r="D76" s="4" t="n">
        <v>3.97660816382294</v>
      </c>
      <c r="E76" s="2" t="n">
        <v>19.05</v>
      </c>
      <c r="F76" s="2" t="n">
        <v>25.4</v>
      </c>
      <c r="G76" s="3" t="n">
        <v>387.1</v>
      </c>
      <c r="H76" s="12" t="n">
        <v>0.0380956317468191</v>
      </c>
      <c r="I76" s="3" t="n">
        <v>257.58927994397</v>
      </c>
      <c r="J76" s="4" t="n">
        <v>0.15</v>
      </c>
    </row>
    <row r="77" customFormat="false" ht="14.25" hidden="false" customHeight="false" outlineLevel="0" collapsed="false">
      <c r="B77" s="2" t="n">
        <v>12.7</v>
      </c>
      <c r="C77" s="3" t="n">
        <v>434</v>
      </c>
      <c r="D77" s="4" t="n">
        <v>3.97660816382294</v>
      </c>
      <c r="E77" s="2" t="n">
        <v>19.05</v>
      </c>
      <c r="F77" s="2" t="n">
        <v>25.4</v>
      </c>
      <c r="G77" s="3" t="n">
        <v>387.1</v>
      </c>
      <c r="H77" s="12" t="n">
        <v>0.0380956317468191</v>
      </c>
      <c r="I77" s="3" t="n">
        <v>313.986356219284</v>
      </c>
      <c r="J77" s="4" t="n">
        <v>0.17</v>
      </c>
    </row>
    <row r="78" customFormat="false" ht="14.25" hidden="false" customHeight="false" outlineLevel="0" collapsed="false">
      <c r="B78" s="2" t="n">
        <v>12.7</v>
      </c>
      <c r="C78" s="3" t="n">
        <v>434</v>
      </c>
      <c r="D78" s="4" t="n">
        <v>3.97660816382294</v>
      </c>
      <c r="E78" s="2" t="n">
        <v>19.05</v>
      </c>
      <c r="F78" s="2" t="n">
        <v>25.4</v>
      </c>
      <c r="G78" s="3" t="n">
        <v>387.1</v>
      </c>
      <c r="H78" s="12" t="n">
        <v>0.0380956317468191</v>
      </c>
      <c r="I78" s="3" t="n">
        <v>394.033819319729</v>
      </c>
      <c r="J78" s="4" t="n">
        <v>0.2</v>
      </c>
    </row>
    <row r="79" customFormat="false" ht="14.25" hidden="false" customHeight="false" outlineLevel="0" collapsed="false">
      <c r="A79" s="1" t="s">
        <v>41</v>
      </c>
      <c r="B79" s="2" t="n">
        <v>15.9</v>
      </c>
      <c r="C79" s="3" t="n">
        <v>540</v>
      </c>
      <c r="D79" s="4" t="n">
        <v>3.97660816382294</v>
      </c>
      <c r="E79" s="2" t="n">
        <v>17.46</v>
      </c>
      <c r="F79" s="2" t="n">
        <v>25.4</v>
      </c>
      <c r="G79" s="3" t="n">
        <v>600</v>
      </c>
      <c r="H79" s="12" t="n">
        <v>0.0590477371430933</v>
      </c>
      <c r="I79" s="3" t="n">
        <v>254.923459599612</v>
      </c>
      <c r="J79" s="4" t="n">
        <v>0.16</v>
      </c>
    </row>
    <row r="80" customFormat="false" ht="14.25" hidden="false" customHeight="false" outlineLevel="0" collapsed="false">
      <c r="B80" s="2" t="n">
        <v>15.9</v>
      </c>
      <c r="C80" s="3" t="n">
        <v>540</v>
      </c>
      <c r="D80" s="4" t="n">
        <v>3.97660816382294</v>
      </c>
      <c r="E80" s="2" t="n">
        <v>17.46</v>
      </c>
      <c r="F80" s="2" t="n">
        <v>25.4</v>
      </c>
      <c r="G80" s="3" t="n">
        <v>600</v>
      </c>
      <c r="H80" s="12" t="n">
        <v>0.0590477371430933</v>
      </c>
      <c r="I80" s="3" t="n">
        <v>362.120498232757</v>
      </c>
      <c r="J80" s="4" t="n">
        <v>0.21</v>
      </c>
    </row>
    <row r="81" customFormat="false" ht="14.25" hidden="false" customHeight="false" outlineLevel="0" collapsed="false">
      <c r="A81" s="1" t="s">
        <v>42</v>
      </c>
      <c r="B81" s="2" t="n">
        <v>16</v>
      </c>
      <c r="C81" s="3" t="n">
        <v>500</v>
      </c>
      <c r="D81" s="4" t="n">
        <v>3.269</v>
      </c>
      <c r="E81" s="2" t="n">
        <v>40</v>
      </c>
      <c r="F81" s="2" t="n">
        <v>48</v>
      </c>
      <c r="G81" s="3" t="n">
        <v>400</v>
      </c>
      <c r="H81" s="12" t="n">
        <v>0.0125</v>
      </c>
      <c r="I81" s="3" t="n">
        <v>13.7953101812687</v>
      </c>
      <c r="J81" s="4" t="n">
        <v>0.15</v>
      </c>
    </row>
    <row r="82" customFormat="false" ht="14.25" hidden="false" customHeight="false" outlineLevel="0" collapsed="false">
      <c r="B82" s="2" t="n">
        <v>16</v>
      </c>
      <c r="C82" s="3" t="n">
        <v>500</v>
      </c>
      <c r="D82" s="4" t="n">
        <v>3.269</v>
      </c>
      <c r="E82" s="2" t="n">
        <v>40</v>
      </c>
      <c r="F82" s="2" t="n">
        <v>48</v>
      </c>
      <c r="G82" s="3" t="n">
        <v>400</v>
      </c>
      <c r="H82" s="12" t="n">
        <v>0.0125</v>
      </c>
      <c r="I82" s="3" t="n">
        <v>53.370132317075</v>
      </c>
      <c r="J82" s="4" t="n">
        <v>0.2</v>
      </c>
    </row>
    <row r="83" customFormat="false" ht="14.25" hidden="false" customHeight="false" outlineLevel="0" collapsed="false">
      <c r="B83" s="2" t="n">
        <v>16</v>
      </c>
      <c r="C83" s="3" t="n">
        <v>500</v>
      </c>
      <c r="D83" s="4" t="n">
        <v>3.269</v>
      </c>
      <c r="E83" s="2" t="n">
        <v>40</v>
      </c>
      <c r="F83" s="2" t="n">
        <v>48</v>
      </c>
      <c r="G83" s="3" t="n">
        <v>400</v>
      </c>
      <c r="H83" s="12" t="n">
        <v>0.0125</v>
      </c>
      <c r="I83" s="3" t="n">
        <v>95.8024475372333</v>
      </c>
      <c r="J83" s="4" t="n">
        <v>0.25</v>
      </c>
    </row>
    <row r="84" customFormat="false" ht="14.25" hidden="false" customHeight="false" outlineLevel="0" collapsed="false">
      <c r="B84" s="2" t="n">
        <v>16</v>
      </c>
      <c r="C84" s="3" t="n">
        <v>500</v>
      </c>
      <c r="D84" s="4" t="n">
        <v>3.269</v>
      </c>
      <c r="E84" s="2" t="n">
        <v>40</v>
      </c>
      <c r="F84" s="2" t="n">
        <v>48</v>
      </c>
      <c r="G84" s="3" t="n">
        <v>400</v>
      </c>
      <c r="H84" s="12" t="n">
        <v>0.0125</v>
      </c>
      <c r="I84" s="3" t="n">
        <v>138.162104683384</v>
      </c>
      <c r="J84" s="4" t="n">
        <v>0.28</v>
      </c>
    </row>
    <row r="85" customFormat="false" ht="14.25" hidden="false" customHeight="false" outlineLevel="0" collapsed="false">
      <c r="B85" s="2" t="n">
        <v>16</v>
      </c>
      <c r="C85" s="3" t="n">
        <v>500</v>
      </c>
      <c r="D85" s="4" t="n">
        <v>3.269</v>
      </c>
      <c r="E85" s="2" t="n">
        <v>40</v>
      </c>
      <c r="F85" s="2" t="n">
        <v>48</v>
      </c>
      <c r="G85" s="3" t="n">
        <v>400</v>
      </c>
      <c r="H85" s="12" t="n">
        <v>0.0125</v>
      </c>
      <c r="I85" s="3" t="n">
        <v>180.521761829535</v>
      </c>
      <c r="J85" s="4" t="n">
        <v>0.28</v>
      </c>
    </row>
    <row r="86" customFormat="false" ht="14.25" hidden="false" customHeight="false" outlineLevel="0" collapsed="false">
      <c r="B86" s="2" t="n">
        <v>16</v>
      </c>
      <c r="C86" s="3" t="n">
        <v>500</v>
      </c>
      <c r="D86" s="4" t="n">
        <v>3.269</v>
      </c>
      <c r="E86" s="2" t="n">
        <v>40</v>
      </c>
      <c r="F86" s="2" t="n">
        <v>48</v>
      </c>
      <c r="G86" s="3" t="n">
        <v>400</v>
      </c>
      <c r="H86" s="12" t="n">
        <v>0.0125</v>
      </c>
      <c r="I86" s="3" t="n">
        <v>222.954077049693</v>
      </c>
      <c r="J86" s="4" t="n">
        <v>0.3</v>
      </c>
    </row>
    <row r="87" customFormat="false" ht="14.25" hidden="false" customHeight="false" outlineLevel="0" collapsed="false">
      <c r="B87" s="2" t="n">
        <v>16</v>
      </c>
      <c r="C87" s="3" t="n">
        <v>500</v>
      </c>
      <c r="D87" s="4" t="n">
        <v>3.269</v>
      </c>
      <c r="E87" s="2" t="n">
        <v>40</v>
      </c>
      <c r="F87" s="2" t="n">
        <v>48</v>
      </c>
      <c r="G87" s="3" t="n">
        <v>400</v>
      </c>
      <c r="H87" s="12" t="n">
        <v>0.0125</v>
      </c>
      <c r="I87" s="3" t="n">
        <v>265.386392269852</v>
      </c>
      <c r="J87" s="4" t="n">
        <v>0.33</v>
      </c>
    </row>
    <row r="88" customFormat="false" ht="14.25" hidden="false" customHeight="false" outlineLevel="0" collapsed="false">
      <c r="B88" s="2" t="n">
        <v>16</v>
      </c>
      <c r="C88" s="3" t="n">
        <v>500</v>
      </c>
      <c r="D88" s="4" t="n">
        <v>3.269</v>
      </c>
      <c r="E88" s="2" t="n">
        <v>40</v>
      </c>
      <c r="F88" s="2" t="n">
        <v>48</v>
      </c>
      <c r="G88" s="3" t="n">
        <v>400</v>
      </c>
      <c r="H88" s="12" t="n">
        <v>0.0125</v>
      </c>
      <c r="I88" s="3" t="n">
        <v>307.673391341996</v>
      </c>
      <c r="J88" s="4" t="n">
        <v>0.33</v>
      </c>
    </row>
    <row r="89" customFormat="false" ht="14.25" hidden="false" customHeight="false" outlineLevel="0" collapsed="false">
      <c r="A89" s="1" t="s">
        <v>43</v>
      </c>
      <c r="B89" s="2" t="n">
        <v>16</v>
      </c>
      <c r="C89" s="3" t="n">
        <v>500</v>
      </c>
      <c r="D89" s="4" t="n">
        <v>3.269</v>
      </c>
      <c r="E89" s="2" t="n">
        <v>40</v>
      </c>
      <c r="F89" s="2" t="n">
        <v>48</v>
      </c>
      <c r="G89" s="3" t="n">
        <v>400</v>
      </c>
      <c r="H89" s="12" t="n">
        <v>0.0125</v>
      </c>
      <c r="I89" s="3" t="n">
        <v>53.370132317075</v>
      </c>
      <c r="J89" s="4" t="n">
        <v>0.15</v>
      </c>
    </row>
    <row r="90" customFormat="false" ht="14.25" hidden="false" customHeight="false" outlineLevel="0" collapsed="false">
      <c r="B90" s="2" t="n">
        <v>16</v>
      </c>
      <c r="C90" s="3" t="n">
        <v>500</v>
      </c>
      <c r="D90" s="4" t="n">
        <v>3.269</v>
      </c>
      <c r="E90" s="2" t="n">
        <v>40</v>
      </c>
      <c r="F90" s="2" t="n">
        <v>48</v>
      </c>
      <c r="G90" s="3" t="n">
        <v>400</v>
      </c>
      <c r="H90" s="12" t="n">
        <v>0.0125</v>
      </c>
      <c r="I90" s="3" t="n">
        <v>95.8024475372333</v>
      </c>
      <c r="J90" s="4" t="n">
        <v>0.18</v>
      </c>
    </row>
    <row r="91" customFormat="false" ht="14.25" hidden="false" customHeight="false" outlineLevel="0" collapsed="false">
      <c r="B91" s="2" t="n">
        <v>16</v>
      </c>
      <c r="C91" s="3" t="n">
        <v>500</v>
      </c>
      <c r="D91" s="4" t="n">
        <v>3.269</v>
      </c>
      <c r="E91" s="2" t="n">
        <v>40</v>
      </c>
      <c r="F91" s="2" t="n">
        <v>48</v>
      </c>
      <c r="G91" s="3" t="n">
        <v>400</v>
      </c>
      <c r="H91" s="12" t="n">
        <v>0.0125</v>
      </c>
      <c r="I91" s="3" t="n">
        <v>138.162104683384</v>
      </c>
      <c r="J91" s="4" t="n">
        <v>0.2</v>
      </c>
    </row>
    <row r="92" customFormat="false" ht="14.25" hidden="false" customHeight="false" outlineLevel="0" collapsed="false">
      <c r="B92" s="2" t="n">
        <v>16</v>
      </c>
      <c r="C92" s="3" t="n">
        <v>500</v>
      </c>
      <c r="D92" s="4" t="n">
        <v>3.269</v>
      </c>
      <c r="E92" s="2" t="n">
        <v>40</v>
      </c>
      <c r="F92" s="2" t="n">
        <v>48</v>
      </c>
      <c r="G92" s="3" t="n">
        <v>400</v>
      </c>
      <c r="H92" s="12" t="n">
        <v>0.0125</v>
      </c>
      <c r="I92" s="3" t="n">
        <v>180.521761829535</v>
      </c>
      <c r="J92" s="4" t="n">
        <v>0.25</v>
      </c>
    </row>
    <row r="93" customFormat="false" ht="14.25" hidden="false" customHeight="false" outlineLevel="0" collapsed="false">
      <c r="B93" s="2" t="n">
        <v>16</v>
      </c>
      <c r="C93" s="3" t="n">
        <v>500</v>
      </c>
      <c r="D93" s="4" t="n">
        <v>3.269</v>
      </c>
      <c r="E93" s="2" t="n">
        <v>40</v>
      </c>
      <c r="F93" s="2" t="n">
        <v>48</v>
      </c>
      <c r="G93" s="3" t="n">
        <v>400</v>
      </c>
      <c r="H93" s="12" t="n">
        <v>0.0125</v>
      </c>
      <c r="I93" s="3" t="n">
        <v>222.954077049693</v>
      </c>
      <c r="J93" s="4" t="n">
        <v>0.3</v>
      </c>
    </row>
    <row r="94" customFormat="false" ht="14.25" hidden="false" customHeight="false" outlineLevel="0" collapsed="false">
      <c r="B94" s="2" t="n">
        <v>16</v>
      </c>
      <c r="C94" s="3" t="n">
        <v>500</v>
      </c>
      <c r="D94" s="4" t="n">
        <v>3.269</v>
      </c>
      <c r="E94" s="2" t="n">
        <v>40</v>
      </c>
      <c r="F94" s="2" t="n">
        <v>48</v>
      </c>
      <c r="G94" s="3" t="n">
        <v>400</v>
      </c>
      <c r="H94" s="12" t="n">
        <v>0.0125</v>
      </c>
      <c r="I94" s="3" t="n">
        <v>265.386392269852</v>
      </c>
      <c r="J94" s="4" t="n">
        <v>0.33</v>
      </c>
    </row>
    <row r="95" customFormat="false" ht="14.25" hidden="false" customHeight="false" outlineLevel="0" collapsed="false">
      <c r="B95" s="2" t="n">
        <v>16</v>
      </c>
      <c r="C95" s="3" t="n">
        <v>500</v>
      </c>
      <c r="D95" s="4" t="n">
        <v>3.269</v>
      </c>
      <c r="E95" s="2" t="n">
        <v>40</v>
      </c>
      <c r="F95" s="2" t="n">
        <v>48</v>
      </c>
      <c r="G95" s="3" t="n">
        <v>400</v>
      </c>
      <c r="H95" s="12" t="n">
        <v>0.0125</v>
      </c>
      <c r="I95" s="3" t="n">
        <v>307.673391341996</v>
      </c>
      <c r="J95" s="4" t="n">
        <v>0.38</v>
      </c>
    </row>
    <row r="96" customFormat="false" ht="14.25" hidden="false" customHeight="false" outlineLevel="0" collapsed="false">
      <c r="A96" s="1" t="s">
        <v>44</v>
      </c>
      <c r="B96" s="2" t="n">
        <v>16</v>
      </c>
      <c r="C96" s="3" t="n">
        <v>500</v>
      </c>
      <c r="D96" s="4" t="n">
        <v>3.269</v>
      </c>
      <c r="E96" s="2" t="n">
        <v>25</v>
      </c>
      <c r="F96" s="2" t="n">
        <v>33</v>
      </c>
      <c r="G96" s="3" t="n">
        <v>400</v>
      </c>
      <c r="H96" s="12" t="n">
        <v>0.0157460983498901</v>
      </c>
      <c r="I96" s="3" t="n">
        <v>83.250300076909</v>
      </c>
      <c r="J96" s="4" t="n">
        <v>0.15</v>
      </c>
    </row>
    <row r="97" customFormat="false" ht="14.25" hidden="false" customHeight="false" outlineLevel="0" collapsed="false">
      <c r="B97" s="2" t="n">
        <v>16</v>
      </c>
      <c r="C97" s="3" t="n">
        <v>500</v>
      </c>
      <c r="D97" s="4" t="n">
        <v>3.269</v>
      </c>
      <c r="E97" s="2" t="n">
        <v>25</v>
      </c>
      <c r="F97" s="2" t="n">
        <v>33</v>
      </c>
      <c r="G97" s="3" t="n">
        <v>400</v>
      </c>
      <c r="H97" s="12" t="n">
        <v>0.0157460983498901</v>
      </c>
      <c r="I97" s="3" t="n">
        <v>122.675935148359</v>
      </c>
      <c r="J97" s="4" t="n">
        <v>0.18</v>
      </c>
    </row>
    <row r="98" customFormat="false" ht="14.25" hidden="false" customHeight="false" outlineLevel="0" collapsed="false">
      <c r="B98" s="2" t="n">
        <v>16</v>
      </c>
      <c r="C98" s="3" t="n">
        <v>500</v>
      </c>
      <c r="D98" s="4" t="n">
        <v>3.269</v>
      </c>
      <c r="E98" s="2" t="n">
        <v>25</v>
      </c>
      <c r="F98" s="2" t="n">
        <v>33</v>
      </c>
      <c r="G98" s="3" t="n">
        <v>400</v>
      </c>
      <c r="H98" s="12" t="n">
        <v>0.0157460983498901</v>
      </c>
      <c r="I98" s="3" t="n">
        <v>162.034060570714</v>
      </c>
      <c r="J98" s="4" t="n">
        <v>0.2</v>
      </c>
    </row>
    <row r="99" customFormat="false" ht="14.25" hidden="false" customHeight="false" outlineLevel="0" collapsed="false">
      <c r="B99" s="2" t="n">
        <v>16</v>
      </c>
      <c r="C99" s="3" t="n">
        <v>500</v>
      </c>
      <c r="D99" s="4" t="n">
        <v>3.269</v>
      </c>
      <c r="E99" s="2" t="n">
        <v>25</v>
      </c>
      <c r="F99" s="2" t="n">
        <v>33</v>
      </c>
      <c r="G99" s="3" t="n">
        <v>400</v>
      </c>
      <c r="H99" s="12" t="n">
        <v>0.0157460983498901</v>
      </c>
      <c r="I99" s="3" t="n">
        <v>201.392185993069</v>
      </c>
      <c r="J99" s="4" t="n">
        <v>0.23</v>
      </c>
    </row>
    <row r="100" customFormat="false" ht="14.25" hidden="false" customHeight="false" outlineLevel="0" collapsed="false">
      <c r="B100" s="2" t="n">
        <v>16</v>
      </c>
      <c r="C100" s="3" t="n">
        <v>500</v>
      </c>
      <c r="D100" s="4" t="n">
        <v>3.269</v>
      </c>
      <c r="E100" s="2" t="n">
        <v>25</v>
      </c>
      <c r="F100" s="2" t="n">
        <v>33</v>
      </c>
      <c r="G100" s="3" t="n">
        <v>400</v>
      </c>
      <c r="H100" s="12" t="n">
        <v>0.0157460983498901</v>
      </c>
      <c r="I100" s="3" t="n">
        <v>240.817821064519</v>
      </c>
      <c r="J100" s="4" t="n">
        <v>0.25</v>
      </c>
    </row>
    <row r="101" customFormat="false" ht="14.25" hidden="false" customHeight="false" outlineLevel="0" collapsed="false">
      <c r="B101" s="2" t="n">
        <v>16</v>
      </c>
      <c r="C101" s="3" t="n">
        <v>500</v>
      </c>
      <c r="D101" s="4" t="n">
        <v>3.269</v>
      </c>
      <c r="E101" s="2" t="n">
        <v>25</v>
      </c>
      <c r="F101" s="2" t="n">
        <v>33</v>
      </c>
      <c r="G101" s="3" t="n">
        <v>400</v>
      </c>
      <c r="H101" s="12" t="n">
        <v>0.0157460983498901</v>
      </c>
      <c r="I101" s="3" t="n">
        <v>280.24345613597</v>
      </c>
      <c r="J101" s="4" t="n">
        <v>0.3</v>
      </c>
    </row>
    <row r="102" customFormat="false" ht="14.25" hidden="false" customHeight="false" outlineLevel="0" collapsed="false">
      <c r="B102" s="2" t="n">
        <v>16</v>
      </c>
      <c r="C102" s="3" t="n">
        <v>500</v>
      </c>
      <c r="D102" s="4" t="n">
        <v>3.269</v>
      </c>
      <c r="E102" s="2" t="n">
        <v>25</v>
      </c>
      <c r="F102" s="2" t="n">
        <v>33</v>
      </c>
      <c r="G102" s="3" t="n">
        <v>400</v>
      </c>
      <c r="H102" s="12" t="n">
        <v>0.0157460983498901</v>
      </c>
      <c r="I102" s="3" t="n">
        <v>319.53407190923</v>
      </c>
      <c r="J102" s="4" t="n">
        <v>0.3</v>
      </c>
    </row>
    <row r="103" customFormat="false" ht="14.25" hidden="false" customHeight="false" outlineLevel="0" collapsed="false">
      <c r="A103" s="1" t="s">
        <v>45</v>
      </c>
      <c r="B103" s="2" t="n">
        <v>16</v>
      </c>
      <c r="C103" s="3" t="n">
        <v>500</v>
      </c>
      <c r="D103" s="4" t="n">
        <v>3.269</v>
      </c>
      <c r="E103" s="2" t="n">
        <v>25</v>
      </c>
      <c r="F103" s="2" t="n">
        <v>33</v>
      </c>
      <c r="G103" s="3" t="n">
        <v>400</v>
      </c>
      <c r="H103" s="12" t="n">
        <v>0.0157460983498901</v>
      </c>
      <c r="I103" s="3" t="n">
        <v>46.1431193311785</v>
      </c>
      <c r="J103" s="4" t="n">
        <v>0.15</v>
      </c>
    </row>
    <row r="104" customFormat="false" ht="14.25" hidden="false" customHeight="false" outlineLevel="0" collapsed="false">
      <c r="B104" s="2" t="n">
        <v>16</v>
      </c>
      <c r="C104" s="3" t="n">
        <v>500</v>
      </c>
      <c r="D104" s="4" t="n">
        <v>3.269</v>
      </c>
      <c r="E104" s="2" t="n">
        <v>25</v>
      </c>
      <c r="F104" s="2" t="n">
        <v>33</v>
      </c>
      <c r="G104" s="3" t="n">
        <v>400</v>
      </c>
      <c r="H104" s="12" t="n">
        <v>0.0157460983498901</v>
      </c>
      <c r="I104" s="3" t="n">
        <v>83.250300076909</v>
      </c>
      <c r="J104" s="4" t="n">
        <v>0.18</v>
      </c>
    </row>
    <row r="105" customFormat="false" ht="14.25" hidden="false" customHeight="false" outlineLevel="0" collapsed="false">
      <c r="B105" s="2" t="n">
        <v>16</v>
      </c>
      <c r="C105" s="3" t="n">
        <v>500</v>
      </c>
      <c r="D105" s="4" t="n">
        <v>3.269</v>
      </c>
      <c r="E105" s="2" t="n">
        <v>25</v>
      </c>
      <c r="F105" s="2" t="n">
        <v>33</v>
      </c>
      <c r="G105" s="3" t="n">
        <v>400</v>
      </c>
      <c r="H105" s="12" t="n">
        <v>0.0157460983498901</v>
      </c>
      <c r="I105" s="3" t="n">
        <v>122.675935148359</v>
      </c>
      <c r="J105" s="4" t="n">
        <v>0.18</v>
      </c>
    </row>
    <row r="106" customFormat="false" ht="14.25" hidden="false" customHeight="false" outlineLevel="0" collapsed="false">
      <c r="B106" s="2" t="n">
        <v>16</v>
      </c>
      <c r="C106" s="3" t="n">
        <v>500</v>
      </c>
      <c r="D106" s="4" t="n">
        <v>3.269</v>
      </c>
      <c r="E106" s="2" t="n">
        <v>25</v>
      </c>
      <c r="F106" s="2" t="n">
        <v>33</v>
      </c>
      <c r="G106" s="3" t="n">
        <v>400</v>
      </c>
      <c r="H106" s="12" t="n">
        <v>0.0157460983498901</v>
      </c>
      <c r="I106" s="3" t="n">
        <v>162.034060570714</v>
      </c>
      <c r="J106" s="4" t="n">
        <v>0.25</v>
      </c>
    </row>
    <row r="107" customFormat="false" ht="14.25" hidden="false" customHeight="false" outlineLevel="0" collapsed="false">
      <c r="B107" s="2" t="n">
        <v>16</v>
      </c>
      <c r="C107" s="3" t="n">
        <v>500</v>
      </c>
      <c r="D107" s="4" t="n">
        <v>3.269</v>
      </c>
      <c r="E107" s="2" t="n">
        <v>25</v>
      </c>
      <c r="F107" s="2" t="n">
        <v>33</v>
      </c>
      <c r="G107" s="3" t="n">
        <v>400</v>
      </c>
      <c r="H107" s="12" t="n">
        <v>0.0157460983498901</v>
      </c>
      <c r="I107" s="3" t="n">
        <v>201.392185993069</v>
      </c>
      <c r="J107" s="4" t="n">
        <v>0.28</v>
      </c>
    </row>
    <row r="108" customFormat="false" ht="14.25" hidden="false" customHeight="false" outlineLevel="0" collapsed="false">
      <c r="B108" s="2" t="n">
        <v>16</v>
      </c>
      <c r="C108" s="3" t="n">
        <v>500</v>
      </c>
      <c r="D108" s="4" t="n">
        <v>3.269</v>
      </c>
      <c r="E108" s="2" t="n">
        <v>25</v>
      </c>
      <c r="F108" s="2" t="n">
        <v>33</v>
      </c>
      <c r="G108" s="3" t="n">
        <v>400</v>
      </c>
      <c r="H108" s="12" t="n">
        <v>0.0157460983498901</v>
      </c>
      <c r="I108" s="3" t="n">
        <v>240.817821064519</v>
      </c>
      <c r="J108" s="4" t="n">
        <v>0.33</v>
      </c>
    </row>
    <row r="109" customFormat="false" ht="14.25" hidden="false" customHeight="false" outlineLevel="0" collapsed="false">
      <c r="B109" s="2" t="n">
        <v>16</v>
      </c>
      <c r="C109" s="3" t="n">
        <v>500</v>
      </c>
      <c r="D109" s="4" t="n">
        <v>3.269</v>
      </c>
      <c r="E109" s="2" t="n">
        <v>25</v>
      </c>
      <c r="F109" s="2" t="n">
        <v>33</v>
      </c>
      <c r="G109" s="3" t="n">
        <v>400</v>
      </c>
      <c r="H109" s="12" t="n">
        <v>0.0157460983498901</v>
      </c>
      <c r="I109" s="3" t="n">
        <v>280.24345613597</v>
      </c>
      <c r="J109" s="4" t="n">
        <v>0.38</v>
      </c>
    </row>
    <row r="110" customFormat="false" ht="14.25" hidden="false" customHeight="false" outlineLevel="0" collapsed="false">
      <c r="B110" s="2" t="n">
        <v>16</v>
      </c>
      <c r="C110" s="3" t="n">
        <v>500</v>
      </c>
      <c r="D110" s="4" t="n">
        <v>3.269</v>
      </c>
      <c r="E110" s="2" t="n">
        <v>25</v>
      </c>
      <c r="F110" s="2" t="n">
        <v>33</v>
      </c>
      <c r="G110" s="3" t="n">
        <v>400</v>
      </c>
      <c r="H110" s="12" t="n">
        <v>0.0157460983498901</v>
      </c>
      <c r="I110" s="3" t="n">
        <v>319.53407190923</v>
      </c>
      <c r="J110" s="4" t="n">
        <v>0.43</v>
      </c>
    </row>
    <row r="111" customFormat="false" ht="14.25" hidden="false" customHeight="false" outlineLevel="0" collapsed="false">
      <c r="A111" s="1" t="s">
        <v>46</v>
      </c>
      <c r="B111" s="2" t="n">
        <v>16</v>
      </c>
      <c r="C111" s="3" t="n">
        <v>500</v>
      </c>
      <c r="D111" s="4" t="n">
        <v>3.269</v>
      </c>
      <c r="E111" s="2" t="n">
        <v>25</v>
      </c>
      <c r="F111" s="2" t="n">
        <v>33</v>
      </c>
      <c r="G111" s="3" t="n">
        <v>600</v>
      </c>
      <c r="H111" s="12" t="n">
        <v>0.0212389380530973</v>
      </c>
      <c r="I111" s="3" t="n">
        <v>142.623322211436</v>
      </c>
      <c r="J111" s="4" t="n">
        <v>0.15</v>
      </c>
    </row>
    <row r="112" customFormat="false" ht="14.25" hidden="false" customHeight="false" outlineLevel="0" collapsed="false">
      <c r="B112" s="2" t="n">
        <v>16</v>
      </c>
      <c r="C112" s="3" t="n">
        <v>500</v>
      </c>
      <c r="D112" s="4" t="n">
        <v>3.269</v>
      </c>
      <c r="E112" s="2" t="n">
        <v>25</v>
      </c>
      <c r="F112" s="2" t="n">
        <v>33</v>
      </c>
      <c r="G112" s="3" t="n">
        <v>600</v>
      </c>
      <c r="H112" s="12" t="n">
        <v>0.0212389380530973</v>
      </c>
      <c r="I112" s="3" t="n">
        <v>167.23645175102</v>
      </c>
      <c r="J112" s="4" t="n">
        <v>0.18</v>
      </c>
    </row>
    <row r="113" customFormat="false" ht="14.25" hidden="false" customHeight="false" outlineLevel="0" collapsed="false">
      <c r="B113" s="2" t="n">
        <v>16</v>
      </c>
      <c r="C113" s="3" t="n">
        <v>500</v>
      </c>
      <c r="D113" s="4" t="n">
        <v>3.269</v>
      </c>
      <c r="E113" s="2" t="n">
        <v>25</v>
      </c>
      <c r="F113" s="2" t="n">
        <v>33</v>
      </c>
      <c r="G113" s="3" t="n">
        <v>600</v>
      </c>
      <c r="H113" s="12" t="n">
        <v>0.0212389380530973</v>
      </c>
      <c r="I113" s="3" t="n">
        <v>191.934162491771</v>
      </c>
      <c r="J113" s="4" t="n">
        <v>0.18</v>
      </c>
    </row>
    <row r="114" customFormat="false" ht="14.25" hidden="false" customHeight="false" outlineLevel="0" collapsed="false">
      <c r="B114" s="2" t="n">
        <v>16</v>
      </c>
      <c r="C114" s="3" t="n">
        <v>500</v>
      </c>
      <c r="D114" s="4" t="n">
        <v>3.269</v>
      </c>
      <c r="E114" s="2" t="n">
        <v>25</v>
      </c>
      <c r="F114" s="2" t="n">
        <v>33</v>
      </c>
      <c r="G114" s="3" t="n">
        <v>600</v>
      </c>
      <c r="H114" s="12" t="n">
        <v>0.0212389380530973</v>
      </c>
      <c r="I114" s="3" t="n">
        <v>216.631873232522</v>
      </c>
      <c r="J114" s="4" t="n">
        <v>0.2</v>
      </c>
    </row>
    <row r="115" customFormat="false" ht="14.25" hidden="false" customHeight="false" outlineLevel="0" collapsed="false">
      <c r="B115" s="2" t="n">
        <v>16</v>
      </c>
      <c r="C115" s="3" t="n">
        <v>500</v>
      </c>
      <c r="D115" s="4" t="n">
        <v>3.269</v>
      </c>
      <c r="E115" s="2" t="n">
        <v>25</v>
      </c>
      <c r="F115" s="2" t="n">
        <v>33</v>
      </c>
      <c r="G115" s="3" t="n">
        <v>600</v>
      </c>
      <c r="H115" s="12" t="n">
        <v>0.0212389380530973</v>
      </c>
      <c r="I115" s="3" t="n">
        <v>241.329583973274</v>
      </c>
      <c r="J115" s="4" t="n">
        <v>0.2</v>
      </c>
    </row>
    <row r="116" customFormat="false" ht="14.25" hidden="false" customHeight="false" outlineLevel="0" collapsed="false">
      <c r="A116" s="1" t="s">
        <v>47</v>
      </c>
      <c r="B116" s="2" t="n">
        <v>16</v>
      </c>
      <c r="C116" s="3" t="n">
        <v>500</v>
      </c>
      <c r="D116" s="4" t="n">
        <v>3.269</v>
      </c>
      <c r="E116" s="2" t="n">
        <v>25</v>
      </c>
      <c r="F116" s="2" t="n">
        <v>33</v>
      </c>
      <c r="G116" s="3" t="n">
        <v>600</v>
      </c>
      <c r="H116" s="12" t="n">
        <v>0.0212389380530973</v>
      </c>
      <c r="I116" s="3" t="n">
        <v>167.23645175102</v>
      </c>
      <c r="J116" s="4" t="n">
        <v>0.15</v>
      </c>
    </row>
    <row r="117" customFormat="false" ht="14.25" hidden="false" customHeight="false" outlineLevel="0" collapsed="false">
      <c r="B117" s="2" t="n">
        <v>16</v>
      </c>
      <c r="C117" s="3" t="n">
        <v>500</v>
      </c>
      <c r="D117" s="4" t="n">
        <v>3.269</v>
      </c>
      <c r="E117" s="2" t="n">
        <v>25</v>
      </c>
      <c r="F117" s="2" t="n">
        <v>33</v>
      </c>
      <c r="G117" s="3" t="n">
        <v>600</v>
      </c>
      <c r="H117" s="12" t="n">
        <v>0.0212389380530973</v>
      </c>
      <c r="I117" s="3" t="n">
        <v>191.934162491771</v>
      </c>
      <c r="J117" s="4" t="n">
        <v>0.18</v>
      </c>
    </row>
    <row r="118" customFormat="false" ht="14.25" hidden="false" customHeight="false" outlineLevel="0" collapsed="false">
      <c r="B118" s="2" t="n">
        <v>16</v>
      </c>
      <c r="C118" s="3" t="n">
        <v>500</v>
      </c>
      <c r="D118" s="4" t="n">
        <v>3.269</v>
      </c>
      <c r="E118" s="2" t="n">
        <v>25</v>
      </c>
      <c r="F118" s="2" t="n">
        <v>33</v>
      </c>
      <c r="G118" s="3" t="n">
        <v>600</v>
      </c>
      <c r="H118" s="12" t="n">
        <v>0.0212389380530973</v>
      </c>
      <c r="I118" s="3" t="n">
        <v>216.631873232522</v>
      </c>
      <c r="J118" s="4" t="n">
        <v>0.2</v>
      </c>
    </row>
    <row r="119" customFormat="false" ht="14.25" hidden="false" customHeight="false" outlineLevel="0" collapsed="false">
      <c r="B119" s="2" t="n">
        <v>16</v>
      </c>
      <c r="C119" s="3" t="n">
        <v>500</v>
      </c>
      <c r="D119" s="4" t="n">
        <v>3.269</v>
      </c>
      <c r="E119" s="2" t="n">
        <v>25</v>
      </c>
      <c r="F119" s="2" t="n">
        <v>33</v>
      </c>
      <c r="G119" s="3" t="n">
        <v>600</v>
      </c>
      <c r="H119" s="12" t="n">
        <v>0.0212389380530973</v>
      </c>
      <c r="I119" s="3" t="n">
        <v>241.329583973274</v>
      </c>
      <c r="J119" s="4" t="n">
        <v>0.2</v>
      </c>
    </row>
    <row r="120" customFormat="false" ht="14.25" hidden="false" customHeight="false" outlineLevel="0" collapsed="false">
      <c r="A120" s="1" t="s">
        <v>48</v>
      </c>
      <c r="B120" s="2" t="n">
        <v>12</v>
      </c>
      <c r="C120" s="3" t="n">
        <v>500</v>
      </c>
      <c r="D120" s="4" t="n">
        <v>3.269</v>
      </c>
      <c r="E120" s="2" t="n">
        <v>25</v>
      </c>
      <c r="F120" s="2" t="n">
        <v>31</v>
      </c>
      <c r="G120" s="3" t="n">
        <v>220</v>
      </c>
      <c r="H120" s="12" t="n">
        <v>0.0117247911599868</v>
      </c>
      <c r="I120" s="3" t="n">
        <v>0</v>
      </c>
      <c r="J120" s="4" t="n">
        <v>0.2</v>
      </c>
    </row>
    <row r="121" customFormat="false" ht="14.25" hidden="false" customHeight="false" outlineLevel="0" collapsed="false">
      <c r="B121" s="2" t="n">
        <v>12</v>
      </c>
      <c r="C121" s="3" t="n">
        <v>500</v>
      </c>
      <c r="D121" s="4" t="n">
        <v>3.269</v>
      </c>
      <c r="E121" s="2" t="n">
        <v>25</v>
      </c>
      <c r="F121" s="2" t="n">
        <v>31</v>
      </c>
      <c r="G121" s="3" t="n">
        <v>220</v>
      </c>
      <c r="H121" s="12" t="n">
        <v>0.0117247911599868</v>
      </c>
      <c r="I121" s="3" t="n">
        <v>93.8749624813842</v>
      </c>
      <c r="J121" s="4" t="n">
        <v>0.25</v>
      </c>
    </row>
    <row r="122" customFormat="false" ht="14.25" hidden="false" customHeight="false" outlineLevel="0" collapsed="false">
      <c r="B122" s="2" t="n">
        <v>12</v>
      </c>
      <c r="C122" s="3" t="n">
        <v>500</v>
      </c>
      <c r="D122" s="4" t="n">
        <v>3.269</v>
      </c>
      <c r="E122" s="2" t="n">
        <v>25</v>
      </c>
      <c r="F122" s="2" t="n">
        <v>31</v>
      </c>
      <c r="G122" s="3" t="n">
        <v>220</v>
      </c>
      <c r="H122" s="12" t="n">
        <v>0.0117247911599868</v>
      </c>
      <c r="I122" s="3" t="n">
        <v>202.081566483245</v>
      </c>
      <c r="J122" s="4" t="n">
        <v>0.33</v>
      </c>
    </row>
    <row r="123" customFormat="false" ht="14.25" hidden="false" customHeight="false" outlineLevel="0" collapsed="false">
      <c r="A123" s="1" t="s">
        <v>49</v>
      </c>
      <c r="B123" s="2" t="n">
        <v>12</v>
      </c>
      <c r="C123" s="3" t="n">
        <v>500</v>
      </c>
      <c r="D123" s="4" t="n">
        <v>3.269</v>
      </c>
      <c r="E123" s="2" t="n">
        <v>25</v>
      </c>
      <c r="F123" s="2" t="n">
        <v>31</v>
      </c>
      <c r="G123" s="3" t="n">
        <v>220</v>
      </c>
      <c r="H123" s="12" t="n">
        <v>0.0117247911599868</v>
      </c>
      <c r="I123" s="3" t="n">
        <v>93.8749624813842</v>
      </c>
      <c r="J123" s="4" t="n">
        <v>0.23</v>
      </c>
    </row>
    <row r="124" customFormat="false" ht="14.25" hidden="false" customHeight="false" outlineLevel="0" collapsed="false">
      <c r="B124" s="2" t="n">
        <v>12</v>
      </c>
      <c r="C124" s="3" t="n">
        <v>500</v>
      </c>
      <c r="D124" s="4" t="n">
        <v>3.269</v>
      </c>
      <c r="E124" s="2" t="n">
        <v>25</v>
      </c>
      <c r="F124" s="2" t="n">
        <v>31</v>
      </c>
      <c r="G124" s="3" t="n">
        <v>220</v>
      </c>
      <c r="H124" s="12" t="n">
        <v>0.0117247911599868</v>
      </c>
      <c r="I124" s="3" t="n">
        <v>202.081566483245</v>
      </c>
      <c r="J124" s="4" t="n">
        <v>0.28</v>
      </c>
    </row>
    <row r="125" customFormat="false" ht="14.25" hidden="false" customHeight="false" outlineLevel="0" collapsed="false">
      <c r="A125" s="1" t="s">
        <v>50</v>
      </c>
      <c r="B125" s="2" t="n">
        <v>12</v>
      </c>
      <c r="C125" s="3" t="n">
        <v>500</v>
      </c>
      <c r="D125" s="4" t="n">
        <v>3.269</v>
      </c>
      <c r="E125" s="2" t="n">
        <v>25</v>
      </c>
      <c r="F125" s="2" t="n">
        <v>31</v>
      </c>
      <c r="G125" s="3" t="n">
        <v>330</v>
      </c>
      <c r="H125" s="12" t="n">
        <v>0.0117247911599868</v>
      </c>
      <c r="I125" s="3" t="n">
        <v>38.8928744315686</v>
      </c>
      <c r="J125" s="4" t="n">
        <v>0.18</v>
      </c>
    </row>
    <row r="126" customFormat="false" ht="14.25" hidden="false" customHeight="false" outlineLevel="0" collapsed="false">
      <c r="B126" s="2" t="n">
        <v>12</v>
      </c>
      <c r="C126" s="3" t="n">
        <v>500</v>
      </c>
      <c r="D126" s="4" t="n">
        <v>3.269</v>
      </c>
      <c r="E126" s="2" t="n">
        <v>25</v>
      </c>
      <c r="F126" s="2" t="n">
        <v>31</v>
      </c>
      <c r="G126" s="3" t="n">
        <v>330</v>
      </c>
      <c r="H126" s="12" t="n">
        <v>0.0117247911599868</v>
      </c>
      <c r="I126" s="3" t="n">
        <v>112.144740233866</v>
      </c>
      <c r="J126" s="4" t="n">
        <v>0.23</v>
      </c>
    </row>
    <row r="127" customFormat="false" ht="14.25" hidden="false" customHeight="false" outlineLevel="0" collapsed="false">
      <c r="B127" s="2" t="n">
        <v>12</v>
      </c>
      <c r="C127" s="3" t="n">
        <v>500</v>
      </c>
      <c r="D127" s="4" t="n">
        <v>3.269</v>
      </c>
      <c r="E127" s="2" t="n">
        <v>25</v>
      </c>
      <c r="F127" s="2" t="n">
        <v>31</v>
      </c>
      <c r="G127" s="3" t="n">
        <v>330</v>
      </c>
      <c r="H127" s="12" t="n">
        <v>0.0117247911599868</v>
      </c>
      <c r="I127" s="3" t="n">
        <v>185.396606036163</v>
      </c>
      <c r="J127" s="4" t="n">
        <v>0.25</v>
      </c>
    </row>
    <row r="128" customFormat="false" ht="14.25" hidden="false" customHeight="false" outlineLevel="0" collapsed="false">
      <c r="A128" s="1" t="s">
        <v>51</v>
      </c>
      <c r="B128" s="2" t="n">
        <v>12</v>
      </c>
      <c r="C128" s="3" t="n">
        <v>500</v>
      </c>
      <c r="D128" s="4" t="n">
        <v>3.269</v>
      </c>
      <c r="E128" s="2" t="n">
        <v>25</v>
      </c>
      <c r="F128" s="2" t="n">
        <v>31</v>
      </c>
      <c r="G128" s="3" t="n">
        <v>330</v>
      </c>
      <c r="H128" s="12" t="n">
        <v>0.0117247911599868</v>
      </c>
      <c r="I128" s="3" t="n">
        <v>38.8928744315686</v>
      </c>
      <c r="J128" s="4" t="n">
        <v>0.18</v>
      </c>
    </row>
    <row r="129" customFormat="false" ht="14.25" hidden="false" customHeight="false" outlineLevel="0" collapsed="false">
      <c r="B129" s="2" t="n">
        <v>12</v>
      </c>
      <c r="C129" s="3" t="n">
        <v>500</v>
      </c>
      <c r="D129" s="4" t="n">
        <v>3.269</v>
      </c>
      <c r="E129" s="2" t="n">
        <v>25</v>
      </c>
      <c r="F129" s="2" t="n">
        <v>31</v>
      </c>
      <c r="G129" s="3" t="n">
        <v>330</v>
      </c>
      <c r="H129" s="12" t="n">
        <v>0.0117247911599868</v>
      </c>
      <c r="I129" s="3" t="n">
        <v>112.144740233866</v>
      </c>
      <c r="J129" s="4" t="n">
        <v>0.23</v>
      </c>
    </row>
    <row r="130" customFormat="false" ht="14.25" hidden="false" customHeight="false" outlineLevel="0" collapsed="false">
      <c r="B130" s="2" t="n">
        <v>12</v>
      </c>
      <c r="C130" s="3" t="n">
        <v>500</v>
      </c>
      <c r="D130" s="4" t="n">
        <v>3.269</v>
      </c>
      <c r="E130" s="2" t="n">
        <v>25</v>
      </c>
      <c r="F130" s="2" t="n">
        <v>31</v>
      </c>
      <c r="G130" s="3" t="n">
        <v>330</v>
      </c>
      <c r="H130" s="12" t="n">
        <v>0.0117247911599868</v>
      </c>
      <c r="I130" s="3" t="n">
        <v>185.396606036163</v>
      </c>
      <c r="J130" s="4" t="n">
        <v>0.25</v>
      </c>
    </row>
    <row r="131" customFormat="false" ht="14.25" hidden="false" customHeight="false" outlineLevel="0" collapsed="false">
      <c r="A131" s="1" t="s">
        <v>52</v>
      </c>
      <c r="B131" s="2" t="n">
        <v>12</v>
      </c>
      <c r="C131" s="3" t="n">
        <v>500</v>
      </c>
      <c r="D131" s="4" t="n">
        <v>3.269</v>
      </c>
      <c r="E131" s="2" t="n">
        <v>25</v>
      </c>
      <c r="F131" s="2" t="n">
        <v>31</v>
      </c>
      <c r="G131" s="3" t="n">
        <v>440</v>
      </c>
      <c r="H131" s="12" t="n">
        <v>0.0120879120879121</v>
      </c>
      <c r="I131" s="3" t="n">
        <v>72.228463882631</v>
      </c>
      <c r="J131" s="4" t="n">
        <v>0.15</v>
      </c>
    </row>
    <row r="132" customFormat="false" ht="14.25" hidden="false" customHeight="false" outlineLevel="0" collapsed="false">
      <c r="B132" s="2" t="n">
        <v>12</v>
      </c>
      <c r="C132" s="3" t="n">
        <v>500</v>
      </c>
      <c r="D132" s="4" t="n">
        <v>3.269</v>
      </c>
      <c r="E132" s="2" t="n">
        <v>25</v>
      </c>
      <c r="F132" s="2" t="n">
        <v>31</v>
      </c>
      <c r="G132" s="3" t="n">
        <v>440</v>
      </c>
      <c r="H132" s="12" t="n">
        <v>0.0120879120879121</v>
      </c>
      <c r="I132" s="3" t="n">
        <v>127.253993639138</v>
      </c>
      <c r="J132" s="4" t="n">
        <v>0.15</v>
      </c>
    </row>
    <row r="133" customFormat="false" ht="14.25" hidden="false" customHeight="false" outlineLevel="0" collapsed="false">
      <c r="B133" s="2" t="n">
        <v>12</v>
      </c>
      <c r="C133" s="3" t="n">
        <v>500</v>
      </c>
      <c r="D133" s="4" t="n">
        <v>3.269</v>
      </c>
      <c r="E133" s="2" t="n">
        <v>25</v>
      </c>
      <c r="F133" s="2" t="n">
        <v>31</v>
      </c>
      <c r="G133" s="3" t="n">
        <v>440</v>
      </c>
      <c r="H133" s="12" t="n">
        <v>0.0120879120879121</v>
      </c>
      <c r="I133" s="3" t="n">
        <v>182.279523395644</v>
      </c>
      <c r="J133" s="4" t="n">
        <v>0.18</v>
      </c>
    </row>
    <row r="134" customFormat="false" ht="14.25" hidden="false" customHeight="false" outlineLevel="0" collapsed="false">
      <c r="A134" s="1" t="s">
        <v>53</v>
      </c>
      <c r="B134" s="2" t="n">
        <v>12</v>
      </c>
      <c r="C134" s="3" t="n">
        <v>500</v>
      </c>
      <c r="D134" s="4" t="n">
        <v>3.269</v>
      </c>
      <c r="E134" s="2" t="n">
        <v>25</v>
      </c>
      <c r="F134" s="2" t="n">
        <v>31</v>
      </c>
      <c r="G134" s="3" t="n">
        <v>440</v>
      </c>
      <c r="H134" s="12" t="n">
        <v>0.0120879120879121</v>
      </c>
      <c r="I134" s="3" t="n">
        <v>72.228463882631</v>
      </c>
      <c r="J134" s="4" t="n">
        <v>0.18</v>
      </c>
    </row>
    <row r="135" customFormat="false" ht="14.25" hidden="false" customHeight="false" outlineLevel="0" collapsed="false">
      <c r="B135" s="2" t="n">
        <v>12</v>
      </c>
      <c r="C135" s="3" t="n">
        <v>500</v>
      </c>
      <c r="D135" s="4" t="n">
        <v>3.269</v>
      </c>
      <c r="E135" s="2" t="n">
        <v>25</v>
      </c>
      <c r="F135" s="2" t="n">
        <v>31</v>
      </c>
      <c r="G135" s="3" t="n">
        <v>440</v>
      </c>
      <c r="H135" s="12" t="n">
        <v>0.0120879120879121</v>
      </c>
      <c r="I135" s="3" t="n">
        <v>127.253993639138</v>
      </c>
      <c r="J135" s="4" t="n">
        <v>0.2</v>
      </c>
    </row>
    <row r="136" customFormat="false" ht="14.25" hidden="false" customHeight="false" outlineLevel="0" collapsed="false">
      <c r="B136" s="2" t="n">
        <v>12</v>
      </c>
      <c r="C136" s="3" t="n">
        <v>500</v>
      </c>
      <c r="D136" s="4" t="n">
        <v>3.269</v>
      </c>
      <c r="E136" s="2" t="n">
        <v>25</v>
      </c>
      <c r="F136" s="2" t="n">
        <v>31</v>
      </c>
      <c r="G136" s="3" t="n">
        <v>440</v>
      </c>
      <c r="H136" s="12" t="n">
        <v>0.0120879120879121</v>
      </c>
      <c r="I136" s="3" t="n">
        <v>182.279523395644</v>
      </c>
      <c r="J136" s="4" t="n">
        <v>0.23</v>
      </c>
    </row>
    <row r="137" customFormat="false" ht="14.25" hidden="false" customHeight="false" outlineLevel="0" collapsed="false">
      <c r="A137" s="1" t="s">
        <v>54</v>
      </c>
      <c r="B137" s="2" t="n">
        <v>10</v>
      </c>
      <c r="C137" s="3" t="n">
        <v>528</v>
      </c>
      <c r="D137" s="4" t="n">
        <v>2.8</v>
      </c>
      <c r="E137" s="2" t="n">
        <v>40</v>
      </c>
      <c r="F137" s="2" t="n">
        <v>45</v>
      </c>
      <c r="G137" s="3" t="n">
        <v>78.5</v>
      </c>
      <c r="H137" s="12" t="n">
        <v>0.00826315789473684</v>
      </c>
      <c r="I137" s="3" t="n">
        <v>99.7811011722766</v>
      </c>
      <c r="J137" s="4" t="n">
        <v>0.16</v>
      </c>
    </row>
    <row r="138" customFormat="false" ht="14.25" hidden="false" customHeight="false" outlineLevel="0" collapsed="false">
      <c r="B138" s="2" t="n">
        <v>10</v>
      </c>
      <c r="C138" s="3" t="n">
        <v>528</v>
      </c>
      <c r="D138" s="4" t="n">
        <v>2.8</v>
      </c>
      <c r="E138" s="2" t="n">
        <v>40</v>
      </c>
      <c r="F138" s="2" t="n">
        <v>45</v>
      </c>
      <c r="G138" s="3" t="n">
        <v>78.5</v>
      </c>
      <c r="H138" s="12" t="n">
        <v>0.00826315789473684</v>
      </c>
      <c r="I138" s="3" t="n">
        <v>133.400989976617</v>
      </c>
      <c r="J138" s="4" t="n">
        <v>0.18</v>
      </c>
    </row>
    <row r="139" customFormat="false" ht="14.25" hidden="false" customHeight="false" outlineLevel="0" collapsed="false">
      <c r="B139" s="2" t="n">
        <v>10</v>
      </c>
      <c r="C139" s="3" t="n">
        <v>528</v>
      </c>
      <c r="D139" s="4" t="n">
        <v>2.8</v>
      </c>
      <c r="E139" s="2" t="n">
        <v>40</v>
      </c>
      <c r="F139" s="2" t="n">
        <v>45</v>
      </c>
      <c r="G139" s="3" t="n">
        <v>78.5</v>
      </c>
      <c r="H139" s="12" t="n">
        <v>0.00826315789473684</v>
      </c>
      <c r="I139" s="3" t="n">
        <v>171.503530621536</v>
      </c>
      <c r="J139" s="4" t="n">
        <v>0.2</v>
      </c>
    </row>
    <row r="140" customFormat="false" ht="14.25" hidden="false" customHeight="false" outlineLevel="0" collapsed="false">
      <c r="B140" s="2" t="n">
        <v>10</v>
      </c>
      <c r="C140" s="3" t="n">
        <v>528</v>
      </c>
      <c r="D140" s="4" t="n">
        <v>2.8</v>
      </c>
      <c r="E140" s="2" t="n">
        <v>40</v>
      </c>
      <c r="F140" s="2" t="n">
        <v>45</v>
      </c>
      <c r="G140" s="3" t="n">
        <v>78.5</v>
      </c>
      <c r="H140" s="12" t="n">
        <v>0.00826315789473684</v>
      </c>
      <c r="I140" s="3" t="n">
        <v>205.123419425876</v>
      </c>
      <c r="J140" s="4" t="n">
        <v>0.22</v>
      </c>
    </row>
    <row r="141" customFormat="false" ht="14.25" hidden="false" customHeight="false" outlineLevel="0" collapsed="false">
      <c r="B141" s="2" t="n">
        <v>10</v>
      </c>
      <c r="C141" s="3" t="n">
        <v>528</v>
      </c>
      <c r="D141" s="4" t="n">
        <v>2.8</v>
      </c>
      <c r="E141" s="2" t="n">
        <v>40</v>
      </c>
      <c r="F141" s="2" t="n">
        <v>45</v>
      </c>
      <c r="G141" s="3" t="n">
        <v>78.5</v>
      </c>
      <c r="H141" s="12" t="n">
        <v>0.00826315789473684</v>
      </c>
      <c r="I141" s="3" t="n">
        <v>243.225960070795</v>
      </c>
      <c r="J141" s="4" t="n">
        <v>0.24</v>
      </c>
    </row>
    <row r="142" customFormat="false" ht="14.25" hidden="false" customHeight="false" outlineLevel="0" collapsed="false">
      <c r="B142" s="2" t="n">
        <v>10</v>
      </c>
      <c r="C142" s="3" t="n">
        <v>528</v>
      </c>
      <c r="D142" s="4" t="n">
        <v>2.8</v>
      </c>
      <c r="E142" s="2" t="n">
        <v>40</v>
      </c>
      <c r="F142" s="2" t="n">
        <v>45</v>
      </c>
      <c r="G142" s="3" t="n">
        <v>78.5</v>
      </c>
      <c r="H142" s="12" t="n">
        <v>0.00826315789473684</v>
      </c>
      <c r="I142" s="3" t="n">
        <v>276.845848875135</v>
      </c>
      <c r="J142" s="4" t="n">
        <v>0.26</v>
      </c>
    </row>
    <row r="143" customFormat="false" ht="14.25" hidden="false" customHeight="false" outlineLevel="0" collapsed="false">
      <c r="B143" s="2" t="n">
        <v>10</v>
      </c>
      <c r="C143" s="3" t="n">
        <v>528</v>
      </c>
      <c r="D143" s="4" t="n">
        <v>2.8</v>
      </c>
      <c r="E143" s="2" t="n">
        <v>40</v>
      </c>
      <c r="F143" s="2" t="n">
        <v>45</v>
      </c>
      <c r="G143" s="3" t="n">
        <v>78.5</v>
      </c>
      <c r="H143" s="12" t="n">
        <v>0.00826315789473684</v>
      </c>
      <c r="I143" s="3" t="n">
        <v>317.189715440343</v>
      </c>
      <c r="J143" s="4" t="n">
        <v>0.28</v>
      </c>
    </row>
    <row r="144" customFormat="false" ht="14.25" hidden="false" customHeight="false" outlineLevel="0" collapsed="false">
      <c r="A144" s="1" t="s">
        <v>55</v>
      </c>
      <c r="B144" s="2" t="n">
        <v>10</v>
      </c>
      <c r="C144" s="3" t="n">
        <v>528</v>
      </c>
      <c r="D144" s="4" t="n">
        <v>2.8</v>
      </c>
      <c r="E144" s="2" t="n">
        <v>40</v>
      </c>
      <c r="F144" s="2" t="n">
        <v>45</v>
      </c>
      <c r="G144" s="3" t="n">
        <v>78.5</v>
      </c>
      <c r="H144" s="12" t="n">
        <v>0.00826315789473684</v>
      </c>
      <c r="I144" s="3" t="n">
        <v>61.6785605273578</v>
      </c>
      <c r="J144" s="4" t="n">
        <v>0.15</v>
      </c>
    </row>
    <row r="145" customFormat="false" ht="14.25" hidden="false" customHeight="false" outlineLevel="0" collapsed="false">
      <c r="B145" s="2" t="n">
        <v>10</v>
      </c>
      <c r="C145" s="3" t="n">
        <v>528</v>
      </c>
      <c r="D145" s="4" t="n">
        <v>2.8</v>
      </c>
      <c r="E145" s="2" t="n">
        <v>40</v>
      </c>
      <c r="F145" s="2" t="n">
        <v>45</v>
      </c>
      <c r="G145" s="3" t="n">
        <v>78.5</v>
      </c>
      <c r="H145" s="12" t="n">
        <v>0.00826315789473684</v>
      </c>
      <c r="I145" s="3" t="n">
        <v>99.7811011722766</v>
      </c>
      <c r="J145" s="4" t="n">
        <v>0.17</v>
      </c>
    </row>
    <row r="146" customFormat="false" ht="14.25" hidden="false" customHeight="false" outlineLevel="0" collapsed="false">
      <c r="B146" s="2" t="n">
        <v>10</v>
      </c>
      <c r="C146" s="3" t="n">
        <v>528</v>
      </c>
      <c r="D146" s="4" t="n">
        <v>2.8</v>
      </c>
      <c r="E146" s="2" t="n">
        <v>40</v>
      </c>
      <c r="F146" s="2" t="n">
        <v>45</v>
      </c>
      <c r="G146" s="3" t="n">
        <v>78.5</v>
      </c>
      <c r="H146" s="12" t="n">
        <v>0.00826315789473684</v>
      </c>
      <c r="I146" s="3" t="n">
        <v>135.642315896906</v>
      </c>
      <c r="J146" s="4" t="n">
        <v>0.19</v>
      </c>
    </row>
    <row r="147" customFormat="false" ht="14.25" hidden="false" customHeight="false" outlineLevel="0" collapsed="false">
      <c r="B147" s="2" t="n">
        <v>10</v>
      </c>
      <c r="C147" s="3" t="n">
        <v>528</v>
      </c>
      <c r="D147" s="4" t="n">
        <v>2.8</v>
      </c>
      <c r="E147" s="2" t="n">
        <v>40</v>
      </c>
      <c r="F147" s="2" t="n">
        <v>45</v>
      </c>
      <c r="G147" s="3" t="n">
        <v>78.5</v>
      </c>
      <c r="H147" s="12" t="n">
        <v>0.00826315789473684</v>
      </c>
      <c r="I147" s="3" t="n">
        <v>168.141541741102</v>
      </c>
      <c r="J147" s="4" t="n">
        <v>0.2</v>
      </c>
    </row>
    <row r="148" customFormat="false" ht="14.25" hidden="false" customHeight="false" outlineLevel="0" collapsed="false">
      <c r="B148" s="2" t="n">
        <v>10</v>
      </c>
      <c r="C148" s="3" t="n">
        <v>528</v>
      </c>
      <c r="D148" s="4" t="n">
        <v>2.8</v>
      </c>
      <c r="E148" s="2" t="n">
        <v>40</v>
      </c>
      <c r="F148" s="2" t="n">
        <v>45</v>
      </c>
      <c r="G148" s="3" t="n">
        <v>78.5</v>
      </c>
      <c r="H148" s="12" t="n">
        <v>0.00826315789473684</v>
      </c>
      <c r="I148" s="3" t="n">
        <v>205.123419425876</v>
      </c>
      <c r="J148" s="4" t="n">
        <v>0.22</v>
      </c>
    </row>
    <row r="149" customFormat="false" ht="14.25" hidden="false" customHeight="false" outlineLevel="0" collapsed="false">
      <c r="B149" s="2" t="n">
        <v>10</v>
      </c>
      <c r="C149" s="3" t="n">
        <v>528</v>
      </c>
      <c r="D149" s="4" t="n">
        <v>2.8</v>
      </c>
      <c r="E149" s="2" t="n">
        <v>40</v>
      </c>
      <c r="F149" s="2" t="n">
        <v>45</v>
      </c>
      <c r="G149" s="3" t="n">
        <v>78.5</v>
      </c>
      <c r="H149" s="12" t="n">
        <v>0.00826315789473684</v>
      </c>
      <c r="I149" s="3" t="n">
        <v>242.10529711065</v>
      </c>
      <c r="J149" s="4" t="n">
        <v>0.24</v>
      </c>
    </row>
    <row r="150" customFormat="false" ht="14.25" hidden="false" customHeight="false" outlineLevel="0" collapsed="false">
      <c r="B150" s="2" t="n">
        <v>10</v>
      </c>
      <c r="C150" s="3" t="n">
        <v>528</v>
      </c>
      <c r="D150" s="4" t="n">
        <v>2.8</v>
      </c>
      <c r="E150" s="2" t="n">
        <v>40</v>
      </c>
      <c r="F150" s="2" t="n">
        <v>45</v>
      </c>
      <c r="G150" s="3" t="n">
        <v>78.5</v>
      </c>
      <c r="H150" s="12" t="n">
        <v>0.00826315789473684</v>
      </c>
      <c r="I150" s="3" t="n">
        <v>273.483859994701</v>
      </c>
      <c r="J150" s="4" t="n">
        <v>0.26</v>
      </c>
    </row>
    <row r="151" customFormat="false" ht="14.25" hidden="false" customHeight="false" outlineLevel="0" collapsed="false">
      <c r="B151" s="2" t="n">
        <v>10</v>
      </c>
      <c r="C151" s="3" t="n">
        <v>528</v>
      </c>
      <c r="D151" s="4" t="n">
        <v>2.8</v>
      </c>
      <c r="E151" s="2" t="n">
        <v>40</v>
      </c>
      <c r="F151" s="2" t="n">
        <v>45</v>
      </c>
      <c r="G151" s="3" t="n">
        <v>78.5</v>
      </c>
      <c r="H151" s="12" t="n">
        <v>0.00826315789473684</v>
      </c>
      <c r="I151" s="3" t="n">
        <v>303.741759918607</v>
      </c>
      <c r="J151" s="4" t="n">
        <v>0.29</v>
      </c>
    </row>
    <row r="152" customFormat="false" ht="14.25" hidden="false" customHeight="false" outlineLevel="0" collapsed="false">
      <c r="A152" s="1" t="s">
        <v>56</v>
      </c>
      <c r="B152" s="2" t="n">
        <v>20</v>
      </c>
      <c r="C152" s="3" t="n">
        <v>598</v>
      </c>
      <c r="D152" s="4" t="n">
        <v>2.8</v>
      </c>
      <c r="E152" s="2" t="n">
        <v>40</v>
      </c>
      <c r="F152" s="2" t="n">
        <v>50</v>
      </c>
      <c r="G152" s="3" t="n">
        <v>315</v>
      </c>
      <c r="H152" s="12" t="n">
        <v>0.021</v>
      </c>
      <c r="I152" s="3" t="n">
        <v>109.165243530495</v>
      </c>
      <c r="J152" s="4" t="n">
        <v>0.17</v>
      </c>
    </row>
    <row r="153" customFormat="false" ht="14.25" hidden="false" customHeight="false" outlineLevel="0" collapsed="false">
      <c r="B153" s="2" t="n">
        <v>20</v>
      </c>
      <c r="C153" s="3" t="n">
        <v>598</v>
      </c>
      <c r="D153" s="4" t="n">
        <v>2.8</v>
      </c>
      <c r="E153" s="2" t="n">
        <v>40</v>
      </c>
      <c r="F153" s="2" t="n">
        <v>50</v>
      </c>
      <c r="G153" s="3" t="n">
        <v>315</v>
      </c>
      <c r="H153" s="12" t="n">
        <v>0.021</v>
      </c>
      <c r="I153" s="3" t="n">
        <v>151.466537335881</v>
      </c>
      <c r="J153" s="4" t="n">
        <v>0.2</v>
      </c>
    </row>
    <row r="154" customFormat="false" ht="14.25" hidden="false" customHeight="false" outlineLevel="0" collapsed="false">
      <c r="B154" s="2" t="n">
        <v>20</v>
      </c>
      <c r="C154" s="3" t="n">
        <v>598</v>
      </c>
      <c r="D154" s="4" t="n">
        <v>2.8</v>
      </c>
      <c r="E154" s="2" t="n">
        <v>40</v>
      </c>
      <c r="F154" s="2" t="n">
        <v>50</v>
      </c>
      <c r="G154" s="3" t="n">
        <v>315</v>
      </c>
      <c r="H154" s="12" t="n">
        <v>0.021</v>
      </c>
      <c r="I154" s="3" t="n">
        <v>194.074012813532</v>
      </c>
      <c r="J154" s="4" t="n">
        <v>0.24</v>
      </c>
    </row>
    <row r="155" customFormat="false" ht="14.25" hidden="false" customHeight="false" outlineLevel="0" collapsed="false">
      <c r="B155" s="2" t="n">
        <v>20</v>
      </c>
      <c r="C155" s="3" t="n">
        <v>598</v>
      </c>
      <c r="D155" s="4" t="n">
        <v>2.8</v>
      </c>
      <c r="E155" s="2" t="n">
        <v>40</v>
      </c>
      <c r="F155" s="2" t="n">
        <v>50</v>
      </c>
      <c r="G155" s="3" t="n">
        <v>315</v>
      </c>
      <c r="H155" s="12" t="n">
        <v>0.021</v>
      </c>
      <c r="I155" s="3" t="n">
        <v>236.446087874179</v>
      </c>
      <c r="J155" s="4" t="n">
        <v>0.27</v>
      </c>
    </row>
    <row r="156" customFormat="false" ht="14.25" hidden="false" customHeight="false" outlineLevel="0" collapsed="false">
      <c r="B156" s="2" t="n">
        <v>20</v>
      </c>
      <c r="C156" s="3" t="n">
        <v>598</v>
      </c>
      <c r="D156" s="4" t="n">
        <v>2.8</v>
      </c>
      <c r="E156" s="2" t="n">
        <v>40</v>
      </c>
      <c r="F156" s="2" t="n">
        <v>50</v>
      </c>
      <c r="G156" s="3" t="n">
        <v>315</v>
      </c>
      <c r="H156" s="12" t="n">
        <v>0.021</v>
      </c>
      <c r="I156" s="3" t="n">
        <v>278.347362100818</v>
      </c>
      <c r="J156" s="4" t="n">
        <v>0.32</v>
      </c>
    </row>
    <row r="157" customFormat="false" ht="14.25" hidden="false" customHeight="false" outlineLevel="0" collapsed="false">
      <c r="B157" s="2" t="n">
        <v>20</v>
      </c>
      <c r="C157" s="3" t="n">
        <v>598</v>
      </c>
      <c r="D157" s="4" t="n">
        <v>2.8</v>
      </c>
      <c r="E157" s="2" t="n">
        <v>40</v>
      </c>
      <c r="F157" s="2" t="n">
        <v>50</v>
      </c>
      <c r="G157" s="3" t="n">
        <v>315</v>
      </c>
      <c r="H157" s="12" t="n">
        <v>0.021</v>
      </c>
      <c r="I157" s="3" t="n">
        <v>321.425638412476</v>
      </c>
      <c r="J157" s="4" t="n">
        <v>0.34</v>
      </c>
    </row>
    <row r="158" customFormat="false" ht="14.25" hidden="false" customHeight="false" outlineLevel="0" collapsed="false">
      <c r="A158" s="1" t="s">
        <v>57</v>
      </c>
      <c r="B158" s="2" t="n">
        <v>20</v>
      </c>
      <c r="C158" s="3" t="n">
        <v>598</v>
      </c>
      <c r="D158" s="4" t="n">
        <v>2.8</v>
      </c>
      <c r="E158" s="2" t="n">
        <v>40</v>
      </c>
      <c r="F158" s="2" t="n">
        <v>50</v>
      </c>
      <c r="G158" s="3" t="n">
        <v>315</v>
      </c>
      <c r="H158" s="12" t="n">
        <v>0.021</v>
      </c>
      <c r="I158" s="3" t="n">
        <v>77.5765264357903</v>
      </c>
      <c r="J158" s="4" t="n">
        <v>0.16</v>
      </c>
    </row>
    <row r="159" customFormat="false" ht="14.25" hidden="false" customHeight="false" outlineLevel="0" collapsed="false">
      <c r="B159" s="2" t="n">
        <v>20</v>
      </c>
      <c r="C159" s="3" t="n">
        <v>598</v>
      </c>
      <c r="D159" s="4" t="n">
        <v>2.8</v>
      </c>
      <c r="E159" s="2" t="n">
        <v>40</v>
      </c>
      <c r="F159" s="2" t="n">
        <v>50</v>
      </c>
      <c r="G159" s="3" t="n">
        <v>315</v>
      </c>
      <c r="H159" s="12" t="n">
        <v>0.021</v>
      </c>
      <c r="I159" s="3" t="n">
        <v>109.709876583852</v>
      </c>
      <c r="J159" s="4" t="n">
        <v>0.2</v>
      </c>
    </row>
    <row r="160" customFormat="false" ht="14.25" hidden="false" customHeight="false" outlineLevel="0" collapsed="false">
      <c r="B160" s="2" t="n">
        <v>20</v>
      </c>
      <c r="C160" s="3" t="n">
        <v>598</v>
      </c>
      <c r="D160" s="4" t="n">
        <v>2.8</v>
      </c>
      <c r="E160" s="2" t="n">
        <v>40</v>
      </c>
      <c r="F160" s="2" t="n">
        <v>50</v>
      </c>
      <c r="G160" s="3" t="n">
        <v>315</v>
      </c>
      <c r="H160" s="12" t="n">
        <v>0.021</v>
      </c>
      <c r="I160" s="3" t="n">
        <v>150.760336084871</v>
      </c>
      <c r="J160" s="4" t="n">
        <v>0.24</v>
      </c>
    </row>
    <row r="161" customFormat="false" ht="14.25" hidden="false" customHeight="false" outlineLevel="0" collapsed="false">
      <c r="B161" s="2" t="n">
        <v>20</v>
      </c>
      <c r="C161" s="3" t="n">
        <v>598</v>
      </c>
      <c r="D161" s="4" t="n">
        <v>2.8</v>
      </c>
      <c r="E161" s="2" t="n">
        <v>40</v>
      </c>
      <c r="F161" s="2" t="n">
        <v>50</v>
      </c>
      <c r="G161" s="3" t="n">
        <v>315</v>
      </c>
      <c r="H161" s="12" t="n">
        <v>0.021</v>
      </c>
      <c r="I161" s="3" t="n">
        <v>192.897010728514</v>
      </c>
      <c r="J161" s="4" t="n">
        <v>0.27</v>
      </c>
    </row>
    <row r="162" customFormat="false" ht="14.25" hidden="false" customHeight="false" outlineLevel="0" collapsed="false">
      <c r="B162" s="2" t="n">
        <v>20</v>
      </c>
      <c r="C162" s="3" t="n">
        <v>598</v>
      </c>
      <c r="D162" s="4" t="n">
        <v>2.8</v>
      </c>
      <c r="E162" s="2" t="n">
        <v>40</v>
      </c>
      <c r="F162" s="2" t="n">
        <v>50</v>
      </c>
      <c r="G162" s="3" t="n">
        <v>315</v>
      </c>
      <c r="H162" s="12" t="n">
        <v>0.021</v>
      </c>
      <c r="I162" s="3" t="n">
        <v>236.681488291182</v>
      </c>
      <c r="J162" s="4" t="n">
        <v>0.29</v>
      </c>
    </row>
    <row r="163" customFormat="false" ht="14.25" hidden="false" customHeight="false" outlineLevel="0" collapsed="false">
      <c r="B163" s="2" t="n">
        <v>20</v>
      </c>
      <c r="C163" s="3" t="n">
        <v>598</v>
      </c>
      <c r="D163" s="4" t="n">
        <v>2.8</v>
      </c>
      <c r="E163" s="2" t="n">
        <v>40</v>
      </c>
      <c r="F163" s="2" t="n">
        <v>50</v>
      </c>
      <c r="G163" s="3" t="n">
        <v>315</v>
      </c>
      <c r="H163" s="12" t="n">
        <v>0.021</v>
      </c>
      <c r="I163" s="3" t="n">
        <v>278.347362100818</v>
      </c>
      <c r="J163" s="4" t="n">
        <v>0.32</v>
      </c>
    </row>
    <row r="164" customFormat="false" ht="14.25" hidden="false" customHeight="false" outlineLevel="0" collapsed="false">
      <c r="B164" s="2" t="n">
        <v>20</v>
      </c>
      <c r="C164" s="3" t="n">
        <v>598</v>
      </c>
      <c r="D164" s="4" t="n">
        <v>2.8</v>
      </c>
      <c r="E164" s="2" t="n">
        <v>40</v>
      </c>
      <c r="F164" s="2" t="n">
        <v>50</v>
      </c>
      <c r="G164" s="3" t="n">
        <v>315</v>
      </c>
      <c r="H164" s="12" t="n">
        <v>0.021</v>
      </c>
      <c r="I164" s="3" t="n">
        <v>298.591797963127</v>
      </c>
      <c r="J164" s="4" t="n">
        <v>0.33</v>
      </c>
    </row>
    <row r="165" customFormat="false" ht="14.25" hidden="false" customHeight="false" outlineLevel="0" collapsed="false">
      <c r="A165" s="1" t="s">
        <v>58</v>
      </c>
      <c r="B165" s="2" t="n">
        <v>10</v>
      </c>
      <c r="C165" s="3" t="n">
        <v>528</v>
      </c>
      <c r="D165" s="4" t="n">
        <v>2.8</v>
      </c>
      <c r="E165" s="2" t="n">
        <v>40</v>
      </c>
      <c r="F165" s="2" t="n">
        <v>45</v>
      </c>
      <c r="G165" s="3" t="n">
        <v>78.5</v>
      </c>
      <c r="H165" s="12" t="n">
        <v>0.00826315789473684</v>
      </c>
      <c r="I165" s="3" t="n">
        <v>160.396623000304</v>
      </c>
      <c r="J165" s="4" t="n">
        <v>0.15</v>
      </c>
    </row>
    <row r="166" customFormat="false" ht="14.25" hidden="false" customHeight="false" outlineLevel="0" collapsed="false">
      <c r="B166" s="2" t="n">
        <v>10</v>
      </c>
      <c r="C166" s="3" t="n">
        <v>528</v>
      </c>
      <c r="D166" s="4" t="n">
        <v>2.8</v>
      </c>
      <c r="E166" s="2" t="n">
        <v>40</v>
      </c>
      <c r="F166" s="2" t="n">
        <v>45</v>
      </c>
      <c r="G166" s="3" t="n">
        <v>78.5</v>
      </c>
      <c r="H166" s="12" t="n">
        <v>0.00826315789473684</v>
      </c>
      <c r="I166" s="3" t="n">
        <v>193.878640306356</v>
      </c>
      <c r="J166" s="4" t="n">
        <v>0.19</v>
      </c>
    </row>
    <row r="167" customFormat="false" ht="14.25" hidden="false" customHeight="false" outlineLevel="0" collapsed="false">
      <c r="B167" s="2" t="n">
        <v>10</v>
      </c>
      <c r="C167" s="3" t="n">
        <v>528</v>
      </c>
      <c r="D167" s="4" t="n">
        <v>2.8</v>
      </c>
      <c r="E167" s="2" t="n">
        <v>40</v>
      </c>
      <c r="F167" s="2" t="n">
        <v>45</v>
      </c>
      <c r="G167" s="3" t="n">
        <v>78.5</v>
      </c>
      <c r="H167" s="12" t="n">
        <v>0.00826315789473684</v>
      </c>
      <c r="I167" s="3" t="n">
        <v>200.575043767567</v>
      </c>
      <c r="J167" s="4" t="n">
        <v>0.2</v>
      </c>
    </row>
    <row r="168" customFormat="false" ht="14.25" hidden="false" customHeight="false" outlineLevel="0" collapsed="false">
      <c r="B168" s="2" t="n">
        <v>10</v>
      </c>
      <c r="C168" s="3" t="n">
        <v>528</v>
      </c>
      <c r="D168" s="4" t="n">
        <v>2.8</v>
      </c>
      <c r="E168" s="2" t="n">
        <v>40</v>
      </c>
      <c r="F168" s="2" t="n">
        <v>45</v>
      </c>
      <c r="G168" s="3" t="n">
        <v>78.5</v>
      </c>
      <c r="H168" s="12" t="n">
        <v>0.00826315789473684</v>
      </c>
      <c r="I168" s="3" t="n">
        <v>228.848747270455</v>
      </c>
      <c r="J168" s="4" t="n">
        <v>0.23</v>
      </c>
    </row>
    <row r="169" customFormat="false" ht="14.25" hidden="false" customHeight="false" outlineLevel="0" collapsed="false">
      <c r="B169" s="2" t="n">
        <v>10</v>
      </c>
      <c r="C169" s="3" t="n">
        <v>528</v>
      </c>
      <c r="D169" s="4" t="n">
        <v>2.8</v>
      </c>
      <c r="E169" s="2" t="n">
        <v>40</v>
      </c>
      <c r="F169" s="2" t="n">
        <v>45</v>
      </c>
      <c r="G169" s="3" t="n">
        <v>78.5</v>
      </c>
      <c r="H169" s="12" t="n">
        <v>0.00826315789473684</v>
      </c>
      <c r="I169" s="3" t="n">
        <v>248.193912825063</v>
      </c>
      <c r="J169" s="4" t="n">
        <v>0.25</v>
      </c>
    </row>
    <row r="170" customFormat="false" ht="14.25" hidden="false" customHeight="false" outlineLevel="0" collapsed="false">
      <c r="B170" s="2" t="n">
        <v>10</v>
      </c>
      <c r="C170" s="3" t="n">
        <v>528</v>
      </c>
      <c r="D170" s="4" t="n">
        <v>2.8</v>
      </c>
      <c r="E170" s="2" t="n">
        <v>40</v>
      </c>
      <c r="F170" s="2" t="n">
        <v>45</v>
      </c>
      <c r="G170" s="3" t="n">
        <v>78.5</v>
      </c>
      <c r="H170" s="12" t="n">
        <v>0.00826315789473684</v>
      </c>
      <c r="I170" s="3" t="n">
        <v>269.771212866741</v>
      </c>
      <c r="J170" s="4" t="n">
        <v>0.28</v>
      </c>
    </row>
    <row r="171" customFormat="false" ht="14.25" hidden="false" customHeight="false" outlineLevel="0" collapsed="false">
      <c r="B171" s="2" t="n">
        <v>10</v>
      </c>
      <c r="C171" s="3" t="n">
        <v>528</v>
      </c>
      <c r="D171" s="4" t="n">
        <v>2.8</v>
      </c>
      <c r="E171" s="2" t="n">
        <v>40</v>
      </c>
      <c r="F171" s="2" t="n">
        <v>45</v>
      </c>
      <c r="G171" s="3" t="n">
        <v>78.5</v>
      </c>
      <c r="H171" s="12" t="n">
        <v>0.00826315789473684</v>
      </c>
      <c r="I171" s="3" t="n">
        <v>289.116378421349</v>
      </c>
      <c r="J171" s="4" t="n">
        <v>0.31</v>
      </c>
    </row>
    <row r="172" customFormat="false" ht="14.25" hidden="false" customHeight="false" outlineLevel="0" collapsed="false">
      <c r="B172" s="2" t="n">
        <v>10</v>
      </c>
      <c r="C172" s="3" t="n">
        <v>528</v>
      </c>
      <c r="D172" s="4" t="n">
        <v>2.8</v>
      </c>
      <c r="E172" s="2" t="n">
        <v>40</v>
      </c>
      <c r="F172" s="2" t="n">
        <v>45</v>
      </c>
      <c r="G172" s="3" t="n">
        <v>78.5</v>
      </c>
      <c r="H172" s="12" t="n">
        <v>0.00826315789473684</v>
      </c>
      <c r="I172" s="3" t="n">
        <v>312.181768121074</v>
      </c>
      <c r="J172" s="4" t="n">
        <v>0.36</v>
      </c>
    </row>
    <row r="173" customFormat="false" ht="14.25" hidden="false" customHeight="false" outlineLevel="0" collapsed="false">
      <c r="A173" s="1" t="s">
        <v>59</v>
      </c>
      <c r="B173" s="2" t="n">
        <v>10</v>
      </c>
      <c r="C173" s="3" t="n">
        <v>528</v>
      </c>
      <c r="D173" s="4" t="n">
        <v>2.8</v>
      </c>
      <c r="E173" s="2" t="n">
        <v>40</v>
      </c>
      <c r="F173" s="2" t="n">
        <v>45</v>
      </c>
      <c r="G173" s="3" t="n">
        <v>78.5</v>
      </c>
      <c r="H173" s="12" t="n">
        <v>0.00826315789473684</v>
      </c>
      <c r="I173" s="3" t="n">
        <v>158.164488513234</v>
      </c>
      <c r="J173" s="4" t="n">
        <v>0.16</v>
      </c>
    </row>
    <row r="174" customFormat="false" ht="14.25" hidden="false" customHeight="false" outlineLevel="0" collapsed="false">
      <c r="B174" s="2" t="n">
        <v>10</v>
      </c>
      <c r="C174" s="3" t="n">
        <v>528</v>
      </c>
      <c r="D174" s="4" t="n">
        <v>2.8</v>
      </c>
      <c r="E174" s="2" t="n">
        <v>40</v>
      </c>
      <c r="F174" s="2" t="n">
        <v>45</v>
      </c>
      <c r="G174" s="3" t="n">
        <v>78.5</v>
      </c>
      <c r="H174" s="12" t="n">
        <v>0.00826315789473684</v>
      </c>
      <c r="I174" s="3" t="n">
        <v>180.485833383936</v>
      </c>
      <c r="J174" s="4" t="n">
        <v>0.18</v>
      </c>
    </row>
    <row r="175" customFormat="false" ht="14.25" hidden="false" customHeight="false" outlineLevel="0" collapsed="false">
      <c r="B175" s="2" t="n">
        <v>10</v>
      </c>
      <c r="C175" s="3" t="n">
        <v>528</v>
      </c>
      <c r="D175" s="4" t="n">
        <v>2.8</v>
      </c>
      <c r="E175" s="2" t="n">
        <v>40</v>
      </c>
      <c r="F175" s="2" t="n">
        <v>45</v>
      </c>
      <c r="G175" s="3" t="n">
        <v>78.5</v>
      </c>
      <c r="H175" s="12" t="n">
        <v>0.00826315789473684</v>
      </c>
      <c r="I175" s="3" t="n">
        <v>201.31908859659</v>
      </c>
      <c r="J175" s="4" t="n">
        <v>0.2</v>
      </c>
    </row>
    <row r="176" customFormat="false" ht="14.25" hidden="false" customHeight="false" outlineLevel="0" collapsed="false">
      <c r="B176" s="2" t="n">
        <v>10</v>
      </c>
      <c r="C176" s="3" t="n">
        <v>528</v>
      </c>
      <c r="D176" s="4" t="n">
        <v>2.8</v>
      </c>
      <c r="E176" s="2" t="n">
        <v>40</v>
      </c>
      <c r="F176" s="2" t="n">
        <v>45</v>
      </c>
      <c r="G176" s="3" t="n">
        <v>78.5</v>
      </c>
      <c r="H176" s="12" t="n">
        <v>0.00826315789473684</v>
      </c>
      <c r="I176" s="3" t="n">
        <v>222.896388638268</v>
      </c>
      <c r="J176" s="4" t="n">
        <v>0.23</v>
      </c>
    </row>
    <row r="177" customFormat="false" ht="14.25" hidden="false" customHeight="false" outlineLevel="0" collapsed="false">
      <c r="B177" s="2" t="n">
        <v>10</v>
      </c>
      <c r="C177" s="3" t="n">
        <v>528</v>
      </c>
      <c r="D177" s="4" t="n">
        <v>2.8</v>
      </c>
      <c r="E177" s="2" t="n">
        <v>40</v>
      </c>
      <c r="F177" s="2" t="n">
        <v>45</v>
      </c>
      <c r="G177" s="3" t="n">
        <v>78.5</v>
      </c>
      <c r="H177" s="12" t="n">
        <v>0.00826315789473684</v>
      </c>
      <c r="I177" s="3" t="n">
        <v>245.961778337993</v>
      </c>
      <c r="J177" s="4" t="n">
        <v>0.24</v>
      </c>
    </row>
    <row r="178" customFormat="false" ht="14.25" hidden="false" customHeight="false" outlineLevel="0" collapsed="false">
      <c r="B178" s="2" t="n">
        <v>10</v>
      </c>
      <c r="C178" s="3" t="n">
        <v>528</v>
      </c>
      <c r="D178" s="4" t="n">
        <v>2.8</v>
      </c>
      <c r="E178" s="2" t="n">
        <v>40</v>
      </c>
      <c r="F178" s="2" t="n">
        <v>45</v>
      </c>
      <c r="G178" s="3" t="n">
        <v>78.5</v>
      </c>
      <c r="H178" s="12" t="n">
        <v>0.00826315789473684</v>
      </c>
      <c r="I178" s="3" t="n">
        <v>269.771212866741</v>
      </c>
      <c r="J178" s="4" t="n">
        <v>0.25</v>
      </c>
    </row>
    <row r="179" customFormat="false" ht="14.25" hidden="false" customHeight="false" outlineLevel="0" collapsed="false">
      <c r="B179" s="2" t="n">
        <v>10</v>
      </c>
      <c r="C179" s="3" t="n">
        <v>528</v>
      </c>
      <c r="D179" s="4" t="n">
        <v>2.8</v>
      </c>
      <c r="E179" s="2" t="n">
        <v>40</v>
      </c>
      <c r="F179" s="2" t="n">
        <v>45</v>
      </c>
      <c r="G179" s="3" t="n">
        <v>78.5</v>
      </c>
      <c r="H179" s="12" t="n">
        <v>0.00826315789473684</v>
      </c>
      <c r="I179" s="3" t="n">
        <v>291.348512908419</v>
      </c>
      <c r="J179" s="4" t="n">
        <v>0.27</v>
      </c>
    </row>
    <row r="180" customFormat="false" ht="14.25" hidden="false" customHeight="false" outlineLevel="0" collapsed="false">
      <c r="B180" s="2" t="n">
        <v>10</v>
      </c>
      <c r="C180" s="3" t="n">
        <v>528</v>
      </c>
      <c r="D180" s="4" t="n">
        <v>2.8</v>
      </c>
      <c r="E180" s="2" t="n">
        <v>40</v>
      </c>
      <c r="F180" s="2" t="n">
        <v>45</v>
      </c>
      <c r="G180" s="3" t="n">
        <v>78.5</v>
      </c>
      <c r="H180" s="12" t="n">
        <v>0.00826315789473684</v>
      </c>
      <c r="I180" s="3" t="n">
        <v>310.693678463027</v>
      </c>
      <c r="J180" s="4" t="n">
        <v>0.29</v>
      </c>
    </row>
    <row r="181" customFormat="false" ht="14.25" hidden="false" customHeight="false" outlineLevel="0" collapsed="false">
      <c r="A181" s="1" t="s">
        <v>60</v>
      </c>
      <c r="B181" s="2" t="n">
        <v>10</v>
      </c>
      <c r="C181" s="3" t="n">
        <v>528</v>
      </c>
      <c r="D181" s="4" t="n">
        <v>2.8</v>
      </c>
      <c r="E181" s="2" t="n">
        <v>40</v>
      </c>
      <c r="F181" s="2" t="n">
        <v>45</v>
      </c>
      <c r="G181" s="3" t="n">
        <v>78.5</v>
      </c>
      <c r="H181" s="12" t="n">
        <v>0.00826315789473684</v>
      </c>
      <c r="I181" s="3" t="n">
        <v>182.717967871006</v>
      </c>
      <c r="J181" s="4" t="n">
        <v>0.15</v>
      </c>
    </row>
    <row r="182" customFormat="false" ht="14.25" hidden="false" customHeight="false" outlineLevel="0" collapsed="false">
      <c r="B182" s="2" t="n">
        <v>10</v>
      </c>
      <c r="C182" s="3" t="n">
        <v>528</v>
      </c>
      <c r="D182" s="4" t="n">
        <v>2.8</v>
      </c>
      <c r="E182" s="2" t="n">
        <v>40</v>
      </c>
      <c r="F182" s="2" t="n">
        <v>45</v>
      </c>
      <c r="G182" s="3" t="n">
        <v>78.5</v>
      </c>
      <c r="H182" s="12" t="n">
        <v>0.00826315789473684</v>
      </c>
      <c r="I182" s="3" t="n">
        <v>204.295267912684</v>
      </c>
      <c r="J182" s="4" t="n">
        <v>0.16</v>
      </c>
    </row>
    <row r="183" customFormat="false" ht="14.25" hidden="false" customHeight="false" outlineLevel="0" collapsed="false">
      <c r="B183" s="2" t="n">
        <v>10</v>
      </c>
      <c r="C183" s="3" t="n">
        <v>528</v>
      </c>
      <c r="D183" s="4" t="n">
        <v>2.8</v>
      </c>
      <c r="E183" s="2" t="n">
        <v>40</v>
      </c>
      <c r="F183" s="2" t="n">
        <v>45</v>
      </c>
      <c r="G183" s="3" t="n">
        <v>78.5</v>
      </c>
      <c r="H183" s="12" t="n">
        <v>0.00826315789473684</v>
      </c>
      <c r="I183" s="3" t="n">
        <v>234.801105902642</v>
      </c>
      <c r="J183" s="4" t="n">
        <v>0.18</v>
      </c>
    </row>
    <row r="184" customFormat="false" ht="14.25" hidden="false" customHeight="false" outlineLevel="0" collapsed="false">
      <c r="B184" s="2" t="n">
        <v>10</v>
      </c>
      <c r="C184" s="3" t="n">
        <v>528</v>
      </c>
      <c r="D184" s="4" t="n">
        <v>2.8</v>
      </c>
      <c r="E184" s="2" t="n">
        <v>40</v>
      </c>
      <c r="F184" s="2" t="n">
        <v>45</v>
      </c>
      <c r="G184" s="3" t="n">
        <v>78.5</v>
      </c>
      <c r="H184" s="12" t="n">
        <v>0.00826315789473684</v>
      </c>
      <c r="I184" s="3" t="n">
        <v>252.658181799204</v>
      </c>
      <c r="J184" s="4" t="n">
        <v>0.18</v>
      </c>
    </row>
    <row r="185" customFormat="false" ht="14.25" hidden="false" customHeight="false" outlineLevel="0" collapsed="false">
      <c r="B185" s="2" t="n">
        <v>10</v>
      </c>
      <c r="C185" s="3" t="n">
        <v>528</v>
      </c>
      <c r="D185" s="4" t="n">
        <v>2.8</v>
      </c>
      <c r="E185" s="2" t="n">
        <v>40</v>
      </c>
      <c r="F185" s="2" t="n">
        <v>45</v>
      </c>
      <c r="G185" s="3" t="n">
        <v>78.5</v>
      </c>
      <c r="H185" s="12" t="n">
        <v>0.00826315789473684</v>
      </c>
      <c r="I185" s="3" t="n">
        <v>269.771212866741</v>
      </c>
      <c r="J185" s="4" t="n">
        <v>0.19</v>
      </c>
    </row>
    <row r="186" customFormat="false" ht="14.25" hidden="false" customHeight="false" outlineLevel="0" collapsed="false">
      <c r="B186" s="2" t="n">
        <v>10</v>
      </c>
      <c r="C186" s="3" t="n">
        <v>528</v>
      </c>
      <c r="D186" s="4" t="n">
        <v>2.8</v>
      </c>
      <c r="E186" s="2" t="n">
        <v>40</v>
      </c>
      <c r="F186" s="2" t="n">
        <v>45</v>
      </c>
      <c r="G186" s="3" t="n">
        <v>78.5</v>
      </c>
      <c r="H186" s="12" t="n">
        <v>0.00826315789473684</v>
      </c>
      <c r="I186" s="3" t="n">
        <v>288.372333592326</v>
      </c>
      <c r="J186" s="4" t="n">
        <v>0.2</v>
      </c>
    </row>
    <row r="187" customFormat="false" ht="14.25" hidden="false" customHeight="false" outlineLevel="0" collapsed="false">
      <c r="B187" s="2" t="n">
        <v>10</v>
      </c>
      <c r="C187" s="3" t="n">
        <v>528</v>
      </c>
      <c r="D187" s="4" t="n">
        <v>2.8</v>
      </c>
      <c r="E187" s="2" t="n">
        <v>40</v>
      </c>
      <c r="F187" s="2" t="n">
        <v>45</v>
      </c>
      <c r="G187" s="3" t="n">
        <v>78.5</v>
      </c>
      <c r="H187" s="12" t="n">
        <v>0.00826315789473684</v>
      </c>
      <c r="I187" s="3" t="n">
        <v>312.925812950098</v>
      </c>
      <c r="J187" s="4" t="n">
        <v>0.22</v>
      </c>
    </row>
    <row r="188" customFormat="false" ht="14.25" hidden="false" customHeight="false" outlineLevel="0" collapsed="false">
      <c r="A188" s="1" t="s">
        <v>61</v>
      </c>
      <c r="B188" s="2" t="n">
        <v>20</v>
      </c>
      <c r="C188" s="3" t="n">
        <v>598</v>
      </c>
      <c r="D188" s="4" t="n">
        <v>2.8</v>
      </c>
      <c r="E188" s="2" t="n">
        <v>40</v>
      </c>
      <c r="F188" s="2" t="n">
        <v>50</v>
      </c>
      <c r="G188" s="3" t="n">
        <v>315</v>
      </c>
      <c r="H188" s="12" t="n">
        <v>0.021</v>
      </c>
      <c r="I188" s="3" t="n">
        <v>138.052653306689</v>
      </c>
      <c r="J188" s="4" t="n">
        <v>0.16</v>
      </c>
    </row>
    <row r="189" customFormat="false" ht="14.25" hidden="false" customHeight="false" outlineLevel="0" collapsed="false">
      <c r="B189" s="2" t="n">
        <v>20</v>
      </c>
      <c r="C189" s="3" t="n">
        <v>598</v>
      </c>
      <c r="D189" s="4" t="n">
        <v>2.8</v>
      </c>
      <c r="E189" s="2" t="n">
        <v>40</v>
      </c>
      <c r="F189" s="2" t="n">
        <v>50</v>
      </c>
      <c r="G189" s="3" t="n">
        <v>315</v>
      </c>
      <c r="H189" s="12" t="n">
        <v>0.021</v>
      </c>
      <c r="I189" s="3" t="n">
        <v>183.385209492254</v>
      </c>
      <c r="J189" s="4" t="n">
        <v>0.2</v>
      </c>
    </row>
    <row r="190" customFormat="false" ht="14.25" hidden="false" customHeight="false" outlineLevel="0" collapsed="false">
      <c r="B190" s="2" t="n">
        <v>20</v>
      </c>
      <c r="C190" s="3" t="n">
        <v>598</v>
      </c>
      <c r="D190" s="4" t="n">
        <v>2.8</v>
      </c>
      <c r="E190" s="2" t="n">
        <v>40</v>
      </c>
      <c r="F190" s="2" t="n">
        <v>50</v>
      </c>
      <c r="G190" s="3" t="n">
        <v>315</v>
      </c>
      <c r="H190" s="12" t="n">
        <v>0.021</v>
      </c>
      <c r="I190" s="3" t="n">
        <v>228.564095995833</v>
      </c>
      <c r="J190" s="4" t="n">
        <v>0.23</v>
      </c>
    </row>
    <row r="191" customFormat="false" ht="14.25" hidden="false" customHeight="false" outlineLevel="0" collapsed="false">
      <c r="A191" s="1" t="s">
        <v>62</v>
      </c>
      <c r="B191" s="2" t="n">
        <v>20</v>
      </c>
      <c r="C191" s="3" t="n">
        <v>598</v>
      </c>
      <c r="D191" s="4" t="n">
        <v>2.8</v>
      </c>
      <c r="E191" s="2" t="n">
        <v>40</v>
      </c>
      <c r="F191" s="2" t="n">
        <v>50</v>
      </c>
      <c r="G191" s="3" t="n">
        <v>315</v>
      </c>
      <c r="H191" s="12" t="n">
        <v>0.021</v>
      </c>
      <c r="I191" s="3" t="n">
        <v>152.450291925162</v>
      </c>
      <c r="J191" s="4" t="n">
        <v>0.14</v>
      </c>
    </row>
    <row r="192" customFormat="false" ht="14.25" hidden="false" customHeight="false" outlineLevel="0" collapsed="false">
      <c r="B192" s="2" t="n">
        <v>20</v>
      </c>
      <c r="C192" s="3" t="n">
        <v>598</v>
      </c>
      <c r="D192" s="4" t="n">
        <v>2.8</v>
      </c>
      <c r="E192" s="2" t="n">
        <v>40</v>
      </c>
      <c r="F192" s="2" t="n">
        <v>50</v>
      </c>
      <c r="G192" s="3" t="n">
        <v>315</v>
      </c>
      <c r="H192" s="12" t="n">
        <v>0.021</v>
      </c>
      <c r="I192" s="3" t="n">
        <v>195.554342766269</v>
      </c>
      <c r="J192" s="4" t="n">
        <v>0.17</v>
      </c>
    </row>
    <row r="193" customFormat="false" ht="14.25" hidden="false" customHeight="false" outlineLevel="0" collapsed="false">
      <c r="B193" s="2" t="n">
        <v>20</v>
      </c>
      <c r="C193" s="3" t="n">
        <v>598</v>
      </c>
      <c r="D193" s="4" t="n">
        <v>2.8</v>
      </c>
      <c r="E193" s="2" t="n">
        <v>40</v>
      </c>
      <c r="F193" s="2" t="n">
        <v>50</v>
      </c>
      <c r="G193" s="3" t="n">
        <v>315</v>
      </c>
      <c r="H193" s="12" t="n">
        <v>0.021</v>
      </c>
      <c r="I193" s="3" t="n">
        <v>237.919989367084</v>
      </c>
      <c r="J193" s="4" t="n">
        <v>0.21</v>
      </c>
    </row>
    <row r="194" customFormat="false" ht="14.25" hidden="false" customHeight="false" outlineLevel="0" collapsed="false">
      <c r="A194" s="1" t="s">
        <v>63</v>
      </c>
      <c r="B194" s="2" t="n">
        <v>20</v>
      </c>
      <c r="C194" s="3" t="n">
        <v>598</v>
      </c>
      <c r="D194" s="4" t="n">
        <v>2.8</v>
      </c>
      <c r="E194" s="2" t="n">
        <v>40</v>
      </c>
      <c r="F194" s="2" t="n">
        <v>50</v>
      </c>
      <c r="G194" s="3" t="n">
        <v>315</v>
      </c>
      <c r="H194" s="12" t="n">
        <v>0.021</v>
      </c>
      <c r="I194" s="3" t="n">
        <v>62.1356715374158</v>
      </c>
      <c r="J194" s="4" t="n">
        <v>0.21</v>
      </c>
    </row>
    <row r="195" customFormat="false" ht="14.25" hidden="false" customHeight="false" outlineLevel="0" collapsed="false">
      <c r="B195" s="2" t="n">
        <v>20</v>
      </c>
      <c r="C195" s="3" t="n">
        <v>598</v>
      </c>
      <c r="D195" s="4" t="n">
        <v>2.8</v>
      </c>
      <c r="E195" s="2" t="n">
        <v>40</v>
      </c>
      <c r="F195" s="2" t="n">
        <v>50</v>
      </c>
      <c r="G195" s="3" t="n">
        <v>315</v>
      </c>
      <c r="H195" s="12" t="n">
        <v>0.021</v>
      </c>
      <c r="I195" s="3" t="n">
        <v>98.1634338054311</v>
      </c>
      <c r="J195" s="4" t="n">
        <v>0.25</v>
      </c>
    </row>
    <row r="196" customFormat="false" ht="14.25" hidden="false" customHeight="false" outlineLevel="0" collapsed="false">
      <c r="B196" s="2" t="n">
        <v>20</v>
      </c>
      <c r="C196" s="3" t="n">
        <v>598</v>
      </c>
      <c r="D196" s="4" t="n">
        <v>2.8</v>
      </c>
      <c r="E196" s="2" t="n">
        <v>40</v>
      </c>
      <c r="F196" s="2" t="n">
        <v>50</v>
      </c>
      <c r="G196" s="3" t="n">
        <v>315</v>
      </c>
      <c r="H196" s="12" t="n">
        <v>0.021</v>
      </c>
      <c r="I196" s="3" t="n">
        <v>137.284304896764</v>
      </c>
      <c r="J196" s="4" t="n">
        <v>0.29</v>
      </c>
    </row>
    <row r="197" customFormat="false" ht="14.25" hidden="false" customHeight="false" outlineLevel="0" collapsed="false">
      <c r="B197" s="2" t="n">
        <v>20</v>
      </c>
      <c r="C197" s="3" t="n">
        <v>598</v>
      </c>
      <c r="D197" s="4" t="n">
        <v>2.8</v>
      </c>
      <c r="E197" s="2" t="n">
        <v>40</v>
      </c>
      <c r="F197" s="2" t="n">
        <v>50</v>
      </c>
      <c r="G197" s="3" t="n">
        <v>315</v>
      </c>
      <c r="H197" s="12" t="n">
        <v>0.021</v>
      </c>
      <c r="I197" s="3" t="n">
        <v>181.541173308434</v>
      </c>
      <c r="J197" s="4" t="n">
        <v>0.33</v>
      </c>
    </row>
    <row r="198" customFormat="false" ht="14.25" hidden="false" customHeight="false" outlineLevel="0" collapsed="false">
      <c r="B198" s="2" t="n">
        <v>20</v>
      </c>
      <c r="C198" s="3" t="n">
        <v>598</v>
      </c>
      <c r="D198" s="4" t="n">
        <v>2.8</v>
      </c>
      <c r="E198" s="2" t="n">
        <v>40</v>
      </c>
      <c r="F198" s="2" t="n">
        <v>50</v>
      </c>
      <c r="G198" s="3" t="n">
        <v>315</v>
      </c>
      <c r="H198" s="12" t="n">
        <v>0.021</v>
      </c>
      <c r="I198" s="3" t="n">
        <v>244.084733876315</v>
      </c>
      <c r="J198" s="4" t="n">
        <v>0.37</v>
      </c>
    </row>
    <row r="199" customFormat="false" ht="14.25" hidden="false" customHeight="false" outlineLevel="0" collapsed="false">
      <c r="A199" s="1" t="s">
        <v>64</v>
      </c>
      <c r="B199" s="2" t="n">
        <v>20</v>
      </c>
      <c r="C199" s="3" t="n">
        <v>430</v>
      </c>
      <c r="D199" s="4" t="n">
        <v>3.50882128585544</v>
      </c>
      <c r="E199" s="2" t="n">
        <v>50</v>
      </c>
      <c r="F199" s="2" t="n">
        <v>64</v>
      </c>
      <c r="G199" s="3" t="n">
        <v>1884</v>
      </c>
      <c r="H199" s="12" t="n">
        <v>0.0191463414634146</v>
      </c>
      <c r="I199" s="3" t="n">
        <v>56.9759910016755</v>
      </c>
      <c r="J199" s="4" t="n">
        <v>0.15</v>
      </c>
    </row>
    <row r="200" customFormat="false" ht="14.25" hidden="false" customHeight="false" outlineLevel="0" collapsed="false">
      <c r="B200" s="2" t="n">
        <v>20</v>
      </c>
      <c r="C200" s="3" t="n">
        <v>430</v>
      </c>
      <c r="D200" s="4" t="n">
        <v>3.50882128585544</v>
      </c>
      <c r="E200" s="2" t="n">
        <v>50</v>
      </c>
      <c r="F200" s="2" t="n">
        <v>64</v>
      </c>
      <c r="G200" s="3" t="n">
        <v>1884</v>
      </c>
      <c r="H200" s="12" t="n">
        <v>0.0191463414634146</v>
      </c>
      <c r="I200" s="3" t="n">
        <v>112.968616956582</v>
      </c>
      <c r="J200" s="4" t="n">
        <v>0.23</v>
      </c>
    </row>
    <row r="201" customFormat="false" ht="14.25" hidden="false" customHeight="false" outlineLevel="0" collapsed="false">
      <c r="B201" s="2" t="n">
        <v>20</v>
      </c>
      <c r="C201" s="3" t="n">
        <v>430</v>
      </c>
      <c r="D201" s="4" t="n">
        <v>3.50882128585544</v>
      </c>
      <c r="E201" s="2" t="n">
        <v>50</v>
      </c>
      <c r="F201" s="2" t="n">
        <v>64</v>
      </c>
      <c r="G201" s="3" t="n">
        <v>1884</v>
      </c>
      <c r="H201" s="12" t="n">
        <v>0.0191463414634146</v>
      </c>
      <c r="I201" s="3" t="n">
        <v>177.025770772034</v>
      </c>
      <c r="J201" s="4" t="n">
        <v>0.28</v>
      </c>
    </row>
    <row r="202" customFormat="false" ht="14.25" hidden="false" customHeight="false" outlineLevel="0" collapsed="false">
      <c r="A202" s="1" t="s">
        <v>65</v>
      </c>
      <c r="B202" s="2" t="n">
        <v>20</v>
      </c>
      <c r="C202" s="3" t="n">
        <v>430</v>
      </c>
      <c r="D202" s="4" t="n">
        <v>3.50882128585544</v>
      </c>
      <c r="E202" s="2" t="n">
        <v>50</v>
      </c>
      <c r="F202" s="2" t="n">
        <v>64</v>
      </c>
      <c r="G202" s="3" t="n">
        <v>2826</v>
      </c>
      <c r="H202" s="12" t="n">
        <v>0.028719512195122</v>
      </c>
      <c r="I202" s="3" t="n">
        <v>90.5801799423233</v>
      </c>
      <c r="J202" s="4" t="n">
        <v>0.18</v>
      </c>
    </row>
    <row r="203" customFormat="false" ht="14.25" hidden="false" customHeight="false" outlineLevel="0" collapsed="false">
      <c r="B203" s="2" t="n">
        <v>20</v>
      </c>
      <c r="C203" s="3" t="n">
        <v>430</v>
      </c>
      <c r="D203" s="4" t="n">
        <v>3.50882128585544</v>
      </c>
      <c r="E203" s="2" t="n">
        <v>50</v>
      </c>
      <c r="F203" s="2" t="n">
        <v>64</v>
      </c>
      <c r="G203" s="3" t="n">
        <v>2826</v>
      </c>
      <c r="H203" s="12" t="n">
        <v>0.028719512195122</v>
      </c>
      <c r="I203" s="3" t="n">
        <v>140.611556966765</v>
      </c>
      <c r="J203" s="4" t="n">
        <v>0.26</v>
      </c>
    </row>
    <row r="204" customFormat="false" ht="14.25" hidden="false" customHeight="false" outlineLevel="0" collapsed="false">
      <c r="B204" s="2" t="n">
        <v>20</v>
      </c>
      <c r="C204" s="3" t="n">
        <v>430</v>
      </c>
      <c r="D204" s="4" t="n">
        <v>3.50882128585544</v>
      </c>
      <c r="E204" s="2" t="n">
        <v>50</v>
      </c>
      <c r="F204" s="2" t="n">
        <v>64</v>
      </c>
      <c r="G204" s="3" t="n">
        <v>2826</v>
      </c>
      <c r="H204" s="12" t="n">
        <v>0.028719512195122</v>
      </c>
      <c r="I204" s="3" t="n">
        <v>197.181217674082</v>
      </c>
      <c r="J204" s="4" t="n">
        <v>0.34</v>
      </c>
    </row>
    <row r="205" customFormat="false" ht="14.25" hidden="false" customHeight="false" outlineLevel="0" collapsed="false">
      <c r="A205" s="1" t="s">
        <v>66</v>
      </c>
      <c r="B205" s="2" t="n">
        <v>16</v>
      </c>
      <c r="C205" s="3" t="n">
        <v>528</v>
      </c>
      <c r="D205" s="4" t="n">
        <v>3.42</v>
      </c>
      <c r="E205" s="2" t="n">
        <v>27</v>
      </c>
      <c r="F205" s="2" t="n">
        <v>35</v>
      </c>
      <c r="G205" s="3" t="n">
        <v>402</v>
      </c>
      <c r="H205" s="12" t="n">
        <v>0.023304347826087</v>
      </c>
      <c r="I205" s="3" t="n">
        <v>148.381408652443</v>
      </c>
      <c r="J205" s="4" t="n">
        <v>0.15</v>
      </c>
    </row>
    <row r="206" customFormat="false" ht="14.25" hidden="false" customHeight="false" outlineLevel="0" collapsed="false">
      <c r="B206" s="2" t="n">
        <v>16</v>
      </c>
      <c r="C206" s="3" t="n">
        <v>528</v>
      </c>
      <c r="D206" s="4" t="n">
        <v>3.42</v>
      </c>
      <c r="E206" s="2" t="n">
        <v>27</v>
      </c>
      <c r="F206" s="2" t="n">
        <v>35</v>
      </c>
      <c r="G206" s="3" t="n">
        <v>402</v>
      </c>
      <c r="H206" s="12" t="n">
        <v>0.023304347826087</v>
      </c>
      <c r="I206" s="3" t="n">
        <v>258.397342308967</v>
      </c>
      <c r="J206" s="4" t="n">
        <v>0.19</v>
      </c>
    </row>
    <row r="207" customFormat="false" ht="14.25" hidden="false" customHeight="false" outlineLevel="0" collapsed="false">
      <c r="B207" s="2" t="n">
        <v>16</v>
      </c>
      <c r="C207" s="3" t="n">
        <v>528</v>
      </c>
      <c r="D207" s="4" t="n">
        <v>3.42</v>
      </c>
      <c r="E207" s="2" t="n">
        <v>27</v>
      </c>
      <c r="F207" s="2" t="n">
        <v>35</v>
      </c>
      <c r="G207" s="3" t="n">
        <v>402</v>
      </c>
      <c r="H207" s="12" t="n">
        <v>0.023304347826087</v>
      </c>
      <c r="I207" s="3" t="n">
        <v>324.406902502882</v>
      </c>
      <c r="J207" s="4" t="n">
        <v>0.22</v>
      </c>
    </row>
    <row r="208" customFormat="false" ht="14.25" hidden="false" customHeight="false" outlineLevel="0" collapsed="false">
      <c r="B208" s="2" t="n">
        <v>16</v>
      </c>
      <c r="C208" s="3" t="n">
        <v>528</v>
      </c>
      <c r="D208" s="4" t="n">
        <v>3.42</v>
      </c>
      <c r="E208" s="2" t="n">
        <v>27</v>
      </c>
      <c r="F208" s="2" t="n">
        <v>35</v>
      </c>
      <c r="G208" s="3" t="n">
        <v>402</v>
      </c>
      <c r="H208" s="12" t="n">
        <v>0.023304347826087</v>
      </c>
      <c r="I208" s="3" t="n">
        <v>379.414869331144</v>
      </c>
      <c r="J208" s="4" t="n">
        <v>0.22</v>
      </c>
    </row>
    <row r="209" customFormat="false" ht="14.25" hidden="false" customHeight="false" outlineLevel="0" collapsed="false">
      <c r="B209" s="2" t="n">
        <v>16</v>
      </c>
      <c r="C209" s="3" t="n">
        <v>528</v>
      </c>
      <c r="D209" s="4" t="n">
        <v>3.42</v>
      </c>
      <c r="E209" s="2" t="n">
        <v>27</v>
      </c>
      <c r="F209" s="2" t="n">
        <v>35</v>
      </c>
      <c r="G209" s="3" t="n">
        <v>402</v>
      </c>
      <c r="H209" s="12" t="n">
        <v>0.023304347826087</v>
      </c>
      <c r="I209" s="3" t="n">
        <v>467.427616256363</v>
      </c>
      <c r="J209" s="4" t="n">
        <v>0.25</v>
      </c>
    </row>
    <row r="210" customFormat="false" ht="14.25" hidden="false" customHeight="false" outlineLevel="0" collapsed="false">
      <c r="B210" s="2" t="n">
        <v>16</v>
      </c>
      <c r="C210" s="3" t="n">
        <v>528</v>
      </c>
      <c r="D210" s="4" t="n">
        <v>3.42</v>
      </c>
      <c r="E210" s="2" t="n">
        <v>27</v>
      </c>
      <c r="F210" s="2" t="n">
        <v>35</v>
      </c>
      <c r="G210" s="3" t="n">
        <v>402</v>
      </c>
      <c r="H210" s="12" t="n">
        <v>0.023304347826087</v>
      </c>
      <c r="I210" s="3" t="n">
        <v>526.101808707204</v>
      </c>
      <c r="J210" s="4" t="n">
        <v>0.29</v>
      </c>
    </row>
    <row r="211" customFormat="false" ht="14.25" hidden="false" customHeight="false" outlineLevel="0" collapsed="false">
      <c r="A211" s="1" t="s">
        <v>67</v>
      </c>
      <c r="B211" s="2" t="n">
        <v>20</v>
      </c>
      <c r="C211" s="3" t="n">
        <v>528</v>
      </c>
      <c r="D211" s="4" t="n">
        <v>3.42</v>
      </c>
      <c r="E211" s="2" t="n">
        <v>25</v>
      </c>
      <c r="F211" s="2" t="n">
        <v>35</v>
      </c>
      <c r="G211" s="3" t="n">
        <v>628</v>
      </c>
      <c r="H211" s="12" t="n">
        <v>0.0341768707482993</v>
      </c>
      <c r="I211" s="3" t="n">
        <v>217.581792256533</v>
      </c>
      <c r="J211" s="4" t="n">
        <v>0.17</v>
      </c>
    </row>
    <row r="212" customFormat="false" ht="14.25" hidden="false" customHeight="false" outlineLevel="0" collapsed="false">
      <c r="B212" s="2" t="n">
        <v>20</v>
      </c>
      <c r="C212" s="3" t="n">
        <v>528</v>
      </c>
      <c r="D212" s="4" t="n">
        <v>3.42</v>
      </c>
      <c r="E212" s="2" t="n">
        <v>25</v>
      </c>
      <c r="F212" s="2" t="n">
        <v>35</v>
      </c>
      <c r="G212" s="3" t="n">
        <v>628</v>
      </c>
      <c r="H212" s="12" t="n">
        <v>0.0341768707482993</v>
      </c>
      <c r="I212" s="3" t="n">
        <v>264.462650004919</v>
      </c>
      <c r="J212" s="4" t="n">
        <v>0.19</v>
      </c>
    </row>
    <row r="213" customFormat="false" ht="14.25" hidden="false" customHeight="false" outlineLevel="0" collapsed="false">
      <c r="B213" s="2" t="n">
        <v>20</v>
      </c>
      <c r="C213" s="3" t="n">
        <v>528</v>
      </c>
      <c r="D213" s="4" t="n">
        <v>3.42</v>
      </c>
      <c r="E213" s="2" t="n">
        <v>25</v>
      </c>
      <c r="F213" s="2" t="n">
        <v>35</v>
      </c>
      <c r="G213" s="3" t="n">
        <v>628</v>
      </c>
      <c r="H213" s="12" t="n">
        <v>0.0341768707482993</v>
      </c>
      <c r="I213" s="3" t="n">
        <v>324.73803853856</v>
      </c>
      <c r="J213" s="4" t="n">
        <v>0.21</v>
      </c>
    </row>
    <row r="214" customFormat="false" ht="14.25" hidden="false" customHeight="false" outlineLevel="0" collapsed="false">
      <c r="B214" s="2" t="n">
        <v>20</v>
      </c>
      <c r="C214" s="3" t="n">
        <v>528</v>
      </c>
      <c r="D214" s="4" t="n">
        <v>3.42</v>
      </c>
      <c r="E214" s="2" t="n">
        <v>25</v>
      </c>
      <c r="F214" s="2" t="n">
        <v>35</v>
      </c>
      <c r="G214" s="3" t="n">
        <v>628</v>
      </c>
      <c r="H214" s="12" t="n">
        <v>0.0341768707482993</v>
      </c>
      <c r="I214" s="3" t="n">
        <v>351.527100109067</v>
      </c>
      <c r="J214" s="4" t="n">
        <v>0.23</v>
      </c>
    </row>
    <row r="215" customFormat="false" ht="14.25" hidden="false" customHeight="false" outlineLevel="0" collapsed="false">
      <c r="B215" s="2" t="n">
        <v>20</v>
      </c>
      <c r="C215" s="3" t="n">
        <v>528</v>
      </c>
      <c r="D215" s="4" t="n">
        <v>3.42</v>
      </c>
      <c r="E215" s="2" t="n">
        <v>25</v>
      </c>
      <c r="F215" s="2" t="n">
        <v>35</v>
      </c>
      <c r="G215" s="3" t="n">
        <v>628</v>
      </c>
      <c r="H215" s="12" t="n">
        <v>0.0341768707482993</v>
      </c>
      <c r="I215" s="3" t="n">
        <v>411.802488642707</v>
      </c>
      <c r="J215" s="4" t="n">
        <v>0.25</v>
      </c>
    </row>
    <row r="216" customFormat="false" ht="14.25" hidden="false" customHeight="false" outlineLevel="0" collapsed="false">
      <c r="B216" s="2" t="n">
        <v>20</v>
      </c>
      <c r="C216" s="3" t="n">
        <v>528</v>
      </c>
      <c r="D216" s="4" t="n">
        <v>3.42</v>
      </c>
      <c r="E216" s="2" t="n">
        <v>25</v>
      </c>
      <c r="F216" s="2" t="n">
        <v>35</v>
      </c>
      <c r="G216" s="3" t="n">
        <v>628</v>
      </c>
      <c r="H216" s="12" t="n">
        <v>0.0341768707482993</v>
      </c>
      <c r="I216" s="3" t="n">
        <v>525.80672936788</v>
      </c>
      <c r="J216" s="4" t="n">
        <v>0.25</v>
      </c>
    </row>
    <row r="217" customFormat="false" ht="14.25" hidden="false" customHeight="false" outlineLevel="0" collapsed="false">
      <c r="A217" s="1" t="s">
        <v>68</v>
      </c>
      <c r="B217" s="2" t="n">
        <v>20</v>
      </c>
      <c r="C217" s="3" t="n">
        <v>528</v>
      </c>
      <c r="D217" s="4" t="n">
        <v>3.42</v>
      </c>
      <c r="E217" s="2" t="n">
        <v>25</v>
      </c>
      <c r="F217" s="2" t="n">
        <v>35</v>
      </c>
      <c r="G217" s="3" t="n">
        <v>942</v>
      </c>
      <c r="H217" s="12" t="n">
        <v>0.051265306122449</v>
      </c>
      <c r="I217" s="3" t="n">
        <v>203.402157984646</v>
      </c>
      <c r="J217" s="4" t="n">
        <v>0.18</v>
      </c>
    </row>
    <row r="218" customFormat="false" ht="14.25" hidden="false" customHeight="false" outlineLevel="0" collapsed="false">
      <c r="B218" s="2" t="n">
        <v>20</v>
      </c>
      <c r="C218" s="3" t="n">
        <v>528</v>
      </c>
      <c r="D218" s="4" t="n">
        <v>3.42</v>
      </c>
      <c r="E218" s="2" t="n">
        <v>25</v>
      </c>
      <c r="F218" s="2" t="n">
        <v>35</v>
      </c>
      <c r="G218" s="3" t="n">
        <v>942</v>
      </c>
      <c r="H218" s="12" t="n">
        <v>0.051265306122449</v>
      </c>
      <c r="I218" s="3" t="n">
        <v>246.641129901166</v>
      </c>
      <c r="J218" s="4" t="n">
        <v>0.19</v>
      </c>
    </row>
    <row r="219" customFormat="false" ht="14.25" hidden="false" customHeight="false" outlineLevel="0" collapsed="false">
      <c r="B219" s="2" t="n">
        <v>20</v>
      </c>
      <c r="C219" s="3" t="n">
        <v>528</v>
      </c>
      <c r="D219" s="4" t="n">
        <v>3.42</v>
      </c>
      <c r="E219" s="2" t="n">
        <v>25</v>
      </c>
      <c r="F219" s="2" t="n">
        <v>35</v>
      </c>
      <c r="G219" s="3" t="n">
        <v>942</v>
      </c>
      <c r="H219" s="12" t="n">
        <v>0.051265306122449</v>
      </c>
      <c r="I219" s="3" t="n">
        <v>285.556204626033</v>
      </c>
      <c r="J219" s="4" t="n">
        <v>0.21</v>
      </c>
    </row>
    <row r="220" customFormat="false" ht="14.25" hidden="false" customHeight="false" outlineLevel="0" collapsed="false">
      <c r="B220" s="2" t="n">
        <v>20</v>
      </c>
      <c r="C220" s="3" t="n">
        <v>528</v>
      </c>
      <c r="D220" s="4" t="n">
        <v>3.42</v>
      </c>
      <c r="E220" s="2" t="n">
        <v>25</v>
      </c>
      <c r="F220" s="2" t="n">
        <v>35</v>
      </c>
      <c r="G220" s="3" t="n">
        <v>942</v>
      </c>
      <c r="H220" s="12" t="n">
        <v>0.051265306122449</v>
      </c>
      <c r="I220" s="3" t="n">
        <v>333.119073734204</v>
      </c>
      <c r="J220" s="4" t="n">
        <v>0.23</v>
      </c>
    </row>
    <row r="221" customFormat="false" ht="14.25" hidden="false" customHeight="false" outlineLevel="0" collapsed="false">
      <c r="B221" s="2" t="n">
        <v>20</v>
      </c>
      <c r="C221" s="3" t="n">
        <v>528</v>
      </c>
      <c r="D221" s="4" t="n">
        <v>3.42</v>
      </c>
      <c r="E221" s="2" t="n">
        <v>25</v>
      </c>
      <c r="F221" s="2" t="n">
        <v>35</v>
      </c>
      <c r="G221" s="3" t="n">
        <v>942</v>
      </c>
      <c r="H221" s="12" t="n">
        <v>0.051265306122449</v>
      </c>
      <c r="I221" s="3" t="n">
        <v>380.681942842375</v>
      </c>
      <c r="J221" s="4" t="n">
        <v>0.25</v>
      </c>
    </row>
    <row r="222" customFormat="false" ht="14.25" hidden="false" customHeight="false" outlineLevel="0" collapsed="false">
      <c r="B222" s="2" t="n">
        <v>20</v>
      </c>
      <c r="C222" s="3" t="n">
        <v>528</v>
      </c>
      <c r="D222" s="4" t="n">
        <v>3.42</v>
      </c>
      <c r="E222" s="2" t="n">
        <v>25</v>
      </c>
      <c r="F222" s="2" t="n">
        <v>35</v>
      </c>
      <c r="G222" s="3" t="n">
        <v>942</v>
      </c>
      <c r="H222" s="12" t="n">
        <v>0.051265306122449</v>
      </c>
      <c r="I222" s="3" t="n">
        <v>423.920914758895</v>
      </c>
      <c r="J222" s="4" t="n">
        <v>0.29</v>
      </c>
    </row>
    <row r="223" customFormat="false" ht="14.25" hidden="false" customHeight="false" outlineLevel="0" collapsed="false">
      <c r="B223" s="2" t="n">
        <v>20</v>
      </c>
      <c r="C223" s="3" t="n">
        <v>528</v>
      </c>
      <c r="D223" s="4" t="n">
        <v>3.42</v>
      </c>
      <c r="E223" s="2" t="n">
        <v>25</v>
      </c>
      <c r="F223" s="2" t="n">
        <v>35</v>
      </c>
      <c r="G223" s="3" t="n">
        <v>942</v>
      </c>
      <c r="H223" s="12" t="n">
        <v>0.051265306122449</v>
      </c>
      <c r="I223" s="3" t="n">
        <v>467.159886675414</v>
      </c>
      <c r="J223" s="4" t="n">
        <v>0.31</v>
      </c>
    </row>
    <row r="224" customFormat="false" ht="14.25" hidden="false" customHeight="false" outlineLevel="0" collapsed="false">
      <c r="B224" s="2" t="n">
        <v>20</v>
      </c>
      <c r="C224" s="3" t="n">
        <v>528</v>
      </c>
      <c r="D224" s="4" t="n">
        <v>3.42</v>
      </c>
      <c r="E224" s="2" t="n">
        <v>25</v>
      </c>
      <c r="F224" s="2" t="n">
        <v>35</v>
      </c>
      <c r="G224" s="3" t="n">
        <v>942</v>
      </c>
      <c r="H224" s="12" t="n">
        <v>0.051265306122449</v>
      </c>
      <c r="I224" s="3" t="n">
        <v>501.106235095073</v>
      </c>
      <c r="J224" s="4" t="n">
        <v>0.37</v>
      </c>
    </row>
    <row r="225" customFormat="false" ht="14.25" hidden="false" customHeight="false" outlineLevel="0" collapsed="false">
      <c r="A225" s="1" t="s">
        <v>69</v>
      </c>
      <c r="B225" s="2" t="n">
        <v>16</v>
      </c>
      <c r="C225" s="3" t="n">
        <v>528</v>
      </c>
      <c r="D225" s="4" t="n">
        <v>2.98</v>
      </c>
      <c r="E225" s="2" t="n">
        <v>27</v>
      </c>
      <c r="F225" s="2" t="n">
        <v>35</v>
      </c>
      <c r="G225" s="3" t="n">
        <v>402</v>
      </c>
      <c r="H225" s="12" t="n">
        <v>0.023304347826087</v>
      </c>
      <c r="I225" s="3" t="n">
        <v>338.456713481225</v>
      </c>
      <c r="J225" s="4" t="n">
        <v>0.16</v>
      </c>
    </row>
    <row r="226" customFormat="false" ht="14.25" hidden="false" customHeight="false" outlineLevel="0" collapsed="false">
      <c r="B226" s="2" t="n">
        <v>16</v>
      </c>
      <c r="C226" s="3" t="n">
        <v>528</v>
      </c>
      <c r="D226" s="4" t="n">
        <v>2.98</v>
      </c>
      <c r="E226" s="2" t="n">
        <v>27</v>
      </c>
      <c r="F226" s="2" t="n">
        <v>35</v>
      </c>
      <c r="G226" s="3" t="n">
        <v>402</v>
      </c>
      <c r="H226" s="12" t="n">
        <v>0.023304347826087</v>
      </c>
      <c r="I226" s="3" t="n">
        <v>433.448741301709</v>
      </c>
      <c r="J226" s="4" t="n">
        <v>0.2</v>
      </c>
    </row>
    <row r="227" customFormat="false" ht="14.25" hidden="false" customHeight="false" outlineLevel="0" collapsed="false">
      <c r="B227" s="2" t="n">
        <v>16</v>
      </c>
      <c r="C227" s="3" t="n">
        <v>528</v>
      </c>
      <c r="D227" s="4" t="n">
        <v>2.98</v>
      </c>
      <c r="E227" s="2" t="n">
        <v>27</v>
      </c>
      <c r="F227" s="2" t="n">
        <v>35</v>
      </c>
      <c r="G227" s="3" t="n">
        <v>402</v>
      </c>
      <c r="H227" s="12" t="n">
        <v>0.023304347826087</v>
      </c>
      <c r="I227" s="3" t="n">
        <v>523.882031807992</v>
      </c>
      <c r="J227" s="4" t="n">
        <v>0.26</v>
      </c>
    </row>
    <row r="228" customFormat="false" ht="14.25" hidden="false" customHeight="false" outlineLevel="0" collapsed="false">
      <c r="A228" s="1" t="s">
        <v>70</v>
      </c>
      <c r="B228" s="2" t="n">
        <v>20</v>
      </c>
      <c r="C228" s="3" t="n">
        <v>528</v>
      </c>
      <c r="D228" s="4" t="n">
        <v>2.98</v>
      </c>
      <c r="E228" s="2" t="n">
        <v>25</v>
      </c>
      <c r="F228" s="2" t="n">
        <v>35</v>
      </c>
      <c r="G228" s="3" t="n">
        <v>628</v>
      </c>
      <c r="H228" s="12" t="n">
        <v>0.0341768707482993</v>
      </c>
      <c r="I228" s="3" t="n">
        <v>217.081004934473</v>
      </c>
      <c r="J228" s="4" t="n">
        <v>0.17</v>
      </c>
    </row>
    <row r="229" customFormat="false" ht="14.25" hidden="false" customHeight="false" outlineLevel="0" collapsed="false">
      <c r="B229" s="2" t="n">
        <v>20</v>
      </c>
      <c r="C229" s="3" t="n">
        <v>528</v>
      </c>
      <c r="D229" s="4" t="n">
        <v>2.98</v>
      </c>
      <c r="E229" s="2" t="n">
        <v>25</v>
      </c>
      <c r="F229" s="2" t="n">
        <v>35</v>
      </c>
      <c r="G229" s="3" t="n">
        <v>628</v>
      </c>
      <c r="H229" s="12" t="n">
        <v>0.0341768707482993</v>
      </c>
      <c r="I229" s="3" t="n">
        <v>262.365326159654</v>
      </c>
      <c r="J229" s="4" t="n">
        <v>0.19</v>
      </c>
    </row>
    <row r="230" customFormat="false" ht="14.25" hidden="false" customHeight="false" outlineLevel="0" collapsed="false">
      <c r="B230" s="2" t="n">
        <v>20</v>
      </c>
      <c r="C230" s="3" t="n">
        <v>528</v>
      </c>
      <c r="D230" s="4" t="n">
        <v>2.98</v>
      </c>
      <c r="E230" s="2" t="n">
        <v>25</v>
      </c>
      <c r="F230" s="2" t="n">
        <v>35</v>
      </c>
      <c r="G230" s="3" t="n">
        <v>628</v>
      </c>
      <c r="H230" s="12" t="n">
        <v>0.0341768707482993</v>
      </c>
      <c r="I230" s="3" t="n">
        <v>320.588024877743</v>
      </c>
      <c r="J230" s="4" t="n">
        <v>0.23</v>
      </c>
    </row>
    <row r="231" customFormat="false" ht="14.25" hidden="false" customHeight="false" outlineLevel="0" collapsed="false">
      <c r="B231" s="2" t="n">
        <v>20</v>
      </c>
      <c r="C231" s="3" t="n">
        <v>528</v>
      </c>
      <c r="D231" s="4" t="n">
        <v>2.98</v>
      </c>
      <c r="E231" s="2" t="n">
        <v>25</v>
      </c>
      <c r="F231" s="2" t="n">
        <v>35</v>
      </c>
      <c r="G231" s="3" t="n">
        <v>628</v>
      </c>
      <c r="H231" s="12" t="n">
        <v>0.0341768707482993</v>
      </c>
      <c r="I231" s="3" t="n">
        <v>346.464779863561</v>
      </c>
      <c r="J231" s="4" t="n">
        <v>0.25</v>
      </c>
    </row>
    <row r="232" customFormat="false" ht="14.25" hidden="false" customHeight="false" outlineLevel="0" collapsed="false">
      <c r="B232" s="2" t="n">
        <v>20</v>
      </c>
      <c r="C232" s="3" t="n">
        <v>528</v>
      </c>
      <c r="D232" s="4" t="n">
        <v>2.98</v>
      </c>
      <c r="E232" s="2" t="n">
        <v>25</v>
      </c>
      <c r="F232" s="2" t="n">
        <v>35</v>
      </c>
      <c r="G232" s="3" t="n">
        <v>628</v>
      </c>
      <c r="H232" s="12" t="n">
        <v>0.0341768707482993</v>
      </c>
      <c r="I232" s="3" t="n">
        <v>385.279912342287</v>
      </c>
      <c r="J232" s="4" t="n">
        <v>0.3</v>
      </c>
    </row>
    <row r="233" customFormat="false" ht="14.25" hidden="false" customHeight="false" outlineLevel="0" collapsed="false">
      <c r="B233" s="2" t="n">
        <v>20</v>
      </c>
      <c r="C233" s="3" t="n">
        <v>528</v>
      </c>
      <c r="D233" s="4" t="n">
        <v>2.98</v>
      </c>
      <c r="E233" s="2" t="n">
        <v>25</v>
      </c>
      <c r="F233" s="2" t="n">
        <v>35</v>
      </c>
      <c r="G233" s="3" t="n">
        <v>628</v>
      </c>
      <c r="H233" s="12" t="n">
        <v>0.0341768707482993</v>
      </c>
      <c r="I233" s="3" t="n">
        <v>411.156667328104</v>
      </c>
      <c r="J233" s="4" t="n">
        <v>0.32</v>
      </c>
    </row>
    <row r="234" customFormat="false" ht="14.25" hidden="false" customHeight="false" outlineLevel="0" collapsed="false">
      <c r="B234" s="2" t="n">
        <v>20</v>
      </c>
      <c r="C234" s="3" t="n">
        <v>528</v>
      </c>
      <c r="D234" s="4" t="n">
        <v>2.98</v>
      </c>
      <c r="E234" s="2" t="n">
        <v>25</v>
      </c>
      <c r="F234" s="2" t="n">
        <v>35</v>
      </c>
      <c r="G234" s="3" t="n">
        <v>628</v>
      </c>
      <c r="H234" s="12" t="n">
        <v>0.0341768707482993</v>
      </c>
      <c r="I234" s="3" t="n">
        <v>474.554717043357</v>
      </c>
      <c r="J234" s="4" t="n">
        <v>0.36</v>
      </c>
    </row>
    <row r="235" customFormat="false" ht="14.25" hidden="false" customHeight="false" outlineLevel="0" collapsed="false">
      <c r="B235" s="2" t="n">
        <v>20</v>
      </c>
      <c r="C235" s="3" t="n">
        <v>528</v>
      </c>
      <c r="D235" s="4" t="n">
        <v>2.98</v>
      </c>
      <c r="E235" s="2" t="n">
        <v>25</v>
      </c>
      <c r="F235" s="2" t="n">
        <v>35</v>
      </c>
      <c r="G235" s="3" t="n">
        <v>628</v>
      </c>
      <c r="H235" s="12" t="n">
        <v>0.0341768707482993</v>
      </c>
      <c r="I235" s="3" t="n">
        <v>526.445947864471</v>
      </c>
      <c r="J235" s="4" t="n">
        <v>0.47</v>
      </c>
    </row>
    <row r="236" customFormat="false" ht="14.25" hidden="false" customHeight="false" outlineLevel="0" collapsed="false">
      <c r="A236" s="1" t="s">
        <v>71</v>
      </c>
      <c r="B236" s="2" t="n">
        <v>20</v>
      </c>
      <c r="C236" s="3" t="n">
        <v>528</v>
      </c>
      <c r="D236" s="4" t="n">
        <v>2.98</v>
      </c>
      <c r="E236" s="2" t="n">
        <v>25</v>
      </c>
      <c r="F236" s="2" t="n">
        <v>35</v>
      </c>
      <c r="G236" s="3" t="n">
        <v>942</v>
      </c>
      <c r="H236" s="12" t="n">
        <v>0.051265306122449</v>
      </c>
      <c r="I236" s="3" t="n">
        <v>275.466134573373</v>
      </c>
      <c r="J236" s="4" t="n">
        <v>0.16</v>
      </c>
    </row>
    <row r="237" customFormat="false" ht="14.25" hidden="false" customHeight="false" outlineLevel="0" collapsed="false">
      <c r="B237" s="2" t="n">
        <v>20</v>
      </c>
      <c r="C237" s="3" t="n">
        <v>528</v>
      </c>
      <c r="D237" s="4" t="n">
        <v>2.98</v>
      </c>
      <c r="E237" s="2" t="n">
        <v>25</v>
      </c>
      <c r="F237" s="2" t="n">
        <v>35</v>
      </c>
      <c r="G237" s="3" t="n">
        <v>942</v>
      </c>
      <c r="H237" s="12" t="n">
        <v>0.051265306122449</v>
      </c>
      <c r="I237" s="3" t="n">
        <v>292.265185836028</v>
      </c>
      <c r="J237" s="4" t="n">
        <v>0.18</v>
      </c>
    </row>
    <row r="238" customFormat="false" ht="14.25" hidden="false" customHeight="false" outlineLevel="0" collapsed="false">
      <c r="B238" s="2" t="n">
        <v>20</v>
      </c>
      <c r="C238" s="3" t="n">
        <v>528</v>
      </c>
      <c r="D238" s="4" t="n">
        <v>2.98</v>
      </c>
      <c r="E238" s="2" t="n">
        <v>25</v>
      </c>
      <c r="F238" s="2" t="n">
        <v>35</v>
      </c>
      <c r="G238" s="3" t="n">
        <v>942</v>
      </c>
      <c r="H238" s="12" t="n">
        <v>0.051265306122449</v>
      </c>
      <c r="I238" s="3" t="n">
        <v>334.262813992667</v>
      </c>
      <c r="J238" s="4" t="n">
        <v>0.18</v>
      </c>
    </row>
    <row r="239" customFormat="false" ht="14.25" hidden="false" customHeight="false" outlineLevel="0" collapsed="false">
      <c r="B239" s="2" t="n">
        <v>20</v>
      </c>
      <c r="C239" s="3" t="n">
        <v>528</v>
      </c>
      <c r="D239" s="4" t="n">
        <v>2.98</v>
      </c>
      <c r="E239" s="2" t="n">
        <v>25</v>
      </c>
      <c r="F239" s="2" t="n">
        <v>35</v>
      </c>
      <c r="G239" s="3" t="n">
        <v>942</v>
      </c>
      <c r="H239" s="12" t="n">
        <v>0.051265306122449</v>
      </c>
      <c r="I239" s="3" t="n">
        <v>380.460204964968</v>
      </c>
      <c r="J239" s="4" t="n">
        <v>0.2</v>
      </c>
    </row>
    <row r="240" customFormat="false" ht="14.25" hidden="false" customHeight="false" outlineLevel="0" collapsed="false">
      <c r="B240" s="2" t="n">
        <v>20</v>
      </c>
      <c r="C240" s="3" t="n">
        <v>528</v>
      </c>
      <c r="D240" s="4" t="n">
        <v>2.98</v>
      </c>
      <c r="E240" s="2" t="n">
        <v>25</v>
      </c>
      <c r="F240" s="2" t="n">
        <v>35</v>
      </c>
      <c r="G240" s="3" t="n">
        <v>942</v>
      </c>
      <c r="H240" s="12" t="n">
        <v>0.051265306122449</v>
      </c>
      <c r="I240" s="3" t="n">
        <v>422.457833121606</v>
      </c>
      <c r="J240" s="4" t="n">
        <v>0.2</v>
      </c>
    </row>
    <row r="241" customFormat="false" ht="14.25" hidden="false" customHeight="false" outlineLevel="0" collapsed="false">
      <c r="B241" s="2" t="n">
        <v>20</v>
      </c>
      <c r="C241" s="3" t="n">
        <v>528</v>
      </c>
      <c r="D241" s="4" t="n">
        <v>2.98</v>
      </c>
      <c r="E241" s="2" t="n">
        <v>25</v>
      </c>
      <c r="F241" s="2" t="n">
        <v>35</v>
      </c>
      <c r="G241" s="3" t="n">
        <v>942</v>
      </c>
      <c r="H241" s="12" t="n">
        <v>0.051265306122449</v>
      </c>
      <c r="I241" s="3" t="n">
        <v>460.255698462581</v>
      </c>
      <c r="J241" s="4" t="n">
        <v>0.2</v>
      </c>
    </row>
    <row r="242" customFormat="false" ht="14.25" hidden="false" customHeight="false" outlineLevel="0" collapsed="false">
      <c r="B242" s="2" t="n">
        <v>20</v>
      </c>
      <c r="C242" s="3" t="n">
        <v>528</v>
      </c>
      <c r="D242" s="4" t="n">
        <v>2.98</v>
      </c>
      <c r="E242" s="2" t="n">
        <v>25</v>
      </c>
      <c r="F242" s="2" t="n">
        <v>35</v>
      </c>
      <c r="G242" s="3" t="n">
        <v>942</v>
      </c>
      <c r="H242" s="12" t="n">
        <v>0.051265306122449</v>
      </c>
      <c r="I242" s="3" t="n">
        <v>502.059011853244</v>
      </c>
      <c r="J242" s="4" t="n">
        <v>0.22</v>
      </c>
    </row>
    <row r="243" customFormat="false" ht="14.25" hidden="false" customHeight="false" outlineLevel="0" collapsed="false">
      <c r="A243" s="1" t="s">
        <v>72</v>
      </c>
      <c r="B243" s="2" t="n">
        <v>28</v>
      </c>
      <c r="C243" s="3" t="n">
        <v>400</v>
      </c>
      <c r="D243" s="4" t="n">
        <v>5.30847435710111</v>
      </c>
      <c r="E243" s="2" t="n">
        <v>30</v>
      </c>
      <c r="F243" s="2" t="n">
        <v>44</v>
      </c>
      <c r="G243" s="3" t="n">
        <v>2463</v>
      </c>
      <c r="H243" s="12" t="n">
        <v>0.0799675324675325</v>
      </c>
      <c r="I243" s="3" t="n">
        <v>92.5310334856492</v>
      </c>
      <c r="J243" s="4" t="n">
        <v>0.22</v>
      </c>
    </row>
    <row r="244" customFormat="false" ht="14.25" hidden="false" customHeight="false" outlineLevel="0" collapsed="false">
      <c r="B244" s="2" t="n">
        <v>28</v>
      </c>
      <c r="C244" s="3" t="n">
        <v>400</v>
      </c>
      <c r="D244" s="4" t="n">
        <v>5.30847435710111</v>
      </c>
      <c r="E244" s="2" t="n">
        <v>30</v>
      </c>
      <c r="F244" s="2" t="n">
        <v>44</v>
      </c>
      <c r="G244" s="3" t="n">
        <v>2463</v>
      </c>
      <c r="H244" s="12" t="n">
        <v>0.0799675324675325</v>
      </c>
      <c r="I244" s="3" t="n">
        <v>145.469198364301</v>
      </c>
      <c r="J244" s="4" t="n">
        <v>0.25</v>
      </c>
    </row>
    <row r="245" customFormat="false" ht="14.25" hidden="false" customHeight="false" outlineLevel="0" collapsed="false">
      <c r="B245" s="2" t="n">
        <v>28</v>
      </c>
      <c r="C245" s="3" t="n">
        <v>400</v>
      </c>
      <c r="D245" s="4" t="n">
        <v>5.30847435710111</v>
      </c>
      <c r="E245" s="2" t="n">
        <v>30</v>
      </c>
      <c r="F245" s="2" t="n">
        <v>44</v>
      </c>
      <c r="G245" s="3" t="n">
        <v>2463</v>
      </c>
      <c r="H245" s="12" t="n">
        <v>0.0799675324675325</v>
      </c>
      <c r="I245" s="3" t="n">
        <v>180.361434335736</v>
      </c>
      <c r="J245" s="4" t="n">
        <v>0.29</v>
      </c>
    </row>
    <row r="246" customFormat="false" ht="14.25" hidden="false" customHeight="false" outlineLevel="0" collapsed="false">
      <c r="B246" s="2" t="n">
        <v>28</v>
      </c>
      <c r="C246" s="3" t="n">
        <v>400</v>
      </c>
      <c r="D246" s="4" t="n">
        <v>5.30847435710111</v>
      </c>
      <c r="E246" s="2" t="n">
        <v>30</v>
      </c>
      <c r="F246" s="2" t="n">
        <v>44</v>
      </c>
      <c r="G246" s="3" t="n">
        <v>2463</v>
      </c>
      <c r="H246" s="12" t="n">
        <v>0.0799675324675325</v>
      </c>
      <c r="I246" s="3" t="n">
        <v>220.461466720819</v>
      </c>
      <c r="J246" s="4" t="n">
        <v>0.31</v>
      </c>
    </row>
    <row r="247" customFormat="false" ht="14.25" hidden="false" customHeight="false" outlineLevel="0" collapsed="false">
      <c r="B247" s="2" t="n">
        <v>28</v>
      </c>
      <c r="C247" s="3" t="n">
        <v>400</v>
      </c>
      <c r="D247" s="4" t="n">
        <v>5.30847435710111</v>
      </c>
      <c r="E247" s="2" t="n">
        <v>30</v>
      </c>
      <c r="F247" s="2" t="n">
        <v>44</v>
      </c>
      <c r="G247" s="3" t="n">
        <v>2463</v>
      </c>
      <c r="H247" s="12" t="n">
        <v>0.0799675324675325</v>
      </c>
      <c r="I247" s="3" t="n">
        <v>282.955023684583</v>
      </c>
      <c r="J247" s="4" t="n">
        <v>0.33</v>
      </c>
    </row>
    <row r="248" customFormat="false" ht="14.25" hidden="false" customHeight="false" outlineLevel="0" collapsed="false">
      <c r="B248" s="2" t="n">
        <v>28</v>
      </c>
      <c r="C248" s="3" t="n">
        <v>400</v>
      </c>
      <c r="D248" s="4" t="n">
        <v>5.30847435710111</v>
      </c>
      <c r="E248" s="2" t="n">
        <v>30</v>
      </c>
      <c r="F248" s="2" t="n">
        <v>44</v>
      </c>
      <c r="G248" s="3" t="n">
        <v>2463</v>
      </c>
      <c r="H248" s="12" t="n">
        <v>0.0799675324675325</v>
      </c>
      <c r="I248" s="3" t="n">
        <v>314.72258180783</v>
      </c>
      <c r="J248" s="4" t="n">
        <v>0.34</v>
      </c>
    </row>
    <row r="249" customFormat="false" ht="14.25" hidden="false" customHeight="false" outlineLevel="0" collapsed="false">
      <c r="B249" s="2" t="n">
        <v>28</v>
      </c>
      <c r="C249" s="3" t="n">
        <v>400</v>
      </c>
      <c r="D249" s="4" t="n">
        <v>5.30847435710111</v>
      </c>
      <c r="E249" s="2" t="n">
        <v>30</v>
      </c>
      <c r="F249" s="2" t="n">
        <v>44</v>
      </c>
      <c r="G249" s="3" t="n">
        <v>2463</v>
      </c>
      <c r="H249" s="12" t="n">
        <v>0.0799675324675325</v>
      </c>
      <c r="I249" s="3" t="n">
        <v>361.071969889289</v>
      </c>
      <c r="J249" s="4" t="n">
        <v>0.37</v>
      </c>
    </row>
    <row r="250" customFormat="false" ht="14.25" hidden="false" customHeight="false" outlineLevel="0" collapsed="false">
      <c r="A250" s="1" t="s">
        <v>73</v>
      </c>
      <c r="B250" s="2" t="n">
        <v>15.9</v>
      </c>
      <c r="C250" s="3" t="n">
        <v>392</v>
      </c>
      <c r="D250" s="4" t="n">
        <v>2.82587739786632</v>
      </c>
      <c r="E250" s="2" t="n">
        <v>30</v>
      </c>
      <c r="F250" s="2" t="n">
        <v>38</v>
      </c>
      <c r="G250" s="3" t="n">
        <v>397.2</v>
      </c>
      <c r="H250" s="12" t="n">
        <v>0.022536170212766</v>
      </c>
      <c r="I250" s="3" t="n">
        <v>327.335668752827</v>
      </c>
      <c r="J250" s="4" t="n">
        <v>0.2</v>
      </c>
    </row>
    <row r="251" customFormat="false" ht="14.25" hidden="false" customHeight="false" outlineLevel="0" collapsed="false">
      <c r="B251" s="2" t="n">
        <v>15.9</v>
      </c>
      <c r="C251" s="3" t="n">
        <v>392</v>
      </c>
      <c r="D251" s="4" t="n">
        <v>2.82587739786632</v>
      </c>
      <c r="E251" s="2" t="n">
        <v>30</v>
      </c>
      <c r="F251" s="2" t="n">
        <v>38</v>
      </c>
      <c r="G251" s="3" t="n">
        <v>397.2</v>
      </c>
      <c r="H251" s="12" t="n">
        <v>0.022536170212766</v>
      </c>
      <c r="I251" s="3" t="n">
        <v>367.240844430156</v>
      </c>
      <c r="J251" s="4" t="n">
        <v>0.35</v>
      </c>
    </row>
    <row r="252" customFormat="false" ht="14.25" hidden="false" customHeight="false" outlineLevel="0" collapsed="false">
      <c r="A252" s="1" t="s">
        <v>74</v>
      </c>
      <c r="B252" s="2" t="n">
        <v>15.9</v>
      </c>
      <c r="C252" s="3" t="n">
        <v>392</v>
      </c>
      <c r="D252" s="4" t="n">
        <v>2.82587739786632</v>
      </c>
      <c r="E252" s="2" t="n">
        <v>30</v>
      </c>
      <c r="F252" s="2" t="n">
        <v>38</v>
      </c>
      <c r="G252" s="3" t="n">
        <v>397.2</v>
      </c>
      <c r="H252" s="12" t="n">
        <v>0.022536170212766</v>
      </c>
      <c r="I252" s="3" t="n">
        <v>329.07434564323</v>
      </c>
      <c r="J252" s="4" t="n">
        <v>0.2</v>
      </c>
    </row>
    <row r="253" customFormat="false" ht="14.25" hidden="false" customHeight="false" outlineLevel="0" collapsed="false">
      <c r="B253" s="2" t="n">
        <v>15.9</v>
      </c>
      <c r="C253" s="3" t="n">
        <v>392</v>
      </c>
      <c r="D253" s="4" t="n">
        <v>2.82587739786632</v>
      </c>
      <c r="E253" s="2" t="n">
        <v>30</v>
      </c>
      <c r="F253" s="2" t="n">
        <v>38</v>
      </c>
      <c r="G253" s="3" t="n">
        <v>397.2</v>
      </c>
      <c r="H253" s="12" t="n">
        <v>0.022536170212766</v>
      </c>
      <c r="I253" s="3" t="n">
        <v>367.240844430156</v>
      </c>
      <c r="J253" s="4" t="n">
        <v>0.25</v>
      </c>
    </row>
    <row r="254" customFormat="false" ht="14.25" hidden="false" customHeight="false" outlineLevel="0" collapsed="false">
      <c r="A254" s="1" t="s">
        <v>75</v>
      </c>
      <c r="B254" s="2" t="n">
        <v>15.9</v>
      </c>
      <c r="C254" s="3" t="n">
        <v>392</v>
      </c>
      <c r="D254" s="4" t="n">
        <v>2.82587739786632</v>
      </c>
      <c r="E254" s="2" t="n">
        <v>30</v>
      </c>
      <c r="F254" s="2" t="n">
        <v>38</v>
      </c>
      <c r="G254" s="3" t="n">
        <v>397.2</v>
      </c>
      <c r="H254" s="12" t="n">
        <v>0.022536170212766</v>
      </c>
      <c r="I254" s="3" t="n">
        <v>329.07434564323</v>
      </c>
      <c r="J254" s="4" t="n">
        <v>0.2</v>
      </c>
    </row>
    <row r="255" customFormat="false" ht="14.25" hidden="false" customHeight="false" outlineLevel="0" collapsed="false">
      <c r="B255" s="2" t="n">
        <v>15.9</v>
      </c>
      <c r="C255" s="3" t="n">
        <v>392</v>
      </c>
      <c r="D255" s="4" t="n">
        <v>2.82587739786632</v>
      </c>
      <c r="E255" s="2" t="n">
        <v>30</v>
      </c>
      <c r="F255" s="2" t="n">
        <v>38</v>
      </c>
      <c r="G255" s="3" t="n">
        <v>397.2</v>
      </c>
      <c r="H255" s="12" t="n">
        <v>0.022536170212766</v>
      </c>
      <c r="I255" s="3" t="n">
        <v>367.240844430156</v>
      </c>
      <c r="J255" s="4" t="n">
        <v>0.25</v>
      </c>
    </row>
    <row r="256" customFormat="false" ht="14.25" hidden="false" customHeight="false" outlineLevel="0" collapsed="false">
      <c r="A256" s="1" t="s">
        <v>76</v>
      </c>
      <c r="B256" s="2" t="n">
        <v>15.9</v>
      </c>
      <c r="C256" s="3" t="n">
        <v>392</v>
      </c>
      <c r="D256" s="4" t="n">
        <v>2.82587739786632</v>
      </c>
      <c r="E256" s="2" t="n">
        <v>30</v>
      </c>
      <c r="F256" s="2" t="n">
        <v>38</v>
      </c>
      <c r="G256" s="3" t="n">
        <v>397.2</v>
      </c>
      <c r="H256" s="12" t="n">
        <v>0.022536170212766</v>
      </c>
      <c r="I256" s="3" t="n">
        <v>330.813022533634</v>
      </c>
      <c r="J256" s="4" t="n">
        <v>0.2</v>
      </c>
    </row>
    <row r="257" customFormat="false" ht="14.25" hidden="false" customHeight="false" outlineLevel="0" collapsed="false">
      <c r="B257" s="2" t="n">
        <v>15.9</v>
      </c>
      <c r="C257" s="3" t="n">
        <v>392</v>
      </c>
      <c r="D257" s="4" t="n">
        <v>2.82587739786632</v>
      </c>
      <c r="E257" s="2" t="n">
        <v>30</v>
      </c>
      <c r="F257" s="2" t="n">
        <v>38</v>
      </c>
      <c r="G257" s="3" t="n">
        <v>397.2</v>
      </c>
      <c r="H257" s="12" t="n">
        <v>0.022536170212766</v>
      </c>
      <c r="I257" s="3" t="n">
        <v>367.240844430156</v>
      </c>
      <c r="J257" s="4" t="n">
        <v>0.3</v>
      </c>
    </row>
    <row r="258" customFormat="false" ht="14.25" hidden="false" customHeight="false" outlineLevel="0" collapsed="false">
      <c r="A258" s="1" t="s">
        <v>77</v>
      </c>
      <c r="B258" s="2" t="n">
        <v>12.7</v>
      </c>
      <c r="C258" s="3" t="n">
        <v>392</v>
      </c>
      <c r="D258" s="4" t="n">
        <v>2.92087587098479</v>
      </c>
      <c r="E258" s="2" t="n">
        <v>30</v>
      </c>
      <c r="F258" s="2" t="n">
        <v>36.5</v>
      </c>
      <c r="G258" s="3" t="n">
        <v>253.4</v>
      </c>
      <c r="H258" s="12" t="n">
        <v>0.0168933333333333</v>
      </c>
      <c r="I258" s="3" t="n">
        <v>253.375476752134</v>
      </c>
      <c r="J258" s="4" t="n">
        <v>0.15</v>
      </c>
    </row>
    <row r="259" customFormat="false" ht="14.25" hidden="false" customHeight="false" outlineLevel="0" collapsed="false">
      <c r="B259" s="2" t="n">
        <v>12.7</v>
      </c>
      <c r="C259" s="3" t="n">
        <v>392</v>
      </c>
      <c r="D259" s="4" t="n">
        <v>2.92087587098479</v>
      </c>
      <c r="E259" s="2" t="n">
        <v>30</v>
      </c>
      <c r="F259" s="2" t="n">
        <v>36.5</v>
      </c>
      <c r="G259" s="3" t="n">
        <v>253.4</v>
      </c>
      <c r="H259" s="12" t="n">
        <v>0.0168933333333333</v>
      </c>
      <c r="I259" s="3" t="n">
        <v>358.910938394982</v>
      </c>
      <c r="J259" s="4" t="n">
        <v>0.2</v>
      </c>
    </row>
    <row r="260" customFormat="false" ht="14.25" hidden="false" customHeight="false" outlineLevel="0" collapsed="false">
      <c r="A260" s="1" t="s">
        <v>78</v>
      </c>
      <c r="B260" s="2" t="n">
        <v>12.7</v>
      </c>
      <c r="C260" s="3" t="n">
        <v>392</v>
      </c>
      <c r="D260" s="4" t="n">
        <v>2.92087587098479</v>
      </c>
      <c r="E260" s="2" t="n">
        <v>30</v>
      </c>
      <c r="F260" s="2" t="n">
        <v>36.5</v>
      </c>
      <c r="G260" s="3" t="n">
        <v>253.4</v>
      </c>
      <c r="H260" s="12" t="n">
        <v>0.0168933333333333</v>
      </c>
      <c r="I260" s="3" t="n">
        <v>256.228277855071</v>
      </c>
      <c r="J260" s="4" t="n">
        <v>0.15</v>
      </c>
    </row>
    <row r="261" customFormat="false" ht="14.25" hidden="false" customHeight="false" outlineLevel="0" collapsed="false">
      <c r="B261" s="2" t="n">
        <v>12.7</v>
      </c>
      <c r="C261" s="3" t="n">
        <v>392</v>
      </c>
      <c r="D261" s="4" t="n">
        <v>2.92087587098479</v>
      </c>
      <c r="E261" s="2" t="n">
        <v>30</v>
      </c>
      <c r="F261" s="2" t="n">
        <v>36.5</v>
      </c>
      <c r="G261" s="3" t="n">
        <v>253.4</v>
      </c>
      <c r="H261" s="12" t="n">
        <v>0.0168933333333333</v>
      </c>
      <c r="I261" s="3" t="n">
        <v>358.910938394982</v>
      </c>
      <c r="J261" s="4" t="n">
        <v>0.2</v>
      </c>
    </row>
    <row r="262" customFormat="false" ht="14.25" hidden="false" customHeight="false" outlineLevel="0" collapsed="false">
      <c r="A262" s="1" t="s">
        <v>79</v>
      </c>
      <c r="B262" s="2" t="n">
        <v>15.9</v>
      </c>
      <c r="C262" s="3" t="n">
        <v>392</v>
      </c>
      <c r="D262" s="4" t="n">
        <v>2.92087587098479</v>
      </c>
      <c r="E262" s="2" t="n">
        <v>30</v>
      </c>
      <c r="F262" s="2" t="n">
        <v>38</v>
      </c>
      <c r="G262" s="3" t="n">
        <v>397.2</v>
      </c>
      <c r="H262" s="12" t="n">
        <v>0.022536170212766</v>
      </c>
      <c r="I262" s="3" t="n">
        <v>192.871553468033</v>
      </c>
      <c r="J262" s="4" t="n">
        <v>0.15</v>
      </c>
    </row>
    <row r="263" customFormat="false" ht="14.25" hidden="false" customHeight="false" outlineLevel="0" collapsed="false">
      <c r="B263" s="2" t="n">
        <v>15.9</v>
      </c>
      <c r="C263" s="3" t="n">
        <v>392</v>
      </c>
      <c r="D263" s="4" t="n">
        <v>2.92087587098479</v>
      </c>
      <c r="E263" s="2" t="n">
        <v>30</v>
      </c>
      <c r="F263" s="2" t="n">
        <v>38</v>
      </c>
      <c r="G263" s="3" t="n">
        <v>397.2</v>
      </c>
      <c r="H263" s="12" t="n">
        <v>0.022536170212766</v>
      </c>
      <c r="I263" s="3" t="n">
        <v>331.117624925515</v>
      </c>
      <c r="J263" s="4" t="n">
        <v>0.25</v>
      </c>
    </row>
    <row r="264" customFormat="false" ht="14.25" hidden="false" customHeight="false" outlineLevel="0" collapsed="false">
      <c r="B264" s="2" t="n">
        <v>15.9</v>
      </c>
      <c r="C264" s="3" t="n">
        <v>392</v>
      </c>
      <c r="D264" s="4" t="n">
        <v>2.92087587098479</v>
      </c>
      <c r="E264" s="2" t="n">
        <v>30</v>
      </c>
      <c r="F264" s="2" t="n">
        <v>38</v>
      </c>
      <c r="G264" s="3" t="n">
        <v>397.2</v>
      </c>
      <c r="H264" s="12" t="n">
        <v>0.022536170212766</v>
      </c>
      <c r="I264" s="3" t="n">
        <v>366.452902703315</v>
      </c>
      <c r="J264" s="4" t="n">
        <v>0.3</v>
      </c>
    </row>
    <row r="265" customFormat="false" ht="14.25" hidden="false" customHeight="false" outlineLevel="0" collapsed="false">
      <c r="A265" s="1" t="s">
        <v>80</v>
      </c>
      <c r="B265" s="2" t="n">
        <v>15.9</v>
      </c>
      <c r="C265" s="3" t="n">
        <v>392</v>
      </c>
      <c r="D265" s="4" t="n">
        <v>2.92087587098479</v>
      </c>
      <c r="E265" s="2" t="n">
        <v>30</v>
      </c>
      <c r="F265" s="2" t="n">
        <v>38</v>
      </c>
      <c r="G265" s="3" t="n">
        <v>397.2</v>
      </c>
      <c r="H265" s="12" t="n">
        <v>0.022536170212766</v>
      </c>
      <c r="I265" s="3" t="n">
        <v>194.621503739647</v>
      </c>
      <c r="J265" s="4" t="n">
        <v>0.15</v>
      </c>
    </row>
    <row r="266" customFormat="false" ht="14.25" hidden="false" customHeight="false" outlineLevel="0" collapsed="false">
      <c r="B266" s="2" t="n">
        <v>15.9</v>
      </c>
      <c r="C266" s="3" t="n">
        <v>392</v>
      </c>
      <c r="D266" s="4" t="n">
        <v>2.92087587098479</v>
      </c>
      <c r="E266" s="2" t="n">
        <v>30</v>
      </c>
      <c r="F266" s="2" t="n">
        <v>38</v>
      </c>
      <c r="G266" s="3" t="n">
        <v>397.2</v>
      </c>
      <c r="H266" s="12" t="n">
        <v>0.022536170212766</v>
      </c>
      <c r="I266" s="3" t="n">
        <v>332.867575197129</v>
      </c>
      <c r="J266" s="4" t="n">
        <v>0.25</v>
      </c>
    </row>
    <row r="267" customFormat="false" ht="14.25" hidden="false" customHeight="false" outlineLevel="0" collapsed="false">
      <c r="A267" s="1" t="s">
        <v>81</v>
      </c>
      <c r="B267" s="2" t="n">
        <v>19.1</v>
      </c>
      <c r="C267" s="3" t="n">
        <v>392</v>
      </c>
      <c r="D267" s="4" t="n">
        <v>2.92087587098479</v>
      </c>
      <c r="E267" s="2" t="n">
        <v>30</v>
      </c>
      <c r="F267" s="2" t="n">
        <v>39.5</v>
      </c>
      <c r="G267" s="3" t="n">
        <v>573</v>
      </c>
      <c r="H267" s="12" t="n">
        <v>0.0282962962962963</v>
      </c>
      <c r="I267" s="3" t="n">
        <v>113.834697759034</v>
      </c>
      <c r="J267" s="4" t="n">
        <v>0.15</v>
      </c>
    </row>
    <row r="268" customFormat="false" ht="14.25" hidden="false" customHeight="false" outlineLevel="0" collapsed="false">
      <c r="B268" s="2" t="n">
        <v>19.1</v>
      </c>
      <c r="C268" s="3" t="n">
        <v>392</v>
      </c>
      <c r="D268" s="4" t="n">
        <v>2.92087587098479</v>
      </c>
      <c r="E268" s="2" t="n">
        <v>30</v>
      </c>
      <c r="F268" s="2" t="n">
        <v>39.5</v>
      </c>
      <c r="G268" s="3" t="n">
        <v>573</v>
      </c>
      <c r="H268" s="12" t="n">
        <v>0.0282962962962963</v>
      </c>
      <c r="I268" s="3" t="n">
        <v>206.130330837803</v>
      </c>
      <c r="J268" s="4" t="n">
        <v>0.2</v>
      </c>
    </row>
    <row r="269" customFormat="false" ht="14.25" hidden="false" customHeight="false" outlineLevel="0" collapsed="false">
      <c r="B269" s="2" t="n">
        <v>19.1</v>
      </c>
      <c r="C269" s="3" t="n">
        <v>392</v>
      </c>
      <c r="D269" s="4" t="n">
        <v>2.92087587098479</v>
      </c>
      <c r="E269" s="2" t="n">
        <v>30</v>
      </c>
      <c r="F269" s="2" t="n">
        <v>39.5</v>
      </c>
      <c r="G269" s="3" t="n">
        <v>573</v>
      </c>
      <c r="H269" s="12" t="n">
        <v>0.0282962962962963</v>
      </c>
      <c r="I269" s="3" t="n">
        <v>300.388936553062</v>
      </c>
      <c r="J269" s="4" t="n">
        <v>0.3</v>
      </c>
    </row>
    <row r="270" customFormat="false" ht="14.25" hidden="false" customHeight="false" outlineLevel="0" collapsed="false">
      <c r="B270" s="2" t="n">
        <v>19.1</v>
      </c>
      <c r="C270" s="3" t="n">
        <v>392</v>
      </c>
      <c r="D270" s="4" t="n">
        <v>2.92087587098479</v>
      </c>
      <c r="E270" s="2" t="n">
        <v>30</v>
      </c>
      <c r="F270" s="2" t="n">
        <v>39.5</v>
      </c>
      <c r="G270" s="3" t="n">
        <v>573</v>
      </c>
      <c r="H270" s="12" t="n">
        <v>0.0282962962962963</v>
      </c>
      <c r="I270" s="3" t="n">
        <v>371.049164141272</v>
      </c>
      <c r="J270" s="4" t="n">
        <v>0.33</v>
      </c>
    </row>
    <row r="271" customFormat="false" ht="14.25" hidden="false" customHeight="false" outlineLevel="0" collapsed="false">
      <c r="A271" s="1" t="s">
        <v>82</v>
      </c>
      <c r="B271" s="2" t="n">
        <v>19.1</v>
      </c>
      <c r="C271" s="3" t="n">
        <v>392</v>
      </c>
      <c r="D271" s="4" t="n">
        <v>2.92087587098479</v>
      </c>
      <c r="E271" s="2" t="n">
        <v>30</v>
      </c>
      <c r="F271" s="2" t="n">
        <v>39.5</v>
      </c>
      <c r="G271" s="3" t="n">
        <v>573</v>
      </c>
      <c r="H271" s="12" t="n">
        <v>0.0282962962962963</v>
      </c>
      <c r="I271" s="3" t="n">
        <v>112.885328525321</v>
      </c>
      <c r="J271" s="4" t="n">
        <v>0.15</v>
      </c>
    </row>
    <row r="272" customFormat="false" ht="14.25" hidden="false" customHeight="false" outlineLevel="0" collapsed="false">
      <c r="B272" s="2" t="n">
        <v>19.1</v>
      </c>
      <c r="C272" s="3" t="n">
        <v>392</v>
      </c>
      <c r="D272" s="4" t="n">
        <v>2.92087587098479</v>
      </c>
      <c r="E272" s="2" t="n">
        <v>30</v>
      </c>
      <c r="F272" s="2" t="n">
        <v>39.5</v>
      </c>
      <c r="G272" s="3" t="n">
        <v>573</v>
      </c>
      <c r="H272" s="12" t="n">
        <v>0.0282962962962963</v>
      </c>
      <c r="I272" s="3" t="n">
        <v>203.744037022227</v>
      </c>
      <c r="J272" s="4" t="n">
        <v>0.25</v>
      </c>
    </row>
    <row r="273" customFormat="false" ht="14.25" hidden="false" customHeight="false" outlineLevel="0" collapsed="false">
      <c r="B273" s="2" t="n">
        <v>19.1</v>
      </c>
      <c r="C273" s="3" t="n">
        <v>392</v>
      </c>
      <c r="D273" s="4" t="n">
        <v>2.92087587098479</v>
      </c>
      <c r="E273" s="2" t="n">
        <v>30</v>
      </c>
      <c r="F273" s="2" t="n">
        <v>39.5</v>
      </c>
      <c r="G273" s="3" t="n">
        <v>573</v>
      </c>
      <c r="H273" s="12" t="n">
        <v>0.0282962962962963</v>
      </c>
      <c r="I273" s="3" t="n">
        <v>296.809495829698</v>
      </c>
      <c r="J273" s="4" t="n">
        <v>0.28</v>
      </c>
    </row>
    <row r="274" customFormat="false" ht="14.25" hidden="false" customHeight="false" outlineLevel="0" collapsed="false">
      <c r="A274" s="1" t="s">
        <v>83</v>
      </c>
      <c r="B274" s="2" t="n">
        <v>15.9</v>
      </c>
      <c r="C274" s="3" t="n">
        <v>392</v>
      </c>
      <c r="D274" s="4" t="n">
        <v>3.35387948274239</v>
      </c>
      <c r="E274" s="2" t="n">
        <v>30</v>
      </c>
      <c r="F274" s="2" t="n">
        <v>38</v>
      </c>
      <c r="G274" s="3" t="n">
        <v>397.2</v>
      </c>
      <c r="H274" s="12" t="n">
        <v>0.022536170212766</v>
      </c>
      <c r="I274" s="3" t="n">
        <v>326.505076813976</v>
      </c>
      <c r="J274" s="4" t="n">
        <v>0.2</v>
      </c>
    </row>
    <row r="275" customFormat="false" ht="14.25" hidden="false" customHeight="false" outlineLevel="0" collapsed="false">
      <c r="B275" s="2" t="n">
        <v>15.9</v>
      </c>
      <c r="C275" s="3" t="n">
        <v>392</v>
      </c>
      <c r="D275" s="4" t="n">
        <v>3.35387948274239</v>
      </c>
      <c r="E275" s="2" t="n">
        <v>30</v>
      </c>
      <c r="F275" s="2" t="n">
        <v>38</v>
      </c>
      <c r="G275" s="3" t="n">
        <v>397.2</v>
      </c>
      <c r="H275" s="12" t="n">
        <v>0.022536170212766</v>
      </c>
      <c r="I275" s="3" t="n">
        <v>362.871830387689</v>
      </c>
      <c r="J275" s="4" t="n">
        <v>0.22</v>
      </c>
    </row>
    <row r="276" customFormat="false" ht="14.25" hidden="false" customHeight="false" outlineLevel="0" collapsed="false">
      <c r="A276" s="1" t="s">
        <v>84</v>
      </c>
      <c r="B276" s="2" t="n">
        <v>15.9</v>
      </c>
      <c r="C276" s="3" t="n">
        <v>392</v>
      </c>
      <c r="D276" s="4" t="n">
        <v>3.35387948274239</v>
      </c>
      <c r="E276" s="2" t="n">
        <v>30</v>
      </c>
      <c r="F276" s="2" t="n">
        <v>38</v>
      </c>
      <c r="G276" s="3" t="n">
        <v>397.2</v>
      </c>
      <c r="H276" s="12" t="n">
        <v>0.022536170212766</v>
      </c>
      <c r="I276" s="3" t="n">
        <v>326.505076813976</v>
      </c>
      <c r="J276" s="4" t="n">
        <v>0.17</v>
      </c>
    </row>
    <row r="277" customFormat="false" ht="14.25" hidden="false" customHeight="false" outlineLevel="0" collapsed="false">
      <c r="B277" s="2" t="n">
        <v>15.9</v>
      </c>
      <c r="C277" s="3" t="n">
        <v>392</v>
      </c>
      <c r="D277" s="4" t="n">
        <v>3.35387948274239</v>
      </c>
      <c r="E277" s="2" t="n">
        <v>30</v>
      </c>
      <c r="F277" s="2" t="n">
        <v>38</v>
      </c>
      <c r="G277" s="3" t="n">
        <v>397.2</v>
      </c>
      <c r="H277" s="12" t="n">
        <v>0.022536170212766</v>
      </c>
      <c r="I277" s="3" t="n">
        <v>362.871830387689</v>
      </c>
      <c r="J277" s="4" t="n">
        <v>0.21</v>
      </c>
    </row>
    <row r="278" customFormat="false" ht="14.25" hidden="false" customHeight="false" outlineLevel="0" collapsed="false">
      <c r="A278" s="1" t="s">
        <v>85</v>
      </c>
      <c r="B278" s="2" t="n">
        <v>19.1</v>
      </c>
      <c r="C278" s="3" t="n">
        <v>392</v>
      </c>
      <c r="D278" s="4" t="n">
        <v>3.35387948274239</v>
      </c>
      <c r="E278" s="2" t="n">
        <v>30</v>
      </c>
      <c r="F278" s="2" t="n">
        <v>39.5</v>
      </c>
      <c r="G278" s="3" t="n">
        <v>573</v>
      </c>
      <c r="H278" s="12" t="n">
        <v>0.0282962962962963</v>
      </c>
      <c r="I278" s="3" t="n">
        <v>147.261960689549</v>
      </c>
      <c r="J278" s="4" t="n">
        <v>0.17</v>
      </c>
    </row>
    <row r="279" customFormat="false" ht="14.25" hidden="false" customHeight="false" outlineLevel="0" collapsed="false">
      <c r="B279" s="2" t="n">
        <v>19.1</v>
      </c>
      <c r="C279" s="3" t="n">
        <v>392</v>
      </c>
      <c r="D279" s="4" t="n">
        <v>3.35387948274239</v>
      </c>
      <c r="E279" s="2" t="n">
        <v>30</v>
      </c>
      <c r="F279" s="2" t="n">
        <v>39.5</v>
      </c>
      <c r="G279" s="3" t="n">
        <v>573</v>
      </c>
      <c r="H279" s="12" t="n">
        <v>0.0282962962962963</v>
      </c>
      <c r="I279" s="3" t="n">
        <v>196.132394675069</v>
      </c>
      <c r="J279" s="4" t="n">
        <v>0.18</v>
      </c>
    </row>
    <row r="280" customFormat="false" ht="14.25" hidden="false" customHeight="false" outlineLevel="0" collapsed="false">
      <c r="B280" s="2" t="n">
        <v>19.1</v>
      </c>
      <c r="C280" s="3" t="n">
        <v>392</v>
      </c>
      <c r="D280" s="4" t="n">
        <v>3.35387948274239</v>
      </c>
      <c r="E280" s="2" t="n">
        <v>30</v>
      </c>
      <c r="F280" s="2" t="n">
        <v>39.5</v>
      </c>
      <c r="G280" s="3" t="n">
        <v>573</v>
      </c>
      <c r="H280" s="12" t="n">
        <v>0.0282962962962963</v>
      </c>
      <c r="I280" s="3" t="n">
        <v>243.781067810951</v>
      </c>
      <c r="J280" s="4" t="n">
        <v>0.2</v>
      </c>
    </row>
    <row r="281" customFormat="false" ht="14.25" hidden="false" customHeight="false" outlineLevel="0" collapsed="false">
      <c r="B281" s="2" t="n">
        <v>19.1</v>
      </c>
      <c r="C281" s="3" t="n">
        <v>392</v>
      </c>
      <c r="D281" s="4" t="n">
        <v>3.35387948274239</v>
      </c>
      <c r="E281" s="2" t="n">
        <v>30</v>
      </c>
      <c r="F281" s="2" t="n">
        <v>39.5</v>
      </c>
      <c r="G281" s="3" t="n">
        <v>573</v>
      </c>
      <c r="H281" s="12" t="n">
        <v>0.0282962962962963</v>
      </c>
      <c r="I281" s="3" t="n">
        <v>292.651501796471</v>
      </c>
      <c r="J281" s="4" t="n">
        <v>0.2</v>
      </c>
    </row>
    <row r="282" customFormat="false" ht="14.25" hidden="false" customHeight="false" outlineLevel="0" collapsed="false">
      <c r="B282" s="2" t="n">
        <v>19.1</v>
      </c>
      <c r="C282" s="3" t="n">
        <v>392</v>
      </c>
      <c r="D282" s="4" t="n">
        <v>3.35387948274239</v>
      </c>
      <c r="E282" s="2" t="n">
        <v>30</v>
      </c>
      <c r="F282" s="2" t="n">
        <v>39.5</v>
      </c>
      <c r="G282" s="3" t="n">
        <v>573</v>
      </c>
      <c r="H282" s="12" t="n">
        <v>0.0282962962962963</v>
      </c>
      <c r="I282" s="3" t="n">
        <v>339.078414082716</v>
      </c>
      <c r="J282" s="4" t="n">
        <v>0.25</v>
      </c>
    </row>
    <row r="283" customFormat="false" ht="14.25" hidden="false" customHeight="false" outlineLevel="0" collapsed="false">
      <c r="B283" s="2" t="n">
        <v>19.1</v>
      </c>
      <c r="C283" s="3" t="n">
        <v>392</v>
      </c>
      <c r="D283" s="4" t="n">
        <v>3.35387948274239</v>
      </c>
      <c r="E283" s="2" t="n">
        <v>30</v>
      </c>
      <c r="F283" s="2" t="n">
        <v>39.5</v>
      </c>
      <c r="G283" s="3" t="n">
        <v>573</v>
      </c>
      <c r="H283" s="12" t="n">
        <v>0.0282962962962963</v>
      </c>
      <c r="I283" s="3" t="n">
        <v>368.149462034831</v>
      </c>
      <c r="J283" s="4" t="n">
        <v>0.27</v>
      </c>
    </row>
    <row r="284" customFormat="false" ht="14.25" hidden="false" customHeight="false" outlineLevel="0" collapsed="false">
      <c r="A284" s="1" t="s">
        <v>86</v>
      </c>
      <c r="B284" s="2" t="n">
        <v>19.1</v>
      </c>
      <c r="C284" s="3" t="n">
        <v>392</v>
      </c>
      <c r="D284" s="4" t="n">
        <v>3.35387948274239</v>
      </c>
      <c r="E284" s="2" t="n">
        <v>30</v>
      </c>
      <c r="F284" s="2" t="n">
        <v>39.5</v>
      </c>
      <c r="G284" s="3" t="n">
        <v>573</v>
      </c>
      <c r="H284" s="12" t="n">
        <v>0.0282962962962963</v>
      </c>
      <c r="I284" s="3" t="n">
        <v>243.781067810951</v>
      </c>
      <c r="J284" s="4" t="n">
        <v>0.18</v>
      </c>
    </row>
    <row r="285" customFormat="false" ht="14.25" hidden="false" customHeight="false" outlineLevel="0" collapsed="false">
      <c r="B285" s="2" t="n">
        <v>19.1</v>
      </c>
      <c r="C285" s="3" t="n">
        <v>392</v>
      </c>
      <c r="D285" s="4" t="n">
        <v>3.35387948274239</v>
      </c>
      <c r="E285" s="2" t="n">
        <v>30</v>
      </c>
      <c r="F285" s="2" t="n">
        <v>39.5</v>
      </c>
      <c r="G285" s="3" t="n">
        <v>573</v>
      </c>
      <c r="H285" s="12" t="n">
        <v>0.0282962962962963</v>
      </c>
      <c r="I285" s="3" t="n">
        <v>290.207980097195</v>
      </c>
      <c r="J285" s="4" t="n">
        <v>0.19</v>
      </c>
    </row>
    <row r="286" customFormat="false" ht="14.25" hidden="false" customHeight="false" outlineLevel="0" collapsed="false">
      <c r="B286" s="2" t="n">
        <v>19.1</v>
      </c>
      <c r="C286" s="3" t="n">
        <v>392</v>
      </c>
      <c r="D286" s="4" t="n">
        <v>3.35387948274239</v>
      </c>
      <c r="E286" s="2" t="n">
        <v>30</v>
      </c>
      <c r="F286" s="2" t="n">
        <v>39.5</v>
      </c>
      <c r="G286" s="3" t="n">
        <v>573</v>
      </c>
      <c r="H286" s="12" t="n">
        <v>0.0282962962962963</v>
      </c>
      <c r="I286" s="3" t="n">
        <v>339.078414082716</v>
      </c>
      <c r="J286" s="4" t="n">
        <v>0.21</v>
      </c>
    </row>
    <row r="287" customFormat="false" ht="14.25" hidden="false" customHeight="false" outlineLevel="0" collapsed="false">
      <c r="B287" s="2" t="n">
        <v>19.1</v>
      </c>
      <c r="C287" s="3" t="n">
        <v>392</v>
      </c>
      <c r="D287" s="4" t="n">
        <v>3.35387948274239</v>
      </c>
      <c r="E287" s="2" t="n">
        <v>30</v>
      </c>
      <c r="F287" s="2" t="n">
        <v>39.5</v>
      </c>
      <c r="G287" s="3" t="n">
        <v>573</v>
      </c>
      <c r="H287" s="12" t="n">
        <v>0.0282962962962963</v>
      </c>
      <c r="I287" s="3" t="n">
        <v>368.149462034831</v>
      </c>
      <c r="J287" s="4" t="n">
        <v>0.26</v>
      </c>
    </row>
    <row r="288" customFormat="false" ht="14.25" hidden="false" customHeight="false" outlineLevel="0" collapsed="false">
      <c r="A288" s="1" t="s">
        <v>87</v>
      </c>
      <c r="B288" s="2" t="n">
        <v>19.1</v>
      </c>
      <c r="C288" s="3" t="n">
        <v>276</v>
      </c>
      <c r="D288" s="4" t="n">
        <v>2.90032882517908</v>
      </c>
      <c r="E288" s="2" t="n">
        <v>31.8</v>
      </c>
      <c r="F288" s="2" t="n">
        <v>41.4</v>
      </c>
      <c r="G288" s="3" t="n">
        <v>568</v>
      </c>
      <c r="H288" s="12" t="n">
        <v>0.0272245005166903</v>
      </c>
      <c r="I288" s="3" t="n">
        <v>131.312184311943</v>
      </c>
      <c r="J288" s="4" t="n">
        <v>0.17</v>
      </c>
    </row>
    <row r="289" customFormat="false" ht="14.25" hidden="false" customHeight="false" outlineLevel="0" collapsed="false">
      <c r="B289" s="2" t="n">
        <v>19.1</v>
      </c>
      <c r="C289" s="3" t="n">
        <v>276</v>
      </c>
      <c r="D289" s="4" t="n">
        <v>2.90032882517908</v>
      </c>
      <c r="E289" s="2" t="n">
        <v>31.8</v>
      </c>
      <c r="F289" s="2" t="n">
        <v>41.4</v>
      </c>
      <c r="G289" s="3" t="n">
        <v>568</v>
      </c>
      <c r="H289" s="12" t="n">
        <v>0.0272245005166903</v>
      </c>
      <c r="I289" s="3" t="n">
        <v>183.72363442548</v>
      </c>
      <c r="J289" s="4" t="n">
        <v>0.23</v>
      </c>
    </row>
    <row r="290" customFormat="false" ht="14.25" hidden="false" customHeight="false" outlineLevel="0" collapsed="false">
      <c r="B290" s="2" t="n">
        <v>19.1</v>
      </c>
      <c r="C290" s="3" t="n">
        <v>276</v>
      </c>
      <c r="D290" s="4" t="n">
        <v>2.90032882517908</v>
      </c>
      <c r="E290" s="2" t="n">
        <v>31.8</v>
      </c>
      <c r="F290" s="2" t="n">
        <v>41.4</v>
      </c>
      <c r="G290" s="3" t="n">
        <v>568</v>
      </c>
      <c r="H290" s="12" t="n">
        <v>0.0272245005166903</v>
      </c>
      <c r="I290" s="3" t="n">
        <v>223.274212459054</v>
      </c>
      <c r="J290" s="4" t="n">
        <v>0.27</v>
      </c>
    </row>
    <row r="291" customFormat="false" ht="14.25" hidden="false" customHeight="false" outlineLevel="0" collapsed="false">
      <c r="A291" s="1" t="s">
        <v>88</v>
      </c>
      <c r="B291" s="2" t="n">
        <v>19.1</v>
      </c>
      <c r="C291" s="3" t="n">
        <v>276</v>
      </c>
      <c r="D291" s="4" t="n">
        <v>2.84669189571421</v>
      </c>
      <c r="E291" s="2" t="n">
        <v>31.8</v>
      </c>
      <c r="F291" s="2" t="n">
        <v>41.4</v>
      </c>
      <c r="G291" s="3" t="n">
        <v>568</v>
      </c>
      <c r="H291" s="12" t="n">
        <v>0.0272245005166903</v>
      </c>
      <c r="I291" s="3" t="n">
        <v>224.17342621352</v>
      </c>
      <c r="J291" s="4" t="n">
        <v>0.16</v>
      </c>
    </row>
    <row r="292" customFormat="false" ht="14.25" hidden="false" customHeight="false" outlineLevel="0" collapsed="false">
      <c r="A292" s="1" t="s">
        <v>89</v>
      </c>
      <c r="B292" s="2" t="n">
        <v>19.1</v>
      </c>
      <c r="C292" s="3" t="n">
        <v>276</v>
      </c>
      <c r="D292" s="4" t="n">
        <v>2.71132147348833</v>
      </c>
      <c r="E292" s="2" t="n">
        <v>38.2</v>
      </c>
      <c r="F292" s="2" t="n">
        <v>47.7</v>
      </c>
      <c r="G292" s="3" t="n">
        <v>568</v>
      </c>
      <c r="H292" s="12" t="n">
        <v>0.0260267745861376</v>
      </c>
      <c r="I292" s="3" t="n">
        <v>191.764922934407</v>
      </c>
      <c r="J292" s="4" t="n">
        <v>0.16</v>
      </c>
    </row>
    <row r="293" customFormat="false" ht="14.25" hidden="false" customHeight="false" outlineLevel="0" collapsed="false">
      <c r="B293" s="2" t="n">
        <v>19.1</v>
      </c>
      <c r="C293" s="3" t="n">
        <v>276</v>
      </c>
      <c r="D293" s="4" t="n">
        <v>2.71132147348833</v>
      </c>
      <c r="E293" s="2" t="n">
        <v>38.2</v>
      </c>
      <c r="F293" s="2" t="n">
        <v>47.7</v>
      </c>
      <c r="G293" s="3" t="n">
        <v>568</v>
      </c>
      <c r="H293" s="12" t="n">
        <v>0.0260267745861376</v>
      </c>
      <c r="I293" s="3" t="n">
        <v>224.52366430869</v>
      </c>
      <c r="J293" s="4" t="n">
        <v>0.2</v>
      </c>
    </row>
    <row r="294" customFormat="false" ht="14.25" hidden="false" customHeight="false" outlineLevel="0" collapsed="false">
      <c r="A294" s="1" t="s">
        <v>90</v>
      </c>
      <c r="B294" s="2" t="n">
        <v>22.2</v>
      </c>
      <c r="C294" s="3" t="n">
        <v>276</v>
      </c>
      <c r="D294" s="4" t="n">
        <v>2.68798662700617</v>
      </c>
      <c r="E294" s="2" t="n">
        <v>12.8</v>
      </c>
      <c r="F294" s="2" t="n">
        <v>23.9</v>
      </c>
      <c r="G294" s="3" t="n">
        <v>774</v>
      </c>
      <c r="H294" s="12" t="n">
        <v>0.0607141680511693</v>
      </c>
      <c r="I294" s="3" t="n">
        <v>244.579711304794</v>
      </c>
      <c r="J294" s="4" t="n">
        <v>0.17</v>
      </c>
    </row>
    <row r="295" customFormat="false" ht="14.25" hidden="false" customHeight="false" outlineLevel="0" collapsed="false">
      <c r="A295" s="1" t="s">
        <v>91</v>
      </c>
      <c r="B295" s="2" t="n">
        <v>22.2</v>
      </c>
      <c r="C295" s="3" t="n">
        <v>276</v>
      </c>
      <c r="D295" s="4" t="n">
        <v>2.38460157103714</v>
      </c>
      <c r="E295" s="2" t="n">
        <v>38</v>
      </c>
      <c r="F295" s="2" t="n">
        <v>49.1</v>
      </c>
      <c r="G295" s="3" t="n">
        <v>774</v>
      </c>
      <c r="H295" s="12" t="n">
        <v>0.0317222995470351</v>
      </c>
      <c r="I295" s="3" t="n">
        <v>140.827277262883</v>
      </c>
      <c r="J295" s="4" t="n">
        <v>0.15</v>
      </c>
    </row>
    <row r="296" customFormat="false" ht="14.25" hidden="false" customHeight="false" outlineLevel="0" collapsed="false">
      <c r="B296" s="2" t="n">
        <v>22.2</v>
      </c>
      <c r="C296" s="3" t="n">
        <v>276</v>
      </c>
      <c r="D296" s="4" t="n">
        <v>2.38460157103714</v>
      </c>
      <c r="E296" s="2" t="n">
        <v>38</v>
      </c>
      <c r="F296" s="2" t="n">
        <v>49.1</v>
      </c>
      <c r="G296" s="3" t="n">
        <v>774</v>
      </c>
      <c r="H296" s="12" t="n">
        <v>0.0317222995470351</v>
      </c>
      <c r="I296" s="3" t="n">
        <v>178.833845243026</v>
      </c>
      <c r="J296" s="4" t="n">
        <v>0.19</v>
      </c>
    </row>
    <row r="297" customFormat="false" ht="14.25" hidden="false" customHeight="false" outlineLevel="0" collapsed="false">
      <c r="B297" s="2" t="n">
        <v>22.2</v>
      </c>
      <c r="C297" s="3" t="n">
        <v>276</v>
      </c>
      <c r="D297" s="4" t="n">
        <v>2.38460157103714</v>
      </c>
      <c r="E297" s="2" t="n">
        <v>38</v>
      </c>
      <c r="F297" s="2" t="n">
        <v>49.1</v>
      </c>
      <c r="G297" s="3" t="n">
        <v>774</v>
      </c>
      <c r="H297" s="12" t="n">
        <v>0.0317222995470351</v>
      </c>
      <c r="I297" s="3" t="n">
        <v>219.386307729015</v>
      </c>
      <c r="J297" s="4" t="n">
        <v>0.22</v>
      </c>
    </row>
    <row r="298" customFormat="false" ht="14.25" hidden="false" customHeight="false" outlineLevel="0" collapsed="false">
      <c r="B298" s="2" t="n">
        <v>22.2</v>
      </c>
      <c r="C298" s="3" t="n">
        <v>276</v>
      </c>
      <c r="D298" s="4" t="n">
        <v>2.38460157103714</v>
      </c>
      <c r="E298" s="2" t="n">
        <v>38</v>
      </c>
      <c r="F298" s="2" t="n">
        <v>49.1</v>
      </c>
      <c r="G298" s="3" t="n">
        <v>774</v>
      </c>
      <c r="H298" s="12" t="n">
        <v>0.0317222995470351</v>
      </c>
      <c r="I298" s="3" t="n">
        <v>237.160226827859</v>
      </c>
      <c r="J298" s="4" t="n">
        <v>0.27</v>
      </c>
    </row>
    <row r="299" customFormat="false" ht="14.25" hidden="false" customHeight="false" outlineLevel="0" collapsed="false">
      <c r="A299" s="1" t="s">
        <v>92</v>
      </c>
      <c r="B299" s="2" t="n">
        <v>22.2</v>
      </c>
      <c r="C299" s="3" t="n">
        <v>276</v>
      </c>
      <c r="D299" s="4" t="n">
        <v>2.86484234762008</v>
      </c>
      <c r="E299" s="2" t="n">
        <v>38</v>
      </c>
      <c r="F299" s="2" t="n">
        <v>49.1</v>
      </c>
      <c r="G299" s="3" t="n">
        <v>774</v>
      </c>
      <c r="H299" s="12" t="n">
        <v>0.0317222995470351</v>
      </c>
      <c r="I299" s="3" t="n">
        <v>210.253502991345</v>
      </c>
      <c r="J299" s="4" t="n">
        <v>0.17</v>
      </c>
    </row>
    <row r="300" customFormat="false" ht="14.25" hidden="false" customHeight="false" outlineLevel="0" collapsed="false">
      <c r="B300" s="2" t="n">
        <v>22.2</v>
      </c>
      <c r="C300" s="3" t="n">
        <v>276</v>
      </c>
      <c r="D300" s="4" t="n">
        <v>2.86484234762008</v>
      </c>
      <c r="E300" s="2" t="n">
        <v>38</v>
      </c>
      <c r="F300" s="2" t="n">
        <v>49.1</v>
      </c>
      <c r="G300" s="3" t="n">
        <v>774</v>
      </c>
      <c r="H300" s="12" t="n">
        <v>0.0317222995470351</v>
      </c>
      <c r="I300" s="3" t="n">
        <v>230.127226740313</v>
      </c>
      <c r="J300" s="4" t="n">
        <v>0.2</v>
      </c>
    </row>
    <row r="301" customFormat="false" ht="14.25" hidden="false" customHeight="false" outlineLevel="0" collapsed="false">
      <c r="A301" s="1" t="s">
        <v>93</v>
      </c>
      <c r="B301" s="2" t="n">
        <v>22.2</v>
      </c>
      <c r="C301" s="3" t="n">
        <v>276</v>
      </c>
      <c r="D301" s="4" t="n">
        <v>2.83369179024989</v>
      </c>
      <c r="E301" s="2" t="n">
        <v>38</v>
      </c>
      <c r="F301" s="2" t="n">
        <v>49.1</v>
      </c>
      <c r="G301" s="3" t="n">
        <v>774</v>
      </c>
      <c r="H301" s="12" t="n">
        <v>0.0317222995470351</v>
      </c>
      <c r="I301" s="3" t="n">
        <v>130.478542700382</v>
      </c>
      <c r="J301" s="4" t="n">
        <v>0.15</v>
      </c>
    </row>
    <row r="302" customFormat="false" ht="14.25" hidden="false" customHeight="false" outlineLevel="0" collapsed="false">
      <c r="B302" s="2" t="n">
        <v>22.2</v>
      </c>
      <c r="C302" s="3" t="n">
        <v>276</v>
      </c>
      <c r="D302" s="4" t="n">
        <v>2.83369179024989</v>
      </c>
      <c r="E302" s="2" t="n">
        <v>38</v>
      </c>
      <c r="F302" s="2" t="n">
        <v>49.1</v>
      </c>
      <c r="G302" s="3" t="n">
        <v>774</v>
      </c>
      <c r="H302" s="12" t="n">
        <v>0.0317222995470351</v>
      </c>
      <c r="I302" s="3" t="n">
        <v>169.355626890377</v>
      </c>
      <c r="J302" s="4" t="n">
        <v>0.18</v>
      </c>
    </row>
    <row r="303" customFormat="false" ht="14.25" hidden="false" customHeight="false" outlineLevel="0" collapsed="false">
      <c r="B303" s="2" t="n">
        <v>22.2</v>
      </c>
      <c r="C303" s="3" t="n">
        <v>276</v>
      </c>
      <c r="D303" s="4" t="n">
        <v>2.83369179024989</v>
      </c>
      <c r="E303" s="2" t="n">
        <v>38</v>
      </c>
      <c r="F303" s="2" t="n">
        <v>49.1</v>
      </c>
      <c r="G303" s="3" t="n">
        <v>774</v>
      </c>
      <c r="H303" s="12" t="n">
        <v>0.0317222995470351</v>
      </c>
      <c r="I303" s="3" t="n">
        <v>210.83691767683</v>
      </c>
      <c r="J303" s="4" t="n">
        <v>0.22</v>
      </c>
    </row>
    <row r="304" customFormat="false" ht="14.25" hidden="false" customHeight="false" outlineLevel="0" collapsed="false">
      <c r="B304" s="2" t="n">
        <v>22.2</v>
      </c>
      <c r="C304" s="3" t="n">
        <v>276</v>
      </c>
      <c r="D304" s="4" t="n">
        <v>2.83369179024989</v>
      </c>
      <c r="E304" s="2" t="n">
        <v>38</v>
      </c>
      <c r="F304" s="2" t="n">
        <v>49.1</v>
      </c>
      <c r="G304" s="3" t="n">
        <v>774</v>
      </c>
      <c r="H304" s="12" t="n">
        <v>0.0317222995470351</v>
      </c>
      <c r="I304" s="3" t="n">
        <v>230.581592187972</v>
      </c>
      <c r="J304" s="4" t="n">
        <v>0.25</v>
      </c>
    </row>
    <row r="305" customFormat="false" ht="14.25" hidden="false" customHeight="false" outlineLevel="0" collapsed="false">
      <c r="A305" s="1" t="s">
        <v>94</v>
      </c>
      <c r="B305" s="2" t="n">
        <v>22.2</v>
      </c>
      <c r="C305" s="3" t="n">
        <v>276</v>
      </c>
      <c r="D305" s="4" t="n">
        <v>2.75637342683892</v>
      </c>
      <c r="E305" s="2" t="n">
        <v>38</v>
      </c>
      <c r="F305" s="2" t="n">
        <v>49.1</v>
      </c>
      <c r="G305" s="3" t="n">
        <v>774</v>
      </c>
      <c r="H305" s="12" t="n">
        <v>0.0317222995470351</v>
      </c>
      <c r="I305" s="3" t="n">
        <v>132.243766638631</v>
      </c>
      <c r="J305" s="4" t="n">
        <v>0.2</v>
      </c>
    </row>
    <row r="306" customFormat="false" ht="14.25" hidden="false" customHeight="false" outlineLevel="0" collapsed="false">
      <c r="B306" s="2" t="n">
        <v>22.2</v>
      </c>
      <c r="C306" s="3" t="n">
        <v>276</v>
      </c>
      <c r="D306" s="4" t="n">
        <v>2.75637342683892</v>
      </c>
      <c r="E306" s="2" t="n">
        <v>38</v>
      </c>
      <c r="F306" s="2" t="n">
        <v>49.1</v>
      </c>
      <c r="G306" s="3" t="n">
        <v>774</v>
      </c>
      <c r="H306" s="12" t="n">
        <v>0.0317222995470351</v>
      </c>
      <c r="I306" s="3" t="n">
        <v>170.969776347295</v>
      </c>
      <c r="J306" s="4" t="n">
        <v>0.25</v>
      </c>
    </row>
    <row r="307" customFormat="false" ht="14.25" hidden="false" customHeight="false" outlineLevel="0" collapsed="false">
      <c r="B307" s="2" t="n">
        <v>22.2</v>
      </c>
      <c r="C307" s="3" t="n">
        <v>276</v>
      </c>
      <c r="D307" s="4" t="n">
        <v>2.75637342683892</v>
      </c>
      <c r="E307" s="2" t="n">
        <v>38</v>
      </c>
      <c r="F307" s="2" t="n">
        <v>49.1</v>
      </c>
      <c r="G307" s="3" t="n">
        <v>774</v>
      </c>
      <c r="H307" s="12" t="n">
        <v>0.0317222995470351</v>
      </c>
      <c r="I307" s="3" t="n">
        <v>212.289872830702</v>
      </c>
      <c r="J307" s="4" t="n">
        <v>0.3</v>
      </c>
    </row>
    <row r="308" customFormat="false" ht="14.25" hidden="false" customHeight="false" outlineLevel="0" collapsed="false">
      <c r="B308" s="2" t="n">
        <v>22.2</v>
      </c>
      <c r="C308" s="3" t="n">
        <v>276</v>
      </c>
      <c r="D308" s="4" t="n">
        <v>2.75637342683892</v>
      </c>
      <c r="E308" s="2" t="n">
        <v>38</v>
      </c>
      <c r="F308" s="2" t="n">
        <v>49.1</v>
      </c>
      <c r="G308" s="3" t="n">
        <v>774</v>
      </c>
      <c r="H308" s="12" t="n">
        <v>0.0317222995470351</v>
      </c>
      <c r="I308" s="3" t="n">
        <v>231.710386616697</v>
      </c>
      <c r="J308" s="4" t="n">
        <v>0.35</v>
      </c>
    </row>
    <row r="309" customFormat="false" ht="14.25" hidden="false" customHeight="false" outlineLevel="0" collapsed="false">
      <c r="A309" s="1" t="s">
        <v>95</v>
      </c>
      <c r="B309" s="2" t="n">
        <v>28.7</v>
      </c>
      <c r="C309" s="3" t="n">
        <v>276</v>
      </c>
      <c r="D309" s="4" t="n">
        <v>2.77481740215607</v>
      </c>
      <c r="E309" s="2" t="n">
        <v>22.2</v>
      </c>
      <c r="F309" s="2" t="n">
        <v>36.6</v>
      </c>
      <c r="G309" s="3" t="n">
        <v>1290</v>
      </c>
      <c r="H309" s="12" t="n">
        <v>0.0660778058480395</v>
      </c>
      <c r="I309" s="3" t="n">
        <v>203.543390285314</v>
      </c>
      <c r="J309" s="4" t="n">
        <v>0.17</v>
      </c>
    </row>
    <row r="310" customFormat="false" ht="14.25" hidden="false" customHeight="false" outlineLevel="0" collapsed="false">
      <c r="B310" s="2" t="n">
        <v>28.7</v>
      </c>
      <c r="C310" s="3" t="n">
        <v>276</v>
      </c>
      <c r="D310" s="4" t="n">
        <v>2.77481740215607</v>
      </c>
      <c r="E310" s="2" t="n">
        <v>22.2</v>
      </c>
      <c r="F310" s="2" t="n">
        <v>36.6</v>
      </c>
      <c r="G310" s="3" t="n">
        <v>1290</v>
      </c>
      <c r="H310" s="12" t="n">
        <v>0.0660778058480395</v>
      </c>
      <c r="I310" s="3" t="n">
        <v>249.4431202379</v>
      </c>
      <c r="J310" s="4" t="n">
        <v>0.2</v>
      </c>
    </row>
    <row r="311" customFormat="false" ht="14.25" hidden="false" customHeight="false" outlineLevel="0" collapsed="false">
      <c r="A311" s="1" t="s">
        <v>96</v>
      </c>
      <c r="B311" s="2" t="n">
        <v>28.7</v>
      </c>
      <c r="C311" s="3" t="n">
        <v>276</v>
      </c>
      <c r="D311" s="4" t="n">
        <v>2.80171464705939</v>
      </c>
      <c r="E311" s="2" t="n">
        <v>38.2</v>
      </c>
      <c r="F311" s="2" t="n">
        <v>52.5</v>
      </c>
      <c r="G311" s="3" t="n">
        <v>1290</v>
      </c>
      <c r="H311" s="12" t="n">
        <v>0.0460656703626332</v>
      </c>
      <c r="I311" s="3" t="n">
        <v>131.979351866831</v>
      </c>
      <c r="J311" s="4" t="n">
        <v>0.17</v>
      </c>
    </row>
    <row r="312" customFormat="false" ht="14.25" hidden="false" customHeight="false" outlineLevel="0" collapsed="false">
      <c r="B312" s="2" t="n">
        <v>28.7</v>
      </c>
      <c r="C312" s="3" t="n">
        <v>276</v>
      </c>
      <c r="D312" s="4" t="n">
        <v>2.80171464705939</v>
      </c>
      <c r="E312" s="2" t="n">
        <v>38.2</v>
      </c>
      <c r="F312" s="2" t="n">
        <v>52.5</v>
      </c>
      <c r="G312" s="3" t="n">
        <v>1290</v>
      </c>
      <c r="H312" s="12" t="n">
        <v>0.0460656703626332</v>
      </c>
      <c r="I312" s="3" t="n">
        <v>169.013580919241</v>
      </c>
      <c r="J312" s="4" t="n">
        <v>0.2</v>
      </c>
    </row>
    <row r="313" customFormat="false" ht="14.25" hidden="false" customHeight="false" outlineLevel="0" collapsed="false">
      <c r="B313" s="2" t="n">
        <v>28.7</v>
      </c>
      <c r="C313" s="3" t="n">
        <v>276</v>
      </c>
      <c r="D313" s="4" t="n">
        <v>2.80171464705939</v>
      </c>
      <c r="E313" s="2" t="n">
        <v>38.2</v>
      </c>
      <c r="F313" s="2" t="n">
        <v>52.5</v>
      </c>
      <c r="G313" s="3" t="n">
        <v>1290</v>
      </c>
      <c r="H313" s="12" t="n">
        <v>0.0460656703626332</v>
      </c>
      <c r="I313" s="3" t="n">
        <v>206.918796245383</v>
      </c>
      <c r="J313" s="4" t="n">
        <v>0.25</v>
      </c>
    </row>
    <row r="314" customFormat="false" ht="14.25" hidden="false" customHeight="false" outlineLevel="0" collapsed="false">
      <c r="B314" s="2" t="n">
        <v>28.7</v>
      </c>
      <c r="C314" s="3" t="n">
        <v>276</v>
      </c>
      <c r="D314" s="4" t="n">
        <v>2.80171464705939</v>
      </c>
      <c r="E314" s="2" t="n">
        <v>38.2</v>
      </c>
      <c r="F314" s="2" t="n">
        <v>52.5</v>
      </c>
      <c r="G314" s="3" t="n">
        <v>1290</v>
      </c>
      <c r="H314" s="12" t="n">
        <v>0.0460656703626332</v>
      </c>
      <c r="I314" s="3" t="n">
        <v>242.58289538577</v>
      </c>
      <c r="J314" s="4" t="n">
        <v>0.29</v>
      </c>
    </row>
    <row r="315" customFormat="false" ht="14.25" hidden="false" customHeight="false" outlineLevel="0" collapsed="false">
      <c r="A315" s="1" t="s">
        <v>97</v>
      </c>
      <c r="B315" s="2" t="n">
        <v>28.7</v>
      </c>
      <c r="C315" s="3" t="n">
        <v>276</v>
      </c>
      <c r="D315" s="4" t="n">
        <v>2.71531164579845</v>
      </c>
      <c r="E315" s="2" t="n">
        <v>38.2</v>
      </c>
      <c r="F315" s="2" t="n">
        <v>52.5</v>
      </c>
      <c r="G315" s="3" t="n">
        <v>1290</v>
      </c>
      <c r="H315" s="12" t="n">
        <v>0.0460656703626332</v>
      </c>
      <c r="I315" s="3" t="n">
        <v>170.44511898843</v>
      </c>
      <c r="J315" s="4" t="n">
        <v>0.17</v>
      </c>
    </row>
    <row r="316" customFormat="false" ht="14.25" hidden="false" customHeight="false" outlineLevel="0" collapsed="false">
      <c r="A316" s="1" t="s">
        <v>98</v>
      </c>
      <c r="B316" s="2" t="n">
        <v>28.7</v>
      </c>
      <c r="C316" s="3" t="n">
        <v>276</v>
      </c>
      <c r="D316" s="4" t="n">
        <v>2.80171464705939</v>
      </c>
      <c r="E316" s="2" t="n">
        <v>38.2</v>
      </c>
      <c r="F316" s="2" t="n">
        <v>52.5</v>
      </c>
      <c r="G316" s="3" t="n">
        <v>1290</v>
      </c>
      <c r="H316" s="12" t="n">
        <v>0.0460656703626332</v>
      </c>
      <c r="I316" s="3" t="n">
        <v>131.979351866831</v>
      </c>
      <c r="J316" s="4" t="n">
        <v>0.15</v>
      </c>
    </row>
    <row r="317" customFormat="false" ht="14.25" hidden="false" customHeight="false" outlineLevel="0" collapsed="false">
      <c r="B317" s="2" t="n">
        <v>28.7</v>
      </c>
      <c r="C317" s="3" t="n">
        <v>276</v>
      </c>
      <c r="D317" s="4" t="n">
        <v>2.80171464705939</v>
      </c>
      <c r="E317" s="2" t="n">
        <v>38.2</v>
      </c>
      <c r="F317" s="2" t="n">
        <v>52.5</v>
      </c>
      <c r="G317" s="3" t="n">
        <v>1290</v>
      </c>
      <c r="H317" s="12" t="n">
        <v>0.0460656703626332</v>
      </c>
      <c r="I317" s="3" t="n">
        <v>169.013580919241</v>
      </c>
      <c r="J317" s="4" t="n">
        <v>0.16</v>
      </c>
    </row>
    <row r="318" customFormat="false" ht="14.25" hidden="false" customHeight="false" outlineLevel="0" collapsed="false">
      <c r="B318" s="2" t="n">
        <v>28.7</v>
      </c>
      <c r="C318" s="3" t="n">
        <v>276</v>
      </c>
      <c r="D318" s="4" t="n">
        <v>2.80171464705939</v>
      </c>
      <c r="E318" s="2" t="n">
        <v>38.2</v>
      </c>
      <c r="F318" s="2" t="n">
        <v>52.5</v>
      </c>
      <c r="G318" s="3" t="n">
        <v>1290</v>
      </c>
      <c r="H318" s="12" t="n">
        <v>0.0460656703626332</v>
      </c>
      <c r="I318" s="3" t="n">
        <v>206.918796245383</v>
      </c>
      <c r="J318" s="4" t="n">
        <v>0.22</v>
      </c>
    </row>
    <row r="319" customFormat="false" ht="14.25" hidden="false" customHeight="false" outlineLevel="0" collapsed="false">
      <c r="B319" s="2" t="n">
        <v>28.7</v>
      </c>
      <c r="C319" s="3" t="n">
        <v>276</v>
      </c>
      <c r="D319" s="4" t="n">
        <v>2.80171464705939</v>
      </c>
      <c r="E319" s="2" t="n">
        <v>38.2</v>
      </c>
      <c r="F319" s="2" t="n">
        <v>52.5</v>
      </c>
      <c r="G319" s="3" t="n">
        <v>1290</v>
      </c>
      <c r="H319" s="12" t="n">
        <v>0.0460656703626332</v>
      </c>
      <c r="I319" s="3" t="n">
        <v>242.58289538577</v>
      </c>
      <c r="J319" s="4" t="n">
        <v>0.26</v>
      </c>
    </row>
    <row r="320" customFormat="false" ht="14.25" hidden="false" customHeight="false" outlineLevel="0" collapsed="false">
      <c r="A320" s="1" t="s">
        <v>99</v>
      </c>
      <c r="B320" s="2" t="n">
        <v>28.7</v>
      </c>
      <c r="C320" s="3" t="n">
        <v>276</v>
      </c>
      <c r="D320" s="4" t="n">
        <v>2.52444806810338</v>
      </c>
      <c r="E320" s="2" t="n">
        <v>38.2</v>
      </c>
      <c r="F320" s="2" t="n">
        <v>52.5</v>
      </c>
      <c r="G320" s="3" t="n">
        <v>1290</v>
      </c>
      <c r="H320" s="12" t="n">
        <v>0.0460656703626332</v>
      </c>
      <c r="I320" s="3" t="n">
        <v>173.642021432502</v>
      </c>
      <c r="J320" s="4" t="n">
        <v>0.17</v>
      </c>
    </row>
    <row r="321" customFormat="false" ht="14.25" hidden="false" customHeight="false" outlineLevel="0" collapsed="false">
      <c r="B321" s="2" t="n">
        <v>28.7</v>
      </c>
      <c r="C321" s="3" t="n">
        <v>276</v>
      </c>
      <c r="D321" s="4" t="n">
        <v>2.52444806810338</v>
      </c>
      <c r="E321" s="2" t="n">
        <v>38.2</v>
      </c>
      <c r="F321" s="2" t="n">
        <v>52.5</v>
      </c>
      <c r="G321" s="3" t="n">
        <v>1290</v>
      </c>
      <c r="H321" s="12" t="n">
        <v>0.0460656703626332</v>
      </c>
      <c r="I321" s="3" t="n">
        <v>211.192425244779</v>
      </c>
      <c r="J321" s="4" t="n">
        <v>0.2</v>
      </c>
    </row>
    <row r="322" customFormat="false" ht="14.25" hidden="false" customHeight="false" outlineLevel="0" collapsed="false">
      <c r="B322" s="2" t="n">
        <v>28.7</v>
      </c>
      <c r="C322" s="3" t="n">
        <v>276</v>
      </c>
      <c r="D322" s="4" t="n">
        <v>2.52444806810338</v>
      </c>
      <c r="E322" s="2" t="n">
        <v>38.2</v>
      </c>
      <c r="F322" s="2" t="n">
        <v>52.5</v>
      </c>
      <c r="G322" s="3" t="n">
        <v>1290</v>
      </c>
      <c r="H322" s="12" t="n">
        <v>0.0460656703626332</v>
      </c>
      <c r="I322" s="3" t="n">
        <v>245.49875842798</v>
      </c>
      <c r="J322" s="4" t="n">
        <v>0.24</v>
      </c>
    </row>
    <row r="323" customFormat="false" ht="14.25" hidden="false" customHeight="false" outlineLevel="0" collapsed="false">
      <c r="A323" s="1" t="s">
        <v>100</v>
      </c>
      <c r="B323" s="2" t="n">
        <v>32.3</v>
      </c>
      <c r="C323" s="3" t="n">
        <v>276</v>
      </c>
      <c r="D323" s="4" t="n">
        <v>2.53821845332793</v>
      </c>
      <c r="E323" s="2" t="n">
        <v>38.3</v>
      </c>
      <c r="F323" s="2" t="n">
        <v>54.4</v>
      </c>
      <c r="G323" s="3" t="n">
        <v>819</v>
      </c>
      <c r="H323" s="12" t="n">
        <v>0.0282248726262158</v>
      </c>
      <c r="I323" s="3" t="n">
        <v>106.353203774331</v>
      </c>
      <c r="J323" s="4" t="n">
        <v>0.17</v>
      </c>
    </row>
    <row r="324" customFormat="false" ht="14.25" hidden="false" customHeight="false" outlineLevel="0" collapsed="false">
      <c r="B324" s="2" t="n">
        <v>32.3</v>
      </c>
      <c r="C324" s="3" t="n">
        <v>276</v>
      </c>
      <c r="D324" s="4" t="n">
        <v>2.53821845332793</v>
      </c>
      <c r="E324" s="2" t="n">
        <v>38.3</v>
      </c>
      <c r="F324" s="2" t="n">
        <v>54.4</v>
      </c>
      <c r="G324" s="3" t="n">
        <v>819</v>
      </c>
      <c r="H324" s="12" t="n">
        <v>0.0282248726262158</v>
      </c>
      <c r="I324" s="3" t="n">
        <v>150.363502382333</v>
      </c>
      <c r="J324" s="4" t="n">
        <v>0.23</v>
      </c>
    </row>
    <row r="325" customFormat="false" ht="14.25" hidden="false" customHeight="false" outlineLevel="0" collapsed="false">
      <c r="B325" s="2" t="n">
        <v>32.3</v>
      </c>
      <c r="C325" s="3" t="n">
        <v>276</v>
      </c>
      <c r="D325" s="4" t="n">
        <v>2.53821845332793</v>
      </c>
      <c r="E325" s="2" t="n">
        <v>38.3</v>
      </c>
      <c r="F325" s="2" t="n">
        <v>54.4</v>
      </c>
      <c r="G325" s="3" t="n">
        <v>819</v>
      </c>
      <c r="H325" s="12" t="n">
        <v>0.0282248726262158</v>
      </c>
      <c r="I325" s="3" t="n">
        <v>193.147127255323</v>
      </c>
      <c r="J325" s="4" t="n">
        <v>0.27</v>
      </c>
    </row>
    <row r="326" customFormat="false" ht="14.25" hidden="false" customHeight="false" outlineLevel="0" collapsed="false">
      <c r="B326" s="2" t="n">
        <v>32.3</v>
      </c>
      <c r="C326" s="3" t="n">
        <v>276</v>
      </c>
      <c r="D326" s="4" t="n">
        <v>2.53821845332793</v>
      </c>
      <c r="E326" s="2" t="n">
        <v>38.3</v>
      </c>
      <c r="F326" s="2" t="n">
        <v>54.4</v>
      </c>
      <c r="G326" s="3" t="n">
        <v>819</v>
      </c>
      <c r="H326" s="12" t="n">
        <v>0.0282248726262158</v>
      </c>
      <c r="I326" s="3" t="n">
        <v>223.706859307459</v>
      </c>
      <c r="J326" s="4" t="n">
        <v>0.31</v>
      </c>
    </row>
    <row r="327" customFormat="false" ht="14.25" hidden="false" customHeight="false" outlineLevel="0" collapsed="false">
      <c r="B327" s="2" t="n">
        <v>32.3</v>
      </c>
      <c r="C327" s="3" t="n">
        <v>276</v>
      </c>
      <c r="D327" s="4" t="n">
        <v>2.53821845332793</v>
      </c>
      <c r="E327" s="2" t="n">
        <v>38.3</v>
      </c>
      <c r="F327" s="2" t="n">
        <v>54.4</v>
      </c>
      <c r="G327" s="3" t="n">
        <v>819</v>
      </c>
      <c r="H327" s="12" t="n">
        <v>0.0282248726262158</v>
      </c>
      <c r="I327" s="3" t="n">
        <v>230.744979239284</v>
      </c>
      <c r="J327" s="4" t="n">
        <v>0.35</v>
      </c>
    </row>
    <row r="328" customFormat="false" ht="14.25" hidden="false" customHeight="false" outlineLevel="0" collapsed="false">
      <c r="A328" s="1" t="s">
        <v>101</v>
      </c>
      <c r="B328" s="2" t="n">
        <v>32.3</v>
      </c>
      <c r="C328" s="3" t="n">
        <v>276</v>
      </c>
      <c r="D328" s="4" t="n">
        <v>2.81086951894943</v>
      </c>
      <c r="E328" s="2" t="n">
        <v>38.3</v>
      </c>
      <c r="F328" s="2" t="n">
        <v>54.4</v>
      </c>
      <c r="G328" s="3" t="n">
        <v>819</v>
      </c>
      <c r="H328" s="12" t="n">
        <v>0.0282248726262158</v>
      </c>
      <c r="I328" s="3" t="n">
        <v>99.532458974282</v>
      </c>
      <c r="J328" s="4" t="n">
        <v>0.19</v>
      </c>
    </row>
    <row r="329" customFormat="false" ht="14.25" hidden="false" customHeight="false" outlineLevel="0" collapsed="false">
      <c r="B329" s="2" t="n">
        <v>32.3</v>
      </c>
      <c r="C329" s="3" t="n">
        <v>276</v>
      </c>
      <c r="D329" s="4" t="n">
        <v>2.81086951894943</v>
      </c>
      <c r="E329" s="2" t="n">
        <v>38.3</v>
      </c>
      <c r="F329" s="2" t="n">
        <v>54.4</v>
      </c>
      <c r="G329" s="3" t="n">
        <v>819</v>
      </c>
      <c r="H329" s="12" t="n">
        <v>0.0282248726262158</v>
      </c>
      <c r="I329" s="3" t="n">
        <v>143.737632833922</v>
      </c>
      <c r="J329" s="4" t="n">
        <v>0.24</v>
      </c>
    </row>
    <row r="330" customFormat="false" ht="14.25" hidden="false" customHeight="false" outlineLevel="0" collapsed="false">
      <c r="B330" s="2" t="n">
        <v>32.3</v>
      </c>
      <c r="C330" s="3" t="n">
        <v>276</v>
      </c>
      <c r="D330" s="4" t="n">
        <v>2.81086951894943</v>
      </c>
      <c r="E330" s="2" t="n">
        <v>38.3</v>
      </c>
      <c r="F330" s="2" t="n">
        <v>54.4</v>
      </c>
      <c r="G330" s="3" t="n">
        <v>819</v>
      </c>
      <c r="H330" s="12" t="n">
        <v>0.0282248726262158</v>
      </c>
      <c r="I330" s="3" t="n">
        <v>187.176740338077</v>
      </c>
      <c r="J330" s="4" t="n">
        <v>0.29</v>
      </c>
    </row>
    <row r="331" customFormat="false" ht="14.25" hidden="false" customHeight="false" outlineLevel="0" collapsed="false">
      <c r="B331" s="2" t="n">
        <v>32.3</v>
      </c>
      <c r="C331" s="3" t="n">
        <v>276</v>
      </c>
      <c r="D331" s="4" t="n">
        <v>2.81086951894943</v>
      </c>
      <c r="E331" s="2" t="n">
        <v>38.3</v>
      </c>
      <c r="F331" s="2" t="n">
        <v>54.4</v>
      </c>
      <c r="G331" s="3" t="n">
        <v>819</v>
      </c>
      <c r="H331" s="12" t="n">
        <v>0.0282248726262158</v>
      </c>
      <c r="I331" s="3" t="n">
        <v>218.204674269617</v>
      </c>
      <c r="J331" s="4" t="n">
        <v>0.36</v>
      </c>
    </row>
    <row r="332" customFormat="false" ht="14.25" hidden="false" customHeight="false" outlineLevel="0" collapsed="false">
      <c r="B332" s="2" t="n">
        <v>32.3</v>
      </c>
      <c r="C332" s="3" t="n">
        <v>276</v>
      </c>
      <c r="D332" s="4" t="n">
        <v>2.81086951894943</v>
      </c>
      <c r="E332" s="2" t="n">
        <v>38.3</v>
      </c>
      <c r="F332" s="2" t="n">
        <v>54.4</v>
      </c>
      <c r="G332" s="3" t="n">
        <v>819</v>
      </c>
      <c r="H332" s="12" t="n">
        <v>0.0282248726262158</v>
      </c>
      <c r="I332" s="3" t="n">
        <v>226.309268981256</v>
      </c>
      <c r="J332" s="4" t="n">
        <v>0.42</v>
      </c>
    </row>
    <row r="333" customFormat="false" ht="14.25" hidden="false" customHeight="false" outlineLevel="0" collapsed="false">
      <c r="A333" s="1" t="s">
        <v>102</v>
      </c>
      <c r="B333" s="2" t="n">
        <v>28.7</v>
      </c>
      <c r="C333" s="3" t="n">
        <v>276</v>
      </c>
      <c r="D333" s="4" t="n">
        <v>2.57657861790804</v>
      </c>
      <c r="E333" s="2" t="n">
        <v>38</v>
      </c>
      <c r="F333" s="2" t="n">
        <v>52.3</v>
      </c>
      <c r="G333" s="3" t="n">
        <v>1290</v>
      </c>
      <c r="H333" s="12" t="n">
        <v>0.0462418297139244</v>
      </c>
      <c r="I333" s="3" t="n">
        <v>139.22648337646</v>
      </c>
      <c r="J333" s="4" t="n">
        <v>0.18</v>
      </c>
    </row>
    <row r="334" customFormat="false" ht="14.25" hidden="false" customHeight="false" outlineLevel="0" collapsed="false">
      <c r="B334" s="2" t="n">
        <v>28.7</v>
      </c>
      <c r="C334" s="3" t="n">
        <v>276</v>
      </c>
      <c r="D334" s="4" t="n">
        <v>2.57657861790804</v>
      </c>
      <c r="E334" s="2" t="n">
        <v>38</v>
      </c>
      <c r="F334" s="2" t="n">
        <v>52.3</v>
      </c>
      <c r="G334" s="3" t="n">
        <v>1290</v>
      </c>
      <c r="H334" s="12" t="n">
        <v>0.0462418297139244</v>
      </c>
      <c r="I334" s="3" t="n">
        <v>180.497314979196</v>
      </c>
      <c r="J334" s="4" t="n">
        <v>0.22</v>
      </c>
    </row>
    <row r="335" customFormat="false" ht="14.25" hidden="false" customHeight="false" outlineLevel="0" collapsed="false">
      <c r="B335" s="2" t="n">
        <v>28.7</v>
      </c>
      <c r="C335" s="3" t="n">
        <v>276</v>
      </c>
      <c r="D335" s="4" t="n">
        <v>2.57657861790804</v>
      </c>
      <c r="E335" s="2" t="n">
        <v>38</v>
      </c>
      <c r="F335" s="2" t="n">
        <v>52.3</v>
      </c>
      <c r="G335" s="3" t="n">
        <v>1290</v>
      </c>
      <c r="H335" s="12" t="n">
        <v>0.0462418297139244</v>
      </c>
      <c r="I335" s="3" t="n">
        <v>213.14386705439</v>
      </c>
      <c r="J335" s="4" t="n">
        <v>0.27</v>
      </c>
    </row>
    <row r="336" customFormat="false" ht="14.25" hidden="false" customHeight="false" outlineLevel="0" collapsed="false">
      <c r="B336" s="2" t="n">
        <v>28.7</v>
      </c>
      <c r="C336" s="3" t="n">
        <v>276</v>
      </c>
      <c r="D336" s="4" t="n">
        <v>2.57657861790804</v>
      </c>
      <c r="E336" s="2" t="n">
        <v>38</v>
      </c>
      <c r="F336" s="2" t="n">
        <v>52.3</v>
      </c>
      <c r="G336" s="3" t="n">
        <v>1290</v>
      </c>
      <c r="H336" s="12" t="n">
        <v>0.0462418297139244</v>
      </c>
      <c r="I336" s="3" t="n">
        <v>245.03832142352</v>
      </c>
      <c r="J336" s="4" t="n">
        <v>0.32</v>
      </c>
    </row>
    <row r="337" customFormat="false" ht="14.25" hidden="false" customHeight="false" outlineLevel="0" collapsed="false">
      <c r="A337" s="1" t="s">
        <v>103</v>
      </c>
      <c r="B337" s="2" t="n">
        <v>28.7</v>
      </c>
      <c r="C337" s="3" t="n">
        <v>276</v>
      </c>
      <c r="D337" s="4" t="n">
        <v>2.57657861790804</v>
      </c>
      <c r="E337" s="2" t="n">
        <v>38</v>
      </c>
      <c r="F337" s="2" t="n">
        <v>52.3</v>
      </c>
      <c r="G337" s="3" t="n">
        <v>1290</v>
      </c>
      <c r="H337" s="12" t="n">
        <v>0.0462418297139244</v>
      </c>
      <c r="I337" s="3" t="n">
        <v>180.497314979196</v>
      </c>
      <c r="J337" s="4" t="n">
        <v>0.16</v>
      </c>
    </row>
    <row r="338" customFormat="false" ht="14.25" hidden="false" customHeight="false" outlineLevel="0" collapsed="false">
      <c r="B338" s="2" t="n">
        <v>28.7</v>
      </c>
      <c r="C338" s="3" t="n">
        <v>276</v>
      </c>
      <c r="D338" s="4" t="n">
        <v>2.57657861790804</v>
      </c>
      <c r="E338" s="2" t="n">
        <v>38</v>
      </c>
      <c r="F338" s="2" t="n">
        <v>52.3</v>
      </c>
      <c r="G338" s="3" t="n">
        <v>1290</v>
      </c>
      <c r="H338" s="12" t="n">
        <v>0.0462418297139244</v>
      </c>
      <c r="I338" s="3" t="n">
        <v>213.14386705439</v>
      </c>
      <c r="J338" s="4" t="n">
        <v>0.19</v>
      </c>
    </row>
    <row r="339" customFormat="false" ht="14.25" hidden="false" customHeight="false" outlineLevel="0" collapsed="false">
      <c r="B339" s="2" t="n">
        <v>28.7</v>
      </c>
      <c r="C339" s="3" t="n">
        <v>276</v>
      </c>
      <c r="D339" s="4" t="n">
        <v>2.57657861790804</v>
      </c>
      <c r="E339" s="2" t="n">
        <v>38</v>
      </c>
      <c r="F339" s="2" t="n">
        <v>52.3</v>
      </c>
      <c r="G339" s="3" t="n">
        <v>1290</v>
      </c>
      <c r="H339" s="12" t="n">
        <v>0.0462418297139244</v>
      </c>
      <c r="I339" s="3" t="n">
        <v>245.03832142352</v>
      </c>
      <c r="J339" s="4" t="n">
        <v>0.22</v>
      </c>
    </row>
    <row r="340" customFormat="false" ht="14.25" hidden="false" customHeight="false" outlineLevel="0" collapsed="false">
      <c r="A340" s="1" t="s">
        <v>104</v>
      </c>
      <c r="B340" s="2" t="n">
        <v>35.8</v>
      </c>
      <c r="C340" s="3" t="n">
        <v>276</v>
      </c>
      <c r="D340" s="4" t="n">
        <v>2.54783553354044</v>
      </c>
      <c r="E340" s="2" t="n">
        <v>38</v>
      </c>
      <c r="F340" s="2" t="n">
        <v>55.9</v>
      </c>
      <c r="G340" s="3" t="n">
        <v>2012</v>
      </c>
      <c r="H340" s="12" t="n">
        <v>0.0674781484157056</v>
      </c>
      <c r="I340" s="3" t="n">
        <v>150.918822000117</v>
      </c>
      <c r="J340" s="4" t="n">
        <v>0.17</v>
      </c>
    </row>
    <row r="341" customFormat="false" ht="14.25" hidden="false" customHeight="false" outlineLevel="0" collapsed="false">
      <c r="A341" s="1" t="s">
        <v>105</v>
      </c>
      <c r="B341" s="2" t="n">
        <v>35.8</v>
      </c>
      <c r="C341" s="3" t="n">
        <v>276</v>
      </c>
      <c r="D341" s="4" t="n">
        <v>2.75637342683892</v>
      </c>
      <c r="E341" s="2" t="n">
        <v>38</v>
      </c>
      <c r="F341" s="2" t="n">
        <v>55.9</v>
      </c>
      <c r="G341" s="3" t="n">
        <v>2012</v>
      </c>
      <c r="H341" s="12" t="n">
        <v>0.0674781484157056</v>
      </c>
      <c r="I341" s="3" t="n">
        <v>108.349173275283</v>
      </c>
      <c r="J341" s="4" t="n">
        <v>0.19</v>
      </c>
    </row>
    <row r="342" customFormat="false" ht="14.25" hidden="false" customHeight="false" outlineLevel="0" collapsed="false">
      <c r="B342" s="2" t="n">
        <v>35.8</v>
      </c>
      <c r="C342" s="3" t="n">
        <v>276</v>
      </c>
      <c r="D342" s="4" t="n">
        <v>2.75637342683892</v>
      </c>
      <c r="E342" s="2" t="n">
        <v>38</v>
      </c>
      <c r="F342" s="2" t="n">
        <v>55.9</v>
      </c>
      <c r="G342" s="3" t="n">
        <v>2012</v>
      </c>
      <c r="H342" s="12" t="n">
        <v>0.0674781484157056</v>
      </c>
      <c r="I342" s="3" t="n">
        <v>148.199286582844</v>
      </c>
      <c r="J342" s="4" t="n">
        <v>0.25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5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1" ySplit="0" topLeftCell="B1" activePane="topRight" state="frozen"/>
      <selection pane="topLeft" activeCell="A1" activeCellId="0" sqref="A1"/>
      <selection pane="topRight" activeCell="D23" activeCellId="0" sqref="D23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35.89"/>
    <col collapsed="false" customWidth="true" hidden="false" outlineLevel="0" max="2" min="2" style="4" width="17.22"/>
    <col collapsed="false" customWidth="true" hidden="false" outlineLevel="0" max="3" min="3" style="4" width="23.45"/>
    <col collapsed="false" customWidth="true" hidden="false" outlineLevel="0" max="4" min="4" style="4" width="37.89"/>
    <col collapsed="false" customWidth="true" hidden="false" outlineLevel="0" max="5" min="5" style="24" width="37.89"/>
    <col collapsed="false" customWidth="true" hidden="false" outlineLevel="0" max="6" min="6" style="24" width="22.67"/>
    <col collapsed="false" customWidth="true" hidden="false" outlineLevel="0" max="7" min="7" style="25" width="22.67"/>
  </cols>
  <sheetData>
    <row r="1" s="14" customFormat="true" ht="14.25" hidden="false" customHeight="false" outlineLevel="0" collapsed="false">
      <c r="A1" s="1" t="s">
        <v>8</v>
      </c>
      <c r="B1" s="4" t="s">
        <v>147</v>
      </c>
      <c r="C1" s="4" t="s">
        <v>148</v>
      </c>
      <c r="D1" s="4" t="s">
        <v>149</v>
      </c>
      <c r="E1" s="4" t="s">
        <v>150</v>
      </c>
      <c r="F1" s="4" t="s">
        <v>151</v>
      </c>
      <c r="G1" s="3" t="s">
        <v>152</v>
      </c>
    </row>
    <row r="2" customFormat="false" ht="14.25" hidden="false" customHeight="false" outlineLevel="0" collapsed="false">
      <c r="A2" s="0" t="s">
        <v>22</v>
      </c>
      <c r="B2" s="4" t="n">
        <v>0.16</v>
      </c>
      <c r="C2" s="4" t="n">
        <v>0.0861593825131977</v>
      </c>
      <c r="D2" s="4" t="n">
        <f aca="false">B2-C2</f>
        <v>0.0738406174868023</v>
      </c>
      <c r="E2" s="24" t="n">
        <v>0.102129723973678</v>
      </c>
      <c r="F2" s="24" t="n">
        <f aca="false">B2-E2</f>
        <v>0.0578702760263222</v>
      </c>
    </row>
    <row r="3" customFormat="false" ht="14.25" hidden="false" customHeight="false" outlineLevel="0" collapsed="false">
      <c r="B3" s="4" t="n">
        <v>0.23</v>
      </c>
      <c r="C3" s="4" t="n">
        <v>0.147126541852635</v>
      </c>
      <c r="D3" s="4" t="n">
        <f aca="false">B3-C3</f>
        <v>0.0828734581473655</v>
      </c>
      <c r="E3" s="24" t="n">
        <v>0.190782516555556</v>
      </c>
      <c r="F3" s="24" t="n">
        <f aca="false">B3-E3</f>
        <v>0.0392174834444437</v>
      </c>
    </row>
    <row r="4" customFormat="false" ht="14.25" hidden="false" customHeight="false" outlineLevel="0" collapsed="false">
      <c r="B4" s="4" t="n">
        <v>0.24</v>
      </c>
      <c r="C4" s="4" t="n">
        <v>0.155568148530403</v>
      </c>
      <c r="D4" s="4" t="n">
        <f aca="false">B4-C4</f>
        <v>0.0844318514695973</v>
      </c>
      <c r="E4" s="24" t="n">
        <v>0.203057518605355</v>
      </c>
      <c r="F4" s="24" t="n">
        <f aca="false">B4-E4</f>
        <v>0.0369424813946451</v>
      </c>
    </row>
    <row r="5" customFormat="false" ht="14.25" hidden="false" customHeight="false" outlineLevel="0" collapsed="false">
      <c r="B5" s="4" t="n">
        <v>0.27</v>
      </c>
      <c r="C5" s="4" t="n">
        <v>0.196838225621714</v>
      </c>
      <c r="D5" s="4" t="n">
        <f aca="false">B5-C5</f>
        <v>0.0731617743782862</v>
      </c>
      <c r="E5" s="24" t="n">
        <v>0.263068639737704</v>
      </c>
      <c r="F5" s="24" t="n">
        <f aca="false">B5-E5</f>
        <v>0.00693136026229652</v>
      </c>
    </row>
    <row r="6" customFormat="false" ht="14.25" hidden="false" customHeight="false" outlineLevel="0" collapsed="false">
      <c r="B6" s="4" t="n">
        <v>0.35</v>
      </c>
      <c r="C6" s="4" t="n">
        <v>0.277502467209276</v>
      </c>
      <c r="D6" s="4" t="n">
        <f aca="false">B6-C6</f>
        <v>0.0724975327907236</v>
      </c>
      <c r="E6" s="24" t="n">
        <v>0.380363103769112</v>
      </c>
      <c r="F6" s="24" t="n">
        <f aca="false">B6-E6</f>
        <v>-0.030363103769112</v>
      </c>
    </row>
    <row r="7" customFormat="false" ht="14.25" hidden="false" customHeight="false" outlineLevel="0" collapsed="false">
      <c r="B7" s="4" t="n">
        <v>0.4</v>
      </c>
      <c r="C7" s="4" t="n">
        <v>0.311870443287798</v>
      </c>
      <c r="D7" s="4" t="n">
        <f aca="false">B7-C7</f>
        <v>0.0881295567122016</v>
      </c>
      <c r="E7" s="24" t="n">
        <v>0.420805970660799</v>
      </c>
      <c r="F7" s="24" t="n">
        <f aca="false">B7-E7</f>
        <v>-0.0208059706607985</v>
      </c>
    </row>
    <row r="8" customFormat="false" ht="14.25" hidden="false" customHeight="false" outlineLevel="0" collapsed="false">
      <c r="A8" s="0" t="s">
        <v>23</v>
      </c>
      <c r="B8" s="4" t="n">
        <v>0.16</v>
      </c>
      <c r="C8" s="4" t="n">
        <v>0.135806726806593</v>
      </c>
      <c r="D8" s="4" t="n">
        <f aca="false">B8-C8</f>
        <v>0.0241932731934066</v>
      </c>
      <c r="E8" s="24" t="n">
        <v>0.220519365945007</v>
      </c>
      <c r="F8" s="24" t="n">
        <f aca="false">B8-E8</f>
        <v>-0.060519365945007</v>
      </c>
    </row>
    <row r="9" customFormat="false" ht="14.25" hidden="false" customHeight="false" outlineLevel="0" collapsed="false">
      <c r="B9" s="4" t="n">
        <v>0.18</v>
      </c>
      <c r="C9" s="4" t="n">
        <v>0.179954155396124</v>
      </c>
      <c r="D9" s="4" t="n">
        <f aca="false">B9-C9</f>
        <v>4.58446038760496E-005</v>
      </c>
      <c r="E9" s="24" t="n">
        <v>0.293288436360923</v>
      </c>
      <c r="F9" s="24" t="n">
        <f aca="false">B9-E9</f>
        <v>-0.113288436360923</v>
      </c>
    </row>
    <row r="10" customFormat="false" ht="14.25" hidden="false" customHeight="false" outlineLevel="0" collapsed="false">
      <c r="B10" s="4" t="n">
        <v>0.26</v>
      </c>
      <c r="C10" s="4" t="n">
        <v>0.309914237155623</v>
      </c>
      <c r="D10" s="4" t="n">
        <f aca="false">B10-C10</f>
        <v>-0.0499142371556232</v>
      </c>
      <c r="E10" s="24" t="n">
        <v>0.491606140616201</v>
      </c>
      <c r="F10" s="24" t="n">
        <f aca="false">B10-E10</f>
        <v>-0.231606140616201</v>
      </c>
    </row>
    <row r="11" customFormat="false" ht="14.25" hidden="false" customHeight="false" outlineLevel="0" collapsed="false">
      <c r="A11" s="0" t="s">
        <v>24</v>
      </c>
      <c r="B11" s="4" t="n">
        <v>0.16</v>
      </c>
      <c r="C11" s="4" t="n">
        <v>0.138680290254408</v>
      </c>
      <c r="D11" s="4" t="n">
        <f aca="false">B11-C11</f>
        <v>0.0213197097455916</v>
      </c>
      <c r="E11" s="24" t="n">
        <v>0.167247284948928</v>
      </c>
      <c r="F11" s="24" t="n">
        <f aca="false">B11-E11</f>
        <v>-0.00724728494892779</v>
      </c>
    </row>
    <row r="12" customFormat="false" ht="14.25" hidden="false" customHeight="false" outlineLevel="0" collapsed="false">
      <c r="B12" s="4" t="n">
        <v>0.2</v>
      </c>
      <c r="C12" s="4" t="n">
        <v>0.172128911017169</v>
      </c>
      <c r="D12" s="4" t="n">
        <f aca="false">B12-C12</f>
        <v>0.0278710889828314</v>
      </c>
      <c r="E12" s="24" t="n">
        <v>0.214040810849146</v>
      </c>
      <c r="F12" s="24" t="n">
        <f aca="false">B12-E12</f>
        <v>-0.0140408108491458</v>
      </c>
    </row>
    <row r="13" customFormat="false" ht="14.25" hidden="false" customHeight="false" outlineLevel="0" collapsed="false">
      <c r="B13" s="4" t="n">
        <v>0.2</v>
      </c>
      <c r="C13" s="4" t="n">
        <v>0.207832494977418</v>
      </c>
      <c r="D13" s="4" t="n">
        <f aca="false">B13-C13</f>
        <v>-0.00783249497741809</v>
      </c>
      <c r="E13" s="24" t="n">
        <v>0.263988956472974</v>
      </c>
      <c r="F13" s="24" t="n">
        <f aca="false">B13-E13</f>
        <v>-0.063988956472974</v>
      </c>
    </row>
    <row r="14" customFormat="false" ht="14.25" hidden="false" customHeight="false" outlineLevel="0" collapsed="false">
      <c r="B14" s="4" t="n">
        <v>0.24</v>
      </c>
      <c r="C14" s="4" t="n">
        <v>0.243911906137249</v>
      </c>
      <c r="D14" s="4" t="n">
        <f aca="false">B14-C14</f>
        <v>-0.00391190613724909</v>
      </c>
      <c r="E14" s="24" t="n">
        <v>0.314462872050737</v>
      </c>
      <c r="F14" s="24" t="n">
        <f aca="false">B14-E14</f>
        <v>-0.0744628720507372</v>
      </c>
    </row>
    <row r="15" customFormat="false" ht="14.25" hidden="false" customHeight="false" outlineLevel="0" collapsed="false">
      <c r="B15" s="4" t="n">
        <v>0.3</v>
      </c>
      <c r="C15" s="4" t="n">
        <v>0.267213192511307</v>
      </c>
      <c r="D15" s="4" t="n">
        <f aca="false">B15-C15</f>
        <v>0.0327868074886932</v>
      </c>
      <c r="E15" s="24" t="n">
        <v>0.347060609194709</v>
      </c>
      <c r="F15" s="24" t="n">
        <f aca="false">B15-E15</f>
        <v>-0.0470606091947094</v>
      </c>
    </row>
    <row r="16" customFormat="false" ht="14.25" hidden="false" customHeight="false" outlineLevel="0" collapsed="false">
      <c r="B16" s="4" t="n">
        <v>0.32</v>
      </c>
      <c r="C16" s="4" t="n">
        <v>0.317198210055656</v>
      </c>
      <c r="D16" s="4" t="n">
        <f aca="false">B16-C16</f>
        <v>0.00280178994434399</v>
      </c>
      <c r="E16" s="24" t="n">
        <v>0.416988013068069</v>
      </c>
      <c r="F16" s="24" t="n">
        <f aca="false">B16-E16</f>
        <v>-0.0969880130680686</v>
      </c>
    </row>
    <row r="17" customFormat="false" ht="14.25" hidden="false" customHeight="false" outlineLevel="0" collapsed="false">
      <c r="B17" s="4" t="n">
        <v>0.38</v>
      </c>
      <c r="C17" s="4" t="n">
        <v>0.320956482051472</v>
      </c>
      <c r="D17" s="4" t="n">
        <f aca="false">B17-C17</f>
        <v>0.0590435179485281</v>
      </c>
      <c r="E17" s="24" t="n">
        <v>0.420926463531363</v>
      </c>
      <c r="F17" s="24" t="n">
        <f aca="false">B17-E17</f>
        <v>-0.0409264635313629</v>
      </c>
    </row>
    <row r="18" customFormat="false" ht="14.25" hidden="false" customHeight="false" outlineLevel="0" collapsed="false">
      <c r="B18" s="4" t="n">
        <v>0.42</v>
      </c>
      <c r="C18" s="4" t="n">
        <v>0.351022658017998</v>
      </c>
      <c r="D18" s="4" t="n">
        <f aca="false">B18-C18</f>
        <v>0.0689773419820022</v>
      </c>
      <c r="E18" s="24" t="n">
        <v>0.450992639497889</v>
      </c>
      <c r="F18" s="24" t="n">
        <f aca="false">B18-E18</f>
        <v>-0.0309926394978888</v>
      </c>
    </row>
    <row r="19" customFormat="false" ht="14.25" hidden="false" customHeight="false" outlineLevel="0" collapsed="false">
      <c r="B19" s="4" t="n">
        <v>0.44</v>
      </c>
      <c r="C19" s="4" t="n">
        <v>0.425809374021921</v>
      </c>
      <c r="D19" s="4" t="n">
        <f aca="false">B19-C19</f>
        <v>0.0141906259780789</v>
      </c>
      <c r="E19" s="24" t="n">
        <v>0.525779355501812</v>
      </c>
      <c r="F19" s="24" t="n">
        <f aca="false">B19-E19</f>
        <v>-0.0857793555018121</v>
      </c>
    </row>
    <row r="20" customFormat="false" ht="14.25" hidden="false" customHeight="false" outlineLevel="0" collapsed="false">
      <c r="B20" s="4" t="n">
        <v>0.5</v>
      </c>
      <c r="C20" s="4" t="n">
        <v>0.425809374021921</v>
      </c>
      <c r="D20" s="4" t="n">
        <f aca="false">B20-C20</f>
        <v>0.0741906259780789</v>
      </c>
      <c r="E20" s="24" t="n">
        <v>0.525779355501812</v>
      </c>
      <c r="F20" s="24" t="n">
        <f aca="false">B20-E20</f>
        <v>-0.0257793555018121</v>
      </c>
    </row>
    <row r="21" customFormat="false" ht="14.25" hidden="false" customHeight="false" outlineLevel="0" collapsed="false">
      <c r="A21" s="0" t="s">
        <v>25</v>
      </c>
      <c r="B21" s="4" t="n">
        <v>0.24</v>
      </c>
      <c r="C21" s="4" t="n">
        <v>0.163338720819284</v>
      </c>
      <c r="D21" s="4" t="n">
        <f aca="false">B21-C21</f>
        <v>0.0766612791807163</v>
      </c>
      <c r="E21" s="24" t="n">
        <v>0.206339105936133</v>
      </c>
      <c r="F21" s="24" t="n">
        <f aca="false">B21-E21</f>
        <v>0.0336608940638667</v>
      </c>
    </row>
    <row r="22" customFormat="false" ht="14.25" hidden="false" customHeight="false" outlineLevel="0" collapsed="false">
      <c r="B22" s="4" t="n">
        <v>0.3</v>
      </c>
      <c r="C22" s="4" t="n">
        <v>0.193213400157039</v>
      </c>
      <c r="D22" s="4" t="n">
        <f aca="false">B22-C22</f>
        <v>0.106786599842961</v>
      </c>
      <c r="E22" s="24" t="n">
        <v>0.248808894229133</v>
      </c>
      <c r="F22" s="24" t="n">
        <f aca="false">B22-E22</f>
        <v>0.0511911057708673</v>
      </c>
    </row>
    <row r="23" customFormat="false" ht="14.25" hidden="false" customHeight="false" outlineLevel="0" collapsed="false">
      <c r="B23" s="4" t="n">
        <v>0.3</v>
      </c>
      <c r="C23" s="4" t="n">
        <v>0.204416404908698</v>
      </c>
      <c r="D23" s="4" t="n">
        <f aca="false">B23-C23</f>
        <v>0.0955835950913023</v>
      </c>
      <c r="E23" s="24" t="n">
        <v>0.264735064839007</v>
      </c>
      <c r="F23" s="24" t="n">
        <f aca="false">B23-E23</f>
        <v>0.0352649351609927</v>
      </c>
    </row>
    <row r="24" customFormat="false" ht="14.25" hidden="false" customHeight="false" outlineLevel="0" collapsed="false">
      <c r="B24" s="4" t="n">
        <v>0.3</v>
      </c>
      <c r="C24" s="4" t="n">
        <v>0.223088079494795</v>
      </c>
      <c r="D24" s="4" t="n">
        <f aca="false">B24-C24</f>
        <v>0.0769119205052051</v>
      </c>
      <c r="E24" s="24" t="n">
        <v>0.291278682522132</v>
      </c>
      <c r="F24" s="24" t="n">
        <f aca="false">B24-E24</f>
        <v>0.00872131747786814</v>
      </c>
    </row>
    <row r="25" customFormat="false" ht="14.25" hidden="false" customHeight="false" outlineLevel="0" collapsed="false">
      <c r="B25" s="4" t="n">
        <v>0.38</v>
      </c>
      <c r="C25" s="4" t="n">
        <v>0.249228423915331</v>
      </c>
      <c r="D25" s="4" t="n">
        <f aca="false">B25-C25</f>
        <v>0.130771576084669</v>
      </c>
      <c r="E25" s="24" t="n">
        <v>0.328439747278506</v>
      </c>
      <c r="F25" s="24" t="n">
        <f aca="false">B25-E25</f>
        <v>0.0515602527214938</v>
      </c>
    </row>
    <row r="26" customFormat="false" ht="14.25" hidden="false" customHeight="false" outlineLevel="0" collapsed="false">
      <c r="B26" s="4" t="n">
        <v>0.44</v>
      </c>
      <c r="C26" s="4" t="n">
        <v>0.305243447673623</v>
      </c>
      <c r="D26" s="4" t="n">
        <f aca="false">B26-C26</f>
        <v>0.134756552326377</v>
      </c>
      <c r="E26" s="24" t="n">
        <v>0.40807060032788</v>
      </c>
      <c r="F26" s="24" t="n">
        <f aca="false">B26-E26</f>
        <v>0.0319293996721201</v>
      </c>
    </row>
    <row r="27" customFormat="false" ht="14.25" hidden="false" customHeight="false" outlineLevel="0" collapsed="false">
      <c r="A27" s="0" t="s">
        <v>26</v>
      </c>
      <c r="B27" s="4" t="n">
        <v>0.18</v>
      </c>
      <c r="C27" s="4" t="n">
        <v>0.0547132573499686</v>
      </c>
      <c r="D27" s="4" t="n">
        <f aca="false">B27-C27</f>
        <v>0.125286742650031</v>
      </c>
      <c r="E27" s="24" t="n">
        <v>0.0614068205895771</v>
      </c>
      <c r="F27" s="24" t="n">
        <f aca="false">B27-E27</f>
        <v>0.118593179410423</v>
      </c>
    </row>
    <row r="28" customFormat="false" ht="14.25" hidden="false" customHeight="false" outlineLevel="0" collapsed="false">
      <c r="B28" s="4" t="n">
        <v>0.2</v>
      </c>
      <c r="C28" s="4" t="n">
        <v>0.107787020276924</v>
      </c>
      <c r="D28" s="4" t="n">
        <f aca="false">B28-C28</f>
        <v>0.092212979723076</v>
      </c>
      <c r="E28" s="24" t="n">
        <v>0.117386667274441</v>
      </c>
      <c r="F28" s="24" t="n">
        <f aca="false">B28-E28</f>
        <v>0.0826133327255586</v>
      </c>
    </row>
    <row r="29" customFormat="false" ht="14.25" hidden="false" customHeight="false" outlineLevel="0" collapsed="false">
      <c r="B29" s="4" t="n">
        <v>0.26</v>
      </c>
      <c r="C29" s="4" t="n">
        <v>0.144275232289206</v>
      </c>
      <c r="D29" s="4" t="n">
        <f aca="false">B29-C29</f>
        <v>0.115724767710794</v>
      </c>
      <c r="E29" s="24" t="n">
        <v>0.163620726981609</v>
      </c>
      <c r="F29" s="24" t="n">
        <f aca="false">B29-E29</f>
        <v>0.0963792730183906</v>
      </c>
    </row>
    <row r="30" customFormat="false" ht="14.25" hidden="false" customHeight="false" outlineLevel="0" collapsed="false">
      <c r="B30" s="4" t="n">
        <v>0.44</v>
      </c>
      <c r="C30" s="4" t="n">
        <v>0.204646637618618</v>
      </c>
      <c r="D30" s="4" t="n">
        <f aca="false">B30-C30</f>
        <v>0.235353362381382</v>
      </c>
      <c r="E30" s="24" t="n">
        <v>0.240117080315287</v>
      </c>
      <c r="F30" s="24" t="n">
        <f aca="false">B30-E30</f>
        <v>0.199882919684713</v>
      </c>
    </row>
    <row r="31" customFormat="false" ht="14.25" hidden="false" customHeight="false" outlineLevel="0" collapsed="false">
      <c r="B31" s="4" t="n">
        <v>0.6</v>
      </c>
      <c r="C31" s="4" t="n">
        <v>0.292881768484681</v>
      </c>
      <c r="D31" s="4" t="n">
        <f aca="false">B31-C31</f>
        <v>0.307118231515319</v>
      </c>
      <c r="E31" s="24" t="n">
        <v>0.351919442879894</v>
      </c>
      <c r="F31" s="24" t="n">
        <f aca="false">B31-E31</f>
        <v>0.248080557120106</v>
      </c>
    </row>
    <row r="32" customFormat="false" ht="14.25" hidden="false" customHeight="false" outlineLevel="0" collapsed="false">
      <c r="A32" s="0" t="s">
        <v>27</v>
      </c>
      <c r="B32" s="4" t="n">
        <v>0.36</v>
      </c>
      <c r="C32" s="4" t="n">
        <v>0.234277041464278</v>
      </c>
      <c r="D32" s="4" t="n">
        <f aca="false">B32-C32</f>
        <v>0.125722958535722</v>
      </c>
      <c r="E32" s="24" t="n">
        <v>0.306790181347957</v>
      </c>
      <c r="F32" s="24" t="n">
        <f aca="false">B32-E32</f>
        <v>0.0532098186520428</v>
      </c>
    </row>
    <row r="33" customFormat="false" ht="14.25" hidden="false" customHeight="false" outlineLevel="0" collapsed="false">
      <c r="B33" s="4" t="n">
        <v>0.43</v>
      </c>
      <c r="C33" s="4" t="n">
        <v>0.354699637155838</v>
      </c>
      <c r="D33" s="4" t="n">
        <f aca="false">B33-C33</f>
        <v>0.0753003628441622</v>
      </c>
      <c r="E33" s="24" t="n">
        <v>0.483588349093174</v>
      </c>
      <c r="F33" s="24" t="n">
        <f aca="false">B33-E33</f>
        <v>-0.0535883490931743</v>
      </c>
    </row>
    <row r="34" customFormat="false" ht="14.25" hidden="false" customHeight="false" outlineLevel="0" collapsed="false">
      <c r="B34" s="4" t="n">
        <v>0.56</v>
      </c>
      <c r="C34" s="4" t="n">
        <v>0.51425077014726</v>
      </c>
      <c r="D34" s="4" t="n">
        <f aca="false">B34-C34</f>
        <v>0.0457492298527406</v>
      </c>
      <c r="E34" s="24" t="n">
        <v>0.701452813603441</v>
      </c>
      <c r="F34" s="24" t="n">
        <f aca="false">B34-E34</f>
        <v>-0.141452813603441</v>
      </c>
    </row>
    <row r="35" customFormat="false" ht="14.25" hidden="false" customHeight="false" outlineLevel="0" collapsed="false">
      <c r="B35" s="4" t="n">
        <v>0.71</v>
      </c>
      <c r="C35" s="4" t="n">
        <v>0.51425077014726</v>
      </c>
      <c r="D35" s="4" t="n">
        <f aca="false">B35-C35</f>
        <v>0.19574922985274</v>
      </c>
      <c r="E35" s="24" t="n">
        <v>0.701452813603441</v>
      </c>
      <c r="F35" s="24" t="n">
        <f aca="false">B35-E35</f>
        <v>0.00854718639655894</v>
      </c>
    </row>
    <row r="36" customFormat="false" ht="14.25" hidden="false" customHeight="false" outlineLevel="0" collapsed="false">
      <c r="B36" s="4" t="n">
        <v>0.79</v>
      </c>
      <c r="C36" s="4" t="n">
        <v>0.51425077014726</v>
      </c>
      <c r="D36" s="4" t="n">
        <f aca="false">B36-C36</f>
        <v>0.275749229852741</v>
      </c>
      <c r="E36" s="24" t="n">
        <v>0.701452813603441</v>
      </c>
      <c r="F36" s="24" t="n">
        <f aca="false">B36-E36</f>
        <v>0.088547186396559</v>
      </c>
    </row>
    <row r="37" customFormat="false" ht="14.25" hidden="false" customHeight="false" outlineLevel="0" collapsed="false">
      <c r="A37" s="0" t="s">
        <v>28</v>
      </c>
      <c r="B37" s="4" t="n">
        <v>0.2</v>
      </c>
      <c r="C37" s="4" t="n">
        <v>0.0521970847573939</v>
      </c>
      <c r="D37" s="4" t="n">
        <f aca="false">B37-C37</f>
        <v>0.147802915242606</v>
      </c>
      <c r="E37" s="24" t="n">
        <v>0.0521970847573939</v>
      </c>
      <c r="F37" s="24" t="n">
        <f aca="false">B37-E37</f>
        <v>0.147802915242606</v>
      </c>
    </row>
    <row r="38" customFormat="false" ht="14.25" hidden="false" customHeight="false" outlineLevel="0" collapsed="false">
      <c r="B38" s="4" t="n">
        <v>0.25</v>
      </c>
      <c r="C38" s="4" t="n">
        <v>0.139663916262374</v>
      </c>
      <c r="D38" s="4" t="n">
        <f aca="false">B38-C38</f>
        <v>0.110336083737626</v>
      </c>
      <c r="E38" s="24" t="n">
        <v>0.140004492446294</v>
      </c>
      <c r="F38" s="24" t="n">
        <f aca="false">B38-E38</f>
        <v>0.109995507553706</v>
      </c>
    </row>
    <row r="39" customFormat="false" ht="14.25" hidden="false" customHeight="false" outlineLevel="0" collapsed="false">
      <c r="B39" s="4" t="n">
        <v>0.36</v>
      </c>
      <c r="C39" s="4" t="n">
        <v>0.227130747767353</v>
      </c>
      <c r="D39" s="4" t="n">
        <f aca="false">B39-C39</f>
        <v>0.132869252232647</v>
      </c>
      <c r="E39" s="24" t="n">
        <v>0.244552011032669</v>
      </c>
      <c r="F39" s="24" t="n">
        <f aca="false">B39-E39</f>
        <v>0.115447988967331</v>
      </c>
    </row>
    <row r="40" customFormat="false" ht="14.25" hidden="false" customHeight="false" outlineLevel="0" collapsed="false">
      <c r="B40" s="4" t="n">
        <v>0.47</v>
      </c>
      <c r="C40" s="4" t="n">
        <v>0.314597579272333</v>
      </c>
      <c r="D40" s="4" t="n">
        <f aca="false">B40-C40</f>
        <v>0.155402420727667</v>
      </c>
      <c r="E40" s="24" t="n">
        <v>0.349099529619044</v>
      </c>
      <c r="F40" s="24" t="n">
        <f aca="false">B40-E40</f>
        <v>0.120900470380956</v>
      </c>
    </row>
    <row r="41" customFormat="false" ht="14.25" hidden="false" customHeight="false" outlineLevel="0" collapsed="false">
      <c r="B41" s="4" t="n">
        <v>0.57</v>
      </c>
      <c r="C41" s="4" t="n">
        <v>0.380197702901068</v>
      </c>
      <c r="D41" s="4" t="n">
        <f aca="false">B41-C41</f>
        <v>0.189802297098932</v>
      </c>
      <c r="E41" s="24" t="n">
        <v>0.427510168558826</v>
      </c>
      <c r="F41" s="24" t="n">
        <f aca="false">B41-E41</f>
        <v>0.142489831441174</v>
      </c>
    </row>
    <row r="42" customFormat="false" ht="14.25" hidden="false" customHeight="false" outlineLevel="0" collapsed="false">
      <c r="B42" s="4" t="n">
        <v>0.78</v>
      </c>
      <c r="C42" s="4" t="n">
        <v>0.456105559431892</v>
      </c>
      <c r="D42" s="4" t="n">
        <f aca="false">B42-C42</f>
        <v>0.323894440568108</v>
      </c>
      <c r="E42" s="24" t="n">
        <v>0.513242014055723</v>
      </c>
      <c r="F42" s="24" t="n">
        <f aca="false">B42-E42</f>
        <v>0.266757985944277</v>
      </c>
    </row>
    <row r="43" customFormat="false" ht="14.25" hidden="false" customHeight="false" outlineLevel="0" collapsed="false">
      <c r="A43" s="0" t="s">
        <v>29</v>
      </c>
      <c r="B43" s="4" t="n">
        <v>0.21</v>
      </c>
      <c r="C43" s="4" t="n">
        <v>0.115038822092364</v>
      </c>
      <c r="D43" s="4" t="n">
        <f aca="false">B43-C43</f>
        <v>0.0949611779076358</v>
      </c>
      <c r="E43" s="24" t="n">
        <v>0.128628278366832</v>
      </c>
      <c r="F43" s="24" t="n">
        <f aca="false">B43-E43</f>
        <v>0.0813717216331675</v>
      </c>
    </row>
    <row r="44" customFormat="false" ht="14.25" hidden="false" customHeight="false" outlineLevel="0" collapsed="false">
      <c r="B44" s="4" t="n">
        <v>0.31</v>
      </c>
      <c r="C44" s="4" t="n">
        <v>0.171271218190764</v>
      </c>
      <c r="D44" s="4" t="n">
        <f aca="false">B44-C44</f>
        <v>0.138728781809236</v>
      </c>
      <c r="E44" s="24" t="n">
        <v>0.210879559478227</v>
      </c>
      <c r="F44" s="24" t="n">
        <f aca="false">B44-E44</f>
        <v>0.0991204405217732</v>
      </c>
    </row>
    <row r="45" customFormat="false" ht="14.25" hidden="false" customHeight="false" outlineLevel="0" collapsed="false">
      <c r="B45" s="4" t="n">
        <v>0.38</v>
      </c>
      <c r="C45" s="4" t="n">
        <v>0.228790629236946</v>
      </c>
      <c r="D45" s="4" t="n">
        <f aca="false">B45-C45</f>
        <v>0.151209370763054</v>
      </c>
      <c r="E45" s="24" t="n">
        <v>0.294316499415245</v>
      </c>
      <c r="F45" s="24" t="n">
        <f aca="false">B45-E45</f>
        <v>0.0856835005847554</v>
      </c>
    </row>
    <row r="46" customFormat="false" ht="14.25" hidden="false" customHeight="false" outlineLevel="0" collapsed="false">
      <c r="B46" s="4" t="n">
        <v>0.52</v>
      </c>
      <c r="C46" s="4" t="n">
        <v>0.34382945132931</v>
      </c>
      <c r="D46" s="4" t="n">
        <f aca="false">B46-C46</f>
        <v>0.17617054867069</v>
      </c>
      <c r="E46" s="24" t="n">
        <v>0.461190379289281</v>
      </c>
      <c r="F46" s="24" t="n">
        <f aca="false">B46-E46</f>
        <v>0.0588096207107193</v>
      </c>
    </row>
    <row r="47" customFormat="false" ht="14.25" hidden="false" customHeight="false" outlineLevel="0" collapsed="false">
      <c r="B47" s="4" t="n">
        <v>0.74</v>
      </c>
      <c r="C47" s="4" t="n">
        <v>0.502945662568176</v>
      </c>
      <c r="D47" s="4" t="n">
        <f aca="false">B47-C47</f>
        <v>0.237054337431824</v>
      </c>
      <c r="E47" s="24" t="n">
        <v>0.676790910654505</v>
      </c>
      <c r="F47" s="24" t="n">
        <f aca="false">B47-E47</f>
        <v>0.0632090893454953</v>
      </c>
    </row>
    <row r="48" customFormat="false" ht="14.25" hidden="false" customHeight="false" outlineLevel="0" collapsed="false">
      <c r="A48" s="0" t="s">
        <v>30</v>
      </c>
      <c r="B48" s="4" t="n">
        <v>0.17</v>
      </c>
      <c r="C48" s="4" t="n">
        <v>0.115038822092364</v>
      </c>
      <c r="D48" s="4" t="n">
        <f aca="false">B48-C48</f>
        <v>0.0549611779076358</v>
      </c>
      <c r="E48" s="24" t="n">
        <v>0.128628278366832</v>
      </c>
      <c r="F48" s="24" t="n">
        <f aca="false">B48-E48</f>
        <v>0.0413717216331675</v>
      </c>
    </row>
    <row r="49" customFormat="false" ht="14.25" hidden="false" customHeight="false" outlineLevel="0" collapsed="false">
      <c r="B49" s="4" t="n">
        <v>0.36</v>
      </c>
      <c r="C49" s="4" t="n">
        <v>0.228790629236946</v>
      </c>
      <c r="D49" s="4" t="n">
        <f aca="false">B49-C49</f>
        <v>0.131209370763054</v>
      </c>
      <c r="E49" s="24" t="n">
        <v>0.294316499415245</v>
      </c>
      <c r="F49" s="24" t="n">
        <f aca="false">B49-E49</f>
        <v>0.0656835005847554</v>
      </c>
    </row>
    <row r="50" customFormat="false" ht="14.25" hidden="false" customHeight="false" outlineLevel="0" collapsed="false">
      <c r="B50" s="4" t="n">
        <v>0.56</v>
      </c>
      <c r="C50" s="4" t="n">
        <v>0.34382945132931</v>
      </c>
      <c r="D50" s="4" t="n">
        <f aca="false">B50-C50</f>
        <v>0.21617054867069</v>
      </c>
      <c r="E50" s="24" t="n">
        <v>0.461190379289281</v>
      </c>
      <c r="F50" s="24" t="n">
        <f aca="false">B50-E50</f>
        <v>0.0988096207107193</v>
      </c>
    </row>
    <row r="51" customFormat="false" ht="14.25" hidden="false" customHeight="false" outlineLevel="0" collapsed="false">
      <c r="B51" s="4" t="n">
        <v>0.78</v>
      </c>
      <c r="C51" s="4" t="n">
        <v>0.502945662568176</v>
      </c>
      <c r="D51" s="4" t="n">
        <f aca="false">B51-C51</f>
        <v>0.277054337431824</v>
      </c>
      <c r="E51" s="24" t="n">
        <v>0.676790910654505</v>
      </c>
      <c r="F51" s="24" t="n">
        <f aca="false">B51-E51</f>
        <v>0.103209089345495</v>
      </c>
    </row>
    <row r="52" customFormat="false" ht="14.25" hidden="false" customHeight="false" outlineLevel="0" collapsed="false">
      <c r="A52" s="0" t="s">
        <v>31</v>
      </c>
      <c r="B52" s="4" t="n">
        <v>0.31</v>
      </c>
      <c r="C52" s="4" t="n">
        <v>0.261427701149999</v>
      </c>
      <c r="D52" s="4" t="n">
        <f aca="false">B52-C52</f>
        <v>0.0485722988500012</v>
      </c>
      <c r="E52" s="24" t="n">
        <v>0.337329961020365</v>
      </c>
      <c r="F52" s="24" t="n">
        <f aca="false">B52-E52</f>
        <v>-0.0273299610203649</v>
      </c>
    </row>
    <row r="53" customFormat="false" ht="14.25" hidden="false" customHeight="false" outlineLevel="0" collapsed="false">
      <c r="B53" s="4" t="n">
        <v>0.44</v>
      </c>
      <c r="C53" s="4" t="n">
        <v>0.355221300507252</v>
      </c>
      <c r="D53" s="4" t="n">
        <f aca="false">B53-C53</f>
        <v>0.0847786994927481</v>
      </c>
      <c r="E53" s="24" t="n">
        <v>0.512087718894221</v>
      </c>
      <c r="F53" s="24" t="n">
        <f aca="false">B53-E53</f>
        <v>-0.0720877188942206</v>
      </c>
    </row>
    <row r="54" customFormat="false" ht="14.25" hidden="false" customHeight="false" outlineLevel="0" collapsed="false">
      <c r="A54" s="0" t="s">
        <v>32</v>
      </c>
      <c r="B54" s="4" t="n">
        <v>0.14</v>
      </c>
      <c r="C54" s="4" t="n">
        <v>0.204037001359618</v>
      </c>
      <c r="D54" s="4" t="n">
        <f aca="false">B54-C54</f>
        <v>-0.0640370013596179</v>
      </c>
      <c r="E54" s="24" t="n">
        <v>0.208248294659241</v>
      </c>
      <c r="F54" s="24" t="n">
        <f aca="false">B54-E54</f>
        <v>-0.0682482946592412</v>
      </c>
    </row>
    <row r="55" customFormat="false" ht="14.25" hidden="false" customHeight="false" outlineLevel="0" collapsed="false">
      <c r="B55" s="4" t="n">
        <v>0.31</v>
      </c>
      <c r="C55" s="4" t="n">
        <v>0.255046251699522</v>
      </c>
      <c r="D55" s="4" t="n">
        <f aca="false">B55-C55</f>
        <v>0.0549537483004776</v>
      </c>
      <c r="E55" s="24" t="n">
        <v>0.325387960405064</v>
      </c>
      <c r="F55" s="24" t="n">
        <f aca="false">B55-E55</f>
        <v>-0.0153879604050645</v>
      </c>
    </row>
    <row r="56" customFormat="false" ht="14.25" hidden="false" customHeight="false" outlineLevel="0" collapsed="false">
      <c r="B56" s="4" t="n">
        <v>0.4</v>
      </c>
      <c r="C56" s="4" t="n">
        <v>0.341780558598951</v>
      </c>
      <c r="D56" s="4" t="n">
        <f aca="false">B56-C56</f>
        <v>0.0582194414010491</v>
      </c>
      <c r="E56" s="24" t="n">
        <v>0.491638007513166</v>
      </c>
      <c r="F56" s="24" t="n">
        <f aca="false">B56-E56</f>
        <v>-0.0916380075131664</v>
      </c>
    </row>
    <row r="57" customFormat="false" ht="14.25" hidden="false" customHeight="false" outlineLevel="0" collapsed="false">
      <c r="A57" s="0" t="s">
        <v>33</v>
      </c>
      <c r="B57" s="4" t="n">
        <v>0.25</v>
      </c>
      <c r="C57" s="4" t="n">
        <v>0.204037001359618</v>
      </c>
      <c r="D57" s="4" t="n">
        <f aca="false">B57-C57</f>
        <v>0.0459629986403821</v>
      </c>
      <c r="E57" s="24" t="n">
        <v>0.208248294659241</v>
      </c>
      <c r="F57" s="24" t="n">
        <f aca="false">B57-E57</f>
        <v>0.0417517053407588</v>
      </c>
    </row>
    <row r="58" customFormat="false" ht="14.25" hidden="false" customHeight="false" outlineLevel="0" collapsed="false">
      <c r="B58" s="4" t="n">
        <v>0.44</v>
      </c>
      <c r="C58" s="4" t="n">
        <v>0.255046251699522</v>
      </c>
      <c r="D58" s="4" t="n">
        <f aca="false">B58-C58</f>
        <v>0.184953748300478</v>
      </c>
      <c r="E58" s="24" t="n">
        <v>0.325387960405064</v>
      </c>
      <c r="F58" s="24" t="n">
        <f aca="false">B58-E58</f>
        <v>0.114612039594936</v>
      </c>
    </row>
    <row r="59" customFormat="false" ht="14.25" hidden="false" customHeight="false" outlineLevel="0" collapsed="false">
      <c r="B59" s="4" t="n">
        <v>0.56</v>
      </c>
      <c r="C59" s="4" t="n">
        <v>0.341780558598951</v>
      </c>
      <c r="D59" s="4" t="n">
        <f aca="false">B59-C59</f>
        <v>0.218219441401049</v>
      </c>
      <c r="E59" s="24" t="n">
        <v>0.491638007513166</v>
      </c>
      <c r="F59" s="24" t="n">
        <f aca="false">B59-E59</f>
        <v>0.0683619924868337</v>
      </c>
    </row>
    <row r="60" customFormat="false" ht="14.25" hidden="false" customHeight="false" outlineLevel="0" collapsed="false">
      <c r="A60" s="0" t="s">
        <v>34</v>
      </c>
      <c r="B60" s="4" t="n">
        <v>0.23</v>
      </c>
      <c r="C60" s="4" t="n">
        <v>0.15610003267779</v>
      </c>
      <c r="D60" s="4" t="n">
        <f aca="false">B60-C60</f>
        <v>0.0738999673222104</v>
      </c>
      <c r="E60" s="24" t="n">
        <v>0.159796607353437</v>
      </c>
      <c r="F60" s="24" t="n">
        <f aca="false">B60-E60</f>
        <v>0.0702033926465631</v>
      </c>
    </row>
    <row r="61" customFormat="false" ht="14.25" hidden="false" customHeight="false" outlineLevel="0" collapsed="false">
      <c r="B61" s="4" t="n">
        <v>0.35</v>
      </c>
      <c r="C61" s="4" t="n">
        <v>0.2594615172932</v>
      </c>
      <c r="D61" s="4" t="n">
        <f aca="false">B61-C61</f>
        <v>0.0905384827068005</v>
      </c>
      <c r="E61" s="24" t="n">
        <v>0.281880691491014</v>
      </c>
      <c r="F61" s="24" t="n">
        <f aca="false">B61-E61</f>
        <v>0.068119308508986</v>
      </c>
    </row>
    <row r="62" customFormat="false" ht="14.25" hidden="false" customHeight="false" outlineLevel="0" collapsed="false">
      <c r="B62" s="4" t="n">
        <v>0.49</v>
      </c>
      <c r="C62" s="4" t="n">
        <v>0.36282300190861</v>
      </c>
      <c r="D62" s="4" t="n">
        <f aca="false">B62-C62</f>
        <v>0.127176998091391</v>
      </c>
      <c r="E62" s="24" t="n">
        <v>0.403964775628591</v>
      </c>
      <c r="F62" s="24" t="n">
        <f aca="false">B62-E62</f>
        <v>0.0860352243714089</v>
      </c>
    </row>
    <row r="63" customFormat="false" ht="14.25" hidden="false" customHeight="false" outlineLevel="0" collapsed="false">
      <c r="B63" s="4" t="n">
        <v>0.67</v>
      </c>
      <c r="C63" s="4" t="n">
        <v>0.43961936124439</v>
      </c>
      <c r="D63" s="4" t="n">
        <f aca="false">B63-C63</f>
        <v>0.23038063875561</v>
      </c>
      <c r="E63" s="24" t="n">
        <v>0.49024229779742</v>
      </c>
      <c r="F63" s="24" t="n">
        <f aca="false">B63-E63</f>
        <v>0.17975770220258</v>
      </c>
    </row>
    <row r="64" customFormat="false" ht="14.25" hidden="false" customHeight="false" outlineLevel="0" collapsed="false">
      <c r="A64" s="0" t="s">
        <v>35</v>
      </c>
      <c r="B64" s="4" t="n">
        <v>0.27</v>
      </c>
      <c r="C64" s="4" t="n">
        <v>0.15610003267779</v>
      </c>
      <c r="D64" s="4" t="n">
        <f aca="false">B64-C64</f>
        <v>0.11389996732221</v>
      </c>
      <c r="E64" s="24" t="n">
        <v>0.159796607353437</v>
      </c>
      <c r="F64" s="24" t="n">
        <f aca="false">B64-E64</f>
        <v>0.110203392646563</v>
      </c>
    </row>
    <row r="65" customFormat="false" ht="14.25" hidden="false" customHeight="false" outlineLevel="0" collapsed="false">
      <c r="B65" s="4" t="n">
        <v>0.4</v>
      </c>
      <c r="C65" s="4" t="n">
        <v>0.2594615172932</v>
      </c>
      <c r="D65" s="4" t="n">
        <f aca="false">B65-C65</f>
        <v>0.140538482706801</v>
      </c>
      <c r="E65" s="24" t="n">
        <v>0.281880691491014</v>
      </c>
      <c r="F65" s="24" t="n">
        <f aca="false">B65-E65</f>
        <v>0.118119308508986</v>
      </c>
    </row>
    <row r="66" customFormat="false" ht="14.25" hidden="false" customHeight="false" outlineLevel="0" collapsed="false">
      <c r="B66" s="4" t="n">
        <v>0.53</v>
      </c>
      <c r="C66" s="4" t="n">
        <v>0.36282300190861</v>
      </c>
      <c r="D66" s="4" t="n">
        <f aca="false">B66-C66</f>
        <v>0.167176998091391</v>
      </c>
      <c r="E66" s="24" t="n">
        <v>0.403964775628591</v>
      </c>
      <c r="F66" s="24" t="n">
        <f aca="false">B66-E66</f>
        <v>0.126035224371409</v>
      </c>
    </row>
    <row r="67" customFormat="false" ht="14.25" hidden="false" customHeight="false" outlineLevel="0" collapsed="false">
      <c r="B67" s="4" t="n">
        <v>0.72</v>
      </c>
      <c r="C67" s="4" t="n">
        <v>0.43961936124439</v>
      </c>
      <c r="D67" s="4" t="n">
        <f aca="false">B67-C67</f>
        <v>0.28038063875561</v>
      </c>
      <c r="E67" s="24" t="n">
        <v>0.49024229779742</v>
      </c>
      <c r="F67" s="24" t="n">
        <f aca="false">B67-E67</f>
        <v>0.22975770220258</v>
      </c>
    </row>
    <row r="68" customFormat="false" ht="14.25" hidden="false" customHeight="false" outlineLevel="0" collapsed="false">
      <c r="A68" s="0" t="s">
        <v>36</v>
      </c>
      <c r="B68" s="4" t="n">
        <v>0.3</v>
      </c>
      <c r="C68" s="4" t="n">
        <v>0.109394577369187</v>
      </c>
      <c r="D68" s="4" t="n">
        <f aca="false">B68-C68</f>
        <v>0.190605422630813</v>
      </c>
      <c r="E68" s="24" t="n">
        <v>0.221639798156612</v>
      </c>
      <c r="F68" s="24" t="n">
        <f aca="false">B68-E68</f>
        <v>0.0783602018433883</v>
      </c>
    </row>
    <row r="69" customFormat="false" ht="14.25" hidden="false" customHeight="false" outlineLevel="0" collapsed="false">
      <c r="B69" s="4" t="n">
        <v>0.57</v>
      </c>
      <c r="C69" s="4" t="n">
        <v>0.381502271008165</v>
      </c>
      <c r="D69" s="4" t="n">
        <f aca="false">B69-C69</f>
        <v>0.188497728991835</v>
      </c>
      <c r="E69" s="24" t="n">
        <v>0.443279596313223</v>
      </c>
      <c r="F69" s="24" t="n">
        <f aca="false">B69-E69</f>
        <v>0.126720403686777</v>
      </c>
    </row>
    <row r="70" customFormat="false" ht="14.25" hidden="false" customHeight="false" outlineLevel="0" collapsed="false">
      <c r="A70" s="0" t="s">
        <v>37</v>
      </c>
      <c r="B70" s="4" t="n">
        <v>0.26</v>
      </c>
      <c r="C70" s="4" t="n">
        <v>0.106297702576725</v>
      </c>
      <c r="D70" s="4" t="n">
        <f aca="false">B70-C70</f>
        <v>0.153702297423275</v>
      </c>
      <c r="E70" s="24" t="n">
        <v>0.106297702576725</v>
      </c>
      <c r="F70" s="24" t="n">
        <f aca="false">B70-E70</f>
        <v>0.153702297423275</v>
      </c>
    </row>
    <row r="71" customFormat="false" ht="14.25" hidden="false" customHeight="false" outlineLevel="0" collapsed="false">
      <c r="B71" s="4" t="n">
        <v>0.6</v>
      </c>
      <c r="C71" s="4" t="n">
        <v>0.371327050375408</v>
      </c>
      <c r="D71" s="4" t="n">
        <f aca="false">B71-C71</f>
        <v>0.228672949624592</v>
      </c>
      <c r="E71" s="24" t="n">
        <v>0.400427657972162</v>
      </c>
      <c r="F71" s="24" t="n">
        <f aca="false">B71-E71</f>
        <v>0.199572342027838</v>
      </c>
    </row>
    <row r="72" customFormat="false" ht="14.25" hidden="false" customHeight="false" outlineLevel="0" collapsed="false">
      <c r="A72" s="0" t="s">
        <v>38</v>
      </c>
      <c r="B72" s="4" t="n">
        <v>0.27</v>
      </c>
      <c r="C72" s="4" t="n">
        <v>0.106297702576725</v>
      </c>
      <c r="D72" s="4" t="n">
        <f aca="false">B72-C72</f>
        <v>0.163702297423275</v>
      </c>
      <c r="E72" s="24" t="n">
        <v>0.106297702576725</v>
      </c>
      <c r="F72" s="24" t="n">
        <f aca="false">B72-E72</f>
        <v>0.163702297423275</v>
      </c>
    </row>
    <row r="73" customFormat="false" ht="14.25" hidden="false" customHeight="false" outlineLevel="0" collapsed="false">
      <c r="B73" s="4" t="n">
        <v>0.59</v>
      </c>
      <c r="C73" s="4" t="n">
        <v>0.371327050375408</v>
      </c>
      <c r="D73" s="4" t="n">
        <f aca="false">B73-C73</f>
        <v>0.218672949624592</v>
      </c>
      <c r="E73" s="24" t="n">
        <v>0.400427657972162</v>
      </c>
      <c r="F73" s="24" t="n">
        <f aca="false">B73-E73</f>
        <v>0.189572342027838</v>
      </c>
    </row>
    <row r="74" customFormat="false" ht="14.25" hidden="false" customHeight="false" outlineLevel="0" collapsed="false">
      <c r="A74" s="0" t="s">
        <v>39</v>
      </c>
      <c r="B74" s="4" t="n">
        <v>0.15</v>
      </c>
      <c r="C74" s="4" t="n">
        <v>0.123662143998871</v>
      </c>
      <c r="D74" s="4" t="n">
        <f aca="false">B74-C74</f>
        <v>0.0263378560011292</v>
      </c>
      <c r="E74" s="24" t="n">
        <v>0.145762856227899</v>
      </c>
      <c r="F74" s="24" t="n">
        <f aca="false">B74-E74</f>
        <v>0.00423714377210147</v>
      </c>
    </row>
    <row r="75" customFormat="false" ht="14.25" hidden="false" customHeight="false" outlineLevel="0" collapsed="false">
      <c r="B75" s="4" t="n">
        <v>0.17</v>
      </c>
      <c r="C75" s="4" t="n">
        <v>0.153702296183471</v>
      </c>
      <c r="D75" s="4" t="n">
        <f aca="false">B75-C75</f>
        <v>0.0162977038165295</v>
      </c>
      <c r="E75" s="24" t="n">
        <v>0.185946383216879</v>
      </c>
      <c r="F75" s="24" t="n">
        <f aca="false">B75-E75</f>
        <v>-0.0159463832168794</v>
      </c>
    </row>
    <row r="76" customFormat="false" ht="14.25" hidden="false" customHeight="false" outlineLevel="0" collapsed="false">
      <c r="A76" s="0" t="s">
        <v>40</v>
      </c>
      <c r="B76" s="4" t="n">
        <v>0.15</v>
      </c>
      <c r="C76" s="4" t="n">
        <v>0.122571018889015</v>
      </c>
      <c r="D76" s="4" t="n">
        <f aca="false">B76-C76</f>
        <v>0.0274289811109849</v>
      </c>
      <c r="E76" s="24" t="n">
        <v>0.138787693801932</v>
      </c>
      <c r="F76" s="24" t="n">
        <f aca="false">B76-E76</f>
        <v>0.011212306198068</v>
      </c>
    </row>
    <row r="77" customFormat="false" ht="14.25" hidden="false" customHeight="false" outlineLevel="0" collapsed="false">
      <c r="B77" s="4" t="n">
        <v>0.17</v>
      </c>
      <c r="C77" s="4" t="n">
        <v>0.146576579413367</v>
      </c>
      <c r="D77" s="4" t="n">
        <f aca="false">B77-C77</f>
        <v>0.0234234205866329</v>
      </c>
      <c r="E77" s="24" t="n">
        <v>0.169174129740279</v>
      </c>
      <c r="F77" s="24" t="n">
        <f aca="false">B77-E77</f>
        <v>0.00082587025972089</v>
      </c>
    </row>
    <row r="78" customFormat="false" ht="14.25" hidden="false" customHeight="false" outlineLevel="0" collapsed="false">
      <c r="B78" s="4" t="n">
        <v>0.2</v>
      </c>
      <c r="C78" s="4" t="n">
        <v>0.180648987899544</v>
      </c>
      <c r="D78" s="4" t="n">
        <f aca="false">B78-C78</f>
        <v>0.0193510121004558</v>
      </c>
      <c r="E78" s="24" t="n">
        <v>0.212303264620514</v>
      </c>
      <c r="F78" s="24" t="n">
        <f aca="false">B78-E78</f>
        <v>-0.0123032646205138</v>
      </c>
    </row>
    <row r="79" customFormat="false" ht="14.25" hidden="false" customHeight="false" outlineLevel="0" collapsed="false">
      <c r="A79" s="0" t="s">
        <v>41</v>
      </c>
      <c r="B79" s="4" t="n">
        <v>0.16</v>
      </c>
      <c r="C79" s="4" t="n">
        <v>0.111252068275181</v>
      </c>
      <c r="D79" s="4" t="n">
        <f aca="false">B79-C79</f>
        <v>0.0487479317248193</v>
      </c>
      <c r="E79" s="24" t="n">
        <v>0.120074193627518</v>
      </c>
      <c r="F79" s="24" t="n">
        <f aca="false">B79-E79</f>
        <v>0.0399258063724823</v>
      </c>
    </row>
    <row r="80" customFormat="false" ht="14.25" hidden="false" customHeight="false" outlineLevel="0" collapsed="false">
      <c r="B80" s="4" t="n">
        <v>0.21</v>
      </c>
      <c r="C80" s="4" t="n">
        <v>0.153759462873372</v>
      </c>
      <c r="D80" s="4" t="n">
        <f aca="false">B80-C80</f>
        <v>0.0562405371266285</v>
      </c>
      <c r="E80" s="24" t="n">
        <v>0.170566204026832</v>
      </c>
      <c r="F80" s="24" t="n">
        <f aca="false">B80-E80</f>
        <v>0.0394337959731679</v>
      </c>
    </row>
    <row r="81" customFormat="false" ht="14.25" hidden="false" customHeight="false" outlineLevel="0" collapsed="false">
      <c r="A81" s="0" t="s">
        <v>42</v>
      </c>
      <c r="B81" s="4" t="n">
        <v>0.15</v>
      </c>
      <c r="C81" s="4" t="n">
        <v>0.122061551131185</v>
      </c>
      <c r="D81" s="4" t="n">
        <f aca="false">B81-C81</f>
        <v>0.0279384488688154</v>
      </c>
      <c r="E81" s="24" t="n">
        <v>0.122061551131185</v>
      </c>
      <c r="F81" s="24" t="n">
        <f aca="false">B81-E81</f>
        <v>0.0279384488688154</v>
      </c>
    </row>
    <row r="82" customFormat="false" ht="14.25" hidden="false" customHeight="false" outlineLevel="0" collapsed="false">
      <c r="B82" s="4" t="n">
        <v>0.2</v>
      </c>
      <c r="C82" s="4" t="n">
        <v>0.139515994290002</v>
      </c>
      <c r="D82" s="4" t="n">
        <f aca="false">B82-C82</f>
        <v>0.0604840057099977</v>
      </c>
      <c r="E82" s="24" t="n">
        <v>0.155480388068208</v>
      </c>
      <c r="F82" s="24" t="n">
        <f aca="false">B82-E82</f>
        <v>0.0445196119317919</v>
      </c>
    </row>
    <row r="83" customFormat="false" ht="14.25" hidden="false" customHeight="false" outlineLevel="0" collapsed="false">
      <c r="B83" s="4" t="n">
        <v>0.25</v>
      </c>
      <c r="C83" s="4" t="n">
        <v>0.15697043744882</v>
      </c>
      <c r="D83" s="4" t="n">
        <f aca="false">B83-C83</f>
        <v>0.0930295625511798</v>
      </c>
      <c r="E83" s="24" t="n">
        <v>0.196817339105875</v>
      </c>
      <c r="F83" s="24" t="n">
        <f aca="false">B83-E83</f>
        <v>0.0531826608941252</v>
      </c>
    </row>
    <row r="84" customFormat="false" ht="14.25" hidden="false" customHeight="false" outlineLevel="0" collapsed="false">
      <c r="B84" s="4" t="n">
        <v>0.28</v>
      </c>
      <c r="C84" s="4" t="n">
        <v>0.174394992862503</v>
      </c>
      <c r="D84" s="4" t="n">
        <f aca="false">B84-C84</f>
        <v>0.105605007137497</v>
      </c>
      <c r="E84" s="24" t="n">
        <v>0.242938106356575</v>
      </c>
      <c r="F84" s="24" t="n">
        <f aca="false">B84-E84</f>
        <v>0.0370618936434249</v>
      </c>
    </row>
    <row r="85" customFormat="false" ht="14.25" hidden="false" customHeight="false" outlineLevel="0" collapsed="false">
      <c r="B85" s="4" t="n">
        <v>0.28</v>
      </c>
      <c r="C85" s="4" t="n">
        <v>0.197116438963645</v>
      </c>
      <c r="D85" s="4" t="n">
        <f aca="false">B85-C85</f>
        <v>0.0828835610363554</v>
      </c>
      <c r="E85" s="24" t="n">
        <v>0.29732680364536</v>
      </c>
      <c r="F85" s="24" t="n">
        <f aca="false">B85-E85</f>
        <v>-0.0173268036453601</v>
      </c>
    </row>
    <row r="86" customFormat="false" ht="14.25" hidden="false" customHeight="false" outlineLevel="0" collapsed="false">
      <c r="B86" s="4" t="n">
        <v>0.3</v>
      </c>
      <c r="C86" s="4" t="n">
        <v>0.240752546860689</v>
      </c>
      <c r="D86" s="4" t="n">
        <f aca="false">B86-C86</f>
        <v>0.059247453139311</v>
      </c>
      <c r="E86" s="24" t="n">
        <v>0.367214580763309</v>
      </c>
      <c r="F86" s="24" t="n">
        <f aca="false">B86-E86</f>
        <v>-0.0672145807633088</v>
      </c>
    </row>
    <row r="87" customFormat="false" ht="14.25" hidden="false" customHeight="false" outlineLevel="0" collapsed="false">
      <c r="B87" s="4" t="n">
        <v>0.33</v>
      </c>
      <c r="C87" s="4" t="n">
        <v>0.284388654757733</v>
      </c>
      <c r="D87" s="4" t="n">
        <f aca="false">B87-C87</f>
        <v>0.0456113452422666</v>
      </c>
      <c r="E87" s="24" t="n">
        <v>0.437102357881258</v>
      </c>
      <c r="F87" s="24" t="n">
        <f aca="false">B87-E87</f>
        <v>-0.107102357881258</v>
      </c>
    </row>
    <row r="88" customFormat="false" ht="14.25" hidden="false" customHeight="false" outlineLevel="0" collapsed="false">
      <c r="B88" s="4" t="n">
        <v>0.33</v>
      </c>
      <c r="C88" s="4" t="n">
        <v>0.327875323929103</v>
      </c>
      <c r="D88" s="4" t="n">
        <f aca="false">B88-C88</f>
        <v>0.00212467607089678</v>
      </c>
      <c r="E88" s="24" t="n">
        <v>0.506750793296748</v>
      </c>
      <c r="F88" s="24" t="n">
        <f aca="false">B88-E88</f>
        <v>-0.176750793296748</v>
      </c>
    </row>
    <row r="89" customFormat="false" ht="14.25" hidden="false" customHeight="false" outlineLevel="0" collapsed="false">
      <c r="A89" s="0" t="s">
        <v>43</v>
      </c>
      <c r="B89" s="4" t="n">
        <v>0.15</v>
      </c>
      <c r="C89" s="4" t="n">
        <v>0.139515994290002</v>
      </c>
      <c r="D89" s="4" t="n">
        <f aca="false">B89-C89</f>
        <v>0.0104840057099976</v>
      </c>
      <c r="E89" s="24" t="n">
        <v>0.155480388068208</v>
      </c>
      <c r="F89" s="24" t="n">
        <f aca="false">B89-E89</f>
        <v>-0.00548038806820811</v>
      </c>
    </row>
    <row r="90" customFormat="false" ht="14.25" hidden="false" customHeight="false" outlineLevel="0" collapsed="false">
      <c r="B90" s="4" t="n">
        <v>0.18</v>
      </c>
      <c r="C90" s="4" t="n">
        <v>0.15697043744882</v>
      </c>
      <c r="D90" s="4" t="n">
        <f aca="false">B90-C90</f>
        <v>0.0230295625511798</v>
      </c>
      <c r="E90" s="24" t="n">
        <v>0.196817339105875</v>
      </c>
      <c r="F90" s="24" t="n">
        <f aca="false">B90-E90</f>
        <v>-0.0168173391058748</v>
      </c>
    </row>
    <row r="91" customFormat="false" ht="14.25" hidden="false" customHeight="false" outlineLevel="0" collapsed="false">
      <c r="B91" s="4" t="n">
        <v>0.2</v>
      </c>
      <c r="C91" s="4" t="n">
        <v>0.174394992862503</v>
      </c>
      <c r="D91" s="4" t="n">
        <f aca="false">B91-C91</f>
        <v>0.025605007137497</v>
      </c>
      <c r="E91" s="24" t="n">
        <v>0.242938106356575</v>
      </c>
      <c r="F91" s="24" t="n">
        <f aca="false">B91-E91</f>
        <v>-0.0429381063565751</v>
      </c>
    </row>
    <row r="92" customFormat="false" ht="14.25" hidden="false" customHeight="false" outlineLevel="0" collapsed="false">
      <c r="B92" s="4" t="n">
        <v>0.25</v>
      </c>
      <c r="C92" s="4" t="n">
        <v>0.197116438963645</v>
      </c>
      <c r="D92" s="4" t="n">
        <f aca="false">B92-C92</f>
        <v>0.0528835610363554</v>
      </c>
      <c r="E92" s="24" t="n">
        <v>0.29732680364536</v>
      </c>
      <c r="F92" s="24" t="n">
        <f aca="false">B92-E92</f>
        <v>-0.0473268036453601</v>
      </c>
    </row>
    <row r="93" customFormat="false" ht="14.25" hidden="false" customHeight="false" outlineLevel="0" collapsed="false">
      <c r="B93" s="4" t="n">
        <v>0.3</v>
      </c>
      <c r="C93" s="4" t="n">
        <v>0.240752546860689</v>
      </c>
      <c r="D93" s="4" t="n">
        <f aca="false">B93-C93</f>
        <v>0.059247453139311</v>
      </c>
      <c r="E93" s="24" t="n">
        <v>0.367214580763309</v>
      </c>
      <c r="F93" s="24" t="n">
        <f aca="false">B93-E93</f>
        <v>-0.0672145807633088</v>
      </c>
    </row>
    <row r="94" customFormat="false" ht="14.25" hidden="false" customHeight="false" outlineLevel="0" collapsed="false">
      <c r="B94" s="4" t="n">
        <v>0.33</v>
      </c>
      <c r="C94" s="4" t="n">
        <v>0.284388654757733</v>
      </c>
      <c r="D94" s="4" t="n">
        <f aca="false">B94-C94</f>
        <v>0.0456113452422666</v>
      </c>
      <c r="E94" s="24" t="n">
        <v>0.437102357881258</v>
      </c>
      <c r="F94" s="24" t="n">
        <f aca="false">B94-E94</f>
        <v>-0.107102357881258</v>
      </c>
    </row>
    <row r="95" customFormat="false" ht="14.25" hidden="false" customHeight="false" outlineLevel="0" collapsed="false">
      <c r="B95" s="4" t="n">
        <v>0.38</v>
      </c>
      <c r="C95" s="4" t="n">
        <v>0.327875323929103</v>
      </c>
      <c r="D95" s="4" t="n">
        <f aca="false">B95-C95</f>
        <v>0.0521246760708968</v>
      </c>
      <c r="E95" s="24" t="n">
        <v>0.506750793296748</v>
      </c>
      <c r="F95" s="24" t="n">
        <f aca="false">B95-E95</f>
        <v>-0.126750793296748</v>
      </c>
    </row>
    <row r="96" customFormat="false" ht="14.25" hidden="false" customHeight="false" outlineLevel="0" collapsed="false">
      <c r="A96" s="0" t="s">
        <v>44</v>
      </c>
      <c r="B96" s="4" t="n">
        <v>0.15</v>
      </c>
      <c r="C96" s="4" t="n">
        <v>0.09927475204534</v>
      </c>
      <c r="D96" s="4" t="n">
        <f aca="false">B96-C96</f>
        <v>0.05072524795466</v>
      </c>
      <c r="E96" s="24" t="n">
        <v>0.110634462033796</v>
      </c>
      <c r="F96" s="24" t="n">
        <f aca="false">B96-E96</f>
        <v>0.0393655379662038</v>
      </c>
    </row>
    <row r="97" customFormat="false" ht="14.25" hidden="false" customHeight="false" outlineLevel="0" collapsed="false">
      <c r="B97" s="4" t="n">
        <v>0.18</v>
      </c>
      <c r="C97" s="4" t="n">
        <v>0.116178589995917</v>
      </c>
      <c r="D97" s="4" t="n">
        <f aca="false">B97-C97</f>
        <v>0.0638214100040831</v>
      </c>
      <c r="E97" s="24" t="n">
        <v>0.143773448066767</v>
      </c>
      <c r="F97" s="24" t="n">
        <f aca="false">B97-E97</f>
        <v>0.0362265519332334</v>
      </c>
    </row>
    <row r="98" customFormat="false" ht="14.25" hidden="false" customHeight="false" outlineLevel="0" collapsed="false">
      <c r="B98" s="4" t="n">
        <v>0.2</v>
      </c>
      <c r="C98" s="4" t="n">
        <v>0.147175366154032</v>
      </c>
      <c r="D98" s="4" t="n">
        <f aca="false">B98-C98</f>
        <v>0.0528246338459677</v>
      </c>
      <c r="E98" s="24" t="n">
        <v>0.189900289444197</v>
      </c>
      <c r="F98" s="24" t="n">
        <f aca="false">B98-E98</f>
        <v>0.0100997105558032</v>
      </c>
    </row>
    <row r="99" customFormat="false" ht="14.25" hidden="false" customHeight="false" outlineLevel="0" collapsed="false">
      <c r="B99" s="4" t="n">
        <v>0.23</v>
      </c>
      <c r="C99" s="4" t="n">
        <v>0.178172142312148</v>
      </c>
      <c r="D99" s="4" t="n">
        <f aca="false">B99-C99</f>
        <v>0.0518278576878522</v>
      </c>
      <c r="E99" s="24" t="n">
        <v>0.236027130821627</v>
      </c>
      <c r="F99" s="24" t="n">
        <f aca="false">B99-E99</f>
        <v>-0.00602713082162687</v>
      </c>
    </row>
    <row r="100" customFormat="false" ht="14.25" hidden="false" customHeight="false" outlineLevel="0" collapsed="false">
      <c r="B100" s="4" t="n">
        <v>0.25</v>
      </c>
      <c r="C100" s="4" t="n">
        <v>0.20922208618237</v>
      </c>
      <c r="D100" s="4" t="n">
        <f aca="false">B100-C100</f>
        <v>0.0407779138176302</v>
      </c>
      <c r="E100" s="24" t="n">
        <v>0.282233091995588</v>
      </c>
      <c r="F100" s="24" t="n">
        <f aca="false">B100-E100</f>
        <v>-0.0322330919955878</v>
      </c>
    </row>
    <row r="101" customFormat="false" ht="14.25" hidden="false" customHeight="false" outlineLevel="0" collapsed="false">
      <c r="B101" s="4" t="n">
        <v>0.3</v>
      </c>
      <c r="C101" s="4" t="n">
        <v>0.240272030052592</v>
      </c>
      <c r="D101" s="4" t="n">
        <f aca="false">B101-C101</f>
        <v>0.0597279699474082</v>
      </c>
      <c r="E101" s="24" t="n">
        <v>0.328439053169549</v>
      </c>
      <c r="F101" s="24" t="n">
        <f aca="false">B101-E101</f>
        <v>-0.0284390531695486</v>
      </c>
    </row>
    <row r="102" customFormat="false" ht="14.25" hidden="false" customHeight="false" outlineLevel="0" collapsed="false">
      <c r="B102" s="4" t="n">
        <v>0.3</v>
      </c>
      <c r="C102" s="4" t="n">
        <v>0.271215638498601</v>
      </c>
      <c r="D102" s="4" t="n">
        <f aca="false">B102-C102</f>
        <v>0.0287843615013992</v>
      </c>
      <c r="E102" s="24" t="n">
        <v>0.374486774750448</v>
      </c>
      <c r="F102" s="24" t="n">
        <f aca="false">B102-E102</f>
        <v>-0.0744867747504482</v>
      </c>
    </row>
    <row r="103" customFormat="false" ht="14.25" hidden="false" customHeight="false" outlineLevel="0" collapsed="false">
      <c r="A103" s="0" t="s">
        <v>45</v>
      </c>
      <c r="B103" s="4" t="n">
        <v>0.15</v>
      </c>
      <c r="C103" s="4" t="n">
        <v>0.0868547744972512</v>
      </c>
      <c r="D103" s="4" t="n">
        <f aca="false">B103-C103</f>
        <v>0.0631452255027488</v>
      </c>
      <c r="E103" s="24" t="n">
        <v>0.0868547744972512</v>
      </c>
      <c r="F103" s="24" t="n">
        <f aca="false">B103-E103</f>
        <v>0.0631452255027488</v>
      </c>
    </row>
    <row r="104" customFormat="false" ht="14.25" hidden="false" customHeight="false" outlineLevel="0" collapsed="false">
      <c r="B104" s="4" t="n">
        <v>0.18</v>
      </c>
      <c r="C104" s="4" t="n">
        <v>0.09927475204534</v>
      </c>
      <c r="D104" s="4" t="n">
        <f aca="false">B104-C104</f>
        <v>0.08072524795466</v>
      </c>
      <c r="E104" s="24" t="n">
        <v>0.110634462033796</v>
      </c>
      <c r="F104" s="24" t="n">
        <f aca="false">B104-E104</f>
        <v>0.0693655379662038</v>
      </c>
    </row>
    <row r="105" customFormat="false" ht="14.25" hidden="false" customHeight="false" outlineLevel="0" collapsed="false">
      <c r="B105" s="4" t="n">
        <v>0.18</v>
      </c>
      <c r="C105" s="4" t="n">
        <v>0.116178589995917</v>
      </c>
      <c r="D105" s="4" t="n">
        <f aca="false">B105-C105</f>
        <v>0.0638214100040831</v>
      </c>
      <c r="E105" s="24" t="n">
        <v>0.143773448066767</v>
      </c>
      <c r="F105" s="24" t="n">
        <f aca="false">B105-E105</f>
        <v>0.0362265519332334</v>
      </c>
    </row>
    <row r="106" customFormat="false" ht="14.25" hidden="false" customHeight="false" outlineLevel="0" collapsed="false">
      <c r="B106" s="4" t="n">
        <v>0.25</v>
      </c>
      <c r="C106" s="4" t="n">
        <v>0.147175366154032</v>
      </c>
      <c r="D106" s="4" t="n">
        <f aca="false">B106-C106</f>
        <v>0.102824633845968</v>
      </c>
      <c r="E106" s="24" t="n">
        <v>0.189900289444197</v>
      </c>
      <c r="F106" s="24" t="n">
        <f aca="false">B106-E106</f>
        <v>0.0600997105558032</v>
      </c>
    </row>
    <row r="107" customFormat="false" ht="14.25" hidden="false" customHeight="false" outlineLevel="0" collapsed="false">
      <c r="B107" s="4" t="n">
        <v>0.28</v>
      </c>
      <c r="C107" s="4" t="n">
        <v>0.178172142312148</v>
      </c>
      <c r="D107" s="4" t="n">
        <f aca="false">B107-C107</f>
        <v>0.101827857687852</v>
      </c>
      <c r="E107" s="24" t="n">
        <v>0.236027130821627</v>
      </c>
      <c r="F107" s="24" t="n">
        <f aca="false">B107-E107</f>
        <v>0.0439728691783732</v>
      </c>
    </row>
    <row r="108" customFormat="false" ht="14.25" hidden="false" customHeight="false" outlineLevel="0" collapsed="false">
      <c r="B108" s="4" t="n">
        <v>0.33</v>
      </c>
      <c r="C108" s="4" t="n">
        <v>0.20922208618237</v>
      </c>
      <c r="D108" s="4" t="n">
        <f aca="false">B108-C108</f>
        <v>0.12077791381763</v>
      </c>
      <c r="E108" s="24" t="n">
        <v>0.282233091995588</v>
      </c>
      <c r="F108" s="24" t="n">
        <f aca="false">B108-E108</f>
        <v>0.0477669080044122</v>
      </c>
    </row>
    <row r="109" customFormat="false" ht="14.25" hidden="false" customHeight="false" outlineLevel="0" collapsed="false">
      <c r="B109" s="4" t="n">
        <v>0.38</v>
      </c>
      <c r="C109" s="4" t="n">
        <v>0.240272030052592</v>
      </c>
      <c r="D109" s="4" t="n">
        <f aca="false">B109-C109</f>
        <v>0.139727969947408</v>
      </c>
      <c r="E109" s="24" t="n">
        <v>0.328439053169549</v>
      </c>
      <c r="F109" s="24" t="n">
        <f aca="false">B109-E109</f>
        <v>0.0515609468304514</v>
      </c>
    </row>
    <row r="110" customFormat="false" ht="14.25" hidden="false" customHeight="false" outlineLevel="0" collapsed="false">
      <c r="B110" s="4" t="n">
        <v>0.43</v>
      </c>
      <c r="C110" s="4" t="n">
        <v>0.271215638498601</v>
      </c>
      <c r="D110" s="4" t="n">
        <f aca="false">B110-C110</f>
        <v>0.158784361501399</v>
      </c>
      <c r="E110" s="24" t="n">
        <v>0.374486774750448</v>
      </c>
      <c r="F110" s="24" t="n">
        <f aca="false">B110-E110</f>
        <v>0.0555132252495518</v>
      </c>
    </row>
    <row r="111" customFormat="false" ht="14.25" hidden="false" customHeight="false" outlineLevel="0" collapsed="false">
      <c r="A111" s="0" t="s">
        <v>46</v>
      </c>
      <c r="B111" s="4" t="n">
        <v>0.15</v>
      </c>
      <c r="C111" s="4" t="n">
        <v>0.122267343570241</v>
      </c>
      <c r="D111" s="4" t="n">
        <f aca="false">B111-C111</f>
        <v>0.0277326564297591</v>
      </c>
      <c r="E111" s="24" t="n">
        <v>0.137972481933548</v>
      </c>
      <c r="F111" s="24" t="n">
        <f aca="false">B111-E111</f>
        <v>0.0120275180664521</v>
      </c>
    </row>
    <row r="112" customFormat="false" ht="14.25" hidden="false" customHeight="false" outlineLevel="0" collapsed="false">
      <c r="B112" s="4" t="n">
        <v>0.18</v>
      </c>
      <c r="C112" s="4" t="n">
        <v>0.139582863940406</v>
      </c>
      <c r="D112" s="4" t="n">
        <f aca="false">B112-C112</f>
        <v>0.040417136059594</v>
      </c>
      <c r="E112" s="24" t="n">
        <v>0.1617829956565</v>
      </c>
      <c r="F112" s="24" t="n">
        <f aca="false">B112-E112</f>
        <v>0.0182170043435003</v>
      </c>
    </row>
    <row r="113" customFormat="false" ht="14.25" hidden="false" customHeight="false" outlineLevel="0" collapsed="false">
      <c r="B113" s="4" t="n">
        <v>0.18</v>
      </c>
      <c r="C113" s="4" t="n">
        <v>0.156957887816998</v>
      </c>
      <c r="D113" s="4" t="n">
        <f aca="false">B113-C113</f>
        <v>0.0230421121830023</v>
      </c>
      <c r="E113" s="24" t="n">
        <v>0.185675332450664</v>
      </c>
      <c r="F113" s="24" t="n">
        <f aca="false">B113-E113</f>
        <v>-0.00567533245066429</v>
      </c>
    </row>
    <row r="114" customFormat="false" ht="14.25" hidden="false" customHeight="false" outlineLevel="0" collapsed="false">
      <c r="B114" s="4" t="n">
        <v>0.2</v>
      </c>
      <c r="C114" s="4" t="n">
        <v>0.17433291169359</v>
      </c>
      <c r="D114" s="4" t="n">
        <f aca="false">B114-C114</f>
        <v>0.0256670883064105</v>
      </c>
      <c r="E114" s="24" t="n">
        <v>0.209567669244829</v>
      </c>
      <c r="F114" s="24" t="n">
        <f aca="false">B114-E114</f>
        <v>-0.00956766924482883</v>
      </c>
    </row>
    <row r="115" customFormat="false" ht="14.25" hidden="false" customHeight="false" outlineLevel="0" collapsed="false">
      <c r="B115" s="4" t="n">
        <v>0.2</v>
      </c>
      <c r="C115" s="4" t="n">
        <v>0.191707935570181</v>
      </c>
      <c r="D115" s="4" t="n">
        <f aca="false">B115-C115</f>
        <v>0.0082920644298187</v>
      </c>
      <c r="E115" s="24" t="n">
        <v>0.233460006038994</v>
      </c>
      <c r="F115" s="24" t="n">
        <f aca="false">B115-E115</f>
        <v>-0.0334600060389936</v>
      </c>
    </row>
    <row r="116" customFormat="false" ht="14.25" hidden="false" customHeight="false" outlineLevel="0" collapsed="false">
      <c r="A116" s="0" t="s">
        <v>47</v>
      </c>
      <c r="B116" s="4" t="n">
        <v>0.15</v>
      </c>
      <c r="C116" s="4" t="n">
        <v>0.139582863940406</v>
      </c>
      <c r="D116" s="4" t="n">
        <f aca="false">B116-C116</f>
        <v>0.010417136059594</v>
      </c>
      <c r="E116" s="24" t="n">
        <v>0.1617829956565</v>
      </c>
      <c r="F116" s="24" t="n">
        <f aca="false">B116-E116</f>
        <v>-0.0117829956564997</v>
      </c>
    </row>
    <row r="117" customFormat="false" ht="14.25" hidden="false" customHeight="false" outlineLevel="0" collapsed="false">
      <c r="B117" s="4" t="n">
        <v>0.18</v>
      </c>
      <c r="C117" s="4" t="n">
        <v>0.156957887816998</v>
      </c>
      <c r="D117" s="4" t="n">
        <f aca="false">B117-C117</f>
        <v>0.0230421121830023</v>
      </c>
      <c r="E117" s="24" t="n">
        <v>0.185675332450664</v>
      </c>
      <c r="F117" s="24" t="n">
        <f aca="false">B117-E117</f>
        <v>-0.00567533245066429</v>
      </c>
    </row>
    <row r="118" customFormat="false" ht="14.25" hidden="false" customHeight="false" outlineLevel="0" collapsed="false">
      <c r="B118" s="4" t="n">
        <v>0.2</v>
      </c>
      <c r="C118" s="4" t="n">
        <v>0.17433291169359</v>
      </c>
      <c r="D118" s="4" t="n">
        <f aca="false">B118-C118</f>
        <v>0.0256670883064105</v>
      </c>
      <c r="E118" s="24" t="n">
        <v>0.209567669244829</v>
      </c>
      <c r="F118" s="24" t="n">
        <f aca="false">B118-E118</f>
        <v>-0.00956766924482883</v>
      </c>
    </row>
    <row r="119" customFormat="false" ht="14.25" hidden="false" customHeight="false" outlineLevel="0" collapsed="false">
      <c r="B119" s="4" t="n">
        <v>0.2</v>
      </c>
      <c r="C119" s="4" t="n">
        <v>0.191707935570181</v>
      </c>
      <c r="D119" s="4" t="n">
        <f aca="false">B119-C119</f>
        <v>0.0082920644298187</v>
      </c>
      <c r="E119" s="24" t="n">
        <v>0.233460006038994</v>
      </c>
      <c r="F119" s="24" t="n">
        <f aca="false">B119-E119</f>
        <v>-0.0334600060389936</v>
      </c>
    </row>
    <row r="120" customFormat="false" ht="14.25" hidden="false" customHeight="false" outlineLevel="0" collapsed="false">
      <c r="A120" s="0" t="s">
        <v>48</v>
      </c>
      <c r="B120" s="4" t="n">
        <v>0.2</v>
      </c>
      <c r="C120" s="4" t="n">
        <v>0.0721486096686359</v>
      </c>
      <c r="D120" s="4" t="n">
        <f aca="false">B120-C120</f>
        <v>0.127851390331364</v>
      </c>
      <c r="E120" s="24" t="n">
        <v>0.0721486096686359</v>
      </c>
      <c r="F120" s="24" t="n">
        <f aca="false">B120-E120</f>
        <v>0.127851390331364</v>
      </c>
    </row>
    <row r="121" customFormat="false" ht="14.25" hidden="false" customHeight="false" outlineLevel="0" collapsed="false">
      <c r="B121" s="4" t="n">
        <v>0.25</v>
      </c>
      <c r="C121" s="4" t="n">
        <v>0.0991850265680176</v>
      </c>
      <c r="D121" s="4" t="n">
        <f aca="false">B121-C121</f>
        <v>0.150814973431982</v>
      </c>
      <c r="E121" s="24" t="n">
        <v>0.126495367577407</v>
      </c>
      <c r="F121" s="24" t="n">
        <f aca="false">B121-E121</f>
        <v>0.123504632422593</v>
      </c>
    </row>
    <row r="122" customFormat="false" ht="14.25" hidden="false" customHeight="false" outlineLevel="0" collapsed="false">
      <c r="B122" s="4" t="n">
        <v>0.33</v>
      </c>
      <c r="C122" s="4" t="n">
        <v>0.12948602837324</v>
      </c>
      <c r="D122" s="4" t="n">
        <f aca="false">B122-C122</f>
        <v>0.20051397162676</v>
      </c>
      <c r="E122" s="24" t="n">
        <v>0.206764713452553</v>
      </c>
      <c r="F122" s="24" t="n">
        <f aca="false">B122-E122</f>
        <v>0.123235286547447</v>
      </c>
    </row>
    <row r="123" customFormat="false" ht="14.25" hidden="false" customHeight="false" outlineLevel="0" collapsed="false">
      <c r="A123" s="0" t="s">
        <v>49</v>
      </c>
      <c r="B123" s="4" t="n">
        <v>0.23</v>
      </c>
      <c r="C123" s="4" t="n">
        <v>0.0991850265680176</v>
      </c>
      <c r="D123" s="4" t="n">
        <f aca="false">B123-C123</f>
        <v>0.130814973431982</v>
      </c>
      <c r="E123" s="24" t="n">
        <v>0.126495367577407</v>
      </c>
      <c r="F123" s="24" t="n">
        <f aca="false">B123-E123</f>
        <v>0.103504632422593</v>
      </c>
    </row>
    <row r="124" customFormat="false" ht="14.25" hidden="false" customHeight="false" outlineLevel="0" collapsed="false">
      <c r="B124" s="4" t="n">
        <v>0.28</v>
      </c>
      <c r="C124" s="4" t="n">
        <v>0.12948602837324</v>
      </c>
      <c r="D124" s="4" t="n">
        <f aca="false">B124-C124</f>
        <v>0.15051397162676</v>
      </c>
      <c r="E124" s="24" t="n">
        <v>0.206764713452553</v>
      </c>
      <c r="F124" s="24" t="n">
        <f aca="false">B124-E124</f>
        <v>0.0732352865474469</v>
      </c>
    </row>
    <row r="125" customFormat="false" ht="14.25" hidden="false" customHeight="false" outlineLevel="0" collapsed="false">
      <c r="A125" s="0" t="s">
        <v>50</v>
      </c>
      <c r="B125" s="4" t="n">
        <v>0.18</v>
      </c>
      <c r="C125" s="4" t="n">
        <v>0.0861475657176162</v>
      </c>
      <c r="D125" s="4" t="n">
        <f aca="false">B125-C125</f>
        <v>0.0938524342823838</v>
      </c>
      <c r="E125" s="24" t="n">
        <v>0.09465062146128</v>
      </c>
      <c r="F125" s="24" t="n">
        <f aca="false">B125-E125</f>
        <v>0.08534937853872</v>
      </c>
    </row>
    <row r="126" customFormat="false" ht="14.25" hidden="false" customHeight="false" outlineLevel="0" collapsed="false">
      <c r="B126" s="4" t="n">
        <v>0.23</v>
      </c>
      <c r="C126" s="4" t="n">
        <v>0.104600226673042</v>
      </c>
      <c r="D126" s="4" t="n">
        <f aca="false">B126-C126</f>
        <v>0.125399773326958</v>
      </c>
      <c r="E126" s="24" t="n">
        <v>0.139541279568162</v>
      </c>
      <c r="F126" s="24" t="n">
        <f aca="false">B126-E126</f>
        <v>0.0904587204318377</v>
      </c>
    </row>
    <row r="127" customFormat="false" ht="14.25" hidden="false" customHeight="false" outlineLevel="0" collapsed="false">
      <c r="B127" s="4" t="n">
        <v>0.25</v>
      </c>
      <c r="C127" s="4" t="n">
        <v>0.123052887628468</v>
      </c>
      <c r="D127" s="4" t="n">
        <f aca="false">B127-C127</f>
        <v>0.126947112371532</v>
      </c>
      <c r="E127" s="24" t="n">
        <v>0.193117250188814</v>
      </c>
      <c r="F127" s="24" t="n">
        <f aca="false">B127-E127</f>
        <v>0.0568827498111862</v>
      </c>
    </row>
    <row r="128" customFormat="false" ht="14.25" hidden="false" customHeight="false" outlineLevel="0" collapsed="false">
      <c r="A128" s="0" t="s">
        <v>51</v>
      </c>
      <c r="B128" s="4" t="n">
        <v>0.18</v>
      </c>
      <c r="C128" s="4" t="n">
        <v>0.0861475657176162</v>
      </c>
      <c r="D128" s="4" t="n">
        <f aca="false">B128-C128</f>
        <v>0.0938524342823838</v>
      </c>
      <c r="E128" s="24" t="n">
        <v>0.09465062146128</v>
      </c>
      <c r="F128" s="24" t="n">
        <f aca="false">B128-E128</f>
        <v>0.08534937853872</v>
      </c>
    </row>
    <row r="129" customFormat="false" ht="14.25" hidden="false" customHeight="false" outlineLevel="0" collapsed="false">
      <c r="B129" s="4" t="n">
        <v>0.23</v>
      </c>
      <c r="C129" s="4" t="n">
        <v>0.104600226673042</v>
      </c>
      <c r="D129" s="4" t="n">
        <f aca="false">B129-C129</f>
        <v>0.125399773326958</v>
      </c>
      <c r="E129" s="24" t="n">
        <v>0.139541279568162</v>
      </c>
      <c r="F129" s="24" t="n">
        <f aca="false">B129-E129</f>
        <v>0.0904587204318377</v>
      </c>
    </row>
    <row r="130" customFormat="false" ht="14.25" hidden="false" customHeight="false" outlineLevel="0" collapsed="false">
      <c r="B130" s="4" t="n">
        <v>0.25</v>
      </c>
      <c r="C130" s="4" t="n">
        <v>0.123052887628468</v>
      </c>
      <c r="D130" s="4" t="n">
        <f aca="false">B130-C130</f>
        <v>0.126947112371532</v>
      </c>
      <c r="E130" s="24" t="n">
        <v>0.193117250188814</v>
      </c>
      <c r="F130" s="24" t="n">
        <f aca="false">B130-E130</f>
        <v>0.0568827498111862</v>
      </c>
    </row>
    <row r="131" customFormat="false" ht="14.25" hidden="false" customHeight="false" outlineLevel="0" collapsed="false">
      <c r="A131" s="0" t="s">
        <v>52</v>
      </c>
      <c r="B131" s="4" t="n">
        <v>0.15</v>
      </c>
      <c r="C131" s="4" t="n">
        <v>0.0923849935957769</v>
      </c>
      <c r="D131" s="4" t="n">
        <f aca="false">B131-C131</f>
        <v>0.0576150064042231</v>
      </c>
      <c r="E131" s="24" t="n">
        <v>0.110097139750237</v>
      </c>
      <c r="F131" s="24" t="n">
        <f aca="false">B131-E131</f>
        <v>0.0399028602497627</v>
      </c>
    </row>
    <row r="132" customFormat="false" ht="14.25" hidden="false" customHeight="false" outlineLevel="0" collapsed="false">
      <c r="B132" s="4" t="n">
        <v>0.15</v>
      </c>
      <c r="C132" s="4" t="n">
        <v>0.106238784409197</v>
      </c>
      <c r="D132" s="4" t="n">
        <f aca="false">B132-C132</f>
        <v>0.0437612155908033</v>
      </c>
      <c r="E132" s="24" t="n">
        <v>0.145592618189255</v>
      </c>
      <c r="F132" s="24" t="n">
        <f aca="false">B132-E132</f>
        <v>0.00440738181074496</v>
      </c>
    </row>
    <row r="133" customFormat="false" ht="14.25" hidden="false" customHeight="false" outlineLevel="0" collapsed="false">
      <c r="B133" s="4" t="n">
        <v>0.18</v>
      </c>
      <c r="C133" s="4" t="n">
        <v>0.120092575222617</v>
      </c>
      <c r="D133" s="4" t="n">
        <f aca="false">B133-C133</f>
        <v>0.0599074247773834</v>
      </c>
      <c r="E133" s="24" t="n">
        <v>0.186039638060579</v>
      </c>
      <c r="F133" s="24" t="n">
        <f aca="false">B133-E133</f>
        <v>-0.00603963806057911</v>
      </c>
    </row>
    <row r="134" customFormat="false" ht="14.25" hidden="false" customHeight="false" outlineLevel="0" collapsed="false">
      <c r="A134" s="0" t="s">
        <v>53</v>
      </c>
      <c r="B134" s="4" t="n">
        <v>0.18</v>
      </c>
      <c r="C134" s="4" t="n">
        <v>0.0923849935957769</v>
      </c>
      <c r="D134" s="4" t="n">
        <f aca="false">B134-C134</f>
        <v>0.0876150064042231</v>
      </c>
      <c r="E134" s="24" t="n">
        <v>0.110097139750237</v>
      </c>
      <c r="F134" s="24" t="n">
        <f aca="false">B134-E134</f>
        <v>0.0699028602497627</v>
      </c>
    </row>
    <row r="135" customFormat="false" ht="14.25" hidden="false" customHeight="false" outlineLevel="0" collapsed="false">
      <c r="B135" s="4" t="n">
        <v>0.2</v>
      </c>
      <c r="C135" s="4" t="n">
        <v>0.106238784409197</v>
      </c>
      <c r="D135" s="4" t="n">
        <f aca="false">B135-C135</f>
        <v>0.0937612155908033</v>
      </c>
      <c r="E135" s="24" t="n">
        <v>0.145592618189255</v>
      </c>
      <c r="F135" s="24" t="n">
        <f aca="false">B135-E135</f>
        <v>0.054407381810745</v>
      </c>
    </row>
    <row r="136" customFormat="false" ht="14.25" hidden="false" customHeight="false" outlineLevel="0" collapsed="false">
      <c r="B136" s="4" t="n">
        <v>0.23</v>
      </c>
      <c r="C136" s="4" t="n">
        <v>0.120092575222617</v>
      </c>
      <c r="D136" s="4" t="n">
        <f aca="false">B136-C136</f>
        <v>0.109907424777383</v>
      </c>
      <c r="E136" s="24" t="n">
        <v>0.186039638060579</v>
      </c>
      <c r="F136" s="24" t="n">
        <f aca="false">B136-E136</f>
        <v>0.0439603619394209</v>
      </c>
    </row>
    <row r="137" customFormat="false" ht="14.25" hidden="false" customHeight="false" outlineLevel="0" collapsed="false">
      <c r="A137" s="0" t="s">
        <v>54</v>
      </c>
      <c r="B137" s="4" t="n">
        <v>0.16</v>
      </c>
      <c r="C137" s="4" t="n">
        <v>0.162851279564335</v>
      </c>
      <c r="D137" s="4" t="n">
        <f aca="false">B137-C137</f>
        <v>-0.00285127956433495</v>
      </c>
      <c r="E137" s="24" t="n">
        <v>0.209770022133912</v>
      </c>
      <c r="F137" s="24" t="n">
        <f aca="false">B137-E137</f>
        <v>-0.0497700221339119</v>
      </c>
    </row>
    <row r="138" customFormat="false" ht="14.25" hidden="false" customHeight="false" outlineLevel="0" collapsed="false">
      <c r="B138" s="4" t="n">
        <v>0.18</v>
      </c>
      <c r="C138" s="4" t="n">
        <v>0.17476722684953</v>
      </c>
      <c r="D138" s="4" t="n">
        <f aca="false">B138-C138</f>
        <v>0.0052327731504698</v>
      </c>
      <c r="E138" s="24" t="n">
        <v>0.24159117361764</v>
      </c>
      <c r="F138" s="24" t="n">
        <f aca="false">B138-E138</f>
        <v>-0.0615911736176403</v>
      </c>
    </row>
    <row r="139" customFormat="false" ht="14.25" hidden="false" customHeight="false" outlineLevel="0" collapsed="false">
      <c r="B139" s="4" t="n">
        <v>0.2</v>
      </c>
      <c r="C139" s="4" t="n">
        <v>0.188271967106085</v>
      </c>
      <c r="D139" s="4" t="n">
        <f aca="false">B139-C139</f>
        <v>0.0117280328939152</v>
      </c>
      <c r="E139" s="24" t="n">
        <v>0.280370550225811</v>
      </c>
      <c r="F139" s="24" t="n">
        <f aca="false">B139-E139</f>
        <v>-0.0803705502258107</v>
      </c>
    </row>
    <row r="140" customFormat="false" ht="14.25" hidden="false" customHeight="false" outlineLevel="0" collapsed="false">
      <c r="B140" s="4" t="n">
        <v>0.22</v>
      </c>
      <c r="C140" s="4" t="n">
        <v>0.20018791439128</v>
      </c>
      <c r="D140" s="4" t="n">
        <f aca="false">B140-C140</f>
        <v>0.01981208560872</v>
      </c>
      <c r="E140" s="24" t="n">
        <v>0.316983592756501</v>
      </c>
      <c r="F140" s="24" t="n">
        <f aca="false">B140-E140</f>
        <v>-0.0969835927565006</v>
      </c>
    </row>
    <row r="141" customFormat="false" ht="14.25" hidden="false" customHeight="false" outlineLevel="0" collapsed="false">
      <c r="B141" s="4" t="n">
        <v>0.24</v>
      </c>
      <c r="C141" s="4" t="n">
        <v>0.213727605740981</v>
      </c>
      <c r="D141" s="4" t="n">
        <f aca="false">B141-C141</f>
        <v>0.0262723942590193</v>
      </c>
      <c r="E141" s="24" t="n">
        <v>0.361212647008122</v>
      </c>
      <c r="F141" s="24" t="n">
        <f aca="false">B141-E141</f>
        <v>-0.121212647008122</v>
      </c>
    </row>
    <row r="142" customFormat="false" ht="14.25" hidden="false" customHeight="false" outlineLevel="0" collapsed="false">
      <c r="B142" s="4" t="n">
        <v>0.26</v>
      </c>
      <c r="C142" s="4" t="n">
        <v>0.243517473953969</v>
      </c>
      <c r="D142" s="4" t="n">
        <f aca="false">B142-C142</f>
        <v>0.0164825260460312</v>
      </c>
      <c r="E142" s="24" t="n">
        <v>0.411141236142275</v>
      </c>
      <c r="F142" s="24" t="n">
        <f aca="false">B142-E142</f>
        <v>-0.151141236142275</v>
      </c>
    </row>
    <row r="143" customFormat="false" ht="14.25" hidden="false" customHeight="false" outlineLevel="0" collapsed="false">
      <c r="B143" s="4" t="n">
        <v>0.28</v>
      </c>
      <c r="C143" s="4" t="n">
        <v>0.279265315809555</v>
      </c>
      <c r="D143" s="4" t="n">
        <f aca="false">B143-C143</f>
        <v>0.000734684190445423</v>
      </c>
      <c r="E143" s="24" t="n">
        <v>0.471055543103258</v>
      </c>
      <c r="F143" s="24" t="n">
        <f aca="false">B143-E143</f>
        <v>-0.191055543103258</v>
      </c>
    </row>
    <row r="144" customFormat="false" ht="14.25" hidden="false" customHeight="false" outlineLevel="0" collapsed="false">
      <c r="A144" s="0" t="s">
        <v>55</v>
      </c>
      <c r="B144" s="4" t="n">
        <v>0.15</v>
      </c>
      <c r="C144" s="4" t="n">
        <v>0.14934653930778</v>
      </c>
      <c r="D144" s="4" t="n">
        <f aca="false">B144-C144</f>
        <v>0.000653460692219665</v>
      </c>
      <c r="E144" s="24" t="n">
        <v>0.176421455378964</v>
      </c>
      <c r="F144" s="24" t="n">
        <f aca="false">B144-E144</f>
        <v>-0.0264214553789645</v>
      </c>
    </row>
    <row r="145" customFormat="false" ht="14.25" hidden="false" customHeight="false" outlineLevel="0" collapsed="false">
      <c r="B145" s="4" t="n">
        <v>0.17</v>
      </c>
      <c r="C145" s="4" t="n">
        <v>0.162851279564335</v>
      </c>
      <c r="D145" s="4" t="n">
        <f aca="false">B145-C145</f>
        <v>0.00714872043566506</v>
      </c>
      <c r="E145" s="24" t="n">
        <v>0.209770022133912</v>
      </c>
      <c r="F145" s="24" t="n">
        <f aca="false">B145-E145</f>
        <v>-0.0397700221339119</v>
      </c>
    </row>
    <row r="146" customFormat="false" ht="14.25" hidden="false" customHeight="false" outlineLevel="0" collapsed="false">
      <c r="B146" s="4" t="n">
        <v>0.19</v>
      </c>
      <c r="C146" s="4" t="n">
        <v>0.17556162333521</v>
      </c>
      <c r="D146" s="4" t="n">
        <f aca="false">B146-C146</f>
        <v>0.0144383766647901</v>
      </c>
      <c r="E146" s="24" t="n">
        <v>0.243792448567338</v>
      </c>
      <c r="F146" s="24" t="n">
        <f aca="false">B146-E146</f>
        <v>-0.0537924485673382</v>
      </c>
    </row>
    <row r="147" customFormat="false" ht="14.25" hidden="false" customHeight="false" outlineLevel="0" collapsed="false">
      <c r="B147" s="4" t="n">
        <v>0.2</v>
      </c>
      <c r="C147" s="4" t="n">
        <v>0.187080372377565</v>
      </c>
      <c r="D147" s="4" t="n">
        <f aca="false">B147-C147</f>
        <v>0.0129196276224347</v>
      </c>
      <c r="E147" s="24" t="n">
        <v>0.276832786913796</v>
      </c>
      <c r="F147" s="24" t="n">
        <f aca="false">B147-E147</f>
        <v>-0.0768327869137963</v>
      </c>
    </row>
    <row r="148" customFormat="false" ht="14.25" hidden="false" customHeight="false" outlineLevel="0" collapsed="false">
      <c r="B148" s="4" t="n">
        <v>0.22</v>
      </c>
      <c r="C148" s="4" t="n">
        <v>0.20018791439128</v>
      </c>
      <c r="D148" s="4" t="n">
        <f aca="false">B148-C148</f>
        <v>0.01981208560872</v>
      </c>
      <c r="E148" s="24" t="n">
        <v>0.316983592756501</v>
      </c>
      <c r="F148" s="24" t="n">
        <f aca="false">B148-E148</f>
        <v>-0.0969835927565006</v>
      </c>
    </row>
    <row r="149" customFormat="false" ht="14.25" hidden="false" customHeight="false" outlineLevel="0" collapsed="false">
      <c r="B149" s="4" t="n">
        <v>0.24</v>
      </c>
      <c r="C149" s="4" t="n">
        <v>0.213295456404995</v>
      </c>
      <c r="D149" s="4" t="n">
        <f aca="false">B149-C149</f>
        <v>0.0267045435950052</v>
      </c>
      <c r="E149" s="24" t="n">
        <v>0.359852299302404</v>
      </c>
      <c r="F149" s="24" t="n">
        <f aca="false">B149-E149</f>
        <v>-0.119852299302404</v>
      </c>
    </row>
    <row r="150" customFormat="false" ht="14.25" hidden="false" customHeight="false" outlineLevel="0" collapsed="false">
      <c r="B150" s="4" t="n">
        <v>0.26</v>
      </c>
      <c r="C150" s="4" t="n">
        <v>0.24053848713267</v>
      </c>
      <c r="D150" s="4" t="n">
        <f aca="false">B150-C150</f>
        <v>0.0194615128673299</v>
      </c>
      <c r="E150" s="24" t="n">
        <v>0.40614837722886</v>
      </c>
      <c r="F150" s="24" t="n">
        <f aca="false">B150-E150</f>
        <v>-0.146148377228859</v>
      </c>
    </row>
    <row r="151" customFormat="false" ht="14.25" hidden="false" customHeight="false" outlineLevel="0" collapsed="false">
      <c r="B151" s="4" t="n">
        <v>0.29</v>
      </c>
      <c r="C151" s="4" t="n">
        <v>0.267349368524359</v>
      </c>
      <c r="D151" s="4" t="n">
        <f aca="false">B151-C151</f>
        <v>0.0226506314756407</v>
      </c>
      <c r="E151" s="24" t="n">
        <v>0.451084107449597</v>
      </c>
      <c r="F151" s="24" t="n">
        <f aca="false">B151-E151</f>
        <v>-0.161084107449597</v>
      </c>
    </row>
    <row r="152" customFormat="false" ht="14.25" hidden="false" customHeight="false" outlineLevel="0" collapsed="false">
      <c r="A152" s="0" t="s">
        <v>56</v>
      </c>
      <c r="B152" s="4" t="n">
        <v>0.17</v>
      </c>
      <c r="C152" s="4" t="n">
        <v>0.124480015931012</v>
      </c>
      <c r="D152" s="4" t="n">
        <f aca="false">B152-C152</f>
        <v>0.0455199840689879</v>
      </c>
      <c r="E152" s="24" t="n">
        <v>0.124480015931012</v>
      </c>
      <c r="F152" s="24" t="n">
        <f aca="false">B152-E152</f>
        <v>0.0455199840689879</v>
      </c>
    </row>
    <row r="153" customFormat="false" ht="14.25" hidden="false" customHeight="false" outlineLevel="0" collapsed="false">
      <c r="B153" s="4" t="n">
        <v>0.2</v>
      </c>
      <c r="C153" s="4" t="n">
        <v>0.163191479752936</v>
      </c>
      <c r="D153" s="4" t="n">
        <f aca="false">B153-C153</f>
        <v>0.0368085202470643</v>
      </c>
      <c r="E153" s="24" t="n">
        <v>0.172715750643829</v>
      </c>
      <c r="F153" s="24" t="n">
        <f aca="false">B153-E153</f>
        <v>0.027284249356171</v>
      </c>
    </row>
    <row r="154" customFormat="false" ht="14.25" hidden="false" customHeight="false" outlineLevel="0" collapsed="false">
      <c r="B154" s="4" t="n">
        <v>0.24</v>
      </c>
      <c r="C154" s="4" t="n">
        <v>0.200660864521749</v>
      </c>
      <c r="D154" s="4" t="n">
        <f aca="false">B154-C154</f>
        <v>0.0393391354782506</v>
      </c>
      <c r="E154" s="24" t="n">
        <v>0.221300621200698</v>
      </c>
      <c r="F154" s="24" t="n">
        <f aca="false">B154-E154</f>
        <v>0.0186993787993024</v>
      </c>
    </row>
    <row r="155" customFormat="false" ht="14.25" hidden="false" customHeight="false" outlineLevel="0" collapsed="false">
      <c r="B155" s="4" t="n">
        <v>0.27</v>
      </c>
      <c r="C155" s="4" t="n">
        <v>0.237923236115045</v>
      </c>
      <c r="D155" s="4" t="n">
        <f aca="false">B155-C155</f>
        <v>0.0320767638849551</v>
      </c>
      <c r="E155" s="24" t="n">
        <v>0.269617067058357</v>
      </c>
      <c r="F155" s="24" t="n">
        <f aca="false">B155-E155</f>
        <v>0.000382932941643044</v>
      </c>
    </row>
    <row r="156" customFormat="false" ht="14.25" hidden="false" customHeight="false" outlineLevel="0" collapsed="false">
      <c r="B156" s="4" t="n">
        <v>0.32</v>
      </c>
      <c r="C156" s="4" t="n">
        <v>0.274771581357304</v>
      </c>
      <c r="D156" s="4" t="n">
        <f aca="false">B156-C156</f>
        <v>0.0452284186426962</v>
      </c>
      <c r="E156" s="24" t="n">
        <v>0.317396663517598</v>
      </c>
      <c r="F156" s="24" t="n">
        <f aca="false">B156-E156</f>
        <v>0.00260333648240185</v>
      </c>
    </row>
    <row r="157" customFormat="false" ht="14.25" hidden="false" customHeight="false" outlineLevel="0" collapsed="false">
      <c r="B157" s="4" t="n">
        <v>0.34</v>
      </c>
      <c r="C157" s="4" t="n">
        <v>0.312654992477154</v>
      </c>
      <c r="D157" s="4" t="n">
        <f aca="false">B157-C157</f>
        <v>0.027345007522846</v>
      </c>
      <c r="E157" s="24" t="n">
        <v>0.366518383472885</v>
      </c>
      <c r="F157" s="24" t="n">
        <f aca="false">B157-E157</f>
        <v>-0.026518383472885</v>
      </c>
    </row>
    <row r="158" customFormat="false" ht="14.25" hidden="false" customHeight="false" outlineLevel="0" collapsed="false">
      <c r="A158" s="0" t="s">
        <v>57</v>
      </c>
      <c r="B158" s="4" t="n">
        <v>0.16</v>
      </c>
      <c r="C158" s="4" t="n">
        <v>0.0884597233908265</v>
      </c>
      <c r="D158" s="4" t="n">
        <f aca="false">B158-C158</f>
        <v>0.0715402766091735</v>
      </c>
      <c r="E158" s="24" t="n">
        <v>0.0884597233908265</v>
      </c>
      <c r="F158" s="24" t="n">
        <f aca="false">B158-E158</f>
        <v>0.0715402766091735</v>
      </c>
    </row>
    <row r="159" customFormat="false" ht="14.25" hidden="false" customHeight="false" outlineLevel="0" collapsed="false">
      <c r="B159" s="4" t="n">
        <v>0.2</v>
      </c>
      <c r="C159" s="4" t="n">
        <v>0.125101055457567</v>
      </c>
      <c r="D159" s="4" t="n">
        <f aca="false">B159-C159</f>
        <v>0.074898944542433</v>
      </c>
      <c r="E159" s="24" t="n">
        <v>0.125101055457567</v>
      </c>
      <c r="F159" s="24" t="n">
        <f aca="false">B159-E159</f>
        <v>0.074898944542433</v>
      </c>
    </row>
    <row r="160" customFormat="false" ht="14.25" hidden="false" customHeight="false" outlineLevel="0" collapsed="false">
      <c r="B160" s="4" t="n">
        <v>0.24</v>
      </c>
      <c r="C160" s="4" t="n">
        <v>0.162570440226381</v>
      </c>
      <c r="D160" s="4" t="n">
        <f aca="false">B160-C160</f>
        <v>0.0774295597736192</v>
      </c>
      <c r="E160" s="24" t="n">
        <v>0.171910476546201</v>
      </c>
      <c r="F160" s="24" t="n">
        <f aca="false">B160-E160</f>
        <v>0.0680895234537988</v>
      </c>
    </row>
    <row r="161" customFormat="false" ht="14.25" hidden="false" customHeight="false" outlineLevel="0" collapsed="false">
      <c r="B161" s="4" t="n">
        <v>0.27</v>
      </c>
      <c r="C161" s="4" t="n">
        <v>0.199625798644158</v>
      </c>
      <c r="D161" s="4" t="n">
        <f aca="false">B161-C161</f>
        <v>0.0703742013558421</v>
      </c>
      <c r="E161" s="24" t="n">
        <v>0.219958497704651</v>
      </c>
      <c r="F161" s="24" t="n">
        <f aca="false">B161-E161</f>
        <v>0.0500415022953485</v>
      </c>
    </row>
    <row r="162" customFormat="false" ht="14.25" hidden="false" customHeight="false" outlineLevel="0" collapsed="false">
      <c r="B162" s="4" t="n">
        <v>0.29</v>
      </c>
      <c r="C162" s="4" t="n">
        <v>0.238130249290563</v>
      </c>
      <c r="D162" s="4" t="n">
        <f aca="false">B162-C162</f>
        <v>0.0518697507094368</v>
      </c>
      <c r="E162" s="24" t="n">
        <v>0.269885491757566</v>
      </c>
      <c r="F162" s="24" t="n">
        <f aca="false">B162-E162</f>
        <v>0.0201145082424338</v>
      </c>
    </row>
    <row r="163" customFormat="false" ht="14.25" hidden="false" customHeight="false" outlineLevel="0" collapsed="false">
      <c r="B163" s="4" t="n">
        <v>0.32</v>
      </c>
      <c r="C163" s="4" t="n">
        <v>0.274771581357304</v>
      </c>
      <c r="D163" s="4" t="n">
        <f aca="false">B163-C163</f>
        <v>0.0452284186426962</v>
      </c>
      <c r="E163" s="24" t="n">
        <v>0.317396663517598</v>
      </c>
      <c r="F163" s="24" t="n">
        <f aca="false">B163-E163</f>
        <v>0.00260333648240185</v>
      </c>
    </row>
    <row r="164" customFormat="false" ht="14.25" hidden="false" customHeight="false" outlineLevel="0" collapsed="false">
      <c r="B164" s="4" t="n">
        <v>0.33</v>
      </c>
      <c r="C164" s="4" t="n">
        <v>0.292574714451878</v>
      </c>
      <c r="D164" s="4" t="n">
        <f aca="false">B164-C164</f>
        <v>0.0374252855481219</v>
      </c>
      <c r="E164" s="24" t="n">
        <v>0.340481187649591</v>
      </c>
      <c r="F164" s="24" t="n">
        <f aca="false">B164-E164</f>
        <v>-0.0104811876495908</v>
      </c>
    </row>
    <row r="165" customFormat="false" ht="14.25" hidden="false" customHeight="false" outlineLevel="0" collapsed="false">
      <c r="A165" s="0" t="s">
        <v>58</v>
      </c>
      <c r="B165" s="4" t="n">
        <v>0.15</v>
      </c>
      <c r="C165" s="4" t="n">
        <v>0.188618412612428</v>
      </c>
      <c r="D165" s="4" t="n">
        <f aca="false">B165-C165</f>
        <v>-0.0386184126124276</v>
      </c>
      <c r="E165" s="24" t="n">
        <v>0.275013325800104</v>
      </c>
      <c r="F165" s="24" t="n">
        <f aca="false">B165-E165</f>
        <v>-0.125013325800104</v>
      </c>
    </row>
    <row r="166" customFormat="false" ht="14.25" hidden="false" customHeight="false" outlineLevel="0" collapsed="false">
      <c r="B166" s="4" t="n">
        <v>0.19</v>
      </c>
      <c r="C166" s="4" t="n">
        <v>0.20076122887503</v>
      </c>
      <c r="D166" s="4" t="n">
        <f aca="false">B166-C166</f>
        <v>-0.0107612288750303</v>
      </c>
      <c r="E166" s="24" t="n">
        <v>0.311562555766538</v>
      </c>
      <c r="F166" s="24" t="n">
        <f aca="false">B166-E166</f>
        <v>-0.121562555766538</v>
      </c>
    </row>
    <row r="167" customFormat="false" ht="14.25" hidden="false" customHeight="false" outlineLevel="0" collapsed="false">
      <c r="B167" s="4" t="n">
        <v>0.2</v>
      </c>
      <c r="C167" s="4" t="n">
        <v>0.203189792127551</v>
      </c>
      <c r="D167" s="4" t="n">
        <f aca="false">B167-C167</f>
        <v>-0.0031897921275508</v>
      </c>
      <c r="E167" s="24" t="n">
        <v>0.319145951090135</v>
      </c>
      <c r="F167" s="24" t="n">
        <f aca="false">B167-E167</f>
        <v>-0.119145951090135</v>
      </c>
    </row>
    <row r="168" customFormat="false" ht="14.25" hidden="false" customHeight="false" outlineLevel="0" collapsed="false">
      <c r="B168" s="4" t="n">
        <v>0.23</v>
      </c>
      <c r="C168" s="4" t="n">
        <v>0.213443725860415</v>
      </c>
      <c r="D168" s="4" t="n">
        <f aca="false">B168-C168</f>
        <v>0.0165562741395848</v>
      </c>
      <c r="E168" s="24" t="n">
        <v>0.352169996991277</v>
      </c>
      <c r="F168" s="24" t="n">
        <f aca="false">B168-E168</f>
        <v>-0.122169996991276</v>
      </c>
    </row>
    <row r="169" customFormat="false" ht="14.25" hidden="false" customHeight="false" outlineLevel="0" collapsed="false">
      <c r="B169" s="4" t="n">
        <v>0.25</v>
      </c>
      <c r="C169" s="4" t="n">
        <v>0.223197905782135</v>
      </c>
      <c r="D169" s="4" t="n">
        <f aca="false">B169-C169</f>
        <v>0.0268020942178647</v>
      </c>
      <c r="E169" s="24" t="n">
        <v>0.377154812503042</v>
      </c>
      <c r="F169" s="24" t="n">
        <f aca="false">B169-E169</f>
        <v>-0.127154812503042</v>
      </c>
    </row>
    <row r="170" customFormat="false" ht="14.25" hidden="false" customHeight="false" outlineLevel="0" collapsed="false">
      <c r="B170" s="4" t="n">
        <v>0.28</v>
      </c>
      <c r="C170" s="4" t="n">
        <v>0.242761331982995</v>
      </c>
      <c r="D170" s="4" t="n">
        <f aca="false">B170-C170</f>
        <v>0.0372386680170048</v>
      </c>
      <c r="E170" s="24" t="n">
        <v>0.409943620491564</v>
      </c>
      <c r="F170" s="24" t="n">
        <f aca="false">B170-E170</f>
        <v>-0.129943620491564</v>
      </c>
    </row>
    <row r="171" customFormat="false" ht="14.25" hidden="false" customHeight="false" outlineLevel="0" collapsed="false">
      <c r="B171" s="4" t="n">
        <v>0.31</v>
      </c>
      <c r="C171" s="4" t="n">
        <v>0.260300955473421</v>
      </c>
      <c r="D171" s="4" t="n">
        <f aca="false">B171-C171</f>
        <v>0.0496990445265789</v>
      </c>
      <c r="E171" s="24" t="n">
        <v>0.4393404828261</v>
      </c>
      <c r="F171" s="24" t="n">
        <f aca="false">B171-E171</f>
        <v>-0.1293404828261</v>
      </c>
    </row>
    <row r="172" customFormat="false" ht="14.25" hidden="false" customHeight="false" outlineLevel="0" collapsed="false">
      <c r="B172" s="4" t="n">
        <v>0.36</v>
      </c>
      <c r="C172" s="4" t="n">
        <v>0.281213583481237</v>
      </c>
      <c r="D172" s="4" t="n">
        <f aca="false">B172-C172</f>
        <v>0.0787864165187633</v>
      </c>
      <c r="E172" s="24" t="n">
        <v>0.474390587917279</v>
      </c>
      <c r="F172" s="24" t="n">
        <f aca="false">B172-E172</f>
        <v>-0.114390587917279</v>
      </c>
    </row>
    <row r="173" customFormat="false" ht="14.25" hidden="false" customHeight="false" outlineLevel="0" collapsed="false">
      <c r="A173" s="0" t="s">
        <v>59</v>
      </c>
      <c r="B173" s="4" t="n">
        <v>0.16</v>
      </c>
      <c r="C173" s="4" t="n">
        <v>0.187808891528254</v>
      </c>
      <c r="D173" s="4" t="n">
        <f aca="false">B173-C173</f>
        <v>-0.0278088915282541</v>
      </c>
      <c r="E173" s="24" t="n">
        <v>0.272657762122433</v>
      </c>
      <c r="F173" s="24" t="n">
        <f aca="false">B173-E173</f>
        <v>-0.112657762122433</v>
      </c>
    </row>
    <row r="174" customFormat="false" ht="14.25" hidden="false" customHeight="false" outlineLevel="0" collapsed="false">
      <c r="B174" s="4" t="n">
        <v>0.18</v>
      </c>
      <c r="C174" s="4" t="n">
        <v>0.195904102369989</v>
      </c>
      <c r="D174" s="4" t="n">
        <f aca="false">B174-C174</f>
        <v>-0.0159041023699892</v>
      </c>
      <c r="E174" s="24" t="n">
        <v>0.296669314449654</v>
      </c>
      <c r="F174" s="24" t="n">
        <f aca="false">B174-E174</f>
        <v>-0.116669314449654</v>
      </c>
    </row>
    <row r="175" customFormat="false" ht="14.25" hidden="false" customHeight="false" outlineLevel="0" collapsed="false">
      <c r="B175" s="4" t="n">
        <v>0.2</v>
      </c>
      <c r="C175" s="4" t="n">
        <v>0.203459632488942</v>
      </c>
      <c r="D175" s="4" t="n">
        <f aca="false">B175-C175</f>
        <v>-0.00345963248894199</v>
      </c>
      <c r="E175" s="24" t="n">
        <v>0.319994179157578</v>
      </c>
      <c r="F175" s="24" t="n">
        <f aca="false">B175-E175</f>
        <v>-0.119994179157578</v>
      </c>
    </row>
    <row r="176" customFormat="false" ht="14.25" hidden="false" customHeight="false" outlineLevel="0" collapsed="false">
      <c r="B176" s="4" t="n">
        <v>0.23</v>
      </c>
      <c r="C176" s="4" t="n">
        <v>0.211285002969286</v>
      </c>
      <c r="D176" s="4" t="n">
        <f aca="false">B176-C176</f>
        <v>0.0187149970307141</v>
      </c>
      <c r="E176" s="24" t="n">
        <v>0.345082480186205</v>
      </c>
      <c r="F176" s="24" t="n">
        <f aca="false">B176-E176</f>
        <v>-0.115082480186205</v>
      </c>
    </row>
    <row r="177" customFormat="false" ht="14.25" hidden="false" customHeight="false" outlineLevel="0" collapsed="false">
      <c r="B177" s="4" t="n">
        <v>0.24</v>
      </c>
      <c r="C177" s="4" t="n">
        <v>0.221174103071702</v>
      </c>
      <c r="D177" s="4" t="n">
        <f aca="false">B177-C177</f>
        <v>0.0188258969282983</v>
      </c>
      <c r="E177" s="24" t="n">
        <v>0.373762866849057</v>
      </c>
      <c r="F177" s="24" t="n">
        <f aca="false">B177-E177</f>
        <v>-0.133762866849057</v>
      </c>
    </row>
    <row r="178" customFormat="false" ht="14.25" hidden="false" customHeight="false" outlineLevel="0" collapsed="false">
      <c r="B178" s="4" t="n">
        <v>0.25</v>
      </c>
      <c r="C178" s="4" t="n">
        <v>0.242761331982995</v>
      </c>
      <c r="D178" s="4" t="n">
        <f aca="false">B178-C178</f>
        <v>0.00723866801700476</v>
      </c>
      <c r="E178" s="24" t="n">
        <v>0.409943620491564</v>
      </c>
      <c r="F178" s="24" t="n">
        <f aca="false">B178-E178</f>
        <v>-0.159943620491564</v>
      </c>
    </row>
    <row r="179" customFormat="false" ht="14.25" hidden="false" customHeight="false" outlineLevel="0" collapsed="false">
      <c r="B179" s="4" t="n">
        <v>0.27</v>
      </c>
      <c r="C179" s="4" t="n">
        <v>0.262324758183855</v>
      </c>
      <c r="D179" s="4" t="n">
        <f aca="false">B179-C179</f>
        <v>0.0076752418161451</v>
      </c>
      <c r="E179" s="24" t="n">
        <v>0.442732428480085</v>
      </c>
      <c r="F179" s="24" t="n">
        <f aca="false">B179-E179</f>
        <v>-0.172732428480085</v>
      </c>
    </row>
    <row r="180" customFormat="false" ht="14.25" hidden="false" customHeight="false" outlineLevel="0" collapsed="false">
      <c r="B180" s="4" t="n">
        <v>0.29</v>
      </c>
      <c r="C180" s="4" t="n">
        <v>0.279864381674281</v>
      </c>
      <c r="D180" s="4" t="n">
        <f aca="false">B180-C180</f>
        <v>0.0101356183257191</v>
      </c>
      <c r="E180" s="24" t="n">
        <v>0.472129290814622</v>
      </c>
      <c r="F180" s="24" t="n">
        <f aca="false">B180-E180</f>
        <v>-0.182129290814622</v>
      </c>
    </row>
    <row r="181" customFormat="false" ht="14.25" hidden="false" customHeight="false" outlineLevel="0" collapsed="false">
      <c r="A181" s="0" t="s">
        <v>60</v>
      </c>
      <c r="B181" s="4" t="n">
        <v>0.15</v>
      </c>
      <c r="C181" s="4" t="n">
        <v>0.196713623454163</v>
      </c>
      <c r="D181" s="4" t="n">
        <f aca="false">B181-C181</f>
        <v>-0.0467136234541627</v>
      </c>
      <c r="E181" s="24" t="n">
        <v>0.299126192694106</v>
      </c>
      <c r="F181" s="24" t="n">
        <f aca="false">B181-E181</f>
        <v>-0.149126192694106</v>
      </c>
    </row>
    <row r="182" customFormat="false" ht="14.25" hidden="false" customHeight="false" outlineLevel="0" collapsed="false">
      <c r="B182" s="4" t="n">
        <v>0.16</v>
      </c>
      <c r="C182" s="4" t="n">
        <v>0.204538993934507</v>
      </c>
      <c r="D182" s="4" t="n">
        <f aca="false">B182-C182</f>
        <v>-0.0445389939345066</v>
      </c>
      <c r="E182" s="24" t="n">
        <v>0.323398348601437</v>
      </c>
      <c r="F182" s="24" t="n">
        <f aca="false">B182-E182</f>
        <v>-0.163398348601437</v>
      </c>
    </row>
    <row r="183" customFormat="false" ht="14.25" hidden="false" customHeight="false" outlineLevel="0" collapsed="false">
      <c r="B183" s="4" t="n">
        <v>0.18</v>
      </c>
      <c r="C183" s="4" t="n">
        <v>0.215602448751545</v>
      </c>
      <c r="D183" s="4" t="n">
        <f aca="false">B183-C183</f>
        <v>-0.0356024487515446</v>
      </c>
      <c r="E183" s="24" t="n">
        <v>0.359329559710504</v>
      </c>
      <c r="F183" s="24" t="n">
        <f aca="false">B183-E183</f>
        <v>-0.179329559710504</v>
      </c>
    </row>
    <row r="184" customFormat="false" ht="14.25" hidden="false" customHeight="false" outlineLevel="0" collapsed="false">
      <c r="B184" s="4" t="n">
        <v>0.18</v>
      </c>
      <c r="C184" s="4" t="n">
        <v>0.227245511203003</v>
      </c>
      <c r="D184" s="4" t="n">
        <f aca="false">B184-C184</f>
        <v>-0.0472455112030029</v>
      </c>
      <c r="E184" s="24" t="n">
        <v>0.383938703811012</v>
      </c>
      <c r="F184" s="24" t="n">
        <f aca="false">B184-E184</f>
        <v>-0.203938703811011</v>
      </c>
    </row>
    <row r="185" customFormat="false" ht="14.25" hidden="false" customHeight="false" outlineLevel="0" collapsed="false">
      <c r="B185" s="4" t="n">
        <v>0.19</v>
      </c>
      <c r="C185" s="4" t="n">
        <v>0.242761331982995</v>
      </c>
      <c r="D185" s="4" t="n">
        <f aca="false">B185-C185</f>
        <v>-0.0527613319829952</v>
      </c>
      <c r="E185" s="24" t="n">
        <v>0.409943620491564</v>
      </c>
      <c r="F185" s="24" t="n">
        <f aca="false">B185-E185</f>
        <v>-0.219943620491564</v>
      </c>
    </row>
    <row r="186" customFormat="false" ht="14.25" hidden="false" customHeight="false" outlineLevel="0" collapsed="false">
      <c r="B186" s="4" t="n">
        <v>0.2</v>
      </c>
      <c r="C186" s="4" t="n">
        <v>0.259626354569943</v>
      </c>
      <c r="D186" s="4" t="n">
        <f aca="false">B186-C186</f>
        <v>-0.0596263545699434</v>
      </c>
      <c r="E186" s="24" t="n">
        <v>0.438209834274772</v>
      </c>
      <c r="F186" s="24" t="n">
        <f aca="false">B186-E186</f>
        <v>-0.238209834274772</v>
      </c>
    </row>
    <row r="187" customFormat="false" ht="14.25" hidden="false" customHeight="false" outlineLevel="0" collapsed="false">
      <c r="B187" s="4" t="n">
        <v>0.22</v>
      </c>
      <c r="C187" s="4" t="n">
        <v>0.281888184384715</v>
      </c>
      <c r="D187" s="4" t="n">
        <f aca="false">B187-C187</f>
        <v>-0.0618881843847149</v>
      </c>
      <c r="E187" s="24" t="n">
        <v>0.475521236468607</v>
      </c>
      <c r="F187" s="24" t="n">
        <f aca="false">B187-E187</f>
        <v>-0.255521236468607</v>
      </c>
    </row>
    <row r="188" customFormat="false" ht="14.25" hidden="false" customHeight="false" outlineLevel="0" collapsed="false">
      <c r="A188" s="0" t="s">
        <v>61</v>
      </c>
      <c r="B188" s="4" t="n">
        <v>0.16</v>
      </c>
      <c r="C188" s="4" t="n">
        <v>0.162505263740563</v>
      </c>
      <c r="D188" s="4" t="n">
        <f aca="false">B188-C188</f>
        <v>-0.00250526374056309</v>
      </c>
      <c r="E188" s="24" t="n">
        <v>0.168972235980417</v>
      </c>
      <c r="F188" s="24" t="n">
        <f aca="false">B188-E188</f>
        <v>-0.00897223598041747</v>
      </c>
    </row>
    <row r="189" customFormat="false" ht="14.25" hidden="false" customHeight="false" outlineLevel="0" collapsed="false">
      <c r="B189" s="4" t="n">
        <v>0.2</v>
      </c>
      <c r="C189" s="4" t="n">
        <v>0.205296645840096</v>
      </c>
      <c r="D189" s="4" t="n">
        <f aca="false">B189-C189</f>
        <v>-0.00529664584009562</v>
      </c>
      <c r="E189" s="24" t="n">
        <v>0.224457901760169</v>
      </c>
      <c r="F189" s="24" t="n">
        <f aca="false">B189-E189</f>
        <v>-0.0244579017601685</v>
      </c>
    </row>
    <row r="190" customFormat="false" ht="14.25" hidden="false" customHeight="false" outlineLevel="0" collapsed="false">
      <c r="B190" s="4" t="n">
        <v>0.23</v>
      </c>
      <c r="C190" s="4" t="n">
        <v>0.247942972407087</v>
      </c>
      <c r="D190" s="4" t="n">
        <f aca="false">B190-C190</f>
        <v>-0.0179429724070874</v>
      </c>
      <c r="E190" s="24" t="n">
        <v>0.279755480537276</v>
      </c>
      <c r="F190" s="24" t="n">
        <f aca="false">B190-E190</f>
        <v>-0.0497554805372764</v>
      </c>
    </row>
    <row r="191" customFormat="false" ht="14.25" hidden="false" customHeight="false" outlineLevel="0" collapsed="false">
      <c r="A191" s="0" t="s">
        <v>62</v>
      </c>
      <c r="B191" s="4" t="n">
        <v>0.14</v>
      </c>
      <c r="C191" s="4" t="n">
        <v>0.162505263740563</v>
      </c>
      <c r="D191" s="4" t="n">
        <f aca="false">B191-C191</f>
        <v>-0.0225052637405631</v>
      </c>
      <c r="E191" s="24" t="n">
        <v>0.168972235980417</v>
      </c>
      <c r="F191" s="24" t="n">
        <f aca="false">B191-E191</f>
        <v>-0.0289722359804175</v>
      </c>
    </row>
    <row r="192" customFormat="false" ht="14.25" hidden="false" customHeight="false" outlineLevel="0" collapsed="false">
      <c r="B192" s="4" t="n">
        <v>0.17</v>
      </c>
      <c r="C192" s="4" t="n">
        <v>0.204716423709933</v>
      </c>
      <c r="D192" s="4" t="n">
        <f aca="false">B192-C192</f>
        <v>-0.0347164237099325</v>
      </c>
      <c r="E192" s="24" t="n">
        <v>0.223705553749596</v>
      </c>
      <c r="F192" s="24" t="n">
        <f aca="false">B192-E192</f>
        <v>-0.0537055537495957</v>
      </c>
    </row>
    <row r="193" customFormat="false" ht="14.25" hidden="false" customHeight="false" outlineLevel="0" collapsed="false">
      <c r="B193" s="4" t="n">
        <v>0.21</v>
      </c>
      <c r="C193" s="4" t="n">
        <v>0.247217694744383</v>
      </c>
      <c r="D193" s="4" t="n">
        <f aca="false">B193-C193</f>
        <v>-0.0372176947443834</v>
      </c>
      <c r="E193" s="24" t="n">
        <v>0.27881504552406</v>
      </c>
      <c r="F193" s="24" t="n">
        <f aca="false">B193-E193</f>
        <v>-0.0688150455240602</v>
      </c>
    </row>
    <row r="194" customFormat="false" ht="14.25" hidden="false" customHeight="false" outlineLevel="0" collapsed="false">
      <c r="A194" s="0" t="s">
        <v>63</v>
      </c>
      <c r="B194" s="4" t="n">
        <v>0.21</v>
      </c>
      <c r="C194" s="4" t="n">
        <v>0.0760521663462533</v>
      </c>
      <c r="D194" s="4" t="n">
        <f aca="false">B194-C194</f>
        <v>0.133947833653747</v>
      </c>
      <c r="E194" s="24" t="n">
        <v>0.0760521663462533</v>
      </c>
      <c r="F194" s="24" t="n">
        <f aca="false">B194-E194</f>
        <v>0.133947833653747</v>
      </c>
    </row>
    <row r="195" customFormat="false" ht="14.25" hidden="false" customHeight="false" outlineLevel="0" collapsed="false">
      <c r="B195" s="4" t="n">
        <v>0.25</v>
      </c>
      <c r="C195" s="4" t="n">
        <v>0.120149048238653</v>
      </c>
      <c r="D195" s="4" t="n">
        <f aca="false">B195-C195</f>
        <v>0.129850951761347</v>
      </c>
      <c r="E195" s="24" t="n">
        <v>0.120149048238653</v>
      </c>
      <c r="F195" s="24" t="n">
        <f aca="false">B195-E195</f>
        <v>0.129850951761347</v>
      </c>
    </row>
    <row r="196" customFormat="false" ht="14.25" hidden="false" customHeight="false" outlineLevel="0" collapsed="false">
      <c r="B196" s="4" t="n">
        <v>0.29</v>
      </c>
      <c r="C196" s="4" t="n">
        <v>0.161779986077859</v>
      </c>
      <c r="D196" s="4" t="n">
        <f aca="false">B196-C196</f>
        <v>0.128220013922141</v>
      </c>
      <c r="E196" s="24" t="n">
        <v>0.168031800967201</v>
      </c>
      <c r="F196" s="24" t="n">
        <f aca="false">B196-E196</f>
        <v>0.121968199032799</v>
      </c>
    </row>
    <row r="197" customFormat="false" ht="14.25" hidden="false" customHeight="false" outlineLevel="0" collapsed="false">
      <c r="B197" s="4" t="n">
        <v>0.33</v>
      </c>
      <c r="C197" s="4" t="n">
        <v>0.203555979449606</v>
      </c>
      <c r="D197" s="4" t="n">
        <f aca="false">B197-C197</f>
        <v>0.126444020550394</v>
      </c>
      <c r="E197" s="24" t="n">
        <v>0.22220085772845</v>
      </c>
      <c r="F197" s="24" t="n">
        <f aca="false">B197-E197</f>
        <v>0.10779914227155</v>
      </c>
    </row>
    <row r="198" customFormat="false" ht="14.25" hidden="false" customHeight="false" outlineLevel="0" collapsed="false">
      <c r="B198" s="4" t="n">
        <v>0.37</v>
      </c>
      <c r="C198" s="4" t="n">
        <v>0.262593581193707</v>
      </c>
      <c r="D198" s="4" t="n">
        <f aca="false">B198-C198</f>
        <v>0.107406418806293</v>
      </c>
      <c r="E198" s="24" t="n">
        <v>0.298752267804242</v>
      </c>
      <c r="F198" s="24" t="n">
        <f aca="false">B198-E198</f>
        <v>0.071247732195758</v>
      </c>
    </row>
    <row r="199" customFormat="false" ht="14.25" hidden="false" customHeight="false" outlineLevel="0" collapsed="false">
      <c r="A199" s="0" t="s">
        <v>64</v>
      </c>
      <c r="B199" s="4" t="n">
        <v>0.15</v>
      </c>
      <c r="C199" s="4" t="n">
        <v>0.111129674723574</v>
      </c>
      <c r="D199" s="4" t="n">
        <f aca="false">B199-C199</f>
        <v>0.0388703252764259</v>
      </c>
      <c r="E199" s="24" t="n">
        <v>0.111129674723574</v>
      </c>
      <c r="F199" s="24" t="n">
        <f aca="false">B199-E199</f>
        <v>0.0388703252764259</v>
      </c>
    </row>
    <row r="200" customFormat="false" ht="14.25" hidden="false" customHeight="false" outlineLevel="0" collapsed="false">
      <c r="B200" s="4" t="n">
        <v>0.23</v>
      </c>
      <c r="C200" s="4" t="n">
        <v>0.158125712265201</v>
      </c>
      <c r="D200" s="4" t="n">
        <f aca="false">B200-C200</f>
        <v>0.0718742877347988</v>
      </c>
      <c r="E200" s="24" t="n">
        <v>0.174471933181406</v>
      </c>
      <c r="F200" s="24" t="n">
        <f aca="false">B200-E200</f>
        <v>0.0555280668185938</v>
      </c>
    </row>
    <row r="201" customFormat="false" ht="14.25" hidden="false" customHeight="false" outlineLevel="0" collapsed="false">
      <c r="B201" s="4" t="n">
        <v>0.28</v>
      </c>
      <c r="C201" s="4" t="n">
        <v>0.228256089517942</v>
      </c>
      <c r="D201" s="4" t="n">
        <f aca="false">B201-C201</f>
        <v>0.051743910482058</v>
      </c>
      <c r="E201" s="24" t="n">
        <v>0.273403616699989</v>
      </c>
      <c r="F201" s="24" t="n">
        <f aca="false">B201-E201</f>
        <v>0.00659638330001133</v>
      </c>
    </row>
    <row r="202" customFormat="false" ht="14.25" hidden="false" customHeight="false" outlineLevel="0" collapsed="false">
      <c r="A202" s="0" t="s">
        <v>65</v>
      </c>
      <c r="B202" s="4" t="n">
        <v>0.18</v>
      </c>
      <c r="C202" s="4" t="n">
        <v>0.117948216713536</v>
      </c>
      <c r="D202" s="4" t="n">
        <f aca="false">B202-C202</f>
        <v>0.0620517832864645</v>
      </c>
      <c r="E202" s="24" t="n">
        <v>0.117948216713536</v>
      </c>
      <c r="F202" s="24" t="n">
        <f aca="false">B202-E202</f>
        <v>0.0620517832864645</v>
      </c>
    </row>
    <row r="203" customFormat="false" ht="14.25" hidden="false" customHeight="false" outlineLevel="0" collapsed="false">
      <c r="B203" s="4" t="n">
        <v>0.26</v>
      </c>
      <c r="C203" s="4" t="n">
        <v>0.175129396940842</v>
      </c>
      <c r="D203" s="4" t="n">
        <f aca="false">B203-C203</f>
        <v>0.084870603059158</v>
      </c>
      <c r="E203" s="24" t="n">
        <v>0.183096151984949</v>
      </c>
      <c r="F203" s="24" t="n">
        <f aca="false">B203-E203</f>
        <v>0.0769038480150508</v>
      </c>
    </row>
    <row r="204" customFormat="false" ht="14.25" hidden="false" customHeight="false" outlineLevel="0" collapsed="false">
      <c r="B204" s="4" t="n">
        <v>0.34</v>
      </c>
      <c r="C204" s="4" t="n">
        <v>0.232310577168148</v>
      </c>
      <c r="D204" s="4" t="n">
        <f aca="false">B204-C204</f>
        <v>0.107689422831852</v>
      </c>
      <c r="E204" s="24" t="n">
        <v>0.256757858163567</v>
      </c>
      <c r="F204" s="24" t="n">
        <f aca="false">B204-E204</f>
        <v>0.0832421418364333</v>
      </c>
    </row>
    <row r="205" customFormat="false" ht="14.25" hidden="false" customHeight="false" outlineLevel="0" collapsed="false">
      <c r="A205" s="0" t="s">
        <v>66</v>
      </c>
      <c r="B205" s="4" t="n">
        <v>0.15</v>
      </c>
      <c r="C205" s="4" t="n">
        <v>0.117527781949306</v>
      </c>
      <c r="D205" s="4" t="n">
        <f aca="false">B205-C205</f>
        <v>0.0324722180506937</v>
      </c>
      <c r="E205" s="24" t="n">
        <v>0.131790213495005</v>
      </c>
      <c r="F205" s="24" t="n">
        <f aca="false">B205-E205</f>
        <v>0.0182097865049952</v>
      </c>
    </row>
    <row r="206" customFormat="false" ht="14.25" hidden="false" customHeight="false" outlineLevel="0" collapsed="false">
      <c r="B206" s="4" t="n">
        <v>0.19</v>
      </c>
      <c r="C206" s="4" t="n">
        <v>0.189416395861782</v>
      </c>
      <c r="D206" s="4" t="n">
        <f aca="false">B206-C206</f>
        <v>0.000583604138218313</v>
      </c>
      <c r="E206" s="24" t="n">
        <v>0.229504768951255</v>
      </c>
      <c r="F206" s="24" t="n">
        <f aca="false">B206-E206</f>
        <v>-0.0395047689512548</v>
      </c>
    </row>
    <row r="207" customFormat="false" ht="14.25" hidden="false" customHeight="false" outlineLevel="0" collapsed="false">
      <c r="B207" s="4" t="n">
        <v>0.22</v>
      </c>
      <c r="C207" s="4" t="n">
        <v>0.232549564209267</v>
      </c>
      <c r="D207" s="4" t="n">
        <f aca="false">B207-C207</f>
        <v>-0.0125495642092669</v>
      </c>
      <c r="E207" s="24" t="n">
        <v>0.288133502225005</v>
      </c>
      <c r="F207" s="24" t="n">
        <f aca="false">B207-E207</f>
        <v>-0.0681335022250048</v>
      </c>
    </row>
    <row r="208" customFormat="false" ht="14.25" hidden="false" customHeight="false" outlineLevel="0" collapsed="false">
      <c r="B208" s="4" t="n">
        <v>0.22</v>
      </c>
      <c r="C208" s="4" t="n">
        <v>0.268493871165504</v>
      </c>
      <c r="D208" s="4" t="n">
        <f aca="false">B208-C208</f>
        <v>-0.0484938711655044</v>
      </c>
      <c r="E208" s="24" t="n">
        <v>0.33699077995313</v>
      </c>
      <c r="F208" s="24" t="n">
        <f aca="false">B208-E208</f>
        <v>-0.11699077995313</v>
      </c>
    </row>
    <row r="209" customFormat="false" ht="14.25" hidden="false" customHeight="false" outlineLevel="0" collapsed="false">
      <c r="B209" s="4" t="n">
        <v>0.25</v>
      </c>
      <c r="C209" s="4" t="n">
        <v>0.326004762295485</v>
      </c>
      <c r="D209" s="4" t="n">
        <f aca="false">B209-C209</f>
        <v>-0.0760047622954848</v>
      </c>
      <c r="E209" s="24" t="n">
        <v>0.41516242431813</v>
      </c>
      <c r="F209" s="24" t="n">
        <f aca="false">B209-E209</f>
        <v>-0.16516242431813</v>
      </c>
    </row>
    <row r="210" customFormat="false" ht="14.25" hidden="false" customHeight="false" outlineLevel="0" collapsed="false">
      <c r="B210" s="4" t="n">
        <v>0.29</v>
      </c>
      <c r="C210" s="4" t="n">
        <v>0.376326792034218</v>
      </c>
      <c r="D210" s="4" t="n">
        <f aca="false">B210-C210</f>
        <v>-0.0863267920342176</v>
      </c>
      <c r="E210" s="24" t="n">
        <v>0.46727599043109</v>
      </c>
      <c r="F210" s="24" t="n">
        <f aca="false">B210-E210</f>
        <v>-0.17727599043109</v>
      </c>
    </row>
    <row r="211" customFormat="false" ht="14.25" hidden="false" customHeight="false" outlineLevel="0" collapsed="false">
      <c r="A211" s="0" t="s">
        <v>67</v>
      </c>
      <c r="B211" s="4" t="n">
        <v>0.17</v>
      </c>
      <c r="C211" s="4" t="n">
        <v>0.151281203007386</v>
      </c>
      <c r="D211" s="4" t="n">
        <f aca="false">B211-C211</f>
        <v>0.0187187969926137</v>
      </c>
      <c r="E211" s="24" t="n">
        <v>0.167526219095786</v>
      </c>
      <c r="F211" s="24" t="n">
        <f aca="false">B211-E211</f>
        <v>0.00247378090421435</v>
      </c>
    </row>
    <row r="212" customFormat="false" ht="14.25" hidden="false" customHeight="false" outlineLevel="0" collapsed="false">
      <c r="B212" s="4" t="n">
        <v>0.19</v>
      </c>
      <c r="C212" s="4" t="n">
        <v>0.179906448678004</v>
      </c>
      <c r="D212" s="4" t="n">
        <f aca="false">B212-C212</f>
        <v>0.0100935513219964</v>
      </c>
      <c r="E212" s="24" t="n">
        <v>0.20362194551252</v>
      </c>
      <c r="F212" s="24" t="n">
        <f aca="false">B212-E212</f>
        <v>-0.0136219455125204</v>
      </c>
    </row>
    <row r="213" customFormat="false" ht="14.25" hidden="false" customHeight="false" outlineLevel="0" collapsed="false">
      <c r="B213" s="4" t="n">
        <v>0.21</v>
      </c>
      <c r="C213" s="4" t="n">
        <v>0.216710335968798</v>
      </c>
      <c r="D213" s="4" t="n">
        <f aca="false">B213-C213</f>
        <v>-0.00671033596879764</v>
      </c>
      <c r="E213" s="24" t="n">
        <v>0.250030736619751</v>
      </c>
      <c r="F213" s="24" t="n">
        <f aca="false">B213-E213</f>
        <v>-0.040030736619751</v>
      </c>
    </row>
    <row r="214" customFormat="false" ht="14.25" hidden="false" customHeight="false" outlineLevel="0" collapsed="false">
      <c r="B214" s="4" t="n">
        <v>0.23</v>
      </c>
      <c r="C214" s="4" t="n">
        <v>0.23306761920915</v>
      </c>
      <c r="D214" s="4" t="n">
        <f aca="false">B214-C214</f>
        <v>-0.00306761920915039</v>
      </c>
      <c r="E214" s="24" t="n">
        <v>0.270656866000742</v>
      </c>
      <c r="F214" s="24" t="n">
        <f aca="false">B214-E214</f>
        <v>-0.0406568660007423</v>
      </c>
    </row>
    <row r="215" customFormat="false" ht="14.25" hidden="false" customHeight="false" outlineLevel="0" collapsed="false">
      <c r="B215" s="4" t="n">
        <v>0.25</v>
      </c>
      <c r="C215" s="4" t="n">
        <v>0.269871506499944</v>
      </c>
      <c r="D215" s="4" t="n">
        <f aca="false">B215-C215</f>
        <v>-0.0198715064999443</v>
      </c>
      <c r="E215" s="24" t="n">
        <v>0.317065657107973</v>
      </c>
      <c r="F215" s="24" t="n">
        <f aca="false">B215-E215</f>
        <v>-0.0670656571079728</v>
      </c>
    </row>
    <row r="216" customFormat="false" ht="14.25" hidden="false" customHeight="false" outlineLevel="0" collapsed="false">
      <c r="B216" s="4" t="n">
        <v>0.25</v>
      </c>
      <c r="C216" s="4" t="n">
        <v>0.34756860189162</v>
      </c>
      <c r="D216" s="4" t="n">
        <f aca="false">B216-C216</f>
        <v>-0.0975686018916203</v>
      </c>
      <c r="E216" s="24" t="n">
        <v>0.404842760198733</v>
      </c>
      <c r="F216" s="24" t="n">
        <f aca="false">B216-E216</f>
        <v>-0.154842760198733</v>
      </c>
    </row>
    <row r="217" customFormat="false" ht="14.25" hidden="false" customHeight="false" outlineLevel="0" collapsed="false">
      <c r="A217" s="0" t="s">
        <v>68</v>
      </c>
      <c r="B217" s="4" t="n">
        <v>0.18</v>
      </c>
      <c r="C217" s="4" t="n">
        <v>0.127038496444004</v>
      </c>
      <c r="D217" s="4" t="n">
        <f aca="false">B217-C217</f>
        <v>0.0529615035559958</v>
      </c>
      <c r="E217" s="24" t="n">
        <v>0.134199665397668</v>
      </c>
      <c r="F217" s="24" t="n">
        <f aca="false">B217-E217</f>
        <v>0.0458003346023325</v>
      </c>
    </row>
    <row r="218" customFormat="false" ht="14.25" hidden="false" customHeight="false" outlineLevel="0" collapsed="false">
      <c r="B218" s="4" t="n">
        <v>0.19</v>
      </c>
      <c r="C218" s="4" t="n">
        <v>0.150996277788399</v>
      </c>
      <c r="D218" s="4" t="n">
        <f aca="false">B218-C218</f>
        <v>0.0390037222116011</v>
      </c>
      <c r="E218" s="24" t="n">
        <v>0.162727659499746</v>
      </c>
      <c r="F218" s="24" t="n">
        <f aca="false">B218-E218</f>
        <v>0.027272340500254</v>
      </c>
    </row>
    <row r="219" customFormat="false" ht="14.25" hidden="false" customHeight="false" outlineLevel="0" collapsed="false">
      <c r="B219" s="4" t="n">
        <v>0.21</v>
      </c>
      <c r="C219" s="4" t="n">
        <v>0.172558280998354</v>
      </c>
      <c r="D219" s="4" t="n">
        <f aca="false">B219-C219</f>
        <v>0.0374417190016459</v>
      </c>
      <c r="E219" s="24" t="n">
        <v>0.188402854191617</v>
      </c>
      <c r="F219" s="24" t="n">
        <f aca="false">B219-E219</f>
        <v>0.0215971458083833</v>
      </c>
    </row>
    <row r="220" customFormat="false" ht="14.25" hidden="false" customHeight="false" outlineLevel="0" collapsed="false">
      <c r="B220" s="4" t="n">
        <v>0.23</v>
      </c>
      <c r="C220" s="4" t="n">
        <v>0.198911840477188</v>
      </c>
      <c r="D220" s="4" t="n">
        <f aca="false">B220-C220</f>
        <v>0.0310881595228117</v>
      </c>
      <c r="E220" s="24" t="n">
        <v>0.219783647703903</v>
      </c>
      <c r="F220" s="24" t="n">
        <f aca="false">B220-E220</f>
        <v>0.0102163522960971</v>
      </c>
    </row>
    <row r="221" customFormat="false" ht="14.25" hidden="false" customHeight="false" outlineLevel="0" collapsed="false">
      <c r="B221" s="4" t="n">
        <v>0.25</v>
      </c>
      <c r="C221" s="4" t="n">
        <v>0.225265399956023</v>
      </c>
      <c r="D221" s="4" t="n">
        <f aca="false">B221-C221</f>
        <v>0.0247346000439775</v>
      </c>
      <c r="E221" s="24" t="n">
        <v>0.251164441216189</v>
      </c>
      <c r="F221" s="24" t="n">
        <f aca="false">B221-E221</f>
        <v>-0.0011644412161893</v>
      </c>
    </row>
    <row r="222" customFormat="false" ht="14.25" hidden="false" customHeight="false" outlineLevel="0" collapsed="false">
      <c r="B222" s="4" t="n">
        <v>0.29</v>
      </c>
      <c r="C222" s="4" t="n">
        <v>0.249223181300417</v>
      </c>
      <c r="D222" s="4" t="n">
        <f aca="false">B222-C222</f>
        <v>0.0407768186995829</v>
      </c>
      <c r="E222" s="24" t="n">
        <v>0.279692435318268</v>
      </c>
      <c r="F222" s="24" t="n">
        <f aca="false">B222-E222</f>
        <v>0.0103075646817322</v>
      </c>
    </row>
    <row r="223" customFormat="false" ht="14.25" hidden="false" customHeight="false" outlineLevel="0" collapsed="false">
      <c r="B223" s="4" t="n">
        <v>0.31</v>
      </c>
      <c r="C223" s="4" t="n">
        <v>0.273180962644812</v>
      </c>
      <c r="D223" s="4" t="n">
        <f aca="false">B223-C223</f>
        <v>0.0368190373551882</v>
      </c>
      <c r="E223" s="24" t="n">
        <v>0.308220429420346</v>
      </c>
      <c r="F223" s="24" t="n">
        <f aca="false">B223-E223</f>
        <v>0.00177957057965383</v>
      </c>
    </row>
    <row r="224" customFormat="false" ht="14.25" hidden="false" customHeight="false" outlineLevel="0" collapsed="false">
      <c r="B224" s="4" t="n">
        <v>0.37</v>
      </c>
      <c r="C224" s="4" t="n">
        <v>0.294742965854767</v>
      </c>
      <c r="D224" s="4" t="n">
        <f aca="false">B224-C224</f>
        <v>0.075257034145233</v>
      </c>
      <c r="E224" s="24" t="n">
        <v>0.330617382552647</v>
      </c>
      <c r="F224" s="24" t="n">
        <f aca="false">B224-E224</f>
        <v>0.0393826174473533</v>
      </c>
    </row>
    <row r="225" customFormat="false" ht="14.25" hidden="false" customHeight="false" outlineLevel="0" collapsed="false">
      <c r="A225" s="0" t="s">
        <v>69</v>
      </c>
      <c r="B225" s="4" t="n">
        <v>0.16</v>
      </c>
      <c r="C225" s="4" t="n">
        <v>0.250565220443721</v>
      </c>
      <c r="D225" s="4" t="n">
        <f aca="false">B225-C225</f>
        <v>-0.0905652204437212</v>
      </c>
      <c r="E225" s="24" t="n">
        <v>0.300183188322961</v>
      </c>
      <c r="F225" s="24" t="n">
        <f aca="false">B225-E225</f>
        <v>-0.140183188322961</v>
      </c>
    </row>
    <row r="226" customFormat="false" ht="14.25" hidden="false" customHeight="false" outlineLevel="0" collapsed="false">
      <c r="B226" s="4" t="n">
        <v>0.2</v>
      </c>
      <c r="C226" s="4" t="n">
        <v>0.314900010645328</v>
      </c>
      <c r="D226" s="4" t="n">
        <f aca="false">B226-C226</f>
        <v>-0.114900010645328</v>
      </c>
      <c r="E226" s="24" t="n">
        <v>0.384433281881817</v>
      </c>
      <c r="F226" s="24" t="n">
        <f aca="false">B226-E226</f>
        <v>-0.184433281881817</v>
      </c>
    </row>
    <row r="227" customFormat="false" ht="14.25" hidden="false" customHeight="false" outlineLevel="0" collapsed="false">
      <c r="B227" s="4" t="n">
        <v>0.26</v>
      </c>
      <c r="C227" s="4" t="n">
        <v>0.386383110869336</v>
      </c>
      <c r="D227" s="4" t="n">
        <f aca="false">B227-C227</f>
        <v>-0.126383110869336</v>
      </c>
      <c r="E227" s="24" t="n">
        <v>0.464640151456052</v>
      </c>
      <c r="F227" s="24" t="n">
        <f aca="false">B227-E227</f>
        <v>-0.204640151456052</v>
      </c>
    </row>
    <row r="228" customFormat="false" ht="14.25" hidden="false" customHeight="false" outlineLevel="0" collapsed="false">
      <c r="A228" s="0" t="s">
        <v>70</v>
      </c>
      <c r="B228" s="4" t="n">
        <v>0.17</v>
      </c>
      <c r="C228" s="4" t="n">
        <v>0.154143497430964</v>
      </c>
      <c r="D228" s="4" t="n">
        <f aca="false">B228-C228</f>
        <v>0.015856502569036</v>
      </c>
      <c r="E228" s="24" t="n">
        <v>0.166930001070024</v>
      </c>
      <c r="F228" s="24" t="n">
        <f aca="false">B228-E228</f>
        <v>0.00306999892997603</v>
      </c>
    </row>
    <row r="229" customFormat="false" ht="14.25" hidden="false" customHeight="false" outlineLevel="0" collapsed="false">
      <c r="B229" s="4" t="n">
        <v>0.19</v>
      </c>
      <c r="C229" s="4" t="n">
        <v>0.18259499046457</v>
      </c>
      <c r="D229" s="4" t="n">
        <f aca="false">B229-C229</f>
        <v>0.00740500953543022</v>
      </c>
      <c r="E229" s="24" t="n">
        <v>0.201752540208612</v>
      </c>
      <c r="F229" s="24" t="n">
        <f aca="false">B229-E229</f>
        <v>-0.011752540208612</v>
      </c>
    </row>
    <row r="230" customFormat="false" ht="14.25" hidden="false" customHeight="false" outlineLevel="0" collapsed="false">
      <c r="B230" s="4" t="n">
        <v>0.23</v>
      </c>
      <c r="C230" s="4" t="n">
        <v>0.219175481507777</v>
      </c>
      <c r="D230" s="4" t="n">
        <f aca="false">B230-C230</f>
        <v>0.0108245184922228</v>
      </c>
      <c r="E230" s="24" t="n">
        <v>0.246524376243939</v>
      </c>
      <c r="F230" s="24" t="n">
        <f aca="false">B230-E230</f>
        <v>-0.0165243762439395</v>
      </c>
    </row>
    <row r="231" customFormat="false" ht="14.25" hidden="false" customHeight="false" outlineLevel="0" collapsed="false">
      <c r="B231" s="4" t="n">
        <v>0.25</v>
      </c>
      <c r="C231" s="4" t="n">
        <v>0.235433477526981</v>
      </c>
      <c r="D231" s="4" t="n">
        <f aca="false">B231-C231</f>
        <v>0.0145665224730195</v>
      </c>
      <c r="E231" s="24" t="n">
        <v>0.266422970037418</v>
      </c>
      <c r="F231" s="24" t="n">
        <f aca="false">B231-E231</f>
        <v>-0.0164229700374184</v>
      </c>
    </row>
    <row r="232" customFormat="false" ht="14.25" hidden="false" customHeight="false" outlineLevel="0" collapsed="false">
      <c r="B232" s="4" t="n">
        <v>0.3</v>
      </c>
      <c r="C232" s="4" t="n">
        <v>0.259820471555785</v>
      </c>
      <c r="D232" s="4" t="n">
        <f aca="false">B232-C232</f>
        <v>0.0401795284442145</v>
      </c>
      <c r="E232" s="24" t="n">
        <v>0.296270860727637</v>
      </c>
      <c r="F232" s="24" t="n">
        <f aca="false">B232-E232</f>
        <v>0.00372913927236329</v>
      </c>
    </row>
    <row r="233" customFormat="false" ht="14.25" hidden="false" customHeight="false" outlineLevel="0" collapsed="false">
      <c r="B233" s="4" t="n">
        <v>0.32</v>
      </c>
      <c r="C233" s="4" t="n">
        <v>0.276078467574989</v>
      </c>
      <c r="D233" s="4" t="n">
        <f aca="false">B233-C233</f>
        <v>0.0439215324250112</v>
      </c>
      <c r="E233" s="24" t="n">
        <v>0.316169454521116</v>
      </c>
      <c r="F233" s="24" t="n">
        <f aca="false">B233-E233</f>
        <v>0.00383054547888434</v>
      </c>
    </row>
    <row r="234" customFormat="false" ht="14.25" hidden="false" customHeight="false" outlineLevel="0" collapsed="false">
      <c r="B234" s="4" t="n">
        <v>0.36</v>
      </c>
      <c r="C234" s="4" t="n">
        <v>0.315910557822037</v>
      </c>
      <c r="D234" s="4" t="n">
        <f aca="false">B234-C234</f>
        <v>0.0440894421779632</v>
      </c>
      <c r="E234" s="24" t="n">
        <v>0.364921009315139</v>
      </c>
      <c r="F234" s="24" t="n">
        <f aca="false">B234-E234</f>
        <v>-0.00492100931513884</v>
      </c>
    </row>
    <row r="235" customFormat="false" ht="14.25" hidden="false" customHeight="false" outlineLevel="0" collapsed="false">
      <c r="B235" s="4" t="n">
        <v>0.47</v>
      </c>
      <c r="C235" s="4" t="n">
        <v>0.355742648069085</v>
      </c>
      <c r="D235" s="4" t="n">
        <f aca="false">B235-C235</f>
        <v>0.114257351930915</v>
      </c>
      <c r="E235" s="24" t="n">
        <v>0.404824100878162</v>
      </c>
      <c r="F235" s="24" t="n">
        <f aca="false">B235-E235</f>
        <v>0.0651758991218377</v>
      </c>
    </row>
    <row r="236" customFormat="false" ht="14.25" hidden="false" customHeight="false" outlineLevel="0" collapsed="false">
      <c r="A236" s="0" t="s">
        <v>71</v>
      </c>
      <c r="B236" s="4" t="n">
        <v>0.16</v>
      </c>
      <c r="C236" s="4" t="n">
        <v>0.16920059472353</v>
      </c>
      <c r="D236" s="4" t="n">
        <f aca="false">B236-C236</f>
        <v>-0.00920059472353005</v>
      </c>
      <c r="E236" s="24" t="n">
        <v>0.181348085922822</v>
      </c>
      <c r="F236" s="24" t="n">
        <f aca="false">B236-E236</f>
        <v>-0.0213480859228218</v>
      </c>
    </row>
    <row r="237" customFormat="false" ht="14.25" hidden="false" customHeight="false" outlineLevel="0" collapsed="false">
      <c r="B237" s="4" t="n">
        <v>0.18</v>
      </c>
      <c r="C237" s="4" t="n">
        <v>0.178712000702632</v>
      </c>
      <c r="D237" s="4" t="n">
        <f aca="false">B237-C237</f>
        <v>0.00128799929736811</v>
      </c>
      <c r="E237" s="24" t="n">
        <v>0.192407433731655</v>
      </c>
      <c r="F237" s="24" t="n">
        <f aca="false">B237-E237</f>
        <v>-0.0124074337316553</v>
      </c>
    </row>
    <row r="238" customFormat="false" ht="14.25" hidden="false" customHeight="false" outlineLevel="0" collapsed="false">
      <c r="B238" s="4" t="n">
        <v>0.18</v>
      </c>
      <c r="C238" s="4" t="n">
        <v>0.202490515650387</v>
      </c>
      <c r="D238" s="4" t="n">
        <f aca="false">B238-C238</f>
        <v>-0.0224905156503867</v>
      </c>
      <c r="E238" s="24" t="n">
        <v>0.220055803253739</v>
      </c>
      <c r="F238" s="24" t="n">
        <f aca="false">B238-E238</f>
        <v>-0.0400558032537393</v>
      </c>
    </row>
    <row r="239" customFormat="false" ht="14.25" hidden="false" customHeight="false" outlineLevel="0" collapsed="false">
      <c r="B239" s="4" t="n">
        <v>0.2</v>
      </c>
      <c r="C239" s="4" t="n">
        <v>0.228646882092917</v>
      </c>
      <c r="D239" s="4" t="n">
        <f aca="false">B239-C239</f>
        <v>-0.0286468820929169</v>
      </c>
      <c r="E239" s="24" t="n">
        <v>0.250469009728032</v>
      </c>
      <c r="F239" s="24" t="n">
        <f aca="false">B239-E239</f>
        <v>-0.0504690097280316</v>
      </c>
    </row>
    <row r="240" customFormat="false" ht="14.25" hidden="false" customHeight="false" outlineLevel="0" collapsed="false">
      <c r="B240" s="4" t="n">
        <v>0.2</v>
      </c>
      <c r="C240" s="4" t="n">
        <v>0.252425397040672</v>
      </c>
      <c r="D240" s="4" t="n">
        <f aca="false">B240-C240</f>
        <v>-0.0524253970406716</v>
      </c>
      <c r="E240" s="24" t="n">
        <v>0.278117379250116</v>
      </c>
      <c r="F240" s="24" t="n">
        <f aca="false">B240-E240</f>
        <v>-0.0781173792501155</v>
      </c>
    </row>
    <row r="241" customFormat="false" ht="14.25" hidden="false" customHeight="false" outlineLevel="0" collapsed="false">
      <c r="B241" s="4" t="n">
        <v>0.2</v>
      </c>
      <c r="C241" s="4" t="n">
        <v>0.273826060493651</v>
      </c>
      <c r="D241" s="4" t="n">
        <f aca="false">B241-C241</f>
        <v>-0.0738260604936509</v>
      </c>
      <c r="E241" s="24" t="n">
        <v>0.303000911819991</v>
      </c>
      <c r="F241" s="24" t="n">
        <f aca="false">B241-E241</f>
        <v>-0.103000911819991</v>
      </c>
    </row>
    <row r="242" customFormat="false" ht="14.25" hidden="false" customHeight="false" outlineLevel="0" collapsed="false">
      <c r="B242" s="4" t="n">
        <v>0.22</v>
      </c>
      <c r="C242" s="4" t="n">
        <v>0.299982426936181</v>
      </c>
      <c r="D242" s="4" t="n">
        <f aca="false">B242-C242</f>
        <v>-0.079982426936181</v>
      </c>
      <c r="E242" s="24" t="n">
        <v>0.330521357773791</v>
      </c>
      <c r="F242" s="24" t="n">
        <f aca="false">B242-E242</f>
        <v>-0.110521357773791</v>
      </c>
    </row>
    <row r="243" customFormat="false" ht="14.25" hidden="false" customHeight="false" outlineLevel="0" collapsed="false">
      <c r="A243" s="0" t="s">
        <v>72</v>
      </c>
      <c r="B243" s="4" t="n">
        <v>0.22</v>
      </c>
      <c r="C243" s="4" t="n">
        <v>0.0676476530429682</v>
      </c>
      <c r="D243" s="4" t="n">
        <f aca="false">B243-C243</f>
        <v>0.152352346957032</v>
      </c>
      <c r="E243" s="24" t="n">
        <v>0.0676476530429682</v>
      </c>
      <c r="F243" s="24" t="n">
        <f aca="false">B243-E243</f>
        <v>0.152352346957032</v>
      </c>
    </row>
    <row r="244" customFormat="false" ht="14.25" hidden="false" customHeight="false" outlineLevel="0" collapsed="false">
      <c r="B244" s="4" t="n">
        <v>0.25</v>
      </c>
      <c r="C244" s="4" t="n">
        <v>0.104592545860819</v>
      </c>
      <c r="D244" s="4" t="n">
        <f aca="false">B244-C244</f>
        <v>0.145407454139181</v>
      </c>
      <c r="E244" s="24" t="n">
        <v>0.106349723856842</v>
      </c>
      <c r="F244" s="24" t="n">
        <f aca="false">B244-E244</f>
        <v>0.143650276143158</v>
      </c>
    </row>
    <row r="245" customFormat="false" ht="14.25" hidden="false" customHeight="false" outlineLevel="0" collapsed="false">
      <c r="B245" s="4" t="n">
        <v>0.29</v>
      </c>
      <c r="C245" s="4" t="n">
        <v>0.125749022944545</v>
      </c>
      <c r="D245" s="4" t="n">
        <f aca="false">B245-C245</f>
        <v>0.164250977055455</v>
      </c>
      <c r="E245" s="24" t="n">
        <v>0.13185876427251</v>
      </c>
      <c r="F245" s="24" t="n">
        <f aca="false">B245-E245</f>
        <v>0.15814123572749</v>
      </c>
    </row>
    <row r="246" customFormat="false" ht="14.25" hidden="false" customHeight="false" outlineLevel="0" collapsed="false">
      <c r="B246" s="4" t="n">
        <v>0.31</v>
      </c>
      <c r="C246" s="4" t="n">
        <v>0.150063183175096</v>
      </c>
      <c r="D246" s="4" t="n">
        <f aca="false">B246-C246</f>
        <v>0.159936816824904</v>
      </c>
      <c r="E246" s="24" t="n">
        <v>0.161175124153204</v>
      </c>
      <c r="F246" s="24" t="n">
        <f aca="false">B246-E246</f>
        <v>0.148824875846796</v>
      </c>
    </row>
    <row r="247" customFormat="false" ht="14.25" hidden="false" customHeight="false" outlineLevel="0" collapsed="false">
      <c r="B247" s="4" t="n">
        <v>0.33</v>
      </c>
      <c r="C247" s="4" t="n">
        <v>0.187955380936994</v>
      </c>
      <c r="D247" s="4" t="n">
        <f aca="false">B247-C247</f>
        <v>0.142044619063006</v>
      </c>
      <c r="E247" s="24" t="n">
        <v>0.206862957733507</v>
      </c>
      <c r="F247" s="24" t="n">
        <f aca="false">B247-E247</f>
        <v>0.123137042266493</v>
      </c>
    </row>
    <row r="248" customFormat="false" ht="14.25" hidden="false" customHeight="false" outlineLevel="0" collapsed="false">
      <c r="B248" s="4" t="n">
        <v>0.34</v>
      </c>
      <c r="C248" s="4" t="n">
        <v>0.207217248132626</v>
      </c>
      <c r="D248" s="4" t="n">
        <f aca="false">B248-C248</f>
        <v>0.132782751867374</v>
      </c>
      <c r="E248" s="24" t="n">
        <v>0.23008760647016</v>
      </c>
      <c r="F248" s="24" t="n">
        <f aca="false">B248-E248</f>
        <v>0.10991239352984</v>
      </c>
    </row>
    <row r="249" customFormat="false" ht="14.25" hidden="false" customHeight="false" outlineLevel="0" collapsed="false">
      <c r="B249" s="4" t="n">
        <v>0.37</v>
      </c>
      <c r="C249" s="4" t="n">
        <v>0.235320628139366</v>
      </c>
      <c r="D249" s="4" t="n">
        <f aca="false">B249-C249</f>
        <v>0.134679371860634</v>
      </c>
      <c r="E249" s="24" t="n">
        <v>0.263972749708884</v>
      </c>
      <c r="F249" s="24" t="n">
        <f aca="false">B249-E249</f>
        <v>0.106027250291116</v>
      </c>
    </row>
    <row r="250" customFormat="false" ht="14.25" hidden="false" customHeight="false" outlineLevel="0" collapsed="false">
      <c r="A250" s="0" t="s">
        <v>73</v>
      </c>
      <c r="B250" s="4" t="n">
        <v>0.2</v>
      </c>
      <c r="C250" s="4" t="n">
        <v>0.267289298730918</v>
      </c>
      <c r="D250" s="4" t="n">
        <f aca="false">B250-C250</f>
        <v>-0.0672892987309184</v>
      </c>
      <c r="E250" s="24" t="n">
        <v>0.317739140930661</v>
      </c>
      <c r="F250" s="24" t="n">
        <f aca="false">B250-E250</f>
        <v>-0.117739140930661</v>
      </c>
    </row>
    <row r="251" customFormat="false" ht="14.25" hidden="false" customHeight="false" outlineLevel="0" collapsed="false">
      <c r="B251" s="4" t="n">
        <v>0.35</v>
      </c>
      <c r="C251" s="4" t="n">
        <v>0.297021729415675</v>
      </c>
      <c r="D251" s="4" t="n">
        <f aca="false">B251-C251</f>
        <v>0.0529782705843245</v>
      </c>
      <c r="E251" s="24" t="n">
        <v>0.356474413156604</v>
      </c>
      <c r="F251" s="24" t="n">
        <f aca="false">B251-E251</f>
        <v>-0.0064744131566038</v>
      </c>
    </row>
    <row r="252" customFormat="false" ht="14.25" hidden="false" customHeight="false" outlineLevel="0" collapsed="false">
      <c r="A252" s="0" t="s">
        <v>74</v>
      </c>
      <c r="B252" s="4" t="n">
        <v>0.2</v>
      </c>
      <c r="C252" s="4" t="n">
        <v>0.268584746984175</v>
      </c>
      <c r="D252" s="4" t="n">
        <f aca="false">B252-C252</f>
        <v>-0.0685847469841754</v>
      </c>
      <c r="E252" s="24" t="n">
        <v>0.31942684488183</v>
      </c>
      <c r="F252" s="24" t="n">
        <f aca="false">B252-E252</f>
        <v>-0.11942684488183</v>
      </c>
    </row>
    <row r="253" customFormat="false" ht="14.25" hidden="false" customHeight="false" outlineLevel="0" collapsed="false">
      <c r="B253" s="4" t="n">
        <v>0.25</v>
      </c>
      <c r="C253" s="4" t="n">
        <v>0.297021729415675</v>
      </c>
      <c r="D253" s="4" t="n">
        <f aca="false">B253-C253</f>
        <v>-0.0470217294156755</v>
      </c>
      <c r="E253" s="24" t="n">
        <v>0.356474413156604</v>
      </c>
      <c r="F253" s="24" t="n">
        <f aca="false">B253-E253</f>
        <v>-0.106474413156604</v>
      </c>
    </row>
    <row r="254" customFormat="false" ht="14.25" hidden="false" customHeight="false" outlineLevel="0" collapsed="false">
      <c r="A254" s="0" t="s">
        <v>75</v>
      </c>
      <c r="B254" s="4" t="n">
        <v>0.2</v>
      </c>
      <c r="C254" s="4" t="n">
        <v>0.268584746984175</v>
      </c>
      <c r="D254" s="4" t="n">
        <f aca="false">B254-C254</f>
        <v>-0.0685847469841754</v>
      </c>
      <c r="E254" s="24" t="n">
        <v>0.31942684488183</v>
      </c>
      <c r="F254" s="24" t="n">
        <f aca="false">B254-E254</f>
        <v>-0.11942684488183</v>
      </c>
    </row>
    <row r="255" customFormat="false" ht="14.25" hidden="false" customHeight="false" outlineLevel="0" collapsed="false">
      <c r="B255" s="4" t="n">
        <v>0.25</v>
      </c>
      <c r="C255" s="4" t="n">
        <v>0.297021729415675</v>
      </c>
      <c r="D255" s="4" t="n">
        <f aca="false">B255-C255</f>
        <v>-0.0470217294156755</v>
      </c>
      <c r="E255" s="24" t="n">
        <v>0.356474413156604</v>
      </c>
      <c r="F255" s="24" t="n">
        <f aca="false">B255-E255</f>
        <v>-0.106474413156604</v>
      </c>
    </row>
    <row r="256" customFormat="false" ht="14.25" hidden="false" customHeight="false" outlineLevel="0" collapsed="false">
      <c r="A256" s="0" t="s">
        <v>76</v>
      </c>
      <c r="B256" s="4" t="n">
        <v>0.2</v>
      </c>
      <c r="C256" s="4" t="n">
        <v>0.269880195237433</v>
      </c>
      <c r="D256" s="4" t="n">
        <f aca="false">B256-C256</f>
        <v>-0.0698801952374326</v>
      </c>
      <c r="E256" s="24" t="n">
        <v>0.321114548833</v>
      </c>
      <c r="F256" s="24" t="n">
        <f aca="false">B256-E256</f>
        <v>-0.121114548832999</v>
      </c>
    </row>
    <row r="257" customFormat="false" ht="14.25" hidden="false" customHeight="false" outlineLevel="0" collapsed="false">
      <c r="B257" s="4" t="n">
        <v>0.3</v>
      </c>
      <c r="C257" s="4" t="n">
        <v>0.297021729415675</v>
      </c>
      <c r="D257" s="4" t="n">
        <f aca="false">B257-C257</f>
        <v>0.00297827058432454</v>
      </c>
      <c r="E257" s="24" t="n">
        <v>0.356474413156604</v>
      </c>
      <c r="F257" s="24" t="n">
        <f aca="false">B257-E257</f>
        <v>-0.0564744131566038</v>
      </c>
    </row>
    <row r="258" customFormat="false" ht="14.25" hidden="false" customHeight="false" outlineLevel="0" collapsed="false">
      <c r="A258" s="0" t="s">
        <v>77</v>
      </c>
      <c r="B258" s="4" t="n">
        <v>0.15</v>
      </c>
      <c r="C258" s="4" t="n">
        <v>0.213020685260371</v>
      </c>
      <c r="D258" s="4" t="n">
        <f aca="false">B258-C258</f>
        <v>-0.0630206852603712</v>
      </c>
      <c r="E258" s="24" t="n">
        <v>0.267059220881841</v>
      </c>
      <c r="F258" s="24" t="n">
        <f aca="false">B258-E258</f>
        <v>-0.117059220881841</v>
      </c>
    </row>
    <row r="259" customFormat="false" ht="14.25" hidden="false" customHeight="false" outlineLevel="0" collapsed="false">
      <c r="B259" s="4" t="n">
        <v>0.2</v>
      </c>
      <c r="C259" s="4" t="n">
        <v>0.292279077421168</v>
      </c>
      <c r="D259" s="4" t="n">
        <f aca="false">B259-C259</f>
        <v>-0.0922790774211681</v>
      </c>
      <c r="E259" s="24" t="n">
        <v>0.37829420906231</v>
      </c>
      <c r="F259" s="24" t="n">
        <f aca="false">B259-E259</f>
        <v>-0.17829420906231</v>
      </c>
    </row>
    <row r="260" customFormat="false" ht="14.25" hidden="false" customHeight="false" outlineLevel="0" collapsed="false">
      <c r="A260" s="0" t="s">
        <v>78</v>
      </c>
      <c r="B260" s="4" t="n">
        <v>0.15</v>
      </c>
      <c r="C260" s="4" t="n">
        <v>0.215163172961221</v>
      </c>
      <c r="D260" s="4" t="n">
        <f aca="false">B260-C260</f>
        <v>-0.0651631729612212</v>
      </c>
      <c r="E260" s="24" t="n">
        <v>0.270066089777154</v>
      </c>
      <c r="F260" s="24" t="n">
        <f aca="false">B260-E260</f>
        <v>-0.120066089777154</v>
      </c>
    </row>
    <row r="261" customFormat="false" ht="14.25" hidden="false" customHeight="false" outlineLevel="0" collapsed="false">
      <c r="B261" s="4" t="n">
        <v>0.2</v>
      </c>
      <c r="C261" s="4" t="n">
        <v>0.292279077421168</v>
      </c>
      <c r="D261" s="4" t="n">
        <f aca="false">B261-C261</f>
        <v>-0.0922790774211681</v>
      </c>
      <c r="E261" s="24" t="n">
        <v>0.37829420906231</v>
      </c>
      <c r="F261" s="24" t="n">
        <f aca="false">B261-E261</f>
        <v>-0.17829420906231</v>
      </c>
    </row>
    <row r="262" customFormat="false" ht="14.25" hidden="false" customHeight="false" outlineLevel="0" collapsed="false">
      <c r="A262" s="0" t="s">
        <v>79</v>
      </c>
      <c r="B262" s="4" t="n">
        <v>0.15</v>
      </c>
      <c r="C262" s="4" t="n">
        <v>0.165938420492606</v>
      </c>
      <c r="D262" s="4" t="n">
        <f aca="false">B262-C262</f>
        <v>-0.0159384204926056</v>
      </c>
      <c r="E262" s="24" t="n">
        <v>0.187154071791108</v>
      </c>
      <c r="F262" s="24" t="n">
        <f aca="false">B262-E262</f>
        <v>-0.037154071791108</v>
      </c>
    </row>
    <row r="263" customFormat="false" ht="14.25" hidden="false" customHeight="false" outlineLevel="0" collapsed="false">
      <c r="B263" s="4" t="n">
        <v>0.25</v>
      </c>
      <c r="C263" s="4" t="n">
        <v>0.268160663126834</v>
      </c>
      <c r="D263" s="4" t="n">
        <f aca="false">B263-C263</f>
        <v>-0.0181606631268337</v>
      </c>
      <c r="E263" s="24" t="n">
        <v>0.321301978608691</v>
      </c>
      <c r="F263" s="24" t="n">
        <f aca="false">B263-E263</f>
        <v>-0.0713019786086907</v>
      </c>
    </row>
    <row r="264" customFormat="false" ht="14.25" hidden="false" customHeight="false" outlineLevel="0" collapsed="false">
      <c r="B264" s="4" t="n">
        <v>0.3</v>
      </c>
      <c r="C264" s="4" t="n">
        <v>0.294288359201446</v>
      </c>
      <c r="D264" s="4" t="n">
        <f aca="false">B264-C264</f>
        <v>0.00571164079855419</v>
      </c>
      <c r="E264" s="24" t="n">
        <v>0.35558977789829</v>
      </c>
      <c r="F264" s="24" t="n">
        <f aca="false">B264-E264</f>
        <v>-0.0555897778982905</v>
      </c>
    </row>
    <row r="265" customFormat="false" ht="14.25" hidden="false" customHeight="false" outlineLevel="0" collapsed="false">
      <c r="A265" s="0" t="s">
        <v>80</v>
      </c>
      <c r="B265" s="4" t="n">
        <v>0.15</v>
      </c>
      <c r="C265" s="4" t="n">
        <v>0.167232372931014</v>
      </c>
      <c r="D265" s="4" t="n">
        <f aca="false">B265-C265</f>
        <v>-0.0172323729310136</v>
      </c>
      <c r="E265" s="24" t="n">
        <v>0.188852146560951</v>
      </c>
      <c r="F265" s="24" t="n">
        <f aca="false">B265-E265</f>
        <v>-0.0388521465609509</v>
      </c>
    </row>
    <row r="266" customFormat="false" ht="14.25" hidden="false" customHeight="false" outlineLevel="0" collapsed="false">
      <c r="B266" s="4" t="n">
        <v>0.25</v>
      </c>
      <c r="C266" s="4" t="n">
        <v>0.269454615565242</v>
      </c>
      <c r="D266" s="4" t="n">
        <f aca="false">B266-C266</f>
        <v>-0.0194546155652418</v>
      </c>
      <c r="E266" s="24" t="n">
        <v>0.323000053378534</v>
      </c>
      <c r="F266" s="24" t="n">
        <f aca="false">B266-E266</f>
        <v>-0.0730000533785336</v>
      </c>
    </row>
    <row r="267" customFormat="false" ht="14.25" hidden="false" customHeight="false" outlineLevel="0" collapsed="false">
      <c r="A267" s="0" t="s">
        <v>81</v>
      </c>
      <c r="B267" s="4" t="n">
        <v>0.15</v>
      </c>
      <c r="C267" s="4" t="n">
        <v>0.102474345140568</v>
      </c>
      <c r="D267" s="4" t="n">
        <f aca="false">B267-C267</f>
        <v>0.0475256548594322</v>
      </c>
      <c r="E267" s="24" t="n">
        <v>0.102474345140568</v>
      </c>
      <c r="F267" s="24" t="n">
        <f aca="false">B267-E267</f>
        <v>0.0475256548594322</v>
      </c>
    </row>
    <row r="268" customFormat="false" ht="14.25" hidden="false" customHeight="false" outlineLevel="0" collapsed="false">
      <c r="B268" s="4" t="n">
        <v>0.2</v>
      </c>
      <c r="C268" s="4" t="n">
        <v>0.169135103328064</v>
      </c>
      <c r="D268" s="4" t="n">
        <f aca="false">B268-C268</f>
        <v>0.0308648966719363</v>
      </c>
      <c r="E268" s="24" t="n">
        <v>0.18555915799</v>
      </c>
      <c r="F268" s="24" t="n">
        <f aca="false">B268-E268</f>
        <v>0.0144408420099999</v>
      </c>
    </row>
    <row r="269" customFormat="false" ht="14.25" hidden="false" customHeight="false" outlineLevel="0" collapsed="false">
      <c r="B269" s="4" t="n">
        <v>0.3</v>
      </c>
      <c r="C269" s="4" t="n">
        <v>0.236650486620528</v>
      </c>
      <c r="D269" s="4" t="n">
        <f aca="false">B269-C269</f>
        <v>0.0633495133794724</v>
      </c>
      <c r="E269" s="24" t="n">
        <v>0.270411044845979</v>
      </c>
      <c r="F269" s="24" t="n">
        <f aca="false">B269-E269</f>
        <v>0.0295889551540209</v>
      </c>
    </row>
    <row r="270" customFormat="false" ht="14.25" hidden="false" customHeight="false" outlineLevel="0" collapsed="false">
      <c r="B270" s="4" t="n">
        <v>0.33</v>
      </c>
      <c r="C270" s="4" t="n">
        <v>0.287262866391582</v>
      </c>
      <c r="D270" s="4" t="n">
        <f aca="false">B270-C270</f>
        <v>0.0427371336084179</v>
      </c>
      <c r="E270" s="24" t="n">
        <v>0.334019599110452</v>
      </c>
      <c r="F270" s="24" t="n">
        <f aca="false">B270-E270</f>
        <v>-0.00401959911045174</v>
      </c>
    </row>
    <row r="271" customFormat="false" ht="14.25" hidden="false" customHeight="false" outlineLevel="0" collapsed="false">
      <c r="A271" s="0" t="s">
        <v>82</v>
      </c>
      <c r="B271" s="4" t="n">
        <v>0.15</v>
      </c>
      <c r="C271" s="4" t="n">
        <v>0.1016197200356</v>
      </c>
      <c r="D271" s="4" t="n">
        <f aca="false">B271-C271</f>
        <v>0.0483802799644</v>
      </c>
      <c r="E271" s="24" t="n">
        <v>0.1016197200356</v>
      </c>
      <c r="F271" s="24" t="n">
        <f aca="false">B271-E271</f>
        <v>0.0483802799644</v>
      </c>
    </row>
    <row r="272" customFormat="false" ht="14.25" hidden="false" customHeight="false" outlineLevel="0" collapsed="false">
      <c r="B272" s="4" t="n">
        <v>0.25</v>
      </c>
      <c r="C272" s="4" t="n">
        <v>0.167425853118128</v>
      </c>
      <c r="D272" s="4" t="n">
        <f aca="false">B272-C272</f>
        <v>0.082574146881872</v>
      </c>
      <c r="E272" s="24" t="n">
        <v>0.183411008955672</v>
      </c>
      <c r="F272" s="24" t="n">
        <f aca="false">B272-E272</f>
        <v>0.0665889910443285</v>
      </c>
    </row>
    <row r="273" customFormat="false" ht="14.25" hidden="false" customHeight="false" outlineLevel="0" collapsed="false">
      <c r="B273" s="4" t="n">
        <v>0.28</v>
      </c>
      <c r="C273" s="4" t="n">
        <v>0.234086611305624</v>
      </c>
      <c r="D273" s="4" t="n">
        <f aca="false">B273-C273</f>
        <v>0.0459133886943761</v>
      </c>
      <c r="E273" s="24" t="n">
        <v>0.267188821294486</v>
      </c>
      <c r="F273" s="24" t="n">
        <f aca="false">B273-E273</f>
        <v>0.0128111787055137</v>
      </c>
    </row>
    <row r="274" customFormat="false" ht="14.25" hidden="false" customHeight="false" outlineLevel="0" collapsed="false">
      <c r="A274" s="0" t="s">
        <v>83</v>
      </c>
      <c r="B274" s="4" t="n">
        <v>0.2</v>
      </c>
      <c r="C274" s="4" t="n">
        <v>0.255931853756882</v>
      </c>
      <c r="D274" s="4" t="n">
        <f aca="false">B274-C274</f>
        <v>-0.0559318537568821</v>
      </c>
      <c r="E274" s="24" t="n">
        <v>0.316385652653594</v>
      </c>
      <c r="F274" s="24" t="n">
        <f aca="false">B274-E274</f>
        <v>-0.116385652653594</v>
      </c>
    </row>
    <row r="275" customFormat="false" ht="14.25" hidden="false" customHeight="false" outlineLevel="0" collapsed="false">
      <c r="B275" s="4" t="n">
        <v>0.22</v>
      </c>
      <c r="C275" s="4" t="n">
        <v>0.281927699170355</v>
      </c>
      <c r="D275" s="4" t="n">
        <f aca="false">B275-C275</f>
        <v>-0.0619276991703554</v>
      </c>
      <c r="E275" s="24" t="n">
        <v>0.351625285606887</v>
      </c>
      <c r="F275" s="24" t="n">
        <f aca="false">B275-E275</f>
        <v>-0.131625285606887</v>
      </c>
    </row>
    <row r="276" customFormat="false" ht="14.25" hidden="false" customHeight="false" outlineLevel="0" collapsed="false">
      <c r="A276" s="0" t="s">
        <v>84</v>
      </c>
      <c r="B276" s="4" t="n">
        <v>0.17</v>
      </c>
      <c r="C276" s="4" t="n">
        <v>0.255931853756882</v>
      </c>
      <c r="D276" s="4" t="n">
        <f aca="false">B276-C276</f>
        <v>-0.0859318537568821</v>
      </c>
      <c r="E276" s="24" t="n">
        <v>0.316385652653594</v>
      </c>
      <c r="F276" s="24" t="n">
        <f aca="false">B276-E276</f>
        <v>-0.146385652653594</v>
      </c>
    </row>
    <row r="277" customFormat="false" ht="14.25" hidden="false" customHeight="false" outlineLevel="0" collapsed="false">
      <c r="B277" s="4" t="n">
        <v>0.21</v>
      </c>
      <c r="C277" s="4" t="n">
        <v>0.281927699170355</v>
      </c>
      <c r="D277" s="4" t="n">
        <f aca="false">B277-C277</f>
        <v>-0.0719276991703554</v>
      </c>
      <c r="E277" s="24" t="n">
        <v>0.351625285606887</v>
      </c>
      <c r="F277" s="24" t="n">
        <f aca="false">B277-E277</f>
        <v>-0.141625285606887</v>
      </c>
    </row>
    <row r="278" customFormat="false" ht="14.25" hidden="false" customHeight="false" outlineLevel="0" collapsed="false">
      <c r="A278" s="0" t="s">
        <v>85</v>
      </c>
      <c r="B278" s="4" t="n">
        <v>0.17</v>
      </c>
      <c r="C278" s="4" t="n">
        <v>0.124185684451845</v>
      </c>
      <c r="D278" s="4" t="n">
        <f aca="false">B278-C278</f>
        <v>0.0458143155481545</v>
      </c>
      <c r="E278" s="24" t="n">
        <v>0.132393769280633</v>
      </c>
      <c r="F278" s="24" t="n">
        <f aca="false">B278-E278</f>
        <v>0.0376062307193674</v>
      </c>
    </row>
    <row r="279" customFormat="false" ht="14.25" hidden="false" customHeight="false" outlineLevel="0" collapsed="false">
      <c r="B279" s="4" t="n">
        <v>0.18</v>
      </c>
      <c r="C279" s="4" t="n">
        <v>0.158196919210972</v>
      </c>
      <c r="D279" s="4" t="n">
        <f aca="false">B279-C279</f>
        <v>0.0218030807890278</v>
      </c>
      <c r="E279" s="24" t="n">
        <v>0.176330037217221</v>
      </c>
      <c r="F279" s="24" t="n">
        <f aca="false">B279-E279</f>
        <v>0.00366996278277906</v>
      </c>
    </row>
    <row r="280" customFormat="false" ht="14.25" hidden="false" customHeight="false" outlineLevel="0" collapsed="false">
      <c r="B280" s="4" t="n">
        <v>0.2</v>
      </c>
      <c r="C280" s="4" t="n">
        <v>0.191357873101121</v>
      </c>
      <c r="D280" s="4" t="n">
        <f aca="false">B280-C280</f>
        <v>0.00864212689887933</v>
      </c>
      <c r="E280" s="24" t="n">
        <v>0.219167898455395</v>
      </c>
      <c r="F280" s="24" t="n">
        <f aca="false">B280-E280</f>
        <v>-0.0191678984553946</v>
      </c>
    </row>
    <row r="281" customFormat="false" ht="14.25" hidden="false" customHeight="false" outlineLevel="0" collapsed="false">
      <c r="B281" s="4" t="n">
        <v>0.2</v>
      </c>
      <c r="C281" s="4" t="n">
        <v>0.225369107860247</v>
      </c>
      <c r="D281" s="4" t="n">
        <f aca="false">B281-C281</f>
        <v>-0.0253691078602473</v>
      </c>
      <c r="E281" s="24" t="n">
        <v>0.263104166391983</v>
      </c>
      <c r="F281" s="24" t="n">
        <f aca="false">B281-E281</f>
        <v>-0.0631041663919828</v>
      </c>
    </row>
    <row r="282" customFormat="false" ht="14.25" hidden="false" customHeight="false" outlineLevel="0" collapsed="false">
      <c r="B282" s="4" t="n">
        <v>0.25</v>
      </c>
      <c r="C282" s="4" t="n">
        <v>0.257679780881418</v>
      </c>
      <c r="D282" s="4" t="n">
        <f aca="false">B282-C282</f>
        <v>-0.00767978088141763</v>
      </c>
      <c r="E282" s="24" t="n">
        <v>0.304843620931742</v>
      </c>
      <c r="F282" s="24" t="n">
        <f aca="false">B282-E282</f>
        <v>-0.0548436209317418</v>
      </c>
    </row>
    <row r="283" customFormat="false" ht="14.25" hidden="false" customHeight="false" outlineLevel="0" collapsed="false">
      <c r="B283" s="4" t="n">
        <v>0.27</v>
      </c>
      <c r="C283" s="4" t="n">
        <v>0.277911691178883</v>
      </c>
      <c r="D283" s="4" t="n">
        <f aca="false">B283-C283</f>
        <v>-0.00791169117888263</v>
      </c>
      <c r="E283" s="24" t="n">
        <v>0.330979532726591</v>
      </c>
      <c r="F283" s="24" t="n">
        <f aca="false">B283-E283</f>
        <v>-0.060979532726591</v>
      </c>
    </row>
    <row r="284" customFormat="false" ht="14.25" hidden="false" customHeight="false" outlineLevel="0" collapsed="false">
      <c r="A284" s="0" t="s">
        <v>86</v>
      </c>
      <c r="B284" s="4" t="n">
        <v>0.18</v>
      </c>
      <c r="C284" s="4" t="n">
        <v>0.191357873101121</v>
      </c>
      <c r="D284" s="4" t="n">
        <f aca="false">B284-C284</f>
        <v>-0.0113578731011207</v>
      </c>
      <c r="E284" s="24" t="n">
        <v>0.219167898455395</v>
      </c>
      <c r="F284" s="24" t="n">
        <f aca="false">B284-E284</f>
        <v>-0.0391678984553946</v>
      </c>
    </row>
    <row r="285" customFormat="false" ht="14.25" hidden="false" customHeight="false" outlineLevel="0" collapsed="false">
      <c r="B285" s="4" t="n">
        <v>0.19</v>
      </c>
      <c r="C285" s="4" t="n">
        <v>0.223668546122291</v>
      </c>
      <c r="D285" s="4" t="n">
        <f aca="false">B285-C285</f>
        <v>-0.033668546122291</v>
      </c>
      <c r="E285" s="24" t="n">
        <v>0.260907352995153</v>
      </c>
      <c r="F285" s="24" t="n">
        <f aca="false">B285-E285</f>
        <v>-0.0709073529951534</v>
      </c>
    </row>
    <row r="286" customFormat="false" ht="14.25" hidden="false" customHeight="false" outlineLevel="0" collapsed="false">
      <c r="B286" s="4" t="n">
        <v>0.21</v>
      </c>
      <c r="C286" s="4" t="n">
        <v>0.257679780881418</v>
      </c>
      <c r="D286" s="4" t="n">
        <f aca="false">B286-C286</f>
        <v>-0.0476797808814176</v>
      </c>
      <c r="E286" s="24" t="n">
        <v>0.304843620931742</v>
      </c>
      <c r="F286" s="24" t="n">
        <f aca="false">B286-E286</f>
        <v>-0.0948436209317418</v>
      </c>
    </row>
    <row r="287" customFormat="false" ht="14.25" hidden="false" customHeight="false" outlineLevel="0" collapsed="false">
      <c r="B287" s="4" t="n">
        <v>0.26</v>
      </c>
      <c r="C287" s="4" t="n">
        <v>0.277911691178883</v>
      </c>
      <c r="D287" s="4" t="n">
        <f aca="false">B287-C287</f>
        <v>-0.0179116911788826</v>
      </c>
      <c r="E287" s="24" t="n">
        <v>0.330979532726591</v>
      </c>
      <c r="F287" s="24" t="n">
        <f aca="false">B287-E287</f>
        <v>-0.070979532726591</v>
      </c>
    </row>
    <row r="288" customFormat="false" ht="14.25" hidden="false" customHeight="false" outlineLevel="0" collapsed="false">
      <c r="A288" s="0" t="s">
        <v>87</v>
      </c>
      <c r="B288" s="4" t="n">
        <v>0.17</v>
      </c>
      <c r="C288" s="4" t="n">
        <v>0.13127422971881</v>
      </c>
      <c r="D288" s="4" t="n">
        <f aca="false">B288-C288</f>
        <v>0.0387257702811896</v>
      </c>
      <c r="E288" s="24" t="n">
        <v>0.134791556494489</v>
      </c>
      <c r="F288" s="24" t="n">
        <f aca="false">B288-E288</f>
        <v>0.0352084435055112</v>
      </c>
    </row>
    <row r="289" customFormat="false" ht="14.25" hidden="false" customHeight="false" outlineLevel="0" collapsed="false">
      <c r="B289" s="4" t="n">
        <v>0.23</v>
      </c>
      <c r="C289" s="4" t="n">
        <v>0.173850976212243</v>
      </c>
      <c r="D289" s="4" t="n">
        <f aca="false">B289-C289</f>
        <v>0.0561490237877569</v>
      </c>
      <c r="E289" s="24" t="n">
        <v>0.18859175010146</v>
      </c>
      <c r="F289" s="24" t="n">
        <f aca="false">B289-E289</f>
        <v>0.0414082498985397</v>
      </c>
    </row>
    <row r="290" customFormat="false" ht="14.25" hidden="false" customHeight="false" outlineLevel="0" collapsed="false">
      <c r="B290" s="4" t="n">
        <v>0.27</v>
      </c>
      <c r="C290" s="4" t="n">
        <v>0.205980118431288</v>
      </c>
      <c r="D290" s="4" t="n">
        <f aca="false">B290-C290</f>
        <v>0.0640198815687119</v>
      </c>
      <c r="E290" s="24" t="n">
        <v>0.229190297763555</v>
      </c>
      <c r="F290" s="24" t="n">
        <f aca="false">B290-E290</f>
        <v>0.0408097022364451</v>
      </c>
    </row>
    <row r="291" customFormat="false" ht="14.25" hidden="false" customHeight="false" outlineLevel="0" collapsed="false">
      <c r="A291" s="0" t="s">
        <v>88</v>
      </c>
      <c r="B291" s="4" t="n">
        <v>0.16</v>
      </c>
      <c r="C291" s="4" t="n">
        <v>0.207325699886579</v>
      </c>
      <c r="D291" s="4" t="n">
        <f aca="false">B291-C291</f>
        <v>-0.0473256998865792</v>
      </c>
      <c r="E291" s="24" t="n">
        <v>0.230141305868568</v>
      </c>
      <c r="F291" s="24" t="n">
        <f aca="false">B291-E291</f>
        <v>-0.0701413058685677</v>
      </c>
    </row>
    <row r="292" customFormat="false" ht="14.25" hidden="false" customHeight="false" outlineLevel="0" collapsed="false">
      <c r="A292" s="0" t="s">
        <v>89</v>
      </c>
      <c r="B292" s="4" t="n">
        <v>0.16</v>
      </c>
      <c r="C292" s="4" t="n">
        <v>0.205276239077366</v>
      </c>
      <c r="D292" s="4" t="n">
        <f aca="false">B292-C292</f>
        <v>-0.0452762390773661</v>
      </c>
      <c r="E292" s="24" t="n">
        <v>0.223160977177881</v>
      </c>
      <c r="F292" s="24" t="n">
        <f aca="false">B292-E292</f>
        <v>-0.0631609771778806</v>
      </c>
    </row>
    <row r="293" customFormat="false" ht="14.25" hidden="false" customHeight="false" outlineLevel="0" collapsed="false">
      <c r="B293" s="4" t="n">
        <v>0.2</v>
      </c>
      <c r="C293" s="4" t="n">
        <v>0.235595975449733</v>
      </c>
      <c r="D293" s="4" t="n">
        <f aca="false">B293-C293</f>
        <v>-0.0355959754497332</v>
      </c>
      <c r="E293" s="24" t="n">
        <v>0.261283031119429</v>
      </c>
      <c r="F293" s="24" t="n">
        <f aca="false">B293-E293</f>
        <v>-0.0612830311194286</v>
      </c>
    </row>
    <row r="294" customFormat="false" ht="14.25" hidden="false" customHeight="false" outlineLevel="0" collapsed="false">
      <c r="A294" s="0" t="s">
        <v>90</v>
      </c>
      <c r="B294" s="4" t="n">
        <v>0.17</v>
      </c>
      <c r="C294" s="4" t="n">
        <v>0.118916171734965</v>
      </c>
      <c r="D294" s="4" t="n">
        <f aca="false">B294-C294</f>
        <v>0.0510838282650354</v>
      </c>
      <c r="E294" s="24" t="n">
        <v>0.124331141033773</v>
      </c>
      <c r="F294" s="24" t="n">
        <f aca="false">B294-E294</f>
        <v>0.0456688589662269</v>
      </c>
    </row>
    <row r="295" customFormat="false" ht="14.25" hidden="false" customHeight="false" outlineLevel="0" collapsed="false">
      <c r="A295" s="0" t="s">
        <v>91</v>
      </c>
      <c r="B295" s="4" t="n">
        <v>0.15</v>
      </c>
      <c r="C295" s="4" t="n">
        <v>0.154918924089883</v>
      </c>
      <c r="D295" s="4" t="n">
        <f aca="false">B295-C295</f>
        <v>-0.00491892408988268</v>
      </c>
      <c r="E295" s="24" t="n">
        <v>0.15601234248965</v>
      </c>
      <c r="F295" s="24" t="n">
        <f aca="false">B295-E295</f>
        <v>-0.00601234248965024</v>
      </c>
    </row>
    <row r="296" customFormat="false" ht="14.25" hidden="false" customHeight="false" outlineLevel="0" collapsed="false">
      <c r="B296" s="4" t="n">
        <v>0.19</v>
      </c>
      <c r="C296" s="4" t="n">
        <v>0.190184965135221</v>
      </c>
      <c r="D296" s="4" t="n">
        <f aca="false">B296-C296</f>
        <v>-0.000184965135220733</v>
      </c>
      <c r="E296" s="24" t="n">
        <v>0.198117066913921</v>
      </c>
      <c r="F296" s="24" t="n">
        <f aca="false">B296-E296</f>
        <v>-0.00811706691392125</v>
      </c>
    </row>
    <row r="297" customFormat="false" ht="14.25" hidden="false" customHeight="false" outlineLevel="0" collapsed="false">
      <c r="B297" s="4" t="n">
        <v>0.22</v>
      </c>
      <c r="C297" s="4" t="n">
        <v>0.227813324719481</v>
      </c>
      <c r="D297" s="4" t="n">
        <f aca="false">B297-C297</f>
        <v>-0.00781332471948096</v>
      </c>
      <c r="E297" s="24" t="n">
        <v>0.243042203500584</v>
      </c>
      <c r="F297" s="24" t="n">
        <f aca="false">B297-E297</f>
        <v>-0.0230422035005837</v>
      </c>
    </row>
    <row r="298" customFormat="false" ht="14.25" hidden="false" customHeight="false" outlineLevel="0" collapsed="false">
      <c r="B298" s="4" t="n">
        <v>0.27</v>
      </c>
      <c r="C298" s="4" t="n">
        <v>0.244305625755551</v>
      </c>
      <c r="D298" s="4" t="n">
        <f aca="false">B298-C298</f>
        <v>0.025694374244449</v>
      </c>
      <c r="E298" s="24" t="n">
        <v>0.262732641374036</v>
      </c>
      <c r="F298" s="24" t="n">
        <f aca="false">B298-E298</f>
        <v>0.00726735862596395</v>
      </c>
    </row>
    <row r="299" customFormat="false" ht="14.25" hidden="false" customHeight="false" outlineLevel="0" collapsed="false">
      <c r="A299" s="0" t="s">
        <v>92</v>
      </c>
      <c r="B299" s="4" t="n">
        <v>0.17</v>
      </c>
      <c r="C299" s="4" t="n">
        <v>0.214865447980312</v>
      </c>
      <c r="D299" s="4" t="n">
        <f aca="false">B299-C299</f>
        <v>-0.0448654479803124</v>
      </c>
      <c r="E299" s="24" t="n">
        <v>0.232509472706563</v>
      </c>
      <c r="F299" s="24" t="n">
        <f aca="false">B299-E299</f>
        <v>-0.0625094727065629</v>
      </c>
    </row>
    <row r="300" customFormat="false" ht="14.25" hidden="false" customHeight="false" outlineLevel="0" collapsed="false">
      <c r="B300" s="4" t="n">
        <v>0.2</v>
      </c>
      <c r="C300" s="4" t="n">
        <v>0.232744711888717</v>
      </c>
      <c r="D300" s="4" t="n">
        <f aca="false">B300-C300</f>
        <v>-0.0327447118887169</v>
      </c>
      <c r="E300" s="24" t="n">
        <v>0.254486890270819</v>
      </c>
      <c r="F300" s="24" t="n">
        <f aca="false">B300-E300</f>
        <v>-0.0544868902708187</v>
      </c>
    </row>
    <row r="301" customFormat="false" ht="14.25" hidden="false" customHeight="false" outlineLevel="0" collapsed="false">
      <c r="A301" s="0" t="s">
        <v>93</v>
      </c>
      <c r="B301" s="4" t="n">
        <v>0.15</v>
      </c>
      <c r="C301" s="4" t="n">
        <v>0.143254092774708</v>
      </c>
      <c r="D301" s="4" t="n">
        <f aca="false">B301-C301</f>
        <v>0.00674590722529178</v>
      </c>
      <c r="E301" s="24" t="n">
        <v>0.144305241589494</v>
      </c>
      <c r="F301" s="24" t="n">
        <f aca="false">B301-E301</f>
        <v>0.00569475841050615</v>
      </c>
    </row>
    <row r="302" customFormat="false" ht="14.25" hidden="false" customHeight="false" outlineLevel="0" collapsed="false">
      <c r="B302" s="4" t="n">
        <v>0.18</v>
      </c>
      <c r="C302" s="4" t="n">
        <v>0.178298285681843</v>
      </c>
      <c r="D302" s="4" t="n">
        <f aca="false">B302-C302</f>
        <v>0.00170171431815688</v>
      </c>
      <c r="E302" s="24" t="n">
        <v>0.187302096936161</v>
      </c>
      <c r="F302" s="24" t="n">
        <f aca="false">B302-E302</f>
        <v>-0.00730209693616082</v>
      </c>
    </row>
    <row r="303" customFormat="false" ht="14.25" hidden="false" customHeight="false" outlineLevel="0" collapsed="false">
      <c r="B303" s="4" t="n">
        <v>0.22</v>
      </c>
      <c r="C303" s="4" t="n">
        <v>0.215689936487064</v>
      </c>
      <c r="D303" s="4" t="n">
        <f aca="false">B303-C303</f>
        <v>0.00431006351293647</v>
      </c>
      <c r="E303" s="24" t="n">
        <v>0.233179124411313</v>
      </c>
      <c r="F303" s="24" t="n">
        <f aca="false">B303-E303</f>
        <v>-0.0131791244113126</v>
      </c>
    </row>
    <row r="304" customFormat="false" ht="14.25" hidden="false" customHeight="false" outlineLevel="0" collapsed="false">
      <c r="B304" s="4" t="n">
        <v>0.25</v>
      </c>
      <c r="C304" s="4" t="n">
        <v>0.233487983765392</v>
      </c>
      <c r="D304" s="4" t="n">
        <f aca="false">B304-C304</f>
        <v>0.0165120162346084</v>
      </c>
      <c r="E304" s="24" t="n">
        <v>0.255016125089494</v>
      </c>
      <c r="F304" s="24" t="n">
        <f aca="false">B304-E304</f>
        <v>-0.00501612508949373</v>
      </c>
    </row>
    <row r="305" customFormat="false" ht="14.25" hidden="false" customHeight="false" outlineLevel="0" collapsed="false">
      <c r="A305" s="0" t="s">
        <v>94</v>
      </c>
      <c r="B305" s="4" t="n">
        <v>0.2</v>
      </c>
      <c r="C305" s="4" t="n">
        <v>0.145236390439666</v>
      </c>
      <c r="D305" s="4" t="n">
        <f aca="false">B305-C305</f>
        <v>0.0547636095603338</v>
      </c>
      <c r="E305" s="24" t="n">
        <v>0.146296494914318</v>
      </c>
      <c r="F305" s="24" t="n">
        <f aca="false">B305-E305</f>
        <v>0.0537035050856818</v>
      </c>
    </row>
    <row r="306" customFormat="false" ht="14.25" hidden="false" customHeight="false" outlineLevel="0" collapsed="false">
      <c r="B306" s="4" t="n">
        <v>0.25</v>
      </c>
      <c r="C306" s="4" t="n">
        <v>0.180315671337883</v>
      </c>
      <c r="D306" s="4" t="n">
        <f aca="false">B306-C306</f>
        <v>0.069684328662117</v>
      </c>
      <c r="E306" s="24" t="n">
        <v>0.18913767848312</v>
      </c>
      <c r="F306" s="24" t="n">
        <f aca="false">B306-E306</f>
        <v>0.0608623215168801</v>
      </c>
    </row>
    <row r="307" customFormat="false" ht="14.25" hidden="false" customHeight="false" outlineLevel="0" collapsed="false">
      <c r="B307" s="4" t="n">
        <v>0.3</v>
      </c>
      <c r="C307" s="4" t="n">
        <v>0.217744760525933</v>
      </c>
      <c r="D307" s="4" t="n">
        <f aca="false">B307-C307</f>
        <v>0.0822552394740675</v>
      </c>
      <c r="E307" s="24" t="n">
        <v>0.234848606405813</v>
      </c>
      <c r="F307" s="24" t="n">
        <f aca="false">B307-E307</f>
        <v>0.0651513935941873</v>
      </c>
    </row>
    <row r="308" customFormat="false" ht="14.25" hidden="false" customHeight="false" outlineLevel="0" collapsed="false">
      <c r="B308" s="4" t="n">
        <v>0.35</v>
      </c>
      <c r="C308" s="4" t="n">
        <v>0.235336494438405</v>
      </c>
      <c r="D308" s="4" t="n">
        <f aca="false">B308-C308</f>
        <v>0.114663505561595</v>
      </c>
      <c r="E308" s="24" t="n">
        <v>0.25633281824084</v>
      </c>
      <c r="F308" s="24" t="n">
        <f aca="false">B308-E308</f>
        <v>0.0936671817591596</v>
      </c>
    </row>
    <row r="309" customFormat="false" ht="14.25" hidden="false" customHeight="false" outlineLevel="0" collapsed="false">
      <c r="A309" s="0" t="s">
        <v>95</v>
      </c>
      <c r="B309" s="4" t="n">
        <v>0.17</v>
      </c>
      <c r="C309" s="4" t="n">
        <v>0.134837869496894</v>
      </c>
      <c r="D309" s="4" t="n">
        <f aca="false">B309-C309</f>
        <v>0.0351621305031063</v>
      </c>
      <c r="E309" s="24" t="n">
        <v>0.138648828196445</v>
      </c>
      <c r="F309" s="24" t="n">
        <f aca="false">B309-E309</f>
        <v>0.0313511718035555</v>
      </c>
    </row>
    <row r="310" customFormat="false" ht="14.25" hidden="false" customHeight="false" outlineLevel="0" collapsed="false">
      <c r="B310" s="4" t="n">
        <v>0.2</v>
      </c>
      <c r="C310" s="4" t="n">
        <v>0.162583158045426</v>
      </c>
      <c r="D310" s="4" t="n">
        <f aca="false">B310-C310</f>
        <v>0.0374168419545742</v>
      </c>
      <c r="E310" s="24" t="n">
        <v>0.169914612673841</v>
      </c>
      <c r="F310" s="24" t="n">
        <f aca="false">B310-E310</f>
        <v>0.0300853873261587</v>
      </c>
    </row>
    <row r="311" customFormat="false" ht="14.25" hidden="false" customHeight="false" outlineLevel="0" collapsed="false">
      <c r="A311" s="0" t="s">
        <v>96</v>
      </c>
      <c r="B311" s="4" t="n">
        <v>0.17</v>
      </c>
      <c r="C311" s="4" t="n">
        <v>0.135887459700604</v>
      </c>
      <c r="D311" s="4" t="n">
        <f aca="false">B311-C311</f>
        <v>0.0341125402993956</v>
      </c>
      <c r="E311" s="24" t="n">
        <v>0.135887459700604</v>
      </c>
      <c r="F311" s="24" t="n">
        <f aca="false">B311-E311</f>
        <v>0.0341125402993956</v>
      </c>
    </row>
    <row r="312" customFormat="false" ht="14.25" hidden="false" customHeight="false" outlineLevel="0" collapsed="false">
      <c r="B312" s="4" t="n">
        <v>0.2</v>
      </c>
      <c r="C312" s="4" t="n">
        <v>0.170118894178651</v>
      </c>
      <c r="D312" s="4" t="n">
        <f aca="false">B312-C312</f>
        <v>0.0298811058213492</v>
      </c>
      <c r="E312" s="24" t="n">
        <v>0.174018328179032</v>
      </c>
      <c r="F312" s="24" t="n">
        <f aca="false">B312-E312</f>
        <v>0.0259816718209683</v>
      </c>
    </row>
    <row r="313" customFormat="false" ht="14.25" hidden="false" customHeight="false" outlineLevel="0" collapsed="false">
      <c r="B313" s="4" t="n">
        <v>0.25</v>
      </c>
      <c r="C313" s="4" t="n">
        <v>0.20357012502187</v>
      </c>
      <c r="D313" s="4" t="n">
        <f aca="false">B313-C313</f>
        <v>0.0464298749781301</v>
      </c>
      <c r="E313" s="24" t="n">
        <v>0.213045974149526</v>
      </c>
      <c r="F313" s="24" t="n">
        <f aca="false">B313-E313</f>
        <v>0.0369540258504743</v>
      </c>
    </row>
    <row r="314" customFormat="false" ht="14.25" hidden="false" customHeight="false" outlineLevel="0" collapsed="false">
      <c r="B314" s="4" t="n">
        <v>0.29</v>
      </c>
      <c r="C314" s="4" t="n">
        <v>0.235043578025519</v>
      </c>
      <c r="D314" s="4" t="n">
        <f aca="false">B314-C314</f>
        <v>0.0549564219744812</v>
      </c>
      <c r="E314" s="24" t="n">
        <v>0.249766141101002</v>
      </c>
      <c r="F314" s="24" t="n">
        <f aca="false">B314-E314</f>
        <v>0.0402338588989978</v>
      </c>
    </row>
    <row r="315" customFormat="false" ht="14.25" hidden="false" customHeight="false" outlineLevel="0" collapsed="false">
      <c r="A315" s="0" t="s">
        <v>97</v>
      </c>
      <c r="B315" s="4" t="n">
        <v>0.17</v>
      </c>
      <c r="C315" s="4" t="n">
        <v>0.171725283638607</v>
      </c>
      <c r="D315" s="4" t="n">
        <f aca="false">B315-C315</f>
        <v>-0.00172528363860691</v>
      </c>
      <c r="E315" s="24" t="n">
        <v>0.17555386359827</v>
      </c>
      <c r="F315" s="24" t="n">
        <f aca="false">B315-E315</f>
        <v>-0.00555386359826984</v>
      </c>
    </row>
    <row r="316" customFormat="false" ht="14.25" hidden="false" customHeight="false" outlineLevel="0" collapsed="false">
      <c r="A316" s="0" t="s">
        <v>98</v>
      </c>
      <c r="B316" s="4" t="n">
        <v>0.15</v>
      </c>
      <c r="C316" s="4" t="n">
        <v>0.135887459700604</v>
      </c>
      <c r="D316" s="4" t="n">
        <f aca="false">B316-C316</f>
        <v>0.0141125402993956</v>
      </c>
      <c r="E316" s="24" t="n">
        <v>0.135887459700604</v>
      </c>
      <c r="F316" s="24" t="n">
        <f aca="false">B316-E316</f>
        <v>0.0141125402993956</v>
      </c>
    </row>
    <row r="317" customFormat="false" ht="14.25" hidden="false" customHeight="false" outlineLevel="0" collapsed="false">
      <c r="B317" s="4" t="n">
        <v>0.16</v>
      </c>
      <c r="C317" s="4" t="n">
        <v>0.170118894178651</v>
      </c>
      <c r="D317" s="4" t="n">
        <f aca="false">B317-C317</f>
        <v>-0.0101188941786508</v>
      </c>
      <c r="E317" s="24" t="n">
        <v>0.174018328179032</v>
      </c>
      <c r="F317" s="24" t="n">
        <f aca="false">B317-E317</f>
        <v>-0.0140183281790317</v>
      </c>
    </row>
    <row r="318" customFormat="false" ht="14.25" hidden="false" customHeight="false" outlineLevel="0" collapsed="false">
      <c r="B318" s="4" t="n">
        <v>0.22</v>
      </c>
      <c r="C318" s="4" t="n">
        <v>0.20357012502187</v>
      </c>
      <c r="D318" s="4" t="n">
        <f aca="false">B318-C318</f>
        <v>0.0164298749781301</v>
      </c>
      <c r="E318" s="24" t="n">
        <v>0.213045974149526</v>
      </c>
      <c r="F318" s="24" t="n">
        <f aca="false">B318-E318</f>
        <v>0.00695402585047433</v>
      </c>
    </row>
    <row r="319" customFormat="false" ht="14.25" hidden="false" customHeight="false" outlineLevel="0" collapsed="false">
      <c r="B319" s="4" t="n">
        <v>0.26</v>
      </c>
      <c r="C319" s="4" t="n">
        <v>0.235043578025519</v>
      </c>
      <c r="D319" s="4" t="n">
        <f aca="false">B319-C319</f>
        <v>0.0249564219744813</v>
      </c>
      <c r="E319" s="24" t="n">
        <v>0.249766141101002</v>
      </c>
      <c r="F319" s="24" t="n">
        <f aca="false">B319-E319</f>
        <v>0.0102338588989978</v>
      </c>
    </row>
    <row r="320" customFormat="false" ht="14.25" hidden="false" customHeight="false" outlineLevel="0" collapsed="false">
      <c r="A320" s="0" t="s">
        <v>99</v>
      </c>
      <c r="B320" s="4" t="n">
        <v>0.17</v>
      </c>
      <c r="C320" s="4" t="n">
        <v>0.175324609891476</v>
      </c>
      <c r="D320" s="4" t="n">
        <f aca="false">B320-C320</f>
        <v>-0.00532460989147632</v>
      </c>
      <c r="E320" s="24" t="n">
        <v>0.178993380624955</v>
      </c>
      <c r="F320" s="24" t="n">
        <f aca="false">B320-E320</f>
        <v>-0.00899338062495483</v>
      </c>
    </row>
    <row r="321" customFormat="false" ht="14.25" hidden="false" customHeight="false" outlineLevel="0" collapsed="false">
      <c r="B321" s="4" t="n">
        <v>0.2</v>
      </c>
      <c r="C321" s="4" t="n">
        <v>0.208922974031405</v>
      </c>
      <c r="D321" s="4" t="n">
        <f aca="false">B321-C321</f>
        <v>-0.00892297403140541</v>
      </c>
      <c r="E321" s="24" t="n">
        <v>0.217701025622076</v>
      </c>
      <c r="F321" s="24" t="n">
        <f aca="false">B321-E321</f>
        <v>-0.0177010256220757</v>
      </c>
    </row>
    <row r="322" customFormat="false" ht="14.25" hidden="false" customHeight="false" outlineLevel="0" collapsed="false">
      <c r="B322" s="4" t="n">
        <v>0.24</v>
      </c>
      <c r="C322" s="4" t="n">
        <v>0.239618693852614</v>
      </c>
      <c r="D322" s="4" t="n">
        <f aca="false">B322-C322</f>
        <v>0.000381306147386074</v>
      </c>
      <c r="E322" s="24" t="n">
        <v>0.253064623112181</v>
      </c>
      <c r="F322" s="24" t="n">
        <f aca="false">B322-E322</f>
        <v>-0.0130646231121806</v>
      </c>
    </row>
    <row r="323" customFormat="false" ht="14.25" hidden="false" customHeight="false" outlineLevel="0" collapsed="false">
      <c r="A323" s="0" t="s">
        <v>100</v>
      </c>
      <c r="B323" s="4" t="n">
        <v>0.17</v>
      </c>
      <c r="C323" s="4" t="n">
        <v>0.143016253459017</v>
      </c>
      <c r="D323" s="4" t="n">
        <f aca="false">B323-C323</f>
        <v>0.0269837465409828</v>
      </c>
      <c r="E323" s="24" t="n">
        <v>0.143016253459017</v>
      </c>
      <c r="F323" s="24" t="n">
        <f aca="false">B323-E323</f>
        <v>0.0269837465409828</v>
      </c>
    </row>
    <row r="324" customFormat="false" ht="14.25" hidden="false" customHeight="false" outlineLevel="0" collapsed="false">
      <c r="B324" s="4" t="n">
        <v>0.23</v>
      </c>
      <c r="C324" s="4" t="n">
        <v>0.196050625318856</v>
      </c>
      <c r="D324" s="4" t="n">
        <f aca="false">B324-C324</f>
        <v>0.0339493746811437</v>
      </c>
      <c r="E324" s="24" t="n">
        <v>0.202198184958557</v>
      </c>
      <c r="F324" s="24" t="n">
        <f aca="false">B324-E324</f>
        <v>0.027801815041443</v>
      </c>
    </row>
    <row r="325" customFormat="false" ht="14.25" hidden="false" customHeight="false" outlineLevel="0" collapsed="false">
      <c r="B325" s="4" t="n">
        <v>0.27</v>
      </c>
      <c r="C325" s="4" t="n">
        <v>0.242973229417896</v>
      </c>
      <c r="D325" s="4" t="n">
        <f aca="false">B325-C325</f>
        <v>0.0270267705821041</v>
      </c>
      <c r="E325" s="24" t="n">
        <v>0.259730572527382</v>
      </c>
      <c r="F325" s="24" t="n">
        <f aca="false">B325-E325</f>
        <v>0.0102694274726181</v>
      </c>
    </row>
    <row r="326" customFormat="false" ht="14.25" hidden="false" customHeight="false" outlineLevel="0" collapsed="false">
      <c r="B326" s="4" t="n">
        <v>0.31</v>
      </c>
      <c r="C326" s="4" t="n">
        <v>0.276489375202924</v>
      </c>
      <c r="D326" s="4" t="n">
        <f aca="false">B326-C326</f>
        <v>0.0335106247970757</v>
      </c>
      <c r="E326" s="24" t="n">
        <v>0.300825135076543</v>
      </c>
      <c r="F326" s="24" t="n">
        <f aca="false">B326-E326</f>
        <v>0.0091748649234572</v>
      </c>
    </row>
    <row r="327" customFormat="false" ht="14.25" hidden="false" customHeight="false" outlineLevel="0" collapsed="false">
      <c r="B327" s="4" t="n">
        <v>0.35</v>
      </c>
      <c r="C327" s="4" t="n">
        <v>0.284208377885445</v>
      </c>
      <c r="D327" s="4" t="n">
        <f aca="false">B327-C327</f>
        <v>0.0657916221145549</v>
      </c>
      <c r="E327" s="24" t="n">
        <v>0.310289500119843</v>
      </c>
      <c r="F327" s="24" t="n">
        <f aca="false">B327-E327</f>
        <v>0.0397104998801566</v>
      </c>
    </row>
    <row r="328" customFormat="false" ht="14.25" hidden="false" customHeight="false" outlineLevel="0" collapsed="false">
      <c r="A328" s="0" t="s">
        <v>101</v>
      </c>
      <c r="B328" s="4" t="n">
        <v>0.19</v>
      </c>
      <c r="C328" s="4" t="n">
        <v>0.133769063769031</v>
      </c>
      <c r="D328" s="4" t="n">
        <f aca="false">B328-C328</f>
        <v>0.0562309362309688</v>
      </c>
      <c r="E328" s="24" t="n">
        <v>0.133769063769031</v>
      </c>
      <c r="F328" s="24" t="n">
        <f aca="false">B328-E328</f>
        <v>0.0562309362309688</v>
      </c>
    </row>
    <row r="329" customFormat="false" ht="14.25" hidden="false" customHeight="false" outlineLevel="0" collapsed="false">
      <c r="B329" s="4" t="n">
        <v>0.24</v>
      </c>
      <c r="C329" s="4" t="n">
        <v>0.186626082364968</v>
      </c>
      <c r="D329" s="4" t="n">
        <f aca="false">B329-C329</f>
        <v>0.0533739176350321</v>
      </c>
      <c r="E329" s="24" t="n">
        <v>0.193179679982976</v>
      </c>
      <c r="F329" s="24" t="n">
        <f aca="false">B329-E329</f>
        <v>0.0468203200170236</v>
      </c>
    </row>
    <row r="330" customFormat="false" ht="14.25" hidden="false" customHeight="false" outlineLevel="0" collapsed="false">
      <c r="B330" s="4" t="n">
        <v>0.29</v>
      </c>
      <c r="C330" s="4" t="n">
        <v>0.233391771680332</v>
      </c>
      <c r="D330" s="4" t="n">
        <f aca="false">B330-C330</f>
        <v>0.056608228319668</v>
      </c>
      <c r="E330" s="24" t="n">
        <v>0.251560722726978</v>
      </c>
      <c r="F330" s="24" t="n">
        <f aca="false">B330-E330</f>
        <v>0.0384392772730222</v>
      </c>
    </row>
    <row r="331" customFormat="false" ht="14.25" hidden="false" customHeight="false" outlineLevel="0" collapsed="false">
      <c r="B331" s="4" t="n">
        <v>0.36</v>
      </c>
      <c r="C331" s="4" t="n">
        <v>0.266795835477021</v>
      </c>
      <c r="D331" s="4" t="n">
        <f aca="false">B331-C331</f>
        <v>0.0932041645229794</v>
      </c>
      <c r="E331" s="24" t="n">
        <v>0.293261467544122</v>
      </c>
      <c r="F331" s="24" t="n">
        <f aca="false">B331-E331</f>
        <v>0.0667385324558783</v>
      </c>
    </row>
    <row r="332" customFormat="false" ht="14.25" hidden="false" customHeight="false" outlineLevel="0" collapsed="false">
      <c r="B332" s="4" t="n">
        <v>0.42</v>
      </c>
      <c r="C332" s="4" t="n">
        <v>0.275521082842547</v>
      </c>
      <c r="D332" s="4" t="n">
        <f aca="false">B332-C332</f>
        <v>0.144478917157453</v>
      </c>
      <c r="E332" s="24" t="n">
        <v>0.30415383429539</v>
      </c>
      <c r="F332" s="24" t="n">
        <f aca="false">B332-E332</f>
        <v>0.11584616570461</v>
      </c>
    </row>
    <row r="333" customFormat="false" ht="14.25" hidden="false" customHeight="false" outlineLevel="0" collapsed="false">
      <c r="A333" s="0" t="s">
        <v>102</v>
      </c>
      <c r="B333" s="4" t="n">
        <v>0.18</v>
      </c>
      <c r="C333" s="4" t="n">
        <v>0.148598812442692</v>
      </c>
      <c r="D333" s="4" t="n">
        <f aca="false">B333-C333</f>
        <v>0.0314011875573081</v>
      </c>
      <c r="E333" s="24" t="n">
        <v>0.148598812442692</v>
      </c>
      <c r="F333" s="24" t="n">
        <f aca="false">B333-E333</f>
        <v>0.0314011875573081</v>
      </c>
    </row>
    <row r="334" customFormat="false" ht="14.25" hidden="false" customHeight="false" outlineLevel="0" collapsed="false">
      <c r="B334" s="4" t="n">
        <v>0.22</v>
      </c>
      <c r="C334" s="4" t="n">
        <v>0.187726687524044</v>
      </c>
      <c r="D334" s="4" t="n">
        <f aca="false">B334-C334</f>
        <v>0.0322733124759559</v>
      </c>
      <c r="E334" s="24" t="n">
        <v>0.192647878510865</v>
      </c>
      <c r="F334" s="24" t="n">
        <f aca="false">B334-E334</f>
        <v>0.0273521214891355</v>
      </c>
    </row>
    <row r="335" customFormat="false" ht="14.25" hidden="false" customHeight="false" outlineLevel="0" collapsed="false">
      <c r="B335" s="4" t="n">
        <v>0.27</v>
      </c>
      <c r="C335" s="4" t="n">
        <v>0.217911048301087</v>
      </c>
      <c r="D335" s="4" t="n">
        <f aca="false">B335-C335</f>
        <v>0.0520889516989128</v>
      </c>
      <c r="E335" s="24" t="n">
        <v>0.227492103194791</v>
      </c>
      <c r="F335" s="24" t="n">
        <f aca="false">B335-E335</f>
        <v>0.0425078968052089</v>
      </c>
    </row>
    <row r="336" customFormat="false" ht="14.25" hidden="false" customHeight="false" outlineLevel="0" collapsed="false">
      <c r="B336" s="4" t="n">
        <v>0.32</v>
      </c>
      <c r="C336" s="4" t="n">
        <v>0.247400034312454</v>
      </c>
      <c r="D336" s="4" t="n">
        <f aca="false">B336-C336</f>
        <v>0.0725999656875464</v>
      </c>
      <c r="E336" s="24" t="n">
        <v>0.261533601103957</v>
      </c>
      <c r="F336" s="24" t="n">
        <f aca="false">B336-E336</f>
        <v>0.0584663988960431</v>
      </c>
    </row>
    <row r="337" customFormat="false" ht="14.25" hidden="false" customHeight="false" outlineLevel="0" collapsed="false">
      <c r="A337" s="0" t="s">
        <v>103</v>
      </c>
      <c r="B337" s="4" t="n">
        <v>0.16</v>
      </c>
      <c r="C337" s="4" t="n">
        <v>0.187726687524044</v>
      </c>
      <c r="D337" s="4" t="n">
        <f aca="false">B337-C337</f>
        <v>-0.0277266875240441</v>
      </c>
      <c r="E337" s="24" t="n">
        <v>0.192647878510865</v>
      </c>
      <c r="F337" s="24" t="n">
        <f aca="false">B337-E337</f>
        <v>-0.0326478785108645</v>
      </c>
    </row>
    <row r="338" customFormat="false" ht="14.25" hidden="false" customHeight="false" outlineLevel="0" collapsed="false">
      <c r="B338" s="4" t="n">
        <v>0.19</v>
      </c>
      <c r="C338" s="4" t="n">
        <v>0.217911048301087</v>
      </c>
      <c r="D338" s="4" t="n">
        <f aca="false">B338-C338</f>
        <v>-0.0279110483010872</v>
      </c>
      <c r="E338" s="24" t="n">
        <v>0.227492103194791</v>
      </c>
      <c r="F338" s="24" t="n">
        <f aca="false">B338-E338</f>
        <v>-0.0374921031947911</v>
      </c>
    </row>
    <row r="339" customFormat="false" ht="14.25" hidden="false" customHeight="false" outlineLevel="0" collapsed="false">
      <c r="B339" s="4" t="n">
        <v>0.22</v>
      </c>
      <c r="C339" s="4" t="n">
        <v>0.247400034312454</v>
      </c>
      <c r="D339" s="4" t="n">
        <f aca="false">B339-C339</f>
        <v>-0.0274000343124536</v>
      </c>
      <c r="E339" s="24" t="n">
        <v>0.261533601103957</v>
      </c>
      <c r="F339" s="24" t="n">
        <f aca="false">B339-E339</f>
        <v>-0.041533601103957</v>
      </c>
    </row>
    <row r="340" customFormat="false" ht="14.25" hidden="false" customHeight="false" outlineLevel="0" collapsed="false">
      <c r="A340" s="0" t="s">
        <v>104</v>
      </c>
      <c r="B340" s="4" t="n">
        <v>0.17</v>
      </c>
      <c r="C340" s="4" t="n">
        <v>0.150622088413142</v>
      </c>
      <c r="D340" s="4" t="n">
        <f aca="false">B340-C340</f>
        <v>0.0193779115868585</v>
      </c>
      <c r="E340" s="24" t="n">
        <v>0.150622088413142</v>
      </c>
      <c r="F340" s="24" t="n">
        <f aca="false">B340-E340</f>
        <v>0.0193779115868585</v>
      </c>
    </row>
    <row r="341" customFormat="false" ht="14.25" hidden="false" customHeight="false" outlineLevel="0" collapsed="false">
      <c r="A341" s="0" t="s">
        <v>105</v>
      </c>
      <c r="B341" s="4" t="n">
        <v>0.19</v>
      </c>
      <c r="C341" s="4" t="n">
        <v>0.108061002295251</v>
      </c>
      <c r="D341" s="4" t="n">
        <f aca="false">B341-C341</f>
        <v>0.0819389977047489</v>
      </c>
      <c r="E341" s="24" t="n">
        <v>0.108061002295251</v>
      </c>
      <c r="F341" s="24" t="n">
        <f aca="false">B341-E341</f>
        <v>0.0819389977047489</v>
      </c>
    </row>
    <row r="342" customFormat="false" ht="14.25" hidden="false" customHeight="false" outlineLevel="0" collapsed="false">
      <c r="B342" s="4" t="n">
        <v>0.25</v>
      </c>
      <c r="C342" s="4" t="n">
        <v>0.147805128211685</v>
      </c>
      <c r="D342" s="4" t="n">
        <f aca="false">B342-C342</f>
        <v>0.102194871788315</v>
      </c>
      <c r="E342" s="24" t="n">
        <v>0.147805128211685</v>
      </c>
      <c r="F342" s="24" t="n">
        <f aca="false">B342-E342</f>
        <v>0.102194871788315</v>
      </c>
    </row>
    <row r="344" customFormat="false" ht="14.25" hidden="false" customHeight="false" outlineLevel="0" collapsed="false">
      <c r="C344" s="12"/>
      <c r="D344" s="12"/>
      <c r="E344" s="12"/>
      <c r="F344" s="12"/>
    </row>
    <row r="345" customFormat="false" ht="14.25" hidden="false" customHeight="false" outlineLevel="0" collapsed="false">
      <c r="C345" s="12"/>
      <c r="D345" s="12"/>
      <c r="E345" s="12"/>
      <c r="F345" s="12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2025-09-13T23:04:03Z</dcterms:created>
  <dc:creator>Daniel Lima Araujo</dc:creator>
  <dc:description/>
  <dc:language>en-US</dc:language>
  <cp:lastModifiedBy/>
  <dcterms:modified xsi:type="dcterms:W3CDTF">2025-12-19T11:37:17Z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